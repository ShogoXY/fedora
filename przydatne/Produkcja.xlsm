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C42F7BAF-F407-4D8E-A17E-3B7BF143FDF5}" xr6:coauthVersionLast="47" xr6:coauthVersionMax="47" xr10:uidLastSave="{00000000-0000-0000-0000-000000000000}"/>
  <bookViews>
    <workbookView minimized="1" xWindow="5445" yWindow="4245" windowWidth="18870" windowHeight="11355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62" l="1" a="1"/>
  <c r="B6" i="62" s="1"/>
  <c r="G9" i="62" a="1"/>
  <c r="G9" i="62" s="1"/>
  <c r="A3" i="61" l="1" a="1"/>
  <c r="A3" i="61" s="1"/>
  <c r="C3" i="62"/>
  <c r="C2" i="62"/>
  <c r="A4" i="62" l="1"/>
  <c r="I18" i="61" a="1"/>
  <c r="I18" i="61" s="1"/>
  <c r="C3" i="61" l="1" a="1"/>
  <c r="C3" i="61" s="1"/>
  <c r="C15" i="61" a="1"/>
  <c r="C15" i="61" s="1"/>
  <c r="C16" i="61" a="1"/>
  <c r="C16" i="61" s="1"/>
  <c r="C13" i="61" a="1"/>
  <c r="C13" i="61" s="1"/>
  <c r="C9" i="61" a="1"/>
  <c r="C9" i="61" s="1"/>
  <c r="C12" i="61" a="1"/>
  <c r="C12" i="61" s="1"/>
  <c r="C8" i="61" a="1"/>
  <c r="C8" i="61" s="1"/>
  <c r="C11" i="61" a="1"/>
  <c r="C11" i="61" s="1"/>
  <c r="C14" i="61" a="1"/>
  <c r="C14" i="61" s="1"/>
  <c r="C10" i="61" a="1"/>
  <c r="C10" i="61" s="1"/>
  <c r="C7" i="61" a="1"/>
  <c r="C7" i="61" s="1"/>
  <c r="C6" i="61" a="1"/>
  <c r="C6" i="61" s="1"/>
  <c r="C5" i="61" a="1"/>
  <c r="C5" i="61" s="1"/>
  <c r="C4" i="61" a="1"/>
  <c r="C4" i="61" s="1"/>
  <c r="I4" i="60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B5" i="61" l="1"/>
  <c r="B6" i="61"/>
  <c r="B14" i="61"/>
  <c r="B9" i="61"/>
  <c r="B4" i="61"/>
  <c r="B13" i="61"/>
  <c r="B8" i="61"/>
  <c r="B12" i="61"/>
  <c r="B16" i="61"/>
  <c r="B3" i="61"/>
  <c r="B7" i="61"/>
  <c r="B11" i="61"/>
  <c r="B15" i="61"/>
  <c r="B10" i="61"/>
  <c r="J26" i="57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<sst xmlns="http://schemas.openxmlformats.org/spreadsheetml/2006/main" count="14396" uniqueCount="3778">
  <si>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</si>
  <si>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</si>
  <si>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</si>
  <si>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</si>
  <si>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</si>
  <si>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</si>
  <si>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</si>
  <si>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</si>
  <si>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</si>
  <si>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</si>
  <si>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</si>
  <si>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</si>
  <si>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</si>
  <si>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</si>
  <si>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</si>
  <si>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</si>
  <si>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</si>
  <si>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</si>
  <si>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</si>
  <si>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</si>
  <si>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</si>
  <si>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</si>
  <si>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</si>
  <si>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</si>
  <si>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</si>
  <si>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</si>
  <si>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</si>
  <si>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</si>
  <si>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</si>
  <si>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</si>
  <si>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</si>
  <si>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</si>
  <si>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</si>
  <si>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</si>
  <si>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</si>
  <si>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</si>
  <si>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</si>
  <si>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</si>
  <si>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</si>
  <si>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</si>
  <si>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</si>
  <si>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</si>
  <si>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</si>
  <si>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</si>
  <si>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</si>
  <si>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</si>
  <si>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</si>
  <si>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</si>
  <si>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</si>
  <si>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</si>
  <si>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</si>
  <si>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</si>
  <si>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</si>
  <si>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</si>
  <si>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</si>
  <si>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</si>
  <si>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</si>
  <si>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</si>
  <si>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</si>
  <si>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</si>
  <si>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</si>
  <si>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</si>
  <si>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</si>
  <si>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</si>
  <si>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</si>
  <si>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</si>
  <si>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</si>
  <si>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</si>
  <si>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</si>
  <si>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</si>
  <si>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</si>
  <si>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</si>
  <si>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</si>
  <si>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</si>
  <si>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</si>
  <si>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</si>
  <si>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</si>
  <si>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</si>
  <si>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</si>
  <si>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</si>
  <si>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</si>
  <si>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</si>
  <si>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</si>
  <si>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</si>
  <si>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</si>
  <si>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</si>
  <si>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</si>
  <si>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</si>
  <si>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</si>
  <si>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</si>
  <si>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</si>
  <si>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</si>
  <si>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</si>
  <si>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</si>
  <si>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</si>
  <si>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</si>
  <si>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</si>
  <si>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</si>
  <si>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</si>
  <si>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</si>
  <si>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</si>
  <si>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</si>
  <si>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</si>
  <si>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</si>
  <si>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</si>
  <si>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</si>
  <si>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</si>
  <si>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</si>
  <si>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</si>
  <si>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</si>
  <si>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</si>
  <si>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</si>
  <si>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</si>
  <si>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</si>
  <si>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</si>
  <si>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</si>
  <si>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</si>
  <si>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</si>
  <si>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</si>
  <si>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</si>
  <si>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</si>
  <si>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</si>
  <si>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</si>
  <si>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</si>
  <si>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</si>
  <si>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</si>
  <si>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</si>
  <si>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</si>
  <si>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</si>
  <si>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</si>
  <si>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</si>
  <si>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</si>
  <si>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</si>
  <si>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</si>
  <si>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</si>
  <si>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</si>
  <si>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</si>
  <si>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</si>
  <si>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</si>
  <si>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</si>
  <si>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</si>
  <si>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</si>
  <si>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</si>
  <si>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</si>
  <si>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</si>
  <si>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</si>
  <si>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</si>
  <si>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</si>
  <si>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</si>
  <si>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</si>
  <si>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</si>
  <si>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</si>
  <si>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</si>
  <si>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</si>
  <si>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</si>
  <si>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</si>
  <si>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</si>
  <si>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</si>
  <si>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</si>
  <si>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</si>
  <si>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</si>
  <si>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</si>
  <si>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</si>
  <si>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</si>
  <si>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</si>
  <si>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</si>
  <si>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</si>
  <si>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</si>
  <si>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</si>
  <si>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</si>
  <si>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</si>
  <si>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</si>
  <si>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</si>
  <si>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</si>
  <si>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</si>
  <si>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</si>
  <si>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</si>
  <si>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</si>
  <si>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</si>
  <si>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</si>
  <si>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</si>
  <si>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</si>
  <si>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</si>
  <si>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</si>
  <si>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</si>
  <si>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</si>
  <si>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</si>
  <si>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</si>
  <si>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</si>
  <si>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</si>
  <si>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</si>
  <si>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</si>
  <si>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</si>
  <si>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</si>
  <si>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</si>
  <si>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</si>
  <si>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</si>
  <si>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</si>
  <si>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</si>
  <si>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</si>
  <si>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</si>
  <si>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</si>
  <si>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</si>
  <si>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</si>
  <si>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</si>
  <si>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</si>
  <si>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</si>
  <si>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</si>
  <si>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</si>
  <si>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</si>
  <si>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</si>
  <si>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</si>
  <si>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</si>
  <si>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</si>
  <si>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</si>
  <si>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</si>
  <si>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</si>
  <si>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</si>
  <si>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</si>
  <si>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</si>
  <si>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</si>
  <si>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</si>
  <si>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</si>
  <si>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</si>
  <si>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</si>
  <si>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</si>
  <si>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</si>
  <si>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</si>
  <si>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</si>
  <si>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</si>
  <si>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</si>
  <si>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</si>
  <si>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</si>
  <si>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</si>
  <si>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</si>
  <si>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</si>
  <si>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</si>
  <si>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</si>
  <si>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</si>
  <si>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</si>
  <si>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</si>
  <si>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</si>
  <si>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</si>
  <si>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</si>
  <si>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</si>
  <si>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</si>
  <si>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</si>
  <si>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</si>
  <si>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</si>
  <si>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</si>
  <si>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</si>
  <si>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</si>
  <si>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</si>
  <si>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</si>
  <si>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</si>
  <si>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</si>
  <si>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</si>
  <si>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</si>
  <si>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</si>
  <si>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</si>
  <si>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</si>
  <si>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</si>
  <si>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</si>
  <si>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</si>
  <si>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</si>
  <si>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</si>
  <si>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</si>
  <si>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</si>
  <si>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</si>
  <si>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</si>
  <si>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</si>
  <si>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</si>
  <si>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</si>
  <si>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</si>
  <si>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</si>
  <si>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</si>
  <si>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</si>
  <si>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</si>
  <si>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</si>
  <si>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</si>
  <si>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</si>
  <si>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</si>
  <si>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</si>
  <si>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</si>
  <si>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</si>
  <si>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</si>
  <si>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</si>
  <si>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</si>
  <si>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</si>
  <si>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</si>
  <si>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</si>
  <si>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</si>
  <si>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</si>
  <si>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</si>
  <si>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</si>
  <si>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</si>
  <si>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</si>
  <si>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</si>
  <si>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</si>
  <si>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</si>
  <si>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</si>
  <si>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</si>
  <si>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</si>
  <si>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</si>
  <si>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</si>
  <si>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</si>
  <si>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</si>
  <si>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</si>
  <si>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</si>
  <si>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</si>
  <si>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</si>
  <si>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</si>
  <si>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</si>
  <si>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</si>
  <si>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</si>
  <si>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</si>
  <si>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</si>
  <si>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</si>
  <si>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</si>
  <si>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</si>
  <si>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</si>
  <si>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</si>
  <si>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</si>
  <si>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</si>
  <si>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</si>
  <si>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</si>
  <si>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</si>
  <si>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</si>
  <si>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</si>
  <si>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</si>
  <si>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</si>
  <si>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</si>
  <si>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</si>
  <si>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</si>
  <si>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</si>
  <si>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</si>
  <si>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</si>
  <si>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</si>
  <si>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</si>
  <si>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</si>
  <si>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</si>
  <si>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</si>
  <si>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</si>
  <si>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</si>
  <si>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</si>
  <si>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</si>
  <si>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</si>
  <si>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</si>
  <si>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</si>
  <si>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</si>
  <si>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</si>
  <si>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</si>
  <si>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</si>
  <si>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</si>
  <si>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</si>
  <si>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</si>
  <si>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</si>
  <si>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</si>
  <si>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</si>
  <si>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</si>
  <si>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</si>
  <si>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</si>
  <si>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</si>
  <si>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</si>
  <si>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</si>
  <si>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</si>
  <si>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</si>
  <si>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</si>
  <si>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</si>
  <si>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</si>
  <si>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</si>
  <si>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</si>
  <si>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</si>
  <si>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</si>
  <si>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</si>
  <si>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</si>
  <si>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</si>
  <si>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</si>
  <si>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</si>
  <si>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</si>
  <si>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</si>
  <si>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</si>
  <si>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</si>
  <si>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</si>
  <si>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</si>
  <si>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</si>
  <si>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</si>
  <si>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</si>
  <si>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</si>
  <si>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</si>
  <si>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</si>
  <si>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</si>
  <si>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</si>
  <si>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</si>
  <si>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</si>
  <si>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</si>
  <si>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</si>
  <si>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</si>
  <si>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</si>
  <si>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</si>
  <si>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</si>
  <si>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</si>
  <si>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</si>
  <si>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</si>
  <si>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</si>
  <si>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</si>
  <si>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</si>
  <si>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</si>
  <si>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</si>
  <si>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</si>
  <si>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</si>
  <si>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</si>
  <si>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</si>
  <si>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</si>
  <si>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</si>
  <si>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</si>
  <si>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</si>
  <si>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</si>
  <si>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</si>
  <si>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</si>
  <si>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</si>
  <si>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</si>
  <si>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</si>
  <si>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</si>
  <si>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</si>
  <si>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</si>
  <si>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</si>
  <si>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</si>
  <si>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</si>
  <si>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</si>
  <si>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</si>
  <si>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</si>
  <si>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</si>
  <si>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</si>
  <si>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</si>
  <si>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</si>
  <si>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</si>
  <si>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</si>
  <si>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</si>
  <si>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</si>
  <si>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</si>
  <si>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</si>
  <si>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</si>
  <si>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</si>
  <si>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</si>
  <si>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</si>
  <si>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</si>
  <si>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</si>
  <si>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</si>
  <si>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</si>
  <si>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</si>
  <si>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</si>
  <si>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</si>
  <si>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</si>
  <si>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</si>
  <si>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</si>
  <si>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</si>
  <si>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</si>
  <si>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</si>
  <si>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</si>
  <si>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</si>
  <si>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</si>
  <si>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</si>
  <si>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</si>
  <si>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</si>
  <si>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</si>
  <si>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</si>
  <si>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</si>
  <si>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</si>
  <si>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</si>
  <si>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</si>
  <si>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</si>
  <si>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</si>
  <si>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</si>
  <si>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</si>
  <si>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</si>
  <si>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</si>
  <si>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</si>
  <si>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</si>
  <si>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</si>
  <si>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</si>
  <si>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</si>
  <si>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</si>
  <si>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</si>
  <si>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</si>
  <si>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</si>
  <si>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</si>
  <si>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</si>
  <si>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</si>
  <si>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</si>
  <si>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</si>
  <si>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</si>
  <si>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</si>
  <si>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</si>
  <si>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</si>
  <si>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</si>
  <si>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</si>
  <si>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</si>
  <si>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</si>
  <si>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</si>
  <si>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</si>
  <si>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</si>
  <si>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</si>
  <si>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</si>
  <si>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</si>
  <si>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</si>
  <si>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</si>
  <si>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</si>
  <si>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</si>
  <si>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</si>
  <si>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</si>
  <si>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</si>
  <si>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</si>
  <si>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</si>
  <si>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</si>
  <si>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</si>
  <si>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</si>
  <si>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</si>
  <si>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</si>
  <si>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</si>
  <si>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</si>
  <si>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</si>
  <si>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</si>
  <si>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</si>
  <si>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</si>
  <si>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</si>
  <si>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</si>
  <si>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</si>
  <si>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</si>
  <si>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</si>
  <si>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</si>
  <si>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</si>
  <si>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</si>
  <si>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</si>
  <si>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</si>
  <si>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</si>
  <si>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</si>
  <si>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</si>
  <si>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</si>
  <si>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</si>
  <si>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</si>
  <si>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</si>
  <si>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</si>
  <si>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</si>
  <si>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</si>
  <si>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</si>
  <si>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</si>
  <si>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</si>
  <si>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</si>
  <si>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</si>
  <si>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</si>
  <si>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</si>
  <si>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</si>
  <si>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</si>
  <si>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</si>
  <si>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</si>
  <si>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</si>
  <si>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</si>
  <si>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</si>
  <si>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</si>
  <si>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</si>
  <si>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</si>
  <si>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</si>
  <si>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</si>
  <si>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</si>
  <si>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</si>
  <si>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</si>
  <si>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</si>
  <si>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</si>
  <si>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</si>
  <si>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</si>
  <si>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</si>
  <si>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</si>
  <si>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</si>
  <si>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</si>
  <si>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</si>
  <si>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</si>
  <si>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</si>
  <si>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</si>
  <si>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</si>
  <si>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</si>
  <si>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</si>
  <si>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</si>
  <si>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</si>
  <si>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</si>
  <si>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</si>
  <si>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</si>
  <si>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</si>
  <si>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</si>
  <si>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</si>
  <si>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</si>
  <si>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</si>
  <si>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</si>
  <si>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</si>
  <si>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</si>
  <si>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</si>
  <si>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</si>
  <si>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</si>
  <si>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</si>
  <si>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</si>
  <si>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</si>
  <si>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</si>
  <si>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</si>
  <si>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</si>
  <si>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</si>
  <si>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</si>
  <si>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</si>
  <si>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</si>
  <si>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</si>
  <si>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</si>
  <si>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</si>
  <si>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</si>
  <si>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</si>
  <si>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</si>
  <si>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</si>
  <si>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</si>
  <si>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</si>
  <si>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</si>
  <si>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</si>
  <si>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</si>
  <si>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</si>
  <si>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</si>
  <si>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</si>
  <si>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</si>
  <si>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</si>
  <si>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</si>
  <si>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</si>
  <si>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</si>
  <si>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</si>
  <si>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</si>
  <si>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</si>
  <si>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</si>
  <si>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</si>
  <si>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</si>
  <si>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</si>
  <si>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</si>
  <si>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</si>
  <si>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</si>
  <si>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</si>
  <si>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</si>
  <si>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</si>
  <si>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</si>
  <si>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</si>
  <si>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</si>
  <si>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</si>
  <si>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</si>
  <si>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</si>
  <si>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</si>
  <si>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</si>
  <si>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</si>
  <si>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</si>
  <si>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</si>
  <si>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</si>
  <si>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</si>
  <si>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</si>
  <si>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</si>
  <si>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</si>
  <si>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</si>
  <si>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</si>
  <si>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</si>
  <si>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</si>
  <si>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</si>
  <si>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</si>
  <si>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</si>
  <si>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</si>
  <si>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</si>
  <si>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</si>
  <si>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</si>
  <si>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</si>
  <si>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</si>
  <si>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</si>
  <si>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</si>
  <si>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</si>
  <si>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</si>
  <si>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</si>
  <si>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</si>
  <si>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</si>
  <si>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</si>
  <si>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</si>
  <si>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</si>
  <si>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</si>
  <si>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</si>
  <si>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</si>
  <si>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</si>
  <si>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</si>
  <si>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</si>
  <si>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</si>
  <si>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</si>
  <si>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</si>
  <si>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</si>
  <si>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</si>
  <si>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</si>
  <si>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</si>
  <si>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</si>
  <si>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</si>
  <si>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</si>
  <si>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</si>
  <si>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</si>
  <si>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</si>
  <si>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</si>
  <si>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</si>
  <si>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</si>
  <si>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</si>
  <si>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</si>
  <si>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</si>
  <si>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</si>
  <si>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</si>
  <si>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</si>
  <si>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</si>
  <si>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</si>
  <si>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</si>
  <si>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</si>
  <si>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</si>
  <si>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</si>
  <si>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</si>
  <si>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</si>
  <si>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</si>
  <si>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</si>
  <si>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</si>
  <si>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</si>
  <si>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</si>
  <si>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</si>
  <si>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</si>
  <si>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</si>
  <si>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</si>
  <si>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</si>
  <si>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</si>
  <si>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</si>
  <si>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</si>
  <si>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</si>
  <si>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</si>
  <si>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</si>
  <si>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</si>
  <si>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</si>
  <si>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</si>
  <si>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</si>
  <si>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</si>
  <si>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</si>
  <si>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</si>
  <si>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</si>
  <si>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</si>
  <si>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</si>
  <si>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</si>
  <si>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</si>
  <si>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</si>
  <si>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</si>
  <si>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</si>
  <si>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</si>
  <si>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</si>
  <si>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</si>
  <si>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</si>
  <si>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</si>
  <si>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</si>
  <si>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</si>
  <si>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</si>
  <si>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</si>
  <si>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</si>
  <si>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</si>
  <si>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</si>
  <si>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</si>
  <si>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</si>
  <si>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</si>
  <si>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</si>
  <si>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</si>
  <si>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</si>
  <si>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</si>
  <si>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</si>
  <si>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</si>
  <si>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</si>
  <si>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</si>
  <si>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</si>
  <si>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</si>
  <si>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</si>
  <si>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</si>
  <si>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</si>
  <si>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</si>
  <si>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</si>
  <si>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</si>
  <si>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</si>
  <si>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</si>
  <si>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</si>
  <si>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</si>
  <si>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</si>
  <si>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</si>
  <si>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</si>
  <si>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</si>
  <si>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</si>
  <si>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</si>
  <si>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</si>
  <si>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</si>
  <si>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</si>
  <si>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</si>
  <si>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</si>
  <si>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</si>
  <si>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</si>
  <si>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</si>
  <si>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</si>
  <si>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</si>
  <si>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</si>
  <si>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</si>
  <si>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</si>
  <si>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</si>
  <si>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</si>
  <si>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</si>
  <si>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</si>
  <si>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</si>
  <si>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</si>
  <si>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</si>
  <si>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</si>
  <si>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</si>
  <si>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</si>
  <si>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</si>
  <si>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</si>
  <si>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</si>
  <si>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</si>
  <si>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</si>
  <si>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</si>
  <si>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</si>
  <si>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</si>
  <si>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</si>
  <si>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</si>
  <si>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</si>
  <si>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</si>
  <si>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</si>
  <si>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</si>
  <si>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</si>
  <si>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</si>
  <si>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</si>
  <si>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</si>
  <si>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</si>
  <si>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</si>
  <si>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</si>
  <si>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</si>
  <si>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</si>
  <si>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</si>
  <si>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</si>
  <si>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</si>
  <si>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</si>
  <si>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</si>
  <si>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</si>
  <si>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</si>
  <si>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</si>
  <si>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</si>
  <si>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</si>
  <si>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</si>
  <si>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</si>
  <si>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</si>
  <si>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</si>
  <si>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</si>
  <si>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</si>
  <si>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</si>
  <si>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</si>
  <si>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</si>
  <si>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</si>
  <si>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</si>
  <si>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</si>
  <si>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</si>
  <si>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</si>
  <si>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</si>
  <si>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</si>
  <si>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</si>
  <si>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</si>
  <si>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</si>
  <si>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</si>
  <si>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</si>
  <si>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</si>
  <si>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</si>
  <si>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</si>
  <si>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</si>
  <si>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</si>
  <si>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</si>
  <si>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</si>
  <si>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</si>
  <si>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</si>
  <si>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</si>
  <si>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</si>
  <si>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</si>
  <si>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</si>
  <si>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</si>
  <si>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</si>
  <si>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</si>
  <si>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</si>
  <si>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</si>
  <si>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</si>
  <si>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</si>
  <si>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</si>
  <si>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</si>
  <si>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</si>
  <si>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</si>
  <si>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</si>
  <si>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</si>
  <si>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</si>
  <si>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</si>
  <si>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</si>
  <si>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</si>
  <si>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</si>
  <si>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</si>
  <si>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</si>
  <si>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</si>
  <si>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</si>
  <si>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</si>
  <si>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</si>
  <si>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</si>
  <si>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</si>
  <si>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</si>
  <si>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</si>
  <si>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</si>
  <si>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</si>
  <si>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</si>
  <si>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</si>
  <si>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</si>
  <si>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</si>
  <si>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</si>
  <si>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</si>
  <si>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</si>
  <si>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</si>
  <si>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</si>
  <si>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</si>
  <si>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</si>
  <si>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</si>
  <si>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</si>
  <si>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</si>
  <si>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</si>
  <si>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</si>
  <si>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</si>
  <si>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</si>
  <si>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</si>
  <si>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</si>
  <si>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</si>
  <si>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</si>
  <si>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</si>
  <si>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</si>
  <si>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</si>
  <si>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</si>
  <si>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</si>
  <si>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</si>
  <si>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</si>
  <si>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</si>
  <si>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</si>
  <si>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</si>
  <si>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</si>
  <si>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</si>
  <si>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</si>
  <si>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</si>
  <si>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</si>
  <si>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</si>
  <si>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</si>
  <si>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</si>
  <si>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</si>
  <si>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</si>
  <si>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</si>
  <si>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</si>
  <si>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</si>
  <si>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</si>
  <si>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</si>
  <si>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</si>
  <si>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</si>
  <si>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</si>
  <si>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</si>
  <si>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</si>
  <si>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</si>
  <si>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</si>
  <si>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</si>
  <si>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</si>
  <si>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</si>
  <si>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</si>
  <si>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</si>
  <si>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</si>
  <si>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</si>
  <si>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</si>
  <si>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</si>
  <si>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</si>
  <si>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</si>
  <si>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</si>
  <si>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</si>
  <si>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</si>
  <si>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</si>
  <si>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</si>
  <si>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</si>
  <si>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</si>
  <si>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</si>
  <si>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</si>
  <si>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</si>
  <si>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</si>
  <si>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</si>
  <si>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</si>
  <si>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</si>
  <si>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</si>
  <si>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</si>
  <si>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</si>
  <si>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</si>
  <si>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</si>
  <si>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</si>
  <si>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</si>
  <si>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</si>
  <si>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</si>
  <si>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</si>
  <si>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</si>
  <si>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</si>
  <si>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</si>
  <si>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</si>
  <si>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</si>
  <si>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</si>
  <si>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</si>
  <si>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</si>
  <si>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</si>
  <si>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</si>
  <si>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</si>
  <si>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</si>
  <si>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</si>
  <si>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</si>
  <si>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</si>
  <si>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</si>
  <si>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</si>
  <si>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</si>
  <si>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</si>
  <si>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</si>
  <si>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</si>
  <si>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</si>
  <si>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</si>
  <si>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</si>
  <si>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</si>
  <si>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</si>
  <si>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</si>
  <si>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</si>
  <si>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</si>
  <si>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</si>
  <si>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</si>
  <si>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</si>
  <si>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</si>
  <si>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</si>
  <si>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</si>
  <si>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</si>
  <si>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</si>
  <si>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</si>
  <si>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</si>
  <si>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</si>
  <si>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</si>
  <si>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</si>
  <si>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</si>
  <si>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</si>
  <si>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</si>
  <si>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</si>
  <si>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</si>
  <si>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</si>
  <si>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</si>
  <si>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</si>
  <si>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</si>
  <si>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</si>
  <si>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</si>
  <si>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</si>
  <si>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</si>
  <si>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</si>
  <si>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</si>
  <si>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</si>
  <si>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</si>
  <si>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</si>
  <si>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</si>
  <si>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</si>
  <si>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</si>
  <si>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</si>
  <si>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</si>
  <si>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</si>
  <si>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</si>
  <si>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</si>
  <si>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</si>
  <si>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</si>
  <si>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</si>
  <si>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</si>
  <si>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</si>
  <si>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</si>
  <si>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</si>
  <si>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</si>
  <si>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</si>
  <si>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</si>
  <si>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</si>
  <si>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</si>
  <si>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</si>
  <si>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</si>
  <si>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</si>
  <si>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</si>
  <si>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</si>
  <si>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</si>
  <si>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</si>
  <si>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</si>
  <si>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</si>
  <si>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</si>
  <si>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</si>
  <si>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</si>
  <si>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</si>
  <si>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</si>
  <si>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</si>
  <si>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</si>
  <si>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</si>
  <si>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</si>
  <si>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</si>
  <si>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</si>
  <si>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</si>
  <si>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</si>
  <si>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</si>
  <si>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</si>
  <si>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</si>
  <si>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</si>
  <si>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</si>
  <si>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</si>
  <si>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</si>
  <si>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</si>
  <si>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</si>
  <si>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</si>
  <si>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</si>
  <si>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</si>
  <si>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</si>
  <si>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</si>
  <si>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</si>
  <si>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</si>
  <si>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</si>
  <si>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</si>
  <si>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</si>
  <si>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</si>
  <si>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</si>
  <si>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</si>
  <si>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</si>
  <si>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</si>
  <si>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</si>
  <si>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</si>
  <si>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</si>
  <si>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</si>
  <si>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</si>
  <si>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</si>
  <si>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</si>
  <si>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</si>
  <si>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</si>
  <si>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</si>
  <si>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</si>
  <si>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</si>
  <si>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</si>
  <si>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</si>
  <si>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</si>
  <si>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</si>
  <si>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</si>
  <si>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</si>
  <si>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</si>
  <si>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</si>
  <si>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</si>
  <si>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</si>
  <si>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</si>
  <si>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</si>
  <si>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</si>
  <si>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</si>
  <si>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</si>
  <si>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</si>
  <si>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</si>
  <si>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</si>
  <si>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</si>
  <si>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</si>
  <si>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</si>
  <si>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</si>
  <si>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</si>
  <si>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</si>
  <si>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</si>
  <si>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</si>
  <si>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</si>
  <si>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</si>
  <si>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</si>
  <si>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</si>
  <si>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</si>
  <si>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</si>
  <si>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</si>
  <si>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</si>
  <si>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</si>
  <si>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</si>
  <si>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</si>
  <si>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</si>
  <si>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</si>
  <si>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</si>
  <si>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</si>
  <si>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</si>
  <si>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</si>
  <si>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</si>
  <si>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</si>
  <si>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</si>
  <si>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</si>
  <si>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</si>
  <si>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</si>
  <si>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</si>
  <si>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</si>
  <si>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</si>
  <si>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</si>
  <si>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</si>
  <si>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</si>
  <si>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</si>
  <si>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</si>
  <si>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</si>
  <si>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</si>
  <si>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</si>
  <si>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</si>
  <si>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</si>
  <si>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</si>
  <si>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</si>
  <si>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</si>
  <si>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</si>
  <si>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</si>
  <si>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</si>
  <si>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</si>
  <si>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</si>
  <si>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</si>
  <si>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</si>
  <si>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</si>
  <si>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</si>
  <si>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</si>
  <si>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</si>
  <si>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</si>
  <si>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</si>
  <si>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</si>
  <si>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</si>
  <si>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</si>
  <si>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</si>
  <si>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</si>
  <si>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</si>
  <si>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</si>
  <si>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</si>
  <si>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</si>
  <si>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</si>
  <si>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</si>
  <si>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</si>
  <si>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</si>
  <si>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</si>
  <si>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</si>
  <si>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</si>
  <si>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</si>
  <si>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</si>
  <si>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</si>
  <si>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</si>
  <si>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</si>
  <si>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</si>
  <si>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</si>
  <si>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</si>
  <si>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</si>
  <si>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</si>
  <si>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</si>
  <si>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</si>
  <si>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</si>
  <si>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</si>
  <si>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</si>
  <si>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</si>
  <si>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</si>
  <si>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</si>
  <si>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</si>
  <si>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</si>
  <si>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</si>
  <si>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</si>
  <si>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</si>
  <si>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</si>
  <si>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</si>
  <si>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</si>
  <si>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</si>
  <si>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</si>
  <si>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</si>
  <si>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</si>
  <si>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</si>
  <si>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</si>
  <si>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</si>
  <si>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</si>
  <si>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</si>
  <si>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</si>
  <si>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</si>
  <si>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</si>
  <si>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</si>
  <si>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</si>
  <si>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</si>
  <si>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</si>
  <si>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</si>
  <si>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</si>
  <si>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</si>
  <si>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</si>
  <si>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</si>
  <si>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</si>
  <si>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</si>
  <si>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</si>
  <si>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</si>
  <si>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</si>
  <si>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</si>
  <si>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</si>
  <si>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</si>
  <si>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</si>
  <si>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</si>
  <si>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</si>
  <si>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</si>
  <si>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</si>
  <si>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</si>
  <si>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</si>
  <si>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</si>
  <si>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</si>
  <si>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</si>
  <si>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</si>
  <si>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</si>
  <si>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</si>
  <si>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</si>
  <si>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</si>
  <si>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</si>
  <si>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</si>
  <si>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</si>
  <si>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</si>
  <si>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</si>
  <si>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</si>
  <si>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</si>
  <si>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</si>
  <si>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</si>
  <si>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</si>
  <si>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</si>
  <si>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</si>
  <si>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</si>
  <si>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</si>
  <si>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</si>
  <si>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</si>
  <si>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</si>
  <si>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</si>
  <si>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</si>
  <si>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</si>
  <si>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</si>
  <si>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</si>
  <si>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</si>
  <si>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</si>
  <si>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</si>
  <si>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</si>
  <si>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</si>
  <si>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</si>
  <si>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</si>
  <si>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</si>
  <si>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</si>
  <si>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</si>
  <si>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</si>
  <si>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</si>
  <si>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</si>
  <si>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</si>
  <si>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</si>
  <si>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</si>
  <si>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</si>
  <si>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</si>
  <si>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</si>
  <si>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</si>
  <si>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</si>
  <si>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</si>
  <si>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</si>
  <si>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</si>
  <si>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</si>
  <si>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</si>
  <si>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</si>
  <si>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</si>
  <si>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</si>
  <si>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</si>
  <si>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</si>
  <si>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</si>
  <si>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</si>
  <si>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</si>
  <si>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</si>
  <si>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</si>
  <si>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</si>
  <si>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</si>
  <si>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</si>
  <si>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</si>
  <si>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</si>
  <si>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</si>
  <si>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</si>
  <si>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</si>
  <si>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</si>
  <si>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</si>
  <si>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</si>
  <si>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</si>
  <si>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</si>
  <si>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</si>
  <si>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</si>
  <si>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</si>
  <si>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</si>
  <si>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</si>
  <si>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</si>
  <si>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</si>
  <si>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</si>
  <si>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</si>
  <si>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</si>
  <si>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</si>
  <si>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</si>
  <si>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</si>
  <si>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</si>
  <si>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</si>
  <si>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</si>
  <si>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</si>
  <si>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</si>
  <si>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</si>
  <si>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</si>
  <si>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</si>
  <si>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</si>
  <si>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</si>
  <si>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</si>
  <si>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</si>
  <si>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</si>
  <si>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</si>
  <si>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</si>
  <si>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</si>
  <si>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</si>
  <si>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</si>
  <si>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</si>
  <si>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</si>
  <si>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</si>
  <si>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</si>
  <si>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</si>
  <si>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</si>
  <si>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</si>
  <si>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</si>
  <si>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</si>
  <si>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</si>
  <si>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</si>
  <si>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</si>
  <si>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</si>
  <si>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</si>
  <si>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</si>
  <si>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</si>
  <si>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</si>
  <si>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</si>
  <si>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</si>
  <si>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</si>
  <si>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</si>
  <si>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</si>
  <si>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</si>
  <si>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</si>
  <si>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</si>
  <si>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</si>
  <si>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</si>
  <si>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</si>
  <si>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</si>
  <si>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</si>
  <si>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</si>
  <si>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</si>
  <si>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</si>
  <si>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</si>
  <si>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</si>
  <si>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</si>
  <si>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</si>
  <si>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</si>
  <si>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</si>
  <si>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</si>
  <si>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</si>
  <si>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</si>
  <si>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</si>
  <si>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</si>
  <si>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</si>
  <si>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</si>
  <si>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</si>
  <si>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</si>
  <si>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</si>
  <si>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</si>
  <si>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</si>
  <si>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</si>
  <si>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</si>
  <si>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</si>
  <si>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</si>
  <si>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</si>
  <si>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</si>
  <si>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</si>
  <si>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</si>
  <si>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</si>
  <si>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</si>
  <si>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</si>
  <si>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</si>
  <si>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</si>
  <si>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</si>
  <si>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</si>
  <si>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</si>
  <si>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</si>
  <si>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</si>
  <si>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</si>
  <si>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</si>
  <si>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</si>
  <si>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</si>
  <si>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</si>
  <si>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</si>
  <si>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</si>
  <si>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</si>
  <si>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</si>
  <si>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</si>
  <si>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</si>
  <si>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</si>
  <si>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</si>
  <si>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</si>
  <si>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</si>
  <si>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</si>
  <si>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</si>
  <si>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</si>
  <si>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</si>
  <si>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</si>
  <si>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</si>
  <si>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</si>
  <si>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</si>
  <si>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</si>
  <si>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</si>
  <si>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</si>
  <si>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</si>
  <si>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</si>
  <si>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</si>
  <si>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</si>
  <si>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</si>
  <si>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</si>
  <si>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</si>
  <si>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</si>
  <si>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</si>
  <si>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</si>
  <si>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</si>
  <si>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</si>
  <si>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</si>
  <si>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</si>
  <si>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</si>
  <si>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</si>
  <si>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</si>
  <si>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</si>
  <si>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</si>
  <si>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</si>
  <si>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</si>
  <si>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</si>
  <si>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</si>
  <si>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</si>
  <si>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</si>
  <si>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</si>
  <si>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</si>
  <si>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</si>
  <si>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</si>
  <si>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</si>
  <si>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</si>
  <si>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</si>
  <si>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</si>
  <si>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</si>
  <si>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</si>
  <si>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</si>
  <si>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</si>
  <si>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</si>
  <si>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</si>
  <si>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</si>
  <si>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</si>
  <si>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</si>
  <si>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</si>
  <si>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</si>
  <si>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</si>
  <si>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</si>
  <si>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</si>
  <si>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</si>
  <si>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</si>
  <si>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</si>
  <si>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</si>
  <si>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</si>
  <si>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</si>
  <si>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</si>
  <si>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</si>
  <si>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</si>
  <si>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</si>
  <si>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</si>
  <si>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</si>
  <si>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</si>
  <si>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</si>
  <si>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</si>
  <si>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</si>
  <si>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</si>
  <si>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</si>
  <si>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</si>
  <si>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</si>
  <si>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</si>
  <si>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</si>
  <si>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</si>
  <si>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</si>
  <si>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</si>
  <si>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</si>
  <si>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</si>
  <si>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</si>
  <si>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</si>
  <si>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</si>
  <si>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</si>
  <si>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</si>
  <si>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</si>
  <si>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</si>
  <si>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</si>
  <si>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</si>
  <si>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</si>
  <si>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</si>
  <si>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</si>
  <si>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</si>
  <si>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</si>
  <si>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</si>
  <si>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</si>
  <si>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</si>
  <si>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</si>
  <si>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</si>
  <si>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</si>
  <si>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</si>
  <si>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</si>
  <si>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</si>
  <si>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</si>
  <si>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</si>
  <si>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</si>
  <si>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</si>
  <si>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</si>
  <si>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</si>
  <si>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</si>
  <si>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</si>
  <si>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</si>
  <si>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</si>
  <si>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</si>
  <si>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</si>
  <si>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</si>
  <si>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</si>
  <si>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</si>
  <si>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</si>
  <si>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</si>
  <si>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</si>
  <si>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</si>
  <si>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</si>
  <si>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</si>
  <si>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</si>
  <si>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</si>
  <si>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</si>
  <si>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</si>
  <si>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</si>
  <si>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</si>
  <si>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</si>
  <si>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</si>
  <si>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</si>
  <si>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</si>
  <si>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</si>
  <si>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</si>
  <si>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</si>
  <si>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</si>
  <si>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</si>
  <si>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</si>
  <si>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</si>
  <si>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</si>
  <si>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</si>
  <si>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</si>
  <si>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</si>
  <si>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</si>
  <si>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</si>
  <si>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</si>
  <si>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</si>
  <si>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</si>
  <si>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</si>
  <si>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</si>
  <si>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</si>
  <si>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</si>
  <si>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</si>
  <si>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</si>
  <si>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</si>
  <si>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</si>
  <si>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</si>
  <si>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</si>
  <si>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</si>
  <si>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</si>
  <si>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</si>
  <si>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</si>
  <si>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</si>
  <si>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</si>
  <si>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</si>
  <si>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</si>
  <si>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</si>
  <si>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</si>
  <si>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</si>
  <si>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</si>
  <si>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</si>
  <si>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</si>
  <si>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</si>
  <si>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</si>
  <si>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</si>
  <si>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</si>
  <si>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</si>
  <si>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</si>
  <si>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</si>
  <si>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</si>
  <si>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</si>
  <si>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</si>
  <si>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</si>
  <si>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</si>
  <si>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</si>
  <si>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</si>
  <si>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</si>
  <si>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</si>
  <si>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</si>
  <si>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</si>
  <si>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</si>
  <si>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</si>
  <si>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</si>
  <si>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</si>
  <si>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</si>
  <si>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</si>
  <si>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</si>
  <si>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</si>
  <si>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</si>
  <si>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</si>
  <si>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</si>
  <si>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</si>
  <si>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</si>
  <si>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</si>
  <si>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</si>
  <si>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</si>
  <si>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</si>
  <si>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</si>
  <si>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</si>
  <si>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</si>
  <si>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</si>
  <si>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</si>
  <si>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</si>
  <si>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</si>
  <si>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</si>
  <si>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</si>
  <si>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</si>
  <si>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</si>
  <si>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</si>
  <si>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</si>
  <si>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</si>
  <si>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</si>
  <si>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</si>
  <si>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</si>
  <si>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</si>
  <si>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</si>
  <si>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</si>
  <si>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</si>
  <si>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</si>
  <si>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</si>
  <si>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</si>
  <si>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</si>
  <si>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</si>
  <si>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</si>
  <si>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</si>
  <si>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</si>
  <si>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</si>
  <si>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</si>
  <si>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</si>
  <si>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</si>
  <si>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</si>
  <si>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</si>
  <si>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</si>
  <si>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</si>
  <si>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</si>
  <si>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</si>
  <si>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</si>
  <si>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</si>
  <si>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</si>
  <si>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</si>
  <si>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</si>
  <si>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</si>
  <si>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</si>
  <si>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</si>
  <si>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</si>
  <si>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</si>
  <si>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</si>
  <si>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</si>
  <si>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</si>
  <si>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</si>
  <si>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</si>
  <si>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</si>
  <si>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</si>
  <si>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</si>
  <si>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</si>
  <si>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</si>
  <si>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</si>
  <si>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</si>
  <si>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</si>
  <si>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</si>
  <si>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</si>
  <si>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</si>
  <si>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</si>
  <si>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</si>
  <si>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</si>
  <si>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</si>
  <si>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</si>
  <si>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</si>
  <si>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</si>
  <si>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</si>
  <si>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</si>
  <si>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</si>
  <si>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</si>
  <si>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</si>
  <si>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</si>
  <si>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</si>
  <si>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</si>
  <si>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</si>
  <si>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</si>
  <si>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</si>
  <si>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</si>
  <si>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</si>
  <si>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</si>
  <si>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</si>
  <si>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</si>
  <si>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</si>
  <si>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</si>
  <si>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</si>
  <si>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</si>
  <si>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</si>
  <si>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</si>
  <si>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</si>
  <si>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</si>
  <si>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</si>
  <si>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</si>
  <si>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</si>
  <si>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</si>
  <si>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</si>
  <si>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</si>
  <si>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</si>
  <si>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</si>
  <si>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</si>
  <si>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</si>
  <si>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</si>
  <si>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</si>
  <si>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</si>
  <si>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</si>
  <si>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</si>
  <si>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</si>
  <si>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</si>
  <si>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</si>
  <si>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</si>
  <si>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</si>
  <si>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</si>
  <si>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</si>
  <si>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</si>
  <si>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</si>
  <si>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</si>
  <si>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</si>
  <si>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</si>
  <si>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</si>
  <si>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</si>
  <si>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</si>
  <si>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</si>
  <si>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</si>
  <si>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</si>
  <si>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</si>
  <si>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</si>
  <si>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</si>
  <si>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</si>
  <si>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</si>
  <si>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</si>
  <si>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</si>
  <si>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</si>
  <si>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</si>
  <si>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</si>
  <si>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</si>
  <si>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</si>
  <si>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</si>
  <si>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</si>
  <si>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</si>
  <si>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</si>
  <si>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</si>
  <si>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</si>
  <si>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</si>
  <si>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</si>
  <si>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</si>
  <si>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</si>
  <si>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</si>
  <si>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</si>
  <si>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</si>
  <si>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</si>
  <si>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</si>
  <si>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</si>
  <si>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</si>
  <si>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</si>
  <si>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</si>
  <si>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</si>
  <si>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</si>
  <si>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</si>
  <si>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</si>
  <si>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</si>
  <si>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</si>
  <si>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</si>
  <si>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</si>
  <si>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</si>
  <si>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</si>
  <si>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</si>
  <si>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</si>
  <si>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</si>
  <si>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</si>
  <si>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</si>
  <si>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</si>
  <si>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</si>
  <si>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</si>
  <si>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</si>
  <si>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</si>
  <si>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</si>
  <si>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</si>
  <si>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</si>
  <si>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</si>
  <si>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</si>
  <si>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</si>
  <si>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</si>
  <si>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</si>
  <si>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</si>
  <si>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</si>
  <si>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</si>
  <si>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</si>
  <si>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</si>
  <si>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</si>
  <si>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</si>
  <si>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</si>
  <si>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</si>
  <si>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</si>
  <si>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</si>
  <si>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</si>
  <si>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</si>
  <si>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</si>
  <si>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</si>
  <si>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</si>
  <si>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</si>
  <si>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</si>
  <si>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</si>
  <si>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</si>
  <si>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</si>
  <si>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</si>
  <si>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</si>
  <si>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</si>
  <si>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</si>
  <si>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</si>
  <si>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</si>
  <si>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</si>
  <si>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</si>
  <si>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</si>
  <si>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</si>
  <si>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</si>
  <si>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</si>
  <si>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</si>
  <si>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</si>
  <si>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</si>
  <si>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</si>
  <si>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</si>
  <si>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</si>
  <si>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</si>
  <si>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</si>
  <si>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</si>
  <si>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</si>
  <si>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</si>
  <si>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</si>
  <si>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</si>
  <si>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</si>
  <si>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</si>
  <si>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</si>
  <si>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</si>
  <si>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</si>
  <si>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</si>
  <si>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</si>
  <si>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</si>
  <si>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</si>
  <si>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</si>
  <si>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</si>
  <si>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</si>
  <si>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</si>
  <si>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</si>
  <si>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</si>
  <si>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</si>
  <si>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</si>
  <si>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</si>
  <si>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</si>
  <si>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</si>
  <si>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</si>
  <si>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</si>
  <si>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</si>
  <si>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</si>
  <si>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</si>
  <si>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</si>
  <si>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</si>
  <si>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</si>
  <si>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</si>
  <si>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</si>
  <si>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</si>
  <si>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</si>
  <si>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</si>
  <si>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</si>
  <si>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</si>
  <si>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</si>
  <si>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</si>
  <si>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</si>
  <si>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</si>
  <si>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</si>
  <si>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</si>
  <si>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</si>
  <si>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</si>
  <si>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</si>
  <si>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</si>
  <si>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</si>
  <si>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</si>
  <si>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</si>
  <si>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</si>
  <si>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</si>
  <si>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</si>
  <si>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</si>
  <si>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</si>
  <si>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</si>
  <si>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</si>
  <si>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</si>
  <si>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</si>
  <si>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</si>
  <si>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</si>
  <si>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</si>
  <si>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</si>
  <si>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</si>
  <si>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</si>
  <si>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</si>
  <si>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</si>
  <si>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</si>
  <si>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</si>
  <si>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</si>
  <si>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</si>
  <si>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</si>
  <si>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</si>
  <si>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</si>
  <si>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</si>
  <si>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</si>
  <si>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</si>
  <si>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</si>
  <si>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</si>
  <si>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</si>
  <si>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</si>
  <si>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</si>
  <si>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</si>
  <si>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</si>
  <si>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</si>
  <si>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</si>
  <si>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</si>
  <si>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</si>
  <si>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</si>
  <si>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</si>
  <si>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</si>
  <si>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</si>
  <si>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</si>
  <si>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</si>
  <si>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</si>
  <si>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</si>
  <si>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</si>
  <si>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</si>
  <si>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</si>
  <si>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</si>
  <si>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</si>
  <si>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</si>
  <si>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</si>
  <si>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</si>
  <si>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</si>
  <si>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</si>
  <si>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</si>
  <si>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</si>
  <si>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</si>
  <si>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</si>
  <si>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</si>
  <si>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</si>
  <si>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</si>
  <si>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</si>
  <si>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</si>
  <si>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</si>
  <si>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</si>
  <si>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</si>
  <si>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</si>
  <si>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</si>
  <si>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</si>
  <si>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</si>
  <si>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</si>
  <si>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</si>
  <si>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</si>
  <si>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</si>
  <si>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</si>
  <si>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</si>
  <si>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</si>
  <si>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</si>
  <si>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</si>
  <si>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</si>
  <si>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</si>
  <si>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</si>
  <si>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</si>
  <si>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</si>
  <si>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</si>
  <si>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</si>
  <si>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</si>
  <si>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</si>
  <si>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</si>
  <si>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</si>
  <si>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</si>
  <si>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</si>
  <si>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</si>
  <si>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</si>
  <si>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</si>
  <si>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</si>
  <si>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</si>
  <si>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</si>
  <si>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</si>
  <si>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</si>
  <si>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</si>
  <si>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</si>
  <si>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</si>
  <si>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</si>
  <si>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</si>
  <si>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</si>
  <si>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</si>
  <si>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</si>
  <si>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</si>
  <si>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</si>
  <si>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</si>
  <si>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</si>
  <si>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</si>
  <si>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</si>
  <si>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</si>
  <si>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</si>
  <si>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</si>
  <si>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</si>
  <si>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</si>
  <si>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</si>
  <si>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</si>
  <si>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</si>
  <si>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</si>
  <si>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</si>
  <si>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</si>
  <si>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</si>
  <si>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</si>
  <si>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</si>
  <si>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</si>
  <si>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</si>
  <si>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</si>
  <si>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</si>
  <si>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</si>
  <si>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</si>
  <si>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</si>
  <si>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</si>
  <si>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</si>
  <si>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</si>
  <si>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</si>
  <si>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</si>
  <si>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</si>
  <si>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</si>
  <si>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</si>
  <si>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</si>
  <si>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</si>
  <si>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</si>
  <si>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</si>
  <si>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</si>
  <si>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</si>
  <si>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</si>
  <si>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</si>
  <si>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</si>
  <si>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</si>
  <si>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</si>
  <si>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</si>
  <si>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</si>
  <si>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</si>
  <si>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</si>
  <si>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</si>
  <si>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</si>
  <si>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</si>
  <si>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</si>
  <si>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</si>
  <si>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</si>
  <si>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</si>
  <si>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</si>
  <si>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</si>
  <si>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</si>
  <si>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</si>
  <si>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</si>
  <si>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</si>
  <si>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</si>
  <si>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</si>
  <si>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</si>
  <si>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</si>
  <si>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</si>
  <si>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</si>
  <si>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</si>
  <si>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</si>
  <si>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</si>
  <si>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</si>
  <si>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</si>
  <si>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</si>
  <si>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</si>
  <si>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</si>
  <si>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</si>
  <si>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</si>
  <si>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</si>
  <si>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</si>
  <si>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</si>
  <si>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</si>
  <si>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</si>
  <si>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</si>
  <si>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</si>
  <si>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</si>
  <si>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</si>
  <si>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</si>
  <si>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</si>
  <si>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</si>
  <si>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</si>
  <si>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</si>
  <si>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</si>
  <si>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</si>
  <si>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</si>
  <si>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</si>
  <si>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</si>
  <si>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</si>
  <si>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</si>
  <si>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</si>
  <si>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</si>
  <si>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</si>
  <si>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</si>
  <si>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</si>
  <si>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</si>
  <si>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</si>
  <si>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</si>
  <si>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</si>
  <si>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</si>
  <si>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</si>
  <si>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</si>
  <si>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</si>
  <si>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</si>
  <si>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</si>
  <si>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</si>
  <si>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</si>
  <si>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</si>
  <si>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</si>
  <si>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</si>
  <si>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</si>
  <si>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</si>
  <si>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</si>
  <si>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</si>
  <si>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</si>
  <si>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</si>
  <si>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</si>
  <si>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</si>
  <si>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</si>
  <si>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</si>
  <si>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</si>
  <si>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</si>
  <si>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</si>
  <si>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</si>
  <si>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</si>
  <si>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</si>
  <si>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</si>
  <si>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</si>
  <si>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</si>
  <si>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</si>
  <si>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</si>
  <si>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</si>
  <si>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</si>
  <si>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</si>
  <si>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</si>
  <si>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</si>
  <si>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</si>
  <si>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</si>
  <si>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</si>
  <si>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</si>
  <si>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</si>
  <si>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</si>
  <si>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</si>
  <si>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</si>
  <si>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</si>
  <si>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</si>
  <si>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</si>
  <si>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</si>
  <si>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</si>
  <si>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</si>
  <si>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</si>
  <si>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</si>
  <si>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</si>
  <si>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</si>
  <si>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</si>
  <si>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</si>
  <si>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</si>
  <si>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</si>
  <si>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</si>
  <si>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</si>
  <si>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</si>
  <si>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</si>
  <si>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</si>
  <si>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</si>
  <si>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</si>
  <si>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</si>
  <si>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</si>
  <si>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</si>
  <si>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</si>
  <si>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</si>
  <si>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</si>
  <si>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</si>
  <si>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</si>
  <si>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</si>
  <si>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</si>
  <si>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</si>
  <si>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</si>
  <si>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</si>
  <si>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</si>
  <si>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</si>
  <si>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</si>
  <si>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</si>
  <si>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</si>
  <si>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</si>
  <si>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</si>
  <si>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</si>
  <si>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</si>
  <si>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</si>
  <si>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</si>
  <si>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</si>
  <si>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</si>
  <si>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</si>
  <si>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</si>
  <si>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</si>
  <si>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</si>
  <si>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</si>
  <si>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</si>
  <si>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</si>
  <si>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</si>
  <si>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</si>
  <si>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</si>
  <si>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</si>
  <si>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</si>
  <si>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</si>
  <si>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</si>
  <si>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</si>
  <si>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</si>
  <si>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</si>
  <si>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</si>
  <si>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</si>
  <si>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</si>
  <si>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</si>
  <si>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</si>
  <si>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</si>
  <si>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</si>
  <si>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</si>
  <si>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</si>
  <si>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</si>
  <si>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</si>
  <si>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</si>
  <si>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</si>
  <si>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</si>
  <si>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</si>
  <si>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</si>
  <si>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</si>
  <si>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</si>
  <si>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</si>
  <si>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</si>
  <si>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</si>
  <si>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</si>
  <si>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</si>
  <si>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</si>
  <si>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</si>
  <si>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</si>
  <si>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</si>
  <si>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</si>
  <si>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</si>
  <si>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</si>
  <si>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</si>
  <si>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</si>
  <si>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</si>
  <si>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</si>
  <si>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</si>
  <si>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</si>
  <si>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</si>
  <si>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</si>
  <si>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</si>
  <si>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</si>
  <si>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</si>
  <si>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</si>
  <si>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</si>
  <si>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</si>
  <si>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</si>
  <si>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</si>
  <si>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</si>
  <si>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</si>
  <si>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</si>
  <si>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</si>
  <si>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</si>
  <si>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</si>
  <si>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</si>
  <si>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</si>
  <si>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</si>
  <si>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</si>
  <si>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</si>
  <si>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</si>
  <si>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</si>
  <si>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</si>
  <si>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</si>
  <si>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</si>
  <si>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</si>
  <si>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</si>
  <si>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</si>
  <si>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</si>
  <si>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</si>
  <si>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</si>
  <si>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</si>
  <si>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</si>
  <si>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</si>
  <si>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</si>
  <si>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</si>
  <si>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</si>
  <si>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</si>
  <si>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</si>
  <si>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</si>
  <si>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</si>
  <si>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</si>
  <si>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</si>
  <si>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</si>
  <si>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</si>
  <si>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</si>
  <si>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</si>
  <si>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</si>
  <si>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</si>
  <si>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</si>
  <si>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</si>
  <si>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</si>
  <si>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</si>
  <si>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</si>
  <si>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</si>
  <si>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</si>
  <si>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</si>
  <si>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</si>
  <si>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</si>
  <si>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</si>
  <si>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</si>
  <si>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</si>
  <si>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</si>
  <si>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</si>
  <si>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</si>
  <si>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</si>
  <si>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</si>
  <si>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</si>
  <si>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</si>
  <si>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</si>
  <si>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</si>
  <si>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</si>
  <si>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</si>
  <si>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</si>
  <si>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</si>
  <si>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</si>
  <si>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</si>
  <si>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</si>
  <si>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</si>
  <si>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</si>
  <si>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</si>
  <si>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</si>
  <si>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</si>
  <si>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</si>
  <si>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</si>
  <si>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</si>
  <si>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</si>
  <si>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</si>
  <si>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</si>
  <si>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</si>
  <si>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</si>
  <si>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</si>
  <si>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</si>
  <si>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</si>
  <si>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</si>
  <si>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</si>
  <si>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</si>
  <si>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</si>
  <si>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</si>
  <si>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</si>
  <si>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</si>
  <si>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</si>
  <si>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</si>
  <si>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</si>
  <si>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</si>
  <si>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</si>
  <si>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</si>
  <si>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</si>
  <si>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</si>
  <si>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</si>
  <si>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</si>
  <si>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</si>
  <si>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</si>
  <si>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</si>
  <si>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</si>
  <si>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</si>
  <si>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</si>
  <si>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</si>
  <si>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</si>
  <si>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</si>
  <si>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</si>
  <si>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</si>
  <si>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</si>
  <si>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</si>
  <si>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</si>
  <si>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</si>
  <si>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</si>
  <si>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</si>
  <si>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</si>
  <si>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</si>
  <si>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</si>
  <si>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</si>
  <si>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</si>
  <si>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</si>
  <si>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</si>
  <si>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</si>
  <si>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</si>
  <si>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</si>
  <si>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</si>
  <si>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</si>
  <si>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</si>
  <si>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</si>
  <si>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</si>
  <si>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</si>
  <si>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</si>
  <si>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</si>
  <si>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</si>
  <si>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</si>
  <si>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</si>
  <si>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</si>
  <si>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</si>
  <si>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</si>
  <si>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</si>
  <si>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</si>
  <si>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</si>
  <si>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</si>
  <si>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</si>
  <si>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</si>
  <si>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</si>
  <si>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</si>
  <si>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</si>
  <si>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</si>
  <si>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</si>
  <si>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</si>
  <si>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</si>
  <si>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</si>
  <si>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</si>
  <si>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</si>
  <si>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</si>
  <si>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</si>
  <si>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</si>
  <si>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</si>
  <si>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</si>
  <si>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</si>
  <si>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</si>
  <si>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</si>
  <si>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</si>
  <si>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</si>
  <si>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</si>
  <si>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</si>
  <si>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</si>
  <si>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</si>
  <si>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</si>
  <si>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</si>
  <si>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</si>
  <si>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</si>
  <si>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</si>
  <si>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</si>
  <si>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</si>
  <si>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</si>
  <si>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</si>
  <si>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</si>
  <si>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</si>
  <si>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</si>
  <si>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</si>
  <si>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</si>
  <si>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</si>
  <si>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</si>
  <si>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</si>
  <si>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</si>
  <si>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</si>
  <si>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</si>
  <si>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</si>
  <si>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</si>
  <si>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</si>
  <si>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</si>
  <si>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</si>
  <si>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</si>
  <si>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</si>
  <si>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</si>
  <si>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</si>
  <si>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</si>
  <si>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</si>
  <si>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</si>
  <si>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</si>
  <si>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</si>
  <si>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</si>
  <si>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</si>
  <si>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</si>
  <si>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</si>
  <si>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</si>
  <si>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</si>
  <si>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</si>
  <si>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</si>
  <si>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</si>
  <si>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</si>
  <si>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</si>
  <si>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</si>
  <si>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</si>
  <si>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</si>
  <si>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</si>
  <si>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</si>
  <si>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</si>
  <si>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</si>
  <si>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</si>
  <si>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</si>
  <si>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</si>
  <si>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</si>
  <si>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</si>
  <si>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</si>
  <si>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</si>
  <si>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</si>
  <si>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</si>
  <si>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</si>
  <si>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</si>
  <si>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</si>
  <si>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</si>
  <si>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</si>
  <si>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</si>
  <si>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</si>
  <si>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</si>
  <si>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</si>
  <si>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</si>
  <si>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</si>
  <si>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</si>
  <si>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</si>
  <si>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</si>
  <si>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</si>
  <si>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</si>
  <si>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</si>
  <si>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</si>
  <si>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</si>
  <si>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</si>
  <si>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</si>
  <si>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</si>
  <si>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</si>
  <si>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</si>
  <si>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</si>
  <si>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</si>
  <si>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</si>
  <si>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</si>
  <si>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</si>
  <si>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</si>
  <si>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</si>
  <si>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</si>
  <si>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</si>
  <si>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</si>
  <si>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</si>
  <si>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</si>
  <si>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</si>
  <si>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</si>
  <si>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</si>
  <si>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</si>
  <si>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</si>
  <si>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</si>
  <si>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</si>
  <si>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</si>
  <si>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</si>
  <si>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</si>
  <si>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</si>
  <si>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</si>
  <si>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</si>
  <si>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</si>
  <si>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</si>
  <si>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</si>
  <si>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</si>
  <si>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</si>
  <si>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</si>
  <si>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</si>
  <si>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</si>
  <si>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</si>
  <si>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</si>
  <si>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</si>
  <si>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</si>
  <si>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</si>
  <si>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</si>
  <si>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</si>
  <si>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</si>
  <si>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</si>
  <si>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</si>
  <si>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</si>
  <si>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</si>
  <si>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</si>
  <si>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</si>
  <si>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</si>
  <si>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</si>
  <si>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</si>
  <si>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</si>
  <si>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</si>
  <si>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</si>
  <si>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</si>
  <si>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</si>
  <si>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</si>
  <si>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</si>
  <si>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</si>
  <si>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</si>
  <si>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</si>
  <si>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</si>
  <si>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</si>
  <si>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</si>
  <si>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</si>
  <si>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</si>
  <si>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</si>
  <si>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</si>
  <si>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</si>
  <si>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</si>
  <si>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</si>
  <si>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</si>
  <si>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</si>
  <si>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</si>
  <si>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</si>
  <si>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</si>
  <si>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</si>
  <si>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</si>
  <si>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</si>
  <si>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</si>
  <si>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</si>
  <si>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</si>
  <si>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</si>
  <si>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</si>
  <si>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</si>
  <si>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</si>
  <si>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</si>
  <si>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</si>
  <si>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</si>
  <si>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</si>
  <si>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</si>
  <si>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</si>
  <si>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</si>
  <si>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</si>
  <si>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</si>
  <si>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</si>
  <si>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</si>
  <si>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</si>
  <si>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</si>
  <si>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</si>
  <si>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</si>
  <si>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</si>
  <si>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</si>
  <si>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</si>
  <si>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</si>
  <si>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</si>
  <si>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</si>
  <si>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</si>
  <si>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</si>
  <si>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</si>
  <si>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</si>
  <si>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</si>
  <si>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</si>
  <si>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</si>
  <si>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</si>
  <si>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</si>
  <si>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</si>
  <si>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</si>
  <si>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</si>
  <si>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</si>
  <si>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</si>
  <si>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</si>
  <si>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</si>
  <si>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</si>
  <si>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</si>
  <si>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</si>
  <si>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</si>
  <si>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</si>
  <si>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</si>
  <si>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</si>
  <si>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</si>
  <si>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</si>
  <si>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</si>
  <si>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</si>
  <si>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</si>
  <si>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</si>
  <si>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</si>
  <si>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</si>
  <si>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</si>
  <si>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</si>
  <si>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</si>
  <si>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</si>
  <si>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</si>
  <si>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</si>
  <si>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</si>
  <si>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</si>
  <si>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</si>
  <si>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</si>
  <si>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</si>
  <si>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</si>
  <si>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</si>
  <si>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</si>
  <si>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</si>
  <si>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</si>
  <si>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</si>
  <si>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</si>
  <si>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</si>
  <si>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</si>
  <si>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</si>
  <si>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</si>
  <si>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</si>
  <si>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</si>
  <si>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</si>
  <si>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</si>
  <si>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</si>
  <si>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</si>
  <si>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</si>
  <si>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</si>
  <si>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</si>
  <si>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</si>
  <si>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</si>
  <si>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</si>
  <si>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</si>
  <si>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</si>
  <si>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</si>
  <si>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</si>
  <si>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</si>
  <si>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</si>
  <si>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</si>
  <si>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</si>
  <si>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</si>
  <si>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</si>
  <si>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</si>
  <si>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</si>
  <si>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</si>
  <si>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</si>
  <si>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</si>
  <si>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</si>
  <si>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</si>
  <si>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</si>
  <si>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</si>
  <si>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</si>
  <si>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</si>
  <si>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</si>
  <si>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</si>
  <si>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</si>
  <si>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</si>
  <si>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</si>
  <si>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</si>
  <si>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</si>
  <si>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</si>
  <si>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</si>
  <si>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</si>
  <si>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</si>
  <si>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</si>
  <si>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</si>
  <si>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</si>
  <si>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</si>
  <si>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</si>
  <si>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</si>
  <si>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</si>
  <si>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</si>
  <si>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</si>
  <si>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</si>
  <si>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</si>
  <si>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</si>
  <si>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</si>
  <si>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</si>
  <si>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</si>
  <si>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</si>
  <si>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</si>
  <si>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</si>
  <si>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</si>
  <si>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</si>
  <si>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</si>
  <si>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</si>
  <si>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</si>
  <si>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</si>
  <si>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</si>
  <si>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</si>
  <si>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</si>
  <si>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</si>
  <si>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</si>
  <si>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</si>
  <si>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</si>
  <si>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</si>
  <si>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</si>
  <si>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</si>
  <si>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</si>
  <si>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</si>
  <si>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</si>
  <si>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</si>
  <si>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</si>
  <si>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</si>
  <si>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</si>
  <si>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</si>
  <si>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</si>
  <si>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</si>
  <si>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</si>
  <si>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</si>
  <si>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</si>
  <si>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</si>
  <si>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</si>
  <si>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</si>
  <si>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</si>
  <si>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</si>
  <si>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</si>
  <si>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</si>
  <si>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</si>
  <si>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</si>
  <si>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</si>
  <si>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</si>
  <si>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</si>
  <si>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</si>
  <si>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</si>
  <si>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</si>
  <si>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</si>
  <si>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</si>
  <si>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</si>
  <si>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</si>
  <si>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</si>
  <si>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</si>
  <si>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</si>
  <si>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</si>
  <si>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</si>
  <si>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</si>
  <si>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</si>
  <si>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</si>
  <si>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</si>
  <si>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</si>
  <si>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</si>
  <si>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</si>
  <si>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</si>
  <si>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</si>
  <si>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</si>
  <si>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</si>
  <si>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</si>
  <si>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</si>
  <si>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</si>
  <si>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</si>
  <si>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</si>
  <si>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</si>
  <si>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</si>
  <si>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</si>
  <si>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</si>
  <si>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</si>
  <si>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</si>
  <si>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</si>
  <si>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</si>
  <si>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</si>
  <si>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</si>
  <si>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</si>
  <si>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</si>
  <si>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</si>
  <si>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</si>
  <si>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</si>
  <si>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</si>
  <si>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</si>
  <si>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</si>
  <si>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</si>
  <si>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</si>
  <si>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</si>
  <si>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</si>
  <si>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</si>
  <si>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</si>
  <si>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</si>
  <si>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</si>
  <si>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</si>
  <si>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</si>
  <si>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</si>
  <si>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</si>
  <si>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</si>
  <si>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</si>
  <si>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</si>
  <si>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</si>
  <si>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</si>
  <si>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</si>
  <si>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</si>
  <si>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</si>
  <si>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</si>
  <si>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</si>
  <si>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</si>
  <si>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</si>
  <si>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</si>
  <si>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</si>
  <si>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</si>
  <si>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</si>
  <si>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</si>
  <si>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</si>
  <si>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</si>
  <si>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</si>
  <si>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</si>
  <si>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</si>
  <si>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</si>
  <si>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</si>
  <si>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</si>
  <si>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</si>
  <si>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</si>
  <si>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</si>
  <si>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</si>
  <si>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</si>
  <si>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</si>
  <si>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</si>
  <si>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</si>
  <si>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</si>
  <si>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</si>
  <si>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</si>
  <si>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</si>
  <si>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</si>
  <si>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</si>
  <si>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</si>
  <si>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</si>
  <si>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</si>
  <si>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</si>
  <si>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</si>
  <si>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</si>
  <si>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</si>
  <si>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</si>
  <si>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</si>
  <si>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</si>
  <si>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</si>
  <si>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</si>
  <si>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</si>
  <si>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</si>
  <si>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</si>
  <si>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</si>
  <si>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</si>
  <si>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</si>
  <si>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</si>
  <si>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</si>
  <si>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</si>
  <si>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</si>
  <si>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</si>
  <si>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</si>
  <si>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</si>
  <si>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</si>
  <si>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</si>
  <si>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</si>
  <si>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</si>
  <si>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</si>
  <si>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</si>
  <si>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</si>
  <si>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</si>
  <si>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</si>
  <si>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</si>
  <si>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</si>
  <si>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</si>
  <si>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</si>
  <si>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</si>
  <si>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</si>
  <si>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</si>
  <si>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</si>
  <si>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</si>
  <si>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</si>
  <si>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</si>
  <si>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</si>
  <si>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</si>
  <si>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</si>
  <si>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</si>
  <si>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</si>
  <si>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</si>
  <si>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</si>
  <si>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</si>
  <si>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</si>
  <si>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</si>
  <si>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</si>
  <si>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</si>
  <si>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</si>
  <si>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</si>
  <si>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</si>
  <si>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</si>
  <si>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</si>
  <si>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</si>
  <si>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</si>
  <si>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</si>
  <si>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</si>
  <si>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</si>
  <si>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</si>
  <si>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</si>
  <si>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</si>
  <si>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</si>
  <si>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</si>
  <si>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</si>
  <si>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</si>
  <si>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</si>
  <si>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</si>
  <si>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</si>
  <si>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</si>
  <si>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</si>
  <si>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</si>
  <si>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</si>
  <si>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</si>
  <si>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</si>
  <si>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</si>
  <si>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</si>
  <si>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</si>
  <si>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</si>
  <si>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</si>
  <si>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</si>
  <si>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</si>
  <si>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</si>
  <si>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</si>
  <si>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</si>
  <si>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</si>
  <si>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</si>
  <si>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</si>
  <si>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</si>
  <si>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</si>
  <si>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</si>
  <si>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</si>
  <si>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</si>
  <si>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</si>
  <si>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</si>
  <si>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</si>
  <si>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</si>
  <si>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</si>
  <si>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</si>
  <si>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</si>
  <si>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</si>
  <si>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</si>
  <si>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</si>
  <si>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</si>
  <si>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</si>
  <si>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</si>
  <si>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</si>
  <si>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</si>
  <si>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</si>
  <si>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</si>
  <si>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</si>
  <si>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</si>
  <si>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</si>
  <si>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</si>
  <si>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</si>
  <si>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</si>
  <si>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</si>
  <si>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</si>
  <si>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</si>
  <si>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</si>
  <si>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</si>
  <si>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</si>
  <si>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</si>
  <si>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</si>
  <si>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</si>
  <si>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</si>
  <si>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</si>
  <si>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</si>
  <si>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</si>
  <si>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</si>
  <si>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</si>
  <si>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</si>
  <si>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</si>
  <si>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</si>
  <si>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</si>
  <si>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</si>
  <si>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</si>
  <si>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</si>
  <si>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</si>
  <si>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</si>
  <si>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</si>
  <si>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</si>
  <si>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</si>
  <si>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</si>
  <si>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</si>
  <si>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</si>
  <si>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</si>
  <si>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</si>
  <si>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</si>
  <si>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</si>
  <si>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</si>
  <si>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</si>
  <si>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</si>
  <si>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</si>
  <si>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</si>
  <si>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</si>
  <si>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</si>
  <si>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</si>
  <si>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</si>
  <si>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</si>
  <si>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</si>
  <si>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</si>
  <si>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</si>
  <si>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</si>
  <si>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</si>
  <si>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</si>
  <si>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</si>
  <si>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</si>
  <si>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</si>
  <si>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</si>
  <si>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</si>
  <si>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</si>
  <si>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</si>
  <si>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</si>
  <si>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</si>
  <si>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</si>
  <si>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</si>
  <si>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</si>
  <si>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</si>
  <si>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</si>
  <si>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</si>
  <si>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</si>
  <si>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</si>
  <si>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</si>
  <si>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</si>
  <si>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</si>
  <si>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</si>
  <si>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</si>
  <si>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</si>
  <si>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</si>
  <si>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</si>
  <si>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</si>
  <si>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</si>
  <si>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</si>
  <si>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</si>
  <si>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</si>
  <si>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</si>
  <si>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</si>
  <si>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</si>
  <si>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</si>
  <si>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</si>
  <si>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</si>
  <si>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</si>
  <si>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</si>
  <si>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</si>
  <si>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</si>
  <si>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</si>
  <si>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</si>
  <si>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</si>
  <si>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</si>
  <si>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</si>
  <si>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</si>
  <si>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</si>
  <si>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</si>
  <si>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</si>
  <si>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</si>
  <si>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</si>
  <si>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</si>
  <si>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</si>
  <si>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</si>
  <si>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</si>
  <si>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</si>
  <si>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</si>
  <si>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</si>
  <si>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</si>
  <si>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</si>
  <si>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</si>
  <si>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</si>
  <si>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</si>
  <si>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</si>
  <si>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</si>
  <si>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</si>
  <si>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</si>
  <si>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</si>
  <si>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</si>
  <si>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</si>
  <si>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</si>
  <si>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</si>
  <si>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</si>
  <si>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</si>
  <si>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</si>
  <si>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</si>
  <si>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</si>
  <si>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</si>
  <si>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</si>
  <si>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</si>
  <si>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</si>
  <si>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</si>
  <si>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</si>
  <si>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</si>
  <si>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</si>
  <si>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</si>
  <si>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</si>
  <si>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</si>
  <si>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</si>
  <si>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</si>
  <si>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</si>
  <si>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</si>
  <si>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</si>
  <si>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</si>
  <si>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</si>
  <si>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</si>
  <si>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</si>
  <si>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</si>
  <si>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</si>
  <si>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</si>
  <si>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</si>
  <si>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</si>
  <si>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</si>
  <si>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</si>
  <si>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</si>
  <si>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</si>
  <si>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</si>
  <si>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</si>
  <si>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</si>
  <si>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</si>
  <si>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</si>
  <si>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</si>
  <si>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</si>
  <si>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</si>
  <si>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</si>
  <si>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</si>
  <si>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</si>
  <si>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</si>
  <si>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</si>
  <si>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</si>
  <si>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</si>
  <si>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</si>
  <si>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</si>
  <si>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</si>
  <si>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</si>
  <si>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</si>
  <si>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</si>
  <si>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</si>
  <si>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</si>
  <si>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</si>
  <si>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</si>
  <si>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</si>
  <si>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</si>
  <si>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</si>
  <si>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</si>
  <si>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</si>
  <si>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</si>
  <si>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</si>
  <si>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</si>
  <si>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</si>
  <si>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</si>
  <si>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</si>
  <si>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</si>
  <si>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</si>
  <si>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</si>
  <si>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</si>
  <si>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</si>
  <si>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</si>
  <si>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</si>
  <si>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</si>
  <si>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</si>
  <si>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</si>
  <si>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</si>
  <si>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</si>
  <si>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</si>
  <si>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</si>
  <si>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</si>
  <si>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</si>
  <si>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</si>
  <si>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</si>
  <si>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</si>
  <si>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</si>
  <si>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</si>
  <si>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</si>
  <si>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</si>
  <si>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</si>
  <si>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</si>
  <si>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</si>
  <si>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</si>
  <si>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</si>
  <si>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</si>
  <si>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</si>
  <si>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</si>
  <si>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</si>
  <si>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</si>
  <si>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</si>
  <si>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</si>
  <si>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</si>
  <si>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</si>
  <si>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</si>
  <si>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</si>
  <si>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</si>
  <si>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</si>
  <si>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</si>
  <si>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</si>
  <si>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</si>
  <si>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</si>
  <si>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</si>
  <si>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</si>
  <si>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</si>
  <si>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</si>
  <si>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</si>
  <si>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</si>
  <si>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</si>
  <si>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</si>
  <si>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</si>
  <si>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</si>
  <si>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</si>
  <si>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</si>
  <si>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</si>
  <si>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</si>
  <si>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</si>
  <si>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</si>
  <si>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</si>
  <si>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</si>
  <si>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</si>
  <si>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</si>
  <si>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</si>
  <si>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</si>
  <si>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</si>
  <si>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</si>
  <si>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</si>
  <si>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</si>
  <si>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</si>
  <si>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</si>
  <si>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</si>
  <si>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</si>
  <si>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</si>
  <si>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</si>
  <si>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</si>
  <si>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</si>
  <si>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</si>
  <si>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</si>
  <si>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</si>
  <si>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</si>
  <si>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</si>
  <si>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</si>
  <si>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</si>
  <si>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</si>
  <si>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</si>
  <si>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</si>
  <si>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</si>
  <si>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</si>
  <si>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</si>
  <si>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</si>
  <si>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</si>
  <si>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</si>
  <si>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</si>
  <si>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</si>
  <si>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</si>
  <si>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</si>
  <si>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</si>
  <si>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</si>
  <si>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</si>
  <si>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</si>
  <si>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</si>
  <si>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</si>
  <si>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</si>
  <si>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</si>
  <si>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</si>
  <si>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</si>
  <si>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</si>
  <si>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</si>
  <si>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</si>
  <si>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</si>
  <si>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</si>
  <si>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</si>
  <si>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</si>
  <si>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</si>
  <si>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</si>
  <si>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</si>
  <si>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</si>
  <si>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</si>
  <si>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</si>
  <si>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</si>
  <si>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</si>
  <si>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</si>
  <si>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</si>
  <si>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</si>
  <si>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</si>
  <si>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</si>
  <si>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</si>
  <si>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</si>
  <si>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</si>
  <si>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</si>
  <si>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</si>
  <si>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</si>
  <si>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</si>
  <si>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</si>
  <si>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</si>
  <si>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</si>
  <si>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</si>
  <si>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</si>
  <si>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</si>
  <si>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</si>
  <si>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</si>
  <si>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</si>
  <si>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</si>
  <si>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</si>
  <si>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</si>
  <si>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</si>
  <si>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</si>
  <si>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</si>
  <si>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</si>
  <si>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</si>
  <si>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</si>
  <si>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</si>
  <si>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</si>
  <si>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</si>
  <si>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</si>
  <si>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</si>
  <si>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</si>
  <si>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</si>
  <si>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</si>
  <si>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</si>
  <si>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</si>
  <si>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</si>
  <si>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</si>
  <si>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</si>
  <si>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</si>
  <si>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</si>
  <si>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</si>
  <si>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</si>
  <si>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</si>
  <si>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</si>
  <si>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</si>
  <si>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</si>
  <si>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</si>
  <si>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</si>
  <si>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</si>
  <si>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</si>
  <si>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</si>
  <si>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</si>
  <si>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</si>
  <si>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</si>
  <si>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</si>
  <si>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</si>
  <si>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</si>
  <si>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</si>
  <si>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</si>
  <si>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</si>
  <si>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</si>
  <si>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</si>
  <si>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</si>
  <si>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</si>
  <si>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</si>
  <si>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</si>
  <si>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</si>
  <si>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</si>
  <si>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</si>
  <si>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</si>
  <si>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</si>
  <si>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</si>
  <si>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</si>
  <si>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</si>
  <si>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</si>
  <si>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</si>
  <si>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</si>
  <si>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</si>
  <si>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</si>
  <si>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</si>
  <si>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</si>
  <si>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</si>
  <si>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</si>
  <si>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</si>
  <si>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</si>
  <si>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</si>
  <si>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</si>
  <si>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</si>
  <si>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</si>
  <si>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</si>
  <si>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</si>
  <si>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</si>
  <si>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</si>
  <si>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</si>
  <si>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</si>
  <si>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</si>
  <si>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</si>
  <si>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</si>
  <si>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</si>
  <si>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</si>
  <si>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</si>
  <si>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</si>
  <si>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</si>
  <si>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</si>
  <si>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</si>
  <si>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</si>
  <si>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</si>
  <si>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</si>
  <si>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</si>
  <si>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</si>
  <si>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</si>
  <si>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</si>
  <si>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</si>
  <si>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</si>
  <si>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</si>
  <si>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</si>
  <si>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</si>
  <si>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</si>
  <si>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</si>
  <si>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</si>
  <si>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</si>
  <si>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</si>
  <si>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</si>
  <si>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</si>
  <si>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</si>
  <si>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</si>
  <si>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</si>
  <si>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</si>
  <si>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</si>
  <si>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</si>
  <si>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</si>
  <si>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</si>
  <si>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</si>
  <si>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</si>
  <si>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</si>
  <si>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</si>
  <si>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</si>
  <si>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</si>
  <si>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</si>
  <si>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</si>
  <si>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</si>
  <si>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</si>
  <si>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</si>
  <si>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</si>
  <si>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</si>
  <si>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</si>
  <si>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</si>
  <si>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</si>
  <si>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</si>
  <si>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</si>
  <si>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</si>
  <si>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</si>
  <si>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</si>
  <si>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</si>
  <si>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</si>
  <si>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</si>
  <si>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</si>
  <si>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</si>
  <si>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</si>
  <si>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</si>
  <si>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</si>
  <si>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</si>
  <si>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</si>
  <si>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</si>
  <si>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</si>
  <si>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</si>
  <si>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</si>
  <si>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</si>
  <si>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</si>
  <si>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</si>
  <si>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</si>
  <si>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</si>
  <si>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</si>
  <si>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</si>
  <si>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</si>
  <si>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</si>
  <si>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</si>
  <si>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</si>
  <si>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</si>
  <si>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</si>
  <si>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</si>
  <si>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</si>
  <si>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</si>
  <si>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</si>
  <si>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</si>
  <si>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</si>
  <si>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</si>
  <si>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</si>
  <si>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</si>
  <si>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</si>
  <si>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</si>
  <si>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</si>
  <si>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</si>
  <si>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</si>
  <si>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</si>
  <si>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</si>
  <si>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</si>
  <si>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</si>
  <si>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</si>
  <si>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</si>
  <si>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</si>
  <si>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</si>
  <si>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</si>
  <si>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</si>
  <si>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</si>
  <si>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</si>
  <si>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</si>
  <si>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</si>
  <si>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</si>
  <si>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</si>
  <si>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</si>
  <si>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</si>
  <si>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</si>
  <si>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</si>
  <si>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</si>
  <si>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</si>
  <si>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</si>
  <si>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</si>
  <si>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</si>
  <si>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</si>
  <si>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</si>
  <si>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</si>
  <si>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</si>
  <si>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</si>
  <si>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</si>
  <si>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</si>
  <si>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</si>
  <si>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</si>
  <si>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</si>
  <si>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</si>
  <si>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</si>
  <si>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</si>
  <si>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</si>
  <si>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</si>
  <si>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</si>
  <si>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</si>
  <si>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</si>
  <si>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</si>
  <si>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</si>
  <si>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</si>
  <si>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</si>
  <si>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</si>
  <si>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</si>
  <si>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</si>
  <si>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</si>
  <si>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</si>
  <si>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</si>
  <si>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</si>
  <si>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</si>
  <si>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</si>
  <si>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</si>
  <si>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</si>
  <si>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</si>
  <si>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</si>
  <si>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</si>
  <si>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</si>
  <si>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</si>
  <si>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</si>
  <si>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</si>
  <si>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</si>
  <si>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</si>
  <si>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</si>
  <si>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</si>
  <si>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</si>
  <si>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</si>
  <si>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</si>
  <si>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</si>
  <si>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</si>
  <si>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</si>
  <si>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</si>
  <si>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</si>
  <si>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</si>
  <si>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</si>
  <si>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</si>
  <si>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</si>
  <si>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</si>
  <si>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</si>
  <si>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</si>
  <si>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</si>
  <si>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</si>
  <si>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</si>
  <si>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</si>
  <si>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</si>
  <si>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</si>
  <si>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</si>
  <si>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</si>
  <si>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</si>
  <si>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</si>
  <si>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</si>
  <si>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</si>
  <si>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</si>
  <si>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</si>
  <si>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</si>
  <si>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</si>
  <si>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</si>
  <si>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</si>
  <si>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</si>
  <si>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</si>
  <si>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</si>
  <si>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</si>
  <si>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</si>
  <si>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</si>
  <si>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</si>
  <si>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</si>
  <si>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</si>
  <si>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</si>
  <si>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</si>
  <si>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</si>
  <si>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</si>
  <si>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</si>
  <si>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</si>
  <si>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</si>
  <si>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</si>
  <si>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</si>
  <si>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</si>
  <si>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</si>
  <si>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</si>
  <si>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</si>
  <si>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</si>
  <si>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</si>
  <si>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</si>
  <si>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</si>
  <si>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</si>
  <si>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</si>
  <si>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</si>
  <si>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</si>
  <si>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</si>
  <si>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</si>
  <si>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</si>
  <si>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</si>
  <si>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</si>
  <si>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</si>
  <si>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</si>
  <si>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</si>
  <si>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</si>
  <si>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</si>
  <si>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</si>
  <si>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</si>
  <si>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</si>
  <si>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</si>
  <si>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</si>
  <si>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</si>
  <si>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</si>
  <si>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</si>
  <si>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</si>
  <si>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</si>
  <si>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</si>
  <si>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</si>
  <si>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</si>
  <si>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</si>
  <si>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</si>
  <si>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</si>
  <si>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</si>
  <si>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</si>
  <si>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Comset S.A</t>
  </si>
  <si>
    <t>Model:</t>
  </si>
  <si>
    <t>model serwera</t>
  </si>
  <si>
    <t>RS1102V6</t>
  </si>
  <si>
    <t>NUMER SERYJNY GŁÓWNY</t>
  </si>
  <si>
    <t>PN</t>
  </si>
  <si>
    <t>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</si>
</sst>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29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IDAutomationC39XS"/>
      <family val="3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1" fillId="2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ill="1" applyBorder="1"/>
    <xf numFmtId="0" fontId="0" fillId="7" borderId="0" xfId="0" applyFill="1" applyBorder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49" fontId="0" fillId="0" borderId="0" xfId="0" applyNumberFormat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top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13" fillId="0" borderId="0" xfId="0" applyFont="1" applyAlignment="1">
      <alignment horizontal="left" vertical="center"/>
    </xf>
    <xf numFmtId="0" fontId="28" fillId="0" borderId="0" xfId="0" applyFont="1"/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5" xfId="0" applyFont="1" applyBorder="1" applyAlignment="1">
      <alignment horizontal="center"/>
    </xf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28575</xdr:rowOff>
        </xdr:from>
        <xdr:to>
          <xdr:col>8</xdr:col>
          <xdr:colOff>1876425</xdr:colOff>
          <xdr:row>4</xdr:row>
          <xdr:rowOff>161925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numer seryjny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</row>
        <row r="3">
          <cell r="D3" t="str">
            <v>BCM95720A2003AC</v>
          </cell>
          <cell r="E3" t="str">
            <v>200321370001QFV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MBD-X11DPI-M-B</v>
          </cell>
          <cell r="E2198" t="str">
            <v>HM219S011328</v>
          </cell>
        </row>
        <row r="2199">
          <cell r="D2199" t="str">
            <v>MBD-X11DPI-M-B</v>
          </cell>
          <cell r="E2199" t="str">
            <v>HM219S010615</v>
          </cell>
        </row>
        <row r="2200">
          <cell r="D2200" t="str">
            <v>MBD-X11DPI-M-B</v>
          </cell>
          <cell r="E2200" t="str">
            <v>HM219S011351</v>
          </cell>
        </row>
        <row r="2201">
          <cell r="D2201" t="str">
            <v>MBD-X11DPI-M-B</v>
          </cell>
          <cell r="E2201" t="str">
            <v>HM219S011809</v>
          </cell>
        </row>
        <row r="2202">
          <cell r="D2202" t="str">
            <v>MBD-X11DPI-M-B</v>
          </cell>
          <cell r="E2202" t="str">
            <v>HM219S011327</v>
          </cell>
        </row>
        <row r="2203">
          <cell r="D2203" t="str">
            <v>MBD-X11DPI-M-B</v>
          </cell>
          <cell r="E2203" t="str">
            <v>HM219S010674</v>
          </cell>
        </row>
        <row r="2204">
          <cell r="D2204" t="str">
            <v>MBD-X11DPI-M-B</v>
          </cell>
          <cell r="E2204" t="str">
            <v>HM219S010745</v>
          </cell>
        </row>
        <row r="2205">
          <cell r="D2205" t="str">
            <v>MBD-X11DPI-M-B</v>
          </cell>
          <cell r="E2205" t="str">
            <v>HM219S011487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RSC-W-68G4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RSC-R1UW-E8R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D5505" t="str">
            <v>CSE-743AC-1K26B-SQ</v>
          </cell>
          <cell r="E5505" t="str">
            <v>C7430FK37P00473</v>
          </cell>
          <cell r="K5505" t="str">
            <v>TESTOWY M.BOGUSZ</v>
          </cell>
        </row>
        <row r="5506">
          <cell r="D5506" t="str">
            <v>PWS-1K26P-PQ</v>
          </cell>
          <cell r="E5506" t="str">
            <v>P1K26AL14AD1959</v>
          </cell>
          <cell r="K5506" t="str">
            <v>TESTOWY M.BOGUSZ</v>
          </cell>
        </row>
        <row r="5507">
          <cell r="D5507" t="str">
            <v>BPN-SAS3-743A</v>
          </cell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</row>
        <row r="10145">
          <cell r="D10145" t="str">
            <v>CD8068904572101   Xeon Gold 6330</v>
          </cell>
          <cell r="E10145" t="str">
            <v>J136H028  71A853F200898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HDD</v>
          </cell>
          <cell r="E10325" t="str">
            <v>ZR58EWF7</v>
          </cell>
        </row>
        <row r="10326">
          <cell r="D10326" t="str">
            <v>HDD</v>
          </cell>
          <cell r="E10326" t="str">
            <v>ZR58D2DS</v>
          </cell>
        </row>
        <row r="10327">
          <cell r="D10327" t="str">
            <v>HDD</v>
          </cell>
          <cell r="E10327" t="str">
            <v>ZR58BGXZ</v>
          </cell>
        </row>
        <row r="10328">
          <cell r="D10328" t="str">
            <v>HDD</v>
          </cell>
          <cell r="E10328" t="str">
            <v>ZR58EP2F</v>
          </cell>
        </row>
        <row r="10329">
          <cell r="D10329" t="str">
            <v>HDD</v>
          </cell>
          <cell r="E10329" t="str">
            <v>ZR58EJCV</v>
          </cell>
        </row>
        <row r="10330">
          <cell r="D10330" t="str">
            <v>HDD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HDD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HDD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HDD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HDD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HDD</v>
          </cell>
          <cell r="E10351" t="str">
            <v>ZR589ZHY</v>
          </cell>
        </row>
        <row r="10352">
          <cell r="D10352" t="str">
            <v>HDD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HDD</v>
          </cell>
          <cell r="E10354" t="str">
            <v>ZR58EJFX</v>
          </cell>
        </row>
        <row r="10355">
          <cell r="D10355" t="str">
            <v>HDD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HDD</v>
          </cell>
          <cell r="E10357" t="str">
            <v>ZR58BZLP</v>
          </cell>
        </row>
        <row r="10358">
          <cell r="D10358" t="str">
            <v>HDD</v>
          </cell>
          <cell r="E10358" t="str">
            <v>ZR58EK7H</v>
          </cell>
        </row>
        <row r="10359">
          <cell r="D10359" t="str">
            <v>HDD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</v>
          </cell>
          <cell r="E10432" t="str">
            <v>ZR51DV57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</v>
          </cell>
          <cell r="E11013" t="str">
            <v>PHYF149601PP3P8EGN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</row>
        <row r="15673">
          <cell r="D15673" t="str">
            <v>CD8068904572501 Xeon Gold 6338</v>
          </cell>
          <cell r="E15673" t="str">
            <v>L140E663  1260BC002B4443E9RKJ9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</row>
        <row r="16528">
          <cell r="D16528" t="str">
            <v>CD8068904657901  Xeon Silver 4310</v>
          </cell>
          <cell r="E16528" t="str">
            <v>4FFCE3FD6E4A7814RKXN  72TS556700166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</row>
        <row r="17663">
          <cell r="D17663" t="str">
            <v>MZ7L3480HCHQ-00A07</v>
          </cell>
          <cell r="E17663" t="str">
            <v>s664ne0rc27059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</row>
        <row r="17830">
          <cell r="D17830" t="str">
            <v>MEM-DR490L-HL01-EU26</v>
          </cell>
          <cell r="E17830" t="str">
            <v>80AD01215075427A91</v>
          </cell>
        </row>
        <row r="17831">
          <cell r="D17831" t="str">
            <v>MEM-DR490L-HL01-EU26</v>
          </cell>
          <cell r="E17831" t="str">
            <v>80AD01215075427A97</v>
          </cell>
        </row>
        <row r="17832">
          <cell r="D17832" t="str">
            <v>MEM-DR490L-HL01-EU26</v>
          </cell>
          <cell r="E17832" t="str">
            <v>80AD01215075427A92</v>
          </cell>
        </row>
        <row r="17833">
          <cell r="D17833" t="str">
            <v>MEM-DR490L-HL01-EU26</v>
          </cell>
          <cell r="E17833" t="str">
            <v>80AD01215075427A98</v>
          </cell>
        </row>
        <row r="17834">
          <cell r="D17834" t="str">
            <v>MEM-DR490L-HL01-EU26</v>
          </cell>
          <cell r="E17834" t="str">
            <v>80AD01215075427A93</v>
          </cell>
        </row>
        <row r="17835">
          <cell r="D17835" t="str">
            <v>MEM-DR490L-HL01-EU26</v>
          </cell>
          <cell r="E17835" t="str">
            <v>80AD01215075427A9A</v>
          </cell>
        </row>
        <row r="17836">
          <cell r="D17836" t="str">
            <v>MEM-DR490L-HL01-EU26</v>
          </cell>
          <cell r="E17836" t="str">
            <v>80AD01215075427A9C</v>
          </cell>
        </row>
        <row r="17837">
          <cell r="D17837" t="str">
            <v>MEM-DR490L-HL01-EU26</v>
          </cell>
          <cell r="E17837" t="str">
            <v>80AD01215075427A9B</v>
          </cell>
        </row>
        <row r="17838">
          <cell r="D17838" t="str">
            <v>MEM-DR490L-HL01-EU26</v>
          </cell>
          <cell r="E17838" t="str">
            <v>80AD01215075427A9D</v>
          </cell>
        </row>
        <row r="17839">
          <cell r="D17839" t="str">
            <v>MEM-DR490L-HL01-EU26</v>
          </cell>
          <cell r="E17839" t="str">
            <v>80AD01215075427B09</v>
          </cell>
        </row>
        <row r="17840">
          <cell r="D17840" t="str">
            <v>MEM-DR490L-HL01-EU26</v>
          </cell>
          <cell r="E17840" t="str">
            <v>80AD01215075427AA9</v>
          </cell>
        </row>
        <row r="17841">
          <cell r="D17841" t="str">
            <v>MEM-DR490L-HL01-EU26</v>
          </cell>
          <cell r="E17841" t="str">
            <v>80AD01215075427AB2</v>
          </cell>
        </row>
        <row r="17842">
          <cell r="D17842" t="str">
            <v>MEM-DR490L-HL01-EU26</v>
          </cell>
          <cell r="E17842" t="str">
            <v>80AD01215075427AAA</v>
          </cell>
        </row>
        <row r="17843">
          <cell r="D17843" t="str">
            <v>MEM-DR490L-HL01-EU26</v>
          </cell>
          <cell r="E17843" t="str">
            <v>80AD01215075427AAB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</row>
        <row r="19000">
          <cell r="D19000" t="str">
            <v>SSDSC2KB960GZ01</v>
          </cell>
          <cell r="E19000" t="str">
            <v>PHYI146100VG960CGN</v>
          </cell>
        </row>
        <row r="19001">
          <cell r="D19001" t="str">
            <v>SSDSC2KB960GZ01</v>
          </cell>
          <cell r="E19001" t="str">
            <v>BTYI201203WY960CGN</v>
          </cell>
        </row>
        <row r="19002">
          <cell r="D19002" t="str">
            <v>SSDSC2KB960GZ01</v>
          </cell>
          <cell r="E19002" t="str">
            <v>BTYI2044013Z960CGN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6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69" t="s">
        <v>194</v>
      </c>
      <c r="B3" s="69"/>
      <c r="C3" s="69"/>
      <c r="D3" s="69"/>
      <c r="E3" s="69"/>
      <c r="F3" s="69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1" workbookViewId="0">
      <selection activeCell="E1" sqref="E1:E1048576"/>
    </sheetView>
  </sheetViews>
  <sheetFormatPr defaultRowHeight="15"/>
  <cols>
    <col min="1" max="1" width="12.7109375" style="1" customWidth="1"/>
    <col min="2" max="2" width="22.28515625" style="2" bestFit="1" customWidth="1"/>
    <col min="3" max="3" width="16.140625" style="1" customWidth="1"/>
    <col min="4" max="4" width="32.140625" style="1" bestFit="1" customWidth="1"/>
    <col min="5" max="5" width="25.7109375" style="1" customWidth="1"/>
    <col min="6" max="6" width="23.140625" style="1" customWidth="1"/>
    <col min="7" max="7" width="28.5703125" style="1" customWidth="1"/>
    <col min="8" max="8" width="19" style="1" customWidth="1"/>
    <col min="9" max="9" width="20.28515625" style="1" customWidth="1"/>
    <col min="10" max="10" width="18" style="1" customWidth="1"/>
    <col min="11" max="11" width="34.28515625" style="1" customWidth="1"/>
    <col min="12" max="16384" width="9.140625" style="1"/>
  </cols>
  <sheetData>
    <row r="1" spans="1:1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109</v>
      </c>
      <c r="I1" s="3" t="s">
        <v>110</v>
      </c>
      <c r="J1" s="3" t="s">
        <v>7</v>
      </c>
      <c r="K1" s="3" t="s">
        <v>8</v>
      </c>
      <c r="M1" s="5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H2"/>
      <c r="I2"/>
      <c r="J2"/>
      <c r="K2" t="s">
        <v>13</v>
      </c>
      <c r="M2" s="5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F3"/>
      <c r="G3"/>
      <c r="H3"/>
      <c r="I3"/>
      <c r="J3"/>
      <c r="K3" t="s">
        <v>13</v>
      </c>
      <c r="M3" s="5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H4"/>
      <c r="I4"/>
      <c r="J4"/>
      <c r="K4" t="s">
        <v>13</v>
      </c>
      <c r="M4" s="5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H5"/>
      <c r="I5"/>
      <c r="J5"/>
      <c r="K5" t="s">
        <v>13</v>
      </c>
      <c r="M5" s="5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H6"/>
      <c r="I6"/>
      <c r="J6"/>
      <c r="K6" t="s">
        <v>13</v>
      </c>
      <c r="M6" s="5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H7"/>
      <c r="I7"/>
      <c r="J7"/>
      <c r="K7" t="s">
        <v>13</v>
      </c>
      <c r="M7" s="5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H8"/>
      <c r="I8"/>
      <c r="J8"/>
      <c r="K8" t="s">
        <v>13</v>
      </c>
      <c r="M8" s="5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H9"/>
      <c r="I9"/>
      <c r="J9"/>
      <c r="K9" t="s">
        <v>13</v>
      </c>
      <c r="M9" s="5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H10"/>
      <c r="I10"/>
      <c r="J10"/>
      <c r="K10" t="s">
        <v>13</v>
      </c>
      <c r="M10" s="5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H11"/>
      <c r="I11"/>
      <c r="J11"/>
      <c r="K11" t="s">
        <v>13</v>
      </c>
      <c r="M11" s="5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H12"/>
      <c r="I12"/>
      <c r="J12"/>
      <c r="K12" t="s">
        <v>20</v>
      </c>
      <c r="M12" s="5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H13"/>
      <c r="I13"/>
      <c r="J13"/>
      <c r="K13" t="s">
        <v>20</v>
      </c>
      <c r="M13" s="5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H14"/>
      <c r="I14"/>
      <c r="J14"/>
      <c r="K14" t="s">
        <v>20</v>
      </c>
      <c r="M14" s="5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F15"/>
      <c r="G15"/>
      <c r="H15"/>
      <c r="I15"/>
      <c r="J15"/>
      <c r="K15" t="s">
        <v>20</v>
      </c>
      <c r="M15" s="5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H16"/>
      <c r="I16"/>
      <c r="J16"/>
      <c r="K16" t="s">
        <v>20</v>
      </c>
      <c r="M16" s="5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H17"/>
      <c r="I17"/>
      <c r="J17"/>
      <c r="K17" t="s">
        <v>20</v>
      </c>
      <c r="M17" s="5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H18"/>
      <c r="I18"/>
      <c r="J18"/>
      <c r="K18" t="s">
        <v>20</v>
      </c>
      <c r="M18" s="5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H19"/>
      <c r="I19"/>
      <c r="J19"/>
      <c r="K19" t="s">
        <v>20</v>
      </c>
      <c r="M19" s="5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H20"/>
      <c r="I20"/>
      <c r="J20"/>
      <c r="K20" t="s">
        <v>20</v>
      </c>
      <c r="M20" s="5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H21"/>
      <c r="I21"/>
      <c r="J21"/>
      <c r="K21" t="s">
        <v>20</v>
      </c>
      <c r="M21" s="5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H22"/>
      <c r="I22"/>
      <c r="J22"/>
      <c r="K22" t="s">
        <v>25</v>
      </c>
      <c r="M22" s="5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H23"/>
      <c r="I23"/>
      <c r="J23"/>
      <c r="K23" t="s">
        <v>25</v>
      </c>
      <c r="M23" s="5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H24"/>
      <c r="I24"/>
      <c r="J24"/>
      <c r="K24" t="s">
        <v>25</v>
      </c>
      <c r="M24" s="5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F25"/>
      <c r="G25"/>
      <c r="H25"/>
      <c r="I25"/>
      <c r="J25"/>
      <c r="K25" t="s">
        <v>25</v>
      </c>
      <c r="M25" s="5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H26"/>
      <c r="I26"/>
      <c r="J26"/>
      <c r="K26" t="s">
        <v>25</v>
      </c>
      <c r="M26" s="5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H27"/>
      <c r="I27"/>
      <c r="J27"/>
      <c r="K27" t="s">
        <v>25</v>
      </c>
      <c r="M27" s="5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H28"/>
      <c r="I28"/>
      <c r="J28"/>
      <c r="K28" t="s">
        <v>25</v>
      </c>
      <c r="M28" s="5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H29"/>
      <c r="I29"/>
      <c r="J29"/>
      <c r="K29" t="s">
        <v>25</v>
      </c>
      <c r="M29" s="5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H30"/>
      <c r="I30"/>
      <c r="J30"/>
      <c r="K30" t="s">
        <v>25</v>
      </c>
      <c r="M30" s="5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H31"/>
      <c r="I31"/>
      <c r="J31"/>
      <c r="K31" t="s">
        <v>25</v>
      </c>
      <c r="M31" s="5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H32"/>
      <c r="I32"/>
      <c r="J32"/>
      <c r="K32" t="s">
        <v>30</v>
      </c>
      <c r="M32" s="5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H33"/>
      <c r="I33"/>
      <c r="J33"/>
      <c r="K33" t="s">
        <v>30</v>
      </c>
      <c r="M33" s="5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H34"/>
      <c r="I34"/>
      <c r="J34"/>
      <c r="K34" t="s">
        <v>30</v>
      </c>
      <c r="M34" s="5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F35"/>
      <c r="G35"/>
      <c r="H35"/>
      <c r="I35"/>
      <c r="J35"/>
      <c r="K35" t="s">
        <v>30</v>
      </c>
      <c r="M35" s="5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H36"/>
      <c r="I36"/>
      <c r="J36"/>
      <c r="K36" t="s">
        <v>30</v>
      </c>
      <c r="M36" s="5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H37"/>
      <c r="I37"/>
      <c r="J37"/>
      <c r="K37" t="s">
        <v>30</v>
      </c>
      <c r="M37" s="5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H38"/>
      <c r="I38"/>
      <c r="J38"/>
      <c r="K38" t="s">
        <v>30</v>
      </c>
      <c r="M38" s="5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H39"/>
      <c r="I39"/>
      <c r="J39"/>
      <c r="K39" t="s">
        <v>30</v>
      </c>
      <c r="M39" s="5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H40"/>
      <c r="I40"/>
      <c r="J40"/>
      <c r="K40" t="s">
        <v>30</v>
      </c>
      <c r="M40" s="5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H41"/>
      <c r="I41"/>
      <c r="J41"/>
      <c r="K41" t="s">
        <v>30</v>
      </c>
      <c r="M41" s="5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H42"/>
      <c r="I42"/>
      <c r="J42"/>
      <c r="K42" t="s">
        <v>35</v>
      </c>
      <c r="M42" s="5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H43"/>
      <c r="I43"/>
      <c r="J43"/>
      <c r="K43" t="s">
        <v>35</v>
      </c>
      <c r="M43" s="5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H44"/>
      <c r="I44"/>
      <c r="J44"/>
      <c r="K44" t="s">
        <v>35</v>
      </c>
      <c r="M44" s="5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F45"/>
      <c r="G45"/>
      <c r="H45"/>
      <c r="I45"/>
      <c r="J45"/>
      <c r="K45" t="s">
        <v>35</v>
      </c>
      <c r="M45" s="5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H46"/>
      <c r="I46"/>
      <c r="J46"/>
      <c r="K46" t="s">
        <v>35</v>
      </c>
      <c r="M46" s="5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H47"/>
      <c r="I47"/>
      <c r="J47"/>
      <c r="K47" t="s">
        <v>35</v>
      </c>
      <c r="M47" s="5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H48"/>
      <c r="I48"/>
      <c r="J48"/>
      <c r="K48" t="s">
        <v>35</v>
      </c>
      <c r="M48" s="5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H49"/>
      <c r="I49"/>
      <c r="J49"/>
      <c r="K49" t="s">
        <v>35</v>
      </c>
      <c r="M49" s="5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H50"/>
      <c r="I50"/>
      <c r="J50"/>
      <c r="K50" t="s">
        <v>35</v>
      </c>
      <c r="M50" s="5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H51"/>
      <c r="I51"/>
      <c r="J51"/>
      <c r="K51" t="s">
        <v>35</v>
      </c>
      <c r="M51" s="5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H52"/>
      <c r="I52"/>
      <c r="J52"/>
      <c r="K52" t="s">
        <v>40</v>
      </c>
      <c r="M52" s="5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H53"/>
      <c r="I53"/>
      <c r="J53"/>
      <c r="K53" t="s">
        <v>40</v>
      </c>
      <c r="M53" s="5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H54"/>
      <c r="I54"/>
      <c r="J54"/>
      <c r="K54" t="s">
        <v>40</v>
      </c>
      <c r="M54" s="5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F55"/>
      <c r="G55"/>
      <c r="H55"/>
      <c r="I55"/>
      <c r="J55"/>
      <c r="K55" t="s">
        <v>40</v>
      </c>
      <c r="M55" s="5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H56"/>
      <c r="I56"/>
      <c r="J56"/>
      <c r="K56" t="s">
        <v>40</v>
      </c>
      <c r="M56" s="1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H57"/>
      <c r="I57"/>
      <c r="J57"/>
      <c r="K57" t="s">
        <v>40</v>
      </c>
      <c r="M57" s="1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H58"/>
      <c r="I58"/>
      <c r="J58"/>
      <c r="K58" t="s">
        <v>40</v>
      </c>
      <c r="M58" s="1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H59"/>
      <c r="I59"/>
      <c r="J59"/>
      <c r="K59" t="s">
        <v>40</v>
      </c>
      <c r="M59" s="1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H60"/>
      <c r="I60"/>
      <c r="J60"/>
      <c r="K60" t="s">
        <v>40</v>
      </c>
      <c r="M60" s="1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H61"/>
      <c r="I61"/>
      <c r="J61"/>
      <c r="K61" t="s">
        <v>40</v>
      </c>
      <c r="M61" s="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H62"/>
      <c r="I62"/>
      <c r="J62"/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H63"/>
      <c r="I63"/>
      <c r="J63"/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H64"/>
      <c r="I64"/>
      <c r="J64"/>
      <c r="K64" t="s">
        <v>45</v>
      </c>
      <c r="M64" s="1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F65"/>
      <c r="G65"/>
      <c r="H65"/>
      <c r="I65"/>
      <c r="J65"/>
      <c r="K65" t="s">
        <v>45</v>
      </c>
      <c r="M65" s="1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H66"/>
      <c r="I66"/>
      <c r="J66"/>
      <c r="K66" t="s">
        <v>45</v>
      </c>
      <c r="M66" s="1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H67"/>
      <c r="I67"/>
      <c r="J67"/>
      <c r="K67" t="s">
        <v>45</v>
      </c>
      <c r="M67" s="1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H68"/>
      <c r="I68"/>
      <c r="J68"/>
      <c r="K68" t="s">
        <v>45</v>
      </c>
      <c r="M68" s="1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H69"/>
      <c r="I69"/>
      <c r="J69"/>
      <c r="K69" t="s">
        <v>45</v>
      </c>
      <c r="M69" s="1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H70"/>
      <c r="I70"/>
      <c r="J70"/>
      <c r="K70" t="s">
        <v>45</v>
      </c>
      <c r="M70" s="1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H71"/>
      <c r="I71"/>
      <c r="J71"/>
      <c r="K71" t="s">
        <v>45</v>
      </c>
      <c r="M71" s="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H72"/>
      <c r="I72"/>
      <c r="J72"/>
      <c r="K72" t="s">
        <v>50</v>
      </c>
      <c r="M72" s="1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F73"/>
      <c r="G73"/>
      <c r="H73"/>
      <c r="I73"/>
      <c r="J73"/>
      <c r="K73" t="s">
        <v>50</v>
      </c>
      <c r="M73" s="1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H74"/>
      <c r="I74"/>
      <c r="J74"/>
      <c r="K74" t="s">
        <v>50</v>
      </c>
      <c r="M74" s="1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H75"/>
      <c r="I75"/>
      <c r="J75"/>
      <c r="K75" t="s">
        <v>50</v>
      </c>
      <c r="M75" s="1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H76"/>
      <c r="I76"/>
      <c r="J76"/>
      <c r="K76" t="s">
        <v>50</v>
      </c>
      <c r="M76" s="1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H77"/>
      <c r="I77"/>
      <c r="J77"/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H78"/>
      <c r="I78"/>
      <c r="J78"/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H79"/>
      <c r="I79"/>
      <c r="J79"/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H80"/>
      <c r="I80"/>
      <c r="J80"/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H81"/>
      <c r="I81"/>
      <c r="J81"/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H82"/>
      <c r="I82"/>
      <c r="J82"/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H83"/>
      <c r="I83"/>
      <c r="J83"/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H84"/>
      <c r="I84"/>
      <c r="J84"/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H85"/>
      <c r="I85"/>
      <c r="J85"/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F86"/>
      <c r="G86"/>
      <c r="H86"/>
      <c r="I86"/>
      <c r="J86"/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H87"/>
      <c r="I87"/>
      <c r="J87"/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H88"/>
      <c r="I88"/>
      <c r="J88"/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H89"/>
      <c r="I89"/>
      <c r="J89"/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H90"/>
      <c r="I90"/>
      <c r="J90"/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H91"/>
      <c r="I91"/>
      <c r="J91"/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H92"/>
      <c r="I92"/>
      <c r="J92"/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H93"/>
      <c r="I93"/>
      <c r="J93"/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H94"/>
      <c r="I94"/>
      <c r="J94"/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H95"/>
      <c r="I95"/>
      <c r="J95"/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F96"/>
      <c r="G96"/>
      <c r="H96"/>
      <c r="I96"/>
      <c r="J96"/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H97"/>
      <c r="I97"/>
      <c r="J97"/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H98"/>
      <c r="I98"/>
      <c r="J98"/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H99"/>
      <c r="I99"/>
      <c r="J99"/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H100"/>
      <c r="I100"/>
      <c r="J100"/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H101"/>
      <c r="I101"/>
      <c r="J101"/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H102"/>
      <c r="I102"/>
      <c r="J102"/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H103"/>
      <c r="I103"/>
      <c r="J103"/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H104"/>
      <c r="I104"/>
      <c r="J104"/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H105"/>
      <c r="I105"/>
      <c r="J105"/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F106"/>
      <c r="G106"/>
      <c r="H106"/>
      <c r="I106"/>
      <c r="J106"/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H107"/>
      <c r="I107"/>
      <c r="J107"/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H108"/>
      <c r="I108"/>
      <c r="J108"/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H109"/>
      <c r="I109"/>
      <c r="J109"/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H110"/>
      <c r="I110"/>
      <c r="J110"/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H111"/>
      <c r="I111"/>
      <c r="J111"/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H112"/>
      <c r="I112"/>
      <c r="J112"/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H113"/>
      <c r="I113"/>
      <c r="J113"/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H114"/>
      <c r="I114"/>
      <c r="J114"/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H115"/>
      <c r="I115"/>
      <c r="J115"/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F116"/>
      <c r="G116"/>
      <c r="H116"/>
      <c r="I116"/>
      <c r="J116"/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H117"/>
      <c r="I117"/>
      <c r="J117"/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H118"/>
      <c r="I118"/>
      <c r="J118"/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H119"/>
      <c r="I119"/>
      <c r="J119"/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H120"/>
      <c r="I120"/>
      <c r="J120"/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H121"/>
      <c r="I121"/>
      <c r="J121"/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H122"/>
      <c r="I122"/>
      <c r="J122"/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H123"/>
      <c r="I123"/>
      <c r="J123"/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H124"/>
      <c r="I124"/>
      <c r="J124"/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H125"/>
      <c r="I125"/>
      <c r="J125"/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F126"/>
      <c r="G126"/>
      <c r="H126"/>
      <c r="I126"/>
      <c r="J126"/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H127"/>
      <c r="I127"/>
      <c r="J127"/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H128"/>
      <c r="I128"/>
      <c r="J128"/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H129"/>
      <c r="I129"/>
      <c r="J129"/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H130"/>
      <c r="I130"/>
      <c r="J130"/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H131"/>
      <c r="I131"/>
      <c r="J131"/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H132"/>
      <c r="I132"/>
      <c r="J132"/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H133"/>
      <c r="I133"/>
      <c r="J133"/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H134"/>
      <c r="I134"/>
      <c r="J134"/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F135"/>
      <c r="G135"/>
      <c r="H135"/>
      <c r="I135"/>
      <c r="J135"/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H136"/>
      <c r="I136"/>
      <c r="J136"/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H137"/>
      <c r="I137"/>
      <c r="J137"/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H138"/>
      <c r="I138"/>
      <c r="J138"/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H139"/>
      <c r="I139"/>
      <c r="J139"/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H140"/>
      <c r="I140"/>
      <c r="J140"/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H141"/>
      <c r="I141"/>
      <c r="J141"/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H142"/>
      <c r="I142"/>
      <c r="J142"/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H143"/>
      <c r="I143"/>
      <c r="J143"/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H144"/>
      <c r="I144"/>
      <c r="J144"/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F145"/>
      <c r="G145"/>
      <c r="H145"/>
      <c r="I145"/>
      <c r="J145"/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H146"/>
      <c r="I146"/>
      <c r="J146"/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H147"/>
      <c r="I147"/>
      <c r="J147"/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H148"/>
      <c r="I148"/>
      <c r="J148"/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H149"/>
      <c r="I149"/>
      <c r="J149"/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H150"/>
      <c r="I150"/>
      <c r="J150"/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H151"/>
      <c r="I151"/>
      <c r="J151"/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H152"/>
      <c r="I152"/>
      <c r="J152"/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H153"/>
      <c r="I153"/>
      <c r="J153"/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H154"/>
      <c r="I154"/>
      <c r="J154"/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F155"/>
      <c r="G155"/>
      <c r="H155"/>
      <c r="I155"/>
      <c r="J155"/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H156"/>
      <c r="I156"/>
      <c r="J156"/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H157"/>
      <c r="I157"/>
      <c r="J157"/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H158"/>
      <c r="I158"/>
      <c r="J158"/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H159"/>
      <c r="I159"/>
      <c r="J159"/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H160"/>
      <c r="I160"/>
      <c r="J160"/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H161"/>
      <c r="I161"/>
      <c r="J161"/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H162"/>
      <c r="I162"/>
      <c r="J162"/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H163"/>
      <c r="I163"/>
      <c r="J163"/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H164"/>
      <c r="I164"/>
      <c r="J164"/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F165"/>
      <c r="G165"/>
      <c r="H165"/>
      <c r="I165"/>
      <c r="J165"/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H166"/>
      <c r="I166"/>
      <c r="J166"/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H167"/>
      <c r="I167"/>
      <c r="J167"/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H168"/>
      <c r="I168"/>
      <c r="J168"/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H169"/>
      <c r="I169"/>
      <c r="J169"/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H170"/>
      <c r="I170"/>
      <c r="J170"/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H171"/>
      <c r="I171"/>
      <c r="J171"/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H172"/>
      <c r="I172"/>
      <c r="J172"/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H173"/>
      <c r="I173"/>
      <c r="J173"/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H174"/>
      <c r="I174"/>
      <c r="J174"/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F175"/>
      <c r="G175"/>
      <c r="H175"/>
      <c r="I175"/>
      <c r="J175"/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H176"/>
      <c r="I176"/>
      <c r="J176"/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H177"/>
      <c r="I177"/>
      <c r="J177"/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H178"/>
      <c r="I178"/>
      <c r="J178"/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H179"/>
      <c r="I179"/>
      <c r="J179"/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H180"/>
      <c r="I180"/>
      <c r="J180"/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H181"/>
      <c r="I181"/>
      <c r="J181"/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H182"/>
      <c r="I182"/>
      <c r="J182"/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H183"/>
      <c r="I183"/>
      <c r="J183"/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H184"/>
      <c r="I184"/>
      <c r="J184"/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F185"/>
      <c r="G185"/>
      <c r="H185"/>
      <c r="I185"/>
      <c r="J185"/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H186"/>
      <c r="I186"/>
      <c r="J186"/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H187"/>
      <c r="I187"/>
      <c r="J187"/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H188"/>
      <c r="I188"/>
      <c r="J188"/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H189"/>
      <c r="I189"/>
      <c r="J189"/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H190"/>
      <c r="I190"/>
      <c r="J190"/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H191"/>
      <c r="I191"/>
      <c r="J191"/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H192"/>
      <c r="I192"/>
      <c r="J192"/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H193"/>
      <c r="I193"/>
      <c r="J193"/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H194"/>
      <c r="I194"/>
      <c r="J194"/>
      <c r="K194" t="s">
        <v>198</v>
      </c>
    </row>
    <row r="195" spans="1:11">
      <c r="A195" s="1">
        <v>44225</v>
      </c>
      <c r="B195" s="1" t="s">
        <v>199</v>
      </c>
      <c r="C195" s="1">
        <v>44224</v>
      </c>
      <c r="D195" s="1" t="s">
        <v>200</v>
      </c>
      <c r="E195" s="1" t="s">
        <v>205</v>
      </c>
      <c r="F195" s="1" t="s">
        <v>202</v>
      </c>
      <c r="G195" s="1" t="s">
        <v>203</v>
      </c>
      <c r="K195" s="1" t="s">
        <v>198</v>
      </c>
    </row>
    <row r="196" spans="1:11">
      <c r="A196" s="1">
        <v>44225</v>
      </c>
      <c r="B196" s="1" t="s">
        <v>199</v>
      </c>
      <c r="C196" s="1">
        <v>44224</v>
      </c>
      <c r="D196" t="s">
        <v>200</v>
      </c>
      <c r="E196" t="s">
        <v>206</v>
      </c>
      <c r="F196" s="1" t="s">
        <v>202</v>
      </c>
      <c r="G196" t="s">
        <v>203</v>
      </c>
      <c r="H196"/>
      <c r="I196"/>
      <c r="J196"/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H197"/>
      <c r="I197"/>
      <c r="J197"/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H198"/>
      <c r="I198"/>
      <c r="J198"/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H199"/>
      <c r="I199"/>
      <c r="J199"/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H200"/>
      <c r="I200"/>
      <c r="J200"/>
      <c r="K200" t="s">
        <v>198</v>
      </c>
    </row>
    <row r="201" spans="1:11">
      <c r="A201" s="1">
        <v>44195</v>
      </c>
      <c r="B201" s="1">
        <v>947658634179</v>
      </c>
      <c r="C201" s="1">
        <v>44193</v>
      </c>
      <c r="D201" s="1" t="s">
        <v>213</v>
      </c>
      <c r="E201" s="1" t="s">
        <v>216</v>
      </c>
      <c r="F201" s="1" t="s">
        <v>215</v>
      </c>
      <c r="G201" s="1">
        <v>2021265</v>
      </c>
      <c r="K201" s="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H202"/>
      <c r="I202"/>
      <c r="J202"/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H203"/>
      <c r="I203"/>
      <c r="J203"/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H204"/>
      <c r="I204"/>
      <c r="J204"/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H205"/>
      <c r="I205"/>
      <c r="J205"/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H206"/>
      <c r="I206"/>
      <c r="J206"/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H207"/>
      <c r="I207"/>
      <c r="J207"/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H208"/>
      <c r="I208"/>
      <c r="J208"/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H209"/>
      <c r="I209"/>
      <c r="J209"/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H210"/>
      <c r="I210"/>
      <c r="J210"/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H211"/>
      <c r="I211"/>
      <c r="J211"/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H212"/>
      <c r="I212"/>
      <c r="J212"/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H213"/>
      <c r="I213"/>
      <c r="J213"/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H214"/>
      <c r="I214"/>
      <c r="J214"/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H215"/>
      <c r="I215"/>
      <c r="J215"/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H216"/>
      <c r="I216"/>
      <c r="J216"/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H217"/>
      <c r="I217"/>
      <c r="J217"/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H218"/>
      <c r="I218"/>
      <c r="J218"/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H219"/>
      <c r="I219"/>
      <c r="J219"/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H220"/>
      <c r="I220"/>
      <c r="J220"/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H221"/>
      <c r="I221"/>
      <c r="J221"/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H222"/>
      <c r="I222"/>
      <c r="J222"/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H223"/>
      <c r="I223"/>
      <c r="J223"/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H224"/>
      <c r="I224"/>
      <c r="J224"/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H225"/>
      <c r="I225"/>
      <c r="J225"/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H226"/>
      <c r="I226"/>
      <c r="J226"/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H227"/>
      <c r="I227"/>
      <c r="J227"/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H228"/>
      <c r="I228"/>
      <c r="J228"/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H229"/>
      <c r="I229"/>
      <c r="J229"/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H230"/>
      <c r="I230"/>
      <c r="J230"/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H231"/>
      <c r="I231"/>
      <c r="J231"/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H232"/>
      <c r="I232"/>
      <c r="J232"/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H233"/>
      <c r="I233"/>
      <c r="J233"/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H234"/>
      <c r="I234"/>
      <c r="J234"/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H235"/>
      <c r="I235"/>
      <c r="J235"/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H236"/>
      <c r="I236"/>
      <c r="J236"/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H237"/>
      <c r="I237"/>
      <c r="J237"/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H238"/>
      <c r="I238"/>
      <c r="J238"/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H239"/>
      <c r="I239"/>
      <c r="J239"/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H240"/>
      <c r="I240"/>
      <c r="J240"/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H241"/>
      <c r="I241"/>
      <c r="J241"/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H242"/>
      <c r="I242"/>
      <c r="J242"/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H243"/>
      <c r="I243"/>
      <c r="J243"/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H244"/>
      <c r="I244"/>
      <c r="J244"/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H245"/>
      <c r="I245"/>
      <c r="J245"/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H246"/>
      <c r="I246"/>
      <c r="J246"/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H247"/>
      <c r="I247"/>
      <c r="J247"/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H248"/>
      <c r="I248"/>
      <c r="J248"/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H249"/>
      <c r="I249"/>
      <c r="J249"/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H250"/>
      <c r="I250"/>
      <c r="J250"/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H251"/>
      <c r="I251"/>
      <c r="J251"/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H252"/>
      <c r="I252"/>
      <c r="J252"/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H253"/>
      <c r="I253"/>
      <c r="J253"/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H254"/>
      <c r="I254"/>
      <c r="J254"/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H255"/>
      <c r="I255"/>
      <c r="J255"/>
      <c r="K255" t="s">
        <v>342</v>
      </c>
    </row>
    <row r="256" spans="1:11">
      <c r="A256"/>
      <c r="B256"/>
      <c r="C256"/>
      <c r="D256" t="s">
        <v>582</v>
      </c>
      <c r="E256" t="s">
        <v>343</v>
      </c>
      <c r="F256"/>
      <c r="G256"/>
      <c r="H256"/>
      <c r="I256"/>
      <c r="J256"/>
      <c r="K256" t="s">
        <v>342</v>
      </c>
    </row>
    <row r="257" spans="1:11">
      <c r="A257"/>
      <c r="B257"/>
      <c r="C257"/>
      <c r="D257" t="s">
        <v>582</v>
      </c>
      <c r="E257" t="s">
        <v>344</v>
      </c>
      <c r="F257"/>
      <c r="G257"/>
      <c r="H257"/>
      <c r="I257"/>
      <c r="J257"/>
      <c r="K257" t="s">
        <v>342</v>
      </c>
    </row>
    <row r="258" spans="1:11">
      <c r="A258"/>
      <c r="B258"/>
      <c r="C258"/>
      <c r="D258" t="s">
        <v>581</v>
      </c>
      <c r="E258" t="s">
        <v>345</v>
      </c>
      <c r="F258"/>
      <c r="G258"/>
      <c r="H258"/>
      <c r="I258"/>
      <c r="J258"/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H259"/>
      <c r="I259"/>
      <c r="J259"/>
      <c r="K259" t="s">
        <v>310</v>
      </c>
    </row>
    <row r="260" spans="1:11">
      <c r="A260"/>
      <c r="B260"/>
      <c r="C260"/>
      <c r="D260" t="s">
        <v>582</v>
      </c>
      <c r="E260" t="s">
        <v>347</v>
      </c>
      <c r="F260"/>
      <c r="G260"/>
      <c r="H260"/>
      <c r="I260"/>
      <c r="J260"/>
      <c r="K260" t="s">
        <v>310</v>
      </c>
    </row>
    <row r="261" spans="1:11">
      <c r="A261"/>
      <c r="B261"/>
      <c r="C261"/>
      <c r="D261" t="s">
        <v>582</v>
      </c>
      <c r="E261" t="s">
        <v>348</v>
      </c>
      <c r="F261"/>
      <c r="G261"/>
      <c r="H261"/>
      <c r="I261"/>
      <c r="J261"/>
      <c r="K261" t="s">
        <v>310</v>
      </c>
    </row>
    <row r="262" spans="1:11">
      <c r="A262"/>
      <c r="B262"/>
      <c r="C262"/>
      <c r="D262" t="s">
        <v>581</v>
      </c>
      <c r="E262" t="s">
        <v>349</v>
      </c>
      <c r="F262"/>
      <c r="G262"/>
      <c r="H262"/>
      <c r="I262"/>
      <c r="J262"/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H263"/>
      <c r="I263"/>
      <c r="J263"/>
      <c r="K263" t="s">
        <v>312</v>
      </c>
    </row>
    <row r="264" spans="1:11">
      <c r="A264"/>
      <c r="B264"/>
      <c r="C264"/>
      <c r="D264" t="s">
        <v>582</v>
      </c>
      <c r="E264" t="s">
        <v>351</v>
      </c>
      <c r="F264"/>
      <c r="G264"/>
      <c r="H264"/>
      <c r="I264"/>
      <c r="J264"/>
      <c r="K264" t="s">
        <v>312</v>
      </c>
    </row>
    <row r="265" spans="1:11">
      <c r="A265"/>
      <c r="B265"/>
      <c r="C265"/>
      <c r="D265" t="s">
        <v>582</v>
      </c>
      <c r="E265" t="s">
        <v>352</v>
      </c>
      <c r="F265"/>
      <c r="G265"/>
      <c r="H265"/>
      <c r="I265"/>
      <c r="J265"/>
      <c r="K265" t="s">
        <v>312</v>
      </c>
    </row>
    <row r="266" spans="1:11">
      <c r="A266"/>
      <c r="B266"/>
      <c r="C266"/>
      <c r="D266" t="s">
        <v>581</v>
      </c>
      <c r="E266" t="s">
        <v>353</v>
      </c>
      <c r="F266"/>
      <c r="G266"/>
      <c r="H266"/>
      <c r="I266"/>
      <c r="J266"/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H267"/>
      <c r="I267"/>
      <c r="J267"/>
      <c r="K267" t="s">
        <v>304</v>
      </c>
    </row>
    <row r="268" spans="1:11">
      <c r="A268"/>
      <c r="B268"/>
      <c r="C268"/>
      <c r="D268" t="s">
        <v>582</v>
      </c>
      <c r="E268" t="s">
        <v>355</v>
      </c>
      <c r="F268"/>
      <c r="G268"/>
      <c r="H268"/>
      <c r="I268"/>
      <c r="J268"/>
      <c r="K268" t="s">
        <v>304</v>
      </c>
    </row>
    <row r="269" spans="1:11">
      <c r="A269"/>
      <c r="B269"/>
      <c r="C269"/>
      <c r="D269" t="s">
        <v>582</v>
      </c>
      <c r="E269" t="s">
        <v>356</v>
      </c>
      <c r="F269"/>
      <c r="G269"/>
      <c r="H269"/>
      <c r="I269"/>
      <c r="J269"/>
      <c r="K269" t="s">
        <v>304</v>
      </c>
    </row>
    <row r="270" spans="1:11">
      <c r="A270"/>
      <c r="B270"/>
      <c r="C270"/>
      <c r="D270" t="s">
        <v>581</v>
      </c>
      <c r="E270" t="s">
        <v>357</v>
      </c>
      <c r="F270"/>
      <c r="G270"/>
      <c r="H270"/>
      <c r="I270"/>
      <c r="J270"/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H271"/>
      <c r="I271"/>
      <c r="J271"/>
      <c r="K271" t="s">
        <v>281</v>
      </c>
    </row>
    <row r="272" spans="1:11">
      <c r="A272"/>
      <c r="B272"/>
      <c r="C272"/>
      <c r="D272" t="s">
        <v>582</v>
      </c>
      <c r="E272" t="s">
        <v>359</v>
      </c>
      <c r="F272"/>
      <c r="G272"/>
      <c r="H272"/>
      <c r="I272"/>
      <c r="J272"/>
      <c r="K272" t="s">
        <v>281</v>
      </c>
    </row>
    <row r="273" spans="1:11">
      <c r="A273"/>
      <c r="B273"/>
      <c r="C273"/>
      <c r="D273" t="s">
        <v>582</v>
      </c>
      <c r="E273" t="s">
        <v>360</v>
      </c>
      <c r="F273"/>
      <c r="G273"/>
      <c r="H273"/>
      <c r="I273"/>
      <c r="J273"/>
      <c r="K273" t="s">
        <v>281</v>
      </c>
    </row>
    <row r="274" spans="1:11">
      <c r="A274"/>
      <c r="B274"/>
      <c r="C274"/>
      <c r="D274" t="s">
        <v>581</v>
      </c>
      <c r="E274" t="s">
        <v>361</v>
      </c>
      <c r="F274"/>
      <c r="G274"/>
      <c r="H274"/>
      <c r="I274"/>
      <c r="J274"/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H275"/>
      <c r="I275"/>
      <c r="J275"/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I276"/>
      <c r="J276"/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I277"/>
      <c r="J277"/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I278"/>
      <c r="J278"/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I279"/>
      <c r="J279"/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I280"/>
      <c r="J280"/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I281"/>
      <c r="J281"/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H282"/>
      <c r="I282"/>
      <c r="J282"/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H283"/>
      <c r="I283"/>
      <c r="J283"/>
      <c r="K283" t="s">
        <v>314</v>
      </c>
    </row>
    <row r="284" spans="1:11">
      <c r="A284"/>
      <c r="B284"/>
      <c r="C284"/>
      <c r="D284" t="s">
        <v>582</v>
      </c>
      <c r="E284" t="s">
        <v>372</v>
      </c>
      <c r="F284" t="s">
        <v>210</v>
      </c>
      <c r="G284">
        <v>931169182</v>
      </c>
      <c r="H284"/>
      <c r="I284"/>
      <c r="J284"/>
      <c r="K284" t="s">
        <v>314</v>
      </c>
    </row>
    <row r="285" spans="1:11">
      <c r="A285"/>
      <c r="B285"/>
      <c r="C285"/>
      <c r="D285" t="s">
        <v>582</v>
      </c>
      <c r="E285" t="s">
        <v>373</v>
      </c>
      <c r="F285" t="s">
        <v>210</v>
      </c>
      <c r="G285">
        <v>931169182</v>
      </c>
      <c r="H285"/>
      <c r="I285"/>
      <c r="J285"/>
      <c r="K285" t="s">
        <v>314</v>
      </c>
    </row>
    <row r="286" spans="1:11">
      <c r="A286"/>
      <c r="B286"/>
      <c r="C286"/>
      <c r="D286" t="s">
        <v>581</v>
      </c>
      <c r="E286" t="s">
        <v>374</v>
      </c>
      <c r="F286" t="s">
        <v>210</v>
      </c>
      <c r="G286">
        <v>931169182</v>
      </c>
      <c r="H286"/>
      <c r="I286"/>
      <c r="J286"/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H287"/>
      <c r="I287"/>
      <c r="J287"/>
      <c r="K287" t="s">
        <v>274</v>
      </c>
    </row>
    <row r="288" spans="1:11">
      <c r="A288"/>
      <c r="B288"/>
      <c r="C288"/>
      <c r="D288" t="s">
        <v>582</v>
      </c>
      <c r="E288" t="s">
        <v>376</v>
      </c>
      <c r="F288" t="s">
        <v>210</v>
      </c>
      <c r="G288">
        <v>931169182</v>
      </c>
      <c r="H288"/>
      <c r="I288"/>
      <c r="J288"/>
      <c r="K288" t="s">
        <v>274</v>
      </c>
    </row>
    <row r="289" spans="1:11">
      <c r="A289"/>
      <c r="B289"/>
      <c r="C289"/>
      <c r="D289" t="s">
        <v>582</v>
      </c>
      <c r="E289" t="s">
        <v>377</v>
      </c>
      <c r="F289" t="s">
        <v>210</v>
      </c>
      <c r="G289">
        <v>931169182</v>
      </c>
      <c r="H289"/>
      <c r="I289"/>
      <c r="J289"/>
      <c r="K289" t="s">
        <v>274</v>
      </c>
    </row>
    <row r="290" spans="1:11">
      <c r="A290"/>
      <c r="B290"/>
      <c r="C290"/>
      <c r="D290" t="s">
        <v>581</v>
      </c>
      <c r="E290" t="s">
        <v>378</v>
      </c>
      <c r="F290" t="s">
        <v>210</v>
      </c>
      <c r="G290">
        <v>931169182</v>
      </c>
      <c r="H290"/>
      <c r="I290"/>
      <c r="J290"/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H291"/>
      <c r="I291"/>
      <c r="J291"/>
      <c r="K291" t="s">
        <v>266</v>
      </c>
    </row>
    <row r="292" spans="1:11">
      <c r="A292"/>
      <c r="B292"/>
      <c r="C292"/>
      <c r="D292" t="s">
        <v>582</v>
      </c>
      <c r="E292" t="s">
        <v>380</v>
      </c>
      <c r="F292" t="s">
        <v>210</v>
      </c>
      <c r="G292">
        <v>931169182</v>
      </c>
      <c r="H292"/>
      <c r="I292"/>
      <c r="J292"/>
      <c r="K292" t="s">
        <v>266</v>
      </c>
    </row>
    <row r="293" spans="1:11">
      <c r="A293"/>
      <c r="B293"/>
      <c r="C293"/>
      <c r="D293" t="s">
        <v>582</v>
      </c>
      <c r="E293" t="s">
        <v>381</v>
      </c>
      <c r="F293" t="s">
        <v>210</v>
      </c>
      <c r="G293">
        <v>931169182</v>
      </c>
      <c r="H293"/>
      <c r="I293"/>
      <c r="J293"/>
      <c r="K293" t="s">
        <v>266</v>
      </c>
    </row>
    <row r="294" spans="1:11">
      <c r="A294"/>
      <c r="B294"/>
      <c r="C294"/>
      <c r="D294" t="s">
        <v>581</v>
      </c>
      <c r="E294" t="s">
        <v>382</v>
      </c>
      <c r="F294" t="s">
        <v>210</v>
      </c>
      <c r="G294">
        <v>931169182</v>
      </c>
      <c r="H294"/>
      <c r="I294"/>
      <c r="J294"/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H295"/>
      <c r="I295"/>
      <c r="J295"/>
      <c r="K295" t="s">
        <v>270</v>
      </c>
    </row>
    <row r="296" spans="1:11">
      <c r="A296"/>
      <c r="B296"/>
      <c r="C296"/>
      <c r="D296" t="s">
        <v>582</v>
      </c>
      <c r="E296" t="s">
        <v>384</v>
      </c>
      <c r="F296" t="s">
        <v>210</v>
      </c>
      <c r="G296">
        <v>931169182</v>
      </c>
      <c r="H296"/>
      <c r="I296"/>
      <c r="J296"/>
      <c r="K296" t="s">
        <v>270</v>
      </c>
    </row>
    <row r="297" spans="1:11">
      <c r="A297"/>
      <c r="B297"/>
      <c r="C297"/>
      <c r="D297" t="s">
        <v>582</v>
      </c>
      <c r="E297" t="s">
        <v>385</v>
      </c>
      <c r="F297" t="s">
        <v>210</v>
      </c>
      <c r="G297">
        <v>931169182</v>
      </c>
      <c r="H297"/>
      <c r="I297"/>
      <c r="J297"/>
      <c r="K297" t="s">
        <v>270</v>
      </c>
    </row>
    <row r="298" spans="1:11">
      <c r="A298"/>
      <c r="B298"/>
      <c r="C298"/>
      <c r="D298" t="s">
        <v>581</v>
      </c>
      <c r="E298" t="s">
        <v>386</v>
      </c>
      <c r="F298" t="s">
        <v>210</v>
      </c>
      <c r="G298">
        <v>931169182</v>
      </c>
      <c r="H298"/>
      <c r="I298"/>
      <c r="J298"/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H299"/>
      <c r="I299"/>
      <c r="J299"/>
      <c r="K299" t="s">
        <v>276</v>
      </c>
    </row>
    <row r="300" spans="1:11">
      <c r="A300"/>
      <c r="B300"/>
      <c r="C300"/>
      <c r="D300" t="s">
        <v>582</v>
      </c>
      <c r="E300" t="s">
        <v>388</v>
      </c>
      <c r="F300" t="s">
        <v>210</v>
      </c>
      <c r="G300">
        <v>931169182</v>
      </c>
      <c r="H300"/>
      <c r="I300"/>
      <c r="J300"/>
      <c r="K300" t="s">
        <v>276</v>
      </c>
    </row>
    <row r="301" spans="1:11">
      <c r="A301"/>
      <c r="B301"/>
      <c r="C301"/>
      <c r="D301" t="s">
        <v>582</v>
      </c>
      <c r="E301" t="s">
        <v>389</v>
      </c>
      <c r="F301" t="s">
        <v>210</v>
      </c>
      <c r="G301">
        <v>931169182</v>
      </c>
      <c r="H301"/>
      <c r="I301"/>
      <c r="J301"/>
      <c r="K301" t="s">
        <v>276</v>
      </c>
    </row>
    <row r="302" spans="1:11">
      <c r="A302"/>
      <c r="B302"/>
      <c r="C302"/>
      <c r="D302" t="s">
        <v>581</v>
      </c>
      <c r="E302" t="s">
        <v>390</v>
      </c>
      <c r="F302" t="s">
        <v>210</v>
      </c>
      <c r="G302">
        <v>931169182</v>
      </c>
      <c r="H302"/>
      <c r="I302"/>
      <c r="J302"/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H303"/>
      <c r="I303"/>
      <c r="J303"/>
      <c r="K303" t="s">
        <v>268</v>
      </c>
    </row>
    <row r="304" spans="1:11">
      <c r="A304"/>
      <c r="B304"/>
      <c r="C304"/>
      <c r="D304" t="s">
        <v>582</v>
      </c>
      <c r="E304" t="s">
        <v>392</v>
      </c>
      <c r="F304" t="s">
        <v>210</v>
      </c>
      <c r="G304">
        <v>931169182</v>
      </c>
      <c r="H304"/>
      <c r="I304"/>
      <c r="J304"/>
      <c r="K304" t="s">
        <v>268</v>
      </c>
    </row>
    <row r="305" spans="1:11">
      <c r="A305"/>
      <c r="B305"/>
      <c r="C305"/>
      <c r="D305" t="s">
        <v>582</v>
      </c>
      <c r="E305" t="s">
        <v>393</v>
      </c>
      <c r="F305" t="s">
        <v>210</v>
      </c>
      <c r="G305">
        <v>931169182</v>
      </c>
      <c r="H305"/>
      <c r="I305"/>
      <c r="J305"/>
      <c r="K305" t="s">
        <v>268</v>
      </c>
    </row>
    <row r="306" spans="1:11">
      <c r="A306"/>
      <c r="B306"/>
      <c r="C306"/>
      <c r="D306" t="s">
        <v>581</v>
      </c>
      <c r="E306" t="s">
        <v>394</v>
      </c>
      <c r="F306" t="s">
        <v>210</v>
      </c>
      <c r="G306">
        <v>931169182</v>
      </c>
      <c r="H306"/>
      <c r="I306"/>
      <c r="J306"/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H307"/>
      <c r="I307"/>
      <c r="J307"/>
      <c r="K307" t="s">
        <v>272</v>
      </c>
    </row>
    <row r="308" spans="1:11">
      <c r="A308"/>
      <c r="B308"/>
      <c r="C308"/>
      <c r="D308" t="s">
        <v>582</v>
      </c>
      <c r="E308" t="s">
        <v>396</v>
      </c>
      <c r="F308" t="s">
        <v>210</v>
      </c>
      <c r="G308">
        <v>931169182</v>
      </c>
      <c r="H308"/>
      <c r="I308"/>
      <c r="J308"/>
      <c r="K308" t="s">
        <v>272</v>
      </c>
    </row>
    <row r="309" spans="1:11">
      <c r="A309"/>
      <c r="B309"/>
      <c r="C309"/>
      <c r="D309" t="s">
        <v>582</v>
      </c>
      <c r="E309" t="s">
        <v>397</v>
      </c>
      <c r="F309" t="s">
        <v>210</v>
      </c>
      <c r="G309">
        <v>931169182</v>
      </c>
      <c r="H309"/>
      <c r="I309"/>
      <c r="J309"/>
      <c r="K309" t="s">
        <v>272</v>
      </c>
    </row>
    <row r="310" spans="1:11">
      <c r="A310"/>
      <c r="B310"/>
      <c r="C310"/>
      <c r="D310" t="s">
        <v>581</v>
      </c>
      <c r="E310" t="s">
        <v>398</v>
      </c>
      <c r="F310" t="s">
        <v>210</v>
      </c>
      <c r="G310">
        <v>931169182</v>
      </c>
      <c r="H310"/>
      <c r="I310"/>
      <c r="J310"/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H311"/>
      <c r="I311"/>
      <c r="J311"/>
      <c r="K311" t="s">
        <v>278</v>
      </c>
    </row>
    <row r="312" spans="1:11">
      <c r="A312"/>
      <c r="B312"/>
      <c r="C312"/>
      <c r="D312" t="s">
        <v>582</v>
      </c>
      <c r="E312" t="s">
        <v>400</v>
      </c>
      <c r="F312" t="s">
        <v>210</v>
      </c>
      <c r="G312">
        <v>931169182</v>
      </c>
      <c r="H312"/>
      <c r="I312"/>
      <c r="J312"/>
      <c r="K312" t="s">
        <v>278</v>
      </c>
    </row>
    <row r="313" spans="1:11">
      <c r="A313"/>
      <c r="B313"/>
      <c r="C313"/>
      <c r="D313" t="s">
        <v>582</v>
      </c>
      <c r="E313" t="s">
        <v>401</v>
      </c>
      <c r="F313" t="s">
        <v>210</v>
      </c>
      <c r="G313">
        <v>931169182</v>
      </c>
      <c r="H313"/>
      <c r="I313"/>
      <c r="J313"/>
      <c r="K313" t="s">
        <v>278</v>
      </c>
    </row>
    <row r="314" spans="1:11">
      <c r="A314"/>
      <c r="B314"/>
      <c r="C314"/>
      <c r="D314" t="s">
        <v>581</v>
      </c>
      <c r="E314" t="s">
        <v>402</v>
      </c>
      <c r="F314" t="s">
        <v>210</v>
      </c>
      <c r="G314">
        <v>931169182</v>
      </c>
      <c r="H314"/>
      <c r="I314"/>
      <c r="J314"/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H315"/>
      <c r="I315"/>
      <c r="J315"/>
      <c r="K315" t="s">
        <v>306</v>
      </c>
    </row>
    <row r="316" spans="1:11">
      <c r="A316"/>
      <c r="B316"/>
      <c r="C316"/>
      <c r="D316" t="s">
        <v>582</v>
      </c>
      <c r="E316" t="s">
        <v>404</v>
      </c>
      <c r="F316" t="s">
        <v>210</v>
      </c>
      <c r="G316">
        <v>931169182</v>
      </c>
      <c r="H316"/>
      <c r="I316"/>
      <c r="J316"/>
      <c r="K316" t="s">
        <v>306</v>
      </c>
    </row>
    <row r="317" spans="1:11">
      <c r="A317"/>
      <c r="B317"/>
      <c r="C317"/>
      <c r="D317" t="s">
        <v>582</v>
      </c>
      <c r="E317" t="s">
        <v>405</v>
      </c>
      <c r="F317" t="s">
        <v>210</v>
      </c>
      <c r="G317">
        <v>931169182</v>
      </c>
      <c r="H317"/>
      <c r="I317"/>
      <c r="J317"/>
      <c r="K317" t="s">
        <v>306</v>
      </c>
    </row>
    <row r="318" spans="1:11">
      <c r="A318"/>
      <c r="B318"/>
      <c r="C318"/>
      <c r="D318" t="s">
        <v>581</v>
      </c>
      <c r="E318" t="s">
        <v>406</v>
      </c>
      <c r="F318" t="s">
        <v>210</v>
      </c>
      <c r="G318">
        <v>931169182</v>
      </c>
      <c r="H318"/>
      <c r="I318"/>
      <c r="J318"/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H319"/>
      <c r="I319"/>
      <c r="J319"/>
      <c r="K319" t="s">
        <v>300</v>
      </c>
    </row>
    <row r="320" spans="1:11">
      <c r="A320"/>
      <c r="B320"/>
      <c r="C320"/>
      <c r="D320" t="s">
        <v>582</v>
      </c>
      <c r="E320" t="s">
        <v>408</v>
      </c>
      <c r="F320" t="s">
        <v>210</v>
      </c>
      <c r="G320">
        <v>931169182</v>
      </c>
      <c r="H320"/>
      <c r="I320"/>
      <c r="J320"/>
      <c r="K320" t="s">
        <v>300</v>
      </c>
    </row>
    <row r="321" spans="1:11">
      <c r="A321"/>
      <c r="B321"/>
      <c r="C321"/>
      <c r="D321" t="s">
        <v>582</v>
      </c>
      <c r="E321" t="s">
        <v>409</v>
      </c>
      <c r="F321" t="s">
        <v>210</v>
      </c>
      <c r="G321">
        <v>931169182</v>
      </c>
      <c r="H321"/>
      <c r="I321"/>
      <c r="J321"/>
      <c r="K321" t="s">
        <v>300</v>
      </c>
    </row>
    <row r="322" spans="1:11">
      <c r="A322"/>
      <c r="B322"/>
      <c r="C322"/>
      <c r="D322" t="s">
        <v>581</v>
      </c>
      <c r="E322" t="s">
        <v>410</v>
      </c>
      <c r="F322" t="s">
        <v>210</v>
      </c>
      <c r="G322">
        <v>931169182</v>
      </c>
      <c r="H322"/>
      <c r="I322"/>
      <c r="J322"/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H323"/>
      <c r="I323"/>
      <c r="J323"/>
      <c r="K323" t="s">
        <v>302</v>
      </c>
    </row>
    <row r="324" spans="1:11">
      <c r="A324"/>
      <c r="B324"/>
      <c r="C324"/>
      <c r="D324" t="s">
        <v>582</v>
      </c>
      <c r="E324" t="s">
        <v>412</v>
      </c>
      <c r="F324" t="s">
        <v>210</v>
      </c>
      <c r="G324">
        <v>931169182</v>
      </c>
      <c r="H324"/>
      <c r="I324"/>
      <c r="J324"/>
      <c r="K324" t="s">
        <v>302</v>
      </c>
    </row>
    <row r="325" spans="1:11">
      <c r="A325"/>
      <c r="B325"/>
      <c r="C325"/>
      <c r="D325" t="s">
        <v>582</v>
      </c>
      <c r="E325" t="s">
        <v>413</v>
      </c>
      <c r="F325" t="s">
        <v>210</v>
      </c>
      <c r="G325">
        <v>931169182</v>
      </c>
      <c r="H325"/>
      <c r="I325"/>
      <c r="J325"/>
      <c r="K325" t="s">
        <v>302</v>
      </c>
    </row>
    <row r="326" spans="1:11">
      <c r="A326"/>
      <c r="B326"/>
      <c r="C326"/>
      <c r="D326" t="s">
        <v>581</v>
      </c>
      <c r="E326" t="s">
        <v>414</v>
      </c>
      <c r="F326" t="s">
        <v>210</v>
      </c>
      <c r="G326">
        <v>931169182</v>
      </c>
      <c r="H326"/>
      <c r="I326"/>
      <c r="J326"/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H327"/>
      <c r="I327"/>
      <c r="J327"/>
      <c r="K327" t="s">
        <v>308</v>
      </c>
    </row>
    <row r="328" spans="1:11">
      <c r="A328"/>
      <c r="B328"/>
      <c r="C328"/>
      <c r="D328" t="s">
        <v>582</v>
      </c>
      <c r="E328" t="s">
        <v>416</v>
      </c>
      <c r="F328" t="s">
        <v>210</v>
      </c>
      <c r="G328">
        <v>931169182</v>
      </c>
      <c r="H328"/>
      <c r="I328"/>
      <c r="J328"/>
      <c r="K328" t="s">
        <v>308</v>
      </c>
    </row>
    <row r="329" spans="1:11">
      <c r="A329"/>
      <c r="B329"/>
      <c r="C329"/>
      <c r="D329" t="s">
        <v>582</v>
      </c>
      <c r="E329" t="s">
        <v>417</v>
      </c>
      <c r="F329" t="s">
        <v>210</v>
      </c>
      <c r="G329">
        <v>931169182</v>
      </c>
      <c r="H329"/>
      <c r="I329"/>
      <c r="J329"/>
      <c r="K329" t="s">
        <v>308</v>
      </c>
    </row>
    <row r="330" spans="1:11">
      <c r="A330"/>
      <c r="B330"/>
      <c r="C330"/>
      <c r="D330" t="s">
        <v>581</v>
      </c>
      <c r="E330" t="s">
        <v>418</v>
      </c>
      <c r="F330" t="s">
        <v>210</v>
      </c>
      <c r="G330">
        <v>931169182</v>
      </c>
      <c r="H330"/>
      <c r="I330"/>
      <c r="J330"/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H331"/>
      <c r="I331"/>
      <c r="J331"/>
      <c r="K331" t="s">
        <v>288</v>
      </c>
    </row>
    <row r="332" spans="1:11">
      <c r="A332"/>
      <c r="B332"/>
      <c r="C332"/>
      <c r="D332" t="s">
        <v>582</v>
      </c>
      <c r="E332" t="s">
        <v>420</v>
      </c>
      <c r="F332" t="s">
        <v>210</v>
      </c>
      <c r="G332">
        <v>931169182</v>
      </c>
      <c r="H332"/>
      <c r="I332"/>
      <c r="J332"/>
      <c r="K332" t="s">
        <v>288</v>
      </c>
    </row>
    <row r="333" spans="1:11">
      <c r="A333"/>
      <c r="B333"/>
      <c r="C333"/>
      <c r="D333" t="s">
        <v>582</v>
      </c>
      <c r="E333" t="s">
        <v>421</v>
      </c>
      <c r="F333" t="s">
        <v>210</v>
      </c>
      <c r="G333">
        <v>931169182</v>
      </c>
      <c r="H333"/>
      <c r="I333"/>
      <c r="J333"/>
      <c r="K333" t="s">
        <v>288</v>
      </c>
    </row>
    <row r="334" spans="1:11">
      <c r="A334"/>
      <c r="B334"/>
      <c r="C334"/>
      <c r="D334" t="s">
        <v>581</v>
      </c>
      <c r="E334" t="s">
        <v>422</v>
      </c>
      <c r="F334" t="s">
        <v>210</v>
      </c>
      <c r="G334">
        <v>931169182</v>
      </c>
      <c r="H334"/>
      <c r="I334"/>
      <c r="J334"/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H335"/>
      <c r="I335"/>
      <c r="J335"/>
      <c r="K335" t="s">
        <v>291</v>
      </c>
    </row>
    <row r="336" spans="1:11">
      <c r="A336"/>
      <c r="B336"/>
      <c r="C336"/>
      <c r="D336" t="s">
        <v>582</v>
      </c>
      <c r="E336" t="s">
        <v>424</v>
      </c>
      <c r="F336" t="s">
        <v>210</v>
      </c>
      <c r="G336">
        <v>931169182</v>
      </c>
      <c r="H336"/>
      <c r="I336"/>
      <c r="J336"/>
      <c r="K336" t="s">
        <v>291</v>
      </c>
    </row>
    <row r="337" spans="1:11">
      <c r="A337"/>
      <c r="B337"/>
      <c r="C337"/>
      <c r="D337" t="s">
        <v>582</v>
      </c>
      <c r="E337" t="s">
        <v>425</v>
      </c>
      <c r="F337" t="s">
        <v>210</v>
      </c>
      <c r="G337">
        <v>931169182</v>
      </c>
      <c r="H337"/>
      <c r="I337"/>
      <c r="J337"/>
      <c r="K337" t="s">
        <v>291</v>
      </c>
    </row>
    <row r="338" spans="1:11">
      <c r="A338"/>
      <c r="B338"/>
      <c r="C338"/>
      <c r="D338" t="s">
        <v>581</v>
      </c>
      <c r="E338" t="s">
        <v>426</v>
      </c>
      <c r="F338" t="s">
        <v>210</v>
      </c>
      <c r="G338">
        <v>931169182</v>
      </c>
      <c r="H338"/>
      <c r="I338"/>
      <c r="J338"/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H339"/>
      <c r="I339"/>
      <c r="J339"/>
      <c r="K339" t="s">
        <v>317</v>
      </c>
    </row>
    <row r="340" spans="1:11">
      <c r="A340"/>
      <c r="B340"/>
      <c r="C340"/>
      <c r="D340" t="s">
        <v>582</v>
      </c>
      <c r="E340" t="s">
        <v>428</v>
      </c>
      <c r="F340" t="s">
        <v>210</v>
      </c>
      <c r="G340">
        <v>931169182</v>
      </c>
      <c r="H340"/>
      <c r="I340"/>
      <c r="J340"/>
      <c r="K340" t="s">
        <v>317</v>
      </c>
    </row>
    <row r="341" spans="1:11">
      <c r="A341"/>
      <c r="B341"/>
      <c r="C341"/>
      <c r="D341" t="s">
        <v>582</v>
      </c>
      <c r="E341" t="s">
        <v>429</v>
      </c>
      <c r="F341" t="s">
        <v>210</v>
      </c>
      <c r="G341">
        <v>931169182</v>
      </c>
      <c r="H341"/>
      <c r="I341"/>
      <c r="J341"/>
      <c r="K341" t="s">
        <v>317</v>
      </c>
    </row>
    <row r="342" spans="1:11">
      <c r="A342"/>
      <c r="B342"/>
      <c r="C342"/>
      <c r="D342" t="s">
        <v>581</v>
      </c>
      <c r="E342" t="s">
        <v>430</v>
      </c>
      <c r="F342" t="s">
        <v>210</v>
      </c>
      <c r="G342">
        <v>931169182</v>
      </c>
      <c r="H342"/>
      <c r="I342"/>
      <c r="J342"/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H343"/>
      <c r="I343"/>
      <c r="J343"/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H344"/>
      <c r="I344"/>
      <c r="J344"/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H345"/>
      <c r="I345"/>
      <c r="J345"/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H346"/>
      <c r="I346"/>
      <c r="J346"/>
      <c r="K346" t="s">
        <v>317</v>
      </c>
    </row>
    <row r="347" spans="1:11">
      <c r="A347">
        <v>44230</v>
      </c>
      <c r="B347" t="s">
        <v>431</v>
      </c>
      <c r="C347"/>
      <c r="D347" t="s">
        <v>362</v>
      </c>
      <c r="E347" t="s">
        <v>433</v>
      </c>
      <c r="F347" t="s">
        <v>202</v>
      </c>
      <c r="G347"/>
      <c r="H347"/>
      <c r="I347"/>
      <c r="J347"/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H348"/>
      <c r="I348"/>
      <c r="J348"/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H349"/>
      <c r="I349"/>
      <c r="J349"/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H350"/>
      <c r="I350"/>
      <c r="J350"/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H351"/>
      <c r="I351"/>
      <c r="J351"/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H352"/>
      <c r="I352"/>
      <c r="J352"/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H353"/>
      <c r="I353"/>
      <c r="J353"/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H354"/>
      <c r="I354"/>
      <c r="J354"/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H355"/>
      <c r="I355"/>
      <c r="J355"/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H356"/>
      <c r="I356"/>
      <c r="J356"/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H357"/>
      <c r="I357"/>
      <c r="J357"/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H358"/>
      <c r="I358"/>
      <c r="J358"/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H359"/>
      <c r="I359"/>
      <c r="J359"/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H360"/>
      <c r="I360"/>
      <c r="J360"/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H361"/>
      <c r="I361"/>
      <c r="J361"/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H362"/>
      <c r="I362"/>
      <c r="J362"/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H363"/>
      <c r="I363"/>
      <c r="J363"/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H364"/>
      <c r="I364"/>
      <c r="J364"/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H365"/>
      <c r="I365"/>
      <c r="J365"/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H366"/>
      <c r="I366"/>
      <c r="J366"/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H367"/>
      <c r="I367"/>
      <c r="J367"/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H368"/>
      <c r="I368"/>
      <c r="J368"/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H369"/>
      <c r="I369"/>
      <c r="J369"/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H370"/>
      <c r="I370"/>
      <c r="J370"/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H371"/>
      <c r="I371"/>
      <c r="J371"/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H372"/>
      <c r="I372"/>
      <c r="J372"/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H373"/>
      <c r="I373"/>
      <c r="J373"/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H374"/>
      <c r="I374"/>
      <c r="J374"/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H375"/>
      <c r="I375"/>
      <c r="J375"/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H376"/>
      <c r="I376"/>
      <c r="J376"/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H377"/>
      <c r="I377"/>
      <c r="J377"/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H378"/>
      <c r="I378"/>
      <c r="J378"/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H379"/>
      <c r="I379"/>
      <c r="J379"/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H380"/>
      <c r="I380"/>
      <c r="J380"/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H381"/>
      <c r="I381"/>
      <c r="J381"/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H382"/>
      <c r="I382"/>
      <c r="J382"/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H383"/>
      <c r="I383"/>
      <c r="J383"/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H384"/>
      <c r="I384"/>
      <c r="J384"/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H385"/>
      <c r="I385"/>
      <c r="J385"/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H386"/>
      <c r="I386"/>
      <c r="J386"/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H387"/>
      <c r="I387"/>
      <c r="J387"/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H388"/>
      <c r="I388"/>
      <c r="J388"/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H389"/>
      <c r="I389"/>
      <c r="J389"/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H390"/>
      <c r="I390"/>
      <c r="J390"/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H391"/>
      <c r="I391"/>
      <c r="J391"/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H392"/>
      <c r="I392"/>
      <c r="J392"/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H393"/>
      <c r="I393"/>
      <c r="J393"/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H394"/>
      <c r="I394"/>
      <c r="J394"/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H395"/>
      <c r="I395"/>
      <c r="J395"/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H396"/>
      <c r="I396"/>
      <c r="J396"/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H397"/>
      <c r="I397"/>
      <c r="J397"/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H398"/>
      <c r="I398"/>
      <c r="J398"/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H399"/>
      <c r="I399"/>
      <c r="J399"/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H400"/>
      <c r="I400"/>
      <c r="J400"/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H401"/>
      <c r="I401"/>
      <c r="J401"/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H402"/>
      <c r="I402"/>
      <c r="J402"/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H403"/>
      <c r="I403"/>
      <c r="J403"/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H404"/>
      <c r="I404"/>
      <c r="J404"/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H405"/>
      <c r="I405"/>
      <c r="J405"/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H406"/>
      <c r="I406"/>
      <c r="J406"/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H407"/>
      <c r="I407"/>
      <c r="J407"/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H408"/>
      <c r="I408"/>
      <c r="J408"/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H409"/>
      <c r="I409"/>
      <c r="J409"/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H410"/>
      <c r="I410"/>
      <c r="J410"/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H411"/>
      <c r="I411"/>
      <c r="J411"/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H412"/>
      <c r="I412"/>
      <c r="J412"/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H413"/>
      <c r="I413"/>
      <c r="J413"/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H414"/>
      <c r="I414"/>
      <c r="J414"/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H415"/>
      <c r="I415"/>
      <c r="J415"/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H416"/>
      <c r="I416"/>
      <c r="J416"/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H417"/>
      <c r="I417"/>
      <c r="J417"/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H418"/>
      <c r="I418"/>
      <c r="J418"/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H419"/>
      <c r="I419"/>
      <c r="J419"/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H420"/>
      <c r="I420"/>
      <c r="J420"/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H421"/>
      <c r="I421"/>
      <c r="J421"/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H422"/>
      <c r="I422"/>
      <c r="J422"/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H423"/>
      <c r="I423"/>
      <c r="J423"/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H424"/>
      <c r="I424"/>
      <c r="J424"/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H425"/>
      <c r="I425"/>
      <c r="J425"/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H426"/>
      <c r="I426"/>
      <c r="J426"/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H427"/>
      <c r="I427"/>
      <c r="J427"/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H428"/>
      <c r="I428"/>
      <c r="J428"/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H429"/>
      <c r="I429"/>
      <c r="J429"/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H430"/>
      <c r="I430"/>
      <c r="J430"/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H431"/>
      <c r="I431"/>
      <c r="J431"/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H432"/>
      <c r="I432"/>
      <c r="J432"/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H433"/>
      <c r="I433"/>
      <c r="J433"/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H434"/>
      <c r="I434"/>
      <c r="J434"/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H435"/>
      <c r="I435"/>
      <c r="J435"/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H436"/>
      <c r="I436"/>
      <c r="J436"/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H437"/>
      <c r="I437"/>
      <c r="J437"/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H438"/>
      <c r="I438"/>
      <c r="J438"/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H439"/>
      <c r="I439"/>
      <c r="J439"/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H440"/>
      <c r="I440"/>
      <c r="J440"/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H441"/>
      <c r="I441"/>
      <c r="J441"/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H442"/>
      <c r="I442"/>
      <c r="J442"/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H443"/>
      <c r="I443"/>
      <c r="J443"/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H444"/>
      <c r="I444"/>
      <c r="J444"/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H445"/>
      <c r="I445"/>
      <c r="J445"/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H446"/>
      <c r="I446"/>
      <c r="J446"/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H447"/>
      <c r="I447"/>
      <c r="J447"/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H448"/>
      <c r="I448"/>
      <c r="J448"/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H449"/>
      <c r="I449"/>
      <c r="J449"/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H450"/>
      <c r="I450"/>
      <c r="J450"/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H451"/>
      <c r="I451"/>
      <c r="J451"/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H452"/>
      <c r="I452"/>
      <c r="J452"/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H453"/>
      <c r="I453"/>
      <c r="J453"/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H454"/>
      <c r="I454"/>
      <c r="J454"/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H455"/>
      <c r="I455"/>
      <c r="J455"/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H456"/>
      <c r="I456"/>
      <c r="J456"/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H457"/>
      <c r="I457"/>
      <c r="J457"/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H458"/>
      <c r="I458"/>
      <c r="J458"/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H459"/>
      <c r="I459"/>
      <c r="J459"/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H460"/>
      <c r="I460"/>
      <c r="J460"/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H461"/>
      <c r="I461"/>
      <c r="J461"/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H462"/>
      <c r="I462"/>
      <c r="J462"/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H463"/>
      <c r="I463"/>
      <c r="J463"/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H464"/>
      <c r="I464"/>
      <c r="J464"/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H465"/>
      <c r="I465"/>
      <c r="J465"/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H466"/>
      <c r="I466"/>
      <c r="J466"/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H467"/>
      <c r="I467"/>
      <c r="J467"/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H468"/>
      <c r="I468"/>
      <c r="J468"/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H469"/>
      <c r="I469"/>
      <c r="J469"/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H470"/>
      <c r="I470"/>
      <c r="J470"/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H471"/>
      <c r="I471"/>
      <c r="J471"/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H472"/>
      <c r="I472"/>
      <c r="J472"/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H473"/>
      <c r="I473"/>
      <c r="J473"/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H474"/>
      <c r="I474"/>
      <c r="J474"/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H475"/>
      <c r="I475"/>
      <c r="J475"/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H476"/>
      <c r="I476"/>
      <c r="J476"/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H477"/>
      <c r="I477"/>
      <c r="J477"/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H478"/>
      <c r="I478"/>
      <c r="J478"/>
      <c r="K478" t="s">
        <v>302</v>
      </c>
    </row>
    <row r="479" spans="1:11">
      <c r="A479">
        <v>44230</v>
      </c>
      <c r="B479" t="s">
        <v>431</v>
      </c>
      <c r="C479"/>
      <c r="D479" t="s">
        <v>362</v>
      </c>
      <c r="E479" t="s">
        <v>434</v>
      </c>
      <c r="F479" t="s">
        <v>202</v>
      </c>
      <c r="G479"/>
      <c r="H479"/>
      <c r="I479"/>
      <c r="J479"/>
      <c r="K479" t="s">
        <v>266</v>
      </c>
    </row>
    <row r="480" spans="1:11">
      <c r="A480">
        <v>44230</v>
      </c>
      <c r="B480" t="s">
        <v>431</v>
      </c>
      <c r="C480"/>
      <c r="D480" t="s">
        <v>362</v>
      </c>
      <c r="E480" t="s">
        <v>435</v>
      </c>
      <c r="F480" t="s">
        <v>202</v>
      </c>
      <c r="G480"/>
      <c r="H480"/>
      <c r="I480"/>
      <c r="J480"/>
      <c r="K480" t="s">
        <v>270</v>
      </c>
    </row>
    <row r="481" spans="1:11">
      <c r="A481">
        <v>44230</v>
      </c>
      <c r="B481" t="s">
        <v>431</v>
      </c>
      <c r="C481"/>
      <c r="D481" t="s">
        <v>362</v>
      </c>
      <c r="E481" t="s">
        <v>436</v>
      </c>
      <c r="F481" t="s">
        <v>202</v>
      </c>
      <c r="G481"/>
      <c r="H481"/>
      <c r="I481"/>
      <c r="J481"/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H482"/>
      <c r="I482"/>
      <c r="J482"/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H483"/>
      <c r="I483"/>
      <c r="J483"/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H484"/>
      <c r="I484"/>
      <c r="J484"/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H485"/>
      <c r="I485"/>
      <c r="J485"/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H486"/>
      <c r="I486"/>
      <c r="J486"/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H487"/>
      <c r="I487"/>
      <c r="J487"/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H488"/>
      <c r="I488"/>
      <c r="J488"/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H489"/>
      <c r="I489"/>
      <c r="J489"/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H490"/>
      <c r="I490"/>
      <c r="J490"/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H491"/>
      <c r="I491"/>
      <c r="J491"/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H492"/>
      <c r="I492"/>
      <c r="J492"/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H493"/>
      <c r="I493"/>
      <c r="J493"/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H494"/>
      <c r="I494"/>
      <c r="J494"/>
      <c r="K494" t="s">
        <v>317</v>
      </c>
    </row>
    <row r="495" spans="1:11">
      <c r="A495">
        <v>44230</v>
      </c>
      <c r="B495" t="s">
        <v>431</v>
      </c>
      <c r="C495"/>
      <c r="D495" t="s">
        <v>362</v>
      </c>
      <c r="E495" t="s">
        <v>432</v>
      </c>
      <c r="F495" t="s">
        <v>202</v>
      </c>
      <c r="G495"/>
      <c r="H495"/>
      <c r="I495"/>
      <c r="J495"/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H496"/>
      <c r="I496"/>
      <c r="J496"/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H497"/>
      <c r="I497"/>
      <c r="J497"/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H498"/>
      <c r="I498"/>
      <c r="J498"/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G499"/>
      <c r="H499"/>
      <c r="I499"/>
      <c r="J499"/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H500"/>
      <c r="I500"/>
      <c r="J500"/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H501"/>
      <c r="I501"/>
      <c r="J501"/>
      <c r="K501" t="s">
        <v>342</v>
      </c>
    </row>
    <row r="502" spans="1:11">
      <c r="A502" s="1">
        <v>44238</v>
      </c>
      <c r="B502" s="1" t="s">
        <v>610</v>
      </c>
      <c r="C502" s="1">
        <v>44237</v>
      </c>
      <c r="D502" t="s">
        <v>611</v>
      </c>
      <c r="E502" t="s">
        <v>612</v>
      </c>
      <c r="F502" s="1" t="s">
        <v>202</v>
      </c>
      <c r="G502" t="s">
        <v>613</v>
      </c>
      <c r="H502"/>
      <c r="I502"/>
      <c r="J502"/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F503"/>
      <c r="G503"/>
      <c r="H503"/>
      <c r="I503"/>
      <c r="J503"/>
      <c r="K503" t="s">
        <v>198</v>
      </c>
    </row>
    <row r="504" spans="1:11">
      <c r="A504"/>
      <c r="B504" t="s">
        <v>618</v>
      </c>
      <c r="C504"/>
      <c r="D504" t="s">
        <v>616</v>
      </c>
      <c r="E504" t="s">
        <v>620</v>
      </c>
      <c r="F504"/>
      <c r="G504"/>
      <c r="H504"/>
      <c r="I504"/>
      <c r="J504"/>
      <c r="K504" t="s">
        <v>198</v>
      </c>
    </row>
    <row r="505" spans="1:11">
      <c r="A505"/>
      <c r="B505" t="s">
        <v>619</v>
      </c>
      <c r="C505"/>
      <c r="D505" t="s">
        <v>617</v>
      </c>
      <c r="E505" t="s">
        <v>621</v>
      </c>
      <c r="F505"/>
      <c r="G505"/>
      <c r="H505"/>
      <c r="I505"/>
      <c r="J505"/>
      <c r="K505" t="s">
        <v>198</v>
      </c>
    </row>
    <row r="506" spans="1:11">
      <c r="A506"/>
      <c r="B506" t="s">
        <v>619</v>
      </c>
      <c r="C506"/>
      <c r="D506" t="s">
        <v>617</v>
      </c>
      <c r="E506" t="s">
        <v>622</v>
      </c>
      <c r="F506"/>
      <c r="G506"/>
      <c r="H506"/>
      <c r="I506"/>
      <c r="J506"/>
      <c r="K506" t="s">
        <v>198</v>
      </c>
    </row>
    <row r="507" spans="1:11">
      <c r="B507" s="1" t="s">
        <v>619</v>
      </c>
      <c r="D507" s="1" t="s">
        <v>617</v>
      </c>
      <c r="E507" s="1" t="s">
        <v>623</v>
      </c>
      <c r="K507" s="1" t="s">
        <v>198</v>
      </c>
    </row>
    <row r="508" spans="1:11">
      <c r="B508" s="1" t="s">
        <v>619</v>
      </c>
      <c r="D508" t="s">
        <v>617</v>
      </c>
      <c r="E508" t="s">
        <v>624</v>
      </c>
      <c r="G508"/>
      <c r="H508"/>
      <c r="I508"/>
      <c r="J508"/>
      <c r="K508" t="s">
        <v>198</v>
      </c>
    </row>
    <row r="509" spans="1:11">
      <c r="A509"/>
      <c r="B509" t="s">
        <v>619</v>
      </c>
      <c r="C509"/>
      <c r="D509" t="s">
        <v>617</v>
      </c>
      <c r="E509" t="s">
        <v>625</v>
      </c>
      <c r="F509"/>
      <c r="G509"/>
      <c r="H509"/>
      <c r="I509"/>
      <c r="J509"/>
      <c r="K509" t="s">
        <v>198</v>
      </c>
    </row>
    <row r="510" spans="1:11">
      <c r="A510"/>
      <c r="B510" t="s">
        <v>619</v>
      </c>
      <c r="C510"/>
      <c r="D510" t="s">
        <v>617</v>
      </c>
      <c r="E510" t="s">
        <v>626</v>
      </c>
      <c r="F510"/>
      <c r="G510"/>
      <c r="H510"/>
      <c r="I510"/>
      <c r="J510"/>
      <c r="K510" t="s">
        <v>198</v>
      </c>
    </row>
    <row r="511" spans="1:11">
      <c r="A511"/>
      <c r="B511" t="s">
        <v>619</v>
      </c>
      <c r="C511"/>
      <c r="D511" t="s">
        <v>617</v>
      </c>
      <c r="E511" t="s">
        <v>627</v>
      </c>
      <c r="F511"/>
      <c r="G511"/>
      <c r="H511"/>
      <c r="I511"/>
      <c r="J511"/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H512"/>
      <c r="I512"/>
      <c r="J512"/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H513"/>
      <c r="I513"/>
      <c r="J513"/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H514"/>
      <c r="I514"/>
      <c r="J514"/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H515"/>
      <c r="I515"/>
      <c r="J515"/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H516"/>
      <c r="I516"/>
      <c r="J516"/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H517"/>
      <c r="I517"/>
      <c r="J517"/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H518"/>
      <c r="I518"/>
      <c r="J518"/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H519"/>
      <c r="I519"/>
      <c r="J519"/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H520"/>
      <c r="I520"/>
      <c r="J520"/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H521"/>
      <c r="I521"/>
      <c r="J521"/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H522"/>
      <c r="I522"/>
      <c r="J522"/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H523"/>
      <c r="I523"/>
      <c r="J523"/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H524"/>
      <c r="I524"/>
      <c r="J524"/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G525"/>
      <c r="H525"/>
      <c r="I525"/>
      <c r="J525"/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F526"/>
      <c r="G526"/>
      <c r="H526"/>
      <c r="I526"/>
      <c r="J526"/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F527"/>
      <c r="G527"/>
      <c r="H527"/>
      <c r="I527"/>
      <c r="J527"/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F528"/>
      <c r="G528"/>
      <c r="H528"/>
      <c r="I528"/>
      <c r="J528"/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F529"/>
      <c r="G529"/>
      <c r="H529"/>
      <c r="I529"/>
      <c r="J529"/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H530"/>
      <c r="I530"/>
      <c r="J530"/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H531"/>
      <c r="I531"/>
      <c r="J531"/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H532"/>
      <c r="I532"/>
      <c r="J532"/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H533"/>
      <c r="I533"/>
      <c r="J533"/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H534"/>
      <c r="I534"/>
      <c r="J534"/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H535"/>
      <c r="I535"/>
      <c r="J535"/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H536"/>
      <c r="I536"/>
      <c r="J536"/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H537"/>
      <c r="I537"/>
      <c r="J537"/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H538"/>
      <c r="I538"/>
      <c r="J538"/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H539"/>
      <c r="I539"/>
      <c r="J539"/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H540"/>
      <c r="I540"/>
      <c r="J540"/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H541"/>
      <c r="I541"/>
      <c r="J541"/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H542"/>
      <c r="I542"/>
      <c r="J542"/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H543"/>
      <c r="I543"/>
      <c r="J543"/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H544"/>
      <c r="I544"/>
      <c r="J544"/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H545"/>
      <c r="I545"/>
      <c r="J545"/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H546"/>
      <c r="I546"/>
      <c r="J546"/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H547"/>
      <c r="I547"/>
      <c r="J547"/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H548"/>
      <c r="I548"/>
      <c r="J548"/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H549"/>
      <c r="I549"/>
      <c r="J549"/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H550"/>
      <c r="I550"/>
      <c r="J550"/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H551"/>
      <c r="I551"/>
      <c r="J551"/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H552"/>
      <c r="I552"/>
      <c r="J552"/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H553"/>
      <c r="I553"/>
      <c r="J553"/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H554"/>
      <c r="I554"/>
      <c r="J554"/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H555"/>
      <c r="I555"/>
      <c r="J555"/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H556"/>
      <c r="I556"/>
      <c r="J556"/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H557"/>
      <c r="I557"/>
      <c r="J557"/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H558"/>
      <c r="I558"/>
      <c r="J558"/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H559"/>
      <c r="I559"/>
      <c r="J559"/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H560"/>
      <c r="I560"/>
      <c r="J560"/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H561"/>
      <c r="I561"/>
      <c r="J561"/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H562"/>
      <c r="I562"/>
      <c r="J562"/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H563"/>
      <c r="I563"/>
      <c r="J563"/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H564"/>
      <c r="I564"/>
      <c r="J564"/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H565"/>
      <c r="I565"/>
      <c r="J565"/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H566"/>
      <c r="I566"/>
      <c r="J566"/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H567"/>
      <c r="I567"/>
      <c r="J567"/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H568"/>
      <c r="I568"/>
      <c r="J568"/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H569"/>
      <c r="I569"/>
      <c r="J569"/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H570"/>
      <c r="I570"/>
      <c r="J570"/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H571"/>
      <c r="I571"/>
      <c r="J571"/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H572"/>
      <c r="I572"/>
      <c r="J572"/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H573"/>
      <c r="I573"/>
      <c r="J573"/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H574"/>
      <c r="I574"/>
      <c r="J574"/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H575"/>
      <c r="I575"/>
      <c r="J575"/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H576"/>
      <c r="I576"/>
      <c r="J576"/>
      <c r="K576" t="s">
        <v>703</v>
      </c>
    </row>
    <row r="577" spans="1:11">
      <c r="A577"/>
      <c r="B577"/>
      <c r="C577"/>
      <c r="D577" t="s">
        <v>716</v>
      </c>
      <c r="E577" t="s">
        <v>717</v>
      </c>
      <c r="F577"/>
      <c r="G577"/>
      <c r="H577"/>
      <c r="I577"/>
      <c r="J577"/>
      <c r="K577" t="s">
        <v>703</v>
      </c>
    </row>
    <row r="578" spans="1:11">
      <c r="A578"/>
      <c r="B578"/>
      <c r="C578"/>
      <c r="D578" t="s">
        <v>650</v>
      </c>
      <c r="E578" t="s">
        <v>718</v>
      </c>
      <c r="F578"/>
      <c r="G578"/>
      <c r="H578"/>
      <c r="I578"/>
      <c r="J578"/>
      <c r="K578" t="s">
        <v>703</v>
      </c>
    </row>
    <row r="579" spans="1:11">
      <c r="A579"/>
      <c r="B579"/>
      <c r="C579"/>
      <c r="D579" t="s">
        <v>650</v>
      </c>
      <c r="E579" t="s">
        <v>719</v>
      </c>
      <c r="F579"/>
      <c r="G579"/>
      <c r="H579"/>
      <c r="I579"/>
      <c r="J579"/>
      <c r="K579" t="s">
        <v>703</v>
      </c>
    </row>
    <row r="580" spans="1:11">
      <c r="A580"/>
      <c r="B580"/>
      <c r="C580"/>
      <c r="D580" t="s">
        <v>655</v>
      </c>
      <c r="E580" t="s">
        <v>720</v>
      </c>
      <c r="F580"/>
      <c r="G580"/>
      <c r="H580"/>
      <c r="I580"/>
      <c r="J580"/>
      <c r="K580" t="s">
        <v>703</v>
      </c>
    </row>
    <row r="581" spans="1:11">
      <c r="A581"/>
      <c r="B581"/>
      <c r="C581"/>
      <c r="D581" t="s">
        <v>721</v>
      </c>
      <c r="E581" t="s">
        <v>722</v>
      </c>
      <c r="F581"/>
      <c r="G581"/>
      <c r="H581"/>
      <c r="I581"/>
      <c r="J581"/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H582"/>
      <c r="I582"/>
      <c r="J582"/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H583"/>
      <c r="I583"/>
      <c r="J583"/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H584"/>
      <c r="I584"/>
      <c r="J584"/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H585"/>
      <c r="I585"/>
      <c r="J585"/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H586"/>
      <c r="I586"/>
      <c r="J586"/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H587"/>
      <c r="I587"/>
      <c r="J587"/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H588"/>
      <c r="I588"/>
      <c r="J588"/>
      <c r="K588" t="s">
        <v>723</v>
      </c>
    </row>
    <row r="589" spans="1:11">
      <c r="A589"/>
      <c r="B589"/>
      <c r="C589"/>
      <c r="D589" t="s">
        <v>716</v>
      </c>
      <c r="E589" t="s">
        <v>731</v>
      </c>
      <c r="F589"/>
      <c r="G589"/>
      <c r="H589"/>
      <c r="I589"/>
      <c r="J589"/>
      <c r="K589" t="s">
        <v>723</v>
      </c>
    </row>
    <row r="590" spans="1:11">
      <c r="A590"/>
      <c r="B590"/>
      <c r="C590"/>
      <c r="D590" t="s">
        <v>650</v>
      </c>
      <c r="E590" t="s">
        <v>733</v>
      </c>
      <c r="F590"/>
      <c r="G590"/>
      <c r="H590"/>
      <c r="I590"/>
      <c r="J590"/>
      <c r="K590" t="s">
        <v>723</v>
      </c>
    </row>
    <row r="591" spans="1:11">
      <c r="A591"/>
      <c r="B591"/>
      <c r="C591"/>
      <c r="D591" t="s">
        <v>650</v>
      </c>
      <c r="E591" t="s">
        <v>734</v>
      </c>
      <c r="F591"/>
      <c r="G591"/>
      <c r="H591"/>
      <c r="I591"/>
      <c r="J591"/>
      <c r="K591" t="s">
        <v>723</v>
      </c>
    </row>
    <row r="592" spans="1:11">
      <c r="A592"/>
      <c r="B592"/>
      <c r="C592"/>
      <c r="D592" t="s">
        <v>655</v>
      </c>
      <c r="E592" t="s">
        <v>735</v>
      </c>
      <c r="F592"/>
      <c r="G592"/>
      <c r="H592"/>
      <c r="I592"/>
      <c r="J592"/>
      <c r="K592" t="s">
        <v>723</v>
      </c>
    </row>
    <row r="593" spans="1:11">
      <c r="A593"/>
      <c r="B593"/>
      <c r="C593"/>
      <c r="D593" t="s">
        <v>721</v>
      </c>
      <c r="E593" t="s">
        <v>732</v>
      </c>
      <c r="F593"/>
      <c r="G593"/>
      <c r="H593"/>
      <c r="I593"/>
      <c r="J593"/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H594"/>
      <c r="I594"/>
      <c r="J594"/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H595"/>
      <c r="I595"/>
      <c r="J595"/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H596"/>
      <c r="I596"/>
      <c r="J596"/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H597"/>
      <c r="I597"/>
      <c r="J597"/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H598"/>
      <c r="I598"/>
      <c r="J598"/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H599"/>
      <c r="I599"/>
      <c r="J599"/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H600"/>
      <c r="I600"/>
      <c r="J600"/>
      <c r="K600" t="s">
        <v>736</v>
      </c>
    </row>
    <row r="601" spans="1:11">
      <c r="A601">
        <v>44246</v>
      </c>
      <c r="B601">
        <v>10811720195</v>
      </c>
      <c r="C601"/>
      <c r="D601" t="s">
        <v>751</v>
      </c>
      <c r="E601" t="s">
        <v>752</v>
      </c>
      <c r="F601" t="s">
        <v>753</v>
      </c>
      <c r="G601"/>
      <c r="H601"/>
      <c r="I601"/>
      <c r="J601"/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H602"/>
      <c r="I602"/>
      <c r="J602"/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H603"/>
      <c r="I603"/>
      <c r="J603"/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H604"/>
      <c r="I604"/>
      <c r="J604"/>
      <c r="K604" t="s">
        <v>736</v>
      </c>
    </row>
    <row r="605" spans="1:11">
      <c r="A605"/>
      <c r="B605"/>
      <c r="C605"/>
      <c r="D605" t="s">
        <v>768</v>
      </c>
      <c r="E605" t="s">
        <v>760</v>
      </c>
      <c r="F605"/>
      <c r="G605"/>
      <c r="H605"/>
      <c r="I605"/>
      <c r="J605"/>
      <c r="K605" t="s">
        <v>736</v>
      </c>
    </row>
    <row r="606" spans="1:11">
      <c r="A606"/>
      <c r="B606"/>
      <c r="C606"/>
      <c r="D606" t="s">
        <v>582</v>
      </c>
      <c r="E606" t="s">
        <v>761</v>
      </c>
      <c r="F606"/>
      <c r="G606"/>
      <c r="H606"/>
      <c r="I606"/>
      <c r="J606"/>
      <c r="K606" t="s">
        <v>736</v>
      </c>
    </row>
    <row r="607" spans="1:11">
      <c r="A607"/>
      <c r="B607"/>
      <c r="C607"/>
      <c r="D607" t="s">
        <v>582</v>
      </c>
      <c r="E607" t="s">
        <v>762</v>
      </c>
      <c r="F607"/>
      <c r="G607"/>
      <c r="H607"/>
      <c r="I607"/>
      <c r="J607"/>
      <c r="K607" t="s">
        <v>736</v>
      </c>
    </row>
    <row r="608" spans="1:11">
      <c r="A608"/>
      <c r="B608"/>
      <c r="C608"/>
      <c r="D608" t="s">
        <v>772</v>
      </c>
      <c r="E608" t="s">
        <v>763</v>
      </c>
      <c r="F608"/>
      <c r="G608"/>
      <c r="H608"/>
      <c r="I608"/>
      <c r="J608"/>
      <c r="K608" t="s">
        <v>736</v>
      </c>
    </row>
    <row r="609" spans="1:11">
      <c r="A609"/>
      <c r="B609"/>
      <c r="C609"/>
      <c r="D609" t="s">
        <v>767</v>
      </c>
      <c r="E609" t="s">
        <v>764</v>
      </c>
      <c r="F609"/>
      <c r="G609"/>
      <c r="H609"/>
      <c r="I609"/>
      <c r="J609"/>
      <c r="K609" t="s">
        <v>736</v>
      </c>
    </row>
    <row r="610" spans="1:11">
      <c r="A610"/>
      <c r="B610"/>
      <c r="C610"/>
      <c r="D610" t="s">
        <v>773</v>
      </c>
      <c r="E610" t="s">
        <v>765</v>
      </c>
      <c r="F610"/>
      <c r="G610"/>
      <c r="H610"/>
      <c r="I610"/>
      <c r="J610"/>
      <c r="K610" t="s">
        <v>736</v>
      </c>
    </row>
    <row r="611" spans="1:11">
      <c r="A611"/>
      <c r="B611"/>
      <c r="C611"/>
      <c r="D611" t="s">
        <v>293</v>
      </c>
      <c r="E611" t="s">
        <v>766</v>
      </c>
      <c r="F611"/>
      <c r="G611"/>
      <c r="H611"/>
      <c r="I611"/>
      <c r="J611"/>
      <c r="K611" t="s">
        <v>736</v>
      </c>
    </row>
    <row r="612" spans="1:11">
      <c r="A612">
        <v>44230</v>
      </c>
      <c r="B612" t="s">
        <v>769</v>
      </c>
      <c r="C612"/>
      <c r="D612" t="s">
        <v>770</v>
      </c>
      <c r="E612" t="s">
        <v>771</v>
      </c>
      <c r="F612" t="s">
        <v>202</v>
      </c>
      <c r="G612"/>
      <c r="H612"/>
      <c r="I612"/>
      <c r="J612"/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H613"/>
      <c r="I613"/>
      <c r="J613"/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H614"/>
      <c r="I614"/>
      <c r="J614"/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H615"/>
      <c r="I615"/>
      <c r="J615"/>
      <c r="K615" t="s">
        <v>775</v>
      </c>
    </row>
    <row r="616" spans="1:11">
      <c r="A616"/>
      <c r="B616"/>
      <c r="C616"/>
      <c r="D616" t="s">
        <v>779</v>
      </c>
      <c r="E616" t="s">
        <v>780</v>
      </c>
      <c r="F616"/>
      <c r="G616"/>
      <c r="H616"/>
      <c r="I616"/>
      <c r="J616"/>
      <c r="K616" t="s">
        <v>775</v>
      </c>
    </row>
    <row r="617" spans="1:11">
      <c r="A617"/>
      <c r="B617"/>
      <c r="C617"/>
      <c r="D617" t="s">
        <v>779</v>
      </c>
      <c r="E617" t="s">
        <v>781</v>
      </c>
      <c r="F617"/>
      <c r="G617"/>
      <c r="H617"/>
      <c r="I617"/>
      <c r="J617"/>
      <c r="K617" t="s">
        <v>775</v>
      </c>
    </row>
    <row r="618" spans="1:11">
      <c r="A618"/>
      <c r="B618"/>
      <c r="C618"/>
      <c r="D618" t="s">
        <v>782</v>
      </c>
      <c r="E618" t="s">
        <v>783</v>
      </c>
      <c r="F618"/>
      <c r="G618"/>
      <c r="H618"/>
      <c r="I618"/>
      <c r="J618"/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H619"/>
      <c r="I619"/>
      <c r="J619"/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H620"/>
      <c r="I620"/>
      <c r="J620"/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H621"/>
      <c r="I621"/>
      <c r="J621"/>
      <c r="K621" t="s">
        <v>775</v>
      </c>
    </row>
    <row r="622" spans="1:11">
      <c r="A622"/>
      <c r="B622"/>
      <c r="C622"/>
      <c r="D622" t="s">
        <v>789</v>
      </c>
      <c r="E622" t="s">
        <v>790</v>
      </c>
      <c r="F622"/>
      <c r="G622"/>
      <c r="H622"/>
      <c r="I622"/>
      <c r="J622"/>
      <c r="K622" t="s">
        <v>775</v>
      </c>
    </row>
    <row r="623" spans="1:11">
      <c r="A623"/>
      <c r="B623"/>
      <c r="C623"/>
      <c r="D623" t="s">
        <v>803</v>
      </c>
      <c r="E623" t="s">
        <v>791</v>
      </c>
      <c r="F623"/>
      <c r="G623"/>
      <c r="H623"/>
      <c r="I623"/>
      <c r="J623"/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H624"/>
      <c r="I624"/>
      <c r="J624"/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H625"/>
      <c r="I625"/>
      <c r="J625"/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H626"/>
      <c r="I626"/>
      <c r="J626"/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H627"/>
      <c r="I627"/>
      <c r="J627"/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H628"/>
      <c r="I628"/>
      <c r="J628"/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H629"/>
      <c r="I629"/>
      <c r="J629"/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H630"/>
      <c r="I630"/>
      <c r="J630"/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H631"/>
      <c r="I631"/>
      <c r="J631"/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H632"/>
      <c r="I632"/>
      <c r="J632"/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H633"/>
      <c r="I633"/>
      <c r="J633"/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H634"/>
      <c r="I634"/>
      <c r="J634"/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H635"/>
      <c r="I635"/>
      <c r="J635"/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H636"/>
      <c r="I636"/>
      <c r="J636"/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H637"/>
      <c r="I637"/>
      <c r="J637"/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H638"/>
      <c r="I638"/>
      <c r="J638"/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H639"/>
      <c r="I639"/>
      <c r="J639"/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H640"/>
      <c r="I640"/>
      <c r="J640"/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H641"/>
      <c r="I641"/>
      <c r="J641"/>
      <c r="K641" t="s">
        <v>806</v>
      </c>
    </row>
    <row r="642" spans="1:11">
      <c r="A642">
        <v>44253</v>
      </c>
      <c r="B642" t="s">
        <v>816</v>
      </c>
      <c r="C642"/>
      <c r="D642" t="s">
        <v>829</v>
      </c>
      <c r="E642" t="s">
        <v>817</v>
      </c>
      <c r="F642" t="s">
        <v>818</v>
      </c>
      <c r="G642"/>
      <c r="H642"/>
      <c r="I642"/>
      <c r="J642"/>
      <c r="K642" t="s">
        <v>806</v>
      </c>
    </row>
    <row r="643" spans="1:11">
      <c r="A643">
        <v>44260</v>
      </c>
      <c r="B643">
        <v>21753299389</v>
      </c>
      <c r="C643"/>
      <c r="D643" t="s">
        <v>819</v>
      </c>
      <c r="E643" t="s">
        <v>820</v>
      </c>
      <c r="F643" t="s">
        <v>821</v>
      </c>
      <c r="G643">
        <v>105133409</v>
      </c>
      <c r="H643"/>
      <c r="I643"/>
      <c r="J643"/>
      <c r="K643" t="s">
        <v>806</v>
      </c>
    </row>
    <row r="644" spans="1:11">
      <c r="A644"/>
      <c r="B644"/>
      <c r="C644"/>
      <c r="D644" t="s">
        <v>650</v>
      </c>
      <c r="E644" t="s">
        <v>822</v>
      </c>
      <c r="F644"/>
      <c r="G644"/>
      <c r="H644"/>
      <c r="I644"/>
      <c r="J644"/>
      <c r="K644" t="s">
        <v>806</v>
      </c>
    </row>
    <row r="645" spans="1:11">
      <c r="A645"/>
      <c r="B645"/>
      <c r="C645"/>
      <c r="D645" t="s">
        <v>650</v>
      </c>
      <c r="E645" t="s">
        <v>823</v>
      </c>
      <c r="F645"/>
      <c r="G645"/>
      <c r="H645"/>
      <c r="I645"/>
      <c r="J645"/>
      <c r="K645" t="s">
        <v>806</v>
      </c>
    </row>
    <row r="646" spans="1:11">
      <c r="A646"/>
      <c r="B646"/>
      <c r="C646"/>
      <c r="D646" t="s">
        <v>824</v>
      </c>
      <c r="E646" t="s">
        <v>828</v>
      </c>
      <c r="F646" t="s">
        <v>825</v>
      </c>
      <c r="G646" t="s">
        <v>825</v>
      </c>
      <c r="H646"/>
      <c r="I646"/>
      <c r="J646"/>
      <c r="K646" t="s">
        <v>806</v>
      </c>
    </row>
    <row r="647" spans="1:11">
      <c r="A647"/>
      <c r="B647"/>
      <c r="C647"/>
      <c r="D647" t="s">
        <v>655</v>
      </c>
      <c r="E647" t="s">
        <v>825</v>
      </c>
      <c r="F647"/>
      <c r="G647"/>
      <c r="H647"/>
      <c r="I647"/>
      <c r="J647"/>
      <c r="K647" t="s">
        <v>806</v>
      </c>
    </row>
    <row r="648" spans="1:11">
      <c r="A648">
        <v>44260</v>
      </c>
      <c r="B648">
        <v>10811755418</v>
      </c>
      <c r="C648"/>
      <c r="D648" t="s">
        <v>826</v>
      </c>
      <c r="E648" t="s">
        <v>827</v>
      </c>
      <c r="F648" t="s">
        <v>753</v>
      </c>
      <c r="G648">
        <v>40017645</v>
      </c>
      <c r="H648"/>
      <c r="I648"/>
      <c r="J648"/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H649"/>
      <c r="I649"/>
      <c r="J649"/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H650"/>
      <c r="I650"/>
      <c r="J650"/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H651"/>
      <c r="I651"/>
      <c r="J651"/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H652"/>
      <c r="I652"/>
      <c r="J652"/>
      <c r="K652" t="s">
        <v>853</v>
      </c>
    </row>
    <row r="653" spans="1:11">
      <c r="A653"/>
      <c r="B653"/>
      <c r="C653"/>
      <c r="D653" t="s">
        <v>898</v>
      </c>
      <c r="E653" t="s">
        <v>837</v>
      </c>
      <c r="F653"/>
      <c r="G653"/>
      <c r="H653"/>
      <c r="I653"/>
      <c r="J653"/>
      <c r="K653" t="s">
        <v>853</v>
      </c>
    </row>
    <row r="654" spans="1:11">
      <c r="A654"/>
      <c r="B654"/>
      <c r="C654"/>
      <c r="D654" t="s">
        <v>900</v>
      </c>
      <c r="E654" t="s">
        <v>838</v>
      </c>
      <c r="F654"/>
      <c r="G654"/>
      <c r="H654"/>
      <c r="I654"/>
      <c r="J654"/>
      <c r="K654" t="s">
        <v>853</v>
      </c>
    </row>
    <row r="655" spans="1:11">
      <c r="A655"/>
      <c r="B655"/>
      <c r="C655"/>
      <c r="D655" t="s">
        <v>895</v>
      </c>
      <c r="E655" t="s">
        <v>839</v>
      </c>
      <c r="F655"/>
      <c r="G655"/>
      <c r="H655"/>
      <c r="I655"/>
      <c r="J655"/>
      <c r="K655" t="s">
        <v>853</v>
      </c>
    </row>
    <row r="656" spans="1:11">
      <c r="A656"/>
      <c r="B656"/>
      <c r="C656"/>
      <c r="D656" t="s">
        <v>895</v>
      </c>
      <c r="E656" t="s">
        <v>840</v>
      </c>
      <c r="F656"/>
      <c r="G656"/>
      <c r="H656"/>
      <c r="I656"/>
      <c r="J656"/>
      <c r="K656" t="s">
        <v>853</v>
      </c>
    </row>
    <row r="657" spans="1:11">
      <c r="A657"/>
      <c r="B657"/>
      <c r="C657"/>
      <c r="D657" t="s">
        <v>897</v>
      </c>
      <c r="E657" t="s">
        <v>841</v>
      </c>
      <c r="F657"/>
      <c r="G657"/>
      <c r="H657"/>
      <c r="I657"/>
      <c r="J657"/>
      <c r="K657" t="s">
        <v>853</v>
      </c>
    </row>
    <row r="658" spans="1:11">
      <c r="A658"/>
      <c r="B658"/>
      <c r="C658"/>
      <c r="D658" t="s">
        <v>896</v>
      </c>
      <c r="E658" t="s">
        <v>842</v>
      </c>
      <c r="F658"/>
      <c r="G658"/>
      <c r="H658"/>
      <c r="I658"/>
      <c r="J658"/>
      <c r="K658" t="s">
        <v>853</v>
      </c>
    </row>
    <row r="659" spans="1:11">
      <c r="A659"/>
      <c r="B659"/>
      <c r="C659"/>
      <c r="D659" t="s">
        <v>899</v>
      </c>
      <c r="E659" t="s">
        <v>843</v>
      </c>
      <c r="F659"/>
      <c r="G659"/>
      <c r="H659"/>
      <c r="I659"/>
      <c r="J659"/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H660"/>
      <c r="I660"/>
      <c r="J660"/>
      <c r="K660" t="s">
        <v>866</v>
      </c>
    </row>
    <row r="661" spans="1:11">
      <c r="A661"/>
      <c r="B661"/>
      <c r="C661"/>
      <c r="D661" t="s">
        <v>898</v>
      </c>
      <c r="E661" t="s">
        <v>845</v>
      </c>
      <c r="F661"/>
      <c r="G661"/>
      <c r="H661"/>
      <c r="I661"/>
      <c r="J661"/>
      <c r="K661" t="s">
        <v>866</v>
      </c>
    </row>
    <row r="662" spans="1:11">
      <c r="A662"/>
      <c r="B662"/>
      <c r="C662"/>
      <c r="D662" t="s">
        <v>900</v>
      </c>
      <c r="E662" t="s">
        <v>846</v>
      </c>
      <c r="F662"/>
      <c r="G662"/>
      <c r="H662"/>
      <c r="I662"/>
      <c r="J662"/>
      <c r="K662" t="s">
        <v>866</v>
      </c>
    </row>
    <row r="663" spans="1:11">
      <c r="A663"/>
      <c r="B663"/>
      <c r="C663"/>
      <c r="D663" t="s">
        <v>895</v>
      </c>
      <c r="E663" t="s">
        <v>847</v>
      </c>
      <c r="F663"/>
      <c r="G663"/>
      <c r="H663"/>
      <c r="I663"/>
      <c r="J663"/>
      <c r="K663" t="s">
        <v>866</v>
      </c>
    </row>
    <row r="664" spans="1:11">
      <c r="A664"/>
      <c r="B664"/>
      <c r="C664"/>
      <c r="D664" t="s">
        <v>895</v>
      </c>
      <c r="E664" t="s">
        <v>848</v>
      </c>
      <c r="F664"/>
      <c r="G664"/>
      <c r="H664"/>
      <c r="I664"/>
      <c r="J664"/>
      <c r="K664" t="s">
        <v>866</v>
      </c>
    </row>
    <row r="665" spans="1:11">
      <c r="A665"/>
      <c r="B665"/>
      <c r="C665"/>
      <c r="D665" t="s">
        <v>897</v>
      </c>
      <c r="E665" t="s">
        <v>849</v>
      </c>
      <c r="F665"/>
      <c r="G665"/>
      <c r="H665"/>
      <c r="I665"/>
      <c r="J665"/>
      <c r="K665" t="s">
        <v>866</v>
      </c>
    </row>
    <row r="666" spans="1:11">
      <c r="A666"/>
      <c r="B666"/>
      <c r="C666"/>
      <c r="D666" t="s">
        <v>896</v>
      </c>
      <c r="E666" t="s">
        <v>850</v>
      </c>
      <c r="F666"/>
      <c r="G666"/>
      <c r="H666"/>
      <c r="I666"/>
      <c r="J666"/>
      <c r="K666" t="s">
        <v>866</v>
      </c>
    </row>
    <row r="667" spans="1:11">
      <c r="A667"/>
      <c r="B667"/>
      <c r="C667"/>
      <c r="D667" t="s">
        <v>899</v>
      </c>
      <c r="E667" t="s">
        <v>851</v>
      </c>
      <c r="F667"/>
      <c r="G667"/>
      <c r="H667"/>
      <c r="I667"/>
      <c r="J667"/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H668"/>
      <c r="I668"/>
      <c r="J668"/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H669"/>
      <c r="I669"/>
      <c r="J669"/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H670"/>
      <c r="I670"/>
      <c r="J670"/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H671"/>
      <c r="I671"/>
      <c r="J671"/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H672"/>
      <c r="I672"/>
      <c r="J672"/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H673"/>
      <c r="I673"/>
      <c r="J673"/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H674"/>
      <c r="I674"/>
      <c r="J674"/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H675"/>
      <c r="I675"/>
      <c r="J675"/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H676"/>
      <c r="I676"/>
      <c r="J676"/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H677"/>
      <c r="I677"/>
      <c r="J677"/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H678"/>
      <c r="I678"/>
      <c r="J678"/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H679"/>
      <c r="I679"/>
      <c r="J679"/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H680"/>
      <c r="I680"/>
      <c r="J680"/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H681"/>
      <c r="I681"/>
      <c r="J681"/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H682"/>
      <c r="I682"/>
      <c r="J682"/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H683"/>
      <c r="I683"/>
      <c r="J683"/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H684"/>
      <c r="I684"/>
      <c r="J684"/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H685"/>
      <c r="I685"/>
      <c r="J685"/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H686"/>
      <c r="I686"/>
      <c r="J686"/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H687"/>
      <c r="I687"/>
      <c r="J687"/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H688"/>
      <c r="I688"/>
      <c r="J688"/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H689"/>
      <c r="I689"/>
      <c r="J689"/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H690"/>
      <c r="I690"/>
      <c r="J690"/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H691"/>
      <c r="I691"/>
      <c r="J691"/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H692"/>
      <c r="I692"/>
      <c r="J692"/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H693"/>
      <c r="I693"/>
      <c r="J693"/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H694"/>
      <c r="I694"/>
      <c r="J694"/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H695"/>
      <c r="I695"/>
      <c r="J695"/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H696"/>
      <c r="I696"/>
      <c r="J696"/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H697"/>
      <c r="I697"/>
      <c r="J697"/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H698"/>
      <c r="I698"/>
      <c r="J698"/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H699"/>
      <c r="I699"/>
      <c r="J699"/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H700"/>
      <c r="I700"/>
      <c r="J700"/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H701"/>
      <c r="I701"/>
      <c r="J701"/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H702"/>
      <c r="I702"/>
      <c r="J702"/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H703"/>
      <c r="I703"/>
      <c r="J703"/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H704"/>
      <c r="I704"/>
      <c r="J704"/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H705"/>
      <c r="I705"/>
      <c r="J705"/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H706"/>
      <c r="I706"/>
      <c r="J706"/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H707"/>
      <c r="I707"/>
      <c r="J707"/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H708"/>
      <c r="I708"/>
      <c r="J708"/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H710"/>
      <c r="I710"/>
      <c r="J710"/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H711"/>
      <c r="I711"/>
      <c r="J711"/>
      <c r="K711" t="s">
        <v>901</v>
      </c>
    </row>
    <row r="712" spans="1:11">
      <c r="A712"/>
      <c r="B712"/>
      <c r="C712"/>
      <c r="D712" t="s">
        <v>918</v>
      </c>
      <c r="E712" t="s">
        <v>919</v>
      </c>
      <c r="F712"/>
      <c r="G712"/>
      <c r="H712"/>
      <c r="I712"/>
      <c r="J712"/>
      <c r="K712" t="s">
        <v>901</v>
      </c>
    </row>
    <row r="713" spans="1:11">
      <c r="A713"/>
      <c r="B713"/>
      <c r="C713"/>
      <c r="D713" t="s">
        <v>918</v>
      </c>
      <c r="E713" t="s">
        <v>920</v>
      </c>
      <c r="F713"/>
      <c r="G713"/>
      <c r="H713"/>
      <c r="I713"/>
      <c r="J713"/>
      <c r="K713" t="s">
        <v>901</v>
      </c>
    </row>
    <row r="714" spans="1:11">
      <c r="A714"/>
      <c r="B714"/>
      <c r="C714"/>
      <c r="D714" t="s">
        <v>921</v>
      </c>
      <c r="E714" t="s">
        <v>922</v>
      </c>
      <c r="F714"/>
      <c r="G714"/>
      <c r="H714"/>
      <c r="I714"/>
      <c r="J714"/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H715"/>
      <c r="I715"/>
      <c r="J715"/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H716"/>
      <c r="I716"/>
      <c r="J716"/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H717"/>
      <c r="I717"/>
      <c r="J717"/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H718"/>
      <c r="I718"/>
      <c r="J718"/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H719"/>
      <c r="I719"/>
      <c r="J719"/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H720"/>
      <c r="I720"/>
      <c r="J720"/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H721"/>
      <c r="I721"/>
      <c r="J721"/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H722"/>
      <c r="I722"/>
      <c r="J722"/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H723"/>
      <c r="I723"/>
      <c r="J723"/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H724"/>
      <c r="I724"/>
      <c r="J724"/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H725"/>
      <c r="I725"/>
      <c r="J725"/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H726"/>
      <c r="I726"/>
      <c r="J726"/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G727"/>
      <c r="H727"/>
      <c r="I727"/>
      <c r="J727"/>
      <c r="K727" t="s">
        <v>930</v>
      </c>
    </row>
    <row r="728" spans="1:11">
      <c r="A728"/>
      <c r="B728"/>
      <c r="C728"/>
      <c r="D728" t="s">
        <v>944</v>
      </c>
      <c r="E728" t="s">
        <v>945</v>
      </c>
      <c r="F728"/>
      <c r="G728"/>
      <c r="H728"/>
      <c r="I728"/>
      <c r="J728"/>
      <c r="K728" t="s">
        <v>930</v>
      </c>
    </row>
    <row r="729" spans="1:11">
      <c r="A729"/>
      <c r="B729"/>
      <c r="C729"/>
      <c r="D729" t="s">
        <v>946</v>
      </c>
      <c r="E729" t="s">
        <v>947</v>
      </c>
      <c r="F729"/>
      <c r="G729"/>
      <c r="H729"/>
      <c r="I729"/>
      <c r="J729"/>
      <c r="K729" t="s">
        <v>930</v>
      </c>
    </row>
    <row r="730" spans="1:11">
      <c r="A730"/>
      <c r="B730"/>
      <c r="C730"/>
      <c r="D730" t="s">
        <v>581</v>
      </c>
      <c r="E730" t="s">
        <v>948</v>
      </c>
      <c r="F730"/>
      <c r="G730"/>
      <c r="H730"/>
      <c r="I730"/>
      <c r="J730"/>
      <c r="K730" t="s">
        <v>930</v>
      </c>
    </row>
    <row r="731" spans="1:11">
      <c r="A731"/>
      <c r="B731"/>
      <c r="C731"/>
      <c r="D731" t="s">
        <v>949</v>
      </c>
      <c r="E731" t="s">
        <v>950</v>
      </c>
      <c r="F731"/>
      <c r="G731"/>
      <c r="H731"/>
      <c r="I731"/>
      <c r="J731"/>
      <c r="K731" t="s">
        <v>930</v>
      </c>
    </row>
    <row r="732" spans="1:11">
      <c r="A732"/>
      <c r="B732"/>
      <c r="C732"/>
      <c r="D732" t="s">
        <v>773</v>
      </c>
      <c r="E732" t="s">
        <v>951</v>
      </c>
      <c r="F732"/>
      <c r="G732"/>
      <c r="H732"/>
      <c r="I732"/>
      <c r="J732"/>
      <c r="K732" t="s">
        <v>930</v>
      </c>
    </row>
    <row r="733" spans="1:11">
      <c r="A733"/>
      <c r="B733"/>
      <c r="C733"/>
      <c r="D733" t="s">
        <v>293</v>
      </c>
      <c r="E733" t="s">
        <v>952</v>
      </c>
      <c r="F733"/>
      <c r="G733"/>
      <c r="H733"/>
      <c r="I733"/>
      <c r="J733"/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H734"/>
      <c r="I734"/>
      <c r="J734"/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H735"/>
      <c r="I735"/>
      <c r="J735"/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H736"/>
      <c r="I736"/>
      <c r="J736"/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H737"/>
      <c r="I737"/>
      <c r="J737"/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G738"/>
      <c r="H738"/>
      <c r="I738"/>
      <c r="J738"/>
      <c r="K738" t="s">
        <v>958</v>
      </c>
    </row>
    <row r="739" spans="1:11">
      <c r="A739"/>
      <c r="B739"/>
      <c r="C739"/>
      <c r="D739" t="s">
        <v>967</v>
      </c>
      <c r="E739" t="s">
        <v>968</v>
      </c>
      <c r="F739"/>
      <c r="G739"/>
      <c r="H739"/>
      <c r="I739"/>
      <c r="J739"/>
      <c r="K739" t="s">
        <v>958</v>
      </c>
    </row>
    <row r="740" spans="1:11">
      <c r="A740"/>
      <c r="B740"/>
      <c r="C740"/>
      <c r="D740" t="s">
        <v>969</v>
      </c>
      <c r="E740" t="s">
        <v>970</v>
      </c>
      <c r="F740"/>
      <c r="G740"/>
      <c r="H740"/>
      <c r="I740"/>
      <c r="J740"/>
      <c r="K740" t="s">
        <v>958</v>
      </c>
    </row>
    <row r="741" spans="1:11">
      <c r="A741"/>
      <c r="B741"/>
      <c r="C741"/>
      <c r="D741" t="s">
        <v>971</v>
      </c>
      <c r="E741" t="s">
        <v>972</v>
      </c>
      <c r="F741"/>
      <c r="G741"/>
      <c r="H741"/>
      <c r="I741"/>
      <c r="J741"/>
      <c r="K741" t="s">
        <v>958</v>
      </c>
    </row>
    <row r="742" spans="1:11">
      <c r="A742"/>
      <c r="B742"/>
      <c r="C742"/>
      <c r="D742" t="s">
        <v>975</v>
      </c>
      <c r="E742" t="s">
        <v>973</v>
      </c>
      <c r="F742"/>
      <c r="G742"/>
      <c r="H742"/>
      <c r="I742"/>
      <c r="J742"/>
      <c r="K742" t="s">
        <v>958</v>
      </c>
    </row>
    <row r="743" spans="1:11">
      <c r="A743"/>
      <c r="B743"/>
      <c r="C743"/>
      <c r="D743" t="s">
        <v>17</v>
      </c>
      <c r="E743" t="s">
        <v>974</v>
      </c>
      <c r="F743"/>
      <c r="G743"/>
      <c r="H743"/>
      <c r="I743"/>
      <c r="J743"/>
      <c r="K743" t="s">
        <v>958</v>
      </c>
    </row>
    <row r="744" spans="1:11">
      <c r="A744"/>
      <c r="B744"/>
      <c r="C744"/>
      <c r="D744" t="s">
        <v>976</v>
      </c>
      <c r="E744" t="s">
        <v>977</v>
      </c>
      <c r="F744"/>
      <c r="G744"/>
      <c r="H744"/>
      <c r="I744"/>
      <c r="J744"/>
      <c r="K744" t="s">
        <v>958</v>
      </c>
    </row>
    <row r="745" spans="1:11">
      <c r="A745">
        <v>44203</v>
      </c>
      <c r="B745">
        <v>785072248</v>
      </c>
      <c r="C745"/>
      <c r="D745" t="s">
        <v>978</v>
      </c>
      <c r="E745" t="s">
        <v>979</v>
      </c>
      <c r="F745" t="s">
        <v>607</v>
      </c>
      <c r="G745"/>
      <c r="H745"/>
      <c r="I745"/>
      <c r="J745"/>
      <c r="K745" t="s">
        <v>1189</v>
      </c>
    </row>
    <row r="746" spans="1:11">
      <c r="A746">
        <v>44264</v>
      </c>
      <c r="B746">
        <v>192437150</v>
      </c>
      <c r="C746"/>
      <c r="D746" t="s">
        <v>980</v>
      </c>
      <c r="E746" t="s">
        <v>981</v>
      </c>
      <c r="F746" t="s">
        <v>982</v>
      </c>
      <c r="G746"/>
      <c r="H746"/>
      <c r="I746"/>
      <c r="J746"/>
      <c r="K746" t="s">
        <v>1190</v>
      </c>
    </row>
    <row r="747" spans="1:11">
      <c r="A747">
        <v>44264</v>
      </c>
      <c r="B747">
        <v>192437150</v>
      </c>
      <c r="C747"/>
      <c r="D747" t="s">
        <v>980</v>
      </c>
      <c r="E747" t="s">
        <v>983</v>
      </c>
      <c r="F747" t="s">
        <v>982</v>
      </c>
      <c r="G747"/>
      <c r="H747"/>
      <c r="I747"/>
      <c r="J747"/>
      <c r="K747" t="s">
        <v>1191</v>
      </c>
    </row>
    <row r="748" spans="1:11">
      <c r="A748">
        <v>44264</v>
      </c>
      <c r="B748">
        <v>192437150</v>
      </c>
      <c r="C748"/>
      <c r="D748" t="s">
        <v>980</v>
      </c>
      <c r="E748" t="s">
        <v>984</v>
      </c>
      <c r="F748" t="s">
        <v>982</v>
      </c>
      <c r="G748"/>
      <c r="H748"/>
      <c r="I748"/>
      <c r="J748"/>
      <c r="K748" t="s">
        <v>1192</v>
      </c>
    </row>
    <row r="749" spans="1:11">
      <c r="A749">
        <v>44264</v>
      </c>
      <c r="B749">
        <v>192437150</v>
      </c>
      <c r="C749"/>
      <c r="D749" t="s">
        <v>980</v>
      </c>
      <c r="E749" t="s">
        <v>985</v>
      </c>
      <c r="F749" t="s">
        <v>982</v>
      </c>
      <c r="G749"/>
      <c r="H749"/>
      <c r="I749"/>
      <c r="J749"/>
      <c r="K749" t="s">
        <v>1193</v>
      </c>
    </row>
    <row r="750" spans="1:11">
      <c r="A750">
        <v>44264</v>
      </c>
      <c r="B750">
        <v>192437150</v>
      </c>
      <c r="C750"/>
      <c r="D750" t="s">
        <v>980</v>
      </c>
      <c r="E750" t="s">
        <v>986</v>
      </c>
      <c r="F750" t="s">
        <v>982</v>
      </c>
      <c r="G750"/>
      <c r="H750"/>
      <c r="I750"/>
      <c r="J750"/>
      <c r="K750" t="s">
        <v>1194</v>
      </c>
    </row>
    <row r="751" spans="1:11">
      <c r="A751">
        <v>44264</v>
      </c>
      <c r="B751">
        <v>192437150</v>
      </c>
      <c r="C751"/>
      <c r="D751" t="s">
        <v>980</v>
      </c>
      <c r="E751" t="s">
        <v>987</v>
      </c>
      <c r="F751" t="s">
        <v>982</v>
      </c>
      <c r="G751"/>
      <c r="H751"/>
      <c r="I751"/>
      <c r="J751"/>
      <c r="K751" t="s">
        <v>1195</v>
      </c>
    </row>
    <row r="752" spans="1:11">
      <c r="A752">
        <v>44264</v>
      </c>
      <c r="B752">
        <v>192437150</v>
      </c>
      <c r="C752"/>
      <c r="D752" t="s">
        <v>980</v>
      </c>
      <c r="E752" t="s">
        <v>988</v>
      </c>
      <c r="F752" t="s">
        <v>982</v>
      </c>
      <c r="G752"/>
      <c r="H752"/>
      <c r="I752"/>
      <c r="J752"/>
      <c r="K752" t="s">
        <v>1196</v>
      </c>
    </row>
    <row r="753" spans="1:11">
      <c r="A753">
        <v>44264</v>
      </c>
      <c r="B753">
        <v>192437150</v>
      </c>
      <c r="C753"/>
      <c r="D753" t="s">
        <v>980</v>
      </c>
      <c r="E753" t="s">
        <v>989</v>
      </c>
      <c r="F753" t="s">
        <v>982</v>
      </c>
      <c r="G753"/>
      <c r="H753"/>
      <c r="I753"/>
      <c r="J753"/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H754"/>
      <c r="I754"/>
      <c r="J754"/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H755"/>
      <c r="I755"/>
      <c r="J755"/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H756"/>
      <c r="I756"/>
      <c r="J756"/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H757"/>
      <c r="I757"/>
      <c r="J757"/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H758"/>
      <c r="I758"/>
      <c r="J758"/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H759"/>
      <c r="I759"/>
      <c r="J759"/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H760"/>
      <c r="I760"/>
      <c r="J760"/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H761"/>
      <c r="I761"/>
      <c r="J761"/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H762"/>
      <c r="I762"/>
      <c r="J762"/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H763"/>
      <c r="I763"/>
      <c r="J763"/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H764"/>
      <c r="I764"/>
      <c r="J764"/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G765"/>
      <c r="H765"/>
      <c r="I765"/>
      <c r="J765"/>
      <c r="K765" t="s">
        <v>1192</v>
      </c>
    </row>
    <row r="766" spans="1:11">
      <c r="A766"/>
      <c r="B766"/>
      <c r="C766"/>
      <c r="D766" t="s">
        <v>1006</v>
      </c>
      <c r="E766" t="s">
        <v>1007</v>
      </c>
      <c r="F766"/>
      <c r="G766"/>
      <c r="H766"/>
      <c r="I766"/>
      <c r="J766"/>
      <c r="K766" t="s">
        <v>1192</v>
      </c>
    </row>
    <row r="767" spans="1:11">
      <c r="A767"/>
      <c r="B767"/>
      <c r="C767"/>
      <c r="D767" t="s">
        <v>1008</v>
      </c>
      <c r="E767" t="s">
        <v>1009</v>
      </c>
      <c r="F767"/>
      <c r="G767"/>
      <c r="H767"/>
      <c r="I767"/>
      <c r="J767"/>
      <c r="K767" t="s">
        <v>1192</v>
      </c>
    </row>
    <row r="768" spans="1:11">
      <c r="A768"/>
      <c r="B768"/>
      <c r="C768"/>
      <c r="D768" t="s">
        <v>1008</v>
      </c>
      <c r="E768" t="s">
        <v>1010</v>
      </c>
      <c r="F768"/>
      <c r="G768"/>
      <c r="H768"/>
      <c r="I768"/>
      <c r="J768"/>
      <c r="K768" t="s">
        <v>1192</v>
      </c>
    </row>
    <row r="769" spans="1:11">
      <c r="A769"/>
      <c r="B769"/>
      <c r="C769"/>
      <c r="D769" t="s">
        <v>1011</v>
      </c>
      <c r="E769" t="s">
        <v>1012</v>
      </c>
      <c r="F769"/>
      <c r="G769"/>
      <c r="H769"/>
      <c r="I769"/>
      <c r="J769"/>
      <c r="K769" t="s">
        <v>1192</v>
      </c>
    </row>
    <row r="770" spans="1:11">
      <c r="A770"/>
      <c r="B770"/>
      <c r="C770"/>
      <c r="D770" t="s">
        <v>1013</v>
      </c>
      <c r="E770" t="s">
        <v>1014</v>
      </c>
      <c r="F770"/>
      <c r="G770"/>
      <c r="H770"/>
      <c r="I770"/>
      <c r="J770"/>
      <c r="K770" t="s">
        <v>1192</v>
      </c>
    </row>
    <row r="771" spans="1:11">
      <c r="A771"/>
      <c r="B771"/>
      <c r="C771"/>
      <c r="D771" t="s">
        <v>1015</v>
      </c>
      <c r="E771" t="s">
        <v>1016</v>
      </c>
      <c r="F771"/>
      <c r="G771"/>
      <c r="H771"/>
      <c r="I771"/>
      <c r="J771"/>
      <c r="K771" t="s">
        <v>1192</v>
      </c>
    </row>
    <row r="772" spans="1:11">
      <c r="A772"/>
      <c r="B772"/>
      <c r="C772"/>
      <c r="D772" t="s">
        <v>293</v>
      </c>
      <c r="E772" t="s">
        <v>1017</v>
      </c>
      <c r="F772"/>
      <c r="G772"/>
      <c r="H772"/>
      <c r="I772"/>
      <c r="J772"/>
      <c r="K772" t="s">
        <v>1192</v>
      </c>
    </row>
    <row r="773" spans="1:11">
      <c r="A773"/>
      <c r="B773"/>
      <c r="C773"/>
      <c r="D773" t="s">
        <v>1018</v>
      </c>
      <c r="E773" t="s">
        <v>1019</v>
      </c>
      <c r="F773"/>
      <c r="G773"/>
      <c r="H773"/>
      <c r="I773"/>
      <c r="J773"/>
      <c r="K773" t="s">
        <v>1192</v>
      </c>
    </row>
    <row r="774" spans="1:11">
      <c r="A774"/>
      <c r="B774"/>
      <c r="C774"/>
      <c r="D774" t="s">
        <v>980</v>
      </c>
      <c r="E774" t="s">
        <v>1020</v>
      </c>
      <c r="F774"/>
      <c r="G774"/>
      <c r="H774"/>
      <c r="I774"/>
      <c r="J774"/>
      <c r="K774" t="s">
        <v>1192</v>
      </c>
    </row>
    <row r="775" spans="1:11">
      <c r="A775"/>
      <c r="B775"/>
      <c r="C775"/>
      <c r="D775" t="s">
        <v>1155</v>
      </c>
      <c r="E775" t="s">
        <v>1021</v>
      </c>
      <c r="F775"/>
      <c r="G775"/>
      <c r="H775"/>
      <c r="I775"/>
      <c r="J775"/>
      <c r="K775" t="s">
        <v>1192</v>
      </c>
    </row>
    <row r="776" spans="1:11">
      <c r="A776"/>
      <c r="B776"/>
      <c r="C776"/>
      <c r="D776" t="s">
        <v>1155</v>
      </c>
      <c r="E776" t="s">
        <v>1022</v>
      </c>
      <c r="F776"/>
      <c r="G776"/>
      <c r="H776"/>
      <c r="I776"/>
      <c r="J776"/>
      <c r="K776" t="s">
        <v>1192</v>
      </c>
    </row>
    <row r="777" spans="1:11">
      <c r="A777"/>
      <c r="B777"/>
      <c r="C777"/>
      <c r="D777" t="s">
        <v>1155</v>
      </c>
      <c r="E777" t="s">
        <v>1023</v>
      </c>
      <c r="F777"/>
      <c r="G777"/>
      <c r="H777"/>
      <c r="I777"/>
      <c r="J777"/>
      <c r="K777" t="s">
        <v>1192</v>
      </c>
    </row>
    <row r="778" spans="1:11">
      <c r="A778"/>
      <c r="B778"/>
      <c r="C778"/>
      <c r="D778" t="s">
        <v>1155</v>
      </c>
      <c r="E778" t="s">
        <v>1024</v>
      </c>
      <c r="F778"/>
      <c r="G778"/>
      <c r="H778"/>
      <c r="I778"/>
      <c r="J778"/>
      <c r="K778" t="s">
        <v>1192</v>
      </c>
    </row>
    <row r="779" spans="1:11">
      <c r="A779"/>
      <c r="B779"/>
      <c r="C779"/>
      <c r="D779" t="s">
        <v>1188</v>
      </c>
      <c r="E779" t="s">
        <v>1025</v>
      </c>
      <c r="F779"/>
      <c r="G779"/>
      <c r="H779"/>
      <c r="I779"/>
      <c r="J779"/>
      <c r="K779" t="s">
        <v>1192</v>
      </c>
    </row>
    <row r="780" spans="1:11">
      <c r="A780"/>
      <c r="B780"/>
      <c r="C780"/>
      <c r="D780" t="s">
        <v>1188</v>
      </c>
      <c r="E780" t="s">
        <v>1026</v>
      </c>
      <c r="F780"/>
      <c r="G780"/>
      <c r="H780"/>
      <c r="I780"/>
      <c r="J780"/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G781"/>
      <c r="H781"/>
      <c r="I781"/>
      <c r="J781"/>
      <c r="K781" t="s">
        <v>1191</v>
      </c>
    </row>
    <row r="782" spans="1:11">
      <c r="A782"/>
      <c r="B782"/>
      <c r="C782"/>
      <c r="D782" t="s">
        <v>1006</v>
      </c>
      <c r="E782" t="s">
        <v>1028</v>
      </c>
      <c r="F782"/>
      <c r="G782"/>
      <c r="H782"/>
      <c r="I782"/>
      <c r="J782"/>
      <c r="K782" t="s">
        <v>1191</v>
      </c>
    </row>
    <row r="783" spans="1:11">
      <c r="A783"/>
      <c r="B783"/>
      <c r="C783"/>
      <c r="D783" t="s">
        <v>1008</v>
      </c>
      <c r="E783" t="s">
        <v>1029</v>
      </c>
      <c r="F783"/>
      <c r="G783"/>
      <c r="H783"/>
      <c r="I783"/>
      <c r="J783"/>
      <c r="K783" t="s">
        <v>1191</v>
      </c>
    </row>
    <row r="784" spans="1:11">
      <c r="A784"/>
      <c r="B784"/>
      <c r="C784"/>
      <c r="D784" t="s">
        <v>1008</v>
      </c>
      <c r="E784" t="s">
        <v>1030</v>
      </c>
      <c r="F784"/>
      <c r="G784"/>
      <c r="H784"/>
      <c r="I784"/>
      <c r="J784"/>
      <c r="K784" t="s">
        <v>1191</v>
      </c>
    </row>
    <row r="785" spans="1:11">
      <c r="A785"/>
      <c r="B785"/>
      <c r="C785"/>
      <c r="D785" t="s">
        <v>1011</v>
      </c>
      <c r="E785" t="s">
        <v>1031</v>
      </c>
      <c r="F785"/>
      <c r="G785"/>
      <c r="H785"/>
      <c r="I785"/>
      <c r="J785"/>
      <c r="K785" t="s">
        <v>1191</v>
      </c>
    </row>
    <row r="786" spans="1:11">
      <c r="A786"/>
      <c r="B786"/>
      <c r="C786"/>
      <c r="D786" t="s">
        <v>1013</v>
      </c>
      <c r="E786" t="s">
        <v>1032</v>
      </c>
      <c r="F786"/>
      <c r="G786"/>
      <c r="H786"/>
      <c r="I786"/>
      <c r="J786"/>
      <c r="K786" t="s">
        <v>1191</v>
      </c>
    </row>
    <row r="787" spans="1:11">
      <c r="A787"/>
      <c r="B787"/>
      <c r="C787"/>
      <c r="D787" t="s">
        <v>1015</v>
      </c>
      <c r="E787" t="s">
        <v>1033</v>
      </c>
      <c r="F787"/>
      <c r="G787"/>
      <c r="H787"/>
      <c r="I787"/>
      <c r="J787"/>
      <c r="K787" t="s">
        <v>1191</v>
      </c>
    </row>
    <row r="788" spans="1:11">
      <c r="A788"/>
      <c r="B788"/>
      <c r="C788"/>
      <c r="D788" t="s">
        <v>293</v>
      </c>
      <c r="E788" t="s">
        <v>1034</v>
      </c>
      <c r="F788"/>
      <c r="G788"/>
      <c r="H788"/>
      <c r="I788"/>
      <c r="J788"/>
      <c r="K788" t="s">
        <v>1191</v>
      </c>
    </row>
    <row r="789" spans="1:11">
      <c r="A789"/>
      <c r="B789"/>
      <c r="C789"/>
      <c r="D789" t="s">
        <v>1018</v>
      </c>
      <c r="E789" t="s">
        <v>1035</v>
      </c>
      <c r="F789"/>
      <c r="G789"/>
      <c r="H789"/>
      <c r="I789"/>
      <c r="J789"/>
      <c r="K789" t="s">
        <v>1191</v>
      </c>
    </row>
    <row r="790" spans="1:11">
      <c r="A790"/>
      <c r="B790"/>
      <c r="C790"/>
      <c r="D790" t="s">
        <v>980</v>
      </c>
      <c r="E790" t="s">
        <v>1036</v>
      </c>
      <c r="F790"/>
      <c r="G790"/>
      <c r="H790"/>
      <c r="I790"/>
      <c r="J790"/>
      <c r="K790" t="s">
        <v>1191</v>
      </c>
    </row>
    <row r="791" spans="1:11">
      <c r="A791"/>
      <c r="B791"/>
      <c r="C791"/>
      <c r="D791" t="s">
        <v>1155</v>
      </c>
      <c r="E791" t="s">
        <v>1037</v>
      </c>
      <c r="F791"/>
      <c r="G791"/>
      <c r="H791"/>
      <c r="I791"/>
      <c r="J791"/>
      <c r="K791" t="s">
        <v>1191</v>
      </c>
    </row>
    <row r="792" spans="1:11">
      <c r="A792"/>
      <c r="B792"/>
      <c r="C792"/>
      <c r="D792" t="s">
        <v>1155</v>
      </c>
      <c r="E792" t="s">
        <v>1038</v>
      </c>
      <c r="F792"/>
      <c r="G792"/>
      <c r="H792"/>
      <c r="I792"/>
      <c r="J792"/>
      <c r="K792" t="s">
        <v>1191</v>
      </c>
    </row>
    <row r="793" spans="1:11">
      <c r="A793"/>
      <c r="B793"/>
      <c r="C793"/>
      <c r="D793" t="s">
        <v>1155</v>
      </c>
      <c r="E793" t="s">
        <v>1039</v>
      </c>
      <c r="F793"/>
      <c r="G793"/>
      <c r="H793"/>
      <c r="I793"/>
      <c r="J793"/>
      <c r="K793" t="s">
        <v>1191</v>
      </c>
    </row>
    <row r="794" spans="1:11">
      <c r="A794"/>
      <c r="B794"/>
      <c r="C794"/>
      <c r="D794" t="s">
        <v>1155</v>
      </c>
      <c r="E794" t="s">
        <v>1040</v>
      </c>
      <c r="F794"/>
      <c r="G794"/>
      <c r="H794"/>
      <c r="I794"/>
      <c r="J794"/>
      <c r="K794" t="s">
        <v>1191</v>
      </c>
    </row>
    <row r="795" spans="1:11">
      <c r="A795"/>
      <c r="B795"/>
      <c r="C795"/>
      <c r="D795" t="s">
        <v>1188</v>
      </c>
      <c r="E795" t="s">
        <v>1041</v>
      </c>
      <c r="F795"/>
      <c r="G795"/>
      <c r="H795"/>
      <c r="I795"/>
      <c r="J795"/>
      <c r="K795" t="s">
        <v>1191</v>
      </c>
    </row>
    <row r="796" spans="1:11">
      <c r="A796"/>
      <c r="B796"/>
      <c r="C796"/>
      <c r="D796" t="s">
        <v>1188</v>
      </c>
      <c r="E796" t="s">
        <v>1042</v>
      </c>
      <c r="F796"/>
      <c r="G796"/>
      <c r="H796"/>
      <c r="I796"/>
      <c r="J796"/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G797"/>
      <c r="H797"/>
      <c r="I797"/>
      <c r="J797"/>
      <c r="K797" t="s">
        <v>1190</v>
      </c>
    </row>
    <row r="798" spans="1:11">
      <c r="A798"/>
      <c r="B798"/>
      <c r="C798"/>
      <c r="D798" t="s">
        <v>1006</v>
      </c>
      <c r="E798" t="s">
        <v>1044</v>
      </c>
      <c r="F798"/>
      <c r="G798"/>
      <c r="H798"/>
      <c r="I798"/>
      <c r="J798"/>
      <c r="K798" t="s">
        <v>1190</v>
      </c>
    </row>
    <row r="799" spans="1:11">
      <c r="A799"/>
      <c r="B799"/>
      <c r="C799"/>
      <c r="D799" t="s">
        <v>1008</v>
      </c>
      <c r="E799" t="s">
        <v>1045</v>
      </c>
      <c r="F799"/>
      <c r="G799"/>
      <c r="H799"/>
      <c r="I799"/>
      <c r="J799"/>
      <c r="K799" t="s">
        <v>1190</v>
      </c>
    </row>
    <row r="800" spans="1:11">
      <c r="A800"/>
      <c r="B800"/>
      <c r="C800"/>
      <c r="D800" t="s">
        <v>1008</v>
      </c>
      <c r="E800" t="s">
        <v>1046</v>
      </c>
      <c r="F800"/>
      <c r="G800"/>
      <c r="H800"/>
      <c r="I800"/>
      <c r="J800"/>
      <c r="K800" t="s">
        <v>1190</v>
      </c>
    </row>
    <row r="801" spans="1:11">
      <c r="A801"/>
      <c r="B801"/>
      <c r="C801"/>
      <c r="D801" t="s">
        <v>1011</v>
      </c>
      <c r="E801" t="s">
        <v>1047</v>
      </c>
      <c r="F801"/>
      <c r="G801"/>
      <c r="H801"/>
      <c r="I801"/>
      <c r="J801"/>
      <c r="K801" t="s">
        <v>1190</v>
      </c>
    </row>
    <row r="802" spans="1:11">
      <c r="A802"/>
      <c r="B802"/>
      <c r="C802"/>
      <c r="D802" t="s">
        <v>1013</v>
      </c>
      <c r="E802" t="s">
        <v>1048</v>
      </c>
      <c r="F802"/>
      <c r="G802"/>
      <c r="H802"/>
      <c r="I802"/>
      <c r="J802"/>
      <c r="K802" t="s">
        <v>1190</v>
      </c>
    </row>
    <row r="803" spans="1:11">
      <c r="A803"/>
      <c r="B803"/>
      <c r="C803"/>
      <c r="D803" t="s">
        <v>1015</v>
      </c>
      <c r="E803" t="s">
        <v>1049</v>
      </c>
      <c r="F803"/>
      <c r="G803"/>
      <c r="H803"/>
      <c r="I803"/>
      <c r="J803"/>
      <c r="K803" t="s">
        <v>1190</v>
      </c>
    </row>
    <row r="804" spans="1:11">
      <c r="A804"/>
      <c r="B804"/>
      <c r="C804"/>
      <c r="D804" t="s">
        <v>293</v>
      </c>
      <c r="E804" t="s">
        <v>1050</v>
      </c>
      <c r="F804"/>
      <c r="G804"/>
      <c r="H804"/>
      <c r="I804"/>
      <c r="J804"/>
      <c r="K804" t="s">
        <v>1190</v>
      </c>
    </row>
    <row r="805" spans="1:11">
      <c r="A805"/>
      <c r="B805"/>
      <c r="C805"/>
      <c r="D805" t="s">
        <v>1018</v>
      </c>
      <c r="E805" t="s">
        <v>1051</v>
      </c>
      <c r="F805"/>
      <c r="G805"/>
      <c r="H805"/>
      <c r="I805"/>
      <c r="J805"/>
      <c r="K805" t="s">
        <v>1190</v>
      </c>
    </row>
    <row r="806" spans="1:11">
      <c r="A806"/>
      <c r="B806"/>
      <c r="C806"/>
      <c r="D806" t="s">
        <v>980</v>
      </c>
      <c r="E806" t="s">
        <v>1052</v>
      </c>
      <c r="F806"/>
      <c r="G806"/>
      <c r="H806"/>
      <c r="I806"/>
      <c r="J806"/>
      <c r="K806" t="s">
        <v>1190</v>
      </c>
    </row>
    <row r="807" spans="1:11">
      <c r="A807"/>
      <c r="B807"/>
      <c r="C807"/>
      <c r="D807" t="s">
        <v>1155</v>
      </c>
      <c r="E807" t="s">
        <v>1053</v>
      </c>
      <c r="F807"/>
      <c r="G807"/>
      <c r="H807"/>
      <c r="I807"/>
      <c r="J807"/>
      <c r="K807"/>
    </row>
    <row r="808" spans="1:11">
      <c r="B808" s="1"/>
      <c r="D808" s="1" t="s">
        <v>1155</v>
      </c>
      <c r="E808" s="1" t="s">
        <v>1054</v>
      </c>
    </row>
    <row r="809" spans="1:11">
      <c r="A809"/>
      <c r="B809"/>
      <c r="C809"/>
      <c r="D809" t="s">
        <v>1155</v>
      </c>
      <c r="E809" t="s">
        <v>1055</v>
      </c>
      <c r="F809"/>
      <c r="G809"/>
      <c r="H809"/>
      <c r="I809"/>
      <c r="J809"/>
      <c r="K809"/>
    </row>
    <row r="810" spans="1:11">
      <c r="A810"/>
      <c r="B810"/>
      <c r="C810"/>
      <c r="D810" t="s">
        <v>1155</v>
      </c>
      <c r="E810" t="s">
        <v>1056</v>
      </c>
      <c r="F810"/>
      <c r="G810"/>
      <c r="H810"/>
      <c r="I810"/>
      <c r="J810"/>
      <c r="K810"/>
    </row>
    <row r="811" spans="1:11">
      <c r="A811"/>
      <c r="B811"/>
      <c r="C811"/>
      <c r="D811" t="s">
        <v>1188</v>
      </c>
      <c r="E811" t="s">
        <v>1057</v>
      </c>
      <c r="F811"/>
      <c r="G811"/>
      <c r="H811"/>
      <c r="I811"/>
      <c r="J811"/>
      <c r="K811" t="s">
        <v>1190</v>
      </c>
    </row>
    <row r="812" spans="1:11">
      <c r="A812"/>
      <c r="B812"/>
      <c r="C812"/>
      <c r="D812" t="s">
        <v>1188</v>
      </c>
      <c r="E812" t="s">
        <v>1058</v>
      </c>
      <c r="F812"/>
      <c r="G812"/>
      <c r="H812"/>
      <c r="I812"/>
      <c r="J812"/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G813"/>
      <c r="H813"/>
      <c r="I813"/>
      <c r="J813"/>
      <c r="K813" t="s">
        <v>1194</v>
      </c>
    </row>
    <row r="814" spans="1:11">
      <c r="A814"/>
      <c r="B814"/>
      <c r="C814"/>
      <c r="D814" t="s">
        <v>1006</v>
      </c>
      <c r="E814" t="s">
        <v>1060</v>
      </c>
      <c r="F814"/>
      <c r="G814"/>
      <c r="H814"/>
      <c r="I814"/>
      <c r="J814"/>
      <c r="K814" t="s">
        <v>1194</v>
      </c>
    </row>
    <row r="815" spans="1:11">
      <c r="A815"/>
      <c r="B815"/>
      <c r="C815"/>
      <c r="D815" t="s">
        <v>1008</v>
      </c>
      <c r="E815" t="s">
        <v>1061</v>
      </c>
      <c r="F815"/>
      <c r="G815"/>
      <c r="H815"/>
      <c r="I815"/>
      <c r="J815"/>
      <c r="K815" t="s">
        <v>1194</v>
      </c>
    </row>
    <row r="816" spans="1:11">
      <c r="A816"/>
      <c r="B816"/>
      <c r="C816"/>
      <c r="D816" t="s">
        <v>1008</v>
      </c>
      <c r="E816" t="s">
        <v>1062</v>
      </c>
      <c r="F816"/>
      <c r="G816"/>
      <c r="H816"/>
      <c r="I816"/>
      <c r="J816"/>
      <c r="K816" t="s">
        <v>1194</v>
      </c>
    </row>
    <row r="817" spans="1:11">
      <c r="A817"/>
      <c r="B817"/>
      <c r="C817"/>
      <c r="D817" t="s">
        <v>1011</v>
      </c>
      <c r="E817" t="s">
        <v>1063</v>
      </c>
      <c r="F817"/>
      <c r="G817"/>
      <c r="H817"/>
      <c r="I817"/>
      <c r="J817"/>
      <c r="K817" t="s">
        <v>1194</v>
      </c>
    </row>
    <row r="818" spans="1:11">
      <c r="A818"/>
      <c r="B818"/>
      <c r="C818"/>
      <c r="D818" t="s">
        <v>1013</v>
      </c>
      <c r="E818" t="s">
        <v>1064</v>
      </c>
      <c r="F818"/>
      <c r="G818"/>
      <c r="H818"/>
      <c r="I818"/>
      <c r="J818"/>
      <c r="K818" t="s">
        <v>1194</v>
      </c>
    </row>
    <row r="819" spans="1:11">
      <c r="A819"/>
      <c r="B819"/>
      <c r="C819"/>
      <c r="D819" t="s">
        <v>1015</v>
      </c>
      <c r="E819" t="s">
        <v>1065</v>
      </c>
      <c r="F819"/>
      <c r="G819"/>
      <c r="H819"/>
      <c r="I819"/>
      <c r="J819"/>
      <c r="K819" t="s">
        <v>1194</v>
      </c>
    </row>
    <row r="820" spans="1:11">
      <c r="A820"/>
      <c r="B820"/>
      <c r="C820"/>
      <c r="D820" t="s">
        <v>1018</v>
      </c>
      <c r="E820" t="s">
        <v>1066</v>
      </c>
      <c r="F820"/>
      <c r="G820"/>
      <c r="H820"/>
      <c r="I820"/>
      <c r="J820"/>
      <c r="K820" t="s">
        <v>1194</v>
      </c>
    </row>
    <row r="821" spans="1:11">
      <c r="A821"/>
      <c r="B821"/>
      <c r="C821"/>
      <c r="D821" t="s">
        <v>293</v>
      </c>
      <c r="E821" t="s">
        <v>1067</v>
      </c>
      <c r="F821"/>
      <c r="G821"/>
      <c r="H821"/>
      <c r="I821"/>
      <c r="J821"/>
      <c r="K821" t="s">
        <v>1194</v>
      </c>
    </row>
    <row r="822" spans="1:11">
      <c r="A822"/>
      <c r="B822"/>
      <c r="C822"/>
      <c r="D822" t="s">
        <v>980</v>
      </c>
      <c r="E822" t="s">
        <v>1068</v>
      </c>
      <c r="F822"/>
      <c r="G822"/>
      <c r="H822"/>
      <c r="I822"/>
      <c r="J822"/>
      <c r="K822" t="s">
        <v>1194</v>
      </c>
    </row>
    <row r="823" spans="1:11">
      <c r="A823"/>
      <c r="B823"/>
      <c r="C823"/>
      <c r="D823" t="s">
        <v>1155</v>
      </c>
      <c r="E823" t="s">
        <v>1069</v>
      </c>
      <c r="F823"/>
      <c r="G823"/>
      <c r="H823"/>
      <c r="I823"/>
      <c r="J823"/>
      <c r="K823" t="s">
        <v>1194</v>
      </c>
    </row>
    <row r="824" spans="1:11">
      <c r="A824"/>
      <c r="B824"/>
      <c r="C824"/>
      <c r="D824" t="s">
        <v>1155</v>
      </c>
      <c r="E824" t="s">
        <v>1070</v>
      </c>
      <c r="F824"/>
      <c r="G824"/>
      <c r="H824"/>
      <c r="I824"/>
      <c r="J824"/>
      <c r="K824" t="s">
        <v>1194</v>
      </c>
    </row>
    <row r="825" spans="1:11">
      <c r="A825"/>
      <c r="B825"/>
      <c r="C825"/>
      <c r="D825" t="s">
        <v>1155</v>
      </c>
      <c r="E825" t="s">
        <v>1071</v>
      </c>
      <c r="F825"/>
      <c r="G825"/>
      <c r="H825"/>
      <c r="I825"/>
      <c r="J825"/>
      <c r="K825" t="s">
        <v>1194</v>
      </c>
    </row>
    <row r="826" spans="1:11">
      <c r="A826"/>
      <c r="B826"/>
      <c r="C826"/>
      <c r="D826" t="s">
        <v>1155</v>
      </c>
      <c r="E826" t="s">
        <v>1072</v>
      </c>
      <c r="F826"/>
      <c r="G826"/>
      <c r="H826"/>
      <c r="I826"/>
      <c r="J826"/>
      <c r="K826" t="s">
        <v>1194</v>
      </c>
    </row>
    <row r="827" spans="1:11">
      <c r="A827"/>
      <c r="B827"/>
      <c r="C827"/>
      <c r="D827" t="s">
        <v>1188</v>
      </c>
      <c r="E827" t="s">
        <v>1073</v>
      </c>
      <c r="F827"/>
      <c r="G827"/>
      <c r="H827"/>
      <c r="I827"/>
      <c r="J827"/>
      <c r="K827" t="s">
        <v>1194</v>
      </c>
    </row>
    <row r="828" spans="1:11">
      <c r="A828"/>
      <c r="B828"/>
      <c r="C828"/>
      <c r="D828" t="s">
        <v>1188</v>
      </c>
      <c r="E828" t="s">
        <v>1074</v>
      </c>
      <c r="F828"/>
      <c r="G828"/>
      <c r="H828"/>
      <c r="I828"/>
      <c r="J828"/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G829"/>
      <c r="H829"/>
      <c r="I829"/>
      <c r="J829"/>
      <c r="K829" t="s">
        <v>1195</v>
      </c>
    </row>
    <row r="830" spans="1:11">
      <c r="A830"/>
      <c r="B830"/>
      <c r="C830"/>
      <c r="D830" t="s">
        <v>1006</v>
      </c>
      <c r="E830" t="s">
        <v>1076</v>
      </c>
      <c r="F830"/>
      <c r="G830"/>
      <c r="H830"/>
      <c r="I830"/>
      <c r="J830"/>
      <c r="K830" t="s">
        <v>1195</v>
      </c>
    </row>
    <row r="831" spans="1:11">
      <c r="A831"/>
      <c r="B831"/>
      <c r="C831"/>
      <c r="D831" t="s">
        <v>1008</v>
      </c>
      <c r="E831" t="s">
        <v>1077</v>
      </c>
      <c r="F831"/>
      <c r="G831"/>
      <c r="H831"/>
      <c r="I831"/>
      <c r="J831"/>
      <c r="K831" t="s">
        <v>1195</v>
      </c>
    </row>
    <row r="832" spans="1:11">
      <c r="A832"/>
      <c r="B832"/>
      <c r="C832"/>
      <c r="D832" t="s">
        <v>1008</v>
      </c>
      <c r="E832" t="s">
        <v>1078</v>
      </c>
      <c r="F832"/>
      <c r="G832"/>
      <c r="H832"/>
      <c r="I832"/>
      <c r="J832"/>
      <c r="K832" t="s">
        <v>1195</v>
      </c>
    </row>
    <row r="833" spans="1:11">
      <c r="A833"/>
      <c r="B833"/>
      <c r="C833"/>
      <c r="D833" t="s">
        <v>1011</v>
      </c>
      <c r="E833" t="s">
        <v>1079</v>
      </c>
      <c r="F833"/>
      <c r="G833"/>
      <c r="H833"/>
      <c r="I833"/>
      <c r="J833"/>
      <c r="K833" t="s">
        <v>1195</v>
      </c>
    </row>
    <row r="834" spans="1:11">
      <c r="A834"/>
      <c r="B834"/>
      <c r="C834"/>
      <c r="D834" t="s">
        <v>1013</v>
      </c>
      <c r="E834" t="s">
        <v>1080</v>
      </c>
      <c r="F834"/>
      <c r="G834"/>
      <c r="H834"/>
      <c r="I834"/>
      <c r="J834"/>
      <c r="K834" t="s">
        <v>1195</v>
      </c>
    </row>
    <row r="835" spans="1:11">
      <c r="A835"/>
      <c r="B835"/>
      <c r="C835"/>
      <c r="D835" t="s">
        <v>1015</v>
      </c>
      <c r="E835" t="s">
        <v>1081</v>
      </c>
      <c r="F835"/>
      <c r="G835"/>
      <c r="H835"/>
      <c r="I835"/>
      <c r="J835"/>
      <c r="K835" t="s">
        <v>1195</v>
      </c>
    </row>
    <row r="836" spans="1:11">
      <c r="A836"/>
      <c r="B836"/>
      <c r="C836"/>
      <c r="D836" t="s">
        <v>293</v>
      </c>
      <c r="E836" t="s">
        <v>1082</v>
      </c>
      <c r="F836"/>
      <c r="G836"/>
      <c r="H836"/>
      <c r="I836"/>
      <c r="J836"/>
      <c r="K836" t="s">
        <v>1195</v>
      </c>
    </row>
    <row r="837" spans="1:11">
      <c r="A837"/>
      <c r="B837"/>
      <c r="C837"/>
      <c r="D837" t="s">
        <v>1018</v>
      </c>
      <c r="E837" t="s">
        <v>1083</v>
      </c>
      <c r="F837"/>
      <c r="G837"/>
      <c r="H837"/>
      <c r="I837"/>
      <c r="J837"/>
      <c r="K837" t="s">
        <v>1195</v>
      </c>
    </row>
    <row r="838" spans="1:11">
      <c r="A838"/>
      <c r="B838"/>
      <c r="C838"/>
      <c r="D838" t="s">
        <v>980</v>
      </c>
      <c r="E838" t="s">
        <v>1084</v>
      </c>
      <c r="F838"/>
      <c r="G838"/>
      <c r="H838"/>
      <c r="I838"/>
      <c r="J838"/>
      <c r="K838" t="s">
        <v>1195</v>
      </c>
    </row>
    <row r="839" spans="1:11">
      <c r="A839"/>
      <c r="B839"/>
      <c r="C839"/>
      <c r="D839" t="s">
        <v>1155</v>
      </c>
      <c r="E839" t="s">
        <v>1085</v>
      </c>
      <c r="F839"/>
      <c r="G839"/>
      <c r="H839"/>
      <c r="I839"/>
      <c r="J839"/>
      <c r="K839" t="s">
        <v>1195</v>
      </c>
    </row>
    <row r="840" spans="1:11">
      <c r="A840"/>
      <c r="B840"/>
      <c r="C840"/>
      <c r="D840" t="s">
        <v>1155</v>
      </c>
      <c r="E840" t="s">
        <v>1086</v>
      </c>
      <c r="F840"/>
      <c r="G840"/>
      <c r="H840"/>
      <c r="I840"/>
      <c r="J840"/>
      <c r="K840" t="s">
        <v>1195</v>
      </c>
    </row>
    <row r="841" spans="1:11">
      <c r="A841"/>
      <c r="B841"/>
      <c r="C841"/>
      <c r="D841" t="s">
        <v>1155</v>
      </c>
      <c r="E841" t="s">
        <v>1087</v>
      </c>
      <c r="F841"/>
      <c r="G841"/>
      <c r="H841"/>
      <c r="I841"/>
      <c r="J841"/>
      <c r="K841" t="s">
        <v>1195</v>
      </c>
    </row>
    <row r="842" spans="1:11">
      <c r="A842"/>
      <c r="B842"/>
      <c r="C842"/>
      <c r="D842" t="s">
        <v>1155</v>
      </c>
      <c r="E842" t="s">
        <v>1088</v>
      </c>
      <c r="F842"/>
      <c r="G842"/>
      <c r="H842"/>
      <c r="I842"/>
      <c r="J842"/>
      <c r="K842" t="s">
        <v>1195</v>
      </c>
    </row>
    <row r="843" spans="1:11">
      <c r="A843"/>
      <c r="B843"/>
      <c r="C843"/>
      <c r="D843" t="s">
        <v>1188</v>
      </c>
      <c r="E843" t="s">
        <v>1089</v>
      </c>
      <c r="F843"/>
      <c r="G843"/>
      <c r="H843"/>
      <c r="I843"/>
      <c r="J843"/>
      <c r="K843" t="s">
        <v>1195</v>
      </c>
    </row>
    <row r="844" spans="1:11">
      <c r="A844"/>
      <c r="B844"/>
      <c r="C844"/>
      <c r="D844" t="s">
        <v>1188</v>
      </c>
      <c r="E844" t="s">
        <v>1090</v>
      </c>
      <c r="F844"/>
      <c r="G844"/>
      <c r="H844"/>
      <c r="I844"/>
      <c r="J844"/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G845"/>
      <c r="H845"/>
      <c r="I845"/>
      <c r="J845"/>
      <c r="K845" t="s">
        <v>1196</v>
      </c>
    </row>
    <row r="846" spans="1:11">
      <c r="A846"/>
      <c r="B846"/>
      <c r="C846"/>
      <c r="D846" t="s">
        <v>1006</v>
      </c>
      <c r="E846" t="s">
        <v>1092</v>
      </c>
      <c r="F846"/>
      <c r="G846"/>
      <c r="H846"/>
      <c r="I846"/>
      <c r="J846"/>
      <c r="K846" t="s">
        <v>1196</v>
      </c>
    </row>
    <row r="847" spans="1:11">
      <c r="A847"/>
      <c r="B847"/>
      <c r="C847"/>
      <c r="D847" t="s">
        <v>1008</v>
      </c>
      <c r="E847" t="s">
        <v>1093</v>
      </c>
      <c r="F847"/>
      <c r="G847"/>
      <c r="H847"/>
      <c r="I847"/>
      <c r="J847"/>
      <c r="K847" t="s">
        <v>1196</v>
      </c>
    </row>
    <row r="848" spans="1:11">
      <c r="A848"/>
      <c r="B848"/>
      <c r="C848"/>
      <c r="D848" t="s">
        <v>1008</v>
      </c>
      <c r="E848" t="s">
        <v>1094</v>
      </c>
      <c r="F848"/>
      <c r="G848"/>
      <c r="H848"/>
      <c r="I848"/>
      <c r="J848"/>
      <c r="K848" t="s">
        <v>1196</v>
      </c>
    </row>
    <row r="849" spans="1:11">
      <c r="A849"/>
      <c r="B849"/>
      <c r="C849"/>
      <c r="D849" t="s">
        <v>1011</v>
      </c>
      <c r="E849" t="s">
        <v>1095</v>
      </c>
      <c r="F849"/>
      <c r="G849"/>
      <c r="H849"/>
      <c r="I849"/>
      <c r="J849"/>
      <c r="K849" t="s">
        <v>1196</v>
      </c>
    </row>
    <row r="850" spans="1:11">
      <c r="A850"/>
      <c r="B850"/>
      <c r="C850"/>
      <c r="D850" t="s">
        <v>1013</v>
      </c>
      <c r="E850" t="s">
        <v>1096</v>
      </c>
      <c r="F850"/>
      <c r="G850"/>
      <c r="H850"/>
      <c r="I850"/>
      <c r="J850"/>
      <c r="K850" t="s">
        <v>1196</v>
      </c>
    </row>
    <row r="851" spans="1:11">
      <c r="A851"/>
      <c r="B851"/>
      <c r="C851"/>
      <c r="D851" t="s">
        <v>1015</v>
      </c>
      <c r="E851" t="s">
        <v>1097</v>
      </c>
      <c r="F851"/>
      <c r="G851"/>
      <c r="H851"/>
      <c r="I851"/>
      <c r="J851"/>
      <c r="K851" t="s">
        <v>1196</v>
      </c>
    </row>
    <row r="852" spans="1:11">
      <c r="A852"/>
      <c r="B852"/>
      <c r="C852"/>
      <c r="D852" t="s">
        <v>293</v>
      </c>
      <c r="E852" t="s">
        <v>1098</v>
      </c>
      <c r="F852"/>
      <c r="G852"/>
      <c r="H852"/>
      <c r="I852"/>
      <c r="J852"/>
      <c r="K852" t="s">
        <v>1196</v>
      </c>
    </row>
    <row r="853" spans="1:11">
      <c r="A853"/>
      <c r="B853"/>
      <c r="C853"/>
      <c r="D853" t="s">
        <v>1018</v>
      </c>
      <c r="E853" t="s">
        <v>1099</v>
      </c>
      <c r="F853"/>
      <c r="G853"/>
      <c r="H853"/>
      <c r="I853"/>
      <c r="J853"/>
      <c r="K853" t="s">
        <v>1196</v>
      </c>
    </row>
    <row r="854" spans="1:11">
      <c r="A854"/>
      <c r="B854"/>
      <c r="C854"/>
      <c r="D854" t="s">
        <v>980</v>
      </c>
      <c r="E854" t="s">
        <v>1100</v>
      </c>
      <c r="F854"/>
      <c r="G854"/>
      <c r="H854"/>
      <c r="I854"/>
      <c r="J854"/>
      <c r="K854" t="s">
        <v>1196</v>
      </c>
    </row>
    <row r="855" spans="1:11">
      <c r="A855"/>
      <c r="B855"/>
      <c r="C855"/>
      <c r="D855" t="s">
        <v>1155</v>
      </c>
      <c r="E855" t="s">
        <v>1101</v>
      </c>
      <c r="F855"/>
      <c r="G855"/>
      <c r="H855"/>
      <c r="I855"/>
      <c r="J855"/>
      <c r="K855" t="s">
        <v>1196</v>
      </c>
    </row>
    <row r="856" spans="1:11">
      <c r="A856"/>
      <c r="B856"/>
      <c r="C856"/>
      <c r="D856" t="s">
        <v>1155</v>
      </c>
      <c r="E856" t="s">
        <v>1102</v>
      </c>
      <c r="F856"/>
      <c r="G856"/>
      <c r="H856"/>
      <c r="I856"/>
      <c r="J856"/>
      <c r="K856" t="s">
        <v>1196</v>
      </c>
    </row>
    <row r="857" spans="1:11">
      <c r="A857"/>
      <c r="B857"/>
      <c r="C857"/>
      <c r="D857" t="s">
        <v>1155</v>
      </c>
      <c r="E857" t="s">
        <v>1103</v>
      </c>
      <c r="F857"/>
      <c r="G857"/>
      <c r="H857"/>
      <c r="I857"/>
      <c r="J857"/>
      <c r="K857" t="s">
        <v>1196</v>
      </c>
    </row>
    <row r="858" spans="1:11">
      <c r="A858"/>
      <c r="B858"/>
      <c r="C858"/>
      <c r="D858" t="s">
        <v>1155</v>
      </c>
      <c r="E858" t="s">
        <v>1104</v>
      </c>
      <c r="F858"/>
      <c r="G858"/>
      <c r="H858"/>
      <c r="I858"/>
      <c r="J858"/>
      <c r="K858" t="s">
        <v>1196</v>
      </c>
    </row>
    <row r="859" spans="1:11">
      <c r="A859"/>
      <c r="B859"/>
      <c r="C859"/>
      <c r="D859" t="s">
        <v>1188</v>
      </c>
      <c r="E859" t="s">
        <v>1105</v>
      </c>
      <c r="F859"/>
      <c r="G859"/>
      <c r="H859"/>
      <c r="I859"/>
      <c r="J859"/>
      <c r="K859" t="s">
        <v>1196</v>
      </c>
    </row>
    <row r="860" spans="1:11">
      <c r="A860"/>
      <c r="B860"/>
      <c r="C860"/>
      <c r="D860" t="s">
        <v>1188</v>
      </c>
      <c r="E860" t="s">
        <v>1106</v>
      </c>
      <c r="F860"/>
      <c r="G860"/>
      <c r="H860"/>
      <c r="I860"/>
      <c r="J860"/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G861"/>
      <c r="H861"/>
      <c r="I861"/>
      <c r="J861"/>
      <c r="K861" t="s">
        <v>1197</v>
      </c>
    </row>
    <row r="862" spans="1:11">
      <c r="A862"/>
      <c r="B862"/>
      <c r="C862"/>
      <c r="D862" t="s">
        <v>1006</v>
      </c>
      <c r="E862" t="s">
        <v>1108</v>
      </c>
      <c r="F862"/>
      <c r="G862"/>
      <c r="H862"/>
      <c r="I862"/>
      <c r="J862"/>
      <c r="K862" t="s">
        <v>1197</v>
      </c>
    </row>
    <row r="863" spans="1:11">
      <c r="A863"/>
      <c r="B863"/>
      <c r="C863"/>
      <c r="D863" t="s">
        <v>1008</v>
      </c>
      <c r="E863" t="s">
        <v>1109</v>
      </c>
      <c r="F863"/>
      <c r="G863"/>
      <c r="H863"/>
      <c r="I863"/>
      <c r="J863"/>
      <c r="K863" t="s">
        <v>1197</v>
      </c>
    </row>
    <row r="864" spans="1:11">
      <c r="A864"/>
      <c r="B864"/>
      <c r="C864"/>
      <c r="D864" t="s">
        <v>1008</v>
      </c>
      <c r="E864" t="s">
        <v>1110</v>
      </c>
      <c r="F864"/>
      <c r="G864"/>
      <c r="H864"/>
      <c r="I864"/>
      <c r="J864"/>
      <c r="K864" t="s">
        <v>1197</v>
      </c>
    </row>
    <row r="865" spans="1:11">
      <c r="A865"/>
      <c r="B865"/>
      <c r="C865"/>
      <c r="D865" t="s">
        <v>1011</v>
      </c>
      <c r="E865" t="s">
        <v>1111</v>
      </c>
      <c r="F865"/>
      <c r="G865"/>
      <c r="H865"/>
      <c r="I865"/>
      <c r="J865"/>
      <c r="K865" t="s">
        <v>1197</v>
      </c>
    </row>
    <row r="866" spans="1:11">
      <c r="A866"/>
      <c r="B866"/>
      <c r="C866"/>
      <c r="D866" t="s">
        <v>1013</v>
      </c>
      <c r="E866" t="s">
        <v>1112</v>
      </c>
      <c r="F866"/>
      <c r="G866"/>
      <c r="H866"/>
      <c r="I866"/>
      <c r="J866"/>
      <c r="K866" t="s">
        <v>1197</v>
      </c>
    </row>
    <row r="867" spans="1:11">
      <c r="A867"/>
      <c r="B867"/>
      <c r="C867"/>
      <c r="D867" t="s">
        <v>1015</v>
      </c>
      <c r="E867" t="s">
        <v>1113</v>
      </c>
      <c r="F867"/>
      <c r="G867"/>
      <c r="H867"/>
      <c r="I867"/>
      <c r="J867"/>
      <c r="K867" t="s">
        <v>1197</v>
      </c>
    </row>
    <row r="868" spans="1:11">
      <c r="A868"/>
      <c r="B868"/>
      <c r="C868"/>
      <c r="D868" t="s">
        <v>1018</v>
      </c>
      <c r="E868" t="s">
        <v>1114</v>
      </c>
      <c r="F868"/>
      <c r="G868"/>
      <c r="H868"/>
      <c r="I868"/>
      <c r="J868"/>
      <c r="K868" t="s">
        <v>1197</v>
      </c>
    </row>
    <row r="869" spans="1:11">
      <c r="A869"/>
      <c r="B869"/>
      <c r="C869"/>
      <c r="D869" t="s">
        <v>293</v>
      </c>
      <c r="E869" t="s">
        <v>1115</v>
      </c>
      <c r="F869"/>
      <c r="G869"/>
      <c r="H869"/>
      <c r="I869"/>
      <c r="J869"/>
      <c r="K869" t="s">
        <v>1197</v>
      </c>
    </row>
    <row r="870" spans="1:11">
      <c r="A870"/>
      <c r="B870"/>
      <c r="C870"/>
      <c r="D870" t="s">
        <v>980</v>
      </c>
      <c r="E870" t="s">
        <v>1116</v>
      </c>
      <c r="F870"/>
      <c r="G870"/>
      <c r="H870"/>
      <c r="I870"/>
      <c r="J870"/>
      <c r="K870" t="s">
        <v>1197</v>
      </c>
    </row>
    <row r="871" spans="1:11">
      <c r="A871"/>
      <c r="B871"/>
      <c r="C871"/>
      <c r="D871" t="s">
        <v>1155</v>
      </c>
      <c r="E871" t="s">
        <v>1117</v>
      </c>
      <c r="F871"/>
      <c r="G871"/>
      <c r="H871"/>
      <c r="I871"/>
      <c r="J871"/>
      <c r="K871" t="s">
        <v>1197</v>
      </c>
    </row>
    <row r="872" spans="1:11">
      <c r="A872"/>
      <c r="B872"/>
      <c r="C872"/>
      <c r="D872" t="s">
        <v>1155</v>
      </c>
      <c r="E872" t="s">
        <v>1118</v>
      </c>
      <c r="F872"/>
      <c r="G872"/>
      <c r="H872"/>
      <c r="I872"/>
      <c r="J872"/>
      <c r="K872" t="s">
        <v>1197</v>
      </c>
    </row>
    <row r="873" spans="1:11">
      <c r="A873"/>
      <c r="B873"/>
      <c r="C873"/>
      <c r="D873" t="s">
        <v>1155</v>
      </c>
      <c r="E873" t="s">
        <v>1119</v>
      </c>
      <c r="F873"/>
      <c r="G873"/>
      <c r="H873"/>
      <c r="I873"/>
      <c r="J873"/>
      <c r="K873" t="s">
        <v>1197</v>
      </c>
    </row>
    <row r="874" spans="1:11">
      <c r="A874"/>
      <c r="B874"/>
      <c r="C874"/>
      <c r="D874" t="s">
        <v>1155</v>
      </c>
      <c r="E874" t="s">
        <v>1120</v>
      </c>
      <c r="F874"/>
      <c r="G874"/>
      <c r="H874"/>
      <c r="I874"/>
      <c r="J874"/>
      <c r="K874" t="s">
        <v>1197</v>
      </c>
    </row>
    <row r="875" spans="1:11">
      <c r="A875"/>
      <c r="B875"/>
      <c r="C875"/>
      <c r="D875" t="s">
        <v>1188</v>
      </c>
      <c r="E875" t="s">
        <v>1121</v>
      </c>
      <c r="F875"/>
      <c r="G875"/>
      <c r="H875"/>
      <c r="I875"/>
      <c r="J875"/>
      <c r="K875" t="s">
        <v>1197</v>
      </c>
    </row>
    <row r="876" spans="1:11">
      <c r="A876"/>
      <c r="B876"/>
      <c r="C876"/>
      <c r="D876" t="s">
        <v>1188</v>
      </c>
      <c r="E876" t="s">
        <v>1122</v>
      </c>
      <c r="F876"/>
      <c r="G876"/>
      <c r="H876"/>
      <c r="I876"/>
      <c r="J876"/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G877"/>
      <c r="H877"/>
      <c r="I877"/>
      <c r="J877"/>
      <c r="K877" t="s">
        <v>1193</v>
      </c>
    </row>
    <row r="878" spans="1:11">
      <c r="A878"/>
      <c r="B878"/>
      <c r="C878"/>
      <c r="D878" t="s">
        <v>1006</v>
      </c>
      <c r="E878" t="s">
        <v>1124</v>
      </c>
      <c r="F878"/>
      <c r="G878"/>
      <c r="H878"/>
      <c r="I878"/>
      <c r="J878"/>
      <c r="K878" t="s">
        <v>1193</v>
      </c>
    </row>
    <row r="879" spans="1:11">
      <c r="A879"/>
      <c r="B879"/>
      <c r="C879"/>
      <c r="D879" t="s">
        <v>1008</v>
      </c>
      <c r="E879" t="s">
        <v>1125</v>
      </c>
      <c r="F879"/>
      <c r="G879"/>
      <c r="H879"/>
      <c r="I879"/>
      <c r="J879"/>
      <c r="K879" t="s">
        <v>1193</v>
      </c>
    </row>
    <row r="880" spans="1:11">
      <c r="A880"/>
      <c r="B880"/>
      <c r="C880"/>
      <c r="D880" t="s">
        <v>1008</v>
      </c>
      <c r="E880" t="s">
        <v>1126</v>
      </c>
      <c r="F880"/>
      <c r="G880"/>
      <c r="H880"/>
      <c r="I880"/>
      <c r="J880"/>
      <c r="K880" t="s">
        <v>1193</v>
      </c>
    </row>
    <row r="881" spans="1:11">
      <c r="A881"/>
      <c r="B881"/>
      <c r="C881"/>
      <c r="D881" t="s">
        <v>1011</v>
      </c>
      <c r="E881" t="s">
        <v>1127</v>
      </c>
      <c r="F881"/>
      <c r="G881"/>
      <c r="H881"/>
      <c r="I881"/>
      <c r="J881"/>
      <c r="K881" t="s">
        <v>1193</v>
      </c>
    </row>
    <row r="882" spans="1:11">
      <c r="A882"/>
      <c r="B882"/>
      <c r="C882"/>
      <c r="D882" t="s">
        <v>1013</v>
      </c>
      <c r="E882" t="s">
        <v>1128</v>
      </c>
      <c r="F882"/>
      <c r="G882"/>
      <c r="H882"/>
      <c r="I882"/>
      <c r="J882"/>
      <c r="K882" t="s">
        <v>1193</v>
      </c>
    </row>
    <row r="883" spans="1:11">
      <c r="A883"/>
      <c r="B883"/>
      <c r="C883"/>
      <c r="D883" t="s">
        <v>1015</v>
      </c>
      <c r="E883" t="s">
        <v>1129</v>
      </c>
      <c r="F883"/>
      <c r="G883"/>
      <c r="H883"/>
      <c r="I883"/>
      <c r="J883"/>
      <c r="K883" t="s">
        <v>1193</v>
      </c>
    </row>
    <row r="884" spans="1:11">
      <c r="A884"/>
      <c r="B884"/>
      <c r="C884"/>
      <c r="D884" t="s">
        <v>293</v>
      </c>
      <c r="E884" t="s">
        <v>1130</v>
      </c>
      <c r="F884"/>
      <c r="G884"/>
      <c r="H884"/>
      <c r="I884"/>
      <c r="J884"/>
      <c r="K884" t="s">
        <v>1193</v>
      </c>
    </row>
    <row r="885" spans="1:11">
      <c r="A885"/>
      <c r="B885"/>
      <c r="C885"/>
      <c r="D885" t="s">
        <v>1018</v>
      </c>
      <c r="E885" t="s">
        <v>1131</v>
      </c>
      <c r="F885"/>
      <c r="G885"/>
      <c r="H885"/>
      <c r="I885"/>
      <c r="J885"/>
      <c r="K885" t="s">
        <v>1193</v>
      </c>
    </row>
    <row r="886" spans="1:11">
      <c r="A886"/>
      <c r="B886"/>
      <c r="C886"/>
      <c r="D886" t="s">
        <v>980</v>
      </c>
      <c r="E886" t="s">
        <v>1132</v>
      </c>
      <c r="F886"/>
      <c r="G886"/>
      <c r="H886"/>
      <c r="I886"/>
      <c r="J886"/>
      <c r="K886" t="s">
        <v>1193</v>
      </c>
    </row>
    <row r="887" spans="1:11">
      <c r="A887"/>
      <c r="B887"/>
      <c r="C887"/>
      <c r="D887" t="s">
        <v>1155</v>
      </c>
      <c r="E887" t="s">
        <v>1133</v>
      </c>
      <c r="F887"/>
      <c r="G887"/>
      <c r="H887"/>
      <c r="I887"/>
      <c r="J887"/>
      <c r="K887" t="s">
        <v>1193</v>
      </c>
    </row>
    <row r="888" spans="1:11">
      <c r="A888"/>
      <c r="B888"/>
      <c r="C888"/>
      <c r="D888" t="s">
        <v>1155</v>
      </c>
      <c r="E888" t="s">
        <v>1134</v>
      </c>
      <c r="F888"/>
      <c r="G888"/>
      <c r="H888"/>
      <c r="I888"/>
      <c r="J888"/>
      <c r="K888" t="s">
        <v>1193</v>
      </c>
    </row>
    <row r="889" spans="1:11">
      <c r="A889"/>
      <c r="B889"/>
      <c r="C889"/>
      <c r="D889" t="s">
        <v>1155</v>
      </c>
      <c r="E889" t="s">
        <v>1135</v>
      </c>
      <c r="F889"/>
      <c r="G889"/>
      <c r="H889"/>
      <c r="I889"/>
      <c r="J889"/>
      <c r="K889" t="s">
        <v>1193</v>
      </c>
    </row>
    <row r="890" spans="1:11">
      <c r="A890"/>
      <c r="B890"/>
      <c r="C890"/>
      <c r="D890" t="s">
        <v>1155</v>
      </c>
      <c r="E890" t="s">
        <v>1136</v>
      </c>
      <c r="F890"/>
      <c r="G890"/>
      <c r="H890"/>
      <c r="I890"/>
      <c r="J890"/>
      <c r="K890" t="s">
        <v>1193</v>
      </c>
    </row>
    <row r="891" spans="1:11">
      <c r="A891"/>
      <c r="B891"/>
      <c r="C891"/>
      <c r="D891" t="s">
        <v>1188</v>
      </c>
      <c r="E891" t="s">
        <v>1137</v>
      </c>
      <c r="F891"/>
      <c r="G891"/>
      <c r="H891"/>
      <c r="I891"/>
      <c r="J891"/>
      <c r="K891" t="s">
        <v>1193</v>
      </c>
    </row>
    <row r="892" spans="1:11">
      <c r="A892"/>
      <c r="B892"/>
      <c r="C892"/>
      <c r="D892" t="s">
        <v>1188</v>
      </c>
      <c r="E892" t="s">
        <v>1138</v>
      </c>
      <c r="F892"/>
      <c r="G892"/>
      <c r="H892"/>
      <c r="I892"/>
      <c r="J892"/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G893"/>
      <c r="H893"/>
      <c r="I893"/>
      <c r="J893"/>
      <c r="K893" t="s">
        <v>1189</v>
      </c>
    </row>
    <row r="894" spans="1:11">
      <c r="A894"/>
      <c r="B894"/>
      <c r="C894"/>
      <c r="D894" t="s">
        <v>1006</v>
      </c>
      <c r="E894" t="s">
        <v>1140</v>
      </c>
      <c r="F894"/>
      <c r="G894"/>
      <c r="H894"/>
      <c r="I894"/>
      <c r="J894"/>
      <c r="K894" t="s">
        <v>1189</v>
      </c>
    </row>
    <row r="895" spans="1:11">
      <c r="A895"/>
      <c r="B895"/>
      <c r="C895"/>
      <c r="D895" t="s">
        <v>1008</v>
      </c>
      <c r="E895" t="s">
        <v>1141</v>
      </c>
      <c r="F895"/>
      <c r="G895"/>
      <c r="H895"/>
      <c r="I895"/>
      <c r="J895"/>
      <c r="K895" t="s">
        <v>1189</v>
      </c>
    </row>
    <row r="896" spans="1:11">
      <c r="A896"/>
      <c r="B896"/>
      <c r="C896"/>
      <c r="D896" t="s">
        <v>1008</v>
      </c>
      <c r="E896" t="s">
        <v>1142</v>
      </c>
      <c r="F896"/>
      <c r="G896"/>
      <c r="H896"/>
      <c r="I896"/>
      <c r="J896"/>
      <c r="K896" t="s">
        <v>1189</v>
      </c>
    </row>
    <row r="897" spans="1:11">
      <c r="A897"/>
      <c r="B897"/>
      <c r="C897"/>
      <c r="D897" t="s">
        <v>1011</v>
      </c>
      <c r="E897" t="s">
        <v>1143</v>
      </c>
      <c r="F897"/>
      <c r="G897"/>
      <c r="H897"/>
      <c r="I897"/>
      <c r="J897"/>
      <c r="K897" t="s">
        <v>1189</v>
      </c>
    </row>
    <row r="898" spans="1:11">
      <c r="A898"/>
      <c r="B898"/>
      <c r="C898"/>
      <c r="D898" t="s">
        <v>1013</v>
      </c>
      <c r="E898" t="s">
        <v>1144</v>
      </c>
      <c r="F898"/>
      <c r="G898"/>
      <c r="H898"/>
      <c r="I898"/>
      <c r="J898"/>
      <c r="K898" t="s">
        <v>1189</v>
      </c>
    </row>
    <row r="899" spans="1:11">
      <c r="A899"/>
      <c r="B899"/>
      <c r="C899"/>
      <c r="D899" t="s">
        <v>1015</v>
      </c>
      <c r="E899" t="s">
        <v>1145</v>
      </c>
      <c r="F899"/>
      <c r="G899"/>
      <c r="H899"/>
      <c r="I899"/>
      <c r="J899"/>
      <c r="K899" t="s">
        <v>1189</v>
      </c>
    </row>
    <row r="900" spans="1:11">
      <c r="A900"/>
      <c r="B900"/>
      <c r="C900"/>
      <c r="D900" t="s">
        <v>293</v>
      </c>
      <c r="E900" t="s">
        <v>1146</v>
      </c>
      <c r="F900"/>
      <c r="G900"/>
      <c r="H900"/>
      <c r="I900"/>
      <c r="J900"/>
      <c r="K900" t="s">
        <v>1189</v>
      </c>
    </row>
    <row r="901" spans="1:11">
      <c r="A901"/>
      <c r="B901"/>
      <c r="C901"/>
      <c r="D901" t="s">
        <v>1018</v>
      </c>
      <c r="E901" t="s">
        <v>1147</v>
      </c>
      <c r="F901"/>
      <c r="G901"/>
      <c r="H901"/>
      <c r="I901"/>
      <c r="J901"/>
      <c r="K901" t="s">
        <v>1189</v>
      </c>
    </row>
    <row r="902" spans="1:11">
      <c r="A902"/>
      <c r="B902"/>
      <c r="C902"/>
      <c r="D902" t="s">
        <v>980</v>
      </c>
      <c r="E902" t="s">
        <v>1148</v>
      </c>
      <c r="F902"/>
      <c r="G902"/>
      <c r="H902"/>
      <c r="I902"/>
      <c r="J902"/>
      <c r="K902" t="s">
        <v>1189</v>
      </c>
    </row>
    <row r="903" spans="1:11">
      <c r="A903"/>
      <c r="B903"/>
      <c r="C903"/>
      <c r="D903" t="s">
        <v>1155</v>
      </c>
      <c r="E903" t="s">
        <v>1149</v>
      </c>
      <c r="F903"/>
      <c r="G903"/>
      <c r="H903"/>
      <c r="I903"/>
      <c r="J903"/>
      <c r="K903" t="s">
        <v>1189</v>
      </c>
    </row>
    <row r="904" spans="1:11">
      <c r="A904"/>
      <c r="B904"/>
      <c r="C904"/>
      <c r="D904" t="s">
        <v>1155</v>
      </c>
      <c r="E904" t="s">
        <v>1150</v>
      </c>
      <c r="F904"/>
      <c r="G904"/>
      <c r="H904"/>
      <c r="I904"/>
      <c r="J904"/>
      <c r="K904" t="s">
        <v>1189</v>
      </c>
    </row>
    <row r="905" spans="1:11">
      <c r="A905"/>
      <c r="B905"/>
      <c r="C905"/>
      <c r="D905" t="s">
        <v>1155</v>
      </c>
      <c r="E905" t="s">
        <v>1151</v>
      </c>
      <c r="F905"/>
      <c r="G905"/>
      <c r="H905"/>
      <c r="I905"/>
      <c r="J905"/>
      <c r="K905" t="s">
        <v>1189</v>
      </c>
    </row>
    <row r="906" spans="1:11">
      <c r="A906"/>
      <c r="B906"/>
      <c r="C906"/>
      <c r="D906" t="s">
        <v>1155</v>
      </c>
      <c r="E906" t="s">
        <v>1152</v>
      </c>
      <c r="F906"/>
      <c r="G906"/>
      <c r="H906"/>
      <c r="I906"/>
      <c r="J906"/>
      <c r="K906" t="s">
        <v>1189</v>
      </c>
    </row>
    <row r="907" spans="1:11">
      <c r="A907"/>
      <c r="B907"/>
      <c r="C907"/>
      <c r="D907" t="s">
        <v>1188</v>
      </c>
      <c r="E907" t="s">
        <v>1153</v>
      </c>
      <c r="F907"/>
      <c r="G907"/>
      <c r="H907"/>
      <c r="I907"/>
      <c r="J907"/>
      <c r="K907" t="s">
        <v>1189</v>
      </c>
    </row>
    <row r="908" spans="1:11">
      <c r="A908"/>
      <c r="B908"/>
      <c r="C908"/>
      <c r="D908" t="s">
        <v>1188</v>
      </c>
      <c r="E908" t="s">
        <v>1154</v>
      </c>
      <c r="F908"/>
      <c r="G908"/>
      <c r="H908"/>
      <c r="I908"/>
      <c r="J908"/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G909"/>
      <c r="H909"/>
      <c r="I909"/>
      <c r="J909"/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G910"/>
      <c r="H910"/>
      <c r="I910"/>
      <c r="J910"/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G911"/>
      <c r="H911"/>
      <c r="I911"/>
      <c r="J911"/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G912"/>
      <c r="H912"/>
      <c r="I912"/>
      <c r="J912"/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G913"/>
      <c r="H913"/>
      <c r="I913"/>
      <c r="J913"/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G914"/>
      <c r="H914"/>
      <c r="I914"/>
      <c r="J914"/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  <c r="G915"/>
      <c r="H915"/>
      <c r="I915"/>
      <c r="J915"/>
      <c r="K915"/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  <c r="G916"/>
      <c r="H916"/>
      <c r="I916"/>
      <c r="J916"/>
      <c r="K916"/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  <c r="G917"/>
      <c r="H917"/>
      <c r="I917"/>
      <c r="J917"/>
      <c r="K917"/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  <c r="G918"/>
      <c r="H918"/>
      <c r="I918"/>
      <c r="J918"/>
      <c r="K918"/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G919"/>
      <c r="H919"/>
      <c r="I919"/>
      <c r="J919"/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G920"/>
      <c r="H920"/>
      <c r="I920"/>
      <c r="J920"/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G921"/>
      <c r="H921"/>
      <c r="I921"/>
      <c r="J921"/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G922"/>
      <c r="H922"/>
      <c r="I922"/>
      <c r="J922"/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G923"/>
      <c r="H923"/>
      <c r="I923"/>
      <c r="J923"/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G924"/>
      <c r="H924"/>
      <c r="I924"/>
      <c r="J924"/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G925"/>
      <c r="H925"/>
      <c r="I925"/>
      <c r="J925"/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G926"/>
      <c r="H926"/>
      <c r="I926"/>
      <c r="J926"/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G927"/>
      <c r="H927"/>
      <c r="I927"/>
      <c r="J927"/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G928"/>
      <c r="H928"/>
      <c r="I928"/>
      <c r="J928"/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G929"/>
      <c r="H929"/>
      <c r="I929"/>
      <c r="J929"/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G930"/>
      <c r="H930"/>
      <c r="I930"/>
      <c r="J930"/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G931"/>
      <c r="H931"/>
      <c r="I931"/>
      <c r="J931"/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G932"/>
      <c r="H932"/>
      <c r="I932"/>
      <c r="J932"/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G933"/>
      <c r="H933"/>
      <c r="I933"/>
      <c r="J933"/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G934"/>
      <c r="H934"/>
      <c r="I934"/>
      <c r="J934"/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G935"/>
      <c r="H935"/>
      <c r="I935"/>
      <c r="J935"/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G936"/>
      <c r="H936"/>
      <c r="I936"/>
      <c r="J936"/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G937"/>
      <c r="H937"/>
      <c r="I937"/>
      <c r="J937"/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G938"/>
      <c r="H938"/>
      <c r="I938"/>
      <c r="J938"/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G939"/>
      <c r="H939"/>
      <c r="I939"/>
      <c r="J939"/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G940"/>
      <c r="H940"/>
      <c r="I940"/>
      <c r="J940"/>
      <c r="K940" t="s">
        <v>1195</v>
      </c>
    </row>
    <row r="941" spans="1:11">
      <c r="A941"/>
      <c r="B941"/>
      <c r="C941"/>
      <c r="D941" t="s">
        <v>1484</v>
      </c>
      <c r="E941" t="s">
        <v>1199</v>
      </c>
      <c r="F941"/>
      <c r="G941"/>
      <c r="H941"/>
      <c r="I941"/>
      <c r="J941"/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G942"/>
      <c r="H942"/>
      <c r="I942"/>
      <c r="J942"/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G943"/>
      <c r="H943"/>
      <c r="I943"/>
      <c r="J943"/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G944"/>
      <c r="H944"/>
      <c r="I944"/>
      <c r="J944"/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G945"/>
      <c r="H945"/>
      <c r="I945"/>
      <c r="J945"/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H946"/>
      <c r="I946"/>
      <c r="J946"/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H947"/>
      <c r="I947"/>
      <c r="J947"/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H948"/>
      <c r="I948"/>
      <c r="J948"/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H949"/>
      <c r="I949"/>
      <c r="J949"/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H950"/>
      <c r="I950"/>
      <c r="J950"/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H951"/>
      <c r="I951"/>
      <c r="J951"/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H952"/>
      <c r="I952"/>
      <c r="J952"/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H953"/>
      <c r="I953"/>
      <c r="J953"/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H954"/>
      <c r="I954"/>
      <c r="J954"/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H955"/>
      <c r="I955"/>
      <c r="J955"/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H956"/>
      <c r="I956"/>
      <c r="J956"/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H957"/>
      <c r="I957"/>
      <c r="J957"/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H958"/>
      <c r="I958"/>
      <c r="J958"/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H959"/>
      <c r="I959"/>
      <c r="J959"/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H960"/>
      <c r="I960"/>
      <c r="J960"/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H961"/>
      <c r="I961"/>
      <c r="J961"/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H962"/>
      <c r="I962"/>
      <c r="J962"/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H963"/>
      <c r="I963"/>
      <c r="J963"/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H964"/>
      <c r="I964"/>
      <c r="J964"/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H965"/>
      <c r="I965"/>
      <c r="J965"/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H966"/>
      <c r="I966"/>
      <c r="J966"/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H967"/>
      <c r="I967"/>
      <c r="J967"/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H968"/>
      <c r="I968"/>
      <c r="J968"/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H969"/>
      <c r="I969"/>
      <c r="J969"/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H970"/>
      <c r="I970"/>
      <c r="J970"/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H971"/>
      <c r="I971"/>
      <c r="J971"/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H972"/>
      <c r="I972"/>
      <c r="J972"/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H973"/>
      <c r="I973"/>
      <c r="J973"/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H974"/>
      <c r="I974"/>
      <c r="J974"/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H975"/>
      <c r="I975"/>
      <c r="J975"/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H976"/>
      <c r="I976"/>
      <c r="J976"/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H977"/>
      <c r="I977"/>
      <c r="J977"/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H978"/>
      <c r="I978"/>
      <c r="J978"/>
      <c r="K978" t="s">
        <v>1201</v>
      </c>
    </row>
    <row r="979" spans="1:11">
      <c r="A979"/>
      <c r="B979"/>
      <c r="C979"/>
      <c r="D979" t="s">
        <v>1244</v>
      </c>
      <c r="E979" t="s">
        <v>1245</v>
      </c>
      <c r="F979"/>
      <c r="G979"/>
      <c r="H979"/>
      <c r="I979"/>
      <c r="J979"/>
      <c r="K979" t="s">
        <v>1201</v>
      </c>
    </row>
    <row r="980" spans="1:11">
      <c r="A980"/>
      <c r="B980"/>
      <c r="C980"/>
      <c r="D980" t="s">
        <v>1246</v>
      </c>
      <c r="E980" t="s">
        <v>1247</v>
      </c>
      <c r="F980"/>
      <c r="G980"/>
      <c r="H980"/>
      <c r="I980"/>
      <c r="J980"/>
      <c r="K980" t="s">
        <v>1201</v>
      </c>
    </row>
    <row r="981" spans="1:11">
      <c r="A981"/>
      <c r="B981"/>
      <c r="C981"/>
      <c r="D981" t="s">
        <v>895</v>
      </c>
      <c r="E981" t="s">
        <v>1248</v>
      </c>
      <c r="F981"/>
      <c r="G981"/>
      <c r="H981"/>
      <c r="I981"/>
      <c r="J981"/>
      <c r="K981" t="s">
        <v>1201</v>
      </c>
    </row>
    <row r="982" spans="1:11">
      <c r="A982"/>
      <c r="B982"/>
      <c r="C982"/>
      <c r="D982" t="s">
        <v>895</v>
      </c>
      <c r="E982" t="s">
        <v>1249</v>
      </c>
      <c r="F982"/>
      <c r="G982"/>
      <c r="H982"/>
      <c r="I982"/>
      <c r="J982"/>
      <c r="K982" t="s">
        <v>1201</v>
      </c>
    </row>
    <row r="983" spans="1:11">
      <c r="A983"/>
      <c r="B983"/>
      <c r="C983"/>
      <c r="D983" t="s">
        <v>1250</v>
      </c>
      <c r="E983" t="s">
        <v>1251</v>
      </c>
      <c r="F983"/>
      <c r="G983"/>
      <c r="H983"/>
      <c r="I983"/>
      <c r="J983"/>
      <c r="K983" t="s">
        <v>1201</v>
      </c>
    </row>
    <row r="984" spans="1:11">
      <c r="A984"/>
      <c r="B984"/>
      <c r="C984"/>
      <c r="D984" t="s">
        <v>1252</v>
      </c>
      <c r="E984" t="s">
        <v>1253</v>
      </c>
      <c r="F984"/>
      <c r="G984"/>
      <c r="H984"/>
      <c r="I984"/>
      <c r="J984"/>
      <c r="K984" t="s">
        <v>1201</v>
      </c>
    </row>
    <row r="985" spans="1:11">
      <c r="A985"/>
      <c r="B985"/>
      <c r="C985"/>
      <c r="D985" t="s">
        <v>1254</v>
      </c>
      <c r="E985" t="s">
        <v>1255</v>
      </c>
      <c r="F985"/>
      <c r="G985"/>
      <c r="H985"/>
      <c r="I985"/>
      <c r="J985"/>
      <c r="K985" t="s">
        <v>1201</v>
      </c>
    </row>
    <row r="986" spans="1:11">
      <c r="A986"/>
      <c r="B986"/>
      <c r="C986"/>
      <c r="D986" t="s">
        <v>896</v>
      </c>
      <c r="E986" t="s">
        <v>1256</v>
      </c>
      <c r="F986"/>
      <c r="G986"/>
      <c r="H986"/>
      <c r="I986"/>
      <c r="J986"/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G987"/>
      <c r="H987"/>
      <c r="I987"/>
      <c r="J987"/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G988"/>
      <c r="H988"/>
      <c r="I988"/>
      <c r="J988"/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G989"/>
      <c r="H989"/>
      <c r="I989"/>
      <c r="J989"/>
      <c r="K989" t="s">
        <v>1260</v>
      </c>
    </row>
    <row r="990" spans="1:11">
      <c r="A990"/>
      <c r="B990"/>
      <c r="C990"/>
      <c r="D990" t="s">
        <v>965</v>
      </c>
      <c r="E990" t="s">
        <v>1265</v>
      </c>
      <c r="F990"/>
      <c r="G990"/>
      <c r="H990"/>
      <c r="I990"/>
      <c r="J990"/>
      <c r="K990" t="s">
        <v>1260</v>
      </c>
    </row>
    <row r="991" spans="1:11">
      <c r="A991"/>
      <c r="B991"/>
      <c r="C991"/>
      <c r="D991" t="s">
        <v>967</v>
      </c>
      <c r="E991" t="s">
        <v>1266</v>
      </c>
      <c r="F991"/>
      <c r="G991"/>
      <c r="H991"/>
      <c r="I991"/>
      <c r="J991"/>
      <c r="K991" t="s">
        <v>1260</v>
      </c>
    </row>
    <row r="992" spans="1:11">
      <c r="A992"/>
      <c r="B992"/>
      <c r="C992"/>
      <c r="D992" t="s">
        <v>969</v>
      </c>
      <c r="E992" t="s">
        <v>1267</v>
      </c>
      <c r="F992"/>
      <c r="G992"/>
      <c r="H992"/>
      <c r="I992"/>
      <c r="J992"/>
      <c r="K992" t="s">
        <v>1260</v>
      </c>
    </row>
    <row r="993" spans="1:11">
      <c r="A993"/>
      <c r="B993"/>
      <c r="C993"/>
      <c r="D993" t="s">
        <v>971</v>
      </c>
      <c r="E993" t="s">
        <v>1268</v>
      </c>
      <c r="F993"/>
      <c r="G993"/>
      <c r="H993"/>
      <c r="I993"/>
      <c r="J993"/>
      <c r="K993" t="s">
        <v>1260</v>
      </c>
    </row>
    <row r="994" spans="1:11">
      <c r="A994"/>
      <c r="B994"/>
      <c r="C994"/>
      <c r="D994" t="s">
        <v>975</v>
      </c>
      <c r="E994" t="s">
        <v>1269</v>
      </c>
      <c r="F994"/>
      <c r="G994"/>
      <c r="H994"/>
      <c r="I994"/>
      <c r="J994"/>
      <c r="K994" t="s">
        <v>1260</v>
      </c>
    </row>
    <row r="995" spans="1:11">
      <c r="A995"/>
      <c r="B995"/>
      <c r="C995"/>
      <c r="D995" t="s">
        <v>17</v>
      </c>
      <c r="E995" t="s">
        <v>1270</v>
      </c>
      <c r="F995"/>
      <c r="G995"/>
      <c r="H995"/>
      <c r="I995"/>
      <c r="J995"/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H996"/>
      <c r="I996"/>
      <c r="J996"/>
      <c r="K996" t="s">
        <v>1260</v>
      </c>
    </row>
    <row r="997" spans="1:11">
      <c r="A997"/>
      <c r="B997"/>
      <c r="C997"/>
      <c r="D997" t="s">
        <v>976</v>
      </c>
      <c r="E997" t="s">
        <v>1274</v>
      </c>
      <c r="F997"/>
      <c r="G997"/>
      <c r="H997"/>
      <c r="I997"/>
      <c r="J997"/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H998"/>
      <c r="I998"/>
      <c r="J998"/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H999"/>
      <c r="I999"/>
      <c r="J999"/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H1000"/>
      <c r="I1000"/>
      <c r="J1000"/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H1001"/>
      <c r="I1001"/>
      <c r="J1001"/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H1002"/>
      <c r="I1002"/>
      <c r="J1002"/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H1003"/>
      <c r="I1003"/>
      <c r="J1003"/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H1004"/>
      <c r="I1004"/>
      <c r="J1004"/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H1005"/>
      <c r="I1005"/>
      <c r="J1005"/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H1006"/>
      <c r="I1006"/>
      <c r="J1006"/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H1007"/>
      <c r="I1007"/>
      <c r="J1007"/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H1008"/>
      <c r="I1008"/>
      <c r="J1008"/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H1009"/>
      <c r="I1009"/>
      <c r="J1009"/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H1010"/>
      <c r="I1010"/>
      <c r="J1010"/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H1011"/>
      <c r="I1011"/>
      <c r="J1011"/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H1012"/>
      <c r="I1012"/>
      <c r="J1012"/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H1013"/>
      <c r="I1013"/>
      <c r="J1013"/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H1014"/>
      <c r="I1014"/>
      <c r="J1014"/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H1015"/>
      <c r="I1015"/>
      <c r="J1015"/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H1016"/>
      <c r="I1016"/>
      <c r="J1016"/>
      <c r="K1016" t="s">
        <v>1301</v>
      </c>
    </row>
    <row r="1017" spans="1:11">
      <c r="A1017"/>
      <c r="B1017"/>
      <c r="C1017"/>
      <c r="D1017" t="s">
        <v>340</v>
      </c>
      <c r="E1017" t="s">
        <v>1302</v>
      </c>
      <c r="F1017"/>
      <c r="G1017"/>
      <c r="H1017"/>
      <c r="I1017"/>
      <c r="J1017"/>
      <c r="K1017" t="s">
        <v>1287</v>
      </c>
    </row>
    <row r="1018" spans="1:11">
      <c r="A1018"/>
      <c r="B1018"/>
      <c r="C1018"/>
      <c r="D1018" t="s">
        <v>582</v>
      </c>
      <c r="E1018" t="s">
        <v>1303</v>
      </c>
      <c r="F1018"/>
      <c r="G1018"/>
      <c r="H1018"/>
      <c r="I1018"/>
      <c r="J1018"/>
      <c r="K1018" t="s">
        <v>1287</v>
      </c>
    </row>
    <row r="1019" spans="1:11">
      <c r="A1019"/>
      <c r="B1019"/>
      <c r="C1019"/>
      <c r="D1019" t="s">
        <v>582</v>
      </c>
      <c r="E1019" t="s">
        <v>1304</v>
      </c>
      <c r="F1019"/>
      <c r="G1019"/>
      <c r="H1019"/>
      <c r="I1019"/>
      <c r="J1019"/>
      <c r="K1019" t="s">
        <v>1287</v>
      </c>
    </row>
    <row r="1020" spans="1:11">
      <c r="A1020"/>
      <c r="B1020"/>
      <c r="C1020"/>
      <c r="D1020" t="s">
        <v>581</v>
      </c>
      <c r="E1020" t="s">
        <v>1305</v>
      </c>
      <c r="F1020"/>
      <c r="G1020"/>
      <c r="H1020"/>
      <c r="I1020"/>
      <c r="J1020"/>
      <c r="K1020" t="s">
        <v>1287</v>
      </c>
    </row>
    <row r="1021" spans="1:11">
      <c r="A1021"/>
      <c r="B1021"/>
      <c r="C1021"/>
      <c r="D1021" t="s">
        <v>340</v>
      </c>
      <c r="E1021" t="s">
        <v>1306</v>
      </c>
      <c r="F1021"/>
      <c r="G1021"/>
      <c r="H1021"/>
      <c r="I1021"/>
      <c r="J1021"/>
      <c r="K1021" t="s">
        <v>1292</v>
      </c>
    </row>
    <row r="1022" spans="1:11">
      <c r="A1022"/>
      <c r="B1022"/>
      <c r="C1022"/>
      <c r="D1022" t="s">
        <v>582</v>
      </c>
      <c r="E1022" t="s">
        <v>1307</v>
      </c>
      <c r="F1022"/>
      <c r="G1022"/>
      <c r="H1022"/>
      <c r="I1022"/>
      <c r="J1022"/>
      <c r="K1022" t="s">
        <v>1292</v>
      </c>
    </row>
    <row r="1023" spans="1:11">
      <c r="A1023"/>
      <c r="B1023"/>
      <c r="C1023"/>
      <c r="D1023" t="s">
        <v>582</v>
      </c>
      <c r="E1023" t="s">
        <v>1308</v>
      </c>
      <c r="F1023"/>
      <c r="G1023"/>
      <c r="H1023"/>
      <c r="I1023"/>
      <c r="J1023"/>
      <c r="K1023" t="s">
        <v>1292</v>
      </c>
    </row>
    <row r="1024" spans="1:11">
      <c r="A1024"/>
      <c r="B1024"/>
      <c r="C1024"/>
      <c r="D1024" t="s">
        <v>581</v>
      </c>
      <c r="E1024" t="s">
        <v>1309</v>
      </c>
      <c r="F1024"/>
      <c r="G1024"/>
      <c r="H1024"/>
      <c r="I1024"/>
      <c r="J1024"/>
      <c r="K1024" t="s">
        <v>1292</v>
      </c>
    </row>
    <row r="1025" spans="1:11">
      <c r="A1025"/>
      <c r="B1025"/>
      <c r="C1025"/>
      <c r="D1025" t="s">
        <v>340</v>
      </c>
      <c r="E1025" t="s">
        <v>1310</v>
      </c>
      <c r="F1025"/>
      <c r="G1025"/>
      <c r="H1025"/>
      <c r="I1025"/>
      <c r="J1025"/>
      <c r="K1025" t="s">
        <v>1295</v>
      </c>
    </row>
    <row r="1026" spans="1:11">
      <c r="A1026"/>
      <c r="B1026"/>
      <c r="C1026"/>
      <c r="D1026" t="s">
        <v>582</v>
      </c>
      <c r="E1026" t="s">
        <v>1311</v>
      </c>
      <c r="F1026"/>
      <c r="G1026"/>
      <c r="H1026"/>
      <c r="I1026"/>
      <c r="J1026"/>
      <c r="K1026" t="s">
        <v>1295</v>
      </c>
    </row>
    <row r="1027" spans="1:11">
      <c r="A1027"/>
      <c r="B1027"/>
      <c r="C1027"/>
      <c r="D1027" t="s">
        <v>582</v>
      </c>
      <c r="E1027" t="s">
        <v>1312</v>
      </c>
      <c r="F1027"/>
      <c r="G1027"/>
      <c r="H1027"/>
      <c r="I1027"/>
      <c r="J1027"/>
      <c r="K1027" t="s">
        <v>1295</v>
      </c>
    </row>
    <row r="1028" spans="1:11">
      <c r="A1028"/>
      <c r="B1028"/>
      <c r="C1028"/>
      <c r="D1028" t="s">
        <v>581</v>
      </c>
      <c r="E1028" t="s">
        <v>1313</v>
      </c>
      <c r="F1028"/>
      <c r="G1028"/>
      <c r="H1028"/>
      <c r="I1028"/>
      <c r="J1028"/>
      <c r="K1028" t="s">
        <v>1295</v>
      </c>
    </row>
    <row r="1029" spans="1:11">
      <c r="A1029"/>
      <c r="B1029"/>
      <c r="C1029"/>
      <c r="D1029" t="s">
        <v>340</v>
      </c>
      <c r="E1029" t="s">
        <v>1314</v>
      </c>
      <c r="F1029"/>
      <c r="G1029"/>
      <c r="H1029"/>
      <c r="I1029"/>
      <c r="J1029"/>
      <c r="K1029" t="s">
        <v>1298</v>
      </c>
    </row>
    <row r="1030" spans="1:11">
      <c r="A1030"/>
      <c r="B1030"/>
      <c r="C1030"/>
      <c r="D1030" t="s">
        <v>582</v>
      </c>
      <c r="E1030" t="s">
        <v>1315</v>
      </c>
      <c r="F1030"/>
      <c r="G1030"/>
      <c r="H1030"/>
      <c r="I1030"/>
      <c r="J1030"/>
      <c r="K1030" t="s">
        <v>1298</v>
      </c>
    </row>
    <row r="1031" spans="1:11">
      <c r="A1031"/>
      <c r="B1031"/>
      <c r="C1031"/>
      <c r="D1031" t="s">
        <v>582</v>
      </c>
      <c r="E1031" t="s">
        <v>1316</v>
      </c>
      <c r="F1031"/>
      <c r="G1031"/>
      <c r="H1031"/>
      <c r="I1031"/>
      <c r="J1031"/>
      <c r="K1031" t="s">
        <v>1298</v>
      </c>
    </row>
    <row r="1032" spans="1:11">
      <c r="A1032"/>
      <c r="B1032"/>
      <c r="C1032"/>
      <c r="D1032" t="s">
        <v>581</v>
      </c>
      <c r="E1032" t="s">
        <v>1317</v>
      </c>
      <c r="F1032"/>
      <c r="G1032"/>
      <c r="H1032"/>
      <c r="I1032"/>
      <c r="J1032"/>
      <c r="K1032" t="s">
        <v>1298</v>
      </c>
    </row>
    <row r="1033" spans="1:11">
      <c r="A1033"/>
      <c r="B1033"/>
      <c r="C1033"/>
      <c r="D1033" t="s">
        <v>340</v>
      </c>
      <c r="E1033" t="s">
        <v>1318</v>
      </c>
      <c r="F1033"/>
      <c r="G1033"/>
      <c r="H1033"/>
      <c r="I1033"/>
      <c r="J1033"/>
      <c r="K1033" t="s">
        <v>1319</v>
      </c>
    </row>
    <row r="1034" spans="1:11">
      <c r="A1034"/>
      <c r="B1034"/>
      <c r="C1034"/>
      <c r="D1034" t="s">
        <v>582</v>
      </c>
      <c r="E1034" t="s">
        <v>1320</v>
      </c>
      <c r="F1034"/>
      <c r="G1034"/>
      <c r="H1034"/>
      <c r="I1034"/>
      <c r="J1034"/>
      <c r="K1034" t="s">
        <v>1319</v>
      </c>
    </row>
    <row r="1035" spans="1:11">
      <c r="A1035"/>
      <c r="B1035"/>
      <c r="C1035"/>
      <c r="D1035" t="s">
        <v>582</v>
      </c>
      <c r="E1035" t="s">
        <v>1321</v>
      </c>
      <c r="F1035"/>
      <c r="G1035"/>
      <c r="H1035"/>
      <c r="I1035"/>
      <c r="J1035"/>
      <c r="K1035" t="s">
        <v>1319</v>
      </c>
    </row>
    <row r="1036" spans="1:11">
      <c r="A1036"/>
      <c r="B1036"/>
      <c r="C1036"/>
      <c r="D1036" t="s">
        <v>581</v>
      </c>
      <c r="E1036" t="s">
        <v>1322</v>
      </c>
      <c r="F1036"/>
      <c r="G1036"/>
      <c r="H1036"/>
      <c r="I1036"/>
      <c r="J1036"/>
      <c r="K1036" t="s">
        <v>1319</v>
      </c>
    </row>
    <row r="1037" spans="1:11">
      <c r="A1037"/>
      <c r="B1037"/>
      <c r="C1037"/>
      <c r="D1037" t="s">
        <v>340</v>
      </c>
      <c r="E1037" t="s">
        <v>1323</v>
      </c>
      <c r="F1037"/>
      <c r="G1037"/>
      <c r="H1037"/>
      <c r="I1037"/>
      <c r="J1037"/>
      <c r="K1037" t="s">
        <v>1301</v>
      </c>
    </row>
    <row r="1038" spans="1:11">
      <c r="A1038"/>
      <c r="B1038"/>
      <c r="C1038"/>
      <c r="D1038" t="s">
        <v>582</v>
      </c>
      <c r="E1038" t="s">
        <v>1324</v>
      </c>
      <c r="F1038"/>
      <c r="G1038"/>
      <c r="H1038"/>
      <c r="I1038"/>
      <c r="J1038"/>
      <c r="K1038" t="s">
        <v>1301</v>
      </c>
    </row>
    <row r="1039" spans="1:11">
      <c r="A1039"/>
      <c r="B1039"/>
      <c r="C1039"/>
      <c r="D1039" t="s">
        <v>582</v>
      </c>
      <c r="E1039" t="s">
        <v>1325</v>
      </c>
      <c r="F1039"/>
      <c r="G1039"/>
      <c r="H1039"/>
      <c r="I1039"/>
      <c r="J1039"/>
      <c r="K1039" t="s">
        <v>1301</v>
      </c>
    </row>
    <row r="1040" spans="1:11">
      <c r="A1040"/>
      <c r="B1040"/>
      <c r="C1040"/>
      <c r="D1040" t="s">
        <v>581</v>
      </c>
      <c r="E1040" t="s">
        <v>1326</v>
      </c>
      <c r="F1040"/>
      <c r="G1040"/>
      <c r="H1040"/>
      <c r="I1040"/>
      <c r="J1040"/>
      <c r="K1040" t="s">
        <v>1301</v>
      </c>
    </row>
    <row r="1041" spans="1:11">
      <c r="A1041"/>
      <c r="B1041"/>
      <c r="C1041"/>
      <c r="D1041" t="s">
        <v>340</v>
      </c>
      <c r="E1041" t="s">
        <v>1327</v>
      </c>
      <c r="F1041"/>
      <c r="G1041"/>
      <c r="H1041"/>
      <c r="I1041"/>
      <c r="J1041"/>
      <c r="K1041" t="s">
        <v>1282</v>
      </c>
    </row>
    <row r="1042" spans="1:11">
      <c r="A1042"/>
      <c r="B1042"/>
      <c r="C1042"/>
      <c r="D1042" t="s">
        <v>582</v>
      </c>
      <c r="E1042" t="s">
        <v>1328</v>
      </c>
      <c r="F1042"/>
      <c r="G1042"/>
      <c r="H1042"/>
      <c r="I1042"/>
      <c r="J1042"/>
      <c r="K1042" t="s">
        <v>1282</v>
      </c>
    </row>
    <row r="1043" spans="1:11">
      <c r="A1043"/>
      <c r="B1043"/>
      <c r="C1043"/>
      <c r="D1043" t="s">
        <v>582</v>
      </c>
      <c r="E1043" t="s">
        <v>1329</v>
      </c>
      <c r="F1043"/>
      <c r="G1043"/>
      <c r="H1043"/>
      <c r="I1043"/>
      <c r="J1043"/>
      <c r="K1043" t="s">
        <v>1282</v>
      </c>
    </row>
    <row r="1044" spans="1:11">
      <c r="A1044"/>
      <c r="B1044"/>
      <c r="C1044"/>
      <c r="D1044" t="s">
        <v>581</v>
      </c>
      <c r="E1044" t="s">
        <v>1330</v>
      </c>
      <c r="F1044"/>
      <c r="G1044"/>
      <c r="H1044"/>
      <c r="I1044"/>
      <c r="J1044"/>
      <c r="K1044" t="s">
        <v>1282</v>
      </c>
    </row>
    <row r="1045" spans="1:11">
      <c r="A1045"/>
      <c r="B1045"/>
      <c r="C1045"/>
      <c r="D1045" t="s">
        <v>1331</v>
      </c>
      <c r="E1045" t="s">
        <v>1332</v>
      </c>
      <c r="F1045"/>
      <c r="G1045"/>
      <c r="H1045"/>
      <c r="I1045"/>
      <c r="J1045"/>
      <c r="K1045" t="s">
        <v>1333</v>
      </c>
    </row>
    <row r="1046" spans="1:11">
      <c r="A1046"/>
      <c r="B1046"/>
      <c r="C1046"/>
      <c r="D1046" t="s">
        <v>1331</v>
      </c>
      <c r="E1046" t="s">
        <v>1334</v>
      </c>
      <c r="F1046"/>
      <c r="G1046"/>
      <c r="H1046"/>
      <c r="I1046"/>
      <c r="J1046"/>
      <c r="K1046" t="s">
        <v>1277</v>
      </c>
    </row>
    <row r="1047" spans="1:11">
      <c r="A1047"/>
      <c r="B1047"/>
      <c r="C1047"/>
      <c r="D1047" t="s">
        <v>1331</v>
      </c>
      <c r="E1047" t="s">
        <v>1335</v>
      </c>
      <c r="F1047"/>
      <c r="G1047"/>
      <c r="H1047"/>
      <c r="I1047"/>
      <c r="J1047"/>
      <c r="K1047" t="s">
        <v>1282</v>
      </c>
    </row>
    <row r="1048" spans="1:11">
      <c r="A1048"/>
      <c r="B1048"/>
      <c r="C1048"/>
      <c r="D1048" t="s">
        <v>1331</v>
      </c>
      <c r="E1048" t="s">
        <v>1336</v>
      </c>
      <c r="F1048"/>
      <c r="G1048"/>
      <c r="H1048"/>
      <c r="I1048"/>
      <c r="J1048"/>
      <c r="K1048" t="s">
        <v>1287</v>
      </c>
    </row>
    <row r="1049" spans="1:11">
      <c r="A1049"/>
      <c r="B1049"/>
      <c r="C1049"/>
      <c r="D1049" t="s">
        <v>1331</v>
      </c>
      <c r="E1049" t="s">
        <v>1337</v>
      </c>
      <c r="F1049"/>
      <c r="G1049"/>
      <c r="H1049"/>
      <c r="I1049"/>
      <c r="J1049"/>
      <c r="K1049" t="s">
        <v>1292</v>
      </c>
    </row>
    <row r="1050" spans="1:11">
      <c r="A1050"/>
      <c r="B1050"/>
      <c r="C1050"/>
      <c r="D1050" t="s">
        <v>1331</v>
      </c>
      <c r="E1050" t="s">
        <v>1338</v>
      </c>
      <c r="F1050"/>
      <c r="G1050"/>
      <c r="H1050"/>
      <c r="I1050"/>
      <c r="J1050"/>
      <c r="K1050" t="s">
        <v>1295</v>
      </c>
    </row>
    <row r="1051" spans="1:11">
      <c r="A1051"/>
      <c r="B1051"/>
      <c r="C1051"/>
      <c r="D1051" t="s">
        <v>1331</v>
      </c>
      <c r="E1051" t="s">
        <v>1339</v>
      </c>
      <c r="F1051"/>
      <c r="G1051"/>
      <c r="H1051"/>
      <c r="I1051"/>
      <c r="J1051"/>
      <c r="K1051" t="s">
        <v>1298</v>
      </c>
    </row>
    <row r="1052" spans="1:11">
      <c r="A1052"/>
      <c r="B1052"/>
      <c r="C1052"/>
      <c r="D1052" t="s">
        <v>1331</v>
      </c>
      <c r="E1052" t="s">
        <v>1340</v>
      </c>
      <c r="F1052"/>
      <c r="G1052"/>
      <c r="H1052"/>
      <c r="I1052"/>
      <c r="J1052"/>
      <c r="K1052" t="s">
        <v>1319</v>
      </c>
    </row>
    <row r="1053" spans="1:11">
      <c r="A1053"/>
      <c r="B1053"/>
      <c r="C1053"/>
      <c r="D1053" t="s">
        <v>1331</v>
      </c>
      <c r="E1053" t="s">
        <v>1341</v>
      </c>
      <c r="F1053"/>
      <c r="G1053"/>
      <c r="H1053"/>
      <c r="I1053"/>
      <c r="J1053"/>
      <c r="K1053" t="s">
        <v>1301</v>
      </c>
    </row>
    <row r="1054" spans="1:11">
      <c r="A1054"/>
      <c r="B1054"/>
      <c r="C1054"/>
      <c r="D1054" t="s">
        <v>1342</v>
      </c>
      <c r="E1054" t="s">
        <v>1343</v>
      </c>
      <c r="F1054"/>
      <c r="G1054"/>
      <c r="H1054"/>
      <c r="I1054"/>
      <c r="J1054"/>
      <c r="K1054" t="s">
        <v>1301</v>
      </c>
    </row>
    <row r="1055" spans="1:11">
      <c r="A1055"/>
      <c r="B1055"/>
      <c r="C1055"/>
      <c r="D1055" t="s">
        <v>1342</v>
      </c>
      <c r="E1055" t="s">
        <v>1344</v>
      </c>
      <c r="F1055"/>
      <c r="G1055"/>
      <c r="H1055"/>
      <c r="I1055"/>
      <c r="J1055"/>
      <c r="K1055" t="s">
        <v>1319</v>
      </c>
    </row>
    <row r="1056" spans="1:11">
      <c r="A1056"/>
      <c r="B1056"/>
      <c r="C1056"/>
      <c r="D1056" t="s">
        <v>1342</v>
      </c>
      <c r="E1056" t="s">
        <v>1345</v>
      </c>
      <c r="F1056"/>
      <c r="G1056"/>
      <c r="H1056"/>
      <c r="I1056"/>
      <c r="J1056"/>
      <c r="K1056" t="s">
        <v>1298</v>
      </c>
    </row>
    <row r="1057" spans="1:11">
      <c r="A1057"/>
      <c r="B1057"/>
      <c r="C1057"/>
      <c r="D1057" t="s">
        <v>1342</v>
      </c>
      <c r="E1057" t="s">
        <v>1346</v>
      </c>
      <c r="F1057"/>
      <c r="G1057"/>
      <c r="H1057"/>
      <c r="I1057"/>
      <c r="J1057"/>
      <c r="K1057" t="s">
        <v>1333</v>
      </c>
    </row>
    <row r="1058" spans="1:11">
      <c r="A1058"/>
      <c r="B1058"/>
      <c r="C1058"/>
      <c r="D1058" t="s">
        <v>1342</v>
      </c>
      <c r="E1058" t="s">
        <v>1347</v>
      </c>
      <c r="F1058"/>
      <c r="G1058"/>
      <c r="H1058"/>
      <c r="I1058"/>
      <c r="J1058"/>
      <c r="K1058" t="s">
        <v>1277</v>
      </c>
    </row>
    <row r="1059" spans="1:11">
      <c r="A1059"/>
      <c r="B1059"/>
      <c r="C1059"/>
      <c r="D1059" t="s">
        <v>1342</v>
      </c>
      <c r="E1059" t="s">
        <v>1348</v>
      </c>
      <c r="F1059"/>
      <c r="G1059"/>
      <c r="H1059"/>
      <c r="I1059"/>
      <c r="J1059"/>
      <c r="K1059" t="s">
        <v>1282</v>
      </c>
    </row>
    <row r="1060" spans="1:11">
      <c r="A1060"/>
      <c r="B1060"/>
      <c r="C1060"/>
      <c r="D1060" t="s">
        <v>1342</v>
      </c>
      <c r="E1060" t="s">
        <v>1349</v>
      </c>
      <c r="F1060"/>
      <c r="G1060"/>
      <c r="H1060"/>
      <c r="I1060"/>
      <c r="J1060"/>
      <c r="K1060" t="s">
        <v>1287</v>
      </c>
    </row>
    <row r="1061" spans="1:11">
      <c r="A1061"/>
      <c r="B1061"/>
      <c r="C1061"/>
      <c r="D1061" t="s">
        <v>1342</v>
      </c>
      <c r="E1061" t="s">
        <v>1350</v>
      </c>
      <c r="F1061"/>
      <c r="G1061"/>
      <c r="H1061"/>
      <c r="I1061"/>
      <c r="J1061"/>
      <c r="K1061" t="s">
        <v>1292</v>
      </c>
    </row>
    <row r="1062" spans="1:11">
      <c r="A1062"/>
      <c r="B1062"/>
      <c r="C1062"/>
      <c r="D1062" t="s">
        <v>1342</v>
      </c>
      <c r="E1062" t="s">
        <v>1351</v>
      </c>
      <c r="F1062"/>
      <c r="G1062"/>
      <c r="H1062"/>
      <c r="I1062"/>
      <c r="J1062"/>
      <c r="K1062" t="s">
        <v>1295</v>
      </c>
    </row>
    <row r="1063" spans="1:11">
      <c r="A1063"/>
      <c r="B1063"/>
      <c r="C1063"/>
      <c r="D1063" t="s">
        <v>773</v>
      </c>
      <c r="E1063" t="s">
        <v>1352</v>
      </c>
      <c r="F1063"/>
      <c r="G1063"/>
      <c r="H1063"/>
      <c r="I1063"/>
      <c r="J1063"/>
      <c r="K1063" t="s">
        <v>1287</v>
      </c>
    </row>
    <row r="1064" spans="1:11">
      <c r="A1064"/>
      <c r="B1064"/>
      <c r="C1064"/>
      <c r="D1064" t="s">
        <v>773</v>
      </c>
      <c r="E1064" t="s">
        <v>1353</v>
      </c>
      <c r="F1064"/>
      <c r="G1064"/>
      <c r="H1064"/>
      <c r="I1064"/>
      <c r="J1064"/>
      <c r="K1064" t="s">
        <v>1292</v>
      </c>
    </row>
    <row r="1065" spans="1:11">
      <c r="A1065"/>
      <c r="B1065"/>
      <c r="C1065"/>
      <c r="D1065" t="s">
        <v>773</v>
      </c>
      <c r="E1065" t="s">
        <v>1354</v>
      </c>
      <c r="F1065"/>
      <c r="G1065"/>
      <c r="H1065"/>
      <c r="I1065"/>
      <c r="J1065"/>
      <c r="K1065" t="s">
        <v>1277</v>
      </c>
    </row>
    <row r="1066" spans="1:11">
      <c r="A1066"/>
      <c r="B1066"/>
      <c r="C1066"/>
      <c r="D1066" t="s">
        <v>773</v>
      </c>
      <c r="E1066" t="s">
        <v>1355</v>
      </c>
      <c r="F1066"/>
      <c r="G1066"/>
      <c r="H1066"/>
      <c r="I1066"/>
      <c r="J1066"/>
      <c r="K1066" t="s">
        <v>1282</v>
      </c>
    </row>
    <row r="1067" spans="1:11">
      <c r="A1067"/>
      <c r="B1067"/>
      <c r="C1067"/>
      <c r="D1067" t="s">
        <v>773</v>
      </c>
      <c r="E1067" t="s">
        <v>1356</v>
      </c>
      <c r="F1067"/>
      <c r="G1067"/>
      <c r="H1067"/>
      <c r="I1067"/>
      <c r="J1067"/>
      <c r="K1067" t="s">
        <v>1333</v>
      </c>
    </row>
    <row r="1068" spans="1:11">
      <c r="A1068"/>
      <c r="B1068"/>
      <c r="C1068"/>
      <c r="D1068" t="s">
        <v>773</v>
      </c>
      <c r="E1068" t="s">
        <v>1357</v>
      </c>
      <c r="F1068"/>
      <c r="G1068"/>
      <c r="H1068"/>
      <c r="I1068"/>
      <c r="J1068"/>
      <c r="K1068" t="s">
        <v>1301</v>
      </c>
    </row>
    <row r="1069" spans="1:11">
      <c r="A1069"/>
      <c r="B1069"/>
      <c r="C1069"/>
      <c r="D1069" t="s">
        <v>773</v>
      </c>
      <c r="E1069" t="s">
        <v>1358</v>
      </c>
      <c r="F1069"/>
      <c r="G1069"/>
      <c r="H1069"/>
      <c r="I1069"/>
      <c r="J1069"/>
      <c r="K1069" t="s">
        <v>1298</v>
      </c>
    </row>
    <row r="1070" spans="1:11">
      <c r="A1070"/>
      <c r="B1070"/>
      <c r="C1070"/>
      <c r="D1070" t="s">
        <v>773</v>
      </c>
      <c r="E1070" t="s">
        <v>1359</v>
      </c>
      <c r="F1070"/>
      <c r="G1070"/>
      <c r="H1070"/>
      <c r="I1070"/>
      <c r="J1070"/>
      <c r="K1070" t="s">
        <v>1295</v>
      </c>
    </row>
    <row r="1071" spans="1:11">
      <c r="A1071"/>
      <c r="B1071"/>
      <c r="C1071"/>
      <c r="D1071" t="s">
        <v>773</v>
      </c>
      <c r="E1071" t="s">
        <v>1360</v>
      </c>
      <c r="F1071"/>
      <c r="G1071"/>
      <c r="H1071"/>
      <c r="I1071"/>
      <c r="J1071"/>
      <c r="K1071" t="s">
        <v>1319</v>
      </c>
    </row>
    <row r="1072" spans="1:11">
      <c r="A1072"/>
      <c r="B1072"/>
      <c r="C1072"/>
      <c r="D1072" t="s">
        <v>293</v>
      </c>
      <c r="E1072" t="s">
        <v>1361</v>
      </c>
      <c r="F1072"/>
      <c r="G1072"/>
      <c r="H1072"/>
      <c r="I1072"/>
      <c r="J1072"/>
      <c r="K1072" t="s">
        <v>1292</v>
      </c>
    </row>
    <row r="1073" spans="1:11">
      <c r="A1073"/>
      <c r="B1073"/>
      <c r="C1073"/>
      <c r="D1073" t="s">
        <v>293</v>
      </c>
      <c r="E1073" t="s">
        <v>1362</v>
      </c>
      <c r="F1073"/>
      <c r="G1073"/>
      <c r="H1073"/>
      <c r="I1073"/>
      <c r="J1073"/>
      <c r="K1073" t="s">
        <v>1287</v>
      </c>
    </row>
    <row r="1074" spans="1:11">
      <c r="A1074"/>
      <c r="B1074"/>
      <c r="C1074"/>
      <c r="D1074" t="s">
        <v>293</v>
      </c>
      <c r="E1074" t="s">
        <v>1363</v>
      </c>
      <c r="F1074"/>
      <c r="G1074"/>
      <c r="H1074"/>
      <c r="I1074"/>
      <c r="J1074"/>
      <c r="K1074" t="s">
        <v>1277</v>
      </c>
    </row>
    <row r="1075" spans="1:11">
      <c r="A1075"/>
      <c r="B1075"/>
      <c r="C1075"/>
      <c r="D1075" t="s">
        <v>293</v>
      </c>
      <c r="E1075" t="s">
        <v>1364</v>
      </c>
      <c r="F1075"/>
      <c r="G1075"/>
      <c r="H1075"/>
      <c r="I1075"/>
      <c r="J1075"/>
      <c r="K1075" t="s">
        <v>1301</v>
      </c>
    </row>
    <row r="1076" spans="1:11">
      <c r="A1076"/>
      <c r="B1076"/>
      <c r="C1076"/>
      <c r="D1076" t="s">
        <v>293</v>
      </c>
      <c r="E1076" t="s">
        <v>1365</v>
      </c>
      <c r="F1076"/>
      <c r="G1076"/>
      <c r="H1076"/>
      <c r="I1076"/>
      <c r="J1076"/>
      <c r="K1076" t="s">
        <v>1282</v>
      </c>
    </row>
    <row r="1077" spans="1:11">
      <c r="A1077"/>
      <c r="B1077"/>
      <c r="C1077"/>
      <c r="D1077" t="s">
        <v>293</v>
      </c>
      <c r="E1077" t="s">
        <v>1366</v>
      </c>
      <c r="F1077"/>
      <c r="G1077"/>
      <c r="H1077"/>
      <c r="I1077"/>
      <c r="J1077"/>
      <c r="K1077" t="s">
        <v>1319</v>
      </c>
    </row>
    <row r="1078" spans="1:11">
      <c r="A1078"/>
      <c r="B1078"/>
      <c r="C1078"/>
      <c r="D1078" t="s">
        <v>293</v>
      </c>
      <c r="E1078" t="s">
        <v>1367</v>
      </c>
      <c r="F1078"/>
      <c r="G1078"/>
      <c r="H1078"/>
      <c r="I1078"/>
      <c r="J1078"/>
      <c r="K1078" t="s">
        <v>1295</v>
      </c>
    </row>
    <row r="1079" spans="1:11">
      <c r="A1079"/>
      <c r="B1079"/>
      <c r="C1079"/>
      <c r="D1079" t="s">
        <v>293</v>
      </c>
      <c r="E1079" t="s">
        <v>1368</v>
      </c>
      <c r="F1079"/>
      <c r="G1079"/>
      <c r="H1079"/>
      <c r="I1079"/>
      <c r="J1079"/>
      <c r="K1079" t="s">
        <v>1333</v>
      </c>
    </row>
    <row r="1080" spans="1:11">
      <c r="A1080"/>
      <c r="B1080"/>
      <c r="C1080"/>
      <c r="D1080" t="s">
        <v>293</v>
      </c>
      <c r="E1080" t="s">
        <v>1369</v>
      </c>
      <c r="F1080"/>
      <c r="G1080"/>
      <c r="H1080"/>
      <c r="I1080"/>
      <c r="J1080"/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G1081"/>
      <c r="H1081"/>
      <c r="I1081"/>
      <c r="J1081"/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G1082"/>
      <c r="H1082"/>
      <c r="I1082"/>
      <c r="J1082"/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G1083"/>
      <c r="H1083"/>
      <c r="I1083"/>
      <c r="J1083"/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G1084"/>
      <c r="H1084"/>
      <c r="I1084"/>
      <c r="J1084"/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G1085"/>
      <c r="H1085"/>
      <c r="I1085"/>
      <c r="J1085"/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G1086"/>
      <c r="H1086"/>
      <c r="I1086"/>
      <c r="J1086"/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G1087"/>
      <c r="H1087"/>
      <c r="I1087"/>
      <c r="J1087"/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G1088"/>
      <c r="H1088"/>
      <c r="I1088"/>
      <c r="J1088"/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G1089"/>
      <c r="H1089"/>
      <c r="I1089"/>
      <c r="J1089"/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G1090"/>
      <c r="H1090"/>
      <c r="I1090"/>
      <c r="J1090"/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G1091"/>
      <c r="H1091"/>
      <c r="I1091"/>
      <c r="J1091"/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G1092"/>
      <c r="H1092"/>
      <c r="I1092"/>
      <c r="J1092"/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G1093"/>
      <c r="H1093"/>
      <c r="I1093"/>
      <c r="J1093"/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G1094"/>
      <c r="H1094"/>
      <c r="I1094"/>
      <c r="J1094"/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G1095"/>
      <c r="H1095"/>
      <c r="I1095"/>
      <c r="J1095"/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G1096"/>
      <c r="H1096"/>
      <c r="I1096"/>
      <c r="J1096"/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G1097"/>
      <c r="H1097"/>
      <c r="I1097"/>
      <c r="J1097"/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G1098"/>
      <c r="H1098"/>
      <c r="I1098"/>
      <c r="J1098"/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H1099"/>
      <c r="I1099"/>
      <c r="J1099"/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H1100"/>
      <c r="I1100"/>
      <c r="J1100"/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H1101"/>
      <c r="I1101"/>
      <c r="J1101"/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H1102"/>
      <c r="I1102"/>
      <c r="J1102"/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H1103"/>
      <c r="I1103"/>
      <c r="J1103"/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H1104"/>
      <c r="I1104"/>
      <c r="J1104"/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H1105"/>
      <c r="I1105"/>
      <c r="J1105"/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H1106"/>
      <c r="I1106"/>
      <c r="J1106"/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H1107"/>
      <c r="I1107"/>
      <c r="J1107"/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H1108"/>
      <c r="I1108"/>
      <c r="J1108"/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H1109"/>
      <c r="I1109"/>
      <c r="J1109"/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H1110"/>
      <c r="I1110"/>
      <c r="J1110"/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H1111"/>
      <c r="I1111"/>
      <c r="J1111"/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G1112"/>
      <c r="H1112"/>
      <c r="I1112"/>
      <c r="J1112"/>
      <c r="K1112" t="s">
        <v>1277</v>
      </c>
    </row>
    <row r="1113" spans="1:11">
      <c r="A1113"/>
      <c r="B1113"/>
      <c r="C1113"/>
      <c r="D1113" t="s">
        <v>582</v>
      </c>
      <c r="E1113" t="s">
        <v>1409</v>
      </c>
      <c r="F1113"/>
      <c r="G1113"/>
      <c r="H1113"/>
      <c r="I1113"/>
      <c r="J1113"/>
      <c r="K1113" t="s">
        <v>1277</v>
      </c>
    </row>
    <row r="1114" spans="1:11">
      <c r="A1114"/>
      <c r="B1114"/>
      <c r="C1114"/>
      <c r="D1114" t="s">
        <v>582</v>
      </c>
      <c r="E1114" t="s">
        <v>1410</v>
      </c>
      <c r="F1114"/>
      <c r="G1114"/>
      <c r="H1114"/>
      <c r="I1114"/>
      <c r="J1114"/>
      <c r="K1114" t="s">
        <v>1277</v>
      </c>
    </row>
    <row r="1115" spans="1:11">
      <c r="A1115"/>
      <c r="B1115"/>
      <c r="C1115"/>
      <c r="D1115" t="s">
        <v>581</v>
      </c>
      <c r="E1115" t="s">
        <v>1411</v>
      </c>
      <c r="F1115"/>
      <c r="G1115"/>
      <c r="H1115"/>
      <c r="I1115"/>
      <c r="J1115"/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G1116"/>
      <c r="H1116"/>
      <c r="I1116"/>
      <c r="J1116"/>
      <c r="K1116" t="s">
        <v>1333</v>
      </c>
    </row>
    <row r="1117" spans="1:11">
      <c r="A1117"/>
      <c r="B1117"/>
      <c r="C1117"/>
      <c r="D1117" t="s">
        <v>582</v>
      </c>
      <c r="E1117" t="s">
        <v>1413</v>
      </c>
      <c r="F1117"/>
      <c r="G1117"/>
      <c r="H1117"/>
      <c r="I1117"/>
      <c r="J1117"/>
      <c r="K1117" t="s">
        <v>1333</v>
      </c>
    </row>
    <row r="1118" spans="1:11">
      <c r="A1118"/>
      <c r="B1118"/>
      <c r="C1118"/>
      <c r="D1118" t="s">
        <v>582</v>
      </c>
      <c r="E1118" t="s">
        <v>1414</v>
      </c>
      <c r="F1118"/>
      <c r="G1118"/>
      <c r="H1118"/>
      <c r="I1118"/>
      <c r="J1118"/>
      <c r="K1118" t="s">
        <v>1333</v>
      </c>
    </row>
    <row r="1119" spans="1:11">
      <c r="A1119"/>
      <c r="B1119"/>
      <c r="C1119"/>
      <c r="D1119" t="s">
        <v>581</v>
      </c>
      <c r="E1119" t="s">
        <v>1415</v>
      </c>
      <c r="F1119"/>
      <c r="G1119"/>
      <c r="H1119"/>
      <c r="I1119"/>
      <c r="J1119"/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G1120"/>
      <c r="H1120"/>
      <c r="I1120"/>
      <c r="J1120"/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G1121"/>
      <c r="H1121"/>
      <c r="I1121"/>
      <c r="J1121"/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G1122"/>
      <c r="H1122"/>
      <c r="I1122"/>
      <c r="J1122"/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H1123"/>
      <c r="I1123"/>
      <c r="J1123"/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H1124"/>
      <c r="I1124"/>
      <c r="J1124"/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H1125"/>
      <c r="I1125"/>
      <c r="J1125"/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H1126"/>
      <c r="I1126"/>
      <c r="J1126"/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H1127"/>
      <c r="I1127"/>
      <c r="J1127"/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H1128"/>
      <c r="I1128"/>
      <c r="J1128"/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H1129"/>
      <c r="I1129"/>
      <c r="J1129"/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H1130"/>
      <c r="I1130"/>
      <c r="J1130"/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H1131"/>
      <c r="I1131"/>
      <c r="J1131"/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H1132"/>
      <c r="I1132"/>
      <c r="J1132"/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G1133"/>
      <c r="H1133"/>
      <c r="I1133"/>
      <c r="J1133"/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G1134"/>
      <c r="H1134"/>
      <c r="I1134"/>
      <c r="J1134"/>
      <c r="K1134" t="s">
        <v>1434</v>
      </c>
    </row>
    <row r="1135" spans="1:11">
      <c r="A1135"/>
      <c r="B1135"/>
      <c r="C1135"/>
      <c r="D1135" t="s">
        <v>1438</v>
      </c>
      <c r="E1135" t="s">
        <v>1439</v>
      </c>
      <c r="F1135"/>
      <c r="G1135"/>
      <c r="H1135"/>
      <c r="I1135"/>
      <c r="J1135"/>
      <c r="K1135" t="s">
        <v>1434</v>
      </c>
    </row>
    <row r="1136" spans="1:11">
      <c r="A1136"/>
      <c r="B1136"/>
      <c r="C1136"/>
      <c r="D1136" t="s">
        <v>1440</v>
      </c>
      <c r="E1136" t="s">
        <v>1441</v>
      </c>
      <c r="F1136"/>
      <c r="G1136"/>
      <c r="H1136"/>
      <c r="I1136"/>
      <c r="J1136"/>
      <c r="K1136" t="s">
        <v>1434</v>
      </c>
    </row>
    <row r="1137" spans="1:11">
      <c r="A1137"/>
      <c r="B1137"/>
      <c r="C1137"/>
      <c r="D1137" t="s">
        <v>1442</v>
      </c>
      <c r="E1137" t="s">
        <v>1443</v>
      </c>
      <c r="F1137"/>
      <c r="G1137"/>
      <c r="H1137"/>
      <c r="I1137"/>
      <c r="J1137"/>
      <c r="K1137" t="s">
        <v>1434</v>
      </c>
    </row>
    <row r="1138" spans="1:11">
      <c r="A1138"/>
      <c r="B1138"/>
      <c r="C1138"/>
      <c r="D1138" t="s">
        <v>1444</v>
      </c>
      <c r="E1138" t="s">
        <v>1445</v>
      </c>
      <c r="F1138"/>
      <c r="G1138"/>
      <c r="H1138"/>
      <c r="I1138"/>
      <c r="J1138"/>
      <c r="K1138" t="s">
        <v>1434</v>
      </c>
    </row>
    <row r="1139" spans="1:11">
      <c r="A1139"/>
      <c r="B1139"/>
      <c r="C1139"/>
      <c r="D1139" t="s">
        <v>581</v>
      </c>
      <c r="E1139" t="s">
        <v>1446</v>
      </c>
      <c r="F1139"/>
      <c r="G1139"/>
      <c r="H1139"/>
      <c r="I1139"/>
      <c r="J1139"/>
      <c r="K1139" t="s">
        <v>1434</v>
      </c>
    </row>
    <row r="1140" spans="1:11">
      <c r="A1140"/>
      <c r="B1140"/>
      <c r="C1140"/>
      <c r="D1140" t="s">
        <v>17</v>
      </c>
      <c r="E1140" t="s">
        <v>1447</v>
      </c>
      <c r="F1140"/>
      <c r="G1140"/>
      <c r="H1140"/>
      <c r="I1140"/>
      <c r="J1140"/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G1141"/>
      <c r="H1141"/>
      <c r="I1141"/>
      <c r="J1141"/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G1142"/>
      <c r="H1142"/>
      <c r="I1142"/>
      <c r="J1142"/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G1143"/>
      <c r="H1143"/>
      <c r="I1143"/>
      <c r="J1143"/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G1144"/>
      <c r="H1144"/>
      <c r="I1144"/>
      <c r="J1144"/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G1145"/>
      <c r="H1145"/>
      <c r="I1145"/>
      <c r="J1145"/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G1146"/>
      <c r="H1146"/>
      <c r="I1146"/>
      <c r="J1146"/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G1147"/>
      <c r="H1147"/>
      <c r="I1147"/>
      <c r="J1147"/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G1148"/>
      <c r="H1148"/>
      <c r="I1148"/>
      <c r="J1148"/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H1149"/>
      <c r="I1149"/>
      <c r="J1149"/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H1150"/>
      <c r="I1150"/>
      <c r="J1150"/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H1151"/>
      <c r="I1151"/>
      <c r="J1151"/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H1152"/>
      <c r="I1152"/>
      <c r="J1152"/>
      <c r="K1152" t="s">
        <v>1458</v>
      </c>
    </row>
    <row r="1153" spans="1:11" s="17" customFormat="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H1153"/>
      <c r="I1153"/>
      <c r="J1153"/>
      <c r="K1153" t="s">
        <v>1458</v>
      </c>
    </row>
    <row r="1154" spans="1:11" s="17" customFormat="1">
      <c r="A1154"/>
      <c r="B1154"/>
      <c r="C1154"/>
      <c r="D1154" t="s">
        <v>1464</v>
      </c>
      <c r="E1154" t="s">
        <v>1465</v>
      </c>
      <c r="F1154"/>
      <c r="G1154"/>
      <c r="H1154"/>
      <c r="I1154"/>
      <c r="J1154"/>
      <c r="K1154" t="s">
        <v>1458</v>
      </c>
    </row>
    <row r="1155" spans="1:11" s="17" customFormat="1">
      <c r="A1155"/>
      <c r="B1155"/>
      <c r="C1155"/>
      <c r="D1155" t="s">
        <v>1466</v>
      </c>
      <c r="E1155" t="s">
        <v>1467</v>
      </c>
      <c r="F1155"/>
      <c r="G1155"/>
      <c r="H1155"/>
      <c r="I1155"/>
      <c r="J1155"/>
      <c r="K1155" t="s">
        <v>1458</v>
      </c>
    </row>
    <row r="1156" spans="1:11" s="17" customFormat="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H1156"/>
      <c r="I1156"/>
      <c r="J1156"/>
      <c r="K1156" t="s">
        <v>1458</v>
      </c>
    </row>
    <row r="1157" spans="1:11" s="17" customFormat="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H1157"/>
      <c r="I1157"/>
      <c r="J1157"/>
      <c r="K1157" t="s">
        <v>1458</v>
      </c>
    </row>
    <row r="1158" spans="1:11" s="17" customFormat="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H1158"/>
      <c r="I1158"/>
      <c r="J1158"/>
      <c r="K1158" t="s">
        <v>1458</v>
      </c>
    </row>
    <row r="1159" spans="1:11" s="17" customFormat="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H1159"/>
      <c r="I1159"/>
      <c r="J1159"/>
      <c r="K1159" t="s">
        <v>1458</v>
      </c>
    </row>
    <row r="1160" spans="1:11" s="17" customFormat="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H1160"/>
      <c r="I1160"/>
      <c r="J1160"/>
      <c r="K1160" t="s">
        <v>1458</v>
      </c>
    </row>
    <row r="1161" spans="1:11" s="17" customFormat="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H1161"/>
      <c r="I1161"/>
      <c r="J1161"/>
      <c r="K1161" t="s">
        <v>1458</v>
      </c>
    </row>
    <row r="1162" spans="1:11" s="17" customFormat="1">
      <c r="A1162"/>
      <c r="B1162"/>
      <c r="C1162"/>
      <c r="D1162" t="s">
        <v>1478</v>
      </c>
      <c r="E1162" t="s">
        <v>1479</v>
      </c>
      <c r="F1162"/>
      <c r="G1162"/>
      <c r="H1162"/>
      <c r="I1162"/>
      <c r="J1162"/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H1163"/>
      <c r="I1163"/>
      <c r="J1163"/>
      <c r="K1163" t="s">
        <v>1458</v>
      </c>
    </row>
    <row r="1164" spans="1:11">
      <c r="A1164"/>
      <c r="B1164"/>
      <c r="C1164"/>
      <c r="D1164" t="s">
        <v>1481</v>
      </c>
      <c r="E1164" t="s">
        <v>1482</v>
      </c>
      <c r="F1164"/>
      <c r="G1164"/>
      <c r="H1164"/>
      <c r="I1164"/>
      <c r="J1164"/>
      <c r="K1164" t="s">
        <v>1458</v>
      </c>
    </row>
    <row r="1165" spans="1:11">
      <c r="A1165"/>
      <c r="B1165"/>
      <c r="C1165"/>
      <c r="D1165" t="s">
        <v>1485</v>
      </c>
      <c r="E1165" t="s">
        <v>1487</v>
      </c>
      <c r="F1165"/>
      <c r="G1165"/>
      <c r="H1165"/>
      <c r="I1165"/>
      <c r="J1165"/>
      <c r="K1165" t="s">
        <v>1495</v>
      </c>
    </row>
    <row r="1166" spans="1:11">
      <c r="A1166"/>
      <c r="B1166"/>
      <c r="C1166"/>
      <c r="D1166" t="s">
        <v>1486</v>
      </c>
      <c r="E1166" t="s">
        <v>1488</v>
      </c>
      <c r="F1166"/>
      <c r="G1166"/>
      <c r="H1166"/>
      <c r="I1166"/>
      <c r="J1166"/>
      <c r="K1166" t="s">
        <v>1495</v>
      </c>
    </row>
    <row r="1167" spans="1:11">
      <c r="A1167"/>
      <c r="B1167"/>
      <c r="C1167"/>
      <c r="D1167" t="s">
        <v>1486</v>
      </c>
      <c r="E1167" t="s">
        <v>1489</v>
      </c>
      <c r="F1167"/>
      <c r="G1167"/>
      <c r="H1167"/>
      <c r="I1167"/>
      <c r="J1167"/>
      <c r="K1167" t="s">
        <v>1495</v>
      </c>
    </row>
    <row r="1168" spans="1:11">
      <c r="A1168"/>
      <c r="B1168"/>
      <c r="C1168"/>
      <c r="D1168" t="s">
        <v>1486</v>
      </c>
      <c r="E1168" t="s">
        <v>1490</v>
      </c>
      <c r="F1168"/>
      <c r="G1168"/>
      <c r="H1168"/>
      <c r="I1168"/>
      <c r="J1168"/>
      <c r="K1168" t="s">
        <v>1495</v>
      </c>
    </row>
    <row r="1169" spans="1:11">
      <c r="A1169"/>
      <c r="B1169"/>
      <c r="C1169"/>
      <c r="D1169" t="s">
        <v>1486</v>
      </c>
      <c r="E1169" t="s">
        <v>1491</v>
      </c>
      <c r="F1169"/>
      <c r="G1169"/>
      <c r="H1169"/>
      <c r="I1169"/>
      <c r="J1169"/>
      <c r="K1169" t="s">
        <v>1495</v>
      </c>
    </row>
    <row r="1170" spans="1:11">
      <c r="A1170"/>
      <c r="B1170"/>
      <c r="C1170"/>
      <c r="D1170" t="s">
        <v>1486</v>
      </c>
      <c r="E1170" t="s">
        <v>1492</v>
      </c>
      <c r="F1170"/>
      <c r="G1170"/>
      <c r="H1170"/>
      <c r="I1170"/>
      <c r="J1170"/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H1171"/>
      <c r="I1171"/>
      <c r="J1171"/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H1172"/>
      <c r="I1172"/>
      <c r="J1172"/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H1173"/>
      <c r="I1173"/>
      <c r="J1173"/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H1174"/>
      <c r="I1174"/>
      <c r="J1174"/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G1175"/>
      <c r="H1175"/>
      <c r="I1175"/>
      <c r="J1175"/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G1176"/>
      <c r="H1176"/>
      <c r="I1176"/>
      <c r="J1176"/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H1177"/>
      <c r="I1177"/>
      <c r="J1177"/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H1178"/>
      <c r="I1178"/>
      <c r="J1178"/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F1179"/>
      <c r="G1179"/>
      <c r="H1179"/>
      <c r="I1179"/>
      <c r="J1179"/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H1180"/>
      <c r="I1180"/>
      <c r="J1180"/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H1181"/>
      <c r="I1181"/>
      <c r="J1181"/>
      <c r="K1181" t="s">
        <v>1495</v>
      </c>
    </row>
    <row r="1182" spans="1:11">
      <c r="A1182"/>
      <c r="B1182"/>
      <c r="C1182"/>
      <c r="D1182" t="s">
        <v>1511</v>
      </c>
      <c r="E1182" t="s">
        <v>1512</v>
      </c>
      <c r="F1182"/>
      <c r="G1182"/>
      <c r="H1182"/>
      <c r="I1182"/>
      <c r="J1182"/>
      <c r="K1182" t="s">
        <v>1495</v>
      </c>
    </row>
    <row r="1183" spans="1:11">
      <c r="A1183"/>
      <c r="B1183"/>
      <c r="C1183"/>
      <c r="D1183" t="s">
        <v>895</v>
      </c>
      <c r="E1183" t="s">
        <v>1513</v>
      </c>
      <c r="F1183"/>
      <c r="G1183"/>
      <c r="H1183"/>
      <c r="I1183"/>
      <c r="J1183"/>
      <c r="K1183" t="s">
        <v>1495</v>
      </c>
    </row>
    <row r="1184" spans="1:11">
      <c r="A1184"/>
      <c r="B1184"/>
      <c r="C1184"/>
      <c r="D1184" t="s">
        <v>895</v>
      </c>
      <c r="E1184" t="s">
        <v>1514</v>
      </c>
      <c r="F1184"/>
      <c r="G1184"/>
      <c r="H1184"/>
      <c r="I1184"/>
      <c r="J1184"/>
      <c r="K1184" t="s">
        <v>1495</v>
      </c>
    </row>
    <row r="1185" spans="1:11">
      <c r="A1185"/>
      <c r="B1185"/>
      <c r="C1185"/>
      <c r="D1185" t="s">
        <v>1515</v>
      </c>
      <c r="E1185" t="s">
        <v>1516</v>
      </c>
      <c r="F1185"/>
      <c r="G1185"/>
      <c r="H1185"/>
      <c r="I1185"/>
      <c r="J1185"/>
      <c r="K1185" t="s">
        <v>1495</v>
      </c>
    </row>
    <row r="1186" spans="1:11">
      <c r="A1186"/>
      <c r="B1186"/>
      <c r="C1186"/>
      <c r="D1186" t="s">
        <v>1011</v>
      </c>
      <c r="E1186" t="s">
        <v>1517</v>
      </c>
      <c r="F1186"/>
      <c r="G1186"/>
      <c r="H1186"/>
      <c r="I1186"/>
      <c r="J1186"/>
      <c r="K1186" t="s">
        <v>1495</v>
      </c>
    </row>
    <row r="1187" spans="1:11">
      <c r="A1187"/>
      <c r="B1187"/>
      <c r="C1187"/>
      <c r="D1187" t="s">
        <v>1518</v>
      </c>
      <c r="E1187" t="s">
        <v>1519</v>
      </c>
      <c r="F1187"/>
      <c r="G1187"/>
      <c r="H1187"/>
      <c r="I1187"/>
      <c r="J1187"/>
      <c r="K1187" t="s">
        <v>1495</v>
      </c>
    </row>
    <row r="1188" spans="1:11">
      <c r="A1188"/>
      <c r="B1188"/>
      <c r="C1188"/>
      <c r="D1188" t="s">
        <v>1520</v>
      </c>
      <c r="E1188" t="s">
        <v>1521</v>
      </c>
      <c r="F1188"/>
      <c r="G1188"/>
      <c r="H1188"/>
      <c r="I1188"/>
      <c r="J1188"/>
      <c r="K1188" t="s">
        <v>1495</v>
      </c>
    </row>
    <row r="1189" spans="1:11" s="18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8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8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8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8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8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8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8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8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H1198"/>
      <c r="I1198"/>
      <c r="J1198"/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H1199"/>
      <c r="I1199"/>
      <c r="J1199"/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H1200"/>
      <c r="I1200"/>
      <c r="J1200"/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H1201"/>
      <c r="I1201"/>
      <c r="J1201"/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H1202"/>
      <c r="I1202"/>
      <c r="J1202"/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H1203"/>
      <c r="I1203"/>
      <c r="J1203"/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H1204"/>
      <c r="I1204"/>
      <c r="J1204"/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G1205"/>
      <c r="H1205"/>
      <c r="I1205"/>
      <c r="J1205"/>
      <c r="K1205" t="s">
        <v>1542</v>
      </c>
    </row>
    <row r="1206" spans="1:11">
      <c r="A1206"/>
      <c r="B1206"/>
      <c r="C1206"/>
      <c r="D1206" t="s">
        <v>1557</v>
      </c>
      <c r="E1206" t="s">
        <v>1558</v>
      </c>
      <c r="F1206"/>
      <c r="G1206"/>
      <c r="H1206"/>
      <c r="I1206"/>
      <c r="J1206"/>
      <c r="K1206" t="s">
        <v>1542</v>
      </c>
    </row>
    <row r="1207" spans="1:11">
      <c r="A1207"/>
      <c r="B1207"/>
      <c r="C1207"/>
      <c r="D1207" t="s">
        <v>1559</v>
      </c>
      <c r="E1207" t="s">
        <v>1560</v>
      </c>
      <c r="F1207"/>
      <c r="G1207"/>
      <c r="H1207"/>
      <c r="I1207"/>
      <c r="J1207"/>
      <c r="K1207" t="s">
        <v>1542</v>
      </c>
    </row>
    <row r="1208" spans="1:11">
      <c r="A1208"/>
      <c r="B1208"/>
      <c r="C1208"/>
      <c r="D1208" t="s">
        <v>1561</v>
      </c>
      <c r="E1208" t="s">
        <v>1562</v>
      </c>
      <c r="F1208"/>
      <c r="G1208"/>
      <c r="H1208"/>
      <c r="I1208"/>
      <c r="J1208"/>
      <c r="K1208" t="s">
        <v>1542</v>
      </c>
    </row>
    <row r="1209" spans="1:11">
      <c r="A1209"/>
      <c r="B1209"/>
      <c r="C1209"/>
      <c r="D1209" t="s">
        <v>1563</v>
      </c>
      <c r="E1209" t="s">
        <v>1564</v>
      </c>
      <c r="F1209"/>
      <c r="G1209"/>
      <c r="H1209"/>
      <c r="I1209"/>
      <c r="J1209"/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H1210"/>
      <c r="I1210"/>
      <c r="J1210"/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H1211"/>
      <c r="I1211"/>
      <c r="J1211"/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H1212"/>
      <c r="I1212"/>
      <c r="J1212"/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H1213"/>
      <c r="I1213"/>
      <c r="J1213"/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H1214"/>
      <c r="I1214"/>
      <c r="J1214"/>
      <c r="K1214" t="s">
        <v>1567</v>
      </c>
    </row>
    <row r="1215" spans="1:11">
      <c r="A1215"/>
      <c r="B1215"/>
      <c r="C1215"/>
      <c r="D1215" t="s">
        <v>967</v>
      </c>
      <c r="E1215" t="s">
        <v>1576</v>
      </c>
      <c r="F1215"/>
      <c r="G1215"/>
      <c r="H1215"/>
      <c r="I1215"/>
      <c r="J1215"/>
      <c r="K1215" t="s">
        <v>1567</v>
      </c>
    </row>
    <row r="1216" spans="1:11">
      <c r="A1216"/>
      <c r="B1216"/>
      <c r="C1216"/>
      <c r="D1216" t="s">
        <v>969</v>
      </c>
      <c r="E1216" t="s">
        <v>1577</v>
      </c>
      <c r="F1216"/>
      <c r="G1216"/>
      <c r="H1216"/>
      <c r="I1216"/>
      <c r="J1216"/>
      <c r="K1216" t="s">
        <v>1567</v>
      </c>
    </row>
    <row r="1217" spans="1:11">
      <c r="A1217"/>
      <c r="B1217"/>
      <c r="C1217"/>
      <c r="D1217" t="s">
        <v>971</v>
      </c>
      <c r="E1217" t="s">
        <v>1578</v>
      </c>
      <c r="F1217"/>
      <c r="G1217"/>
      <c r="H1217"/>
      <c r="I1217"/>
      <c r="J1217"/>
      <c r="K1217" t="s">
        <v>1567</v>
      </c>
    </row>
    <row r="1218" spans="1:11">
      <c r="A1218"/>
      <c r="B1218"/>
      <c r="C1218"/>
      <c r="D1218" t="s">
        <v>975</v>
      </c>
      <c r="E1218" t="s">
        <v>1579</v>
      </c>
      <c r="F1218"/>
      <c r="G1218"/>
      <c r="H1218"/>
      <c r="I1218"/>
      <c r="J1218"/>
      <c r="K1218" t="s">
        <v>1567</v>
      </c>
    </row>
    <row r="1219" spans="1:11">
      <c r="A1219"/>
      <c r="B1219"/>
      <c r="C1219"/>
      <c r="D1219" t="s">
        <v>17</v>
      </c>
      <c r="E1219" t="s">
        <v>1580</v>
      </c>
      <c r="F1219"/>
      <c r="G1219"/>
      <c r="H1219"/>
      <c r="I1219"/>
      <c r="J1219"/>
      <c r="K1219" t="s">
        <v>1567</v>
      </c>
    </row>
    <row r="1220" spans="1:11">
      <c r="A1220"/>
      <c r="B1220"/>
      <c r="C1220"/>
      <c r="D1220" t="s">
        <v>976</v>
      </c>
      <c r="E1220" t="s">
        <v>1581</v>
      </c>
      <c r="F1220"/>
      <c r="G1220"/>
      <c r="H1220"/>
      <c r="I1220"/>
      <c r="J1220"/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H1221"/>
      <c r="I1221"/>
      <c r="J1221"/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H1222"/>
      <c r="I1222"/>
      <c r="J1222"/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H1223"/>
      <c r="I1223"/>
      <c r="J1223"/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H1224"/>
      <c r="I1224"/>
      <c r="J1224"/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H1225"/>
      <c r="I1225"/>
      <c r="J1225"/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H1226"/>
      <c r="I1226"/>
      <c r="J1226"/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H1227"/>
      <c r="I1227"/>
      <c r="J1227"/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H1228"/>
      <c r="I1228"/>
      <c r="J1228"/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H1229"/>
      <c r="I1229"/>
      <c r="J1229"/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H1230"/>
      <c r="I1230"/>
      <c r="J1230"/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H1231"/>
      <c r="I1231"/>
      <c r="J1231"/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H1232"/>
      <c r="I1232"/>
      <c r="J1232"/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H1233"/>
      <c r="I1233"/>
      <c r="J1233"/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H1234"/>
      <c r="I1234"/>
      <c r="J1234"/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H1235"/>
      <c r="I1235"/>
      <c r="J1235"/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H1236"/>
      <c r="I1236"/>
      <c r="J1236"/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H1237"/>
      <c r="I1237"/>
      <c r="J1237"/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H1238"/>
      <c r="I1238"/>
      <c r="J1238"/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H1239"/>
      <c r="I1239"/>
      <c r="J1239"/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H1240"/>
      <c r="I1240"/>
      <c r="J1240"/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H1241"/>
      <c r="I1241"/>
      <c r="J1241"/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H1242"/>
      <c r="I1242"/>
      <c r="J1242"/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H1243"/>
      <c r="I1243"/>
      <c r="J1243"/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H1244"/>
      <c r="I1244"/>
      <c r="J1244"/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H1245"/>
      <c r="I1245"/>
      <c r="J1245"/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H1246"/>
      <c r="I1246"/>
      <c r="J1246"/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H1247"/>
      <c r="I1247"/>
      <c r="J1247"/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H1248"/>
      <c r="I1248"/>
      <c r="J1248"/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H1249"/>
      <c r="I1249"/>
      <c r="J1249"/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H1250"/>
      <c r="I1250"/>
      <c r="J1250"/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H1251"/>
      <c r="I1251"/>
      <c r="J1251"/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H1252"/>
      <c r="I1252"/>
      <c r="J1252"/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H1253"/>
      <c r="I1253"/>
      <c r="J1253"/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H1254"/>
      <c r="I1254"/>
      <c r="J1254"/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H1255"/>
      <c r="I1255"/>
      <c r="J1255"/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H1256"/>
      <c r="I1256"/>
      <c r="J1256"/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H1257"/>
      <c r="I1257"/>
      <c r="J1257"/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H1258"/>
      <c r="I1258"/>
      <c r="J1258"/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H1259"/>
      <c r="I1259"/>
      <c r="J1259"/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H1260"/>
      <c r="I1260"/>
      <c r="J1260"/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H1261"/>
      <c r="I1261"/>
      <c r="J1261"/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H1262"/>
      <c r="I1262"/>
      <c r="J1262"/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H1263"/>
      <c r="I1263"/>
      <c r="J1263"/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H1264"/>
      <c r="I1264"/>
      <c r="J1264"/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H1265"/>
      <c r="I1265"/>
      <c r="J1265"/>
      <c r="K1265" t="s">
        <v>1584</v>
      </c>
    </row>
    <row r="1266" spans="1:11">
      <c r="A1266"/>
      <c r="B1266"/>
      <c r="C1266"/>
      <c r="D1266" t="s">
        <v>1246</v>
      </c>
      <c r="E1266" t="s">
        <v>1643</v>
      </c>
      <c r="F1266"/>
      <c r="G1266"/>
      <c r="H1266"/>
      <c r="I1266"/>
      <c r="J1266"/>
      <c r="K1266" t="s">
        <v>1584</v>
      </c>
    </row>
    <row r="1267" spans="1:11">
      <c r="A1267"/>
      <c r="B1267"/>
      <c r="C1267"/>
      <c r="D1267" t="s">
        <v>895</v>
      </c>
      <c r="E1267" t="s">
        <v>1644</v>
      </c>
      <c r="F1267"/>
      <c r="G1267"/>
      <c r="H1267"/>
      <c r="I1267"/>
      <c r="J1267"/>
      <c r="K1267" t="s">
        <v>1584</v>
      </c>
    </row>
    <row r="1268" spans="1:11">
      <c r="A1268"/>
      <c r="B1268"/>
      <c r="C1268"/>
      <c r="D1268" t="s">
        <v>895</v>
      </c>
      <c r="E1268" t="s">
        <v>1645</v>
      </c>
      <c r="F1268"/>
      <c r="G1268"/>
      <c r="H1268"/>
      <c r="I1268"/>
      <c r="J1268"/>
      <c r="K1268" t="s">
        <v>1584</v>
      </c>
    </row>
    <row r="1269" spans="1:11">
      <c r="A1269"/>
      <c r="B1269"/>
      <c r="C1269"/>
      <c r="D1269" t="s">
        <v>1646</v>
      </c>
      <c r="E1269" t="s">
        <v>1647</v>
      </c>
      <c r="F1269"/>
      <c r="G1269"/>
      <c r="H1269"/>
      <c r="I1269"/>
      <c r="J1269"/>
      <c r="K1269" t="s">
        <v>1584</v>
      </c>
    </row>
    <row r="1270" spans="1:11">
      <c r="A1270"/>
      <c r="B1270"/>
      <c r="C1270"/>
      <c r="D1270" t="s">
        <v>1252</v>
      </c>
      <c r="E1270" t="s">
        <v>1648</v>
      </c>
      <c r="F1270"/>
      <c r="G1270"/>
      <c r="H1270"/>
      <c r="I1270"/>
      <c r="J1270"/>
      <c r="K1270" t="s">
        <v>1584</v>
      </c>
    </row>
    <row r="1271" spans="1:11">
      <c r="A1271"/>
      <c r="B1271"/>
      <c r="C1271"/>
      <c r="D1271" t="s">
        <v>1254</v>
      </c>
      <c r="E1271" t="s">
        <v>1649</v>
      </c>
      <c r="F1271"/>
      <c r="G1271"/>
      <c r="H1271"/>
      <c r="I1271"/>
      <c r="J1271"/>
      <c r="K1271" t="s">
        <v>1584</v>
      </c>
    </row>
    <row r="1272" spans="1:11">
      <c r="A1272"/>
      <c r="B1272"/>
      <c r="C1272"/>
      <c r="D1272" t="s">
        <v>896</v>
      </c>
      <c r="E1272" t="s">
        <v>1650</v>
      </c>
      <c r="F1272"/>
      <c r="G1272"/>
      <c r="H1272"/>
      <c r="I1272"/>
      <c r="J1272"/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H1273"/>
      <c r="I1273"/>
      <c r="J1273"/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H1274"/>
      <c r="I1274"/>
      <c r="J1274"/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H1275"/>
      <c r="I1275"/>
      <c r="J1275"/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H1276"/>
      <c r="I1276"/>
      <c r="J1276"/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H1277"/>
      <c r="I1277"/>
      <c r="J1277"/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H1278"/>
      <c r="I1278"/>
      <c r="J1278"/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H1279"/>
      <c r="I1279"/>
      <c r="J1279"/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H1280"/>
      <c r="I1280"/>
      <c r="J1280"/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H1281"/>
      <c r="I1281"/>
      <c r="J1281"/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H1282"/>
      <c r="I1282"/>
      <c r="J1282"/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H1283"/>
      <c r="I1283"/>
      <c r="J1283"/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H1284"/>
      <c r="I1284"/>
      <c r="J1284"/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H1285"/>
      <c r="I1285"/>
      <c r="J1285"/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H1286"/>
      <c r="I1286"/>
      <c r="J1286"/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H1287"/>
      <c r="I1287"/>
      <c r="J1287"/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H1288"/>
      <c r="I1288"/>
      <c r="J1288"/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H1289"/>
      <c r="I1289"/>
      <c r="J1289"/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H1290"/>
      <c r="I1290"/>
      <c r="J1290"/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H1291"/>
      <c r="I1291"/>
      <c r="J1291"/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H1292"/>
      <c r="I1292"/>
      <c r="J1292"/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H1293"/>
      <c r="I1293"/>
      <c r="J1293"/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H1294"/>
      <c r="I1294"/>
      <c r="J1294"/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H1295"/>
      <c r="I1295"/>
      <c r="J1295"/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H1296"/>
      <c r="I1296"/>
      <c r="J1296"/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H1297"/>
      <c r="I1297"/>
      <c r="J1297"/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H1298"/>
      <c r="I1298"/>
      <c r="J1298"/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H1299"/>
      <c r="I1299"/>
      <c r="J1299"/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H1300"/>
      <c r="I1300"/>
      <c r="J1300"/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H1301"/>
      <c r="I1301"/>
      <c r="J1301"/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H1302"/>
      <c r="I1302"/>
      <c r="J1302"/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H1303"/>
      <c r="I1303"/>
      <c r="J1303"/>
      <c r="K1303" t="s">
        <v>1657</v>
      </c>
    </row>
    <row r="1304" spans="1:11">
      <c r="A1304"/>
      <c r="B1304"/>
      <c r="C1304"/>
      <c r="D1304" t="s">
        <v>779</v>
      </c>
      <c r="E1304" t="s">
        <v>1696</v>
      </c>
      <c r="F1304"/>
      <c r="G1304"/>
      <c r="H1304"/>
      <c r="I1304"/>
      <c r="J1304"/>
      <c r="K1304" t="s">
        <v>1657</v>
      </c>
    </row>
    <row r="1305" spans="1:11">
      <c r="A1305"/>
      <c r="B1305"/>
      <c r="C1305"/>
      <c r="D1305" t="s">
        <v>779</v>
      </c>
      <c r="E1305" t="s">
        <v>1697</v>
      </c>
      <c r="F1305"/>
      <c r="G1305"/>
      <c r="H1305"/>
      <c r="I1305"/>
      <c r="J1305"/>
      <c r="K1305" t="s">
        <v>1657</v>
      </c>
    </row>
    <row r="1306" spans="1:11">
      <c r="A1306"/>
      <c r="B1306"/>
      <c r="C1306"/>
      <c r="D1306" t="s">
        <v>782</v>
      </c>
      <c r="E1306" t="s">
        <v>1698</v>
      </c>
      <c r="F1306"/>
      <c r="G1306"/>
      <c r="H1306"/>
      <c r="I1306"/>
      <c r="J1306"/>
      <c r="K1306" t="s">
        <v>1657</v>
      </c>
    </row>
    <row r="1307" spans="1:11">
      <c r="A1307" s="1">
        <v>44361</v>
      </c>
      <c r="B1307" s="1" t="s">
        <v>223</v>
      </c>
      <c r="C1307" s="1">
        <v>44358</v>
      </c>
      <c r="D1307" t="s">
        <v>777</v>
      </c>
      <c r="E1307" t="s">
        <v>1699</v>
      </c>
      <c r="F1307" s="1" t="s">
        <v>210</v>
      </c>
      <c r="G1307">
        <v>931264212</v>
      </c>
      <c r="H1307"/>
      <c r="I1307"/>
      <c r="J1307"/>
      <c r="K1307" t="s">
        <v>1655</v>
      </c>
    </row>
    <row r="1308" spans="1:11">
      <c r="A1308"/>
      <c r="B1308"/>
      <c r="C1308"/>
      <c r="D1308" t="s">
        <v>779</v>
      </c>
      <c r="E1308" t="s">
        <v>1700</v>
      </c>
      <c r="F1308"/>
      <c r="G1308"/>
      <c r="H1308"/>
      <c r="I1308"/>
      <c r="J1308"/>
      <c r="K1308" t="s">
        <v>1655</v>
      </c>
    </row>
    <row r="1309" spans="1:11">
      <c r="A1309"/>
      <c r="B1309"/>
      <c r="C1309"/>
      <c r="D1309" t="s">
        <v>779</v>
      </c>
      <c r="E1309" t="s">
        <v>1701</v>
      </c>
      <c r="F1309"/>
      <c r="G1309"/>
      <c r="H1309"/>
      <c r="I1309"/>
      <c r="J1309"/>
      <c r="K1309" t="s">
        <v>1655</v>
      </c>
    </row>
    <row r="1310" spans="1:11">
      <c r="A1310"/>
      <c r="B1310"/>
      <c r="C1310"/>
      <c r="D1310" t="s">
        <v>782</v>
      </c>
      <c r="E1310" t="s">
        <v>1702</v>
      </c>
      <c r="F1310"/>
      <c r="G1310"/>
      <c r="H1310"/>
      <c r="I1310"/>
      <c r="J1310"/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H1311"/>
      <c r="I1311"/>
      <c r="J1311"/>
      <c r="K1311" t="s">
        <v>1655</v>
      </c>
    </row>
    <row r="1312" spans="1:11">
      <c r="A1312" s="1">
        <v>44364</v>
      </c>
      <c r="B1312" s="1">
        <v>10811968688</v>
      </c>
      <c r="C1312" s="1">
        <v>44363</v>
      </c>
      <c r="D1312" s="1" t="s">
        <v>1703</v>
      </c>
      <c r="E1312" s="1" t="s">
        <v>1705</v>
      </c>
      <c r="F1312" s="1" t="s">
        <v>753</v>
      </c>
      <c r="G1312" s="1">
        <v>40066598</v>
      </c>
      <c r="K1312" s="1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H1313"/>
      <c r="I1313"/>
      <c r="J1313"/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H1314"/>
      <c r="I1314"/>
      <c r="J1314"/>
      <c r="K1314" t="s">
        <v>1657</v>
      </c>
    </row>
    <row r="1315" spans="1:11">
      <c r="A1315" s="1">
        <v>44285</v>
      </c>
      <c r="B1315" s="1" t="s">
        <v>1709</v>
      </c>
      <c r="C1315" s="1">
        <v>44284</v>
      </c>
      <c r="D1315" s="1" t="s">
        <v>1710</v>
      </c>
      <c r="E1315" s="1" t="s">
        <v>1711</v>
      </c>
      <c r="F1315" s="1" t="s">
        <v>1605</v>
      </c>
      <c r="G1315" s="1" t="s">
        <v>1712</v>
      </c>
      <c r="K1315" s="1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H1316"/>
      <c r="I1316"/>
      <c r="J1316"/>
      <c r="K1316" t="s">
        <v>1713</v>
      </c>
    </row>
    <row r="1317" spans="1:11">
      <c r="A1317" s="1">
        <v>44361</v>
      </c>
      <c r="B1317" s="1" t="s">
        <v>223</v>
      </c>
      <c r="C1317" s="1">
        <v>44358</v>
      </c>
      <c r="D1317" s="1" t="s">
        <v>1718</v>
      </c>
      <c r="E1317" s="1" t="s">
        <v>1719</v>
      </c>
      <c r="F1317" s="1" t="s">
        <v>210</v>
      </c>
      <c r="G1317" s="1">
        <v>931264218</v>
      </c>
      <c r="K1317" s="1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F1318"/>
      <c r="G1318">
        <v>931264218</v>
      </c>
      <c r="H1318"/>
      <c r="I1318"/>
      <c r="J1318"/>
      <c r="K1318" t="s">
        <v>1713</v>
      </c>
    </row>
    <row r="1319" spans="1:11">
      <c r="B1319" s="1"/>
      <c r="D1319" s="1" t="s">
        <v>1722</v>
      </c>
      <c r="E1319" s="1" t="s">
        <v>1723</v>
      </c>
      <c r="K1319" s="1" t="s">
        <v>1713</v>
      </c>
    </row>
    <row r="1320" spans="1:11">
      <c r="A1320"/>
      <c r="B1320"/>
      <c r="C1320"/>
      <c r="D1320" t="s">
        <v>1722</v>
      </c>
      <c r="E1320" t="s">
        <v>1724</v>
      </c>
      <c r="F1320"/>
      <c r="G1320"/>
      <c r="H1320"/>
      <c r="I1320"/>
      <c r="J1320"/>
      <c r="K1320" t="s">
        <v>1713</v>
      </c>
    </row>
    <row r="1321" spans="1:11">
      <c r="B1321" s="1"/>
      <c r="D1321" s="1" t="s">
        <v>1725</v>
      </c>
      <c r="E1321" s="1" t="s">
        <v>1726</v>
      </c>
      <c r="K1321" s="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H1322"/>
      <c r="I1322"/>
      <c r="J1322"/>
      <c r="K1322" t="s">
        <v>1713</v>
      </c>
    </row>
    <row r="1323" spans="1:11">
      <c r="A1323" s="1">
        <v>44361</v>
      </c>
      <c r="B1323" s="1">
        <v>332274843663</v>
      </c>
      <c r="C1323" s="1">
        <v>44358</v>
      </c>
      <c r="D1323" s="1" t="s">
        <v>1729</v>
      </c>
      <c r="E1323" s="1" t="s">
        <v>1730</v>
      </c>
      <c r="F1323" s="1" t="s">
        <v>905</v>
      </c>
      <c r="G1323" s="1">
        <v>131121428</v>
      </c>
      <c r="K1323" s="1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H1324"/>
      <c r="I1324"/>
      <c r="J1324"/>
      <c r="K1324" t="s">
        <v>1713</v>
      </c>
    </row>
    <row r="1325" spans="1:11">
      <c r="A1325" s="1">
        <v>44362</v>
      </c>
      <c r="B1325" s="1">
        <v>980145978274</v>
      </c>
      <c r="C1325" s="1">
        <v>44358</v>
      </c>
      <c r="D1325" s="1" t="s">
        <v>1733</v>
      </c>
      <c r="E1325" s="1" t="s">
        <v>1734</v>
      </c>
      <c r="F1325" s="1" t="s">
        <v>113</v>
      </c>
      <c r="G1325" s="1">
        <v>2110592</v>
      </c>
      <c r="K1325" s="1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H1326"/>
      <c r="I1326"/>
      <c r="J1326"/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H1327"/>
      <c r="I1327"/>
      <c r="J1327"/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H1328"/>
      <c r="I1328"/>
      <c r="J1328"/>
      <c r="K1328" t="s">
        <v>1713</v>
      </c>
    </row>
    <row r="1329" spans="1:11">
      <c r="A1329"/>
      <c r="B1329"/>
      <c r="C1329"/>
      <c r="D1329" t="s">
        <v>1738</v>
      </c>
      <c r="E1329" t="s">
        <v>1739</v>
      </c>
      <c r="F1329"/>
      <c r="G1329"/>
      <c r="H1329"/>
      <c r="I1329"/>
      <c r="J1329"/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H1330"/>
      <c r="I1330"/>
      <c r="J1330"/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H1331"/>
      <c r="I1331"/>
      <c r="J1331"/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H1332"/>
      <c r="I1332"/>
      <c r="J1332"/>
      <c r="K1332" t="s">
        <v>1744</v>
      </c>
    </row>
    <row r="1333" spans="1:11">
      <c r="A1333" s="1">
        <v>44364</v>
      </c>
      <c r="B1333" s="1">
        <v>23105659922</v>
      </c>
      <c r="C1333" s="1">
        <v>44363</v>
      </c>
      <c r="D1333" s="1" t="s">
        <v>909</v>
      </c>
      <c r="E1333" s="1" t="s">
        <v>1748</v>
      </c>
      <c r="F1333" s="1" t="s">
        <v>264</v>
      </c>
      <c r="G1333" s="1" t="s">
        <v>1747</v>
      </c>
      <c r="K1333" s="1" t="s">
        <v>1744</v>
      </c>
    </row>
    <row r="1334" spans="1:11">
      <c r="A1334" s="1">
        <v>44379</v>
      </c>
      <c r="B1334" s="1" t="s">
        <v>1749</v>
      </c>
      <c r="C1334" s="1">
        <v>44378</v>
      </c>
      <c r="D1334" t="s">
        <v>1761</v>
      </c>
      <c r="E1334" t="s">
        <v>1750</v>
      </c>
      <c r="F1334" s="1" t="s">
        <v>202</v>
      </c>
      <c r="G1334" t="s">
        <v>1751</v>
      </c>
      <c r="H1334"/>
      <c r="I1334"/>
      <c r="J1334"/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H1335"/>
      <c r="I1335"/>
      <c r="J1335"/>
      <c r="K1335" t="s">
        <v>1744</v>
      </c>
    </row>
    <row r="1336" spans="1:11">
      <c r="A1336"/>
      <c r="B1336"/>
      <c r="C1336"/>
      <c r="D1336" t="s">
        <v>1753</v>
      </c>
      <c r="E1336" t="s">
        <v>1754</v>
      </c>
      <c r="F1336"/>
      <c r="G1336"/>
      <c r="H1336"/>
      <c r="I1336"/>
      <c r="J1336"/>
      <c r="K1336" t="s">
        <v>1744</v>
      </c>
    </row>
    <row r="1337" spans="1:11">
      <c r="A1337"/>
      <c r="B1337"/>
      <c r="C1337"/>
      <c r="D1337" t="s">
        <v>895</v>
      </c>
      <c r="E1337" t="s">
        <v>1755</v>
      </c>
      <c r="F1337"/>
      <c r="G1337"/>
      <c r="H1337"/>
      <c r="I1337"/>
      <c r="J1337"/>
      <c r="K1337" t="s">
        <v>1744</v>
      </c>
    </row>
    <row r="1338" spans="1:11">
      <c r="A1338"/>
      <c r="B1338"/>
      <c r="C1338"/>
      <c r="D1338" t="s">
        <v>895</v>
      </c>
      <c r="E1338" t="s">
        <v>1756</v>
      </c>
      <c r="F1338"/>
      <c r="G1338"/>
      <c r="H1338"/>
      <c r="I1338"/>
      <c r="J1338"/>
      <c r="K1338" t="s">
        <v>1744</v>
      </c>
    </row>
    <row r="1339" spans="1:11">
      <c r="B1339" s="1"/>
      <c r="D1339" s="1" t="s">
        <v>1254</v>
      </c>
      <c r="E1339" s="1" t="s">
        <v>1757</v>
      </c>
      <c r="K1339" s="1" t="s">
        <v>1744</v>
      </c>
    </row>
    <row r="1340" spans="1:11">
      <c r="B1340" s="1"/>
      <c r="D1340" t="s">
        <v>899</v>
      </c>
      <c r="E1340" t="s">
        <v>1758</v>
      </c>
      <c r="G1340"/>
      <c r="H1340"/>
      <c r="I1340"/>
      <c r="J1340"/>
      <c r="K1340" t="s">
        <v>1744</v>
      </c>
    </row>
    <row r="1341" spans="1:11">
      <c r="A1341"/>
      <c r="B1341"/>
      <c r="C1341"/>
      <c r="D1341" t="s">
        <v>1759</v>
      </c>
      <c r="E1341" t="s">
        <v>1760</v>
      </c>
      <c r="F1341"/>
      <c r="G1341"/>
      <c r="H1341"/>
      <c r="I1341"/>
      <c r="J1341"/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H1342"/>
      <c r="I1342"/>
      <c r="J1342"/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H1343"/>
      <c r="I1343"/>
      <c r="J1343"/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H1344"/>
      <c r="I1344"/>
      <c r="J1344"/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H1345"/>
      <c r="I1345"/>
      <c r="J1345"/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H1346"/>
      <c r="I1346"/>
      <c r="J1346"/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H1347"/>
      <c r="I1347"/>
      <c r="J1347"/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H1348"/>
      <c r="I1348"/>
      <c r="J1348"/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H1349"/>
      <c r="I1349"/>
      <c r="J1349"/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H1350"/>
      <c r="I1350"/>
      <c r="J1350"/>
      <c r="K1350" t="s">
        <v>1770</v>
      </c>
    </row>
    <row r="1351" spans="1:11">
      <c r="A1351" s="1">
        <v>44312</v>
      </c>
      <c r="B1351" s="1" t="s">
        <v>9</v>
      </c>
      <c r="C1351" s="1">
        <v>44309</v>
      </c>
      <c r="D1351" s="1" t="s">
        <v>279</v>
      </c>
      <c r="E1351" s="1" t="s">
        <v>1780</v>
      </c>
      <c r="F1351" s="1" t="s">
        <v>12</v>
      </c>
      <c r="G1351" s="1">
        <v>931229909</v>
      </c>
      <c r="K1351" s="1" t="s">
        <v>1781</v>
      </c>
    </row>
    <row r="1352" spans="1:11">
      <c r="A1352" s="1">
        <v>44312</v>
      </c>
      <c r="B1352" s="1" t="s">
        <v>9</v>
      </c>
      <c r="C1352" s="1">
        <v>44309</v>
      </c>
      <c r="D1352" t="s">
        <v>279</v>
      </c>
      <c r="E1352" t="s">
        <v>1782</v>
      </c>
      <c r="F1352" s="1" t="s">
        <v>12</v>
      </c>
      <c r="G1352">
        <v>931229909</v>
      </c>
      <c r="H1352"/>
      <c r="I1352"/>
      <c r="J1352"/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H1353"/>
      <c r="I1353"/>
      <c r="J1353"/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H1354"/>
      <c r="I1354"/>
      <c r="J1354"/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H1355"/>
      <c r="I1355"/>
      <c r="J1355"/>
      <c r="K1355" t="s">
        <v>1772</v>
      </c>
    </row>
    <row r="1356" spans="1:11">
      <c r="A1356" s="1">
        <v>44312</v>
      </c>
      <c r="B1356" s="1" t="s">
        <v>9</v>
      </c>
      <c r="C1356" s="1">
        <v>44309</v>
      </c>
      <c r="D1356" s="1" t="s">
        <v>279</v>
      </c>
      <c r="E1356" s="1" t="s">
        <v>1788</v>
      </c>
      <c r="F1356" s="1" t="s">
        <v>12</v>
      </c>
      <c r="G1356" s="1">
        <v>931229909</v>
      </c>
      <c r="K1356" s="1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H1357"/>
      <c r="I1357"/>
      <c r="J1357"/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H1358"/>
      <c r="I1358"/>
      <c r="J1358"/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H1359"/>
      <c r="I1359"/>
      <c r="J1359"/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H1360"/>
      <c r="I1360"/>
      <c r="J1360"/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H1361"/>
      <c r="I1361"/>
      <c r="J1361"/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H1362"/>
      <c r="I1362"/>
      <c r="J1362"/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H1363"/>
      <c r="I1363"/>
      <c r="J1363"/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H1364"/>
      <c r="I1364"/>
      <c r="J1364"/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H1365"/>
      <c r="I1365"/>
      <c r="J1365"/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H1366"/>
      <c r="I1366"/>
      <c r="J1366"/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H1367"/>
      <c r="I1367"/>
      <c r="J1367"/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H1368"/>
      <c r="I1368"/>
      <c r="J1368"/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H1369"/>
      <c r="I1369"/>
      <c r="J1369"/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H1370"/>
      <c r="I1370"/>
      <c r="J1370"/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H1371"/>
      <c r="I1371"/>
      <c r="J1371"/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H1372"/>
      <c r="I1372"/>
      <c r="J1372"/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H1373"/>
      <c r="I1373"/>
      <c r="J1373"/>
      <c r="K1373" t="s">
        <v>1778</v>
      </c>
    </row>
    <row r="1374" spans="1:11">
      <c r="A1374"/>
      <c r="B1374"/>
      <c r="C1374"/>
      <c r="D1374" t="s">
        <v>582</v>
      </c>
      <c r="E1374" t="s">
        <v>1809</v>
      </c>
      <c r="F1374"/>
      <c r="G1374"/>
      <c r="H1374"/>
      <c r="I1374"/>
      <c r="J1374"/>
      <c r="K1374" t="s">
        <v>1778</v>
      </c>
    </row>
    <row r="1375" spans="1:11">
      <c r="A1375"/>
      <c r="B1375"/>
      <c r="C1375"/>
      <c r="D1375" t="s">
        <v>582</v>
      </c>
      <c r="E1375" t="s">
        <v>1810</v>
      </c>
      <c r="F1375"/>
      <c r="G1375"/>
      <c r="H1375"/>
      <c r="I1375"/>
      <c r="J1375"/>
      <c r="K1375" t="s">
        <v>1778</v>
      </c>
    </row>
    <row r="1376" spans="1:11">
      <c r="A1376"/>
      <c r="B1376"/>
      <c r="C1376"/>
      <c r="D1376" t="s">
        <v>581</v>
      </c>
      <c r="E1376" t="s">
        <v>1811</v>
      </c>
      <c r="F1376"/>
      <c r="G1376"/>
      <c r="H1376"/>
      <c r="I1376"/>
      <c r="J1376"/>
      <c r="K1376" t="s">
        <v>1778</v>
      </c>
    </row>
    <row r="1377" spans="1:11">
      <c r="A1377" s="1">
        <v>44375</v>
      </c>
      <c r="B1377" s="1" t="s">
        <v>207</v>
      </c>
      <c r="C1377" s="1">
        <v>44372</v>
      </c>
      <c r="D1377" s="1" t="s">
        <v>340</v>
      </c>
      <c r="E1377" s="1" t="s">
        <v>1812</v>
      </c>
      <c r="F1377" s="1" t="s">
        <v>210</v>
      </c>
      <c r="G1377" s="1">
        <v>931273713</v>
      </c>
      <c r="K1377" t="s">
        <v>1776</v>
      </c>
    </row>
    <row r="1378" spans="1:11">
      <c r="A1378"/>
      <c r="B1378"/>
      <c r="C1378"/>
      <c r="D1378" t="s">
        <v>582</v>
      </c>
      <c r="E1378" t="s">
        <v>1813</v>
      </c>
      <c r="F1378"/>
      <c r="G1378"/>
      <c r="H1378"/>
      <c r="I1378"/>
      <c r="J1378"/>
      <c r="K1378" t="s">
        <v>1776</v>
      </c>
    </row>
    <row r="1379" spans="1:11">
      <c r="A1379"/>
      <c r="B1379"/>
      <c r="C1379"/>
      <c r="D1379" t="s">
        <v>582</v>
      </c>
      <c r="E1379" t="s">
        <v>1814</v>
      </c>
      <c r="F1379"/>
      <c r="G1379"/>
      <c r="H1379"/>
      <c r="I1379"/>
      <c r="J1379"/>
      <c r="K1379" t="s">
        <v>1776</v>
      </c>
    </row>
    <row r="1380" spans="1:11">
      <c r="A1380"/>
      <c r="B1380"/>
      <c r="C1380"/>
      <c r="D1380" t="s">
        <v>581</v>
      </c>
      <c r="E1380" t="s">
        <v>1815</v>
      </c>
      <c r="F1380"/>
      <c r="G1380"/>
      <c r="H1380"/>
      <c r="I1380"/>
      <c r="J1380"/>
      <c r="K1380" t="s">
        <v>1776</v>
      </c>
    </row>
    <row r="1381" spans="1:11">
      <c r="A1381" s="1">
        <v>44375</v>
      </c>
      <c r="B1381" s="1" t="s">
        <v>207</v>
      </c>
      <c r="C1381" s="1">
        <v>44372</v>
      </c>
      <c r="D1381" s="1" t="s">
        <v>340</v>
      </c>
      <c r="E1381" s="1" t="s">
        <v>1816</v>
      </c>
      <c r="F1381" s="1" t="s">
        <v>210</v>
      </c>
      <c r="G1381" s="1">
        <v>931273713</v>
      </c>
      <c r="K1381" s="1" t="s">
        <v>1772</v>
      </c>
    </row>
    <row r="1382" spans="1:11">
      <c r="A1382"/>
      <c r="B1382"/>
      <c r="C1382"/>
      <c r="D1382" t="s">
        <v>582</v>
      </c>
      <c r="E1382" t="s">
        <v>1817</v>
      </c>
      <c r="F1382"/>
      <c r="G1382"/>
      <c r="H1382"/>
      <c r="I1382"/>
      <c r="J1382"/>
      <c r="K1382" t="s">
        <v>1772</v>
      </c>
    </row>
    <row r="1383" spans="1:11">
      <c r="A1383"/>
      <c r="B1383"/>
      <c r="C1383"/>
      <c r="D1383" t="s">
        <v>582</v>
      </c>
      <c r="E1383" t="s">
        <v>1818</v>
      </c>
      <c r="F1383"/>
      <c r="G1383"/>
      <c r="H1383"/>
      <c r="I1383"/>
      <c r="J1383"/>
      <c r="K1383" t="s">
        <v>1772</v>
      </c>
    </row>
    <row r="1384" spans="1:11">
      <c r="A1384"/>
      <c r="B1384"/>
      <c r="C1384"/>
      <c r="D1384" t="s">
        <v>581</v>
      </c>
      <c r="E1384" t="s">
        <v>1819</v>
      </c>
      <c r="F1384"/>
      <c r="G1384"/>
      <c r="H1384"/>
      <c r="I1384"/>
      <c r="J1384"/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H1385"/>
      <c r="I1385"/>
      <c r="J1385"/>
      <c r="K1385" t="s">
        <v>1766</v>
      </c>
    </row>
    <row r="1386" spans="1:11">
      <c r="A1386"/>
      <c r="B1386"/>
      <c r="C1386"/>
      <c r="D1386" t="s">
        <v>582</v>
      </c>
      <c r="E1386" t="s">
        <v>1821</v>
      </c>
      <c r="F1386"/>
      <c r="G1386"/>
      <c r="H1386"/>
      <c r="I1386"/>
      <c r="J1386"/>
      <c r="K1386" t="s">
        <v>1766</v>
      </c>
    </row>
    <row r="1387" spans="1:11">
      <c r="A1387"/>
      <c r="B1387"/>
      <c r="C1387"/>
      <c r="D1387" t="s">
        <v>582</v>
      </c>
      <c r="E1387" t="s">
        <v>1822</v>
      </c>
      <c r="F1387"/>
      <c r="G1387"/>
      <c r="H1387"/>
      <c r="I1387"/>
      <c r="J1387"/>
      <c r="K1387" t="s">
        <v>1766</v>
      </c>
    </row>
    <row r="1388" spans="1:11">
      <c r="A1388"/>
      <c r="B1388"/>
      <c r="C1388"/>
      <c r="D1388" t="s">
        <v>581</v>
      </c>
      <c r="E1388" t="s">
        <v>1823</v>
      </c>
      <c r="F1388"/>
      <c r="G1388"/>
      <c r="H1388"/>
      <c r="I1388"/>
      <c r="J1388"/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H1389"/>
      <c r="I1389"/>
      <c r="J1389"/>
      <c r="K1389" t="s">
        <v>1781</v>
      </c>
    </row>
    <row r="1390" spans="1:11">
      <c r="A1390"/>
      <c r="B1390"/>
      <c r="C1390"/>
      <c r="D1390" t="s">
        <v>582</v>
      </c>
      <c r="E1390" t="s">
        <v>1825</v>
      </c>
      <c r="F1390"/>
      <c r="G1390"/>
      <c r="H1390"/>
      <c r="I1390"/>
      <c r="J1390"/>
      <c r="K1390" t="s">
        <v>1781</v>
      </c>
    </row>
    <row r="1391" spans="1:11">
      <c r="A1391"/>
      <c r="B1391"/>
      <c r="C1391"/>
      <c r="D1391" t="s">
        <v>582</v>
      </c>
      <c r="E1391" t="s">
        <v>1826</v>
      </c>
      <c r="F1391"/>
      <c r="G1391"/>
      <c r="H1391"/>
      <c r="I1391"/>
      <c r="J1391"/>
      <c r="K1391" t="s">
        <v>1781</v>
      </c>
    </row>
    <row r="1392" spans="1:11">
      <c r="B1392" s="1"/>
      <c r="D1392" t="s">
        <v>581</v>
      </c>
      <c r="E1392" t="s">
        <v>1827</v>
      </c>
      <c r="G1392"/>
      <c r="H1392"/>
      <c r="I1392"/>
      <c r="J1392"/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H1393"/>
      <c r="I1393"/>
      <c r="J1393"/>
      <c r="K1393" t="s">
        <v>1783</v>
      </c>
    </row>
    <row r="1394" spans="1:11">
      <c r="A1394"/>
      <c r="B1394"/>
      <c r="C1394"/>
      <c r="D1394" t="s">
        <v>582</v>
      </c>
      <c r="E1394" t="s">
        <v>1829</v>
      </c>
      <c r="F1394"/>
      <c r="G1394"/>
      <c r="H1394"/>
      <c r="I1394"/>
      <c r="J1394"/>
      <c r="K1394" t="s">
        <v>1783</v>
      </c>
    </row>
    <row r="1395" spans="1:11">
      <c r="A1395"/>
      <c r="B1395"/>
      <c r="C1395"/>
      <c r="D1395" t="s">
        <v>582</v>
      </c>
      <c r="E1395" t="s">
        <v>1830</v>
      </c>
      <c r="F1395"/>
      <c r="G1395"/>
      <c r="H1395"/>
      <c r="I1395"/>
      <c r="J1395"/>
      <c r="K1395" t="s">
        <v>1783</v>
      </c>
    </row>
    <row r="1396" spans="1:11">
      <c r="B1396" s="1"/>
      <c r="D1396" s="1" t="s">
        <v>581</v>
      </c>
      <c r="E1396" s="1" t="s">
        <v>1831</v>
      </c>
      <c r="K1396" s="1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H1397"/>
      <c r="I1397"/>
      <c r="J1397"/>
      <c r="K1397" t="s">
        <v>1763</v>
      </c>
    </row>
    <row r="1398" spans="1:11">
      <c r="A1398"/>
      <c r="B1398"/>
      <c r="C1398"/>
      <c r="D1398" t="s">
        <v>582</v>
      </c>
      <c r="E1398" t="s">
        <v>1833</v>
      </c>
      <c r="F1398"/>
      <c r="G1398"/>
      <c r="H1398"/>
      <c r="I1398"/>
      <c r="J1398"/>
      <c r="K1398" t="s">
        <v>1763</v>
      </c>
    </row>
    <row r="1399" spans="1:11">
      <c r="A1399"/>
      <c r="B1399"/>
      <c r="C1399"/>
      <c r="D1399" t="s">
        <v>582</v>
      </c>
      <c r="E1399" t="s">
        <v>1834</v>
      </c>
      <c r="F1399"/>
      <c r="G1399"/>
      <c r="H1399"/>
      <c r="I1399"/>
      <c r="J1399"/>
      <c r="K1399" t="s">
        <v>1763</v>
      </c>
    </row>
    <row r="1400" spans="1:11">
      <c r="A1400"/>
      <c r="B1400"/>
      <c r="C1400"/>
      <c r="D1400" t="s">
        <v>581</v>
      </c>
      <c r="E1400" t="s">
        <v>1835</v>
      </c>
      <c r="F1400"/>
      <c r="G1400"/>
      <c r="H1400"/>
      <c r="I1400"/>
      <c r="J1400"/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H1401"/>
      <c r="I1401"/>
      <c r="J1401"/>
      <c r="K1401" t="s">
        <v>1774</v>
      </c>
    </row>
    <row r="1402" spans="1:11">
      <c r="A1402"/>
      <c r="B1402"/>
      <c r="C1402"/>
      <c r="D1402" t="s">
        <v>582</v>
      </c>
      <c r="E1402" t="s">
        <v>1837</v>
      </c>
      <c r="F1402"/>
      <c r="G1402"/>
      <c r="H1402"/>
      <c r="I1402"/>
      <c r="J1402"/>
      <c r="K1402" t="s">
        <v>1774</v>
      </c>
    </row>
    <row r="1403" spans="1:11">
      <c r="A1403"/>
      <c r="B1403"/>
      <c r="C1403"/>
      <c r="D1403" t="s">
        <v>582</v>
      </c>
      <c r="E1403" t="s">
        <v>1838</v>
      </c>
      <c r="F1403"/>
      <c r="G1403"/>
      <c r="H1403"/>
      <c r="I1403"/>
      <c r="J1403"/>
      <c r="K1403" t="s">
        <v>1774</v>
      </c>
    </row>
    <row r="1404" spans="1:11">
      <c r="A1404"/>
      <c r="B1404"/>
      <c r="C1404"/>
      <c r="D1404" t="s">
        <v>581</v>
      </c>
      <c r="E1404" t="s">
        <v>1839</v>
      </c>
      <c r="F1404"/>
      <c r="G1404"/>
      <c r="H1404"/>
      <c r="I1404"/>
      <c r="J1404"/>
      <c r="K1404" t="s">
        <v>1774</v>
      </c>
    </row>
    <row r="1405" spans="1:11">
      <c r="A1405" s="1">
        <v>44375</v>
      </c>
      <c r="B1405" s="1" t="s">
        <v>207</v>
      </c>
      <c r="C1405" s="1">
        <v>44372</v>
      </c>
      <c r="D1405" s="1" t="s">
        <v>340</v>
      </c>
      <c r="E1405" s="1" t="s">
        <v>1840</v>
      </c>
      <c r="F1405" s="1" t="s">
        <v>210</v>
      </c>
      <c r="G1405" s="1">
        <v>931273713</v>
      </c>
      <c r="K1405" s="1" t="s">
        <v>1785</v>
      </c>
    </row>
    <row r="1406" spans="1:11">
      <c r="B1406" s="1"/>
      <c r="D1406" s="1" t="s">
        <v>582</v>
      </c>
      <c r="E1406" s="1" t="s">
        <v>1841</v>
      </c>
      <c r="G1406"/>
      <c r="K1406" s="1" t="s">
        <v>1785</v>
      </c>
    </row>
    <row r="1407" spans="1:11">
      <c r="A1407"/>
      <c r="B1407"/>
      <c r="C1407"/>
      <c r="D1407" t="s">
        <v>582</v>
      </c>
      <c r="E1407" t="s">
        <v>1842</v>
      </c>
      <c r="F1407"/>
      <c r="G1407"/>
      <c r="H1407"/>
      <c r="I1407"/>
      <c r="J1407"/>
      <c r="K1407" t="s">
        <v>1785</v>
      </c>
    </row>
    <row r="1408" spans="1:11">
      <c r="A1408"/>
      <c r="B1408"/>
      <c r="C1408"/>
      <c r="D1408" t="s">
        <v>581</v>
      </c>
      <c r="E1408" t="s">
        <v>1843</v>
      </c>
      <c r="F1408"/>
      <c r="G1408"/>
      <c r="H1408"/>
      <c r="I1408"/>
      <c r="J1408"/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H1409"/>
      <c r="I1409"/>
      <c r="J1409"/>
      <c r="K1409" t="s">
        <v>1770</v>
      </c>
    </row>
    <row r="1410" spans="1:11">
      <c r="B1410" s="1"/>
      <c r="D1410" s="1" t="s">
        <v>582</v>
      </c>
      <c r="E1410" s="1" t="s">
        <v>1845</v>
      </c>
      <c r="K1410" s="1" t="s">
        <v>1770</v>
      </c>
    </row>
    <row r="1411" spans="1:11">
      <c r="A1411"/>
      <c r="B1411"/>
      <c r="C1411"/>
      <c r="D1411" t="s">
        <v>582</v>
      </c>
      <c r="E1411" t="s">
        <v>1846</v>
      </c>
      <c r="F1411"/>
      <c r="G1411"/>
      <c r="H1411"/>
      <c r="I1411"/>
      <c r="J1411"/>
      <c r="K1411" t="s">
        <v>1770</v>
      </c>
    </row>
    <row r="1412" spans="1:11">
      <c r="A1412"/>
      <c r="B1412"/>
      <c r="C1412"/>
      <c r="D1412" t="s">
        <v>581</v>
      </c>
      <c r="E1412" t="s">
        <v>1847</v>
      </c>
      <c r="F1412"/>
      <c r="G1412"/>
      <c r="H1412"/>
      <c r="I1412"/>
      <c r="J1412"/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H1413"/>
      <c r="I1413"/>
      <c r="J1413"/>
      <c r="K1413" t="s">
        <v>1768</v>
      </c>
    </row>
    <row r="1414" spans="1:11">
      <c r="A1414"/>
      <c r="B1414"/>
      <c r="C1414"/>
      <c r="D1414" t="s">
        <v>582</v>
      </c>
      <c r="E1414" t="s">
        <v>1849</v>
      </c>
      <c r="F1414"/>
      <c r="G1414"/>
      <c r="H1414"/>
      <c r="I1414"/>
      <c r="J1414"/>
      <c r="K1414" t="s">
        <v>1768</v>
      </c>
    </row>
    <row r="1415" spans="1:11">
      <c r="A1415"/>
      <c r="B1415"/>
      <c r="C1415"/>
      <c r="D1415" t="s">
        <v>582</v>
      </c>
      <c r="E1415" t="s">
        <v>1850</v>
      </c>
      <c r="F1415"/>
      <c r="G1415"/>
      <c r="H1415"/>
      <c r="I1415"/>
      <c r="J1415"/>
      <c r="K1415" t="s">
        <v>1768</v>
      </c>
    </row>
    <row r="1416" spans="1:11">
      <c r="A1416"/>
      <c r="B1416"/>
      <c r="C1416"/>
      <c r="D1416" t="s">
        <v>581</v>
      </c>
      <c r="E1416" t="s">
        <v>1851</v>
      </c>
      <c r="F1416"/>
      <c r="G1416"/>
      <c r="H1416"/>
      <c r="I1416"/>
      <c r="J1416"/>
      <c r="K1416" t="s">
        <v>1768</v>
      </c>
    </row>
    <row r="1417" spans="1:11">
      <c r="A1417">
        <v>44375</v>
      </c>
      <c r="B1417" t="s">
        <v>207</v>
      </c>
      <c r="C1417" s="1">
        <v>44372</v>
      </c>
      <c r="D1417" s="1" t="s">
        <v>340</v>
      </c>
      <c r="E1417" s="1" t="s">
        <v>1852</v>
      </c>
      <c r="F1417" s="1" t="s">
        <v>210</v>
      </c>
      <c r="G1417" s="1">
        <v>931273713</v>
      </c>
      <c r="K1417" s="1" t="s">
        <v>1789</v>
      </c>
    </row>
    <row r="1418" spans="1:11">
      <c r="A1418"/>
      <c r="B1418"/>
      <c r="C1418"/>
      <c r="D1418" t="s">
        <v>582</v>
      </c>
      <c r="E1418" t="s">
        <v>1853</v>
      </c>
      <c r="F1418"/>
      <c r="G1418"/>
      <c r="H1418"/>
      <c r="I1418"/>
      <c r="J1418"/>
      <c r="K1418" t="s">
        <v>1789</v>
      </c>
    </row>
    <row r="1419" spans="1:11">
      <c r="A1419"/>
      <c r="B1419"/>
      <c r="C1419"/>
      <c r="D1419" t="s">
        <v>582</v>
      </c>
      <c r="E1419" t="s">
        <v>1854</v>
      </c>
      <c r="F1419"/>
      <c r="G1419"/>
      <c r="H1419"/>
      <c r="I1419"/>
      <c r="J1419"/>
      <c r="K1419" t="s">
        <v>1789</v>
      </c>
    </row>
    <row r="1420" spans="1:11">
      <c r="B1420" s="1"/>
      <c r="D1420" t="s">
        <v>581</v>
      </c>
      <c r="E1420" t="s">
        <v>1855</v>
      </c>
      <c r="G1420"/>
      <c r="H1420"/>
      <c r="I1420"/>
      <c r="J1420"/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H1421"/>
      <c r="I1421"/>
      <c r="J1421"/>
      <c r="K1421" t="s">
        <v>1793</v>
      </c>
    </row>
    <row r="1422" spans="1:11">
      <c r="A1422"/>
      <c r="B1422"/>
      <c r="C1422"/>
      <c r="D1422" t="s">
        <v>582</v>
      </c>
      <c r="E1422" t="s">
        <v>1857</v>
      </c>
      <c r="F1422"/>
      <c r="G1422"/>
      <c r="H1422"/>
      <c r="I1422"/>
      <c r="J1422"/>
      <c r="K1422" t="s">
        <v>1793</v>
      </c>
    </row>
    <row r="1423" spans="1:11">
      <c r="A1423"/>
      <c r="B1423"/>
      <c r="C1423"/>
      <c r="D1423" t="s">
        <v>582</v>
      </c>
      <c r="E1423" t="s">
        <v>1858</v>
      </c>
      <c r="F1423"/>
      <c r="G1423"/>
      <c r="H1423"/>
      <c r="I1423"/>
      <c r="J1423"/>
      <c r="K1423" t="s">
        <v>1793</v>
      </c>
    </row>
    <row r="1424" spans="1:11">
      <c r="A1424"/>
      <c r="B1424"/>
      <c r="C1424"/>
      <c r="D1424" t="s">
        <v>581</v>
      </c>
      <c r="E1424" t="s">
        <v>1859</v>
      </c>
      <c r="F1424"/>
      <c r="G1424"/>
      <c r="H1424"/>
      <c r="I1424"/>
      <c r="J1424"/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H1425"/>
      <c r="I1425"/>
      <c r="J1425"/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H1426"/>
      <c r="I1426"/>
      <c r="J1426"/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H1427"/>
      <c r="I1427"/>
      <c r="J1427"/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H1428"/>
      <c r="I1428"/>
      <c r="J1428"/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H1429"/>
      <c r="I1429"/>
      <c r="J1429"/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H1430"/>
      <c r="I1430"/>
      <c r="J1430"/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H1431"/>
      <c r="I1431"/>
      <c r="J1431"/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H1432"/>
      <c r="I1432"/>
      <c r="J1432"/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H1433"/>
      <c r="I1433"/>
      <c r="J1433"/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H1434"/>
      <c r="I1434"/>
      <c r="J1434"/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H1435"/>
      <c r="I1435"/>
      <c r="J1435"/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H1436"/>
      <c r="I1436"/>
      <c r="J1436"/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H1437"/>
      <c r="I1437"/>
      <c r="J1437"/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H1438"/>
      <c r="I1438"/>
      <c r="J1438"/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H1439"/>
      <c r="I1439"/>
      <c r="J1439"/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H1440"/>
      <c r="I1440"/>
      <c r="J1440"/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H1441"/>
      <c r="I1441"/>
      <c r="J1441"/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H1442"/>
      <c r="I1442"/>
      <c r="J1442"/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H1443"/>
      <c r="I1443"/>
      <c r="J1443"/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H1444"/>
      <c r="I1444"/>
      <c r="J1444"/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H1445"/>
      <c r="I1445"/>
      <c r="J1445"/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H1446"/>
      <c r="I1446"/>
      <c r="J1446"/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H1447"/>
      <c r="I1447"/>
      <c r="J1447"/>
      <c r="K1447" t="s">
        <v>1763</v>
      </c>
    </row>
    <row r="1448" spans="1:11">
      <c r="A1448" s="1">
        <v>44375</v>
      </c>
      <c r="B1448" s="1" t="s">
        <v>207</v>
      </c>
      <c r="C1448" s="1">
        <v>44372</v>
      </c>
      <c r="D1448" s="1" t="s">
        <v>321</v>
      </c>
      <c r="E1448" s="1" t="s">
        <v>1883</v>
      </c>
      <c r="F1448" s="1" t="s">
        <v>210</v>
      </c>
      <c r="G1448" s="1">
        <v>931273713</v>
      </c>
      <c r="K1448" s="1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H1449"/>
      <c r="I1449"/>
      <c r="J1449"/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H1450"/>
      <c r="I1450"/>
      <c r="J1450"/>
      <c r="K1450" t="s">
        <v>1766</v>
      </c>
    </row>
    <row r="1451" spans="1:11">
      <c r="A1451">
        <v>44375</v>
      </c>
      <c r="B1451">
        <v>192447610</v>
      </c>
      <c r="C1451"/>
      <c r="D1451" t="s">
        <v>362</v>
      </c>
      <c r="E1451" t="s">
        <v>1886</v>
      </c>
      <c r="F1451" t="s">
        <v>982</v>
      </c>
      <c r="G1451"/>
      <c r="H1451"/>
      <c r="I1451"/>
      <c r="J1451"/>
      <c r="K1451" t="s">
        <v>1793</v>
      </c>
    </row>
    <row r="1452" spans="1:11">
      <c r="A1452" s="1">
        <v>44375</v>
      </c>
      <c r="B1452" s="1">
        <v>192447610</v>
      </c>
      <c r="D1452" s="1" t="s">
        <v>362</v>
      </c>
      <c r="E1452" s="1" t="s">
        <v>1887</v>
      </c>
      <c r="F1452" s="1" t="s">
        <v>982</v>
      </c>
      <c r="G1452"/>
      <c r="K1452" s="1" t="s">
        <v>1776</v>
      </c>
    </row>
    <row r="1453" spans="1:11">
      <c r="A1453">
        <v>44375</v>
      </c>
      <c r="B1453">
        <v>192447610</v>
      </c>
      <c r="C1453"/>
      <c r="D1453" t="s">
        <v>362</v>
      </c>
      <c r="E1453" t="s">
        <v>1888</v>
      </c>
      <c r="F1453" t="s">
        <v>982</v>
      </c>
      <c r="G1453"/>
      <c r="H1453"/>
      <c r="I1453"/>
      <c r="J1453"/>
      <c r="K1453" t="s">
        <v>1778</v>
      </c>
    </row>
    <row r="1454" spans="1:11">
      <c r="A1454" s="1">
        <v>44375</v>
      </c>
      <c r="B1454" s="1">
        <v>192447610</v>
      </c>
      <c r="D1454" s="1" t="s">
        <v>362</v>
      </c>
      <c r="E1454" s="1" t="s">
        <v>1889</v>
      </c>
      <c r="F1454" s="1" t="s">
        <v>982</v>
      </c>
      <c r="K1454" s="1" t="s">
        <v>1785</v>
      </c>
    </row>
    <row r="1455" spans="1:11">
      <c r="A1455">
        <v>44375</v>
      </c>
      <c r="B1455">
        <v>192447610</v>
      </c>
      <c r="C1455"/>
      <c r="D1455" t="s">
        <v>362</v>
      </c>
      <c r="E1455" t="s">
        <v>1890</v>
      </c>
      <c r="F1455" t="s">
        <v>982</v>
      </c>
      <c r="G1455"/>
      <c r="H1455"/>
      <c r="I1455"/>
      <c r="J1455"/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H1456"/>
      <c r="I1456"/>
      <c r="J1456"/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H1457"/>
      <c r="I1457"/>
      <c r="J1457"/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H1458"/>
      <c r="I1458"/>
      <c r="J1458"/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H1459"/>
      <c r="I1459"/>
      <c r="J1459"/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H1460"/>
      <c r="I1460"/>
      <c r="J1460"/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H1461"/>
      <c r="I1461"/>
      <c r="J1461"/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H1462"/>
      <c r="I1462"/>
      <c r="J1462"/>
      <c r="K1462" t="s">
        <v>1776</v>
      </c>
    </row>
    <row r="1463" spans="1:11">
      <c r="A1463" s="1">
        <v>44375</v>
      </c>
      <c r="B1463" s="1">
        <v>332274921514</v>
      </c>
      <c r="C1463" s="1">
        <v>44371</v>
      </c>
      <c r="D1463" s="1" t="s">
        <v>1891</v>
      </c>
      <c r="E1463" s="1" t="s">
        <v>1899</v>
      </c>
      <c r="F1463" s="1" t="s">
        <v>905</v>
      </c>
      <c r="G1463">
        <v>131136675</v>
      </c>
      <c r="K1463" s="1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H1464"/>
      <c r="I1464"/>
      <c r="J1464"/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H1465"/>
      <c r="I1465"/>
      <c r="J1465"/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H1466"/>
      <c r="I1466"/>
      <c r="J1466"/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H1467"/>
      <c r="I1467"/>
      <c r="J1467"/>
      <c r="K1467" t="s">
        <v>1778</v>
      </c>
    </row>
    <row r="1468" spans="1:11">
      <c r="A1468" s="1">
        <v>44378</v>
      </c>
      <c r="B1468" s="1">
        <v>774111904262</v>
      </c>
      <c r="C1468" s="1">
        <v>44372</v>
      </c>
      <c r="D1468" t="s">
        <v>438</v>
      </c>
      <c r="E1468" t="s">
        <v>1904</v>
      </c>
      <c r="F1468" s="1" t="s">
        <v>440</v>
      </c>
      <c r="G1468">
        <v>25735</v>
      </c>
      <c r="H1468"/>
      <c r="I1468"/>
      <c r="J1468"/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H1469"/>
      <c r="I1469"/>
      <c r="J1469"/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H1470"/>
      <c r="I1470"/>
      <c r="J1470"/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H1471"/>
      <c r="I1471"/>
      <c r="J1471"/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H1472"/>
      <c r="I1472"/>
      <c r="J1472"/>
      <c r="K1472" t="s">
        <v>1768</v>
      </c>
    </row>
    <row r="1473" spans="1:11">
      <c r="A1473" s="1">
        <v>44378</v>
      </c>
      <c r="B1473" s="1">
        <v>774111904262</v>
      </c>
      <c r="C1473" s="1">
        <v>44372</v>
      </c>
      <c r="D1473" s="1" t="s">
        <v>438</v>
      </c>
      <c r="E1473" s="1" t="s">
        <v>1909</v>
      </c>
      <c r="F1473" s="1" t="s">
        <v>440</v>
      </c>
      <c r="G1473" s="1">
        <v>25735</v>
      </c>
      <c r="K1473" s="1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H1474"/>
      <c r="I1474"/>
      <c r="J1474"/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H1475"/>
      <c r="I1475"/>
      <c r="J1475"/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H1476"/>
      <c r="I1476"/>
      <c r="J1476"/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H1477"/>
      <c r="I1477"/>
      <c r="J1477"/>
      <c r="K1477" t="s">
        <v>1781</v>
      </c>
    </row>
    <row r="1478" spans="1:11">
      <c r="A1478" s="1">
        <v>44378</v>
      </c>
      <c r="B1478" s="1">
        <v>774111904262</v>
      </c>
      <c r="C1478" s="1">
        <v>44372</v>
      </c>
      <c r="D1478" s="1" t="s">
        <v>438</v>
      </c>
      <c r="E1478" s="1" t="s">
        <v>1914</v>
      </c>
      <c r="F1478" s="1" t="s">
        <v>440</v>
      </c>
      <c r="G1478" s="1">
        <v>25735</v>
      </c>
      <c r="K1478" s="1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H1479"/>
      <c r="I1479"/>
      <c r="J1479"/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H1480"/>
      <c r="I1480"/>
      <c r="J1480"/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H1481"/>
      <c r="I1481"/>
      <c r="J1481"/>
      <c r="K1481" t="s">
        <v>1783</v>
      </c>
    </row>
    <row r="1482" spans="1:11">
      <c r="A1482" s="1">
        <v>44378</v>
      </c>
      <c r="B1482" s="1">
        <v>774111904262</v>
      </c>
      <c r="C1482" s="1">
        <v>44372</v>
      </c>
      <c r="D1482" t="s">
        <v>438</v>
      </c>
      <c r="E1482" t="s">
        <v>1918</v>
      </c>
      <c r="F1482" s="1" t="s">
        <v>440</v>
      </c>
      <c r="G1482">
        <v>25735</v>
      </c>
      <c r="H1482"/>
      <c r="I1482"/>
      <c r="J1482"/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H1483"/>
      <c r="I1483"/>
      <c r="J1483"/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H1484"/>
      <c r="I1484"/>
      <c r="J1484"/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H1485"/>
      <c r="I1485"/>
      <c r="J1485"/>
      <c r="K1485" t="s">
        <v>1789</v>
      </c>
    </row>
    <row r="1486" spans="1:11">
      <c r="A1486" s="1">
        <v>44378</v>
      </c>
      <c r="B1486" s="1">
        <v>774111904262</v>
      </c>
      <c r="C1486" s="1">
        <v>44372</v>
      </c>
      <c r="D1486" s="1" t="s">
        <v>438</v>
      </c>
      <c r="E1486" s="1" t="s">
        <v>1922</v>
      </c>
      <c r="F1486" s="1" t="s">
        <v>440</v>
      </c>
      <c r="G1486" s="1">
        <v>25735</v>
      </c>
      <c r="K1486" s="1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H1487"/>
      <c r="I1487"/>
      <c r="J1487"/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H1488"/>
      <c r="I1488"/>
      <c r="J1488"/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H1489"/>
      <c r="I1489"/>
      <c r="J1489"/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H1490"/>
      <c r="I1490"/>
      <c r="J1490"/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H1491"/>
      <c r="I1491"/>
      <c r="J1491"/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H1492"/>
      <c r="I1492"/>
      <c r="J1492"/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H1493"/>
      <c r="I1493"/>
      <c r="J1493"/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H1494"/>
      <c r="I1494"/>
      <c r="J1494"/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H1495"/>
      <c r="I1495"/>
      <c r="J1495"/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H1496"/>
      <c r="I1496"/>
      <c r="J1496"/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H1497"/>
      <c r="I1497"/>
      <c r="J1497"/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H1498"/>
      <c r="I1498"/>
      <c r="J1498"/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H1499"/>
      <c r="I1499"/>
      <c r="J1499"/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H1500"/>
      <c r="I1500"/>
      <c r="J1500"/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H1501"/>
      <c r="I1501"/>
      <c r="J1501"/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H1502"/>
      <c r="I1502"/>
      <c r="J1502"/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H1503"/>
      <c r="I1503"/>
      <c r="J1503"/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H1504"/>
      <c r="I1504"/>
      <c r="J1504"/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H1505"/>
      <c r="I1505"/>
      <c r="J1505"/>
      <c r="K1505" t="s">
        <v>1776</v>
      </c>
    </row>
    <row r="1506" spans="1:11">
      <c r="A1506" s="1">
        <v>44378</v>
      </c>
      <c r="B1506" s="1">
        <v>774111904262</v>
      </c>
      <c r="C1506" s="1">
        <v>44372</v>
      </c>
      <c r="D1506" s="1" t="s">
        <v>1932</v>
      </c>
      <c r="E1506" s="1" t="s">
        <v>1943</v>
      </c>
      <c r="F1506" s="1" t="s">
        <v>440</v>
      </c>
      <c r="G1506" s="1">
        <v>25735</v>
      </c>
      <c r="K1506" s="1" t="s">
        <v>1776</v>
      </c>
    </row>
    <row r="1507" spans="1:11">
      <c r="A1507" s="1">
        <v>44378</v>
      </c>
      <c r="B1507" s="1">
        <v>774111904262</v>
      </c>
      <c r="C1507" s="1">
        <v>44372</v>
      </c>
      <c r="D1507" s="1" t="s">
        <v>1932</v>
      </c>
      <c r="E1507" s="1" t="s">
        <v>1944</v>
      </c>
      <c r="F1507" s="1" t="s">
        <v>440</v>
      </c>
      <c r="G1507" s="1">
        <v>25735</v>
      </c>
      <c r="K1507" s="1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H1508"/>
      <c r="I1508"/>
      <c r="J1508"/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H1509"/>
      <c r="I1509"/>
      <c r="J1509"/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H1510"/>
      <c r="I1510"/>
      <c r="J1510"/>
      <c r="K1510" t="s">
        <v>1785</v>
      </c>
    </row>
    <row r="1511" spans="1:11">
      <c r="A1511" s="1">
        <v>44378</v>
      </c>
      <c r="B1511" s="1">
        <v>774111904262</v>
      </c>
      <c r="C1511" s="1">
        <v>44372</v>
      </c>
      <c r="D1511" s="1" t="s">
        <v>1932</v>
      </c>
      <c r="E1511" s="1" t="s">
        <v>1948</v>
      </c>
      <c r="F1511" s="1" t="s">
        <v>440</v>
      </c>
      <c r="G1511" s="1">
        <v>25735</v>
      </c>
      <c r="K1511" s="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H1512"/>
      <c r="I1512"/>
      <c r="J1512"/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H1513"/>
      <c r="I1513"/>
      <c r="J1513"/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H1514"/>
      <c r="I1514"/>
      <c r="J1514"/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H1515"/>
      <c r="I1515"/>
      <c r="J1515"/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H1516"/>
      <c r="I1516"/>
      <c r="J1516"/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H1517"/>
      <c r="I1517"/>
      <c r="J1517"/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H1518"/>
      <c r="I1518"/>
      <c r="J1518"/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H1519"/>
      <c r="I1519"/>
      <c r="J1519"/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H1520"/>
      <c r="I1520"/>
      <c r="J1520"/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H1521"/>
      <c r="I1521"/>
      <c r="J1521"/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H1522"/>
      <c r="I1522"/>
      <c r="J1522"/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H1523"/>
      <c r="I1523"/>
      <c r="J1523"/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H1524"/>
      <c r="I1524"/>
      <c r="J1524"/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H1525"/>
      <c r="I1525"/>
      <c r="J1525"/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H1526"/>
      <c r="I1526"/>
      <c r="J1526"/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H1527"/>
      <c r="I1527"/>
      <c r="J1527"/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H1528"/>
      <c r="I1528"/>
      <c r="J1528"/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H1529"/>
      <c r="I1529"/>
      <c r="J1529"/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H1530"/>
      <c r="I1530"/>
      <c r="J1530"/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H1531"/>
      <c r="I1531"/>
      <c r="J1531"/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H1532"/>
      <c r="I1532"/>
      <c r="J1532"/>
      <c r="K1532" t="s">
        <v>1770</v>
      </c>
    </row>
    <row r="1533" spans="1:11">
      <c r="A1533" s="1">
        <v>44386</v>
      </c>
      <c r="B1533" s="1">
        <v>23972273729</v>
      </c>
      <c r="C1533" s="1">
        <v>44385</v>
      </c>
      <c r="D1533" s="1" t="s">
        <v>1957</v>
      </c>
      <c r="E1533" s="1" t="s">
        <v>1971</v>
      </c>
      <c r="F1533" s="1" t="s">
        <v>881</v>
      </c>
      <c r="G1533" s="1">
        <v>105304209</v>
      </c>
      <c r="K1533" s="1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H1534"/>
      <c r="I1534"/>
      <c r="J1534"/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H1535"/>
      <c r="I1535"/>
      <c r="J1535"/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H1536"/>
      <c r="I1536"/>
      <c r="J1536"/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H1537"/>
      <c r="I1537"/>
      <c r="J1537"/>
      <c r="K1537" t="s">
        <v>1772</v>
      </c>
    </row>
    <row r="1538" spans="1:11">
      <c r="A1538" s="1">
        <v>44386</v>
      </c>
      <c r="B1538" s="1">
        <v>23972273729</v>
      </c>
      <c r="C1538" s="1">
        <v>44385</v>
      </c>
      <c r="D1538" s="1" t="s">
        <v>1957</v>
      </c>
      <c r="E1538" s="1" t="s">
        <v>1976</v>
      </c>
      <c r="F1538" s="1" t="s">
        <v>881</v>
      </c>
      <c r="G1538" s="1">
        <v>105304209</v>
      </c>
      <c r="K1538" s="1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H1539"/>
      <c r="I1539"/>
      <c r="J1539"/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H1540"/>
      <c r="I1540"/>
      <c r="J1540"/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H1541"/>
      <c r="I1541"/>
      <c r="J1541"/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H1542"/>
      <c r="I1542"/>
      <c r="J1542"/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H1543"/>
      <c r="I1543"/>
      <c r="J1543"/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H1544"/>
      <c r="I1544"/>
      <c r="J1544"/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H1545"/>
      <c r="I1545"/>
      <c r="J1545"/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H1546"/>
      <c r="I1546"/>
      <c r="J1546"/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H1547"/>
      <c r="I1547"/>
      <c r="J1547"/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H1548"/>
      <c r="I1548"/>
      <c r="J1548"/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H1549"/>
      <c r="I1549"/>
      <c r="J1549"/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H1550"/>
      <c r="I1550"/>
      <c r="J1550"/>
      <c r="K1550" t="s">
        <v>1992</v>
      </c>
    </row>
    <row r="1551" spans="1:11">
      <c r="A1551">
        <v>44389</v>
      </c>
      <c r="B1551" t="s">
        <v>1994</v>
      </c>
      <c r="C1551"/>
      <c r="D1551" t="s">
        <v>2014</v>
      </c>
      <c r="E1551" t="s">
        <v>1995</v>
      </c>
      <c r="F1551" t="s">
        <v>1996</v>
      </c>
      <c r="G1551">
        <v>40078493</v>
      </c>
      <c r="H1551"/>
      <c r="I1551"/>
      <c r="J1551"/>
      <c r="K1551" t="s">
        <v>1992</v>
      </c>
    </row>
    <row r="1552" spans="1:11">
      <c r="A1552"/>
      <c r="B1552"/>
      <c r="C1552"/>
      <c r="D1552" t="s">
        <v>1997</v>
      </c>
      <c r="E1552" t="s">
        <v>2015</v>
      </c>
      <c r="F1552"/>
      <c r="G1552"/>
      <c r="H1552"/>
      <c r="I1552"/>
      <c r="J1552"/>
      <c r="K1552" t="s">
        <v>1992</v>
      </c>
    </row>
    <row r="1553" spans="1:11">
      <c r="A1553"/>
      <c r="B1553"/>
      <c r="C1553"/>
      <c r="D1553" t="s">
        <v>1006</v>
      </c>
      <c r="E1553" t="s">
        <v>1998</v>
      </c>
      <c r="F1553"/>
      <c r="G1553"/>
      <c r="H1553"/>
      <c r="I1553"/>
      <c r="J1553"/>
      <c r="K1553" t="s">
        <v>1992</v>
      </c>
    </row>
    <row r="1554" spans="1:11">
      <c r="A1554"/>
      <c r="B1554"/>
      <c r="C1554"/>
      <c r="D1554" t="s">
        <v>1008</v>
      </c>
      <c r="E1554" t="s">
        <v>1999</v>
      </c>
      <c r="F1554"/>
      <c r="G1554"/>
      <c r="H1554"/>
      <c r="I1554"/>
      <c r="J1554"/>
      <c r="K1554" t="s">
        <v>1992</v>
      </c>
    </row>
    <row r="1555" spans="1:11">
      <c r="A1555"/>
      <c r="B1555"/>
      <c r="C1555"/>
      <c r="D1555" t="s">
        <v>1008</v>
      </c>
      <c r="E1555" t="s">
        <v>2000</v>
      </c>
      <c r="F1555"/>
      <c r="G1555"/>
      <c r="H1555"/>
      <c r="I1555"/>
      <c r="J1555"/>
      <c r="K1555" t="s">
        <v>1992</v>
      </c>
    </row>
    <row r="1556" spans="1:11">
      <c r="A1556"/>
      <c r="B1556"/>
      <c r="C1556"/>
      <c r="D1556" t="s">
        <v>1011</v>
      </c>
      <c r="E1556" t="s">
        <v>2001</v>
      </c>
      <c r="F1556"/>
      <c r="G1556"/>
      <c r="H1556"/>
      <c r="I1556"/>
      <c r="J1556"/>
      <c r="K1556" t="s">
        <v>1992</v>
      </c>
    </row>
    <row r="1557" spans="1:11">
      <c r="A1557"/>
      <c r="B1557"/>
      <c r="C1557"/>
      <c r="D1557" t="s">
        <v>1013</v>
      </c>
      <c r="E1557" t="s">
        <v>2002</v>
      </c>
      <c r="F1557"/>
      <c r="G1557"/>
      <c r="H1557"/>
      <c r="I1557"/>
      <c r="J1557"/>
      <c r="K1557" t="s">
        <v>1992</v>
      </c>
    </row>
    <row r="1558" spans="1:11">
      <c r="A1558"/>
      <c r="B1558"/>
      <c r="C1558"/>
      <c r="D1558" t="s">
        <v>1015</v>
      </c>
      <c r="E1558" t="s">
        <v>2003</v>
      </c>
      <c r="F1558"/>
      <c r="G1558"/>
      <c r="H1558"/>
      <c r="I1558"/>
      <c r="J1558"/>
      <c r="K1558" t="s">
        <v>1992</v>
      </c>
    </row>
    <row r="1559" spans="1:11">
      <c r="A1559"/>
      <c r="B1559"/>
      <c r="C1559"/>
      <c r="D1559" t="s">
        <v>293</v>
      </c>
      <c r="E1559" t="s">
        <v>2004</v>
      </c>
      <c r="F1559"/>
      <c r="G1559"/>
      <c r="H1559"/>
      <c r="I1559"/>
      <c r="J1559"/>
      <c r="K1559" t="s">
        <v>1992</v>
      </c>
    </row>
    <row r="1560" spans="1:11">
      <c r="A1560"/>
      <c r="B1560"/>
      <c r="C1560"/>
      <c r="D1560" t="s">
        <v>1018</v>
      </c>
      <c r="E1560" t="s">
        <v>2005</v>
      </c>
      <c r="F1560"/>
      <c r="G1560"/>
      <c r="H1560"/>
      <c r="I1560"/>
      <c r="J1560"/>
      <c r="K1560" t="s">
        <v>1992</v>
      </c>
    </row>
    <row r="1561" spans="1:11">
      <c r="A1561"/>
      <c r="B1561"/>
      <c r="C1561"/>
      <c r="D1561" t="s">
        <v>980</v>
      </c>
      <c r="E1561" t="s">
        <v>2006</v>
      </c>
      <c r="F1561"/>
      <c r="G1561"/>
      <c r="H1561"/>
      <c r="I1561"/>
      <c r="J1561"/>
      <c r="K1561" t="s">
        <v>1992</v>
      </c>
    </row>
    <row r="1562" spans="1:11">
      <c r="A1562"/>
      <c r="B1562"/>
      <c r="C1562"/>
      <c r="D1562" t="s">
        <v>980</v>
      </c>
      <c r="E1562" t="s">
        <v>2007</v>
      </c>
      <c r="F1562"/>
      <c r="G1562"/>
      <c r="H1562"/>
      <c r="I1562"/>
      <c r="J1562"/>
      <c r="K1562" t="s">
        <v>1992</v>
      </c>
    </row>
    <row r="1563" spans="1:11">
      <c r="A1563"/>
      <c r="B1563"/>
      <c r="C1563"/>
      <c r="D1563" t="s">
        <v>2031</v>
      </c>
      <c r="E1563" t="s">
        <v>2008</v>
      </c>
      <c r="F1563"/>
      <c r="G1563"/>
      <c r="H1563"/>
      <c r="I1563"/>
      <c r="J1563"/>
      <c r="K1563" t="s">
        <v>1992</v>
      </c>
    </row>
    <row r="1564" spans="1:11">
      <c r="A1564"/>
      <c r="B1564"/>
      <c r="C1564"/>
      <c r="D1564" t="s">
        <v>2031</v>
      </c>
      <c r="E1564" t="s">
        <v>2009</v>
      </c>
      <c r="F1564"/>
      <c r="G1564"/>
      <c r="H1564"/>
      <c r="I1564"/>
      <c r="J1564"/>
      <c r="K1564" t="s">
        <v>1992</v>
      </c>
    </row>
    <row r="1565" spans="1:11">
      <c r="A1565"/>
      <c r="B1565"/>
      <c r="C1565"/>
      <c r="D1565" t="s">
        <v>2031</v>
      </c>
      <c r="E1565" t="s">
        <v>2010</v>
      </c>
      <c r="F1565"/>
      <c r="G1565"/>
      <c r="H1565"/>
      <c r="I1565"/>
      <c r="J1565"/>
      <c r="K1565" t="s">
        <v>1992</v>
      </c>
    </row>
    <row r="1566" spans="1:11">
      <c r="A1566"/>
      <c r="B1566"/>
      <c r="C1566"/>
      <c r="D1566" t="s">
        <v>2031</v>
      </c>
      <c r="E1566" t="s">
        <v>2011</v>
      </c>
      <c r="F1566"/>
      <c r="G1566"/>
      <c r="H1566"/>
      <c r="I1566"/>
      <c r="J1566"/>
      <c r="K1566" t="s">
        <v>1992</v>
      </c>
    </row>
    <row r="1567" spans="1:11">
      <c r="A1567"/>
      <c r="B1567"/>
      <c r="C1567"/>
      <c r="D1567" t="s">
        <v>2032</v>
      </c>
      <c r="E1567" t="s">
        <v>2012</v>
      </c>
      <c r="F1567"/>
      <c r="G1567"/>
      <c r="H1567"/>
      <c r="I1567"/>
      <c r="J1567"/>
      <c r="K1567" t="s">
        <v>1992</v>
      </c>
    </row>
    <row r="1568" spans="1:11">
      <c r="A1568"/>
      <c r="B1568"/>
      <c r="C1568"/>
      <c r="D1568" t="s">
        <v>2032</v>
      </c>
      <c r="E1568" t="s">
        <v>2013</v>
      </c>
      <c r="F1568"/>
      <c r="G1568"/>
      <c r="H1568"/>
      <c r="I1568"/>
      <c r="J1568"/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H1569"/>
      <c r="I1569"/>
      <c r="J1569"/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H1570"/>
      <c r="I1570"/>
      <c r="J1570"/>
      <c r="K1570" t="s">
        <v>2018</v>
      </c>
    </row>
    <row r="1571" spans="1:11">
      <c r="A1571" s="1">
        <v>44392</v>
      </c>
      <c r="B1571" s="1">
        <v>90342335580</v>
      </c>
      <c r="C1571" s="1">
        <v>44390</v>
      </c>
      <c r="D1571" s="1" t="s">
        <v>956</v>
      </c>
      <c r="E1571" s="1" t="s">
        <v>2020</v>
      </c>
      <c r="F1571" s="1" t="s">
        <v>1398</v>
      </c>
      <c r="G1571" s="1" t="s">
        <v>2017</v>
      </c>
      <c r="K1571" s="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H1572"/>
      <c r="I1572"/>
      <c r="J1572"/>
      <c r="K1572" t="s">
        <v>2018</v>
      </c>
    </row>
    <row r="1573" spans="1:11">
      <c r="A1573"/>
      <c r="B1573"/>
      <c r="C1573"/>
      <c r="D1573" t="s">
        <v>967</v>
      </c>
      <c r="E1573" t="s">
        <v>2023</v>
      </c>
      <c r="F1573"/>
      <c r="G1573"/>
      <c r="H1573"/>
      <c r="I1573"/>
      <c r="J1573"/>
      <c r="K1573" t="s">
        <v>2018</v>
      </c>
    </row>
    <row r="1574" spans="1:11">
      <c r="B1574" s="1"/>
      <c r="D1574" s="1" t="s">
        <v>969</v>
      </c>
      <c r="E1574" s="1" t="s">
        <v>2024</v>
      </c>
      <c r="K1574" s="1" t="s">
        <v>2018</v>
      </c>
    </row>
    <row r="1575" spans="1:11">
      <c r="A1575"/>
      <c r="B1575"/>
      <c r="C1575"/>
      <c r="D1575" t="s">
        <v>975</v>
      </c>
      <c r="E1575" t="s">
        <v>2025</v>
      </c>
      <c r="F1575"/>
      <c r="G1575"/>
      <c r="H1575"/>
      <c r="I1575"/>
      <c r="J1575"/>
      <c r="K1575" t="s">
        <v>2018</v>
      </c>
    </row>
    <row r="1576" spans="1:11">
      <c r="A1576"/>
      <c r="B1576"/>
      <c r="C1576"/>
      <c r="D1576" t="s">
        <v>971</v>
      </c>
      <c r="E1576" t="s">
        <v>2026</v>
      </c>
      <c r="F1576"/>
      <c r="G1576"/>
      <c r="H1576"/>
      <c r="I1576"/>
      <c r="J1576"/>
      <c r="K1576" t="s">
        <v>2018</v>
      </c>
    </row>
    <row r="1577" spans="1:11">
      <c r="A1577"/>
      <c r="B1577"/>
      <c r="C1577"/>
      <c r="D1577" t="s">
        <v>17</v>
      </c>
      <c r="E1577" t="s">
        <v>2027</v>
      </c>
      <c r="F1577"/>
      <c r="G1577"/>
      <c r="H1577"/>
      <c r="I1577"/>
      <c r="J1577"/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H1578"/>
      <c r="I1578"/>
      <c r="J1578"/>
      <c r="K1578" t="s">
        <v>2018</v>
      </c>
    </row>
    <row r="1579" spans="1:11">
      <c r="A1579"/>
      <c r="B1579"/>
      <c r="C1579"/>
      <c r="D1579" t="s">
        <v>976</v>
      </c>
      <c r="E1579" t="s">
        <v>2030</v>
      </c>
      <c r="F1579"/>
      <c r="G1579"/>
      <c r="H1579"/>
      <c r="I1579"/>
      <c r="J1579"/>
      <c r="K1579" t="s">
        <v>2018</v>
      </c>
    </row>
    <row r="1580" spans="1:11">
      <c r="A1580"/>
      <c r="B1580"/>
      <c r="C1580"/>
      <c r="D1580" t="s">
        <v>976</v>
      </c>
      <c r="E1580" t="s">
        <v>2033</v>
      </c>
      <c r="F1580"/>
      <c r="G1580"/>
      <c r="H1580"/>
      <c r="I1580"/>
      <c r="J1580"/>
      <c r="K1580" t="s">
        <v>2034</v>
      </c>
    </row>
    <row r="1581" spans="1:11">
      <c r="B1581" s="1"/>
      <c r="D1581" s="1" t="s">
        <v>976</v>
      </c>
      <c r="E1581" s="1" t="s">
        <v>2035</v>
      </c>
      <c r="K1581" t="s">
        <v>2036</v>
      </c>
    </row>
    <row r="1582" spans="1:11">
      <c r="A1582"/>
      <c r="B1582"/>
      <c r="C1582"/>
      <c r="D1582" t="s">
        <v>976</v>
      </c>
      <c r="E1582" t="s">
        <v>2037</v>
      </c>
      <c r="F1582"/>
      <c r="G1582"/>
      <c r="H1582"/>
      <c r="I1582"/>
      <c r="J1582"/>
      <c r="K1582" t="s">
        <v>2038</v>
      </c>
    </row>
    <row r="1583" spans="1:11">
      <c r="A1583"/>
      <c r="B1583"/>
      <c r="C1583"/>
      <c r="D1583" t="s">
        <v>976</v>
      </c>
      <c r="E1583" t="s">
        <v>2040</v>
      </c>
      <c r="F1583"/>
      <c r="G1583"/>
      <c r="H1583"/>
      <c r="I1583"/>
      <c r="J1583"/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H1584"/>
      <c r="I1584"/>
      <c r="J1584"/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H1585"/>
      <c r="I1585"/>
      <c r="J1585"/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H1586"/>
      <c r="I1586"/>
      <c r="J1586"/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H1587"/>
      <c r="I1587"/>
      <c r="J1587"/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H1588"/>
      <c r="I1588"/>
      <c r="J1588"/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H1589"/>
      <c r="I1589"/>
      <c r="J1589"/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H1590"/>
      <c r="I1590"/>
      <c r="J1590"/>
      <c r="K1590" t="s">
        <v>2036</v>
      </c>
    </row>
    <row r="1591" spans="1:11">
      <c r="A1591" s="1">
        <v>44412</v>
      </c>
      <c r="B1591" s="1">
        <v>522132182536</v>
      </c>
      <c r="C1591" s="1">
        <v>44410</v>
      </c>
      <c r="D1591" s="1" t="s">
        <v>956</v>
      </c>
      <c r="E1591" s="1" t="s">
        <v>2049</v>
      </c>
      <c r="F1591" s="1" t="s">
        <v>1372</v>
      </c>
      <c r="G1591" s="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H1592"/>
      <c r="I1592"/>
      <c r="J1592"/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H1593"/>
      <c r="I1593"/>
      <c r="J1593"/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H1594"/>
      <c r="I1594"/>
      <c r="J1594"/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H1595"/>
      <c r="I1595"/>
      <c r="J1595"/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H1596"/>
      <c r="I1596"/>
      <c r="J1596"/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H1597"/>
      <c r="I1597"/>
      <c r="J1597"/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H1598"/>
      <c r="I1598"/>
      <c r="J1598"/>
      <c r="K1598" t="s">
        <v>2038</v>
      </c>
    </row>
    <row r="1599" spans="1:11">
      <c r="A1599" s="1">
        <v>44431</v>
      </c>
      <c r="B1599" s="1">
        <v>23106024187</v>
      </c>
      <c r="C1599" s="1">
        <v>44428</v>
      </c>
      <c r="D1599" s="1" t="s">
        <v>1271</v>
      </c>
      <c r="E1599" s="1" t="s">
        <v>2058</v>
      </c>
      <c r="F1599" s="1" t="s">
        <v>264</v>
      </c>
      <c r="G1599" s="1" t="s">
        <v>2055</v>
      </c>
      <c r="K1599" s="1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H1600"/>
      <c r="I1600"/>
      <c r="J1600"/>
      <c r="K1600" t="s">
        <v>2038</v>
      </c>
    </row>
    <row r="1601" spans="1:11">
      <c r="A1601"/>
      <c r="B1601"/>
      <c r="C1601"/>
      <c r="D1601" t="s">
        <v>967</v>
      </c>
      <c r="E1601" t="s">
        <v>2060</v>
      </c>
      <c r="F1601"/>
      <c r="G1601"/>
      <c r="H1601"/>
      <c r="I1601"/>
      <c r="J1601"/>
      <c r="K1601" t="s">
        <v>2038</v>
      </c>
    </row>
    <row r="1602" spans="1:11">
      <c r="A1602"/>
      <c r="B1602"/>
      <c r="C1602"/>
      <c r="D1602" t="s">
        <v>971</v>
      </c>
      <c r="E1602" t="s">
        <v>2061</v>
      </c>
      <c r="F1602"/>
      <c r="G1602"/>
      <c r="H1602"/>
      <c r="I1602"/>
      <c r="J1602"/>
      <c r="K1602" t="s">
        <v>2038</v>
      </c>
    </row>
    <row r="1603" spans="1:11">
      <c r="A1603"/>
      <c r="B1603"/>
      <c r="C1603"/>
      <c r="D1603" t="s">
        <v>17</v>
      </c>
      <c r="E1603" t="s">
        <v>2062</v>
      </c>
      <c r="F1603"/>
      <c r="G1603"/>
      <c r="H1603"/>
      <c r="I1603"/>
      <c r="J1603"/>
      <c r="K1603" t="s">
        <v>2038</v>
      </c>
    </row>
    <row r="1604" spans="1:11">
      <c r="A1604"/>
      <c r="B1604"/>
      <c r="C1604"/>
      <c r="D1604" t="s">
        <v>969</v>
      </c>
      <c r="E1604" t="s">
        <v>2063</v>
      </c>
      <c r="F1604"/>
      <c r="G1604"/>
      <c r="H1604"/>
      <c r="I1604"/>
      <c r="J1604"/>
      <c r="K1604" t="s">
        <v>2038</v>
      </c>
    </row>
    <row r="1605" spans="1:11">
      <c r="A1605"/>
      <c r="B1605"/>
      <c r="C1605"/>
      <c r="D1605" t="s">
        <v>975</v>
      </c>
      <c r="E1605" t="s">
        <v>2064</v>
      </c>
      <c r="F1605"/>
      <c r="G1605"/>
      <c r="H1605"/>
      <c r="I1605"/>
      <c r="J1605"/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H1606"/>
      <c r="I1606"/>
      <c r="J1606"/>
      <c r="K1606" t="s">
        <v>2034</v>
      </c>
    </row>
    <row r="1607" spans="1:11">
      <c r="A1607"/>
      <c r="B1607"/>
      <c r="C1607"/>
      <c r="D1607" t="s">
        <v>967</v>
      </c>
      <c r="E1607" t="s">
        <v>2066</v>
      </c>
      <c r="F1607"/>
      <c r="G1607"/>
      <c r="H1607"/>
      <c r="I1607"/>
      <c r="J1607"/>
      <c r="K1607" t="s">
        <v>2034</v>
      </c>
    </row>
    <row r="1608" spans="1:11">
      <c r="A1608"/>
      <c r="B1608"/>
      <c r="C1608"/>
      <c r="D1608" t="s">
        <v>971</v>
      </c>
      <c r="E1608" t="s">
        <v>2067</v>
      </c>
      <c r="F1608"/>
      <c r="G1608"/>
      <c r="H1608"/>
      <c r="I1608"/>
      <c r="J1608"/>
      <c r="K1608" t="s">
        <v>2034</v>
      </c>
    </row>
    <row r="1609" spans="1:11">
      <c r="A1609"/>
      <c r="B1609"/>
      <c r="C1609"/>
      <c r="D1609" t="s">
        <v>17</v>
      </c>
      <c r="E1609" t="s">
        <v>2068</v>
      </c>
      <c r="F1609"/>
      <c r="G1609"/>
      <c r="H1609"/>
      <c r="I1609"/>
      <c r="J1609"/>
      <c r="K1609" t="s">
        <v>2034</v>
      </c>
    </row>
    <row r="1610" spans="1:11">
      <c r="A1610"/>
      <c r="B1610"/>
      <c r="C1610"/>
      <c r="D1610" t="s">
        <v>969</v>
      </c>
      <c r="E1610" t="s">
        <v>2069</v>
      </c>
      <c r="F1610"/>
      <c r="G1610"/>
      <c r="H1610"/>
      <c r="I1610"/>
      <c r="J1610"/>
      <c r="K1610" t="s">
        <v>2034</v>
      </c>
    </row>
    <row r="1611" spans="1:11">
      <c r="B1611" s="1"/>
      <c r="D1611" s="1" t="s">
        <v>975</v>
      </c>
      <c r="E1611" s="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H1612"/>
      <c r="I1612"/>
      <c r="J1612"/>
      <c r="K1612" t="s">
        <v>2039</v>
      </c>
    </row>
    <row r="1613" spans="1:11">
      <c r="A1613"/>
      <c r="B1613"/>
      <c r="C1613"/>
      <c r="D1613" t="s">
        <v>967</v>
      </c>
      <c r="E1613" t="s">
        <v>2072</v>
      </c>
      <c r="F1613"/>
      <c r="G1613"/>
      <c r="H1613"/>
      <c r="I1613"/>
      <c r="J1613"/>
      <c r="K1613" t="s">
        <v>2039</v>
      </c>
    </row>
    <row r="1614" spans="1:11">
      <c r="B1614" s="1"/>
      <c r="D1614" s="1" t="s">
        <v>971</v>
      </c>
      <c r="E1614" s="1" t="s">
        <v>2073</v>
      </c>
      <c r="K1614" s="1" t="s">
        <v>2039</v>
      </c>
    </row>
    <row r="1615" spans="1:11">
      <c r="A1615"/>
      <c r="B1615"/>
      <c r="C1615"/>
      <c r="D1615" t="s">
        <v>17</v>
      </c>
      <c r="E1615" t="s">
        <v>2074</v>
      </c>
      <c r="F1615"/>
      <c r="G1615"/>
      <c r="H1615"/>
      <c r="I1615"/>
      <c r="J1615"/>
      <c r="K1615" t="s">
        <v>2039</v>
      </c>
    </row>
    <row r="1616" spans="1:11">
      <c r="A1616"/>
      <c r="B1616"/>
      <c r="C1616"/>
      <c r="D1616" t="s">
        <v>969</v>
      </c>
      <c r="E1616" t="s">
        <v>2075</v>
      </c>
      <c r="F1616"/>
      <c r="G1616"/>
      <c r="H1616"/>
      <c r="I1616"/>
      <c r="J1616"/>
      <c r="K1616" t="s">
        <v>2039</v>
      </c>
    </row>
    <row r="1617" spans="1:11">
      <c r="A1617"/>
      <c r="B1617"/>
      <c r="C1617"/>
      <c r="D1617" t="s">
        <v>975</v>
      </c>
      <c r="E1617" t="s">
        <v>2076</v>
      </c>
      <c r="F1617"/>
      <c r="G1617"/>
      <c r="H1617"/>
      <c r="I1617"/>
      <c r="J1617"/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H1618"/>
      <c r="I1618"/>
      <c r="J1618"/>
      <c r="K1618" t="s">
        <v>2036</v>
      </c>
    </row>
    <row r="1619" spans="1:11">
      <c r="A1619"/>
      <c r="B1619"/>
      <c r="C1619"/>
      <c r="D1619" t="s">
        <v>967</v>
      </c>
      <c r="E1619" t="s">
        <v>2078</v>
      </c>
      <c r="F1619"/>
      <c r="G1619"/>
      <c r="H1619"/>
      <c r="I1619"/>
      <c r="J1619"/>
      <c r="K1619" t="s">
        <v>2036</v>
      </c>
    </row>
    <row r="1620" spans="1:11">
      <c r="A1620"/>
      <c r="B1620"/>
      <c r="C1620"/>
      <c r="D1620" t="s">
        <v>971</v>
      </c>
      <c r="E1620" t="s">
        <v>2079</v>
      </c>
      <c r="F1620"/>
      <c r="G1620"/>
      <c r="H1620"/>
      <c r="I1620"/>
      <c r="J1620"/>
      <c r="K1620" t="s">
        <v>2036</v>
      </c>
    </row>
    <row r="1621" spans="1:11">
      <c r="B1621" s="1"/>
      <c r="D1621" t="s">
        <v>17</v>
      </c>
      <c r="E1621" s="1" t="s">
        <v>2080</v>
      </c>
      <c r="K1621" t="s">
        <v>2036</v>
      </c>
    </row>
    <row r="1622" spans="1:11">
      <c r="A1622"/>
      <c r="B1622"/>
      <c r="C1622"/>
      <c r="D1622" t="s">
        <v>969</v>
      </c>
      <c r="E1622" t="s">
        <v>2081</v>
      </c>
      <c r="F1622"/>
      <c r="G1622"/>
      <c r="H1622"/>
      <c r="I1622"/>
      <c r="J1622"/>
      <c r="K1622" t="s">
        <v>2036</v>
      </c>
    </row>
    <row r="1623" spans="1:11">
      <c r="A1623"/>
      <c r="B1623"/>
      <c r="C1623"/>
      <c r="D1623" t="s">
        <v>975</v>
      </c>
      <c r="E1623" t="s">
        <v>2082</v>
      </c>
      <c r="F1623"/>
      <c r="G1623"/>
      <c r="H1623"/>
      <c r="I1623"/>
      <c r="J1623"/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F1624"/>
      <c r="G1624">
        <v>931322446</v>
      </c>
      <c r="H1624"/>
      <c r="I1624"/>
      <c r="J1624"/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F1625"/>
      <c r="G1625">
        <v>931322446</v>
      </c>
      <c r="H1625"/>
      <c r="I1625"/>
      <c r="J1625"/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H1626"/>
      <c r="I1626"/>
      <c r="J1626"/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H1627"/>
      <c r="I1627"/>
      <c r="J1627"/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H1628"/>
      <c r="I1628"/>
      <c r="J1628"/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H1629"/>
      <c r="I1629"/>
      <c r="J1629"/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H1630"/>
      <c r="I1630"/>
      <c r="J1630"/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H1631"/>
      <c r="I1631"/>
      <c r="J1631"/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H1632"/>
      <c r="I1632"/>
      <c r="J1632"/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H1633"/>
      <c r="I1633"/>
      <c r="J1633"/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H1634"/>
      <c r="I1634"/>
      <c r="J1634"/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H1635"/>
      <c r="I1635"/>
      <c r="J1635"/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H1636"/>
      <c r="I1636"/>
      <c r="J1636"/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H1637"/>
      <c r="I1637"/>
      <c r="J1637"/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H1638"/>
      <c r="I1638"/>
      <c r="J1638"/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H1639"/>
      <c r="I1639"/>
      <c r="J1639"/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H1640"/>
      <c r="I1640"/>
      <c r="J1640"/>
      <c r="K1640" t="s">
        <v>2091</v>
      </c>
    </row>
    <row r="1641" spans="1:11">
      <c r="A1641"/>
      <c r="B1641"/>
      <c r="C1641"/>
      <c r="D1641" t="s">
        <v>2114</v>
      </c>
      <c r="E1641" t="s">
        <v>2115</v>
      </c>
      <c r="F1641"/>
      <c r="G1641"/>
      <c r="H1641"/>
      <c r="I1641"/>
      <c r="J1641"/>
      <c r="K1641" t="s">
        <v>2091</v>
      </c>
    </row>
    <row r="1642" spans="1:11">
      <c r="A1642"/>
      <c r="B1642"/>
      <c r="C1642"/>
      <c r="D1642" t="s">
        <v>2114</v>
      </c>
      <c r="E1642" t="s">
        <v>2116</v>
      </c>
      <c r="F1642"/>
      <c r="G1642"/>
      <c r="H1642"/>
      <c r="I1642"/>
      <c r="J1642"/>
      <c r="K1642" t="s">
        <v>2091</v>
      </c>
    </row>
    <row r="1643" spans="1:11">
      <c r="A1643"/>
      <c r="B1643"/>
      <c r="C1643"/>
      <c r="D1643" t="s">
        <v>2117</v>
      </c>
      <c r="E1643" t="s">
        <v>2118</v>
      </c>
      <c r="F1643"/>
      <c r="G1643"/>
      <c r="H1643"/>
      <c r="I1643"/>
      <c r="J1643"/>
      <c r="K1643" t="s">
        <v>2091</v>
      </c>
    </row>
    <row r="1644" spans="1:11">
      <c r="A1644"/>
      <c r="B1644"/>
      <c r="C1644"/>
      <c r="D1644" t="s">
        <v>2119</v>
      </c>
      <c r="E1644" t="s">
        <v>2120</v>
      </c>
      <c r="F1644"/>
      <c r="G1644"/>
      <c r="H1644"/>
      <c r="I1644"/>
      <c r="J1644"/>
      <c r="K1644" t="s">
        <v>2091</v>
      </c>
    </row>
    <row r="1645" spans="1:11">
      <c r="A1645"/>
      <c r="B1645"/>
      <c r="C1645"/>
      <c r="D1645" t="s">
        <v>2121</v>
      </c>
      <c r="E1645" t="s">
        <v>2122</v>
      </c>
      <c r="F1645"/>
      <c r="G1645"/>
      <c r="H1645"/>
      <c r="I1645"/>
      <c r="J1645"/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H1646"/>
      <c r="I1646"/>
      <c r="J1646"/>
      <c r="K1646" t="s">
        <v>2086</v>
      </c>
    </row>
    <row r="1647" spans="1:11">
      <c r="A1647"/>
      <c r="B1647"/>
      <c r="C1647"/>
      <c r="D1647" t="s">
        <v>2114</v>
      </c>
      <c r="E1647" t="s">
        <v>2123</v>
      </c>
      <c r="F1647"/>
      <c r="G1647"/>
      <c r="H1647"/>
      <c r="I1647"/>
      <c r="J1647"/>
      <c r="K1647" t="s">
        <v>2086</v>
      </c>
    </row>
    <row r="1648" spans="1:11">
      <c r="A1648"/>
      <c r="B1648"/>
      <c r="C1648"/>
      <c r="D1648" t="s">
        <v>2114</v>
      </c>
      <c r="E1648" t="s">
        <v>2124</v>
      </c>
      <c r="F1648"/>
      <c r="G1648"/>
      <c r="H1648"/>
      <c r="I1648"/>
      <c r="J1648"/>
      <c r="K1648" t="s">
        <v>2086</v>
      </c>
    </row>
    <row r="1649" spans="1:11">
      <c r="A1649"/>
      <c r="B1649"/>
      <c r="C1649"/>
      <c r="D1649" t="s">
        <v>2117</v>
      </c>
      <c r="E1649" t="s">
        <v>2125</v>
      </c>
      <c r="F1649"/>
      <c r="G1649"/>
      <c r="H1649"/>
      <c r="I1649"/>
      <c r="J1649"/>
      <c r="K1649" t="s">
        <v>2086</v>
      </c>
    </row>
    <row r="1650" spans="1:11">
      <c r="A1650"/>
      <c r="B1650"/>
      <c r="C1650"/>
      <c r="D1650" t="s">
        <v>2119</v>
      </c>
      <c r="E1650" t="s">
        <v>2126</v>
      </c>
      <c r="F1650"/>
      <c r="G1650"/>
      <c r="H1650"/>
      <c r="I1650"/>
      <c r="J1650"/>
      <c r="K1650" t="s">
        <v>2086</v>
      </c>
    </row>
    <row r="1651" spans="1:11">
      <c r="A1651"/>
      <c r="B1651"/>
      <c r="C1651"/>
      <c r="D1651" t="s">
        <v>2121</v>
      </c>
      <c r="E1651" t="s">
        <v>2127</v>
      </c>
      <c r="F1651"/>
      <c r="G1651"/>
      <c r="H1651"/>
      <c r="I1651"/>
      <c r="J1651"/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H1653"/>
      <c r="I1653"/>
      <c r="J1653"/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H1654"/>
      <c r="I1654"/>
      <c r="J1654"/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F1655"/>
      <c r="G1655">
        <v>931322443</v>
      </c>
      <c r="H1655"/>
      <c r="I1655"/>
      <c r="J1655"/>
      <c r="K1655" t="s">
        <v>2130</v>
      </c>
    </row>
    <row r="1656" spans="1:11">
      <c r="B1656" s="1"/>
      <c r="D1656" s="1" t="s">
        <v>967</v>
      </c>
      <c r="E1656" s="1" t="s">
        <v>2134</v>
      </c>
      <c r="K1656" t="s">
        <v>2130</v>
      </c>
    </row>
    <row r="1657" spans="1:11">
      <c r="A1657"/>
      <c r="B1657"/>
      <c r="C1657"/>
      <c r="D1657" t="s">
        <v>969</v>
      </c>
      <c r="E1657" t="s">
        <v>2135</v>
      </c>
      <c r="F1657"/>
      <c r="G1657"/>
      <c r="H1657"/>
      <c r="I1657"/>
      <c r="J1657"/>
      <c r="K1657" t="s">
        <v>2130</v>
      </c>
    </row>
    <row r="1658" spans="1:11">
      <c r="A1658"/>
      <c r="B1658"/>
      <c r="C1658"/>
      <c r="D1658" t="s">
        <v>971</v>
      </c>
      <c r="E1658" t="s">
        <v>2136</v>
      </c>
      <c r="F1658"/>
      <c r="G1658"/>
      <c r="H1658"/>
      <c r="I1658"/>
      <c r="J1658"/>
      <c r="K1658" t="s">
        <v>2130</v>
      </c>
    </row>
    <row r="1659" spans="1:11">
      <c r="A1659"/>
      <c r="B1659"/>
      <c r="C1659"/>
      <c r="D1659" t="s">
        <v>975</v>
      </c>
      <c r="E1659" t="s">
        <v>2137</v>
      </c>
      <c r="F1659"/>
      <c r="G1659"/>
      <c r="H1659"/>
      <c r="I1659"/>
      <c r="J1659"/>
      <c r="K1659" t="s">
        <v>2130</v>
      </c>
    </row>
    <row r="1660" spans="1:11">
      <c r="A1660"/>
      <c r="B1660"/>
      <c r="C1660"/>
      <c r="D1660" t="s">
        <v>17</v>
      </c>
      <c r="E1660" t="s">
        <v>2138</v>
      </c>
      <c r="F1660"/>
      <c r="G1660"/>
      <c r="H1660"/>
      <c r="I1660"/>
      <c r="J1660"/>
      <c r="K1660" t="s">
        <v>2130</v>
      </c>
    </row>
    <row r="1661" spans="1:11">
      <c r="A1661" s="1">
        <v>44456</v>
      </c>
      <c r="B1661" s="1">
        <v>23106184875</v>
      </c>
      <c r="C1661" s="1">
        <v>44455</v>
      </c>
      <c r="D1661" t="s">
        <v>1271</v>
      </c>
      <c r="E1661" s="1" t="s">
        <v>2139</v>
      </c>
      <c r="F1661" s="1" t="s">
        <v>264</v>
      </c>
      <c r="G1661" s="1" t="s">
        <v>2140</v>
      </c>
      <c r="K1661" t="s">
        <v>2130</v>
      </c>
    </row>
    <row r="1662" spans="1:11">
      <c r="A1662">
        <v>44454</v>
      </c>
      <c r="B1662">
        <v>343770145</v>
      </c>
      <c r="C1662"/>
      <c r="D1662" t="s">
        <v>2141</v>
      </c>
      <c r="E1662" t="s">
        <v>2142</v>
      </c>
      <c r="F1662" t="s">
        <v>982</v>
      </c>
      <c r="G1662"/>
      <c r="H1662"/>
      <c r="I1662"/>
      <c r="J1662"/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H1663"/>
      <c r="I1663"/>
      <c r="J1663"/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H1664"/>
      <c r="I1664"/>
      <c r="J1664"/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H1665"/>
      <c r="I1665"/>
      <c r="J1665"/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H1666"/>
      <c r="I1666"/>
      <c r="J1666"/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H1667"/>
      <c r="I1667"/>
      <c r="J1667"/>
      <c r="K1667" t="s">
        <v>2143</v>
      </c>
    </row>
    <row r="1668" spans="1:11">
      <c r="A1668"/>
      <c r="B1668"/>
      <c r="C1668"/>
      <c r="D1668" t="s">
        <v>2153</v>
      </c>
      <c r="E1668" t="s">
        <v>2154</v>
      </c>
      <c r="F1668"/>
      <c r="G1668"/>
      <c r="H1668"/>
      <c r="I1668"/>
      <c r="J1668"/>
      <c r="K1668" t="s">
        <v>2143</v>
      </c>
    </row>
    <row r="1669" spans="1:11">
      <c r="A1669"/>
      <c r="B1669"/>
      <c r="C1669"/>
      <c r="D1669" t="s">
        <v>2155</v>
      </c>
      <c r="E1669" t="s">
        <v>2156</v>
      </c>
      <c r="F1669"/>
      <c r="G1669"/>
      <c r="H1669"/>
      <c r="I1669"/>
      <c r="J1669"/>
      <c r="K1669" t="s">
        <v>2143</v>
      </c>
    </row>
    <row r="1670" spans="1:11">
      <c r="A1670"/>
      <c r="B1670"/>
      <c r="C1670"/>
      <c r="D1670" t="s">
        <v>918</v>
      </c>
      <c r="E1670" t="s">
        <v>2157</v>
      </c>
      <c r="F1670"/>
      <c r="G1670"/>
      <c r="H1670"/>
      <c r="I1670"/>
      <c r="J1670"/>
      <c r="K1670" t="s">
        <v>2143</v>
      </c>
    </row>
    <row r="1671" spans="1:11">
      <c r="A1671"/>
      <c r="B1671"/>
      <c r="C1671"/>
      <c r="D1671" t="s">
        <v>918</v>
      </c>
      <c r="E1671" t="s">
        <v>2158</v>
      </c>
      <c r="F1671"/>
      <c r="G1671"/>
      <c r="H1671"/>
      <c r="I1671"/>
      <c r="J1671"/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H1672"/>
      <c r="I1672"/>
      <c r="J1672"/>
      <c r="K1672" t="s">
        <v>2143</v>
      </c>
    </row>
    <row r="1673" spans="1:11">
      <c r="A1673" s="1">
        <v>44438</v>
      </c>
      <c r="B1673" s="1" t="s">
        <v>223</v>
      </c>
      <c r="C1673" s="1">
        <v>44435</v>
      </c>
      <c r="D1673" t="s">
        <v>2162</v>
      </c>
      <c r="E1673" t="s">
        <v>2180</v>
      </c>
      <c r="F1673" s="1" t="s">
        <v>210</v>
      </c>
      <c r="G1673">
        <v>931313609</v>
      </c>
      <c r="H1673"/>
      <c r="I1673"/>
      <c r="J1673"/>
      <c r="K1673" t="s">
        <v>2163</v>
      </c>
    </row>
    <row r="1674" spans="1:11">
      <c r="A1674"/>
      <c r="B1674"/>
      <c r="C1674"/>
      <c r="D1674" t="s">
        <v>2164</v>
      </c>
      <c r="E1674" t="s">
        <v>2165</v>
      </c>
      <c r="F1674"/>
      <c r="G1674"/>
      <c r="H1674"/>
      <c r="I1674"/>
      <c r="J1674"/>
      <c r="K1674" t="s">
        <v>2163</v>
      </c>
    </row>
    <row r="1675" spans="1:11">
      <c r="A1675"/>
      <c r="B1675"/>
      <c r="C1675"/>
      <c r="D1675" t="s">
        <v>1725</v>
      </c>
      <c r="E1675" t="s">
        <v>2166</v>
      </c>
      <c r="F1675"/>
      <c r="G1675"/>
      <c r="H1675"/>
      <c r="I1675"/>
      <c r="J1675"/>
      <c r="K1675" t="s">
        <v>2163</v>
      </c>
    </row>
    <row r="1676" spans="1:11">
      <c r="A1676">
        <v>44454</v>
      </c>
      <c r="B1676">
        <v>343770145</v>
      </c>
      <c r="C1676"/>
      <c r="D1676" t="s">
        <v>2141</v>
      </c>
      <c r="E1676" t="s">
        <v>2167</v>
      </c>
      <c r="F1676" t="s">
        <v>982</v>
      </c>
      <c r="G1676"/>
      <c r="H1676"/>
      <c r="I1676"/>
      <c r="J1676"/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H1677"/>
      <c r="I1677"/>
      <c r="J1677"/>
      <c r="K1677" t="s">
        <v>2163</v>
      </c>
    </row>
    <row r="1678" spans="1:11">
      <c r="A1678" s="1">
        <v>44519</v>
      </c>
      <c r="B1678" s="1">
        <v>332351220394</v>
      </c>
      <c r="C1678" s="1">
        <v>44517</v>
      </c>
      <c r="D1678" s="1" t="s">
        <v>1493</v>
      </c>
      <c r="E1678" s="1" t="s">
        <v>2171</v>
      </c>
      <c r="F1678" s="1" t="s">
        <v>905</v>
      </c>
      <c r="G1678" s="1" t="s">
        <v>2172</v>
      </c>
      <c r="K1678" s="1" t="s">
        <v>2163</v>
      </c>
    </row>
    <row r="1679" spans="1:11">
      <c r="A1679" s="1">
        <v>44519</v>
      </c>
      <c r="B1679" s="1">
        <v>332351220394</v>
      </c>
      <c r="C1679" s="1">
        <v>44517</v>
      </c>
      <c r="D1679" t="s">
        <v>1493</v>
      </c>
      <c r="E1679" t="s">
        <v>2173</v>
      </c>
      <c r="F1679" s="1" t="s">
        <v>905</v>
      </c>
      <c r="G1679" t="s">
        <v>2172</v>
      </c>
      <c r="H1679"/>
      <c r="I1679"/>
      <c r="J1679"/>
      <c r="K1679" t="s">
        <v>2163</v>
      </c>
    </row>
    <row r="1680" spans="1:11">
      <c r="A1680"/>
      <c r="B1680"/>
      <c r="C1680"/>
      <c r="D1680" t="s">
        <v>2174</v>
      </c>
      <c r="E1680" t="s">
        <v>2175</v>
      </c>
      <c r="F1680"/>
      <c r="G1680"/>
      <c r="H1680"/>
      <c r="I1680"/>
      <c r="J1680"/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H1681"/>
      <c r="I1681"/>
      <c r="J1681"/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H1682"/>
      <c r="I1682"/>
      <c r="J1682"/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H1683"/>
      <c r="I1683"/>
      <c r="J1683"/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H1684"/>
      <c r="I1684"/>
      <c r="J1684"/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H1685"/>
      <c r="I1685"/>
      <c r="J1685"/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H1686"/>
      <c r="I1686"/>
      <c r="J1686"/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H1687"/>
      <c r="I1687"/>
      <c r="J1687"/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H1688"/>
      <c r="I1688"/>
      <c r="J1688"/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H1689"/>
      <c r="I1689"/>
      <c r="J1689"/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H1690"/>
      <c r="I1690"/>
      <c r="J1690"/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H1691"/>
      <c r="I1691"/>
      <c r="J1691"/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H1692"/>
      <c r="I1692"/>
      <c r="J1692"/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H1693"/>
      <c r="I1693"/>
      <c r="J1693"/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H1694"/>
      <c r="I1694"/>
      <c r="J1694"/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H1695"/>
      <c r="I1695"/>
      <c r="J1695"/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H1696"/>
      <c r="I1696"/>
      <c r="J1696"/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H1697"/>
      <c r="I1697"/>
      <c r="J1697"/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H1698"/>
      <c r="I1698"/>
      <c r="J1698"/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H1699"/>
      <c r="I1699"/>
      <c r="J1699"/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H1700"/>
      <c r="I1700"/>
      <c r="J1700"/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H1701"/>
      <c r="I1701"/>
      <c r="J1701"/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H1702"/>
      <c r="I1702"/>
      <c r="J1702"/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H1703"/>
      <c r="I1703"/>
      <c r="J1703"/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H1704"/>
      <c r="I1704"/>
      <c r="J1704"/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H1705"/>
      <c r="I1705"/>
      <c r="J1705"/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H1706"/>
      <c r="I1706"/>
      <c r="J1706"/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H1707"/>
      <c r="I1707"/>
      <c r="J1707"/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H1708"/>
      <c r="I1708"/>
      <c r="J1708"/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H1709"/>
      <c r="I1709"/>
      <c r="J1709"/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H1710"/>
      <c r="I1710"/>
      <c r="J1710"/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H1711"/>
      <c r="I1711"/>
      <c r="J1711"/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H1712"/>
      <c r="I1712"/>
      <c r="J1712"/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H1713"/>
      <c r="I1713"/>
      <c r="J1713"/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H1714"/>
      <c r="I1714"/>
      <c r="J1714"/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H1715"/>
      <c r="I1715"/>
      <c r="J1715"/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H1716"/>
      <c r="I1716"/>
      <c r="J1716"/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H1717"/>
      <c r="I1717"/>
      <c r="J1717"/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H1718"/>
      <c r="I1718"/>
      <c r="J1718"/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H1719"/>
      <c r="I1719"/>
      <c r="J1719"/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H1720"/>
      <c r="I1720"/>
      <c r="J1720"/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H1721"/>
      <c r="I1721"/>
      <c r="J1721"/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H1722"/>
      <c r="I1722"/>
      <c r="J1722"/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H1723"/>
      <c r="I1723"/>
      <c r="J1723"/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H1724"/>
      <c r="I1724"/>
      <c r="J1724"/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H1725"/>
      <c r="I1725"/>
      <c r="J1725"/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H1726"/>
      <c r="I1726"/>
      <c r="J1726"/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H1727"/>
      <c r="I1727"/>
      <c r="J1727"/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H1728"/>
      <c r="I1728"/>
      <c r="J1728"/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H1729"/>
      <c r="I1729"/>
      <c r="J1729"/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H1730"/>
      <c r="I1730"/>
      <c r="J1730"/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H1731"/>
      <c r="I1731"/>
      <c r="J1731"/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H1732"/>
      <c r="I1732"/>
      <c r="J1732"/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H1733"/>
      <c r="I1733"/>
      <c r="J1733"/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H1734"/>
      <c r="I1734"/>
      <c r="J1734"/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H1735"/>
      <c r="I1735"/>
      <c r="J1735"/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H1736"/>
      <c r="I1736"/>
      <c r="J1736"/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H1737"/>
      <c r="I1737"/>
      <c r="J1737"/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H1738"/>
      <c r="I1738"/>
      <c r="J1738"/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I1739"/>
      <c r="J1739"/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H1740"/>
      <c r="I1740"/>
      <c r="J1740"/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H1741"/>
      <c r="I1741"/>
      <c r="J1741"/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H1742"/>
      <c r="I1742"/>
      <c r="J1742"/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H1743"/>
      <c r="I1743"/>
      <c r="J1743"/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H1744"/>
      <c r="I1744"/>
      <c r="J1744"/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H1745"/>
      <c r="I1745"/>
      <c r="J1745"/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H1746"/>
      <c r="I1746"/>
      <c r="J1746"/>
      <c r="K1746" t="s">
        <v>2195</v>
      </c>
    </row>
    <row r="1747" spans="1:11">
      <c r="A1747"/>
      <c r="B1747"/>
      <c r="C1747"/>
      <c r="D1747" t="s">
        <v>779</v>
      </c>
      <c r="E1747" t="s">
        <v>2248</v>
      </c>
      <c r="F1747"/>
      <c r="G1747"/>
      <c r="H1747"/>
      <c r="I1747"/>
      <c r="J1747"/>
      <c r="K1747" t="s">
        <v>2195</v>
      </c>
    </row>
    <row r="1748" spans="1:11">
      <c r="A1748"/>
      <c r="B1748"/>
      <c r="C1748"/>
      <c r="D1748" t="s">
        <v>779</v>
      </c>
      <c r="E1748" t="s">
        <v>2249</v>
      </c>
      <c r="F1748"/>
      <c r="G1748"/>
      <c r="H1748"/>
      <c r="I1748"/>
      <c r="J1748"/>
      <c r="K1748" t="s">
        <v>2195</v>
      </c>
    </row>
    <row r="1749" spans="1:11">
      <c r="A1749"/>
      <c r="B1749"/>
      <c r="C1749"/>
      <c r="D1749" t="s">
        <v>782</v>
      </c>
      <c r="E1749" t="s">
        <v>2250</v>
      </c>
      <c r="F1749"/>
      <c r="G1749"/>
      <c r="H1749"/>
      <c r="I1749"/>
      <c r="J1749"/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H1750"/>
      <c r="I1750"/>
      <c r="J1750"/>
      <c r="K1750" t="s">
        <v>2193</v>
      </c>
    </row>
    <row r="1751" spans="1:11">
      <c r="A1751"/>
      <c r="B1751"/>
      <c r="C1751"/>
      <c r="D1751" t="s">
        <v>779</v>
      </c>
      <c r="E1751" t="s">
        <v>2252</v>
      </c>
      <c r="F1751"/>
      <c r="G1751"/>
      <c r="H1751"/>
      <c r="I1751"/>
      <c r="J1751"/>
      <c r="K1751" t="s">
        <v>2193</v>
      </c>
    </row>
    <row r="1752" spans="1:11">
      <c r="A1752"/>
      <c r="B1752"/>
      <c r="C1752"/>
      <c r="D1752" t="s">
        <v>779</v>
      </c>
      <c r="E1752" t="s">
        <v>2253</v>
      </c>
      <c r="F1752"/>
      <c r="G1752"/>
      <c r="H1752"/>
      <c r="I1752"/>
      <c r="J1752"/>
      <c r="K1752" t="s">
        <v>2193</v>
      </c>
    </row>
    <row r="1753" spans="1:11">
      <c r="A1753"/>
      <c r="B1753"/>
      <c r="C1753"/>
      <c r="D1753" t="s">
        <v>782</v>
      </c>
      <c r="E1753" t="s">
        <v>2254</v>
      </c>
      <c r="F1753"/>
      <c r="G1753"/>
      <c r="H1753"/>
      <c r="I1753"/>
      <c r="J1753"/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H1754"/>
      <c r="I1754"/>
      <c r="J1754"/>
      <c r="K1754" t="s">
        <v>2191</v>
      </c>
    </row>
    <row r="1755" spans="1:11">
      <c r="A1755"/>
      <c r="B1755"/>
      <c r="C1755"/>
      <c r="D1755" t="s">
        <v>779</v>
      </c>
      <c r="E1755" t="s">
        <v>2256</v>
      </c>
      <c r="F1755"/>
      <c r="G1755"/>
      <c r="H1755"/>
      <c r="I1755"/>
      <c r="J1755"/>
      <c r="K1755" t="s">
        <v>2191</v>
      </c>
    </row>
    <row r="1756" spans="1:11">
      <c r="A1756"/>
      <c r="B1756"/>
      <c r="C1756"/>
      <c r="D1756" t="s">
        <v>779</v>
      </c>
      <c r="E1756" t="s">
        <v>2257</v>
      </c>
      <c r="F1756"/>
      <c r="G1756"/>
      <c r="H1756"/>
      <c r="I1756"/>
      <c r="J1756"/>
      <c r="K1756" t="s">
        <v>2191</v>
      </c>
    </row>
    <row r="1757" spans="1:11">
      <c r="A1757"/>
      <c r="B1757"/>
      <c r="C1757"/>
      <c r="D1757" t="s">
        <v>782</v>
      </c>
      <c r="E1757" t="s">
        <v>2258</v>
      </c>
      <c r="F1757"/>
      <c r="G1757"/>
      <c r="H1757"/>
      <c r="I1757"/>
      <c r="J1757"/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H1758"/>
      <c r="I1758"/>
      <c r="J1758"/>
      <c r="K1758" t="s">
        <v>2185</v>
      </c>
    </row>
    <row r="1759" spans="1:11">
      <c r="A1759"/>
      <c r="B1759"/>
      <c r="C1759"/>
      <c r="D1759" t="s">
        <v>779</v>
      </c>
      <c r="E1759" t="s">
        <v>2260</v>
      </c>
      <c r="F1759"/>
      <c r="G1759"/>
      <c r="H1759"/>
      <c r="I1759"/>
      <c r="J1759"/>
      <c r="K1759" t="s">
        <v>2185</v>
      </c>
    </row>
    <row r="1760" spans="1:11">
      <c r="A1760"/>
      <c r="B1760"/>
      <c r="C1760"/>
      <c r="D1760" t="s">
        <v>779</v>
      </c>
      <c r="E1760" t="s">
        <v>2261</v>
      </c>
      <c r="F1760"/>
      <c r="G1760"/>
      <c r="H1760"/>
      <c r="I1760"/>
      <c r="J1760"/>
      <c r="K1760" t="s">
        <v>2185</v>
      </c>
    </row>
    <row r="1761" spans="1:11">
      <c r="A1761"/>
      <c r="B1761"/>
      <c r="C1761"/>
      <c r="D1761" t="s">
        <v>782</v>
      </c>
      <c r="E1761" t="s">
        <v>2262</v>
      </c>
      <c r="F1761"/>
      <c r="G1761"/>
      <c r="H1761"/>
      <c r="I1761"/>
      <c r="J1761"/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H1762"/>
      <c r="I1762"/>
      <c r="J1762"/>
      <c r="K1762" t="s">
        <v>2183</v>
      </c>
    </row>
    <row r="1763" spans="1:11">
      <c r="A1763"/>
      <c r="B1763"/>
      <c r="C1763"/>
      <c r="D1763" t="s">
        <v>779</v>
      </c>
      <c r="E1763" t="s">
        <v>2264</v>
      </c>
      <c r="F1763"/>
      <c r="G1763"/>
      <c r="H1763"/>
      <c r="I1763"/>
      <c r="J1763"/>
      <c r="K1763" t="s">
        <v>2183</v>
      </c>
    </row>
    <row r="1764" spans="1:11">
      <c r="A1764"/>
      <c r="B1764"/>
      <c r="C1764"/>
      <c r="D1764" t="s">
        <v>779</v>
      </c>
      <c r="E1764" t="s">
        <v>2265</v>
      </c>
      <c r="F1764"/>
      <c r="G1764"/>
      <c r="H1764"/>
      <c r="I1764"/>
      <c r="J1764"/>
      <c r="K1764" t="s">
        <v>2183</v>
      </c>
    </row>
    <row r="1765" spans="1:11">
      <c r="A1765"/>
      <c r="B1765"/>
      <c r="C1765"/>
      <c r="D1765" t="s">
        <v>782</v>
      </c>
      <c r="E1765" t="s">
        <v>2266</v>
      </c>
      <c r="F1765"/>
      <c r="G1765"/>
      <c r="H1765"/>
      <c r="I1765"/>
      <c r="J1765"/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H1766"/>
      <c r="I1766"/>
      <c r="J1766"/>
      <c r="K1766" t="s">
        <v>2189</v>
      </c>
    </row>
    <row r="1767" spans="1:11">
      <c r="A1767"/>
      <c r="B1767"/>
      <c r="C1767"/>
      <c r="D1767" t="s">
        <v>779</v>
      </c>
      <c r="E1767" t="s">
        <v>2268</v>
      </c>
      <c r="F1767"/>
      <c r="G1767"/>
      <c r="H1767"/>
      <c r="I1767"/>
      <c r="J1767"/>
      <c r="K1767" t="s">
        <v>2189</v>
      </c>
    </row>
    <row r="1768" spans="1:11">
      <c r="A1768"/>
      <c r="B1768"/>
      <c r="C1768"/>
      <c r="D1768" t="s">
        <v>779</v>
      </c>
      <c r="E1768" t="s">
        <v>2269</v>
      </c>
      <c r="F1768"/>
      <c r="G1768"/>
      <c r="H1768"/>
      <c r="I1768"/>
      <c r="J1768"/>
      <c r="K1768" t="s">
        <v>2189</v>
      </c>
    </row>
    <row r="1769" spans="1:11">
      <c r="A1769"/>
      <c r="B1769"/>
      <c r="C1769"/>
      <c r="D1769" t="s">
        <v>782</v>
      </c>
      <c r="E1769" t="s">
        <v>2270</v>
      </c>
      <c r="F1769"/>
      <c r="G1769"/>
      <c r="H1769"/>
      <c r="I1769"/>
      <c r="J1769"/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H1770"/>
      <c r="I1770"/>
      <c r="J1770"/>
      <c r="K1770" t="s">
        <v>2187</v>
      </c>
    </row>
    <row r="1771" spans="1:11">
      <c r="A1771"/>
      <c r="B1771"/>
      <c r="C1771"/>
      <c r="D1771" t="s">
        <v>779</v>
      </c>
      <c r="E1771" t="s">
        <v>2272</v>
      </c>
      <c r="F1771"/>
      <c r="G1771"/>
      <c r="H1771"/>
      <c r="I1771"/>
      <c r="J1771"/>
      <c r="K1771" t="s">
        <v>2187</v>
      </c>
    </row>
    <row r="1772" spans="1:11">
      <c r="A1772"/>
      <c r="B1772"/>
      <c r="C1772"/>
      <c r="D1772" t="s">
        <v>779</v>
      </c>
      <c r="E1772" t="s">
        <v>2273</v>
      </c>
      <c r="F1772"/>
      <c r="G1772"/>
      <c r="H1772"/>
      <c r="I1772"/>
      <c r="J1772"/>
      <c r="K1772" t="s">
        <v>2187</v>
      </c>
    </row>
    <row r="1773" spans="1:11">
      <c r="A1773"/>
      <c r="B1773"/>
      <c r="C1773"/>
      <c r="D1773" t="s">
        <v>782</v>
      </c>
      <c r="E1773" t="s">
        <v>2274</v>
      </c>
      <c r="F1773"/>
      <c r="G1773"/>
      <c r="H1773"/>
      <c r="I1773"/>
      <c r="J1773"/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H1774"/>
      <c r="I1774"/>
      <c r="J1774"/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H1775"/>
      <c r="I1775"/>
      <c r="J1775"/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H1776"/>
      <c r="I1776"/>
      <c r="J1776"/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H1777"/>
      <c r="I1777"/>
      <c r="J1777"/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H1778"/>
      <c r="I1778"/>
      <c r="J1778"/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H1779"/>
      <c r="I1779"/>
      <c r="J1779"/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H1780"/>
      <c r="I1780"/>
      <c r="J1780"/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H1781"/>
      <c r="I1781"/>
      <c r="J1781"/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H1782"/>
      <c r="I1782"/>
      <c r="J1782"/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H1783"/>
      <c r="I1783"/>
      <c r="J1783"/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H1784"/>
      <c r="I1784"/>
      <c r="J1784"/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H1785"/>
      <c r="I1785"/>
      <c r="J1785"/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H1786"/>
      <c r="I1786"/>
      <c r="J1786"/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H1787"/>
      <c r="I1787"/>
      <c r="J1787"/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H1788"/>
      <c r="I1788"/>
      <c r="J1788"/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H1789"/>
      <c r="I1789"/>
      <c r="J1789"/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H1790"/>
      <c r="I1790"/>
      <c r="J1790"/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H1791"/>
      <c r="I1791"/>
      <c r="J1791"/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H1792"/>
      <c r="I1792"/>
      <c r="J1792"/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H1793"/>
      <c r="I1793"/>
      <c r="J1793"/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H1794"/>
      <c r="I1794"/>
      <c r="J1794"/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H1795"/>
      <c r="I1795"/>
      <c r="J1795"/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H1796"/>
      <c r="I1796"/>
      <c r="J1796"/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H1797"/>
      <c r="I1797"/>
      <c r="J1797"/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H1798"/>
      <c r="I1798"/>
      <c r="J1798"/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H1799"/>
      <c r="I1799"/>
      <c r="J1799"/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H1800"/>
      <c r="I1800"/>
      <c r="J1800"/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H1801"/>
      <c r="I1801"/>
      <c r="J1801"/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H1802"/>
      <c r="I1802"/>
      <c r="J1802"/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H1803"/>
      <c r="I1803"/>
      <c r="J1803"/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H1804"/>
      <c r="I1804"/>
      <c r="J1804"/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H1805"/>
      <c r="I1805"/>
      <c r="J1805"/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H1806"/>
      <c r="I1806"/>
      <c r="J1806"/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H1807"/>
      <c r="I1807"/>
      <c r="J1807"/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H1808"/>
      <c r="I1808"/>
      <c r="J1808"/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H1809"/>
      <c r="I1809"/>
      <c r="J1809"/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H1810"/>
      <c r="I1810"/>
      <c r="J1810"/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H1811"/>
      <c r="I1811"/>
      <c r="J1811"/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H1812"/>
      <c r="I1812"/>
      <c r="J1812"/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H1813"/>
      <c r="I1813"/>
      <c r="J1813"/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H1814"/>
      <c r="I1814"/>
      <c r="J1814"/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H1815"/>
      <c r="I1815"/>
      <c r="J1815"/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H1816"/>
      <c r="I1816"/>
      <c r="J1816"/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H1817"/>
      <c r="I1817"/>
      <c r="J1817"/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H1818"/>
      <c r="I1818"/>
      <c r="J1818"/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H1819"/>
      <c r="I1819"/>
      <c r="J1819"/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H1820"/>
      <c r="I1820"/>
      <c r="J1820"/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H1821"/>
      <c r="I1821"/>
      <c r="J1821"/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H1822"/>
      <c r="I1822"/>
      <c r="J1822"/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H1823"/>
      <c r="I1823"/>
      <c r="J1823"/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H1824"/>
      <c r="I1824"/>
      <c r="J1824"/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H1825"/>
      <c r="I1825"/>
      <c r="J1825"/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H1826"/>
      <c r="I1826"/>
      <c r="J1826"/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H1827"/>
      <c r="I1827"/>
      <c r="J1827"/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H1828"/>
      <c r="I1828"/>
      <c r="J1828"/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H1829"/>
      <c r="I1829"/>
      <c r="J1829"/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H1830"/>
      <c r="I1830"/>
      <c r="J1830"/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H1831"/>
      <c r="I1831"/>
      <c r="J1831"/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H1832"/>
      <c r="I1832"/>
      <c r="J1832"/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H1833"/>
      <c r="I1833"/>
      <c r="J1833"/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H1834"/>
      <c r="I1834"/>
      <c r="J1834"/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H1835"/>
      <c r="I1835"/>
      <c r="J1835"/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H1836"/>
      <c r="I1836"/>
      <c r="J1836"/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H1837"/>
      <c r="I1837"/>
      <c r="J1837"/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H1838"/>
      <c r="I1838"/>
      <c r="J1838"/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H1839"/>
      <c r="I1839"/>
      <c r="J1839"/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H1840"/>
      <c r="I1840"/>
      <c r="J1840"/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H1841"/>
      <c r="I1841"/>
      <c r="J1841"/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H1842"/>
      <c r="I1842"/>
      <c r="J1842"/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H1843"/>
      <c r="I1843"/>
      <c r="J1843"/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H1844"/>
      <c r="I1844"/>
      <c r="J1844"/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H1845"/>
      <c r="I1845"/>
      <c r="J1845"/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H1846"/>
      <c r="I1846"/>
      <c r="J1846"/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H1847"/>
      <c r="I1847"/>
      <c r="J1847"/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H1848"/>
      <c r="I1848"/>
      <c r="J1848"/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H1849"/>
      <c r="I1849"/>
      <c r="J1849"/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H1850"/>
      <c r="I1850"/>
      <c r="J1850"/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H1851"/>
      <c r="I1851"/>
      <c r="J1851"/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H1852"/>
      <c r="I1852"/>
      <c r="J1852"/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H1853"/>
      <c r="I1853"/>
      <c r="J1853"/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H1854"/>
      <c r="I1854"/>
      <c r="J1854"/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H1855"/>
      <c r="I1855"/>
      <c r="J1855"/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H1856"/>
      <c r="I1856"/>
      <c r="J1856"/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H1857"/>
      <c r="I1857"/>
      <c r="J1857"/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H1858"/>
      <c r="I1858"/>
      <c r="J1858"/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H1859"/>
      <c r="I1859"/>
      <c r="J1859"/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H1860"/>
      <c r="I1860"/>
      <c r="J1860"/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H1861"/>
      <c r="I1861"/>
      <c r="J1861"/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H1862"/>
      <c r="I1862"/>
      <c r="J1862"/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H1863"/>
      <c r="I1863"/>
      <c r="J1863"/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H1864"/>
      <c r="I1864"/>
      <c r="J1864"/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H1865"/>
      <c r="I1865"/>
      <c r="J1865"/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H1866"/>
      <c r="I1866"/>
      <c r="J1866"/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H1867"/>
      <c r="I1867"/>
      <c r="J1867"/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H1868"/>
      <c r="I1868"/>
      <c r="J1868"/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H1869"/>
      <c r="I1869"/>
      <c r="J1869"/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H1870"/>
      <c r="I1870"/>
      <c r="J1870"/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H1871"/>
      <c r="I1871"/>
      <c r="J1871"/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H1872"/>
      <c r="I1872"/>
      <c r="J1872"/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H1873"/>
      <c r="I1873"/>
      <c r="J1873"/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H1874"/>
      <c r="I1874"/>
      <c r="J1874"/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H1875"/>
      <c r="I1875"/>
      <c r="J1875"/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H1876"/>
      <c r="I1876"/>
      <c r="J1876"/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H1877"/>
      <c r="I1877"/>
      <c r="J1877"/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H1878"/>
      <c r="I1878"/>
      <c r="J1878"/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H1879"/>
      <c r="I1879"/>
      <c r="J1879"/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H1880"/>
      <c r="I1880"/>
      <c r="J1880"/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H1881"/>
      <c r="I1881"/>
      <c r="J1881"/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H1882"/>
      <c r="I1882"/>
      <c r="J1882"/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H1883"/>
      <c r="I1883"/>
      <c r="J1883"/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H1884"/>
      <c r="I1884"/>
      <c r="J1884"/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H1885"/>
      <c r="I1885"/>
      <c r="J1885"/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H1886"/>
      <c r="I1886"/>
      <c r="J1886"/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H1887"/>
      <c r="I1887"/>
      <c r="J1887"/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H1888"/>
      <c r="I1888"/>
      <c r="J1888"/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H1889"/>
      <c r="I1889"/>
      <c r="J1889"/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H1890"/>
      <c r="I1890"/>
      <c r="J1890"/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H1891"/>
      <c r="I1891"/>
      <c r="J1891"/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H1892"/>
      <c r="I1892"/>
      <c r="J1892"/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H1893"/>
      <c r="I1893"/>
      <c r="J1893"/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H1894"/>
      <c r="I1894"/>
      <c r="J1894"/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H1895"/>
      <c r="I1895"/>
      <c r="J1895"/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H1896"/>
      <c r="I1896"/>
      <c r="J1896"/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H1897"/>
      <c r="I1897"/>
      <c r="J1897"/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H1898"/>
      <c r="I1898"/>
      <c r="J1898"/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H1899"/>
      <c r="I1899"/>
      <c r="J1899"/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H1900"/>
      <c r="I1900"/>
      <c r="J1900"/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H1901"/>
      <c r="I1901"/>
      <c r="J1901"/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H1902"/>
      <c r="I1902"/>
      <c r="J1902"/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H1903"/>
      <c r="I1903"/>
      <c r="J1903"/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H1904"/>
      <c r="I1904"/>
      <c r="J1904"/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H1905"/>
      <c r="I1905"/>
      <c r="J1905"/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H1906"/>
      <c r="I1906"/>
      <c r="J1906"/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H1907"/>
      <c r="I1907"/>
      <c r="J1907"/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H1908"/>
      <c r="I1908"/>
      <c r="J1908"/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H1909"/>
      <c r="I1909"/>
      <c r="J1909"/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H1910"/>
      <c r="I1910"/>
      <c r="J1910"/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H1911"/>
      <c r="I1911"/>
      <c r="J1911"/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H1912"/>
      <c r="I1912"/>
      <c r="J1912"/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H1913"/>
      <c r="I1913"/>
      <c r="J1913"/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H1914"/>
      <c r="I1914"/>
      <c r="J1914"/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H1915"/>
      <c r="I1915"/>
      <c r="J1915"/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H1916"/>
      <c r="I1916"/>
      <c r="J1916"/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H1917"/>
      <c r="I1917"/>
      <c r="J1917"/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H1918"/>
      <c r="I1918"/>
      <c r="J1918"/>
      <c r="K1918" t="s">
        <v>2357</v>
      </c>
    </row>
    <row r="1919" spans="1:11">
      <c r="A1919"/>
      <c r="B1919"/>
      <c r="C1919"/>
      <c r="D1919" t="s">
        <v>779</v>
      </c>
      <c r="E1919" t="s">
        <v>2434</v>
      </c>
      <c r="F1919"/>
      <c r="G1919"/>
      <c r="H1919"/>
      <c r="I1919"/>
      <c r="J1919"/>
      <c r="K1919" t="s">
        <v>2357</v>
      </c>
    </row>
    <row r="1920" spans="1:11">
      <c r="A1920"/>
      <c r="B1920"/>
      <c r="C1920"/>
      <c r="D1920" t="s">
        <v>779</v>
      </c>
      <c r="E1920" t="s">
        <v>2435</v>
      </c>
      <c r="F1920"/>
      <c r="G1920"/>
      <c r="H1920"/>
      <c r="I1920"/>
      <c r="J1920"/>
      <c r="K1920" t="s">
        <v>2357</v>
      </c>
    </row>
    <row r="1921" spans="1:11">
      <c r="A1921"/>
      <c r="B1921"/>
      <c r="C1921"/>
      <c r="D1921" t="s">
        <v>782</v>
      </c>
      <c r="E1921" t="s">
        <v>2436</v>
      </c>
      <c r="F1921"/>
      <c r="G1921"/>
      <c r="H1921"/>
      <c r="I1921"/>
      <c r="J1921"/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H1922"/>
      <c r="I1922"/>
      <c r="J1922"/>
      <c r="K1922" t="s">
        <v>2351</v>
      </c>
    </row>
    <row r="1923" spans="1:11">
      <c r="A1923"/>
      <c r="B1923"/>
      <c r="C1923"/>
      <c r="D1923" t="s">
        <v>779</v>
      </c>
      <c r="E1923" t="s">
        <v>2438</v>
      </c>
      <c r="F1923"/>
      <c r="G1923"/>
      <c r="H1923"/>
      <c r="I1923"/>
      <c r="J1923"/>
      <c r="K1923" t="s">
        <v>2351</v>
      </c>
    </row>
    <row r="1924" spans="1:11">
      <c r="A1924"/>
      <c r="B1924"/>
      <c r="C1924"/>
      <c r="D1924" t="s">
        <v>779</v>
      </c>
      <c r="E1924" t="s">
        <v>2439</v>
      </c>
      <c r="F1924"/>
      <c r="G1924"/>
      <c r="H1924"/>
      <c r="I1924"/>
      <c r="J1924"/>
      <c r="K1924" t="s">
        <v>2351</v>
      </c>
    </row>
    <row r="1925" spans="1:11">
      <c r="A1925"/>
      <c r="B1925"/>
      <c r="C1925"/>
      <c r="D1925" t="s">
        <v>782</v>
      </c>
      <c r="E1925" t="s">
        <v>2440</v>
      </c>
      <c r="F1925"/>
      <c r="G1925"/>
      <c r="H1925"/>
      <c r="I1925"/>
      <c r="J1925"/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H1926"/>
      <c r="I1926"/>
      <c r="J1926"/>
      <c r="K1926" t="s">
        <v>2353</v>
      </c>
    </row>
    <row r="1927" spans="1:11">
      <c r="A1927"/>
      <c r="B1927"/>
      <c r="C1927"/>
      <c r="D1927" t="s">
        <v>779</v>
      </c>
      <c r="E1927" t="s">
        <v>2442</v>
      </c>
      <c r="F1927"/>
      <c r="G1927"/>
      <c r="H1927"/>
      <c r="I1927"/>
      <c r="J1927"/>
      <c r="K1927" t="s">
        <v>2353</v>
      </c>
    </row>
    <row r="1928" spans="1:11">
      <c r="A1928"/>
      <c r="B1928"/>
      <c r="C1928"/>
      <c r="D1928" t="s">
        <v>779</v>
      </c>
      <c r="E1928" t="s">
        <v>2443</v>
      </c>
      <c r="F1928"/>
      <c r="G1928"/>
      <c r="H1928"/>
      <c r="I1928"/>
      <c r="J1928"/>
      <c r="K1928" t="s">
        <v>2353</v>
      </c>
    </row>
    <row r="1929" spans="1:11">
      <c r="A1929"/>
      <c r="B1929"/>
      <c r="C1929"/>
      <c r="D1929" t="s">
        <v>782</v>
      </c>
      <c r="E1929" t="s">
        <v>2444</v>
      </c>
      <c r="F1929"/>
      <c r="G1929"/>
      <c r="H1929"/>
      <c r="I1929"/>
      <c r="J1929"/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H1930"/>
      <c r="I1930"/>
      <c r="J1930"/>
      <c r="K1930" t="s">
        <v>2347</v>
      </c>
    </row>
    <row r="1931" spans="1:11">
      <c r="A1931"/>
      <c r="B1931"/>
      <c r="C1931"/>
      <c r="D1931" t="s">
        <v>779</v>
      </c>
      <c r="E1931" t="s">
        <v>2446</v>
      </c>
      <c r="F1931"/>
      <c r="G1931"/>
      <c r="H1931"/>
      <c r="I1931"/>
      <c r="J1931"/>
      <c r="K1931" t="s">
        <v>2347</v>
      </c>
    </row>
    <row r="1932" spans="1:11">
      <c r="A1932"/>
      <c r="B1932"/>
      <c r="C1932"/>
      <c r="D1932" t="s">
        <v>779</v>
      </c>
      <c r="E1932" t="s">
        <v>2447</v>
      </c>
      <c r="F1932"/>
      <c r="G1932"/>
      <c r="H1932"/>
      <c r="I1932"/>
      <c r="J1932"/>
      <c r="K1932" t="s">
        <v>2347</v>
      </c>
    </row>
    <row r="1933" spans="1:11">
      <c r="A1933"/>
      <c r="B1933"/>
      <c r="C1933"/>
      <c r="D1933" t="s">
        <v>782</v>
      </c>
      <c r="E1933" t="s">
        <v>2448</v>
      </c>
      <c r="F1933"/>
      <c r="G1933"/>
      <c r="H1933"/>
      <c r="I1933"/>
      <c r="J1933"/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H1934"/>
      <c r="I1934"/>
      <c r="J1934"/>
      <c r="K1934" t="s">
        <v>2355</v>
      </c>
    </row>
    <row r="1935" spans="1:11">
      <c r="A1935"/>
      <c r="B1935"/>
      <c r="C1935"/>
      <c r="D1935" t="s">
        <v>779</v>
      </c>
      <c r="E1935" t="s">
        <v>2450</v>
      </c>
      <c r="F1935"/>
      <c r="G1935"/>
      <c r="H1935"/>
      <c r="I1935"/>
      <c r="J1935"/>
      <c r="K1935" t="s">
        <v>2355</v>
      </c>
    </row>
    <row r="1936" spans="1:11">
      <c r="A1936"/>
      <c r="B1936"/>
      <c r="C1936"/>
      <c r="D1936" t="s">
        <v>779</v>
      </c>
      <c r="E1936" t="s">
        <v>2451</v>
      </c>
      <c r="F1936"/>
      <c r="G1936"/>
      <c r="H1936"/>
      <c r="I1936"/>
      <c r="J1936"/>
      <c r="K1936" t="s">
        <v>2355</v>
      </c>
    </row>
    <row r="1937" spans="1:11">
      <c r="A1937"/>
      <c r="B1937"/>
      <c r="C1937"/>
      <c r="D1937" t="s">
        <v>782</v>
      </c>
      <c r="E1937" t="s">
        <v>2452</v>
      </c>
      <c r="F1937"/>
      <c r="G1937"/>
      <c r="H1937"/>
      <c r="I1937"/>
      <c r="J1937"/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H1938"/>
      <c r="I1938"/>
      <c r="J1938"/>
      <c r="K1938" t="s">
        <v>2349</v>
      </c>
    </row>
    <row r="1939" spans="1:11">
      <c r="A1939"/>
      <c r="B1939"/>
      <c r="C1939"/>
      <c r="D1939" t="s">
        <v>779</v>
      </c>
      <c r="E1939" t="s">
        <v>2454</v>
      </c>
      <c r="F1939"/>
      <c r="G1939"/>
      <c r="H1939"/>
      <c r="I1939"/>
      <c r="J1939"/>
      <c r="K1939" t="s">
        <v>2349</v>
      </c>
    </row>
    <row r="1940" spans="1:11">
      <c r="A1940"/>
      <c r="B1940"/>
      <c r="C1940"/>
      <c r="D1940" t="s">
        <v>779</v>
      </c>
      <c r="E1940" t="s">
        <v>2455</v>
      </c>
      <c r="F1940"/>
      <c r="G1940"/>
      <c r="H1940"/>
      <c r="I1940"/>
      <c r="J1940"/>
      <c r="K1940" t="s">
        <v>2349</v>
      </c>
    </row>
    <row r="1941" spans="1:11">
      <c r="A1941"/>
      <c r="B1941"/>
      <c r="C1941"/>
      <c r="D1941" t="s">
        <v>782</v>
      </c>
      <c r="E1941" t="s">
        <v>2456</v>
      </c>
      <c r="F1941"/>
      <c r="G1941"/>
      <c r="H1941"/>
      <c r="I1941"/>
      <c r="J1941"/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H1942"/>
      <c r="I1942"/>
      <c r="J1942"/>
      <c r="K1942" t="s">
        <v>2359</v>
      </c>
    </row>
    <row r="1943" spans="1:11">
      <c r="A1943"/>
      <c r="B1943"/>
      <c r="C1943"/>
      <c r="D1943" t="s">
        <v>779</v>
      </c>
      <c r="E1943" t="s">
        <v>2458</v>
      </c>
      <c r="F1943"/>
      <c r="G1943"/>
      <c r="H1943"/>
      <c r="I1943"/>
      <c r="J1943"/>
      <c r="K1943" t="s">
        <v>2359</v>
      </c>
    </row>
    <row r="1944" spans="1:11">
      <c r="A1944"/>
      <c r="B1944"/>
      <c r="C1944"/>
      <c r="D1944" t="s">
        <v>779</v>
      </c>
      <c r="E1944" t="s">
        <v>2459</v>
      </c>
      <c r="F1944"/>
      <c r="G1944"/>
      <c r="H1944"/>
      <c r="I1944"/>
      <c r="J1944"/>
      <c r="K1944" t="s">
        <v>2359</v>
      </c>
    </row>
    <row r="1945" spans="1:11">
      <c r="A1945"/>
      <c r="B1945"/>
      <c r="C1945"/>
      <c r="D1945" t="s">
        <v>782</v>
      </c>
      <c r="E1945" t="s">
        <v>2460</v>
      </c>
      <c r="F1945"/>
      <c r="G1945"/>
      <c r="H1945"/>
      <c r="I1945"/>
      <c r="J1945"/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H1946"/>
      <c r="I1946"/>
      <c r="J1946"/>
      <c r="K1946" t="s">
        <v>2367</v>
      </c>
    </row>
    <row r="1947" spans="1:11">
      <c r="A1947"/>
      <c r="B1947"/>
      <c r="C1947"/>
      <c r="D1947" t="s">
        <v>779</v>
      </c>
      <c r="E1947" t="s">
        <v>2462</v>
      </c>
      <c r="F1947"/>
      <c r="G1947"/>
      <c r="H1947"/>
      <c r="I1947"/>
      <c r="J1947"/>
      <c r="K1947" t="s">
        <v>2367</v>
      </c>
    </row>
    <row r="1948" spans="1:11">
      <c r="A1948"/>
      <c r="B1948"/>
      <c r="C1948"/>
      <c r="D1948" t="s">
        <v>779</v>
      </c>
      <c r="E1948" t="s">
        <v>2463</v>
      </c>
      <c r="F1948"/>
      <c r="G1948"/>
      <c r="H1948"/>
      <c r="I1948"/>
      <c r="J1948"/>
      <c r="K1948" t="s">
        <v>2367</v>
      </c>
    </row>
    <row r="1949" spans="1:11">
      <c r="A1949"/>
      <c r="B1949"/>
      <c r="C1949"/>
      <c r="D1949" t="s">
        <v>782</v>
      </c>
      <c r="E1949" t="s">
        <v>2464</v>
      </c>
      <c r="F1949"/>
      <c r="G1949"/>
      <c r="H1949"/>
      <c r="I1949"/>
      <c r="J1949"/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H1950"/>
      <c r="I1950"/>
      <c r="J1950"/>
      <c r="K1950" t="s">
        <v>2363</v>
      </c>
    </row>
    <row r="1951" spans="1:11">
      <c r="A1951"/>
      <c r="B1951"/>
      <c r="C1951"/>
      <c r="D1951" t="s">
        <v>779</v>
      </c>
      <c r="E1951" t="s">
        <v>2466</v>
      </c>
      <c r="F1951"/>
      <c r="G1951"/>
      <c r="H1951"/>
      <c r="I1951"/>
      <c r="J1951"/>
      <c r="K1951" t="s">
        <v>2363</v>
      </c>
    </row>
    <row r="1952" spans="1:11">
      <c r="A1952"/>
      <c r="B1952"/>
      <c r="C1952"/>
      <c r="D1952" t="s">
        <v>779</v>
      </c>
      <c r="E1952" t="s">
        <v>2467</v>
      </c>
      <c r="F1952"/>
      <c r="G1952"/>
      <c r="H1952"/>
      <c r="I1952"/>
      <c r="J1952"/>
      <c r="K1952" t="s">
        <v>2363</v>
      </c>
    </row>
    <row r="1953" spans="1:11">
      <c r="A1953"/>
      <c r="B1953"/>
      <c r="C1953"/>
      <c r="D1953" t="s">
        <v>782</v>
      </c>
      <c r="E1953" t="s">
        <v>2468</v>
      </c>
      <c r="F1953"/>
      <c r="G1953"/>
      <c r="H1953"/>
      <c r="I1953"/>
      <c r="J1953"/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H1954"/>
      <c r="I1954"/>
      <c r="J1954"/>
      <c r="K1954" t="s">
        <v>2361</v>
      </c>
    </row>
    <row r="1955" spans="1:11">
      <c r="A1955"/>
      <c r="B1955"/>
      <c r="C1955"/>
      <c r="D1955" t="s">
        <v>779</v>
      </c>
      <c r="E1955" t="s">
        <v>2470</v>
      </c>
      <c r="F1955"/>
      <c r="G1955"/>
      <c r="H1955"/>
      <c r="I1955"/>
      <c r="J1955"/>
      <c r="K1955" t="s">
        <v>2361</v>
      </c>
    </row>
    <row r="1956" spans="1:11">
      <c r="A1956"/>
      <c r="B1956"/>
      <c r="C1956"/>
      <c r="D1956" t="s">
        <v>779</v>
      </c>
      <c r="E1956" t="s">
        <v>2471</v>
      </c>
      <c r="F1956"/>
      <c r="G1956"/>
      <c r="H1956"/>
      <c r="I1956"/>
      <c r="J1956"/>
      <c r="K1956" t="s">
        <v>2361</v>
      </c>
    </row>
    <row r="1957" spans="1:11">
      <c r="A1957"/>
      <c r="B1957"/>
      <c r="C1957"/>
      <c r="D1957" t="s">
        <v>782</v>
      </c>
      <c r="E1957" t="s">
        <v>2472</v>
      </c>
      <c r="F1957"/>
      <c r="G1957"/>
      <c r="H1957"/>
      <c r="I1957"/>
      <c r="J1957"/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H1958"/>
      <c r="I1958"/>
      <c r="J1958"/>
      <c r="K1958" t="s">
        <v>2365</v>
      </c>
    </row>
    <row r="1959" spans="1:11">
      <c r="A1959"/>
      <c r="B1959"/>
      <c r="C1959"/>
      <c r="D1959" t="s">
        <v>779</v>
      </c>
      <c r="E1959" t="s">
        <v>2474</v>
      </c>
      <c r="F1959"/>
      <c r="G1959"/>
      <c r="H1959"/>
      <c r="I1959"/>
      <c r="J1959"/>
      <c r="K1959" t="s">
        <v>2365</v>
      </c>
    </row>
    <row r="1960" spans="1:11">
      <c r="A1960"/>
      <c r="B1960"/>
      <c r="C1960"/>
      <c r="D1960" t="s">
        <v>779</v>
      </c>
      <c r="E1960" t="s">
        <v>2475</v>
      </c>
      <c r="F1960"/>
      <c r="G1960"/>
      <c r="H1960"/>
      <c r="I1960"/>
      <c r="J1960"/>
      <c r="K1960" t="s">
        <v>2365</v>
      </c>
    </row>
    <row r="1961" spans="1:11">
      <c r="A1961"/>
      <c r="B1961"/>
      <c r="C1961"/>
      <c r="D1961" t="s">
        <v>782</v>
      </c>
      <c r="E1961" t="s">
        <v>2476</v>
      </c>
      <c r="F1961"/>
      <c r="G1961"/>
      <c r="H1961"/>
      <c r="I1961"/>
      <c r="J1961"/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H1962"/>
      <c r="I1962"/>
      <c r="J1962"/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H1963"/>
      <c r="I1963"/>
      <c r="J1963"/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H1964"/>
      <c r="I1964"/>
      <c r="J1964"/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H1965"/>
      <c r="I1965"/>
      <c r="J1965"/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H1966"/>
      <c r="I1966"/>
      <c r="J1966"/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H1967"/>
      <c r="I1967"/>
      <c r="J1967"/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H1968"/>
      <c r="I1968"/>
      <c r="J1968"/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H1969"/>
      <c r="I1969"/>
      <c r="J1969"/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H1970"/>
      <c r="I1970"/>
      <c r="J1970"/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H1971"/>
      <c r="I1971"/>
      <c r="J1971"/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H1972"/>
      <c r="I1972"/>
      <c r="J1972"/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H1973"/>
      <c r="I1973"/>
      <c r="J1973"/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H1974"/>
      <c r="I1974"/>
      <c r="J1974"/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H1975"/>
      <c r="I1975"/>
      <c r="J1975"/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H1976"/>
      <c r="I1976"/>
      <c r="J1976"/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H1977"/>
      <c r="I1977"/>
      <c r="J1977"/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H1978"/>
      <c r="I1978"/>
      <c r="J1978"/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H1979"/>
      <c r="I1979"/>
      <c r="J1979"/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H1980"/>
      <c r="I1980"/>
      <c r="J1980"/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H1981"/>
      <c r="I1981"/>
      <c r="J1981"/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H1982"/>
      <c r="I1982"/>
      <c r="J1982"/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H1983"/>
      <c r="I1983"/>
      <c r="J1983"/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H1984"/>
      <c r="I1984"/>
      <c r="J1984"/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H1985"/>
      <c r="I1985"/>
      <c r="J1985"/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H1986"/>
      <c r="I1986"/>
      <c r="J1986"/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H1987"/>
      <c r="I1987"/>
      <c r="J1987"/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H1988"/>
      <c r="I1988"/>
      <c r="J1988"/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H1989"/>
      <c r="I1989"/>
      <c r="J1989"/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H1990"/>
      <c r="I1990"/>
      <c r="J1990"/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H1991"/>
      <c r="I1991"/>
      <c r="J1991"/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H1992"/>
      <c r="I1992"/>
      <c r="J1992"/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H1993"/>
      <c r="I1993"/>
      <c r="J1993"/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H1994"/>
      <c r="I1994"/>
      <c r="J1994"/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H1995"/>
      <c r="I1995"/>
      <c r="J1995"/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H1996"/>
      <c r="I1996"/>
      <c r="J1996"/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H1997"/>
      <c r="I1997"/>
      <c r="J1997"/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H1998"/>
      <c r="I1998"/>
      <c r="J1998"/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H1999"/>
      <c r="I1999"/>
      <c r="J1999"/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H2000"/>
      <c r="I2000"/>
      <c r="J2000"/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H2001"/>
      <c r="I2001"/>
      <c r="J2001"/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H2002"/>
      <c r="I2002"/>
      <c r="J2002"/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H2003"/>
      <c r="I2003"/>
      <c r="J2003"/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H2004"/>
      <c r="I2004"/>
      <c r="J2004"/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H2005"/>
      <c r="I2005"/>
      <c r="J2005"/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H2006"/>
      <c r="I2006"/>
      <c r="J2006"/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H2007"/>
      <c r="I2007"/>
      <c r="J2007"/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H2008"/>
      <c r="I2008"/>
      <c r="J2008"/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H2009"/>
      <c r="I2009"/>
      <c r="J2009"/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H2010"/>
      <c r="I2010"/>
      <c r="J2010"/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H2011"/>
      <c r="I2011"/>
      <c r="J2011"/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H2012"/>
      <c r="I2012"/>
      <c r="J2012"/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H2013"/>
      <c r="I2013"/>
      <c r="J2013"/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H2014"/>
      <c r="I2014"/>
      <c r="J2014"/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H2015"/>
      <c r="I2015"/>
      <c r="J2015"/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H2016"/>
      <c r="I2016"/>
      <c r="J2016"/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H2017"/>
      <c r="I2017"/>
      <c r="J2017"/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H2018"/>
      <c r="I2018"/>
      <c r="J2018"/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H2019"/>
      <c r="I2019"/>
      <c r="J2019"/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H2020"/>
      <c r="I2020"/>
      <c r="J2020"/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H2021"/>
      <c r="I2021"/>
      <c r="J2021"/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H2022"/>
      <c r="I2022"/>
      <c r="J2022"/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H2023"/>
      <c r="I2023"/>
      <c r="J2023"/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H2024"/>
      <c r="I2024"/>
      <c r="J2024"/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H2025"/>
      <c r="I2025"/>
      <c r="J2025"/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H2026"/>
      <c r="I2026"/>
      <c r="J2026"/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H2027"/>
      <c r="I2027"/>
      <c r="J2027"/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H2028"/>
      <c r="I2028"/>
      <c r="J2028"/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H2029"/>
      <c r="I2029"/>
      <c r="J2029"/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H2030"/>
      <c r="I2030"/>
      <c r="J2030"/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H2031"/>
      <c r="I2031"/>
      <c r="J2031"/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H2032"/>
      <c r="I2032"/>
      <c r="J2032"/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H2033"/>
      <c r="I2033"/>
      <c r="J2033"/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H2034"/>
      <c r="I2034"/>
      <c r="J2034"/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H2035"/>
      <c r="I2035"/>
      <c r="J2035"/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H2036"/>
      <c r="I2036"/>
      <c r="J2036"/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H2037"/>
      <c r="I2037"/>
      <c r="J2037"/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H2038"/>
      <c r="I2038"/>
      <c r="J2038"/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H2039"/>
      <c r="I2039"/>
      <c r="J2039"/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H2040"/>
      <c r="I2040"/>
      <c r="J2040"/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H2041"/>
      <c r="I2041"/>
      <c r="J2041"/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H2042"/>
      <c r="I2042"/>
      <c r="J2042"/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H2043"/>
      <c r="I2043"/>
      <c r="J2043"/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H2044"/>
      <c r="I2044"/>
      <c r="J2044"/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H2045"/>
      <c r="I2045"/>
      <c r="J2045"/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H2046"/>
      <c r="I2046"/>
      <c r="J2046"/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H2047"/>
      <c r="I2047"/>
      <c r="J2047"/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H2048"/>
      <c r="I2048"/>
      <c r="J2048"/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H2049"/>
      <c r="I2049"/>
      <c r="J2049"/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H2050"/>
      <c r="I2050"/>
      <c r="J2050"/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H2051"/>
      <c r="I2051"/>
      <c r="J2051"/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H2052"/>
      <c r="I2052"/>
      <c r="J2052"/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H2053"/>
      <c r="I2053"/>
      <c r="J2053"/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H2054"/>
      <c r="I2054"/>
      <c r="J2054"/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H2055"/>
      <c r="I2055"/>
      <c r="J2055"/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H2056"/>
      <c r="I2056"/>
      <c r="J2056"/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H2057"/>
      <c r="I2057"/>
      <c r="J2057"/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H2058"/>
      <c r="I2058"/>
      <c r="J2058"/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H2059"/>
      <c r="I2059"/>
      <c r="J2059"/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H2060"/>
      <c r="I2060"/>
      <c r="J2060"/>
      <c r="K2060" t="s">
        <v>2347</v>
      </c>
    </row>
    <row r="2061" spans="1:11">
      <c r="A2061">
        <v>44454</v>
      </c>
      <c r="B2061">
        <v>343770145</v>
      </c>
      <c r="C2061"/>
      <c r="D2061" t="s">
        <v>2141</v>
      </c>
      <c r="E2061" t="s">
        <v>2588</v>
      </c>
      <c r="F2061" t="s">
        <v>982</v>
      </c>
      <c r="G2061"/>
      <c r="H2061"/>
      <c r="I2061"/>
      <c r="J2061"/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H2062"/>
      <c r="I2062"/>
      <c r="J2062"/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H2063"/>
      <c r="I2063"/>
      <c r="J2063"/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H2064"/>
      <c r="I2064"/>
      <c r="J2064"/>
      <c r="K2064" t="s">
        <v>2589</v>
      </c>
    </row>
    <row r="2065" spans="1:11">
      <c r="A2065"/>
      <c r="B2065"/>
      <c r="C2065"/>
      <c r="D2065" t="s">
        <v>918</v>
      </c>
      <c r="E2065" t="s">
        <v>2595</v>
      </c>
      <c r="F2065"/>
      <c r="G2065"/>
      <c r="H2065"/>
      <c r="I2065"/>
      <c r="J2065"/>
      <c r="K2065" t="s">
        <v>2589</v>
      </c>
    </row>
    <row r="2066" spans="1:11">
      <c r="A2066"/>
      <c r="B2066"/>
      <c r="C2066"/>
      <c r="D2066" t="s">
        <v>918</v>
      </c>
      <c r="E2066" t="s">
        <v>2596</v>
      </c>
      <c r="F2066"/>
      <c r="G2066"/>
      <c r="H2066"/>
      <c r="I2066"/>
      <c r="J2066"/>
      <c r="K2066" t="s">
        <v>2589</v>
      </c>
    </row>
    <row r="2067" spans="1:11">
      <c r="A2067"/>
      <c r="B2067"/>
      <c r="C2067"/>
      <c r="D2067" t="s">
        <v>2608</v>
      </c>
      <c r="E2067" t="s">
        <v>2597</v>
      </c>
      <c r="F2067"/>
      <c r="G2067"/>
      <c r="H2067"/>
      <c r="I2067"/>
      <c r="J2067"/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H2068"/>
      <c r="I2068"/>
      <c r="J2068"/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H2069"/>
      <c r="I2069"/>
      <c r="J2069"/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H2070"/>
      <c r="I2070"/>
      <c r="J2070"/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H2071"/>
      <c r="I2071"/>
      <c r="J2071"/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H2072"/>
      <c r="I2072"/>
      <c r="J2072"/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H2073"/>
      <c r="I2073"/>
      <c r="J2073"/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H2074"/>
      <c r="I2074"/>
      <c r="J2074"/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H2075"/>
      <c r="I2075"/>
      <c r="J2075"/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H2076"/>
      <c r="I2076"/>
      <c r="J2076"/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H2077"/>
      <c r="I2077"/>
      <c r="J2077"/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H2078"/>
      <c r="I2078"/>
      <c r="J2078"/>
      <c r="K2078" t="s">
        <v>2611</v>
      </c>
    </row>
    <row r="2079" spans="1:11">
      <c r="A2079" s="1">
        <v>44532</v>
      </c>
      <c r="B2079" s="1">
        <v>332351322456</v>
      </c>
      <c r="C2079" s="1">
        <v>44530</v>
      </c>
      <c r="D2079" s="1" t="s">
        <v>2623</v>
      </c>
      <c r="E2079" s="1" t="s">
        <v>2624</v>
      </c>
      <c r="F2079" s="1" t="s">
        <v>905</v>
      </c>
      <c r="G2079" s="1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H2080"/>
      <c r="I2080"/>
      <c r="J2080"/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H2081"/>
      <c r="I2081"/>
      <c r="J2081"/>
      <c r="K2081" t="s">
        <v>2611</v>
      </c>
    </row>
    <row r="2082" spans="1:11">
      <c r="A2082" s="1">
        <v>44536</v>
      </c>
      <c r="B2082" s="1" t="s">
        <v>223</v>
      </c>
      <c r="C2082" s="1">
        <v>44533</v>
      </c>
      <c r="D2082" s="1" t="s">
        <v>2153</v>
      </c>
      <c r="E2082" s="1" t="s">
        <v>2629</v>
      </c>
      <c r="F2082" s="1" t="s">
        <v>210</v>
      </c>
      <c r="G2082" s="1">
        <v>931376681</v>
      </c>
      <c r="K2082" t="s">
        <v>2611</v>
      </c>
    </row>
    <row r="2083" spans="1:11">
      <c r="A2083"/>
      <c r="B2083"/>
      <c r="C2083"/>
      <c r="D2083" t="s">
        <v>918</v>
      </c>
      <c r="E2083" t="s">
        <v>2630</v>
      </c>
      <c r="F2083"/>
      <c r="G2083"/>
      <c r="H2083"/>
      <c r="I2083"/>
      <c r="J2083"/>
      <c r="K2083" t="s">
        <v>2611</v>
      </c>
    </row>
    <row r="2084" spans="1:11">
      <c r="A2084"/>
      <c r="B2084"/>
      <c r="C2084"/>
      <c r="D2084" t="s">
        <v>918</v>
      </c>
      <c r="E2084" t="s">
        <v>2631</v>
      </c>
      <c r="F2084"/>
      <c r="G2084"/>
      <c r="H2084"/>
      <c r="I2084"/>
      <c r="J2084"/>
      <c r="K2084" t="s">
        <v>2611</v>
      </c>
    </row>
    <row r="2085" spans="1:11">
      <c r="A2085"/>
      <c r="B2085"/>
      <c r="C2085"/>
      <c r="D2085" t="s">
        <v>2608</v>
      </c>
      <c r="E2085" t="s">
        <v>2632</v>
      </c>
      <c r="F2085"/>
      <c r="G2085"/>
      <c r="H2085"/>
      <c r="I2085"/>
      <c r="J2085"/>
      <c r="K2085" t="s">
        <v>2611</v>
      </c>
    </row>
    <row r="2086" spans="1:11">
      <c r="A2086"/>
      <c r="B2086"/>
      <c r="C2086"/>
      <c r="D2086" t="s">
        <v>2633</v>
      </c>
      <c r="E2086" t="s">
        <v>2634</v>
      </c>
      <c r="F2086"/>
      <c r="G2086"/>
      <c r="H2086"/>
      <c r="I2086"/>
      <c r="J2086"/>
      <c r="K2086" t="s">
        <v>2611</v>
      </c>
    </row>
    <row r="2087" spans="1:11">
      <c r="A2087"/>
      <c r="B2087"/>
      <c r="C2087"/>
      <c r="D2087" t="s">
        <v>2633</v>
      </c>
      <c r="E2087" t="s">
        <v>2636</v>
      </c>
      <c r="F2087"/>
      <c r="G2087"/>
      <c r="H2087"/>
      <c r="I2087"/>
      <c r="J2087"/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H2088"/>
      <c r="I2088"/>
      <c r="J2088"/>
      <c r="K2088" t="s">
        <v>2635</v>
      </c>
    </row>
    <row r="2089" spans="1:11">
      <c r="A2089" s="1">
        <v>44483</v>
      </c>
      <c r="B2089" s="1" t="s">
        <v>2612</v>
      </c>
      <c r="C2089" s="1">
        <v>44482</v>
      </c>
      <c r="D2089" s="1" t="s">
        <v>770</v>
      </c>
      <c r="E2089" s="1" t="s">
        <v>2638</v>
      </c>
      <c r="F2089" s="1" t="s">
        <v>202</v>
      </c>
      <c r="G2089" s="1" t="s">
        <v>2614</v>
      </c>
      <c r="K2089" s="1" t="s">
        <v>2635</v>
      </c>
    </row>
    <row r="2090" spans="1:11">
      <c r="A2090" s="1">
        <v>44529</v>
      </c>
      <c r="B2090" s="1">
        <v>3323351283900</v>
      </c>
      <c r="C2090" s="1">
        <v>44525</v>
      </c>
      <c r="D2090" s="1" t="s">
        <v>2623</v>
      </c>
      <c r="E2090" s="1" t="s">
        <v>2639</v>
      </c>
      <c r="F2090" s="1" t="s">
        <v>905</v>
      </c>
      <c r="G2090" s="1">
        <v>131309872</v>
      </c>
      <c r="K2090" s="1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H2091"/>
      <c r="I2091"/>
      <c r="J2091"/>
      <c r="K2091" t="s">
        <v>2635</v>
      </c>
    </row>
    <row r="2092" spans="1:11">
      <c r="A2092" s="1">
        <v>44531</v>
      </c>
      <c r="B2092" s="1" t="s">
        <v>2641</v>
      </c>
      <c r="C2092" s="1">
        <v>44529</v>
      </c>
      <c r="D2092" s="1" t="s">
        <v>2616</v>
      </c>
      <c r="E2092" s="1" t="s">
        <v>2642</v>
      </c>
      <c r="F2092" s="1" t="s">
        <v>631</v>
      </c>
      <c r="G2092" s="1" t="s">
        <v>2643</v>
      </c>
      <c r="K2092" s="1" t="s">
        <v>2635</v>
      </c>
    </row>
    <row r="2093" spans="1:11">
      <c r="A2093" s="1">
        <v>44532</v>
      </c>
      <c r="B2093" s="1">
        <v>332351322456</v>
      </c>
      <c r="C2093" s="1">
        <v>44530</v>
      </c>
      <c r="D2093" s="1" t="s">
        <v>2644</v>
      </c>
      <c r="E2093" s="1" t="s">
        <v>2645</v>
      </c>
      <c r="F2093" s="1" t="s">
        <v>905</v>
      </c>
      <c r="G2093" s="1" t="s">
        <v>2625</v>
      </c>
      <c r="K2093" s="1" t="s">
        <v>2635</v>
      </c>
    </row>
    <row r="2094" spans="1:11">
      <c r="A2094" s="1">
        <v>44532</v>
      </c>
      <c r="B2094" s="1">
        <v>332351322456</v>
      </c>
      <c r="C2094" s="1">
        <v>44530</v>
      </c>
      <c r="D2094" s="1" t="s">
        <v>2644</v>
      </c>
      <c r="E2094" s="1" t="s">
        <v>2646</v>
      </c>
      <c r="F2094" s="1" t="s">
        <v>905</v>
      </c>
      <c r="G2094" s="1" t="s">
        <v>2625</v>
      </c>
      <c r="K2094" s="1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H2095"/>
      <c r="I2095"/>
      <c r="J2095"/>
      <c r="K2095" t="s">
        <v>2635</v>
      </c>
    </row>
    <row r="2096" spans="1:11">
      <c r="A2096" s="1">
        <v>44532</v>
      </c>
      <c r="B2096" s="1">
        <v>332351322456</v>
      </c>
      <c r="C2096" s="1">
        <v>44530</v>
      </c>
      <c r="D2096" s="1" t="s">
        <v>2644</v>
      </c>
      <c r="E2096" s="1" t="s">
        <v>2648</v>
      </c>
      <c r="F2096" s="1" t="s">
        <v>905</v>
      </c>
      <c r="G2096" s="1" t="s">
        <v>2625</v>
      </c>
      <c r="K2096" s="1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H2097"/>
      <c r="I2097"/>
      <c r="J2097"/>
      <c r="K2097" t="s">
        <v>2635</v>
      </c>
    </row>
    <row r="2098" spans="1:11">
      <c r="A2098" s="1">
        <v>44536</v>
      </c>
      <c r="B2098" s="1" t="s">
        <v>223</v>
      </c>
      <c r="C2098" s="1">
        <v>44533</v>
      </c>
      <c r="D2098" s="1" t="s">
        <v>2153</v>
      </c>
      <c r="E2098" s="1" t="s">
        <v>2650</v>
      </c>
      <c r="F2098" s="1" t="s">
        <v>210</v>
      </c>
      <c r="G2098" s="1">
        <v>931376680</v>
      </c>
      <c r="K2098" s="1" t="s">
        <v>2635</v>
      </c>
    </row>
    <row r="2099" spans="1:11">
      <c r="A2099"/>
      <c r="B2099"/>
      <c r="C2099"/>
      <c r="D2099" t="s">
        <v>918</v>
      </c>
      <c r="E2099" t="s">
        <v>2651</v>
      </c>
      <c r="F2099"/>
      <c r="G2099"/>
      <c r="H2099"/>
      <c r="I2099"/>
      <c r="J2099"/>
      <c r="K2099" t="s">
        <v>2635</v>
      </c>
    </row>
    <row r="2100" spans="1:11">
      <c r="B2100" s="1"/>
      <c r="D2100" s="1" t="s">
        <v>918</v>
      </c>
      <c r="E2100" s="1" t="s">
        <v>2652</v>
      </c>
      <c r="K2100" s="1" t="s">
        <v>2635</v>
      </c>
    </row>
    <row r="2101" spans="1:11">
      <c r="A2101"/>
      <c r="B2101"/>
      <c r="C2101"/>
      <c r="D2101" t="s">
        <v>2608</v>
      </c>
      <c r="E2101" t="s">
        <v>2653</v>
      </c>
      <c r="F2101"/>
      <c r="G2101"/>
      <c r="H2101"/>
      <c r="I2101"/>
      <c r="J2101"/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H2102"/>
      <c r="I2102"/>
      <c r="J2102"/>
      <c r="K2102" t="s">
        <v>2657</v>
      </c>
    </row>
    <row r="2103" spans="1:11">
      <c r="A2103" s="1">
        <v>44306</v>
      </c>
      <c r="B2103" s="1">
        <v>980145937116</v>
      </c>
      <c r="C2103" s="1">
        <v>44302</v>
      </c>
      <c r="D2103" s="1" t="s">
        <v>1370</v>
      </c>
      <c r="E2103" s="1" t="s">
        <v>2658</v>
      </c>
      <c r="F2103" s="1" t="s">
        <v>2656</v>
      </c>
      <c r="G2103" s="1">
        <v>2107260</v>
      </c>
      <c r="K2103" s="1" t="s">
        <v>2657</v>
      </c>
    </row>
    <row r="2104" spans="1:11">
      <c r="A2104" s="1">
        <v>44538</v>
      </c>
      <c r="B2104" s="1" t="s">
        <v>2659</v>
      </c>
      <c r="C2104" s="1">
        <v>44536</v>
      </c>
      <c r="D2104" t="s">
        <v>2660</v>
      </c>
      <c r="E2104" t="s">
        <v>2661</v>
      </c>
      <c r="F2104" s="1" t="s">
        <v>2662</v>
      </c>
      <c r="G2104"/>
      <c r="H2104"/>
      <c r="I2104"/>
      <c r="J2104"/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H2105"/>
      <c r="I2105"/>
      <c r="J2105"/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H2106"/>
      <c r="I2106"/>
      <c r="J2106"/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H2107"/>
      <c r="I2107"/>
      <c r="J2107"/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H2108"/>
      <c r="I2108"/>
      <c r="J2108"/>
      <c r="K2108" t="s">
        <v>2657</v>
      </c>
    </row>
    <row r="2109" spans="1:11">
      <c r="A2109" s="1">
        <v>44539</v>
      </c>
      <c r="B2109" s="1">
        <v>529154521821</v>
      </c>
      <c r="C2109" s="1">
        <v>44536</v>
      </c>
      <c r="D2109" s="1" t="s">
        <v>1370</v>
      </c>
      <c r="E2109" s="1" t="s">
        <v>2668</v>
      </c>
      <c r="F2109" s="1" t="s">
        <v>113</v>
      </c>
      <c r="G2109" s="1" t="s">
        <v>2664</v>
      </c>
      <c r="K2109" s="1" t="s">
        <v>2657</v>
      </c>
    </row>
    <row r="2110" spans="1:11">
      <c r="A2110" s="1">
        <v>44539</v>
      </c>
      <c r="B2110" s="1">
        <v>529154521821</v>
      </c>
      <c r="C2110" s="1">
        <v>44536</v>
      </c>
      <c r="D2110" t="s">
        <v>1370</v>
      </c>
      <c r="E2110" t="s">
        <v>2669</v>
      </c>
      <c r="F2110" s="1" t="s">
        <v>113</v>
      </c>
      <c r="G2110" t="s">
        <v>2664</v>
      </c>
      <c r="H2110"/>
      <c r="I2110"/>
      <c r="J2110"/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G2111"/>
      <c r="H2111"/>
      <c r="I2111"/>
      <c r="J2111"/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H2112"/>
      <c r="I2112"/>
      <c r="J2112"/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H2113"/>
      <c r="I2113"/>
      <c r="J2113"/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H2114"/>
      <c r="I2114"/>
      <c r="J2114"/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H2115"/>
      <c r="I2115"/>
      <c r="J2115"/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H2116"/>
      <c r="I2116"/>
      <c r="J2116"/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H2117"/>
      <c r="I2117"/>
      <c r="J2117"/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H2118"/>
      <c r="I2118"/>
      <c r="J2118"/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H2119"/>
      <c r="I2119"/>
      <c r="J2119"/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H2120"/>
      <c r="I2120"/>
      <c r="J2120"/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H2121"/>
      <c r="I2121"/>
      <c r="J2121"/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H2122"/>
      <c r="I2122"/>
      <c r="J2122"/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H2123"/>
      <c r="I2123"/>
      <c r="J2123"/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H2124"/>
      <c r="I2124"/>
      <c r="J2124"/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H2125"/>
      <c r="I2125"/>
      <c r="J2125"/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H2126"/>
      <c r="I2126"/>
      <c r="J2126"/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H2127"/>
      <c r="I2127"/>
      <c r="J2127"/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H2128"/>
      <c r="I2128"/>
      <c r="J2128"/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H2129"/>
      <c r="I2129"/>
      <c r="J2129"/>
      <c r="K2129" t="s">
        <v>2674</v>
      </c>
    </row>
    <row r="2130" spans="1:11">
      <c r="A2130">
        <v>44578</v>
      </c>
      <c r="B2130" t="s">
        <v>207</v>
      </c>
      <c r="C2130"/>
      <c r="D2130" t="s">
        <v>2696</v>
      </c>
      <c r="E2130" t="s">
        <v>2697</v>
      </c>
      <c r="F2130"/>
      <c r="G2130"/>
      <c r="H2130"/>
      <c r="I2130"/>
      <c r="J2130"/>
      <c r="K2130" t="s">
        <v>2684</v>
      </c>
    </row>
    <row r="2131" spans="1:11">
      <c r="A2131">
        <v>44578</v>
      </c>
      <c r="B2131" t="s">
        <v>207</v>
      </c>
      <c r="C2131"/>
      <c r="D2131" t="s">
        <v>2698</v>
      </c>
      <c r="E2131" t="s">
        <v>2699</v>
      </c>
      <c r="F2131"/>
      <c r="G2131"/>
      <c r="H2131"/>
      <c r="I2131"/>
      <c r="J2131"/>
      <c r="K2131" t="s">
        <v>2684</v>
      </c>
    </row>
    <row r="2132" spans="1:11">
      <c r="A2132">
        <v>44578</v>
      </c>
      <c r="B2132" t="s">
        <v>207</v>
      </c>
      <c r="C2132"/>
      <c r="D2132" t="s">
        <v>2700</v>
      </c>
      <c r="E2132" t="s">
        <v>2701</v>
      </c>
      <c r="F2132"/>
      <c r="G2132"/>
      <c r="H2132"/>
      <c r="I2132"/>
      <c r="J2132"/>
      <c r="K2132" t="s">
        <v>2684</v>
      </c>
    </row>
    <row r="2133" spans="1:11">
      <c r="A2133">
        <v>44578</v>
      </c>
      <c r="B2133" t="s">
        <v>207</v>
      </c>
      <c r="C2133"/>
      <c r="D2133" t="s">
        <v>2700</v>
      </c>
      <c r="E2133" t="s">
        <v>2702</v>
      </c>
      <c r="F2133"/>
      <c r="G2133"/>
      <c r="H2133"/>
      <c r="I2133"/>
      <c r="J2133"/>
      <c r="K2133" t="s">
        <v>2684</v>
      </c>
    </row>
    <row r="2134" spans="1:11">
      <c r="A2134">
        <v>44578</v>
      </c>
      <c r="B2134" t="s">
        <v>207</v>
      </c>
      <c r="C2134"/>
      <c r="D2134" t="s">
        <v>2703</v>
      </c>
      <c r="E2134" t="s">
        <v>2704</v>
      </c>
      <c r="F2134"/>
      <c r="G2134"/>
      <c r="H2134"/>
      <c r="I2134"/>
      <c r="J2134"/>
      <c r="K2134" t="s">
        <v>2684</v>
      </c>
    </row>
    <row r="2135" spans="1:11">
      <c r="A2135">
        <v>44578</v>
      </c>
      <c r="B2135" t="s">
        <v>207</v>
      </c>
      <c r="C2135"/>
      <c r="D2135" t="s">
        <v>2705</v>
      </c>
      <c r="E2135" t="s">
        <v>2722</v>
      </c>
      <c r="F2135"/>
      <c r="G2135"/>
      <c r="H2135"/>
      <c r="I2135"/>
      <c r="J2135"/>
      <c r="K2135" t="s">
        <v>2684</v>
      </c>
    </row>
    <row r="2136" spans="1:11">
      <c r="A2136">
        <v>44578</v>
      </c>
      <c r="B2136" t="s">
        <v>207</v>
      </c>
      <c r="C2136"/>
      <c r="D2136" t="s">
        <v>773</v>
      </c>
      <c r="E2136" t="s">
        <v>2706</v>
      </c>
      <c r="F2136"/>
      <c r="G2136"/>
      <c r="H2136"/>
      <c r="I2136"/>
      <c r="J2136"/>
      <c r="K2136" t="s">
        <v>2684</v>
      </c>
    </row>
    <row r="2137" spans="1:11">
      <c r="A2137">
        <v>44578</v>
      </c>
      <c r="B2137" t="s">
        <v>207</v>
      </c>
      <c r="C2137"/>
      <c r="D2137" t="s">
        <v>2696</v>
      </c>
      <c r="E2137" t="s">
        <v>2707</v>
      </c>
      <c r="F2137"/>
      <c r="G2137"/>
      <c r="H2137"/>
      <c r="I2137"/>
      <c r="J2137"/>
      <c r="K2137" t="s">
        <v>2679</v>
      </c>
    </row>
    <row r="2138" spans="1:11">
      <c r="A2138">
        <v>44578</v>
      </c>
      <c r="B2138" t="s">
        <v>207</v>
      </c>
      <c r="C2138"/>
      <c r="D2138" t="s">
        <v>2698</v>
      </c>
      <c r="E2138" t="s">
        <v>2708</v>
      </c>
      <c r="F2138"/>
      <c r="G2138"/>
      <c r="H2138"/>
      <c r="I2138"/>
      <c r="J2138"/>
      <c r="K2138" t="s">
        <v>2679</v>
      </c>
    </row>
    <row r="2139" spans="1:11">
      <c r="A2139">
        <v>44578</v>
      </c>
      <c r="B2139" t="s">
        <v>207</v>
      </c>
      <c r="C2139"/>
      <c r="D2139" t="s">
        <v>2700</v>
      </c>
      <c r="E2139" t="s">
        <v>2709</v>
      </c>
      <c r="F2139"/>
      <c r="G2139"/>
      <c r="H2139"/>
      <c r="I2139"/>
      <c r="J2139"/>
      <c r="K2139" t="s">
        <v>2679</v>
      </c>
    </row>
    <row r="2140" spans="1:11">
      <c r="A2140">
        <v>44578</v>
      </c>
      <c r="B2140" t="s">
        <v>207</v>
      </c>
      <c r="C2140"/>
      <c r="D2140" t="s">
        <v>2700</v>
      </c>
      <c r="E2140" t="s">
        <v>2710</v>
      </c>
      <c r="F2140"/>
      <c r="G2140"/>
      <c r="H2140"/>
      <c r="I2140"/>
      <c r="J2140"/>
      <c r="K2140" t="s">
        <v>2679</v>
      </c>
    </row>
    <row r="2141" spans="1:11">
      <c r="A2141">
        <v>44578</v>
      </c>
      <c r="B2141" t="s">
        <v>207</v>
      </c>
      <c r="C2141"/>
      <c r="D2141" t="s">
        <v>2703</v>
      </c>
      <c r="E2141" t="s">
        <v>2711</v>
      </c>
      <c r="F2141"/>
      <c r="G2141"/>
      <c r="H2141"/>
      <c r="I2141"/>
      <c r="J2141"/>
      <c r="K2141" t="s">
        <v>2679</v>
      </c>
    </row>
    <row r="2142" spans="1:11">
      <c r="A2142">
        <v>44578</v>
      </c>
      <c r="B2142" t="s">
        <v>207</v>
      </c>
      <c r="C2142"/>
      <c r="D2142" t="s">
        <v>2705</v>
      </c>
      <c r="E2142" t="s">
        <v>2712</v>
      </c>
      <c r="F2142"/>
      <c r="G2142"/>
      <c r="H2142"/>
      <c r="I2142"/>
      <c r="J2142"/>
      <c r="K2142" t="s">
        <v>2679</v>
      </c>
    </row>
    <row r="2143" spans="1:11">
      <c r="A2143">
        <v>44578</v>
      </c>
      <c r="B2143" t="s">
        <v>207</v>
      </c>
      <c r="C2143"/>
      <c r="D2143" t="s">
        <v>773</v>
      </c>
      <c r="E2143" t="s">
        <v>2713</v>
      </c>
      <c r="F2143"/>
      <c r="G2143"/>
      <c r="H2143"/>
      <c r="I2143"/>
      <c r="J2143"/>
      <c r="K2143" t="s">
        <v>2679</v>
      </c>
    </row>
    <row r="2144" spans="1:11">
      <c r="A2144">
        <v>44578</v>
      </c>
      <c r="B2144" t="s">
        <v>207</v>
      </c>
      <c r="C2144"/>
      <c r="D2144" t="s">
        <v>2696</v>
      </c>
      <c r="E2144" t="s">
        <v>2714</v>
      </c>
      <c r="F2144"/>
      <c r="G2144"/>
      <c r="H2144"/>
      <c r="I2144"/>
      <c r="J2144"/>
      <c r="K2144" t="s">
        <v>2674</v>
      </c>
    </row>
    <row r="2145" spans="1:11">
      <c r="A2145">
        <v>44578</v>
      </c>
      <c r="B2145" t="s">
        <v>207</v>
      </c>
      <c r="C2145"/>
      <c r="D2145" t="s">
        <v>2698</v>
      </c>
      <c r="E2145" t="s">
        <v>2715</v>
      </c>
      <c r="F2145"/>
      <c r="G2145"/>
      <c r="H2145"/>
      <c r="I2145"/>
      <c r="J2145"/>
      <c r="K2145" t="s">
        <v>2674</v>
      </c>
    </row>
    <row r="2146" spans="1:11">
      <c r="A2146">
        <v>44578</v>
      </c>
      <c r="B2146" t="s">
        <v>207</v>
      </c>
      <c r="C2146"/>
      <c r="D2146" t="s">
        <v>2700</v>
      </c>
      <c r="E2146" t="s">
        <v>2716</v>
      </c>
      <c r="F2146"/>
      <c r="G2146"/>
      <c r="H2146"/>
      <c r="I2146"/>
      <c r="J2146"/>
      <c r="K2146" t="s">
        <v>2674</v>
      </c>
    </row>
    <row r="2147" spans="1:11">
      <c r="A2147">
        <v>44578</v>
      </c>
      <c r="B2147" t="s">
        <v>207</v>
      </c>
      <c r="C2147"/>
      <c r="D2147" t="s">
        <v>2700</v>
      </c>
      <c r="E2147" t="s">
        <v>2717</v>
      </c>
      <c r="F2147"/>
      <c r="G2147"/>
      <c r="H2147"/>
      <c r="I2147"/>
      <c r="J2147"/>
      <c r="K2147" t="s">
        <v>2674</v>
      </c>
    </row>
    <row r="2148" spans="1:11">
      <c r="A2148">
        <v>44578</v>
      </c>
      <c r="B2148" t="s">
        <v>207</v>
      </c>
      <c r="C2148"/>
      <c r="D2148" t="s">
        <v>2703</v>
      </c>
      <c r="E2148" t="s">
        <v>2718</v>
      </c>
      <c r="F2148"/>
      <c r="G2148"/>
      <c r="H2148"/>
      <c r="I2148"/>
      <c r="J2148"/>
      <c r="K2148" t="s">
        <v>2674</v>
      </c>
    </row>
    <row r="2149" spans="1:11">
      <c r="A2149">
        <v>44578</v>
      </c>
      <c r="B2149" t="s">
        <v>207</v>
      </c>
      <c r="C2149"/>
      <c r="D2149" t="s">
        <v>2705</v>
      </c>
      <c r="E2149" t="s">
        <v>2719</v>
      </c>
      <c r="F2149"/>
      <c r="G2149"/>
      <c r="H2149"/>
      <c r="I2149"/>
      <c r="J2149"/>
      <c r="K2149" t="s">
        <v>2674</v>
      </c>
    </row>
    <row r="2150" spans="1:11">
      <c r="A2150">
        <v>44578</v>
      </c>
      <c r="B2150" t="s">
        <v>207</v>
      </c>
      <c r="C2150"/>
      <c r="D2150" t="s">
        <v>773</v>
      </c>
      <c r="E2150" t="s">
        <v>2720</v>
      </c>
      <c r="F2150"/>
      <c r="G2150"/>
      <c r="H2150"/>
      <c r="I2150"/>
      <c r="J2150"/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H2151"/>
      <c r="I2151"/>
      <c r="J2151"/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H2152"/>
      <c r="I2152"/>
      <c r="J2152"/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H2153"/>
      <c r="I2153"/>
      <c r="J2153"/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H2154"/>
      <c r="I2154"/>
      <c r="J2154"/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H2155"/>
      <c r="I2155"/>
      <c r="J2155"/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H2156"/>
      <c r="I2156"/>
      <c r="J2156"/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H2157"/>
      <c r="I2157"/>
      <c r="J2157"/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H2158"/>
      <c r="I2158"/>
      <c r="J2158"/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H2159"/>
      <c r="I2159"/>
      <c r="J2159"/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H2160"/>
      <c r="I2160"/>
      <c r="J2160"/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H2161"/>
      <c r="I2161"/>
      <c r="J2161"/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H2162"/>
      <c r="I2162"/>
      <c r="J2162"/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H2163"/>
      <c r="I2163"/>
      <c r="J2163"/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H2164"/>
      <c r="I2164"/>
      <c r="J2164"/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H2165"/>
      <c r="I2165"/>
      <c r="J2165"/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H2166"/>
      <c r="I2166"/>
      <c r="J2166"/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H2167"/>
      <c r="I2167"/>
      <c r="J2167"/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H2168"/>
      <c r="I2168"/>
      <c r="J2168"/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H2169"/>
      <c r="I2169"/>
      <c r="J2169"/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H2170"/>
      <c r="I2170"/>
      <c r="J2170"/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H2171"/>
      <c r="I2171"/>
      <c r="J2171"/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H2172"/>
      <c r="I2172"/>
      <c r="J2172"/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H2173"/>
      <c r="I2173"/>
      <c r="J2173"/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H2174"/>
      <c r="I2174"/>
      <c r="J2174"/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H2175"/>
      <c r="I2175"/>
      <c r="J2175"/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H2176"/>
      <c r="I2176"/>
      <c r="J2176"/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H2177"/>
      <c r="I2177"/>
      <c r="J2177"/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H2178"/>
      <c r="I2178"/>
      <c r="J2178"/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H2179"/>
      <c r="I2179"/>
      <c r="J2179"/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H2180"/>
      <c r="I2180"/>
      <c r="J2180"/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H2181"/>
      <c r="I2181"/>
      <c r="J2181"/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H2182"/>
      <c r="I2182"/>
      <c r="J2182"/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H2183"/>
      <c r="I2183"/>
      <c r="J2183"/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H2184"/>
      <c r="I2184"/>
      <c r="J2184"/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H2185"/>
      <c r="I2185"/>
      <c r="J2185"/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H2186"/>
      <c r="I2186"/>
      <c r="J2186"/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H2187"/>
      <c r="I2187"/>
      <c r="J2187"/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H2188"/>
      <c r="I2188"/>
      <c r="J2188"/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H2189"/>
      <c r="I2189"/>
      <c r="J2189"/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H2190"/>
      <c r="I2190"/>
      <c r="J2190"/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H2191"/>
      <c r="I2191"/>
      <c r="J2191"/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H2192"/>
      <c r="I2192"/>
      <c r="J2192"/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H2193"/>
      <c r="I2193"/>
      <c r="J2193"/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H2194"/>
      <c r="I2194"/>
      <c r="J2194"/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H2195"/>
      <c r="I2195"/>
      <c r="J2195"/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H2196"/>
      <c r="I2196"/>
      <c r="J2196"/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H2197"/>
      <c r="I2197"/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H2198"/>
      <c r="I2198"/>
      <c r="J2198"/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H2199"/>
      <c r="I2199"/>
      <c r="J2199"/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H2200"/>
      <c r="I2200"/>
      <c r="J2200"/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H2201"/>
      <c r="I2201"/>
      <c r="J2201"/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H2202"/>
      <c r="I2202"/>
      <c r="J2202"/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H2203"/>
      <c r="I2203"/>
      <c r="J2203"/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H2204"/>
      <c r="I2204"/>
      <c r="J2204"/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H2205"/>
      <c r="I2205"/>
      <c r="J2205"/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H2206"/>
      <c r="I2206"/>
      <c r="J2206"/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H2207"/>
      <c r="I2207"/>
      <c r="J2207"/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H2208"/>
      <c r="I2208"/>
      <c r="J2208"/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H2209"/>
      <c r="I2209"/>
      <c r="J2209"/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H2210"/>
      <c r="I2210"/>
      <c r="J2210"/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H2211"/>
      <c r="I2211"/>
      <c r="J2211"/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H2212"/>
      <c r="I2212"/>
      <c r="J2212"/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H2213"/>
      <c r="I2213"/>
      <c r="J2213"/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H2214"/>
      <c r="I2214"/>
      <c r="J2214"/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H2215"/>
      <c r="I2215"/>
      <c r="J2215"/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H2216"/>
      <c r="I2216"/>
      <c r="J2216"/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H2217"/>
      <c r="I2217"/>
      <c r="J2217"/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H2218"/>
      <c r="I2218"/>
      <c r="J2218"/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H2219"/>
      <c r="I2219"/>
      <c r="J2219"/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H2220"/>
      <c r="I2220"/>
      <c r="J2220"/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H2221"/>
      <c r="I2221"/>
      <c r="J2221"/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H2222"/>
      <c r="I2222"/>
      <c r="J2222"/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H2223"/>
      <c r="I2223"/>
      <c r="J2223"/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H2224"/>
      <c r="I2224"/>
      <c r="J2224"/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H2225"/>
      <c r="I2225"/>
      <c r="J2225"/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H2226"/>
      <c r="I2226"/>
      <c r="J2226"/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H2227"/>
      <c r="I2227"/>
      <c r="J2227"/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H2228"/>
      <c r="I2228"/>
      <c r="J2228"/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H2229"/>
      <c r="I2229"/>
      <c r="J2229"/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H2230"/>
      <c r="I2230"/>
      <c r="J2230"/>
      <c r="K2230" t="s">
        <v>2771</v>
      </c>
    </row>
    <row r="2231" spans="1:11">
      <c r="A2231"/>
      <c r="B2231"/>
      <c r="C2231"/>
      <c r="D2231" t="s">
        <v>2117</v>
      </c>
      <c r="E2231" t="s">
        <v>2823</v>
      </c>
      <c r="F2231"/>
      <c r="G2231"/>
      <c r="H2231"/>
      <c r="I2231"/>
      <c r="J2231"/>
      <c r="K2231" t="s">
        <v>2764</v>
      </c>
    </row>
    <row r="2232" spans="1:11">
      <c r="A2232"/>
      <c r="B2232"/>
      <c r="C2232"/>
      <c r="D2232" t="s">
        <v>2117</v>
      </c>
      <c r="E2232" t="s">
        <v>2824</v>
      </c>
      <c r="F2232"/>
      <c r="G2232"/>
      <c r="H2232"/>
      <c r="I2232"/>
      <c r="J2232"/>
      <c r="K2232" t="s">
        <v>2771</v>
      </c>
    </row>
    <row r="2233" spans="1:11">
      <c r="A2233"/>
      <c r="B2233"/>
      <c r="C2233"/>
      <c r="D2233" t="s">
        <v>2117</v>
      </c>
      <c r="E2233" t="s">
        <v>2825</v>
      </c>
      <c r="F2233"/>
      <c r="G2233"/>
      <c r="H2233"/>
      <c r="I2233"/>
      <c r="J2233"/>
      <c r="K2233" t="s">
        <v>2741</v>
      </c>
    </row>
    <row r="2234" spans="1:11">
      <c r="A2234"/>
      <c r="B2234"/>
      <c r="C2234"/>
      <c r="D2234" t="s">
        <v>2117</v>
      </c>
      <c r="E2234" t="s">
        <v>2826</v>
      </c>
      <c r="F2234"/>
      <c r="G2234"/>
      <c r="H2234"/>
      <c r="I2234"/>
      <c r="J2234"/>
      <c r="K2234" t="s">
        <v>2758</v>
      </c>
    </row>
    <row r="2235" spans="1:11">
      <c r="A2235"/>
      <c r="B2235"/>
      <c r="C2235"/>
      <c r="D2235" t="s">
        <v>2117</v>
      </c>
      <c r="E2235" t="s">
        <v>2827</v>
      </c>
      <c r="F2235"/>
      <c r="G2235"/>
      <c r="H2235"/>
      <c r="I2235"/>
      <c r="J2235"/>
      <c r="K2235" t="s">
        <v>2736</v>
      </c>
    </row>
    <row r="2236" spans="1:11">
      <c r="A2236"/>
      <c r="B2236"/>
      <c r="C2236"/>
      <c r="D2236" t="s">
        <v>2117</v>
      </c>
      <c r="E2236" t="s">
        <v>2828</v>
      </c>
      <c r="F2236"/>
      <c r="G2236"/>
      <c r="H2236"/>
      <c r="I2236"/>
      <c r="J2236"/>
      <c r="K2236" t="s">
        <v>2751</v>
      </c>
    </row>
    <row r="2237" spans="1:11">
      <c r="A2237"/>
      <c r="B2237"/>
      <c r="C2237"/>
      <c r="D2237" t="s">
        <v>2117</v>
      </c>
      <c r="E2237" t="s">
        <v>2829</v>
      </c>
      <c r="F2237"/>
      <c r="G2237"/>
      <c r="H2237"/>
      <c r="I2237"/>
      <c r="J2237"/>
      <c r="K2237" t="s">
        <v>2746</v>
      </c>
    </row>
    <row r="2238" spans="1:11">
      <c r="A2238"/>
      <c r="B2238"/>
      <c r="C2238"/>
      <c r="D2238" t="s">
        <v>2117</v>
      </c>
      <c r="E2238" t="s">
        <v>2830</v>
      </c>
      <c r="F2238"/>
      <c r="G2238"/>
      <c r="H2238"/>
      <c r="I2238"/>
      <c r="J2238"/>
      <c r="K2238" t="s">
        <v>2726</v>
      </c>
    </row>
    <row r="2239" spans="1:11">
      <c r="A2239"/>
      <c r="B2239"/>
      <c r="C2239"/>
      <c r="D2239" t="s">
        <v>2117</v>
      </c>
      <c r="E2239" t="s">
        <v>2831</v>
      </c>
      <c r="F2239"/>
      <c r="G2239"/>
      <c r="H2239"/>
      <c r="I2239"/>
      <c r="J2239"/>
      <c r="K2239" t="s">
        <v>2754</v>
      </c>
    </row>
    <row r="2240" spans="1:11">
      <c r="A2240"/>
      <c r="B2240"/>
      <c r="C2240"/>
      <c r="D2240" t="s">
        <v>2117</v>
      </c>
      <c r="E2240" t="s">
        <v>2832</v>
      </c>
      <c r="F2240"/>
      <c r="G2240"/>
      <c r="H2240"/>
      <c r="I2240"/>
      <c r="J2240"/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H2241"/>
      <c r="I2241"/>
      <c r="J2241"/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H2242"/>
      <c r="I2242"/>
      <c r="J2242"/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H2243"/>
      <c r="I2243"/>
      <c r="J2243"/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H2244"/>
      <c r="I2244"/>
      <c r="J2244"/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H2245"/>
      <c r="I2245"/>
      <c r="J2245"/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H2246"/>
      <c r="I2246"/>
      <c r="J2246"/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G2247"/>
      <c r="H2247"/>
      <c r="I2247"/>
      <c r="J2247"/>
      <c r="K2247" t="s">
        <v>2836</v>
      </c>
    </row>
    <row r="2248" spans="1:11">
      <c r="A2248"/>
      <c r="B2248"/>
      <c r="C2248"/>
      <c r="D2248" t="s">
        <v>2850</v>
      </c>
      <c r="E2248" t="s">
        <v>2844</v>
      </c>
      <c r="F2248"/>
      <c r="G2248"/>
      <c r="H2248"/>
      <c r="I2248"/>
      <c r="J2248"/>
      <c r="K2248" t="s">
        <v>2836</v>
      </c>
    </row>
    <row r="2249" spans="1:11">
      <c r="A2249"/>
      <c r="B2249"/>
      <c r="C2249"/>
      <c r="D2249" t="s">
        <v>1725</v>
      </c>
      <c r="E2249" t="s">
        <v>2845</v>
      </c>
      <c r="F2249"/>
      <c r="G2249"/>
      <c r="H2249"/>
      <c r="I2249"/>
      <c r="J2249"/>
      <c r="K2249" t="s">
        <v>2836</v>
      </c>
    </row>
    <row r="2250" spans="1:11">
      <c r="A2250"/>
      <c r="B2250"/>
      <c r="C2250"/>
      <c r="D2250" t="s">
        <v>2846</v>
      </c>
      <c r="E2250" t="s">
        <v>2847</v>
      </c>
      <c r="F2250"/>
      <c r="G2250"/>
      <c r="H2250"/>
      <c r="I2250"/>
      <c r="J2250"/>
      <c r="K2250" t="s">
        <v>2836</v>
      </c>
    </row>
    <row r="2251" spans="1:11">
      <c r="A2251">
        <v>44613</v>
      </c>
      <c r="B2251">
        <v>557702873756</v>
      </c>
      <c r="C2251"/>
      <c r="D2251" t="s">
        <v>2848</v>
      </c>
      <c r="E2251" t="s">
        <v>2849</v>
      </c>
      <c r="F2251" t="s">
        <v>2690</v>
      </c>
      <c r="G2251">
        <v>12266511</v>
      </c>
      <c r="H2251"/>
      <c r="I2251"/>
      <c r="J2251"/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H2252"/>
      <c r="I2252"/>
      <c r="J2252"/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H2253"/>
      <c r="I2253"/>
      <c r="J2253"/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H2254"/>
      <c r="I2254"/>
      <c r="J2254"/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H2255"/>
      <c r="I2255"/>
      <c r="J2255"/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H2256"/>
      <c r="I2256"/>
      <c r="J2256"/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H2257"/>
      <c r="I2257"/>
      <c r="J2257"/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H2258"/>
      <c r="I2258"/>
      <c r="J2258"/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H2259"/>
      <c r="I2259"/>
      <c r="J2259"/>
      <c r="K2259" t="s">
        <v>2857</v>
      </c>
    </row>
    <row r="2260" spans="1:11">
      <c r="A2260"/>
      <c r="B2260"/>
      <c r="C2260"/>
      <c r="D2260" t="s">
        <v>965</v>
      </c>
      <c r="E2260" t="s">
        <v>2867</v>
      </c>
      <c r="F2260"/>
      <c r="G2260"/>
      <c r="H2260"/>
      <c r="I2260"/>
      <c r="J2260"/>
      <c r="K2260" t="s">
        <v>2854</v>
      </c>
    </row>
    <row r="2261" spans="1:11">
      <c r="A2261"/>
      <c r="B2261"/>
      <c r="C2261"/>
      <c r="D2261" t="s">
        <v>967</v>
      </c>
      <c r="E2261" t="s">
        <v>2868</v>
      </c>
      <c r="F2261"/>
      <c r="G2261"/>
      <c r="H2261"/>
      <c r="I2261"/>
      <c r="J2261"/>
      <c r="K2261" t="s">
        <v>2854</v>
      </c>
    </row>
    <row r="2262" spans="1:11">
      <c r="A2262"/>
      <c r="B2262"/>
      <c r="C2262"/>
      <c r="D2262" t="s">
        <v>969</v>
      </c>
      <c r="E2262" t="s">
        <v>2869</v>
      </c>
      <c r="F2262"/>
      <c r="G2262"/>
      <c r="H2262"/>
      <c r="I2262"/>
      <c r="J2262"/>
      <c r="K2262" t="s">
        <v>2854</v>
      </c>
    </row>
    <row r="2263" spans="1:11">
      <c r="A2263"/>
      <c r="B2263"/>
      <c r="C2263"/>
      <c r="D2263" t="s">
        <v>971</v>
      </c>
      <c r="E2263" t="s">
        <v>2870</v>
      </c>
      <c r="F2263"/>
      <c r="G2263"/>
      <c r="H2263"/>
      <c r="I2263"/>
      <c r="J2263"/>
      <c r="K2263" t="s">
        <v>2854</v>
      </c>
    </row>
    <row r="2264" spans="1:11">
      <c r="A2264"/>
      <c r="B2264"/>
      <c r="C2264"/>
      <c r="D2264" t="s">
        <v>975</v>
      </c>
      <c r="E2264" t="s">
        <v>2871</v>
      </c>
      <c r="F2264"/>
      <c r="G2264"/>
      <c r="H2264"/>
      <c r="I2264"/>
      <c r="J2264"/>
      <c r="K2264" t="s">
        <v>2854</v>
      </c>
    </row>
    <row r="2265" spans="1:11">
      <c r="A2265"/>
      <c r="B2265"/>
      <c r="C2265"/>
      <c r="D2265" t="s">
        <v>17</v>
      </c>
      <c r="E2265" t="s">
        <v>2872</v>
      </c>
      <c r="F2265"/>
      <c r="G2265"/>
      <c r="H2265"/>
      <c r="I2265"/>
      <c r="J2265"/>
      <c r="K2265" t="s">
        <v>2854</v>
      </c>
    </row>
    <row r="2266" spans="1:11">
      <c r="A2266"/>
      <c r="B2266"/>
      <c r="C2266"/>
      <c r="D2266" t="s">
        <v>965</v>
      </c>
      <c r="E2266" t="s">
        <v>2873</v>
      </c>
      <c r="F2266"/>
      <c r="G2266"/>
      <c r="H2266"/>
      <c r="I2266"/>
      <c r="J2266"/>
      <c r="K2266" t="s">
        <v>2857</v>
      </c>
    </row>
    <row r="2267" spans="1:11">
      <c r="A2267"/>
      <c r="B2267"/>
      <c r="C2267"/>
      <c r="D2267" t="s">
        <v>967</v>
      </c>
      <c r="E2267" t="s">
        <v>2874</v>
      </c>
      <c r="F2267"/>
      <c r="G2267"/>
      <c r="H2267"/>
      <c r="I2267"/>
      <c r="J2267"/>
      <c r="K2267" t="s">
        <v>2857</v>
      </c>
    </row>
    <row r="2268" spans="1:11">
      <c r="A2268"/>
      <c r="B2268"/>
      <c r="C2268"/>
      <c r="D2268" t="s">
        <v>969</v>
      </c>
      <c r="E2268" t="s">
        <v>2875</v>
      </c>
      <c r="F2268"/>
      <c r="G2268"/>
      <c r="H2268"/>
      <c r="I2268"/>
      <c r="J2268"/>
      <c r="K2268" t="s">
        <v>2857</v>
      </c>
    </row>
    <row r="2269" spans="1:11">
      <c r="A2269"/>
      <c r="B2269"/>
      <c r="C2269"/>
      <c r="D2269" t="s">
        <v>971</v>
      </c>
      <c r="E2269" t="s">
        <v>2876</v>
      </c>
      <c r="F2269"/>
      <c r="G2269"/>
      <c r="H2269"/>
      <c r="I2269"/>
      <c r="J2269"/>
      <c r="K2269" t="s">
        <v>2857</v>
      </c>
    </row>
    <row r="2270" spans="1:11">
      <c r="A2270"/>
      <c r="B2270"/>
      <c r="C2270"/>
      <c r="D2270" t="s">
        <v>975</v>
      </c>
      <c r="E2270" t="s">
        <v>2877</v>
      </c>
      <c r="F2270"/>
      <c r="G2270"/>
      <c r="H2270"/>
      <c r="I2270"/>
      <c r="J2270"/>
      <c r="K2270" t="s">
        <v>2857</v>
      </c>
    </row>
    <row r="2271" spans="1:11">
      <c r="A2271"/>
      <c r="B2271"/>
      <c r="C2271"/>
      <c r="D2271" t="s">
        <v>17</v>
      </c>
      <c r="E2271" t="s">
        <v>2878</v>
      </c>
      <c r="F2271"/>
      <c r="G2271"/>
      <c r="H2271"/>
      <c r="I2271"/>
      <c r="J2271"/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H2272"/>
      <c r="I2272"/>
      <c r="J2272"/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H2273"/>
      <c r="I2273"/>
      <c r="J2273"/>
      <c r="K2273" t="s">
        <v>2882</v>
      </c>
    </row>
    <row r="2274" spans="1:11">
      <c r="A2274"/>
      <c r="B2274"/>
      <c r="C2274"/>
      <c r="D2274" t="s">
        <v>965</v>
      </c>
      <c r="E2274" t="s">
        <v>2883</v>
      </c>
      <c r="F2274"/>
      <c r="G2274"/>
      <c r="H2274"/>
      <c r="I2274"/>
      <c r="J2274"/>
      <c r="K2274" t="s">
        <v>2880</v>
      </c>
    </row>
    <row r="2275" spans="1:11">
      <c r="A2275"/>
      <c r="B2275"/>
      <c r="C2275"/>
      <c r="D2275" t="s">
        <v>967</v>
      </c>
      <c r="E2275" t="s">
        <v>2884</v>
      </c>
      <c r="F2275"/>
      <c r="G2275"/>
      <c r="H2275"/>
      <c r="I2275"/>
      <c r="J2275"/>
      <c r="K2275" t="s">
        <v>2880</v>
      </c>
    </row>
    <row r="2276" spans="1:11">
      <c r="A2276"/>
      <c r="B2276"/>
      <c r="C2276"/>
      <c r="D2276" t="s">
        <v>969</v>
      </c>
      <c r="E2276" t="s">
        <v>2885</v>
      </c>
      <c r="F2276"/>
      <c r="G2276"/>
      <c r="H2276"/>
      <c r="I2276"/>
      <c r="J2276"/>
      <c r="K2276" t="s">
        <v>2880</v>
      </c>
    </row>
    <row r="2277" spans="1:11">
      <c r="A2277"/>
      <c r="B2277"/>
      <c r="C2277"/>
      <c r="D2277" t="s">
        <v>971</v>
      </c>
      <c r="E2277" t="s">
        <v>2886</v>
      </c>
      <c r="F2277"/>
      <c r="G2277"/>
      <c r="H2277"/>
      <c r="I2277"/>
      <c r="J2277"/>
      <c r="K2277" t="s">
        <v>2880</v>
      </c>
    </row>
    <row r="2278" spans="1:11">
      <c r="A2278"/>
      <c r="B2278"/>
      <c r="C2278"/>
      <c r="D2278" t="s">
        <v>975</v>
      </c>
      <c r="E2278" t="s">
        <v>2887</v>
      </c>
      <c r="F2278"/>
      <c r="G2278"/>
      <c r="H2278"/>
      <c r="I2278"/>
      <c r="J2278"/>
      <c r="K2278" t="s">
        <v>2880</v>
      </c>
    </row>
    <row r="2279" spans="1:11">
      <c r="A2279"/>
      <c r="B2279"/>
      <c r="C2279"/>
      <c r="D2279" t="s">
        <v>17</v>
      </c>
      <c r="E2279" t="s">
        <v>2888</v>
      </c>
      <c r="F2279"/>
      <c r="G2279"/>
      <c r="H2279"/>
      <c r="I2279"/>
      <c r="J2279"/>
      <c r="K2279" t="s">
        <v>2880</v>
      </c>
    </row>
    <row r="2280" spans="1:11">
      <c r="A2280"/>
      <c r="B2280"/>
      <c r="C2280"/>
      <c r="D2280" t="s">
        <v>965</v>
      </c>
      <c r="E2280" t="s">
        <v>2889</v>
      </c>
      <c r="F2280"/>
      <c r="G2280"/>
      <c r="H2280"/>
      <c r="I2280"/>
      <c r="J2280"/>
      <c r="K2280" t="s">
        <v>2882</v>
      </c>
    </row>
    <row r="2281" spans="1:11">
      <c r="A2281"/>
      <c r="B2281"/>
      <c r="C2281"/>
      <c r="D2281" t="s">
        <v>967</v>
      </c>
      <c r="E2281" t="s">
        <v>2890</v>
      </c>
      <c r="F2281"/>
      <c r="G2281"/>
      <c r="H2281"/>
      <c r="I2281"/>
      <c r="J2281"/>
      <c r="K2281" t="s">
        <v>2882</v>
      </c>
    </row>
    <row r="2282" spans="1:11">
      <c r="A2282"/>
      <c r="B2282"/>
      <c r="C2282"/>
      <c r="D2282" t="s">
        <v>969</v>
      </c>
      <c r="E2282" t="s">
        <v>2891</v>
      </c>
      <c r="F2282"/>
      <c r="G2282"/>
      <c r="H2282"/>
      <c r="I2282"/>
      <c r="J2282"/>
      <c r="K2282" t="s">
        <v>2882</v>
      </c>
    </row>
    <row r="2283" spans="1:11">
      <c r="A2283"/>
      <c r="B2283"/>
      <c r="C2283"/>
      <c r="D2283" t="s">
        <v>971</v>
      </c>
      <c r="E2283" t="s">
        <v>2892</v>
      </c>
      <c r="F2283"/>
      <c r="G2283"/>
      <c r="H2283"/>
      <c r="I2283"/>
      <c r="J2283"/>
      <c r="K2283" t="s">
        <v>2882</v>
      </c>
    </row>
    <row r="2284" spans="1:11">
      <c r="A2284"/>
      <c r="B2284"/>
      <c r="C2284"/>
      <c r="D2284" t="s">
        <v>975</v>
      </c>
      <c r="E2284" t="s">
        <v>2893</v>
      </c>
      <c r="F2284"/>
      <c r="G2284"/>
      <c r="H2284"/>
      <c r="I2284"/>
      <c r="J2284"/>
      <c r="K2284" t="s">
        <v>2882</v>
      </c>
    </row>
    <row r="2285" spans="1:11">
      <c r="A2285"/>
      <c r="B2285"/>
      <c r="C2285"/>
      <c r="D2285" t="s">
        <v>17</v>
      </c>
      <c r="E2285" t="s">
        <v>2894</v>
      </c>
      <c r="F2285"/>
      <c r="G2285"/>
      <c r="H2285"/>
      <c r="I2285"/>
      <c r="J2285"/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H2286"/>
      <c r="I2286"/>
      <c r="J2286"/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H2287"/>
      <c r="I2287"/>
      <c r="J2287"/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H2288"/>
      <c r="I2288"/>
      <c r="J2288"/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H2289"/>
      <c r="I2289"/>
      <c r="J2289"/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H2290"/>
      <c r="I2290"/>
      <c r="J2290"/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H2291"/>
      <c r="I2291"/>
      <c r="J2291"/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H2292"/>
      <c r="I2292"/>
      <c r="J2292"/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H2293"/>
      <c r="I2293"/>
      <c r="J2293"/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H2294"/>
      <c r="I2294"/>
      <c r="J2294"/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H2295"/>
      <c r="I2295"/>
      <c r="J2295"/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H2296"/>
      <c r="I2296"/>
      <c r="J2296"/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H2297"/>
      <c r="I2297"/>
      <c r="J2297"/>
      <c r="K2297" t="s">
        <v>2903</v>
      </c>
    </row>
    <row r="2298" spans="1:11">
      <c r="A2298"/>
      <c r="B2298"/>
      <c r="C2298"/>
      <c r="D2298" t="s">
        <v>965</v>
      </c>
      <c r="E2298" t="s">
        <v>2912</v>
      </c>
      <c r="F2298"/>
      <c r="G2298"/>
      <c r="H2298"/>
      <c r="I2298"/>
      <c r="J2298"/>
      <c r="K2298" t="s">
        <v>2906</v>
      </c>
    </row>
    <row r="2299" spans="1:11">
      <c r="A2299"/>
      <c r="B2299"/>
      <c r="C2299"/>
      <c r="D2299" t="s">
        <v>967</v>
      </c>
      <c r="E2299" t="s">
        <v>2913</v>
      </c>
      <c r="F2299"/>
      <c r="G2299"/>
      <c r="H2299"/>
      <c r="I2299"/>
      <c r="J2299"/>
      <c r="K2299" t="s">
        <v>2906</v>
      </c>
    </row>
    <row r="2300" spans="1:11">
      <c r="A2300"/>
      <c r="B2300"/>
      <c r="C2300"/>
      <c r="D2300" t="s">
        <v>969</v>
      </c>
      <c r="E2300" t="s">
        <v>2914</v>
      </c>
      <c r="F2300"/>
      <c r="G2300"/>
      <c r="H2300"/>
      <c r="I2300"/>
      <c r="J2300"/>
      <c r="K2300" t="s">
        <v>2906</v>
      </c>
    </row>
    <row r="2301" spans="1:11">
      <c r="A2301"/>
      <c r="B2301"/>
      <c r="C2301"/>
      <c r="D2301" t="s">
        <v>971</v>
      </c>
      <c r="E2301" t="s">
        <v>2915</v>
      </c>
      <c r="F2301"/>
      <c r="G2301"/>
      <c r="H2301"/>
      <c r="I2301"/>
      <c r="J2301"/>
      <c r="K2301" t="s">
        <v>2906</v>
      </c>
    </row>
    <row r="2302" spans="1:11">
      <c r="A2302"/>
      <c r="B2302"/>
      <c r="C2302"/>
      <c r="D2302" t="s">
        <v>975</v>
      </c>
      <c r="E2302" t="s">
        <v>2916</v>
      </c>
      <c r="F2302"/>
      <c r="G2302"/>
      <c r="H2302"/>
      <c r="I2302"/>
      <c r="J2302"/>
      <c r="K2302" t="s">
        <v>2906</v>
      </c>
    </row>
    <row r="2303" spans="1:11">
      <c r="A2303"/>
      <c r="B2303"/>
      <c r="C2303"/>
      <c r="D2303" t="s">
        <v>17</v>
      </c>
      <c r="E2303" t="s">
        <v>2917</v>
      </c>
      <c r="F2303"/>
      <c r="G2303"/>
      <c r="H2303"/>
      <c r="I2303"/>
      <c r="J2303"/>
      <c r="K2303" t="s">
        <v>2906</v>
      </c>
    </row>
    <row r="2304" spans="1:11">
      <c r="A2304"/>
      <c r="B2304"/>
      <c r="C2304"/>
      <c r="D2304" t="s">
        <v>965</v>
      </c>
      <c r="E2304" t="s">
        <v>2918</v>
      </c>
      <c r="F2304"/>
      <c r="G2304"/>
      <c r="H2304"/>
      <c r="I2304"/>
      <c r="J2304"/>
      <c r="K2304" t="s">
        <v>2903</v>
      </c>
    </row>
    <row r="2305" spans="1:11">
      <c r="A2305"/>
      <c r="B2305"/>
      <c r="C2305"/>
      <c r="D2305" t="s">
        <v>967</v>
      </c>
      <c r="E2305" t="s">
        <v>2919</v>
      </c>
      <c r="F2305"/>
      <c r="G2305"/>
      <c r="H2305"/>
      <c r="I2305"/>
      <c r="J2305"/>
      <c r="K2305" t="s">
        <v>2903</v>
      </c>
    </row>
    <row r="2306" spans="1:11">
      <c r="A2306"/>
      <c r="B2306"/>
      <c r="C2306"/>
      <c r="D2306" t="s">
        <v>969</v>
      </c>
      <c r="E2306" t="s">
        <v>2920</v>
      </c>
      <c r="F2306"/>
      <c r="G2306"/>
      <c r="H2306"/>
      <c r="I2306"/>
      <c r="J2306"/>
      <c r="K2306" t="s">
        <v>2903</v>
      </c>
    </row>
    <row r="2307" spans="1:11">
      <c r="A2307"/>
      <c r="B2307"/>
      <c r="C2307"/>
      <c r="D2307" t="s">
        <v>971</v>
      </c>
      <c r="E2307" t="s">
        <v>2921</v>
      </c>
      <c r="F2307"/>
      <c r="G2307"/>
      <c r="H2307"/>
      <c r="I2307"/>
      <c r="J2307"/>
      <c r="K2307" t="s">
        <v>2903</v>
      </c>
    </row>
    <row r="2308" spans="1:11">
      <c r="A2308"/>
      <c r="B2308"/>
      <c r="C2308"/>
      <c r="D2308" t="s">
        <v>975</v>
      </c>
      <c r="E2308" t="s">
        <v>2922</v>
      </c>
      <c r="F2308"/>
      <c r="G2308"/>
      <c r="H2308"/>
      <c r="I2308"/>
      <c r="J2308"/>
      <c r="K2308" t="s">
        <v>2903</v>
      </c>
    </row>
    <row r="2309" spans="1:11">
      <c r="A2309"/>
      <c r="B2309"/>
      <c r="C2309"/>
      <c r="D2309" t="s">
        <v>17</v>
      </c>
      <c r="E2309" t="s">
        <v>2923</v>
      </c>
      <c r="F2309"/>
      <c r="G2309"/>
      <c r="H2309"/>
      <c r="I2309"/>
      <c r="J2309"/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H2310"/>
      <c r="I2310"/>
      <c r="J2310"/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H2311"/>
      <c r="I2311"/>
      <c r="J2311"/>
      <c r="K2311" t="s">
        <v>2906</v>
      </c>
    </row>
    <row r="2312" spans="1:11">
      <c r="A2312"/>
      <c r="B2312"/>
      <c r="C2312"/>
      <c r="D2312" t="s">
        <v>976</v>
      </c>
      <c r="E2312" t="s">
        <v>2928</v>
      </c>
      <c r="F2312"/>
      <c r="G2312"/>
      <c r="H2312"/>
      <c r="I2312"/>
      <c r="J2312"/>
      <c r="K2312" t="s">
        <v>2903</v>
      </c>
    </row>
    <row r="2313" spans="1:11">
      <c r="A2313"/>
      <c r="B2313"/>
      <c r="C2313"/>
      <c r="D2313" t="s">
        <v>976</v>
      </c>
      <c r="E2313" t="s">
        <v>2929</v>
      </c>
      <c r="F2313"/>
      <c r="G2313"/>
      <c r="H2313"/>
      <c r="I2313"/>
      <c r="J2313"/>
      <c r="K2313" t="s">
        <v>2906</v>
      </c>
    </row>
    <row r="2314" spans="1:11">
      <c r="A2314"/>
      <c r="B2314"/>
      <c r="C2314"/>
      <c r="D2314" t="s">
        <v>976</v>
      </c>
      <c r="E2314" t="s">
        <v>2930</v>
      </c>
      <c r="F2314"/>
      <c r="G2314"/>
      <c r="H2314"/>
      <c r="I2314"/>
      <c r="J2314"/>
      <c r="K2314" t="s">
        <v>2880</v>
      </c>
    </row>
    <row r="2315" spans="1:11">
      <c r="A2315"/>
      <c r="B2315"/>
      <c r="C2315"/>
      <c r="D2315" t="s">
        <v>976</v>
      </c>
      <c r="E2315" t="s">
        <v>2931</v>
      </c>
      <c r="F2315"/>
      <c r="G2315"/>
      <c r="H2315"/>
      <c r="I2315"/>
      <c r="J2315"/>
      <c r="K2315" t="s">
        <v>2882</v>
      </c>
    </row>
    <row r="2316" spans="1:11">
      <c r="A2316"/>
      <c r="B2316"/>
      <c r="C2316"/>
      <c r="D2316" t="s">
        <v>976</v>
      </c>
      <c r="E2316" t="s">
        <v>2932</v>
      </c>
      <c r="F2316"/>
      <c r="G2316"/>
      <c r="H2316"/>
      <c r="I2316"/>
      <c r="J2316"/>
      <c r="K2316" t="s">
        <v>2854</v>
      </c>
    </row>
    <row r="2317" spans="1:11">
      <c r="A2317"/>
      <c r="B2317"/>
      <c r="C2317"/>
      <c r="D2317" t="s">
        <v>976</v>
      </c>
      <c r="E2317" t="s">
        <v>2933</v>
      </c>
      <c r="F2317"/>
      <c r="G2317"/>
      <c r="H2317"/>
      <c r="I2317"/>
      <c r="J2317"/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H2318"/>
      <c r="I2318"/>
      <c r="J2318"/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H2319"/>
      <c r="I2319"/>
      <c r="J2319"/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H2320"/>
      <c r="I2320"/>
      <c r="J2320"/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H2321"/>
      <c r="I2321"/>
      <c r="J2321"/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H2322"/>
      <c r="I2322"/>
      <c r="J2322"/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H2323"/>
      <c r="I2323"/>
      <c r="J2323"/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H2324"/>
      <c r="I2324"/>
      <c r="J2324"/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H2325"/>
      <c r="I2325"/>
      <c r="J2325"/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H2326"/>
      <c r="I2326"/>
      <c r="J2326"/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H2327"/>
      <c r="I2327"/>
      <c r="J2327"/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H2328"/>
      <c r="I2328"/>
      <c r="J2328"/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H2329"/>
      <c r="I2329"/>
      <c r="J2329"/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H2330"/>
      <c r="I2330"/>
      <c r="J2330"/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H2331"/>
      <c r="I2331"/>
      <c r="J2331"/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H2332"/>
      <c r="I2332"/>
      <c r="J2332"/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H2333"/>
      <c r="I2333"/>
      <c r="J2333"/>
      <c r="K2333" t="s">
        <v>2935</v>
      </c>
    </row>
    <row r="2334" spans="1:11">
      <c r="A2334"/>
      <c r="B2334"/>
      <c r="C2334"/>
      <c r="D2334" t="s">
        <v>2117</v>
      </c>
      <c r="E2334" t="s">
        <v>2958</v>
      </c>
      <c r="F2334"/>
      <c r="G2334"/>
      <c r="H2334"/>
      <c r="I2334"/>
      <c r="J2334"/>
      <c r="K2334" t="s">
        <v>2935</v>
      </c>
    </row>
    <row r="2335" spans="1:11">
      <c r="A2335"/>
      <c r="B2335"/>
      <c r="C2335"/>
      <c r="D2335" t="s">
        <v>2117</v>
      </c>
      <c r="E2335" t="s">
        <v>2957</v>
      </c>
      <c r="F2335"/>
      <c r="G2335"/>
      <c r="H2335"/>
      <c r="I2335"/>
      <c r="J2335"/>
      <c r="K2335" t="s">
        <v>2946</v>
      </c>
    </row>
    <row r="2336" spans="1:11">
      <c r="A2336" s="19"/>
      <c r="B2336" s="19">
        <v>24782751720</v>
      </c>
      <c r="C2336" s="19">
        <v>44624</v>
      </c>
      <c r="D2336" s="19" t="s">
        <v>2976</v>
      </c>
      <c r="E2336" s="19" t="s">
        <v>2959</v>
      </c>
      <c r="F2336" s="19" t="s">
        <v>264</v>
      </c>
      <c r="G2336" s="19" t="s">
        <v>2960</v>
      </c>
      <c r="H2336" s="19"/>
      <c r="I2336" s="19"/>
      <c r="J2336" s="19"/>
      <c r="K2336" s="19" t="s">
        <v>2961</v>
      </c>
    </row>
    <row r="2337" spans="1:11">
      <c r="A2337" s="19"/>
      <c r="B2337" s="19">
        <v>24782751720</v>
      </c>
      <c r="C2337" s="19">
        <v>44624</v>
      </c>
      <c r="D2337" s="19" t="s">
        <v>2976</v>
      </c>
      <c r="E2337" s="19" t="s">
        <v>2962</v>
      </c>
      <c r="F2337" s="19" t="s">
        <v>264</v>
      </c>
      <c r="G2337" s="19" t="s">
        <v>2960</v>
      </c>
      <c r="H2337" s="19"/>
      <c r="I2337" s="19"/>
      <c r="J2337" s="19"/>
      <c r="K2337" s="19" t="s">
        <v>2961</v>
      </c>
    </row>
    <row r="2338" spans="1:11">
      <c r="A2338" s="19"/>
      <c r="B2338" s="19" t="s">
        <v>2963</v>
      </c>
      <c r="C2338" s="19">
        <v>44629</v>
      </c>
      <c r="D2338" s="19" t="s">
        <v>2032</v>
      </c>
      <c r="E2338" s="19" t="s">
        <v>2964</v>
      </c>
      <c r="F2338" s="19" t="s">
        <v>631</v>
      </c>
      <c r="G2338" s="19" t="s">
        <v>2965</v>
      </c>
      <c r="H2338" s="19"/>
      <c r="I2338" s="19"/>
      <c r="J2338" s="19"/>
      <c r="K2338" s="19" t="s">
        <v>2961</v>
      </c>
    </row>
    <row r="2339" spans="1:11">
      <c r="A2339" s="19"/>
      <c r="B2339" s="19" t="s">
        <v>2963</v>
      </c>
      <c r="C2339" s="19">
        <v>44629</v>
      </c>
      <c r="D2339" s="19" t="s">
        <v>2032</v>
      </c>
      <c r="E2339" s="19" t="s">
        <v>2966</v>
      </c>
      <c r="F2339" s="19" t="s">
        <v>631</v>
      </c>
      <c r="G2339" s="19" t="s">
        <v>2965</v>
      </c>
      <c r="H2339" s="19"/>
      <c r="I2339" s="19"/>
      <c r="J2339" s="19"/>
      <c r="K2339" s="19" t="s">
        <v>2961</v>
      </c>
    </row>
    <row r="2340" spans="1:11">
      <c r="A2340" s="19"/>
      <c r="B2340" s="19" t="s">
        <v>223</v>
      </c>
      <c r="C2340" s="19">
        <v>44631</v>
      </c>
      <c r="D2340" s="19" t="s">
        <v>777</v>
      </c>
      <c r="E2340" s="19" t="s">
        <v>2967</v>
      </c>
      <c r="F2340" s="19" t="s">
        <v>210</v>
      </c>
      <c r="G2340" s="19">
        <v>931433713</v>
      </c>
      <c r="H2340" s="19"/>
      <c r="I2340" s="19"/>
      <c r="J2340" s="19"/>
      <c r="K2340" s="19" t="s">
        <v>2961</v>
      </c>
    </row>
    <row r="2341" spans="1:11">
      <c r="A2341" s="19"/>
      <c r="B2341" s="19"/>
      <c r="C2341" s="19"/>
      <c r="D2341" s="19" t="s">
        <v>779</v>
      </c>
      <c r="E2341" s="19" t="s">
        <v>2968</v>
      </c>
      <c r="F2341" s="19"/>
      <c r="G2341" s="19"/>
      <c r="H2341" s="19"/>
      <c r="I2341" s="19"/>
      <c r="J2341" s="19"/>
      <c r="K2341" s="19" t="s">
        <v>2961</v>
      </c>
    </row>
    <row r="2342" spans="1:11">
      <c r="A2342" s="19"/>
      <c r="B2342" s="19"/>
      <c r="C2342" s="19"/>
      <c r="D2342" s="19" t="s">
        <v>779</v>
      </c>
      <c r="E2342" s="19" t="s">
        <v>2969</v>
      </c>
      <c r="F2342" s="19"/>
      <c r="G2342" s="19"/>
      <c r="H2342" s="19"/>
      <c r="I2342" s="19"/>
      <c r="J2342" s="19"/>
      <c r="K2342" s="19" t="s">
        <v>2961</v>
      </c>
    </row>
    <row r="2343" spans="1:11">
      <c r="A2343" s="19"/>
      <c r="B2343" s="19"/>
      <c r="C2343" s="19"/>
      <c r="D2343" s="19" t="s">
        <v>782</v>
      </c>
      <c r="E2343" s="19" t="s">
        <v>2970</v>
      </c>
      <c r="F2343" s="19"/>
      <c r="G2343" s="19"/>
      <c r="H2343" s="19"/>
      <c r="I2343" s="19"/>
      <c r="J2343" s="19"/>
      <c r="K2343" s="19" t="s">
        <v>2961</v>
      </c>
    </row>
    <row r="2344" spans="1:11">
      <c r="A2344" s="19"/>
      <c r="B2344" s="19" t="s">
        <v>223</v>
      </c>
      <c r="C2344" s="19">
        <v>44631</v>
      </c>
      <c r="D2344" s="19" t="s">
        <v>2971</v>
      </c>
      <c r="E2344" s="19" t="s">
        <v>2972</v>
      </c>
      <c r="F2344" s="19" t="s">
        <v>210</v>
      </c>
      <c r="G2344" s="19">
        <v>931433712</v>
      </c>
      <c r="H2344" s="19"/>
      <c r="I2344" s="19"/>
      <c r="J2344" s="19"/>
      <c r="K2344" s="19" t="s">
        <v>2961</v>
      </c>
    </row>
    <row r="2345" spans="1:11">
      <c r="A2345" s="19"/>
      <c r="B2345" s="19">
        <v>903511773250</v>
      </c>
      <c r="C2345" s="19">
        <v>44635</v>
      </c>
      <c r="D2345" s="19" t="s">
        <v>1501</v>
      </c>
      <c r="E2345" s="19" t="s">
        <v>2973</v>
      </c>
      <c r="F2345" s="19" t="s">
        <v>1398</v>
      </c>
      <c r="G2345" s="19" t="s">
        <v>2974</v>
      </c>
      <c r="H2345" s="19"/>
      <c r="I2345" s="19"/>
      <c r="J2345" s="19"/>
      <c r="K2345" s="19" t="s">
        <v>2961</v>
      </c>
    </row>
    <row r="2346" spans="1:11">
      <c r="A2346" s="19"/>
      <c r="B2346" s="19">
        <v>903511773250</v>
      </c>
      <c r="C2346" s="19">
        <v>44635</v>
      </c>
      <c r="D2346" s="19" t="s">
        <v>1501</v>
      </c>
      <c r="E2346" s="19" t="s">
        <v>2975</v>
      </c>
      <c r="F2346" s="19" t="s">
        <v>1398</v>
      </c>
      <c r="G2346" s="19" t="s">
        <v>2974</v>
      </c>
      <c r="H2346" s="19"/>
      <c r="I2346" s="19"/>
      <c r="J2346" s="19"/>
      <c r="K2346" s="19" t="s">
        <v>2961</v>
      </c>
    </row>
    <row r="2347" spans="1:11">
      <c r="A2347" s="19">
        <v>44293</v>
      </c>
      <c r="B2347" s="19" t="s">
        <v>2977</v>
      </c>
      <c r="C2347" s="19">
        <v>44287</v>
      </c>
      <c r="D2347" s="19" t="s">
        <v>1501</v>
      </c>
      <c r="E2347" s="19" t="s">
        <v>2978</v>
      </c>
      <c r="F2347" s="19" t="s">
        <v>2979</v>
      </c>
      <c r="G2347" s="19" t="s">
        <v>2980</v>
      </c>
      <c r="H2347" s="19"/>
      <c r="I2347" s="19"/>
      <c r="J2347" s="19"/>
      <c r="K2347" s="19" t="s">
        <v>2961</v>
      </c>
    </row>
    <row r="2348" spans="1:11">
      <c r="A2348" s="19">
        <v>44298</v>
      </c>
      <c r="B2348" s="19" t="s">
        <v>1205</v>
      </c>
      <c r="C2348" s="19">
        <v>44294</v>
      </c>
      <c r="D2348" s="19" t="s">
        <v>1501</v>
      </c>
      <c r="E2348" s="19" t="s">
        <v>2981</v>
      </c>
      <c r="F2348" s="19" t="s">
        <v>1207</v>
      </c>
      <c r="G2348" s="19" t="s">
        <v>1208</v>
      </c>
      <c r="H2348" s="19"/>
      <c r="I2348" s="19"/>
      <c r="J2348" s="19"/>
      <c r="K2348" s="19" t="s">
        <v>2961</v>
      </c>
    </row>
    <row r="2349" spans="1:11">
      <c r="A2349" s="6">
        <v>44643</v>
      </c>
      <c r="B2349" s="20" t="s">
        <v>2983</v>
      </c>
      <c r="C2349" s="6">
        <v>44642</v>
      </c>
      <c r="D2349" s="21" t="s">
        <v>2984</v>
      </c>
      <c r="E2349" s="21" t="s">
        <v>2985</v>
      </c>
      <c r="F2349" t="s">
        <v>202</v>
      </c>
      <c r="G2349" t="s">
        <v>2986</v>
      </c>
      <c r="H2349"/>
      <c r="I2349"/>
      <c r="J2349"/>
      <c r="K2349" t="s">
        <v>2987</v>
      </c>
    </row>
    <row r="2350" spans="1:11">
      <c r="A2350" s="6">
        <v>44643</v>
      </c>
      <c r="B2350" s="20" t="s">
        <v>2983</v>
      </c>
      <c r="C2350" s="6">
        <v>44642</v>
      </c>
      <c r="D2350" s="21" t="s">
        <v>2984</v>
      </c>
      <c r="E2350" s="21" t="s">
        <v>2988</v>
      </c>
      <c r="F2350" t="s">
        <v>202</v>
      </c>
      <c r="G2350" t="s">
        <v>2986</v>
      </c>
      <c r="H2350"/>
      <c r="I2350"/>
      <c r="J2350"/>
      <c r="K2350" t="s">
        <v>2987</v>
      </c>
    </row>
    <row r="2351" spans="1:11">
      <c r="A2351" s="6">
        <v>44643</v>
      </c>
      <c r="B2351" s="20" t="s">
        <v>2983</v>
      </c>
      <c r="C2351" s="6">
        <v>44642</v>
      </c>
      <c r="D2351" s="21" t="s">
        <v>2984</v>
      </c>
      <c r="E2351" s="21" t="s">
        <v>2989</v>
      </c>
      <c r="F2351" t="s">
        <v>202</v>
      </c>
      <c r="G2351" t="s">
        <v>2986</v>
      </c>
      <c r="H2351"/>
      <c r="I2351"/>
      <c r="J2351"/>
      <c r="K2351" t="s">
        <v>2987</v>
      </c>
    </row>
    <row r="2352" spans="1:11">
      <c r="A2352" s="6">
        <v>44644</v>
      </c>
      <c r="B2352" s="20">
        <v>567147785183</v>
      </c>
      <c r="C2352" s="6">
        <v>44642</v>
      </c>
      <c r="D2352" s="21" t="s">
        <v>2990</v>
      </c>
      <c r="E2352" s="21" t="s">
        <v>2991</v>
      </c>
      <c r="F2352" t="s">
        <v>2992</v>
      </c>
      <c r="G2352" t="s">
        <v>2993</v>
      </c>
      <c r="H2352"/>
      <c r="I2352"/>
      <c r="J2352"/>
      <c r="K2352" t="s">
        <v>2987</v>
      </c>
    </row>
    <row r="2353" spans="1:11">
      <c r="A2353" s="6">
        <v>44644</v>
      </c>
      <c r="B2353" s="20">
        <v>567147785183</v>
      </c>
      <c r="C2353" s="6">
        <v>44642</v>
      </c>
      <c r="D2353" s="21" t="s">
        <v>2990</v>
      </c>
      <c r="E2353" s="21" t="s">
        <v>2994</v>
      </c>
      <c r="F2353" t="s">
        <v>2992</v>
      </c>
      <c r="G2353" t="s">
        <v>2993</v>
      </c>
      <c r="H2353"/>
      <c r="I2353"/>
      <c r="J2353"/>
      <c r="K2353" t="s">
        <v>2987</v>
      </c>
    </row>
    <row r="2354" spans="1:11">
      <c r="A2354" s="6">
        <v>44644</v>
      </c>
      <c r="B2354" s="20">
        <v>567147785183</v>
      </c>
      <c r="C2354" s="6">
        <v>44642</v>
      </c>
      <c r="D2354" s="21" t="s">
        <v>2990</v>
      </c>
      <c r="E2354" s="21" t="s">
        <v>2995</v>
      </c>
      <c r="F2354" t="s">
        <v>2992</v>
      </c>
      <c r="G2354" t="s">
        <v>2993</v>
      </c>
      <c r="H2354"/>
      <c r="I2354"/>
      <c r="J2354"/>
      <c r="K2354" t="s">
        <v>2987</v>
      </c>
    </row>
    <row r="2355" spans="1:11">
      <c r="A2355" s="6">
        <v>44644</v>
      </c>
      <c r="B2355" s="20">
        <v>567147785183</v>
      </c>
      <c r="C2355" s="6">
        <v>44642</v>
      </c>
      <c r="D2355" s="21" t="s">
        <v>2990</v>
      </c>
      <c r="E2355" s="21" t="s">
        <v>2996</v>
      </c>
      <c r="F2355" t="s">
        <v>2992</v>
      </c>
      <c r="G2355" t="s">
        <v>2993</v>
      </c>
      <c r="H2355"/>
      <c r="I2355"/>
      <c r="J2355"/>
      <c r="K2355" t="s">
        <v>2987</v>
      </c>
    </row>
    <row r="2356" spans="1:11">
      <c r="A2356" s="6">
        <v>44644</v>
      </c>
      <c r="B2356" s="20">
        <v>567147785183</v>
      </c>
      <c r="C2356" s="6">
        <v>44642</v>
      </c>
      <c r="D2356" s="21" t="s">
        <v>2032</v>
      </c>
      <c r="E2356" s="21" t="s">
        <v>2997</v>
      </c>
      <c r="F2356" t="s">
        <v>2992</v>
      </c>
      <c r="G2356" t="s">
        <v>2993</v>
      </c>
      <c r="H2356"/>
      <c r="I2356"/>
      <c r="J2356"/>
      <c r="K2356" t="s">
        <v>2987</v>
      </c>
    </row>
    <row r="2357" spans="1:11">
      <c r="A2357" s="6">
        <v>44644</v>
      </c>
      <c r="B2357" s="20">
        <v>567147785183</v>
      </c>
      <c r="C2357" s="6">
        <v>44642</v>
      </c>
      <c r="D2357" s="21" t="s">
        <v>2032</v>
      </c>
      <c r="E2357" s="21" t="s">
        <v>2998</v>
      </c>
      <c r="F2357" t="s">
        <v>2992</v>
      </c>
      <c r="G2357" t="s">
        <v>2993</v>
      </c>
      <c r="H2357"/>
      <c r="I2357"/>
      <c r="J2357"/>
      <c r="K2357" t="s">
        <v>2987</v>
      </c>
    </row>
    <row r="2358" spans="1:11">
      <c r="A2358"/>
      <c r="B2358" s="20"/>
      <c r="C2358"/>
      <c r="D2358" s="21" t="s">
        <v>2999</v>
      </c>
      <c r="E2358" s="21" t="s">
        <v>3000</v>
      </c>
      <c r="F2358"/>
      <c r="G2358"/>
      <c r="H2358"/>
      <c r="I2358"/>
      <c r="J2358"/>
      <c r="K2358" t="s">
        <v>2987</v>
      </c>
    </row>
    <row r="2359" spans="1:11">
      <c r="A2359"/>
      <c r="B2359" s="20"/>
      <c r="C2359"/>
      <c r="D2359" s="21" t="s">
        <v>782</v>
      </c>
      <c r="E2359" s="21" t="s">
        <v>3001</v>
      </c>
      <c r="F2359"/>
      <c r="G2359"/>
      <c r="H2359"/>
      <c r="I2359"/>
      <c r="J2359"/>
      <c r="K2359" t="s">
        <v>2987</v>
      </c>
    </row>
    <row r="2360" spans="1:11">
      <c r="A2360"/>
      <c r="B2360" s="20"/>
      <c r="C2360"/>
      <c r="D2360" s="21" t="s">
        <v>946</v>
      </c>
      <c r="E2360" s="21" t="s">
        <v>3002</v>
      </c>
      <c r="F2360"/>
      <c r="G2360"/>
      <c r="H2360"/>
      <c r="I2360"/>
      <c r="J2360"/>
      <c r="K2360" t="s">
        <v>2987</v>
      </c>
    </row>
    <row r="2361" spans="1:11">
      <c r="A2361"/>
      <c r="B2361" s="20"/>
      <c r="C2361"/>
      <c r="D2361" s="21" t="s">
        <v>2148</v>
      </c>
      <c r="E2361" s="21" t="s">
        <v>3003</v>
      </c>
      <c r="F2361"/>
      <c r="G2361"/>
      <c r="H2361"/>
      <c r="I2361"/>
      <c r="J2361"/>
      <c r="K2361" t="s">
        <v>2987</v>
      </c>
    </row>
    <row r="2362" spans="1:11">
      <c r="A2362" s="22">
        <v>44454</v>
      </c>
      <c r="B2362" s="23">
        <v>343770145</v>
      </c>
      <c r="C2362" s="24"/>
      <c r="D2362" s="24" t="s">
        <v>2141</v>
      </c>
      <c r="E2362" s="24" t="s">
        <v>3004</v>
      </c>
      <c r="F2362" t="s">
        <v>982</v>
      </c>
      <c r="G2362"/>
      <c r="H2362"/>
      <c r="I2362"/>
      <c r="J2362"/>
      <c r="K2362" s="25" t="s">
        <v>2987</v>
      </c>
    </row>
    <row r="2363" spans="1:11">
      <c r="A2363" s="30">
        <v>44666</v>
      </c>
      <c r="B2363" s="31" t="s">
        <v>3006</v>
      </c>
      <c r="C2363" s="30">
        <v>44665</v>
      </c>
      <c r="D2363" s="32" t="s">
        <v>2623</v>
      </c>
      <c r="E2363" s="19" t="s">
        <v>3007</v>
      </c>
      <c r="F2363" s="19" t="s">
        <v>202</v>
      </c>
      <c r="G2363" s="19" t="s">
        <v>3008</v>
      </c>
      <c r="H2363" s="19"/>
      <c r="I2363" s="19"/>
      <c r="J2363" s="19"/>
      <c r="K2363" s="19" t="s">
        <v>3009</v>
      </c>
    </row>
    <row r="2364" spans="1:11">
      <c r="A2364" s="30">
        <v>44666</v>
      </c>
      <c r="B2364" s="31" t="s">
        <v>3010</v>
      </c>
      <c r="C2364" s="30">
        <v>44665</v>
      </c>
      <c r="D2364" s="32" t="s">
        <v>2609</v>
      </c>
      <c r="E2364" s="19" t="s">
        <v>3011</v>
      </c>
      <c r="F2364" s="19" t="s">
        <v>202</v>
      </c>
      <c r="G2364" s="19" t="s">
        <v>3012</v>
      </c>
      <c r="H2364" s="19"/>
      <c r="I2364" s="19"/>
      <c r="J2364" s="19"/>
      <c r="K2364" s="19" t="s">
        <v>3009</v>
      </c>
    </row>
    <row r="2365" spans="1:11">
      <c r="A2365" s="30">
        <v>44671</v>
      </c>
      <c r="B2365" s="31" t="s">
        <v>3013</v>
      </c>
      <c r="C2365" s="30">
        <v>44665</v>
      </c>
      <c r="D2365" s="19" t="s">
        <v>1715</v>
      </c>
      <c r="E2365" s="19" t="s">
        <v>3014</v>
      </c>
      <c r="F2365" s="19" t="s">
        <v>2592</v>
      </c>
      <c r="G2365" s="19">
        <v>3130355</v>
      </c>
      <c r="H2365" s="19"/>
      <c r="I2365" s="19"/>
      <c r="J2365" s="19"/>
      <c r="K2365" s="19" t="s">
        <v>3009</v>
      </c>
    </row>
    <row r="2366" spans="1:11">
      <c r="A2366" s="30">
        <v>44671</v>
      </c>
      <c r="B2366" s="31">
        <v>332352190139</v>
      </c>
      <c r="C2366" s="30">
        <v>44665</v>
      </c>
      <c r="D2366" s="19" t="s">
        <v>3015</v>
      </c>
      <c r="E2366" s="19" t="s">
        <v>3016</v>
      </c>
      <c r="F2366" s="19" t="s">
        <v>905</v>
      </c>
      <c r="G2366" s="19" t="s">
        <v>3017</v>
      </c>
      <c r="H2366" s="19"/>
      <c r="I2366" s="19"/>
      <c r="J2366" s="19"/>
      <c r="K2366" s="19" t="s">
        <v>3009</v>
      </c>
    </row>
    <row r="2367" spans="1:11">
      <c r="A2367" s="30">
        <v>44671</v>
      </c>
      <c r="B2367" s="31">
        <v>332352190139</v>
      </c>
      <c r="C2367" s="30">
        <v>44665</v>
      </c>
      <c r="D2367" s="19" t="s">
        <v>3015</v>
      </c>
      <c r="E2367" s="19" t="s">
        <v>3018</v>
      </c>
      <c r="F2367" s="19" t="s">
        <v>905</v>
      </c>
      <c r="G2367" s="19" t="s">
        <v>3017</v>
      </c>
      <c r="H2367" s="19"/>
      <c r="I2367" s="19"/>
      <c r="J2367" s="19"/>
      <c r="K2367" s="19" t="s">
        <v>3009</v>
      </c>
    </row>
    <row r="2368" spans="1:11">
      <c r="A2368" s="30">
        <v>44671</v>
      </c>
      <c r="B2368" s="31">
        <v>332352190139</v>
      </c>
      <c r="C2368" s="30">
        <v>44665</v>
      </c>
      <c r="D2368" s="19" t="s">
        <v>3015</v>
      </c>
      <c r="E2368" s="19" t="s">
        <v>3019</v>
      </c>
      <c r="F2368" s="19" t="s">
        <v>905</v>
      </c>
      <c r="G2368" s="19" t="s">
        <v>3017</v>
      </c>
      <c r="H2368" s="19"/>
      <c r="I2368" s="19"/>
      <c r="J2368" s="19"/>
      <c r="K2368" s="19" t="s">
        <v>3009</v>
      </c>
    </row>
    <row r="2369" spans="1:11">
      <c r="A2369" s="30">
        <v>44671</v>
      </c>
      <c r="B2369" s="31">
        <v>332352190139</v>
      </c>
      <c r="C2369" s="30">
        <v>44665</v>
      </c>
      <c r="D2369" s="19" t="s">
        <v>3015</v>
      </c>
      <c r="E2369" s="19" t="s">
        <v>3020</v>
      </c>
      <c r="F2369" s="19" t="s">
        <v>905</v>
      </c>
      <c r="G2369" s="19" t="s">
        <v>3017</v>
      </c>
      <c r="H2369" s="19"/>
      <c r="I2369" s="19"/>
      <c r="J2369" s="19"/>
      <c r="K2369" s="19" t="s">
        <v>3009</v>
      </c>
    </row>
    <row r="2370" spans="1:11">
      <c r="A2370" s="30">
        <v>44671</v>
      </c>
      <c r="B2370" s="31">
        <v>332352190139</v>
      </c>
      <c r="C2370" s="30">
        <v>44665</v>
      </c>
      <c r="D2370" s="19" t="s">
        <v>3021</v>
      </c>
      <c r="E2370" s="19" t="s">
        <v>3022</v>
      </c>
      <c r="F2370" s="19" t="s">
        <v>905</v>
      </c>
      <c r="G2370" s="19" t="s">
        <v>3017</v>
      </c>
      <c r="H2370" s="19"/>
      <c r="I2370" s="19"/>
      <c r="J2370" s="19"/>
      <c r="K2370" s="19" t="s">
        <v>3009</v>
      </c>
    </row>
    <row r="2371" spans="1:11">
      <c r="A2371" s="30">
        <v>44676</v>
      </c>
      <c r="B2371" s="31" t="s">
        <v>223</v>
      </c>
      <c r="C2371" s="30">
        <v>44673</v>
      </c>
      <c r="D2371" s="19" t="s">
        <v>1718</v>
      </c>
      <c r="E2371" s="19" t="s">
        <v>3023</v>
      </c>
      <c r="F2371" s="19" t="s">
        <v>12</v>
      </c>
      <c r="G2371" s="19">
        <v>931458304</v>
      </c>
      <c r="H2371" s="19"/>
      <c r="I2371" s="19"/>
      <c r="J2371" s="19"/>
      <c r="K2371" s="19" t="s">
        <v>3009</v>
      </c>
    </row>
    <row r="2372" spans="1:11">
      <c r="A2372" s="33"/>
      <c r="B2372" s="34"/>
      <c r="C2372" s="33"/>
      <c r="D2372" s="33" t="s">
        <v>2153</v>
      </c>
      <c r="E2372" s="33" t="s">
        <v>3024</v>
      </c>
      <c r="F2372" s="33" t="s">
        <v>12</v>
      </c>
      <c r="G2372" s="33">
        <v>931458304</v>
      </c>
      <c r="H2372" s="33"/>
      <c r="I2372" s="33"/>
      <c r="J2372" s="33"/>
      <c r="K2372" s="33" t="s">
        <v>3009</v>
      </c>
    </row>
    <row r="2373" spans="1:11">
      <c r="A2373" s="19"/>
      <c r="B2373" s="31"/>
      <c r="C2373" s="19"/>
      <c r="D2373" s="19" t="s">
        <v>918</v>
      </c>
      <c r="E2373" s="19" t="s">
        <v>3025</v>
      </c>
      <c r="F2373" s="19"/>
      <c r="G2373" s="19"/>
      <c r="H2373" s="19"/>
      <c r="I2373" s="19"/>
      <c r="J2373" s="19"/>
      <c r="K2373" s="19" t="s">
        <v>3009</v>
      </c>
    </row>
    <row r="2374" spans="1:11">
      <c r="A2374" s="19"/>
      <c r="B2374" s="31"/>
      <c r="C2374" s="19"/>
      <c r="D2374" s="19" t="s">
        <v>918</v>
      </c>
      <c r="E2374" s="19" t="s">
        <v>3026</v>
      </c>
      <c r="F2374" s="19"/>
      <c r="G2374" s="19"/>
      <c r="H2374" s="19"/>
      <c r="I2374" s="19"/>
      <c r="J2374" s="19"/>
      <c r="K2374" s="19" t="s">
        <v>3009</v>
      </c>
    </row>
    <row r="2375" spans="1:11">
      <c r="A2375" s="35"/>
      <c r="B2375" s="36"/>
      <c r="C2375" s="35"/>
      <c r="D2375" s="35" t="s">
        <v>2608</v>
      </c>
      <c r="E2375" s="35" t="s">
        <v>3027</v>
      </c>
      <c r="F2375" s="35"/>
      <c r="G2375" s="35"/>
      <c r="H2375" s="35"/>
      <c r="I2375" s="35"/>
      <c r="J2375" s="35"/>
      <c r="K2375" s="35" t="s">
        <v>3009</v>
      </c>
    </row>
    <row r="2376" spans="1:11">
      <c r="A2376" s="30">
        <v>44677</v>
      </c>
      <c r="B2376" s="31">
        <v>10812566571</v>
      </c>
      <c r="C2376" s="30">
        <v>44676</v>
      </c>
      <c r="D2376" s="19" t="s">
        <v>3028</v>
      </c>
      <c r="E2376" s="19" t="s">
        <v>3029</v>
      </c>
      <c r="F2376" s="19" t="s">
        <v>753</v>
      </c>
      <c r="G2376" s="19">
        <v>40038240</v>
      </c>
      <c r="H2376" s="19"/>
      <c r="I2376" s="19"/>
      <c r="J2376" s="19"/>
      <c r="K2376" s="19" t="s">
        <v>3009</v>
      </c>
    </row>
    <row r="2377" spans="1:11">
      <c r="A2377" s="6">
        <v>44666</v>
      </c>
      <c r="B2377" s="20" t="s">
        <v>3006</v>
      </c>
      <c r="C2377" s="6">
        <v>44665</v>
      </c>
      <c r="D2377" s="21" t="s">
        <v>2623</v>
      </c>
      <c r="E2377" t="s">
        <v>3032</v>
      </c>
      <c r="F2377" t="s">
        <v>202</v>
      </c>
      <c r="G2377" t="s">
        <v>3008</v>
      </c>
      <c r="H2377"/>
      <c r="I2377"/>
      <c r="J2377"/>
      <c r="K2377" t="s">
        <v>3031</v>
      </c>
    </row>
    <row r="2378" spans="1:11">
      <c r="A2378" s="6">
        <v>44666</v>
      </c>
      <c r="B2378" s="20" t="s">
        <v>3010</v>
      </c>
      <c r="C2378" s="6">
        <v>44665</v>
      </c>
      <c r="D2378" s="21" t="s">
        <v>2609</v>
      </c>
      <c r="E2378" t="s">
        <v>3033</v>
      </c>
      <c r="F2378" t="s">
        <v>202</v>
      </c>
      <c r="G2378" t="s">
        <v>3012</v>
      </c>
      <c r="H2378"/>
      <c r="I2378"/>
      <c r="J2378"/>
      <c r="K2378" t="s">
        <v>3031</v>
      </c>
    </row>
    <row r="2379" spans="1:11">
      <c r="A2379" s="6">
        <v>44671</v>
      </c>
      <c r="B2379" s="20" t="s">
        <v>3013</v>
      </c>
      <c r="C2379" s="6">
        <v>44665</v>
      </c>
      <c r="D2379" t="s">
        <v>1715</v>
      </c>
      <c r="E2379" t="s">
        <v>3034</v>
      </c>
      <c r="F2379" t="s">
        <v>2592</v>
      </c>
      <c r="G2379">
        <v>3130355</v>
      </c>
      <c r="H2379"/>
      <c r="I2379"/>
      <c r="J2379"/>
      <c r="K2379" t="s">
        <v>3031</v>
      </c>
    </row>
    <row r="2380" spans="1:11">
      <c r="A2380" s="6">
        <v>44671</v>
      </c>
      <c r="B2380" s="20">
        <v>332352190139</v>
      </c>
      <c r="C2380" s="6">
        <v>44665</v>
      </c>
      <c r="D2380" t="s">
        <v>3015</v>
      </c>
      <c r="E2380" t="s">
        <v>3035</v>
      </c>
      <c r="F2380" t="s">
        <v>905</v>
      </c>
      <c r="G2380" t="s">
        <v>3017</v>
      </c>
      <c r="H2380"/>
      <c r="I2380"/>
      <c r="J2380"/>
      <c r="K2380" t="s">
        <v>3031</v>
      </c>
    </row>
    <row r="2381" spans="1:11">
      <c r="A2381" s="6">
        <v>44671</v>
      </c>
      <c r="B2381" s="20">
        <v>332352190139</v>
      </c>
      <c r="C2381" s="6">
        <v>44665</v>
      </c>
      <c r="D2381" t="s">
        <v>3015</v>
      </c>
      <c r="E2381" t="s">
        <v>3036</v>
      </c>
      <c r="F2381" t="s">
        <v>905</v>
      </c>
      <c r="G2381" t="s">
        <v>3017</v>
      </c>
      <c r="H2381"/>
      <c r="I2381"/>
      <c r="J2381"/>
      <c r="K2381" t="s">
        <v>3031</v>
      </c>
    </row>
    <row r="2382" spans="1:11">
      <c r="A2382" s="6">
        <v>44671</v>
      </c>
      <c r="B2382" s="20">
        <v>332352190139</v>
      </c>
      <c r="C2382" s="6">
        <v>44665</v>
      </c>
      <c r="D2382" t="s">
        <v>3015</v>
      </c>
      <c r="E2382" t="s">
        <v>3037</v>
      </c>
      <c r="F2382" t="s">
        <v>905</v>
      </c>
      <c r="G2382" t="s">
        <v>3017</v>
      </c>
      <c r="H2382"/>
      <c r="I2382"/>
      <c r="J2382"/>
      <c r="K2382" t="s">
        <v>3031</v>
      </c>
    </row>
    <row r="2383" spans="1:11">
      <c r="A2383" s="6">
        <v>44671</v>
      </c>
      <c r="B2383" s="20">
        <v>332352190139</v>
      </c>
      <c r="C2383" s="6">
        <v>44665</v>
      </c>
      <c r="D2383" t="s">
        <v>3015</v>
      </c>
      <c r="E2383" t="s">
        <v>3038</v>
      </c>
      <c r="F2383" t="s">
        <v>905</v>
      </c>
      <c r="G2383" t="s">
        <v>3017</v>
      </c>
      <c r="H2383"/>
      <c r="I2383"/>
      <c r="J2383"/>
      <c r="K2383" t="s">
        <v>3031</v>
      </c>
    </row>
    <row r="2384" spans="1:11">
      <c r="A2384" s="6">
        <v>44671</v>
      </c>
      <c r="B2384" s="20">
        <v>332352190139</v>
      </c>
      <c r="C2384" s="6">
        <v>44665</v>
      </c>
      <c r="D2384" t="s">
        <v>3021</v>
      </c>
      <c r="E2384" t="s">
        <v>3045</v>
      </c>
      <c r="F2384" t="s">
        <v>905</v>
      </c>
      <c r="G2384" t="s">
        <v>3017</v>
      </c>
      <c r="H2384"/>
      <c r="I2384"/>
      <c r="J2384"/>
      <c r="K2384" t="s">
        <v>3031</v>
      </c>
    </row>
    <row r="2385" spans="1:11">
      <c r="A2385" s="26"/>
      <c r="B2385" s="27"/>
      <c r="C2385" s="26"/>
      <c r="D2385" s="26" t="s">
        <v>2153</v>
      </c>
      <c r="E2385" s="26" t="s">
        <v>3039</v>
      </c>
      <c r="F2385" s="26" t="s">
        <v>12</v>
      </c>
      <c r="G2385" s="26">
        <v>931458295</v>
      </c>
      <c r="H2385" s="26"/>
      <c r="I2385" s="26"/>
      <c r="J2385" s="26"/>
      <c r="K2385" s="26" t="s">
        <v>3031</v>
      </c>
    </row>
    <row r="2386" spans="1:11">
      <c r="A2386"/>
      <c r="B2386" s="20"/>
      <c r="C2386"/>
      <c r="D2386" t="s">
        <v>918</v>
      </c>
      <c r="E2386" t="s">
        <v>3040</v>
      </c>
      <c r="F2386"/>
      <c r="G2386"/>
      <c r="H2386"/>
      <c r="I2386"/>
      <c r="J2386"/>
      <c r="K2386" t="s">
        <v>3031</v>
      </c>
    </row>
    <row r="2387" spans="1:11">
      <c r="A2387"/>
      <c r="B2387" s="20"/>
      <c r="C2387"/>
      <c r="D2387" t="s">
        <v>918</v>
      </c>
      <c r="E2387" t="s">
        <v>3041</v>
      </c>
      <c r="F2387"/>
      <c r="G2387"/>
      <c r="H2387"/>
      <c r="I2387"/>
      <c r="J2387"/>
      <c r="K2387" t="s">
        <v>3031</v>
      </c>
    </row>
    <row r="2388" spans="1:11">
      <c r="A2388" s="28"/>
      <c r="B2388" s="29"/>
      <c r="C2388" s="28"/>
      <c r="D2388" s="28" t="s">
        <v>2608</v>
      </c>
      <c r="E2388" s="28" t="s">
        <v>3042</v>
      </c>
      <c r="F2388" s="28"/>
      <c r="G2388" s="28"/>
      <c r="H2388" s="28"/>
      <c r="I2388" s="28"/>
      <c r="J2388" s="28"/>
      <c r="K2388" s="28" t="s">
        <v>3031</v>
      </c>
    </row>
    <row r="2389" spans="1:11">
      <c r="A2389"/>
      <c r="B2389" s="20"/>
      <c r="C2389"/>
      <c r="D2389" t="s">
        <v>1718</v>
      </c>
      <c r="E2389" t="s">
        <v>3043</v>
      </c>
      <c r="F2389" t="s">
        <v>12</v>
      </c>
      <c r="G2389">
        <v>931458295</v>
      </c>
      <c r="H2389"/>
      <c r="I2389"/>
      <c r="J2389"/>
      <c r="K2389" t="s">
        <v>3031</v>
      </c>
    </row>
    <row r="2390" spans="1:11">
      <c r="A2390" s="6">
        <v>44677</v>
      </c>
      <c r="B2390" s="20">
        <v>10812566571</v>
      </c>
      <c r="C2390" s="6">
        <v>44676</v>
      </c>
      <c r="D2390" t="s">
        <v>3028</v>
      </c>
      <c r="E2390" t="s">
        <v>3044</v>
      </c>
      <c r="F2390" t="s">
        <v>753</v>
      </c>
      <c r="G2390">
        <v>40038240</v>
      </c>
      <c r="H2390"/>
      <c r="I2390"/>
      <c r="J2390"/>
      <c r="K2390" t="s">
        <v>3031</v>
      </c>
    </row>
    <row r="2391" spans="1:11">
      <c r="A2391"/>
      <c r="B2391"/>
      <c r="C2391"/>
      <c r="D2391" t="s">
        <v>2633</v>
      </c>
      <c r="E2391" s="37" t="s">
        <v>3046</v>
      </c>
      <c r="F2391"/>
      <c r="G2391"/>
      <c r="H2391"/>
      <c r="I2391"/>
      <c r="J2391"/>
      <c r="K2391" t="s">
        <v>3031</v>
      </c>
    </row>
    <row r="2392" spans="1:11">
      <c r="A2392"/>
      <c r="B2392"/>
      <c r="C2392"/>
      <c r="D2392" t="s">
        <v>2633</v>
      </c>
      <c r="E2392" s="37" t="s">
        <v>3047</v>
      </c>
      <c r="F2392"/>
      <c r="G2392"/>
      <c r="H2392"/>
      <c r="I2392"/>
      <c r="J2392"/>
      <c r="K2392" t="s">
        <v>3009</v>
      </c>
    </row>
    <row r="2393" spans="1:11">
      <c r="A2393" s="30">
        <v>44627</v>
      </c>
      <c r="B2393" s="31">
        <v>903511768300</v>
      </c>
      <c r="C2393" s="30">
        <v>44624</v>
      </c>
      <c r="D2393" s="32" t="s">
        <v>3048</v>
      </c>
      <c r="E2393" s="19" t="s">
        <v>3049</v>
      </c>
      <c r="F2393" s="19" t="s">
        <v>1398</v>
      </c>
      <c r="G2393" s="19" t="s">
        <v>3050</v>
      </c>
      <c r="H2393" s="19"/>
      <c r="I2393" s="19"/>
      <c r="J2393" s="19"/>
      <c r="K2393" s="19" t="s">
        <v>3051</v>
      </c>
    </row>
    <row r="2394" spans="1:11">
      <c r="A2394" s="30">
        <v>44634</v>
      </c>
      <c r="B2394" s="31" t="s">
        <v>223</v>
      </c>
      <c r="C2394" s="30">
        <v>44631</v>
      </c>
      <c r="D2394" s="32" t="s">
        <v>3052</v>
      </c>
      <c r="E2394" s="19" t="s">
        <v>3053</v>
      </c>
      <c r="F2394" s="19" t="s">
        <v>210</v>
      </c>
      <c r="G2394" s="19">
        <v>931433711</v>
      </c>
      <c r="H2394" s="19"/>
      <c r="I2394" s="19"/>
      <c r="J2394" s="19"/>
      <c r="K2394" s="19" t="s">
        <v>3051</v>
      </c>
    </row>
    <row r="2395" spans="1:11">
      <c r="A2395" s="30">
        <v>44634</v>
      </c>
      <c r="B2395" s="31" t="s">
        <v>223</v>
      </c>
      <c r="C2395" s="30">
        <v>44631</v>
      </c>
      <c r="D2395" s="32" t="s">
        <v>3052</v>
      </c>
      <c r="E2395" s="19" t="s">
        <v>3054</v>
      </c>
      <c r="F2395" s="19" t="s">
        <v>210</v>
      </c>
      <c r="G2395" s="19">
        <v>931433711</v>
      </c>
      <c r="H2395" s="19"/>
      <c r="I2395" s="19"/>
      <c r="J2395" s="19"/>
      <c r="K2395" s="19" t="s">
        <v>3051</v>
      </c>
    </row>
    <row r="2396" spans="1:11">
      <c r="A2396" s="30">
        <v>44657</v>
      </c>
      <c r="B2396" s="31">
        <v>567147788470</v>
      </c>
      <c r="C2396" s="30">
        <v>44655</v>
      </c>
      <c r="D2396" s="32" t="s">
        <v>701</v>
      </c>
      <c r="E2396" s="32" t="s">
        <v>3055</v>
      </c>
      <c r="F2396" s="19" t="s">
        <v>2992</v>
      </c>
      <c r="G2396" s="19" t="s">
        <v>3056</v>
      </c>
      <c r="H2396" s="19"/>
      <c r="I2396" s="19"/>
      <c r="J2396" s="19"/>
      <c r="K2396" s="19" t="s">
        <v>3051</v>
      </c>
    </row>
    <row r="2397" spans="1:11">
      <c r="A2397" s="30"/>
      <c r="B2397" s="31"/>
      <c r="C2397" s="19"/>
      <c r="D2397" s="19"/>
      <c r="E2397" s="19"/>
      <c r="F2397" s="19"/>
      <c r="G2397" s="19"/>
      <c r="H2397" s="19"/>
      <c r="I2397" s="19"/>
      <c r="J2397" s="19"/>
      <c r="K2397" s="19"/>
    </row>
    <row r="2398" spans="1:11">
      <c r="A2398" s="30">
        <v>44627</v>
      </c>
      <c r="B2398" s="31">
        <v>903511768300</v>
      </c>
      <c r="C2398" s="30">
        <v>44624</v>
      </c>
      <c r="D2398" s="32" t="s">
        <v>3048</v>
      </c>
      <c r="E2398" s="19" t="s">
        <v>3059</v>
      </c>
      <c r="F2398" s="19" t="s">
        <v>1398</v>
      </c>
      <c r="G2398" s="19" t="s">
        <v>3050</v>
      </c>
      <c r="H2398" s="19"/>
      <c r="I2398" s="19"/>
      <c r="J2398" s="19"/>
      <c r="K2398" s="19" t="s">
        <v>3060</v>
      </c>
    </row>
    <row r="2399" spans="1:11">
      <c r="A2399" s="30">
        <v>44634</v>
      </c>
      <c r="B2399" s="31" t="s">
        <v>223</v>
      </c>
      <c r="C2399" s="30">
        <v>44631</v>
      </c>
      <c r="D2399" s="32" t="s">
        <v>3052</v>
      </c>
      <c r="E2399" s="19" t="s">
        <v>3061</v>
      </c>
      <c r="F2399" s="19" t="s">
        <v>210</v>
      </c>
      <c r="G2399" s="19">
        <v>931433711</v>
      </c>
      <c r="H2399" s="19"/>
      <c r="I2399" s="19"/>
      <c r="J2399" s="19"/>
      <c r="K2399" s="19" t="s">
        <v>3060</v>
      </c>
    </row>
    <row r="2400" spans="1:11">
      <c r="A2400" s="30">
        <v>44634</v>
      </c>
      <c r="B2400" s="31" t="s">
        <v>223</v>
      </c>
      <c r="C2400" s="30">
        <v>44631</v>
      </c>
      <c r="D2400" s="32" t="s">
        <v>3052</v>
      </c>
      <c r="E2400" s="19" t="s">
        <v>3062</v>
      </c>
      <c r="F2400" s="19" t="s">
        <v>210</v>
      </c>
      <c r="G2400" s="19">
        <v>931433711</v>
      </c>
      <c r="H2400" s="19"/>
      <c r="I2400" s="19"/>
      <c r="J2400" s="19"/>
      <c r="K2400" s="19" t="s">
        <v>3060</v>
      </c>
    </row>
    <row r="2401" spans="1:11">
      <c r="A2401" s="30">
        <v>44657</v>
      </c>
      <c r="B2401" s="31">
        <v>567147788470</v>
      </c>
      <c r="C2401" s="30">
        <v>44655</v>
      </c>
      <c r="D2401" s="32" t="s">
        <v>701</v>
      </c>
      <c r="E2401" s="32" t="s">
        <v>3063</v>
      </c>
      <c r="F2401" s="19" t="s">
        <v>2992</v>
      </c>
      <c r="G2401" s="19" t="s">
        <v>3056</v>
      </c>
      <c r="H2401" s="19"/>
      <c r="I2401" s="19"/>
      <c r="J2401" s="19"/>
      <c r="K2401" s="19" t="s">
        <v>3060</v>
      </c>
    </row>
    <row r="2402" spans="1:11">
      <c r="A2402" s="39"/>
      <c r="B2402" s="34"/>
      <c r="C2402" s="33"/>
      <c r="D2402" s="33"/>
      <c r="E2402" s="33"/>
      <c r="F2402" s="33"/>
      <c r="G2402" s="33"/>
      <c r="H2402" s="33"/>
      <c r="I2402" s="33"/>
      <c r="J2402" s="33"/>
      <c r="K2402" s="19"/>
    </row>
    <row r="2403" spans="1:11">
      <c r="A2403" s="19"/>
      <c r="B2403" s="19"/>
      <c r="C2403" s="19"/>
      <c r="D2403" s="19" t="s">
        <v>976</v>
      </c>
      <c r="E2403" s="40" t="s">
        <v>3065</v>
      </c>
      <c r="F2403" s="19"/>
      <c r="G2403" s="19"/>
      <c r="H2403" s="19"/>
      <c r="I2403" s="19"/>
      <c r="J2403" s="19"/>
      <c r="K2403" s="19" t="s">
        <v>3051</v>
      </c>
    </row>
    <row r="2404" spans="1:11">
      <c r="A2404" s="19"/>
      <c r="B2404" s="19"/>
      <c r="C2404" s="19"/>
      <c r="D2404" s="19" t="s">
        <v>976</v>
      </c>
      <c r="E2404" s="40" t="s">
        <v>3066</v>
      </c>
      <c r="F2404" s="19"/>
      <c r="G2404" s="19"/>
      <c r="H2404" s="19"/>
      <c r="I2404" s="19"/>
      <c r="J2404" s="19"/>
      <c r="K2404" s="19" t="s">
        <v>3060</v>
      </c>
    </row>
    <row r="2405" spans="1:11">
      <c r="A2405" s="6">
        <v>44657</v>
      </c>
      <c r="B2405" s="20">
        <v>567147788470</v>
      </c>
      <c r="C2405" s="6">
        <v>44655</v>
      </c>
      <c r="D2405" s="21" t="s">
        <v>701</v>
      </c>
      <c r="E2405" s="21" t="s">
        <v>3067</v>
      </c>
      <c r="F2405" t="s">
        <v>2992</v>
      </c>
      <c r="G2405" t="s">
        <v>3056</v>
      </c>
      <c r="H2405"/>
      <c r="I2405"/>
      <c r="J2405"/>
      <c r="K2405" t="s">
        <v>3068</v>
      </c>
    </row>
    <row r="2406" spans="1:11">
      <c r="A2406" s="6">
        <v>44659</v>
      </c>
      <c r="B2406" s="20" t="s">
        <v>3069</v>
      </c>
      <c r="C2406" s="6">
        <v>44658</v>
      </c>
      <c r="D2406" s="21" t="s">
        <v>3048</v>
      </c>
      <c r="E2406" t="s">
        <v>3070</v>
      </c>
      <c r="F2406" t="s">
        <v>3071</v>
      </c>
      <c r="G2406" t="s">
        <v>3072</v>
      </c>
      <c r="H2406"/>
      <c r="I2406"/>
      <c r="J2406"/>
      <c r="K2406" t="s">
        <v>3068</v>
      </c>
    </row>
    <row r="2407" spans="1:11">
      <c r="A2407" s="6">
        <v>44671</v>
      </c>
      <c r="B2407" s="20">
        <v>567147791568</v>
      </c>
      <c r="C2407" s="6">
        <v>44665</v>
      </c>
      <c r="D2407" t="s">
        <v>956</v>
      </c>
      <c r="E2407" t="s">
        <v>3073</v>
      </c>
      <c r="F2407" t="s">
        <v>2992</v>
      </c>
      <c r="G2407" t="s">
        <v>3074</v>
      </c>
      <c r="H2407"/>
      <c r="I2407"/>
      <c r="J2407"/>
      <c r="K2407" t="s">
        <v>3068</v>
      </c>
    </row>
    <row r="2408" spans="1:11">
      <c r="A2408" s="6">
        <v>44671</v>
      </c>
      <c r="B2408" s="20">
        <v>567147791568</v>
      </c>
      <c r="C2408" s="6">
        <v>44665</v>
      </c>
      <c r="D2408" t="s">
        <v>956</v>
      </c>
      <c r="E2408" t="s">
        <v>3075</v>
      </c>
      <c r="F2408" t="s">
        <v>2992</v>
      </c>
      <c r="G2408" t="s">
        <v>3074</v>
      </c>
      <c r="H2408"/>
      <c r="I2408"/>
      <c r="J2408"/>
      <c r="K2408" t="s">
        <v>3068</v>
      </c>
    </row>
    <row r="2409" spans="1:11">
      <c r="A2409" s="6"/>
      <c r="B2409" s="20"/>
      <c r="C2409"/>
      <c r="D2409"/>
      <c r="E2409"/>
      <c r="F2409"/>
      <c r="G2409"/>
      <c r="H2409"/>
      <c r="I2409"/>
      <c r="J2409"/>
      <c r="K2409"/>
    </row>
    <row r="2410" spans="1:11">
      <c r="A2410" s="6">
        <v>44657</v>
      </c>
      <c r="B2410" s="20">
        <v>567147788470</v>
      </c>
      <c r="C2410" s="6">
        <v>44655</v>
      </c>
      <c r="D2410" s="21" t="s">
        <v>701</v>
      </c>
      <c r="E2410" s="21" t="s">
        <v>3077</v>
      </c>
      <c r="F2410" t="s">
        <v>2992</v>
      </c>
      <c r="G2410" t="s">
        <v>3056</v>
      </c>
      <c r="H2410"/>
      <c r="I2410"/>
      <c r="J2410"/>
      <c r="K2410" t="s">
        <v>3078</v>
      </c>
    </row>
    <row r="2411" spans="1:11">
      <c r="A2411" s="6">
        <v>44666</v>
      </c>
      <c r="B2411" s="20" t="s">
        <v>223</v>
      </c>
      <c r="C2411" s="6">
        <v>44665</v>
      </c>
      <c r="D2411" t="s">
        <v>3048</v>
      </c>
      <c r="E2411" t="s">
        <v>3079</v>
      </c>
      <c r="F2411" t="s">
        <v>12</v>
      </c>
      <c r="G2411">
        <v>931454073</v>
      </c>
      <c r="H2411"/>
      <c r="I2411"/>
      <c r="J2411"/>
      <c r="K2411" t="s">
        <v>3078</v>
      </c>
    </row>
    <row r="2412" spans="1:11">
      <c r="A2412" s="6">
        <v>44671</v>
      </c>
      <c r="B2412" s="20">
        <v>567147791568</v>
      </c>
      <c r="C2412" s="6">
        <v>44665</v>
      </c>
      <c r="D2412" t="s">
        <v>956</v>
      </c>
      <c r="E2412" t="s">
        <v>3080</v>
      </c>
      <c r="F2412" t="s">
        <v>2992</v>
      </c>
      <c r="G2412" t="s">
        <v>3074</v>
      </c>
      <c r="H2412"/>
      <c r="I2412"/>
      <c r="J2412"/>
      <c r="K2412" t="s">
        <v>3078</v>
      </c>
    </row>
    <row r="2413" spans="1:11">
      <c r="A2413" s="6">
        <v>44671</v>
      </c>
      <c r="B2413" s="20">
        <v>567147791568</v>
      </c>
      <c r="C2413" s="6">
        <v>44665</v>
      </c>
      <c r="D2413" t="s">
        <v>956</v>
      </c>
      <c r="E2413" t="s">
        <v>3081</v>
      </c>
      <c r="F2413" t="s">
        <v>2992</v>
      </c>
      <c r="G2413" t="s">
        <v>3074</v>
      </c>
      <c r="H2413"/>
      <c r="I2413"/>
      <c r="J2413"/>
      <c r="K2413" t="s">
        <v>3078</v>
      </c>
    </row>
    <row r="2414" spans="1:11">
      <c r="A2414" s="38"/>
      <c r="B2414" s="27"/>
      <c r="C2414" s="26"/>
      <c r="D2414" s="26"/>
      <c r="E2414" s="26"/>
      <c r="F2414" s="26"/>
      <c r="G2414" s="26"/>
      <c r="H2414" s="26"/>
      <c r="I2414" s="26"/>
      <c r="J2414" s="26"/>
      <c r="K2414"/>
    </row>
    <row r="2415" spans="1:11">
      <c r="A2415"/>
      <c r="B2415"/>
      <c r="C2415"/>
      <c r="D2415" t="s">
        <v>976</v>
      </c>
      <c r="E2415" s="37" t="s">
        <v>3083</v>
      </c>
      <c r="F2415"/>
      <c r="G2415"/>
      <c r="H2415"/>
      <c r="I2415"/>
      <c r="J2415"/>
      <c r="K2415" t="s">
        <v>3068</v>
      </c>
    </row>
    <row r="2416" spans="1:11">
      <c r="A2416"/>
      <c r="B2416"/>
      <c r="C2416"/>
      <c r="D2416" t="s">
        <v>976</v>
      </c>
      <c r="E2416" s="37" t="s">
        <v>3084</v>
      </c>
      <c r="F2416"/>
      <c r="G2416"/>
      <c r="H2416"/>
      <c r="I2416"/>
      <c r="J2416"/>
      <c r="K2416" t="s">
        <v>3078</v>
      </c>
    </row>
    <row r="2417" spans="1:11">
      <c r="A2417" s="38">
        <v>44683</v>
      </c>
      <c r="B2417" s="27" t="s">
        <v>223</v>
      </c>
      <c r="C2417" s="26" t="s">
        <v>3057</v>
      </c>
      <c r="D2417" s="26" t="s">
        <v>965</v>
      </c>
      <c r="E2417" s="26" t="s">
        <v>3082</v>
      </c>
      <c r="F2417" s="26" t="s">
        <v>12</v>
      </c>
      <c r="G2417" s="26">
        <v>931462436</v>
      </c>
      <c r="H2417" s="26"/>
      <c r="I2417" s="26"/>
      <c r="J2417" s="26"/>
      <c r="K2417" t="s">
        <v>3078</v>
      </c>
    </row>
    <row r="2418" spans="1:11">
      <c r="A2418"/>
      <c r="B2418" s="20"/>
      <c r="C2418"/>
      <c r="D2418" t="s">
        <v>967</v>
      </c>
      <c r="E2418" t="s">
        <v>3085</v>
      </c>
      <c r="F2418"/>
      <c r="G2418"/>
      <c r="H2418"/>
      <c r="I2418"/>
      <c r="J2418"/>
      <c r="K2418" t="s">
        <v>3078</v>
      </c>
    </row>
    <row r="2419" spans="1:11">
      <c r="A2419"/>
      <c r="B2419" s="20"/>
      <c r="C2419"/>
      <c r="D2419" t="s">
        <v>969</v>
      </c>
      <c r="E2419" t="s">
        <v>3086</v>
      </c>
      <c r="F2419"/>
      <c r="G2419"/>
      <c r="H2419"/>
      <c r="I2419"/>
      <c r="J2419"/>
      <c r="K2419" t="s">
        <v>3078</v>
      </c>
    </row>
    <row r="2420" spans="1:11">
      <c r="A2420"/>
      <c r="B2420" s="20"/>
      <c r="C2420"/>
      <c r="D2420" t="s">
        <v>971</v>
      </c>
      <c r="E2420" t="s">
        <v>3087</v>
      </c>
      <c r="F2420"/>
      <c r="G2420"/>
      <c r="H2420"/>
      <c r="I2420"/>
      <c r="J2420"/>
      <c r="K2420" t="s">
        <v>3078</v>
      </c>
    </row>
    <row r="2421" spans="1:11">
      <c r="A2421"/>
      <c r="B2421" s="20"/>
      <c r="C2421"/>
      <c r="D2421" t="s">
        <v>975</v>
      </c>
      <c r="E2421" t="s">
        <v>3088</v>
      </c>
      <c r="F2421"/>
      <c r="G2421"/>
      <c r="H2421"/>
      <c r="I2421"/>
      <c r="J2421"/>
      <c r="K2421" t="s">
        <v>3078</v>
      </c>
    </row>
    <row r="2422" spans="1:11">
      <c r="A2422" s="28"/>
      <c r="B2422" s="29"/>
      <c r="C2422" s="28"/>
      <c r="D2422" t="s">
        <v>17</v>
      </c>
      <c r="E2422" s="28" t="s">
        <v>3089</v>
      </c>
      <c r="F2422" s="28"/>
      <c r="G2422" s="28"/>
      <c r="H2422" s="28"/>
      <c r="I2422" s="28"/>
      <c r="J2422" s="28"/>
      <c r="K2422" t="s">
        <v>3078</v>
      </c>
    </row>
    <row r="2423" spans="1:11">
      <c r="A2423" s="6">
        <v>44683</v>
      </c>
      <c r="B2423" s="20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H2423"/>
      <c r="I2423"/>
      <c r="J2423"/>
      <c r="K2423" t="s">
        <v>3068</v>
      </c>
    </row>
    <row r="2424" spans="1:11">
      <c r="A2424"/>
      <c r="B2424" s="20"/>
      <c r="C2424"/>
      <c r="D2424" t="s">
        <v>967</v>
      </c>
      <c r="E2424" t="s">
        <v>3090</v>
      </c>
      <c r="F2424"/>
      <c r="G2424"/>
      <c r="H2424"/>
      <c r="I2424"/>
      <c r="J2424"/>
      <c r="K2424" t="s">
        <v>3068</v>
      </c>
    </row>
    <row r="2425" spans="1:11">
      <c r="A2425"/>
      <c r="B2425" s="20"/>
      <c r="C2425"/>
      <c r="D2425" t="s">
        <v>969</v>
      </c>
      <c r="E2425" t="s">
        <v>3091</v>
      </c>
      <c r="F2425"/>
      <c r="G2425"/>
      <c r="H2425"/>
      <c r="I2425"/>
      <c r="J2425"/>
      <c r="K2425" t="s">
        <v>3068</v>
      </c>
    </row>
    <row r="2426" spans="1:11">
      <c r="A2426"/>
      <c r="B2426" s="20"/>
      <c r="C2426"/>
      <c r="D2426" t="s">
        <v>971</v>
      </c>
      <c r="E2426" t="s">
        <v>3092</v>
      </c>
      <c r="F2426"/>
      <c r="G2426"/>
      <c r="H2426"/>
      <c r="I2426"/>
      <c r="J2426"/>
      <c r="K2426" t="s">
        <v>3068</v>
      </c>
    </row>
    <row r="2427" spans="1:11">
      <c r="A2427"/>
      <c r="B2427" s="20"/>
      <c r="C2427"/>
      <c r="D2427" t="s">
        <v>975</v>
      </c>
      <c r="E2427" t="s">
        <v>3093</v>
      </c>
      <c r="F2427"/>
      <c r="G2427"/>
      <c r="H2427"/>
      <c r="I2427"/>
      <c r="J2427"/>
      <c r="K2427" t="s">
        <v>3068</v>
      </c>
    </row>
    <row r="2428" spans="1:11">
      <c r="A2428"/>
      <c r="B2428" s="20"/>
      <c r="C2428"/>
      <c r="D2428" t="s">
        <v>17</v>
      </c>
      <c r="E2428" t="s">
        <v>3094</v>
      </c>
      <c r="F2428"/>
      <c r="G2428"/>
      <c r="H2428"/>
      <c r="I2428"/>
      <c r="J2428"/>
      <c r="K2428" t="s">
        <v>3068</v>
      </c>
    </row>
    <row r="2429" spans="1:11">
      <c r="A2429" s="38">
        <v>44683</v>
      </c>
      <c r="B2429" s="27" t="s">
        <v>223</v>
      </c>
      <c r="C2429" s="26" t="s">
        <v>3057</v>
      </c>
      <c r="D2429" s="26" t="s">
        <v>965</v>
      </c>
      <c r="E2429" s="26" t="s">
        <v>3064</v>
      </c>
      <c r="F2429" s="26" t="s">
        <v>12</v>
      </c>
      <c r="G2429" s="26">
        <v>931462436</v>
      </c>
      <c r="H2429" s="26"/>
      <c r="I2429" s="26"/>
      <c r="J2429" s="26"/>
      <c r="K2429" t="s">
        <v>3060</v>
      </c>
    </row>
    <row r="2430" spans="1:11">
      <c r="A2430"/>
      <c r="B2430" s="20"/>
      <c r="C2430"/>
      <c r="D2430" t="s">
        <v>967</v>
      </c>
      <c r="E2430" t="s">
        <v>3095</v>
      </c>
      <c r="F2430"/>
      <c r="G2430"/>
      <c r="H2430"/>
      <c r="I2430"/>
      <c r="J2430"/>
      <c r="K2430" t="s">
        <v>3060</v>
      </c>
    </row>
    <row r="2431" spans="1:11">
      <c r="A2431"/>
      <c r="B2431" s="20"/>
      <c r="C2431"/>
      <c r="D2431" t="s">
        <v>969</v>
      </c>
      <c r="E2431" t="s">
        <v>3096</v>
      </c>
      <c r="F2431"/>
      <c r="G2431"/>
      <c r="H2431"/>
      <c r="I2431"/>
      <c r="J2431"/>
      <c r="K2431" t="s">
        <v>3060</v>
      </c>
    </row>
    <row r="2432" spans="1:11">
      <c r="A2432"/>
      <c r="B2432" s="20"/>
      <c r="C2432"/>
      <c r="D2432" t="s">
        <v>971</v>
      </c>
      <c r="E2432" t="s">
        <v>3097</v>
      </c>
      <c r="F2432"/>
      <c r="G2432"/>
      <c r="H2432"/>
      <c r="I2432"/>
      <c r="J2432"/>
      <c r="K2432" t="s">
        <v>3060</v>
      </c>
    </row>
    <row r="2433" spans="1:11">
      <c r="A2433"/>
      <c r="B2433" s="20"/>
      <c r="C2433"/>
      <c r="D2433" t="s">
        <v>975</v>
      </c>
      <c r="E2433" t="s">
        <v>3098</v>
      </c>
      <c r="F2433"/>
      <c r="G2433"/>
      <c r="H2433"/>
      <c r="I2433"/>
      <c r="J2433"/>
      <c r="K2433" t="s">
        <v>3060</v>
      </c>
    </row>
    <row r="2434" spans="1:11">
      <c r="A2434" s="28"/>
      <c r="B2434" s="29"/>
      <c r="C2434" s="28"/>
      <c r="D2434" t="s">
        <v>17</v>
      </c>
      <c r="E2434" s="28" t="s">
        <v>3099</v>
      </c>
      <c r="F2434" s="28"/>
      <c r="G2434" s="28"/>
      <c r="H2434" s="28"/>
      <c r="I2434" s="28"/>
      <c r="J2434" s="28"/>
      <c r="K2434" t="s">
        <v>3060</v>
      </c>
    </row>
    <row r="2435" spans="1:11">
      <c r="A2435" s="6">
        <v>44683</v>
      </c>
      <c r="B2435" s="20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H2435"/>
      <c r="I2435"/>
      <c r="J2435"/>
      <c r="K2435" t="s">
        <v>3051</v>
      </c>
    </row>
    <row r="2436" spans="1:11">
      <c r="A2436"/>
      <c r="B2436" s="20"/>
      <c r="C2436"/>
      <c r="D2436" t="s">
        <v>967</v>
      </c>
      <c r="E2436" t="s">
        <v>3100</v>
      </c>
      <c r="F2436"/>
      <c r="G2436"/>
      <c r="H2436"/>
      <c r="I2436"/>
      <c r="J2436"/>
      <c r="K2436" t="s">
        <v>3051</v>
      </c>
    </row>
    <row r="2437" spans="1:11">
      <c r="A2437"/>
      <c r="B2437" s="20"/>
      <c r="C2437"/>
      <c r="D2437" t="s">
        <v>969</v>
      </c>
      <c r="E2437" t="s">
        <v>3101</v>
      </c>
      <c r="F2437"/>
      <c r="G2437"/>
      <c r="H2437"/>
      <c r="I2437"/>
      <c r="J2437"/>
      <c r="K2437" t="s">
        <v>3051</v>
      </c>
    </row>
    <row r="2438" spans="1:11">
      <c r="A2438"/>
      <c r="B2438" s="20"/>
      <c r="C2438"/>
      <c r="D2438" t="s">
        <v>971</v>
      </c>
      <c r="E2438" t="s">
        <v>3102</v>
      </c>
      <c r="F2438"/>
      <c r="G2438"/>
      <c r="H2438"/>
      <c r="I2438"/>
      <c r="J2438"/>
      <c r="K2438" t="s">
        <v>3051</v>
      </c>
    </row>
    <row r="2439" spans="1:11">
      <c r="A2439"/>
      <c r="B2439" s="20"/>
      <c r="C2439"/>
      <c r="D2439" t="s">
        <v>975</v>
      </c>
      <c r="E2439" t="s">
        <v>3103</v>
      </c>
      <c r="F2439"/>
      <c r="G2439"/>
      <c r="H2439"/>
      <c r="I2439"/>
      <c r="J2439"/>
      <c r="K2439" t="s">
        <v>3051</v>
      </c>
    </row>
    <row r="2440" spans="1:11">
      <c r="A2440"/>
      <c r="B2440" s="20"/>
      <c r="C2440"/>
      <c r="D2440" t="s">
        <v>17</v>
      </c>
      <c r="E2440" t="s">
        <v>3104</v>
      </c>
      <c r="F2440"/>
      <c r="G2440"/>
      <c r="H2440"/>
      <c r="I2440"/>
      <c r="J2440"/>
      <c r="K2440" t="s">
        <v>3051</v>
      </c>
    </row>
    <row r="2441" spans="1:11">
      <c r="A2441" s="30">
        <v>44686</v>
      </c>
      <c r="B2441" s="31">
        <v>24783202648</v>
      </c>
      <c r="C2441" s="30">
        <v>44683</v>
      </c>
      <c r="D2441" s="19" t="s">
        <v>3107</v>
      </c>
      <c r="E2441" s="19" t="s">
        <v>3108</v>
      </c>
      <c r="F2441" s="19" t="s">
        <v>264</v>
      </c>
      <c r="G2441" s="19" t="s">
        <v>3109</v>
      </c>
      <c r="H2441" s="19"/>
      <c r="I2441" s="19"/>
      <c r="J2441" s="19"/>
      <c r="K2441" s="19" t="s">
        <v>3110</v>
      </c>
    </row>
    <row r="2442" spans="1:11">
      <c r="A2442" s="39">
        <v>44697</v>
      </c>
      <c r="B2442" s="34" t="s">
        <v>954</v>
      </c>
      <c r="C2442" s="39">
        <v>44694</v>
      </c>
      <c r="D2442" s="33" t="s">
        <v>2153</v>
      </c>
      <c r="E2442" s="33" t="s">
        <v>3111</v>
      </c>
      <c r="F2442" s="33" t="s">
        <v>210</v>
      </c>
      <c r="G2442" s="33"/>
      <c r="H2442" s="33"/>
      <c r="I2442" s="33"/>
      <c r="J2442" s="33"/>
      <c r="K2442" s="19" t="s">
        <v>3110</v>
      </c>
    </row>
    <row r="2443" spans="1:11">
      <c r="A2443" s="30"/>
      <c r="B2443" s="31"/>
      <c r="C2443" s="30"/>
      <c r="D2443" s="19" t="s">
        <v>2608</v>
      </c>
      <c r="E2443" s="19" t="s">
        <v>3112</v>
      </c>
      <c r="F2443" s="19"/>
      <c r="G2443" s="19"/>
      <c r="H2443" s="19"/>
      <c r="I2443" s="19"/>
      <c r="J2443" s="19"/>
      <c r="K2443" s="19" t="s">
        <v>3110</v>
      </c>
    </row>
    <row r="2444" spans="1:11">
      <c r="A2444" s="30"/>
      <c r="B2444" s="31"/>
      <c r="C2444" s="30"/>
      <c r="D2444" s="19" t="s">
        <v>918</v>
      </c>
      <c r="E2444" s="19" t="s">
        <v>3113</v>
      </c>
      <c r="F2444" s="19"/>
      <c r="G2444" s="19"/>
      <c r="H2444" s="19"/>
      <c r="I2444" s="19"/>
      <c r="J2444" s="19"/>
      <c r="K2444" s="19" t="s">
        <v>3110</v>
      </c>
    </row>
    <row r="2445" spans="1:11">
      <c r="A2445" s="41"/>
      <c r="B2445" s="36"/>
      <c r="C2445" s="41"/>
      <c r="D2445" s="35" t="s">
        <v>918</v>
      </c>
      <c r="E2445" s="35" t="s">
        <v>3114</v>
      </c>
      <c r="F2445" s="35"/>
      <c r="G2445" s="35"/>
      <c r="H2445" s="35"/>
      <c r="I2445" s="35"/>
      <c r="J2445" s="35"/>
      <c r="K2445" s="19" t="s">
        <v>3110</v>
      </c>
    </row>
    <row r="2446" spans="1:11">
      <c r="A2446" s="30">
        <v>44697</v>
      </c>
      <c r="B2446" s="31" t="s">
        <v>954</v>
      </c>
      <c r="C2446" s="30">
        <v>44694</v>
      </c>
      <c r="D2446" s="19" t="s">
        <v>2148</v>
      </c>
      <c r="E2446" s="19" t="s">
        <v>3115</v>
      </c>
      <c r="F2446" s="19" t="s">
        <v>210</v>
      </c>
      <c r="G2446" s="19"/>
      <c r="H2446" s="19"/>
      <c r="I2446" s="19"/>
      <c r="J2446" s="19"/>
      <c r="K2446" s="19" t="s">
        <v>3110</v>
      </c>
    </row>
    <row r="2447" spans="1:11">
      <c r="A2447" s="30">
        <v>44697</v>
      </c>
      <c r="B2447" s="31" t="s">
        <v>954</v>
      </c>
      <c r="C2447" s="30">
        <v>44694</v>
      </c>
      <c r="D2447" s="19" t="s">
        <v>3116</v>
      </c>
      <c r="E2447" s="19" t="s">
        <v>3117</v>
      </c>
      <c r="F2447" s="19" t="s">
        <v>210</v>
      </c>
      <c r="G2447" s="19"/>
      <c r="H2447" s="19"/>
      <c r="I2447" s="19"/>
      <c r="J2447" s="19"/>
      <c r="K2447" s="19" t="s">
        <v>3110</v>
      </c>
    </row>
    <row r="2448" spans="1:11">
      <c r="A2448" s="30">
        <v>44697</v>
      </c>
      <c r="B2448" s="31" t="s">
        <v>954</v>
      </c>
      <c r="C2448" s="30">
        <v>44694</v>
      </c>
      <c r="D2448" s="19" t="s">
        <v>3116</v>
      </c>
      <c r="E2448" s="19" t="s">
        <v>3118</v>
      </c>
      <c r="F2448" s="19" t="s">
        <v>210</v>
      </c>
      <c r="G2448" s="19"/>
      <c r="H2448" s="19"/>
      <c r="I2448" s="19"/>
      <c r="J2448" s="19"/>
      <c r="K2448" s="19" t="s">
        <v>3110</v>
      </c>
    </row>
    <row r="2449" spans="1:11">
      <c r="A2449" s="30">
        <v>44697</v>
      </c>
      <c r="B2449" s="31" t="s">
        <v>954</v>
      </c>
      <c r="C2449" s="30">
        <v>44694</v>
      </c>
      <c r="D2449" s="19" t="s">
        <v>3119</v>
      </c>
      <c r="E2449" s="19" t="s">
        <v>3120</v>
      </c>
      <c r="F2449" s="19" t="s">
        <v>210</v>
      </c>
      <c r="G2449" s="19"/>
      <c r="H2449" s="19"/>
      <c r="I2449" s="19"/>
      <c r="J2449" s="19"/>
      <c r="K2449" s="19" t="s">
        <v>3110</v>
      </c>
    </row>
    <row r="2450" spans="1:11">
      <c r="A2450" s="30">
        <v>44697</v>
      </c>
      <c r="B2450" s="31" t="s">
        <v>954</v>
      </c>
      <c r="C2450" s="30">
        <v>44694</v>
      </c>
      <c r="D2450" s="19" t="s">
        <v>3119</v>
      </c>
      <c r="E2450" s="19" t="s">
        <v>3121</v>
      </c>
      <c r="F2450" s="19" t="s">
        <v>210</v>
      </c>
      <c r="G2450" s="19"/>
      <c r="H2450" s="19"/>
      <c r="I2450" s="19"/>
      <c r="J2450" s="19"/>
      <c r="K2450" s="19" t="s">
        <v>3110</v>
      </c>
    </row>
    <row r="2451" spans="1:11">
      <c r="A2451" s="42">
        <v>44454</v>
      </c>
      <c r="B2451" s="43">
        <v>343770145</v>
      </c>
      <c r="C2451" s="44"/>
      <c r="D2451" s="44" t="s">
        <v>2141</v>
      </c>
      <c r="E2451" s="44" t="s">
        <v>3122</v>
      </c>
      <c r="F2451" s="19" t="s">
        <v>982</v>
      </c>
      <c r="G2451" s="19"/>
      <c r="H2451" s="19"/>
      <c r="I2451" s="19"/>
      <c r="J2451" s="19"/>
      <c r="K2451" s="19" t="s">
        <v>3110</v>
      </c>
    </row>
    <row r="2452" spans="1:11">
      <c r="A2452" s="38">
        <v>44678</v>
      </c>
      <c r="B2452" s="27" t="s">
        <v>223</v>
      </c>
      <c r="C2452" s="38">
        <v>44676</v>
      </c>
      <c r="D2452" s="26" t="s">
        <v>3124</v>
      </c>
      <c r="E2452" s="26" t="s">
        <v>3125</v>
      </c>
      <c r="F2452" s="26" t="s">
        <v>2101</v>
      </c>
      <c r="G2452" s="26" t="s">
        <v>3126</v>
      </c>
      <c r="H2452" s="26"/>
      <c r="I2452" s="26"/>
      <c r="J2452" s="26"/>
      <c r="K2452" s="26" t="s">
        <v>3127</v>
      </c>
    </row>
    <row r="2453" spans="1:11">
      <c r="A2453" s="45"/>
      <c r="B2453" s="29"/>
      <c r="C2453" s="45"/>
      <c r="D2453" s="28" t="s">
        <v>2117</v>
      </c>
      <c r="E2453" s="28" t="s">
        <v>3128</v>
      </c>
      <c r="F2453" s="28"/>
      <c r="G2453" s="28"/>
      <c r="H2453" s="28"/>
      <c r="I2453" s="28"/>
      <c r="J2453" s="28"/>
      <c r="K2453" s="28" t="s">
        <v>3127</v>
      </c>
    </row>
    <row r="2454" spans="1:11">
      <c r="A2454" s="6">
        <v>44678</v>
      </c>
      <c r="B2454" s="20" t="s">
        <v>223</v>
      </c>
      <c r="C2454" s="6">
        <v>44676</v>
      </c>
      <c r="D2454" t="s">
        <v>3124</v>
      </c>
      <c r="E2454" t="s">
        <v>3129</v>
      </c>
      <c r="F2454" t="s">
        <v>2101</v>
      </c>
      <c r="G2454" t="s">
        <v>3126</v>
      </c>
      <c r="H2454"/>
      <c r="I2454"/>
      <c r="J2454"/>
      <c r="K2454" t="s">
        <v>3130</v>
      </c>
    </row>
    <row r="2455" spans="1:11">
      <c r="A2455" s="45"/>
      <c r="B2455" s="29"/>
      <c r="C2455" s="45"/>
      <c r="D2455" s="28" t="s">
        <v>2117</v>
      </c>
      <c r="E2455" s="28" t="s">
        <v>3131</v>
      </c>
      <c r="F2455" s="28"/>
      <c r="G2455" s="28"/>
      <c r="H2455" s="28"/>
      <c r="I2455" s="28"/>
      <c r="J2455" s="28"/>
      <c r="K2455" s="28" t="s">
        <v>3130</v>
      </c>
    </row>
    <row r="2456" spans="1:11">
      <c r="A2456" s="38">
        <v>44678</v>
      </c>
      <c r="B2456" s="27" t="s">
        <v>223</v>
      </c>
      <c r="C2456" s="38">
        <v>44676</v>
      </c>
      <c r="D2456" s="26" t="s">
        <v>3124</v>
      </c>
      <c r="E2456" s="26" t="s">
        <v>3132</v>
      </c>
      <c r="F2456" s="26" t="s">
        <v>2101</v>
      </c>
      <c r="G2456" s="26" t="s">
        <v>3126</v>
      </c>
      <c r="H2456" s="26"/>
      <c r="I2456" s="26"/>
      <c r="J2456" s="26"/>
      <c r="K2456" s="26" t="s">
        <v>3133</v>
      </c>
    </row>
    <row r="2457" spans="1:11">
      <c r="A2457" s="45"/>
      <c r="B2457" s="29"/>
      <c r="C2457" s="45"/>
      <c r="D2457" s="28" t="s">
        <v>2117</v>
      </c>
      <c r="E2457" s="28" t="s">
        <v>3134</v>
      </c>
      <c r="F2457" s="28"/>
      <c r="G2457" s="28"/>
      <c r="H2457" s="28"/>
      <c r="I2457" s="28"/>
      <c r="J2457" s="28"/>
      <c r="K2457" s="28" t="s">
        <v>3133</v>
      </c>
    </row>
    <row r="2458" spans="1:11">
      <c r="A2458" s="6">
        <v>44678</v>
      </c>
      <c r="B2458" s="20" t="s">
        <v>223</v>
      </c>
      <c r="C2458" s="6">
        <v>44676</v>
      </c>
      <c r="D2458" t="s">
        <v>3124</v>
      </c>
      <c r="E2458" t="s">
        <v>3135</v>
      </c>
      <c r="F2458" t="s">
        <v>2101</v>
      </c>
      <c r="G2458" t="s">
        <v>3126</v>
      </c>
      <c r="H2458"/>
      <c r="I2458"/>
      <c r="J2458"/>
      <c r="K2458" t="s">
        <v>3136</v>
      </c>
    </row>
    <row r="2459" spans="1:11">
      <c r="A2459" s="45"/>
      <c r="B2459" s="29"/>
      <c r="C2459" s="45"/>
      <c r="D2459" s="28" t="s">
        <v>2117</v>
      </c>
      <c r="E2459" s="28" t="s">
        <v>3137</v>
      </c>
      <c r="F2459" s="28"/>
      <c r="G2459" s="28"/>
      <c r="H2459" s="28"/>
      <c r="I2459" s="28"/>
      <c r="J2459" s="28"/>
      <c r="K2459" s="28" t="s">
        <v>3136</v>
      </c>
    </row>
    <row r="2460" spans="1:11">
      <c r="A2460" s="6">
        <v>44678</v>
      </c>
      <c r="B2460" s="20" t="s">
        <v>223</v>
      </c>
      <c r="C2460" s="6">
        <v>44676</v>
      </c>
      <c r="D2460" t="s">
        <v>3124</v>
      </c>
      <c r="E2460" t="s">
        <v>3138</v>
      </c>
      <c r="F2460" t="s">
        <v>2101</v>
      </c>
      <c r="G2460" t="s">
        <v>3126</v>
      </c>
      <c r="H2460"/>
      <c r="I2460"/>
      <c r="J2460"/>
      <c r="K2460" t="s">
        <v>3139</v>
      </c>
    </row>
    <row r="2461" spans="1:11">
      <c r="A2461" s="45"/>
      <c r="B2461" s="29"/>
      <c r="C2461" s="45"/>
      <c r="D2461" s="28" t="s">
        <v>2117</v>
      </c>
      <c r="E2461" s="28" t="s">
        <v>3140</v>
      </c>
      <c r="F2461" s="28"/>
      <c r="G2461" s="28"/>
      <c r="H2461" s="28"/>
      <c r="I2461" s="28"/>
      <c r="J2461" s="28"/>
      <c r="K2461" s="28" t="s">
        <v>3139</v>
      </c>
    </row>
    <row r="2462" spans="1:11">
      <c r="A2462" s="6">
        <v>44678</v>
      </c>
      <c r="B2462" s="20" t="s">
        <v>223</v>
      </c>
      <c r="C2462" s="6">
        <v>44676</v>
      </c>
      <c r="D2462" t="s">
        <v>3124</v>
      </c>
      <c r="E2462" t="s">
        <v>3141</v>
      </c>
      <c r="F2462" t="s">
        <v>2101</v>
      </c>
      <c r="G2462" t="s">
        <v>3126</v>
      </c>
      <c r="H2462"/>
      <c r="I2462"/>
      <c r="J2462"/>
      <c r="K2462" t="s">
        <v>3142</v>
      </c>
    </row>
    <row r="2463" spans="1:11">
      <c r="A2463" s="45"/>
      <c r="B2463" s="29"/>
      <c r="C2463" s="45"/>
      <c r="D2463" s="28" t="s">
        <v>2117</v>
      </c>
      <c r="E2463" s="28" t="s">
        <v>3143</v>
      </c>
      <c r="F2463" s="28"/>
      <c r="G2463" s="28"/>
      <c r="H2463" s="28"/>
      <c r="I2463" s="28"/>
      <c r="J2463" s="28"/>
      <c r="K2463" s="28" t="s">
        <v>3142</v>
      </c>
    </row>
    <row r="2464" spans="1:11">
      <c r="A2464" s="6">
        <v>44678</v>
      </c>
      <c r="B2464" s="20" t="s">
        <v>223</v>
      </c>
      <c r="C2464" s="6">
        <v>44676</v>
      </c>
      <c r="D2464" t="s">
        <v>3124</v>
      </c>
      <c r="E2464" t="s">
        <v>3144</v>
      </c>
      <c r="F2464" t="s">
        <v>2101</v>
      </c>
      <c r="G2464" t="s">
        <v>3126</v>
      </c>
      <c r="H2464"/>
      <c r="I2464"/>
      <c r="J2464"/>
      <c r="K2464" t="s">
        <v>3145</v>
      </c>
    </row>
    <row r="2465" spans="1:11">
      <c r="A2465" s="45"/>
      <c r="B2465" s="29"/>
      <c r="C2465" s="45"/>
      <c r="D2465" s="28" t="s">
        <v>2117</v>
      </c>
      <c r="E2465" s="28" t="s">
        <v>3146</v>
      </c>
      <c r="F2465" s="28"/>
      <c r="G2465" s="28"/>
      <c r="H2465" s="28"/>
      <c r="I2465" s="28"/>
      <c r="J2465" s="28"/>
      <c r="K2465" s="28" t="s">
        <v>3145</v>
      </c>
    </row>
    <row r="2466" spans="1:11">
      <c r="A2466" s="6">
        <v>44678</v>
      </c>
      <c r="B2466" s="20" t="s">
        <v>223</v>
      </c>
      <c r="C2466" s="6">
        <v>44676</v>
      </c>
      <c r="D2466" t="s">
        <v>3124</v>
      </c>
      <c r="E2466" t="s">
        <v>3147</v>
      </c>
      <c r="F2466" t="s">
        <v>2101</v>
      </c>
      <c r="G2466" t="s">
        <v>3126</v>
      </c>
      <c r="H2466"/>
      <c r="I2466"/>
      <c r="J2466"/>
      <c r="K2466" t="s">
        <v>3148</v>
      </c>
    </row>
    <row r="2467" spans="1:11">
      <c r="A2467" s="45"/>
      <c r="B2467" s="29"/>
      <c r="C2467" s="45"/>
      <c r="D2467" s="28" t="s">
        <v>2117</v>
      </c>
      <c r="E2467" s="28" t="s">
        <v>3149</v>
      </c>
      <c r="F2467" s="28"/>
      <c r="G2467" s="28"/>
      <c r="H2467" s="28"/>
      <c r="I2467" s="28"/>
      <c r="J2467" s="28"/>
      <c r="K2467" s="28" t="s">
        <v>3148</v>
      </c>
    </row>
    <row r="2468" spans="1:11">
      <c r="A2468" s="6">
        <v>44678</v>
      </c>
      <c r="B2468" s="20" t="s">
        <v>223</v>
      </c>
      <c r="C2468" s="6">
        <v>44676</v>
      </c>
      <c r="D2468" t="s">
        <v>3124</v>
      </c>
      <c r="E2468" t="s">
        <v>3150</v>
      </c>
      <c r="F2468" t="s">
        <v>2101</v>
      </c>
      <c r="G2468" t="s">
        <v>3126</v>
      </c>
      <c r="H2468"/>
      <c r="I2468"/>
      <c r="J2468"/>
      <c r="K2468" t="s">
        <v>3151</v>
      </c>
    </row>
    <row r="2469" spans="1:11">
      <c r="A2469" s="45"/>
      <c r="B2469" s="29"/>
      <c r="C2469" s="45"/>
      <c r="D2469" s="28" t="s">
        <v>2117</v>
      </c>
      <c r="E2469" s="28" t="s">
        <v>3152</v>
      </c>
      <c r="F2469" s="28"/>
      <c r="G2469" s="28"/>
      <c r="H2469" s="28"/>
      <c r="I2469" s="28"/>
      <c r="J2469" s="28"/>
      <c r="K2469" s="28" t="s">
        <v>3151</v>
      </c>
    </row>
    <row r="2470" spans="1:11">
      <c r="A2470" s="6">
        <v>44678</v>
      </c>
      <c r="B2470" s="20" t="s">
        <v>223</v>
      </c>
      <c r="C2470" s="6">
        <v>44676</v>
      </c>
      <c r="D2470" t="s">
        <v>3124</v>
      </c>
      <c r="E2470" t="s">
        <v>3153</v>
      </c>
      <c r="F2470" t="s">
        <v>2101</v>
      </c>
      <c r="G2470" t="s">
        <v>3126</v>
      </c>
      <c r="H2470"/>
      <c r="I2470"/>
      <c r="J2470"/>
      <c r="K2470" t="s">
        <v>3154</v>
      </c>
    </row>
    <row r="2471" spans="1:11">
      <c r="A2471" s="45"/>
      <c r="B2471" s="29"/>
      <c r="C2471" s="45"/>
      <c r="D2471" s="28" t="s">
        <v>2117</v>
      </c>
      <c r="E2471" s="28" t="s">
        <v>3155</v>
      </c>
      <c r="F2471" s="28"/>
      <c r="G2471" s="28"/>
      <c r="H2471" s="28"/>
      <c r="I2471" s="28"/>
      <c r="J2471" s="28"/>
      <c r="K2471" s="28" t="s">
        <v>3154</v>
      </c>
    </row>
    <row r="2472" spans="1:11">
      <c r="A2472" s="6">
        <v>44678</v>
      </c>
      <c r="B2472" s="20" t="s">
        <v>223</v>
      </c>
      <c r="C2472" s="6">
        <v>44676</v>
      </c>
      <c r="D2472" t="s">
        <v>3124</v>
      </c>
      <c r="E2472" t="s">
        <v>3156</v>
      </c>
      <c r="F2472" t="s">
        <v>2101</v>
      </c>
      <c r="G2472" t="s">
        <v>3126</v>
      </c>
      <c r="H2472"/>
      <c r="I2472"/>
      <c r="J2472"/>
      <c r="K2472" t="s">
        <v>3157</v>
      </c>
    </row>
    <row r="2473" spans="1:11">
      <c r="A2473" s="45"/>
      <c r="B2473" s="29"/>
      <c r="C2473" s="45"/>
      <c r="D2473" s="28" t="s">
        <v>2117</v>
      </c>
      <c r="E2473" s="28" t="s">
        <v>3158</v>
      </c>
      <c r="F2473" s="28"/>
      <c r="G2473" s="28"/>
      <c r="H2473" s="28"/>
      <c r="I2473" s="28"/>
      <c r="J2473" s="28"/>
      <c r="K2473" s="28" t="s">
        <v>3157</v>
      </c>
    </row>
    <row r="2474" spans="1:11">
      <c r="A2474" s="6">
        <v>44678</v>
      </c>
      <c r="B2474" s="20" t="s">
        <v>223</v>
      </c>
      <c r="C2474" s="6">
        <v>44676</v>
      </c>
      <c r="D2474" t="s">
        <v>3124</v>
      </c>
      <c r="E2474" t="s">
        <v>3159</v>
      </c>
      <c r="F2474" t="s">
        <v>2101</v>
      </c>
      <c r="G2474" t="s">
        <v>3126</v>
      </c>
      <c r="H2474"/>
      <c r="I2474"/>
      <c r="J2474"/>
      <c r="K2474" t="s">
        <v>3160</v>
      </c>
    </row>
    <row r="2475" spans="1:11">
      <c r="A2475" s="45"/>
      <c r="B2475" s="29"/>
      <c r="C2475" s="45"/>
      <c r="D2475" s="28" t="s">
        <v>2117</v>
      </c>
      <c r="E2475" s="28" t="s">
        <v>3161</v>
      </c>
      <c r="F2475" s="28"/>
      <c r="G2475" s="28"/>
      <c r="H2475" s="28"/>
      <c r="I2475" s="28"/>
      <c r="J2475" s="28"/>
      <c r="K2475" s="28" t="s">
        <v>3160</v>
      </c>
    </row>
    <row r="2476" spans="1:11">
      <c r="A2476" s="6">
        <v>44687</v>
      </c>
      <c r="B2476" s="20" t="s">
        <v>3162</v>
      </c>
      <c r="C2476" s="6">
        <v>44686</v>
      </c>
      <c r="D2476" t="s">
        <v>3163</v>
      </c>
      <c r="E2476" t="s">
        <v>3164</v>
      </c>
      <c r="F2476" t="s">
        <v>2835</v>
      </c>
      <c r="G2476">
        <v>2512553</v>
      </c>
      <c r="H2476"/>
      <c r="I2476"/>
      <c r="J2476"/>
      <c r="K2476" t="s">
        <v>3139</v>
      </c>
    </row>
    <row r="2477" spans="1:11">
      <c r="A2477" s="6">
        <v>44687</v>
      </c>
      <c r="B2477" s="20" t="s">
        <v>3162</v>
      </c>
      <c r="C2477" s="6">
        <v>44686</v>
      </c>
      <c r="D2477" t="s">
        <v>3163</v>
      </c>
      <c r="E2477" t="s">
        <v>3165</v>
      </c>
      <c r="F2477" t="s">
        <v>2835</v>
      </c>
      <c r="G2477">
        <v>2512553</v>
      </c>
      <c r="H2477"/>
      <c r="I2477"/>
      <c r="J2477"/>
      <c r="K2477" t="s">
        <v>3133</v>
      </c>
    </row>
    <row r="2478" spans="1:11">
      <c r="A2478" s="6">
        <v>44687</v>
      </c>
      <c r="B2478" s="20" t="s">
        <v>3162</v>
      </c>
      <c r="C2478" s="6">
        <v>44686</v>
      </c>
      <c r="D2478" t="s">
        <v>3163</v>
      </c>
      <c r="E2478" t="s">
        <v>3166</v>
      </c>
      <c r="F2478" t="s">
        <v>2835</v>
      </c>
      <c r="G2478">
        <v>2512553</v>
      </c>
      <c r="H2478"/>
      <c r="I2478"/>
      <c r="J2478"/>
      <c r="K2478" t="s">
        <v>3136</v>
      </c>
    </row>
    <row r="2479" spans="1:11">
      <c r="A2479" s="6">
        <v>44687</v>
      </c>
      <c r="B2479" s="20" t="s">
        <v>3162</v>
      </c>
      <c r="C2479" s="6">
        <v>44686</v>
      </c>
      <c r="D2479" t="s">
        <v>3163</v>
      </c>
      <c r="E2479" t="s">
        <v>3167</v>
      </c>
      <c r="F2479" t="s">
        <v>2835</v>
      </c>
      <c r="G2479">
        <v>2512553</v>
      </c>
      <c r="H2479"/>
      <c r="I2479"/>
      <c r="J2479"/>
      <c r="K2479" t="s">
        <v>3157</v>
      </c>
    </row>
    <row r="2480" spans="1:11">
      <c r="A2480" s="6">
        <v>44687</v>
      </c>
      <c r="B2480" s="20" t="s">
        <v>3162</v>
      </c>
      <c r="C2480" s="6">
        <v>44686</v>
      </c>
      <c r="D2480" t="s">
        <v>3163</v>
      </c>
      <c r="E2480" t="s">
        <v>3168</v>
      </c>
      <c r="F2480" t="s">
        <v>2835</v>
      </c>
      <c r="G2480">
        <v>2512553</v>
      </c>
      <c r="H2480"/>
      <c r="I2480"/>
      <c r="J2480"/>
      <c r="K2480" t="s">
        <v>3127</v>
      </c>
    </row>
    <row r="2481" spans="1:11">
      <c r="A2481" s="6">
        <v>44687</v>
      </c>
      <c r="B2481" s="20" t="s">
        <v>3162</v>
      </c>
      <c r="C2481" s="6">
        <v>44686</v>
      </c>
      <c r="D2481" t="s">
        <v>3163</v>
      </c>
      <c r="E2481" t="s">
        <v>3169</v>
      </c>
      <c r="F2481" t="s">
        <v>2835</v>
      </c>
      <c r="G2481">
        <v>2512553</v>
      </c>
      <c r="H2481"/>
      <c r="I2481"/>
      <c r="J2481"/>
      <c r="K2481" t="s">
        <v>3130</v>
      </c>
    </row>
    <row r="2482" spans="1:11">
      <c r="A2482" s="6">
        <v>44687</v>
      </c>
      <c r="B2482" s="20" t="s">
        <v>3162</v>
      </c>
      <c r="C2482" s="6">
        <v>44686</v>
      </c>
      <c r="D2482" t="s">
        <v>3163</v>
      </c>
      <c r="E2482" t="s">
        <v>3170</v>
      </c>
      <c r="F2482" t="s">
        <v>2835</v>
      </c>
      <c r="G2482">
        <v>2512553</v>
      </c>
      <c r="H2482"/>
      <c r="I2482"/>
      <c r="J2482"/>
      <c r="K2482" t="s">
        <v>3142</v>
      </c>
    </row>
    <row r="2483" spans="1:11">
      <c r="A2483" s="6">
        <v>44687</v>
      </c>
      <c r="B2483" s="20" t="s">
        <v>3162</v>
      </c>
      <c r="C2483" s="6">
        <v>44686</v>
      </c>
      <c r="D2483" t="s">
        <v>3163</v>
      </c>
      <c r="E2483" t="s">
        <v>3171</v>
      </c>
      <c r="F2483" t="s">
        <v>2835</v>
      </c>
      <c r="G2483">
        <v>2512553</v>
      </c>
      <c r="H2483"/>
      <c r="I2483"/>
      <c r="J2483"/>
      <c r="K2483" t="s">
        <v>3145</v>
      </c>
    </row>
    <row r="2484" spans="1:11">
      <c r="A2484" s="6">
        <v>44687</v>
      </c>
      <c r="B2484" s="20" t="s">
        <v>3162</v>
      </c>
      <c r="C2484" s="6">
        <v>44686</v>
      </c>
      <c r="D2484" t="s">
        <v>3163</v>
      </c>
      <c r="E2484" t="s">
        <v>3172</v>
      </c>
      <c r="F2484" t="s">
        <v>2835</v>
      </c>
      <c r="G2484">
        <v>2512553</v>
      </c>
      <c r="H2484"/>
      <c r="I2484"/>
      <c r="J2484"/>
      <c r="K2484" t="s">
        <v>3148</v>
      </c>
    </row>
    <row r="2485" spans="1:11">
      <c r="A2485" s="6">
        <v>44687</v>
      </c>
      <c r="B2485" s="20" t="s">
        <v>3162</v>
      </c>
      <c r="C2485" s="6">
        <v>44686</v>
      </c>
      <c r="D2485" t="s">
        <v>3163</v>
      </c>
      <c r="E2485" t="s">
        <v>3173</v>
      </c>
      <c r="F2485" t="s">
        <v>2835</v>
      </c>
      <c r="G2485">
        <v>2512553</v>
      </c>
      <c r="H2485"/>
      <c r="I2485"/>
      <c r="J2485"/>
      <c r="K2485" t="s">
        <v>3151</v>
      </c>
    </row>
    <row r="2486" spans="1:11">
      <c r="A2486" s="6">
        <v>44687</v>
      </c>
      <c r="B2486" s="20" t="s">
        <v>3162</v>
      </c>
      <c r="C2486" s="6">
        <v>44686</v>
      </c>
      <c r="D2486" t="s">
        <v>3163</v>
      </c>
      <c r="E2486" t="s">
        <v>3174</v>
      </c>
      <c r="F2486" t="s">
        <v>2835</v>
      </c>
      <c r="G2486">
        <v>2512553</v>
      </c>
      <c r="H2486"/>
      <c r="I2486"/>
      <c r="J2486"/>
      <c r="K2486" t="s">
        <v>3154</v>
      </c>
    </row>
    <row r="2487" spans="1:11">
      <c r="A2487" s="6">
        <v>44687</v>
      </c>
      <c r="B2487" s="20" t="s">
        <v>3162</v>
      </c>
      <c r="C2487" s="6">
        <v>44686</v>
      </c>
      <c r="D2487" t="s">
        <v>3163</v>
      </c>
      <c r="E2487" t="s">
        <v>3175</v>
      </c>
      <c r="F2487" t="s">
        <v>2835</v>
      </c>
      <c r="G2487">
        <v>2512553</v>
      </c>
      <c r="H2487"/>
      <c r="I2487"/>
      <c r="J2487"/>
      <c r="K2487" t="s">
        <v>3160</v>
      </c>
    </row>
    <row r="2488" spans="1:11">
      <c r="A2488" s="6">
        <v>44698</v>
      </c>
      <c r="B2488" s="20">
        <v>567147803212</v>
      </c>
      <c r="C2488" s="6">
        <v>44694</v>
      </c>
      <c r="D2488" t="s">
        <v>2096</v>
      </c>
      <c r="E2488" t="s">
        <v>3176</v>
      </c>
      <c r="F2488" t="s">
        <v>113</v>
      </c>
      <c r="G2488" t="s">
        <v>3177</v>
      </c>
      <c r="H2488"/>
      <c r="I2488"/>
      <c r="J2488"/>
      <c r="K2488" t="s">
        <v>3157</v>
      </c>
    </row>
    <row r="2489" spans="1:11">
      <c r="A2489" s="6">
        <v>44698</v>
      </c>
      <c r="B2489" s="20">
        <v>567147803212</v>
      </c>
      <c r="C2489" s="6">
        <v>44694</v>
      </c>
      <c r="D2489" t="s">
        <v>2096</v>
      </c>
      <c r="E2489" t="s">
        <v>3178</v>
      </c>
      <c r="F2489" t="s">
        <v>113</v>
      </c>
      <c r="G2489" t="s">
        <v>3177</v>
      </c>
      <c r="H2489"/>
      <c r="I2489"/>
      <c r="J2489"/>
      <c r="K2489" t="s">
        <v>3160</v>
      </c>
    </row>
    <row r="2490" spans="1:11">
      <c r="A2490" s="6">
        <v>44698</v>
      </c>
      <c r="B2490" s="20">
        <v>567147803212</v>
      </c>
      <c r="C2490" s="6">
        <v>44694</v>
      </c>
      <c r="D2490" t="s">
        <v>2096</v>
      </c>
      <c r="E2490" t="s">
        <v>3179</v>
      </c>
      <c r="F2490" t="s">
        <v>113</v>
      </c>
      <c r="G2490" t="s">
        <v>3177</v>
      </c>
      <c r="H2490"/>
      <c r="I2490"/>
      <c r="J2490"/>
      <c r="K2490" t="s">
        <v>3154</v>
      </c>
    </row>
    <row r="2491" spans="1:11">
      <c r="A2491" s="6">
        <v>44698</v>
      </c>
      <c r="B2491" s="20">
        <v>567147803212</v>
      </c>
      <c r="C2491" s="6">
        <v>44694</v>
      </c>
      <c r="D2491" t="s">
        <v>2096</v>
      </c>
      <c r="E2491" t="s">
        <v>3180</v>
      </c>
      <c r="F2491" t="s">
        <v>113</v>
      </c>
      <c r="G2491" t="s">
        <v>3177</v>
      </c>
      <c r="H2491"/>
      <c r="I2491"/>
      <c r="J2491"/>
      <c r="K2491" t="s">
        <v>3151</v>
      </c>
    </row>
    <row r="2492" spans="1:11">
      <c r="A2492" s="6">
        <v>44698</v>
      </c>
      <c r="B2492" s="20">
        <v>567147803212</v>
      </c>
      <c r="C2492" s="6">
        <v>44694</v>
      </c>
      <c r="D2492" t="s">
        <v>2096</v>
      </c>
      <c r="E2492" t="s">
        <v>3181</v>
      </c>
      <c r="F2492" t="s">
        <v>113</v>
      </c>
      <c r="G2492" t="s">
        <v>3177</v>
      </c>
      <c r="H2492"/>
      <c r="I2492"/>
      <c r="J2492"/>
      <c r="K2492" t="s">
        <v>3148</v>
      </c>
    </row>
    <row r="2493" spans="1:11">
      <c r="A2493" s="6">
        <v>44698</v>
      </c>
      <c r="B2493" s="20">
        <v>567147803212</v>
      </c>
      <c r="C2493" s="6">
        <v>44694</v>
      </c>
      <c r="D2493" t="s">
        <v>2096</v>
      </c>
      <c r="E2493" t="s">
        <v>3182</v>
      </c>
      <c r="F2493" t="s">
        <v>113</v>
      </c>
      <c r="G2493" t="s">
        <v>3177</v>
      </c>
      <c r="H2493"/>
      <c r="I2493"/>
      <c r="J2493"/>
      <c r="K2493" t="s">
        <v>3139</v>
      </c>
    </row>
    <row r="2494" spans="1:11">
      <c r="A2494" s="6">
        <v>44698</v>
      </c>
      <c r="B2494" s="20">
        <v>567147803212</v>
      </c>
      <c r="C2494" s="6">
        <v>44694</v>
      </c>
      <c r="D2494" t="s">
        <v>2096</v>
      </c>
      <c r="E2494" t="s">
        <v>3183</v>
      </c>
      <c r="F2494" t="s">
        <v>113</v>
      </c>
      <c r="G2494" t="s">
        <v>3177</v>
      </c>
      <c r="H2494"/>
      <c r="I2494"/>
      <c r="J2494"/>
      <c r="K2494" t="s">
        <v>3133</v>
      </c>
    </row>
    <row r="2495" spans="1:11">
      <c r="A2495" s="6">
        <v>44698</v>
      </c>
      <c r="B2495" s="20">
        <v>567147803212</v>
      </c>
      <c r="C2495" s="6">
        <v>44694</v>
      </c>
      <c r="D2495" t="s">
        <v>2096</v>
      </c>
      <c r="E2495" t="s">
        <v>3184</v>
      </c>
      <c r="F2495" t="s">
        <v>113</v>
      </c>
      <c r="G2495" t="s">
        <v>3177</v>
      </c>
      <c r="H2495"/>
      <c r="I2495"/>
      <c r="J2495"/>
      <c r="K2495" t="s">
        <v>3136</v>
      </c>
    </row>
    <row r="2496" spans="1:11">
      <c r="A2496" s="6">
        <v>44698</v>
      </c>
      <c r="B2496" s="20">
        <v>567147803212</v>
      </c>
      <c r="C2496" s="6">
        <v>44694</v>
      </c>
      <c r="D2496" t="s">
        <v>2096</v>
      </c>
      <c r="E2496" t="s">
        <v>3185</v>
      </c>
      <c r="F2496" t="s">
        <v>113</v>
      </c>
      <c r="G2496" t="s">
        <v>3177</v>
      </c>
      <c r="H2496"/>
      <c r="I2496"/>
      <c r="J2496"/>
      <c r="K2496" t="s">
        <v>3130</v>
      </c>
    </row>
    <row r="2497" spans="1:11">
      <c r="A2497" s="6">
        <v>44698</v>
      </c>
      <c r="B2497" s="20">
        <v>567147803212</v>
      </c>
      <c r="C2497" s="6">
        <v>44694</v>
      </c>
      <c r="D2497" t="s">
        <v>2096</v>
      </c>
      <c r="E2497" t="s">
        <v>3186</v>
      </c>
      <c r="F2497" t="s">
        <v>113</v>
      </c>
      <c r="G2497" t="s">
        <v>3177</v>
      </c>
      <c r="H2497"/>
      <c r="I2497"/>
      <c r="J2497"/>
      <c r="K2497" t="s">
        <v>3127</v>
      </c>
    </row>
    <row r="2498" spans="1:11">
      <c r="A2498" s="6">
        <v>44698</v>
      </c>
      <c r="B2498" s="20">
        <v>567147803212</v>
      </c>
      <c r="C2498" s="6">
        <v>44694</v>
      </c>
      <c r="D2498" t="s">
        <v>2096</v>
      </c>
      <c r="E2498" t="s">
        <v>3187</v>
      </c>
      <c r="F2498" t="s">
        <v>113</v>
      </c>
      <c r="G2498" t="s">
        <v>3177</v>
      </c>
      <c r="H2498"/>
      <c r="I2498"/>
      <c r="J2498"/>
      <c r="K2498" t="s">
        <v>3142</v>
      </c>
    </row>
    <row r="2499" spans="1:11">
      <c r="A2499" s="6">
        <v>44698</v>
      </c>
      <c r="B2499" s="20">
        <v>567147803212</v>
      </c>
      <c r="C2499" s="6">
        <v>44694</v>
      </c>
      <c r="D2499" t="s">
        <v>2096</v>
      </c>
      <c r="E2499" t="s">
        <v>3188</v>
      </c>
      <c r="F2499" t="s">
        <v>113</v>
      </c>
      <c r="G2499" t="s">
        <v>3177</v>
      </c>
      <c r="H2499"/>
      <c r="I2499"/>
      <c r="J2499"/>
      <c r="K2499" t="s">
        <v>3145</v>
      </c>
    </row>
    <row r="2500" spans="1:11">
      <c r="A2500" s="6">
        <v>44698</v>
      </c>
      <c r="B2500" s="20">
        <v>332352348219</v>
      </c>
      <c r="C2500" s="6">
        <v>44694</v>
      </c>
      <c r="D2500" t="s">
        <v>3189</v>
      </c>
      <c r="E2500" t="s">
        <v>3190</v>
      </c>
      <c r="F2500" t="s">
        <v>905</v>
      </c>
      <c r="G2500" t="s">
        <v>3191</v>
      </c>
      <c r="H2500"/>
      <c r="I2500"/>
      <c r="J2500"/>
      <c r="K2500" t="s">
        <v>3139</v>
      </c>
    </row>
    <row r="2501" spans="1:11">
      <c r="A2501" s="6">
        <v>44698</v>
      </c>
      <c r="B2501" s="20">
        <v>332352348219</v>
      </c>
      <c r="C2501" s="6">
        <v>44694</v>
      </c>
      <c r="D2501" t="s">
        <v>3189</v>
      </c>
      <c r="E2501" t="s">
        <v>3192</v>
      </c>
      <c r="F2501" t="s">
        <v>905</v>
      </c>
      <c r="G2501" t="s">
        <v>3191</v>
      </c>
      <c r="H2501"/>
      <c r="I2501"/>
      <c r="J2501"/>
      <c r="K2501" t="s">
        <v>3133</v>
      </c>
    </row>
    <row r="2502" spans="1:11">
      <c r="A2502" s="6">
        <v>44698</v>
      </c>
      <c r="B2502" s="20">
        <v>332352348219</v>
      </c>
      <c r="C2502" s="6">
        <v>44694</v>
      </c>
      <c r="D2502" t="s">
        <v>3189</v>
      </c>
      <c r="E2502" t="s">
        <v>3193</v>
      </c>
      <c r="F2502" t="s">
        <v>905</v>
      </c>
      <c r="G2502" t="s">
        <v>3191</v>
      </c>
      <c r="H2502"/>
      <c r="I2502"/>
      <c r="J2502"/>
      <c r="K2502" t="s">
        <v>3136</v>
      </c>
    </row>
    <row r="2503" spans="1:11">
      <c r="A2503" s="6">
        <v>44698</v>
      </c>
      <c r="B2503" s="20">
        <v>332352348219</v>
      </c>
      <c r="C2503" s="6">
        <v>44694</v>
      </c>
      <c r="D2503" t="s">
        <v>3189</v>
      </c>
      <c r="E2503" t="s">
        <v>3194</v>
      </c>
      <c r="F2503" t="s">
        <v>905</v>
      </c>
      <c r="G2503" t="s">
        <v>3191</v>
      </c>
      <c r="H2503"/>
      <c r="I2503"/>
      <c r="J2503"/>
      <c r="K2503" t="s">
        <v>3130</v>
      </c>
    </row>
    <row r="2504" spans="1:11">
      <c r="A2504" s="6">
        <v>44698</v>
      </c>
      <c r="B2504" s="20">
        <v>332352348219</v>
      </c>
      <c r="C2504" s="6">
        <v>44694</v>
      </c>
      <c r="D2504" t="s">
        <v>3189</v>
      </c>
      <c r="E2504" t="s">
        <v>3195</v>
      </c>
      <c r="F2504" t="s">
        <v>905</v>
      </c>
      <c r="G2504" t="s">
        <v>3191</v>
      </c>
      <c r="H2504"/>
      <c r="I2504"/>
      <c r="J2504"/>
      <c r="K2504" t="s">
        <v>3127</v>
      </c>
    </row>
    <row r="2505" spans="1:11">
      <c r="A2505" s="6">
        <v>44698</v>
      </c>
      <c r="B2505" s="20">
        <v>332352348219</v>
      </c>
      <c r="C2505" s="6">
        <v>44694</v>
      </c>
      <c r="D2505" t="s">
        <v>3189</v>
      </c>
      <c r="E2505" t="s">
        <v>3196</v>
      </c>
      <c r="F2505" t="s">
        <v>905</v>
      </c>
      <c r="G2505" t="s">
        <v>3191</v>
      </c>
      <c r="H2505"/>
      <c r="I2505"/>
      <c r="J2505"/>
      <c r="K2505" t="s">
        <v>3157</v>
      </c>
    </row>
    <row r="2506" spans="1:11">
      <c r="A2506" s="6">
        <v>44698</v>
      </c>
      <c r="B2506" s="20">
        <v>332352348219</v>
      </c>
      <c r="C2506" s="6">
        <v>44694</v>
      </c>
      <c r="D2506" t="s">
        <v>3189</v>
      </c>
      <c r="E2506" t="s">
        <v>3197</v>
      </c>
      <c r="F2506" t="s">
        <v>905</v>
      </c>
      <c r="G2506" t="s">
        <v>3191</v>
      </c>
      <c r="H2506"/>
      <c r="I2506"/>
      <c r="J2506"/>
      <c r="K2506" t="s">
        <v>3160</v>
      </c>
    </row>
    <row r="2507" spans="1:11">
      <c r="A2507" s="6">
        <v>44698</v>
      </c>
      <c r="B2507" s="20">
        <v>332352348219</v>
      </c>
      <c r="C2507" s="6">
        <v>44694</v>
      </c>
      <c r="D2507" t="s">
        <v>3189</v>
      </c>
      <c r="E2507" t="s">
        <v>3198</v>
      </c>
      <c r="F2507" t="s">
        <v>905</v>
      </c>
      <c r="G2507" t="s">
        <v>3191</v>
      </c>
      <c r="H2507"/>
      <c r="I2507"/>
      <c r="J2507"/>
      <c r="K2507" t="s">
        <v>3154</v>
      </c>
    </row>
    <row r="2508" spans="1:11">
      <c r="A2508" s="6">
        <v>44698</v>
      </c>
      <c r="B2508" s="20">
        <v>332352348219</v>
      </c>
      <c r="C2508" s="6">
        <v>44694</v>
      </c>
      <c r="D2508" t="s">
        <v>3189</v>
      </c>
      <c r="E2508" t="s">
        <v>3199</v>
      </c>
      <c r="F2508" t="s">
        <v>905</v>
      </c>
      <c r="G2508" t="s">
        <v>3191</v>
      </c>
      <c r="H2508"/>
      <c r="I2508"/>
      <c r="J2508"/>
      <c r="K2508" t="s">
        <v>3151</v>
      </c>
    </row>
    <row r="2509" spans="1:11">
      <c r="A2509" s="6">
        <v>44698</v>
      </c>
      <c r="B2509" s="20">
        <v>332352348219</v>
      </c>
      <c r="C2509" s="6">
        <v>44694</v>
      </c>
      <c r="D2509" t="s">
        <v>3189</v>
      </c>
      <c r="E2509" t="s">
        <v>3200</v>
      </c>
      <c r="F2509" t="s">
        <v>905</v>
      </c>
      <c r="G2509" t="s">
        <v>3191</v>
      </c>
      <c r="H2509"/>
      <c r="I2509"/>
      <c r="J2509"/>
      <c r="K2509" t="s">
        <v>3148</v>
      </c>
    </row>
    <row r="2510" spans="1:11">
      <c r="A2510" s="6">
        <v>44698</v>
      </c>
      <c r="B2510" s="20">
        <v>332352348219</v>
      </c>
      <c r="C2510" s="6">
        <v>44694</v>
      </c>
      <c r="D2510" t="s">
        <v>3189</v>
      </c>
      <c r="E2510" t="s">
        <v>3201</v>
      </c>
      <c r="F2510" t="s">
        <v>905</v>
      </c>
      <c r="G2510" t="s">
        <v>3191</v>
      </c>
      <c r="H2510"/>
      <c r="I2510"/>
      <c r="J2510"/>
      <c r="K2510" t="s">
        <v>3142</v>
      </c>
    </row>
    <row r="2511" spans="1:11">
      <c r="A2511" s="6">
        <v>44698</v>
      </c>
      <c r="B2511" s="20">
        <v>332352348219</v>
      </c>
      <c r="C2511" s="6">
        <v>44694</v>
      </c>
      <c r="D2511" t="s">
        <v>3189</v>
      </c>
      <c r="E2511" t="s">
        <v>3202</v>
      </c>
      <c r="F2511" t="s">
        <v>905</v>
      </c>
      <c r="G2511" t="s">
        <v>3191</v>
      </c>
      <c r="H2511"/>
      <c r="I2511"/>
      <c r="J2511"/>
      <c r="K2511" t="s">
        <v>3145</v>
      </c>
    </row>
    <row r="2512" spans="1:11">
      <c r="A2512" s="6">
        <v>44704</v>
      </c>
      <c r="B2512" s="20" t="s">
        <v>3203</v>
      </c>
      <c r="C2512" s="6">
        <v>44701</v>
      </c>
      <c r="D2512" t="s">
        <v>2104</v>
      </c>
      <c r="E2512" t="s">
        <v>3204</v>
      </c>
      <c r="F2512" t="s">
        <v>202</v>
      </c>
      <c r="G2512" t="s">
        <v>3205</v>
      </c>
      <c r="H2512"/>
      <c r="I2512"/>
      <c r="J2512"/>
      <c r="K2512" t="s">
        <v>3151</v>
      </c>
    </row>
    <row r="2513" spans="1:11">
      <c r="A2513" s="6">
        <v>44704</v>
      </c>
      <c r="B2513" s="20" t="s">
        <v>3203</v>
      </c>
      <c r="C2513" s="6">
        <v>44701</v>
      </c>
      <c r="D2513" t="s">
        <v>2104</v>
      </c>
      <c r="E2513" t="s">
        <v>3206</v>
      </c>
      <c r="F2513" t="s">
        <v>202</v>
      </c>
      <c r="G2513" t="s">
        <v>3205</v>
      </c>
      <c r="H2513"/>
      <c r="I2513"/>
      <c r="J2513"/>
      <c r="K2513" t="s">
        <v>3151</v>
      </c>
    </row>
    <row r="2514" spans="1:11">
      <c r="A2514" s="6">
        <v>44704</v>
      </c>
      <c r="B2514" s="20" t="s">
        <v>3203</v>
      </c>
      <c r="C2514" s="6">
        <v>44701</v>
      </c>
      <c r="D2514" t="s">
        <v>2104</v>
      </c>
      <c r="E2514" t="s">
        <v>3207</v>
      </c>
      <c r="F2514" t="s">
        <v>202</v>
      </c>
      <c r="G2514" t="s">
        <v>3205</v>
      </c>
      <c r="H2514"/>
      <c r="I2514"/>
      <c r="J2514"/>
      <c r="K2514" t="s">
        <v>3148</v>
      </c>
    </row>
    <row r="2515" spans="1:11">
      <c r="A2515" s="6">
        <v>44704</v>
      </c>
      <c r="B2515" s="20" t="s">
        <v>3203</v>
      </c>
      <c r="C2515" s="6">
        <v>44701</v>
      </c>
      <c r="D2515" t="s">
        <v>2104</v>
      </c>
      <c r="E2515" t="s">
        <v>3208</v>
      </c>
      <c r="F2515" t="s">
        <v>202</v>
      </c>
      <c r="G2515" t="s">
        <v>3205</v>
      </c>
      <c r="H2515"/>
      <c r="I2515"/>
      <c r="J2515"/>
      <c r="K2515" t="s">
        <v>3148</v>
      </c>
    </row>
    <row r="2516" spans="1:11">
      <c r="A2516" s="6">
        <v>44704</v>
      </c>
      <c r="B2516" s="20" t="s">
        <v>3203</v>
      </c>
      <c r="C2516" s="6">
        <v>44701</v>
      </c>
      <c r="D2516" t="s">
        <v>2104</v>
      </c>
      <c r="E2516" t="s">
        <v>3209</v>
      </c>
      <c r="F2516" t="s">
        <v>202</v>
      </c>
      <c r="G2516" t="s">
        <v>3205</v>
      </c>
      <c r="H2516"/>
      <c r="I2516"/>
      <c r="J2516"/>
      <c r="K2516" t="s">
        <v>3151</v>
      </c>
    </row>
    <row r="2517" spans="1:11">
      <c r="A2517" s="6">
        <v>44704</v>
      </c>
      <c r="B2517" s="20" t="s">
        <v>3203</v>
      </c>
      <c r="C2517" s="6">
        <v>44701</v>
      </c>
      <c r="D2517" t="s">
        <v>2104</v>
      </c>
      <c r="E2517" t="s">
        <v>3210</v>
      </c>
      <c r="F2517" t="s">
        <v>202</v>
      </c>
      <c r="G2517" t="s">
        <v>3205</v>
      </c>
      <c r="H2517"/>
      <c r="I2517"/>
      <c r="J2517"/>
      <c r="K2517" t="s">
        <v>3148</v>
      </c>
    </row>
    <row r="2518" spans="1:11">
      <c r="A2518" s="6">
        <v>44704</v>
      </c>
      <c r="B2518" s="20" t="s">
        <v>3203</v>
      </c>
      <c r="C2518" s="6">
        <v>44701</v>
      </c>
      <c r="D2518" t="s">
        <v>2104</v>
      </c>
      <c r="E2518" t="s">
        <v>3211</v>
      </c>
      <c r="F2518" t="s">
        <v>202</v>
      </c>
      <c r="G2518" t="s">
        <v>3205</v>
      </c>
      <c r="H2518"/>
      <c r="I2518"/>
      <c r="J2518"/>
      <c r="K2518" t="s">
        <v>3145</v>
      </c>
    </row>
    <row r="2519" spans="1:11">
      <c r="A2519" s="6">
        <v>44704</v>
      </c>
      <c r="B2519" s="20" t="s">
        <v>3203</v>
      </c>
      <c r="C2519" s="6">
        <v>44701</v>
      </c>
      <c r="D2519" t="s">
        <v>2104</v>
      </c>
      <c r="E2519" t="s">
        <v>3212</v>
      </c>
      <c r="F2519" t="s">
        <v>202</v>
      </c>
      <c r="G2519" t="s">
        <v>3205</v>
      </c>
      <c r="H2519"/>
      <c r="I2519"/>
      <c r="J2519"/>
      <c r="K2519" t="s">
        <v>3145</v>
      </c>
    </row>
    <row r="2520" spans="1:11">
      <c r="A2520" s="6">
        <v>44704</v>
      </c>
      <c r="B2520" s="20" t="s">
        <v>3203</v>
      </c>
      <c r="C2520" s="6">
        <v>44701</v>
      </c>
      <c r="D2520" t="s">
        <v>2104</v>
      </c>
      <c r="E2520" t="s">
        <v>3213</v>
      </c>
      <c r="F2520" t="s">
        <v>202</v>
      </c>
      <c r="G2520" t="s">
        <v>3205</v>
      </c>
      <c r="H2520"/>
      <c r="I2520"/>
      <c r="J2520"/>
      <c r="K2520" t="s">
        <v>3145</v>
      </c>
    </row>
    <row r="2521" spans="1:11">
      <c r="A2521" s="6">
        <v>44704</v>
      </c>
      <c r="B2521" s="20" t="s">
        <v>3203</v>
      </c>
      <c r="C2521" s="6">
        <v>44701</v>
      </c>
      <c r="D2521" t="s">
        <v>2104</v>
      </c>
      <c r="E2521" t="s">
        <v>3214</v>
      </c>
      <c r="F2521" t="s">
        <v>202</v>
      </c>
      <c r="G2521" t="s">
        <v>3205</v>
      </c>
      <c r="H2521"/>
      <c r="I2521"/>
      <c r="J2521"/>
      <c r="K2521" t="s">
        <v>3145</v>
      </c>
    </row>
    <row r="2522" spans="1:11">
      <c r="A2522" s="6">
        <v>44704</v>
      </c>
      <c r="B2522" s="20" t="s">
        <v>3203</v>
      </c>
      <c r="C2522" s="6">
        <v>44701</v>
      </c>
      <c r="D2522" t="s">
        <v>2104</v>
      </c>
      <c r="E2522" t="s">
        <v>3215</v>
      </c>
      <c r="F2522" t="s">
        <v>202</v>
      </c>
      <c r="G2522" t="s">
        <v>3205</v>
      </c>
      <c r="H2522"/>
      <c r="I2522"/>
      <c r="J2522"/>
      <c r="K2522" t="s">
        <v>3142</v>
      </c>
    </row>
    <row r="2523" spans="1:11">
      <c r="A2523" s="6">
        <v>44704</v>
      </c>
      <c r="B2523" s="20" t="s">
        <v>3203</v>
      </c>
      <c r="C2523" s="6">
        <v>44701</v>
      </c>
      <c r="D2523" t="s">
        <v>2104</v>
      </c>
      <c r="E2523" t="s">
        <v>3216</v>
      </c>
      <c r="F2523" t="s">
        <v>202</v>
      </c>
      <c r="G2523" t="s">
        <v>3205</v>
      </c>
      <c r="H2523"/>
      <c r="I2523"/>
      <c r="J2523"/>
      <c r="K2523" t="s">
        <v>3142</v>
      </c>
    </row>
    <row r="2524" spans="1:11">
      <c r="A2524" s="6">
        <v>44704</v>
      </c>
      <c r="B2524" s="20" t="s">
        <v>3203</v>
      </c>
      <c r="C2524" s="6">
        <v>44701</v>
      </c>
      <c r="D2524" t="s">
        <v>2104</v>
      </c>
      <c r="E2524" t="s">
        <v>3217</v>
      </c>
      <c r="F2524" t="s">
        <v>202</v>
      </c>
      <c r="G2524" t="s">
        <v>3205</v>
      </c>
      <c r="H2524"/>
      <c r="I2524"/>
      <c r="J2524"/>
      <c r="K2524" t="s">
        <v>3148</v>
      </c>
    </row>
    <row r="2525" spans="1:11">
      <c r="A2525" s="6">
        <v>44704</v>
      </c>
      <c r="B2525" s="20" t="s">
        <v>3203</v>
      </c>
      <c r="C2525" s="6">
        <v>44701</v>
      </c>
      <c r="D2525" t="s">
        <v>2104</v>
      </c>
      <c r="E2525" t="s">
        <v>3218</v>
      </c>
      <c r="F2525" t="s">
        <v>202</v>
      </c>
      <c r="G2525" t="s">
        <v>3205</v>
      </c>
      <c r="H2525"/>
      <c r="I2525"/>
      <c r="J2525"/>
      <c r="K2525" t="s">
        <v>3142</v>
      </c>
    </row>
    <row r="2526" spans="1:11">
      <c r="A2526" s="6">
        <v>44704</v>
      </c>
      <c r="B2526" s="20" t="s">
        <v>3203</v>
      </c>
      <c r="C2526" s="6">
        <v>44701</v>
      </c>
      <c r="D2526" t="s">
        <v>2104</v>
      </c>
      <c r="E2526" t="s">
        <v>3219</v>
      </c>
      <c r="F2526" t="s">
        <v>202</v>
      </c>
      <c r="G2526" t="s">
        <v>3205</v>
      </c>
      <c r="H2526"/>
      <c r="I2526"/>
      <c r="J2526"/>
      <c r="K2526" t="s">
        <v>3142</v>
      </c>
    </row>
    <row r="2527" spans="1:11">
      <c r="A2527" s="6">
        <v>44704</v>
      </c>
      <c r="B2527" s="20" t="s">
        <v>3203</v>
      </c>
      <c r="C2527" s="6">
        <v>44701</v>
      </c>
      <c r="D2527" t="s">
        <v>2104</v>
      </c>
      <c r="E2527" t="s">
        <v>3220</v>
      </c>
      <c r="F2527" t="s">
        <v>202</v>
      </c>
      <c r="G2527" t="s">
        <v>3205</v>
      </c>
      <c r="H2527"/>
      <c r="I2527"/>
      <c r="J2527"/>
      <c r="K2527" t="s">
        <v>3160</v>
      </c>
    </row>
    <row r="2528" spans="1:11">
      <c r="A2528" s="6">
        <v>44704</v>
      </c>
      <c r="B2528" s="20" t="s">
        <v>3203</v>
      </c>
      <c r="C2528" s="6">
        <v>44701</v>
      </c>
      <c r="D2528" t="s">
        <v>2104</v>
      </c>
      <c r="E2528" t="s">
        <v>3221</v>
      </c>
      <c r="F2528" t="s">
        <v>202</v>
      </c>
      <c r="G2528" t="s">
        <v>3205</v>
      </c>
      <c r="H2528"/>
      <c r="I2528"/>
      <c r="J2528"/>
      <c r="K2528" t="s">
        <v>3160</v>
      </c>
    </row>
    <row r="2529" spans="1:11">
      <c r="A2529" s="6">
        <v>44704</v>
      </c>
      <c r="B2529" s="20" t="s">
        <v>3203</v>
      </c>
      <c r="C2529" s="6">
        <v>44701</v>
      </c>
      <c r="D2529" t="s">
        <v>2104</v>
      </c>
      <c r="E2529" t="s">
        <v>3222</v>
      </c>
      <c r="F2529" t="s">
        <v>202</v>
      </c>
      <c r="G2529" t="s">
        <v>3205</v>
      </c>
      <c r="H2529"/>
      <c r="I2529"/>
      <c r="J2529"/>
      <c r="K2529" t="s">
        <v>3160</v>
      </c>
    </row>
    <row r="2530" spans="1:11">
      <c r="A2530" s="6">
        <v>44704</v>
      </c>
      <c r="B2530" s="20" t="s">
        <v>3203</v>
      </c>
      <c r="C2530" s="6">
        <v>44701</v>
      </c>
      <c r="D2530" t="s">
        <v>2104</v>
      </c>
      <c r="E2530" t="s">
        <v>3223</v>
      </c>
      <c r="F2530" t="s">
        <v>202</v>
      </c>
      <c r="G2530" t="s">
        <v>3205</v>
      </c>
      <c r="H2530"/>
      <c r="I2530"/>
      <c r="J2530"/>
      <c r="K2530" t="s">
        <v>3154</v>
      </c>
    </row>
    <row r="2531" spans="1:11">
      <c r="A2531" s="6">
        <v>44704</v>
      </c>
      <c r="B2531" s="20" t="s">
        <v>3203</v>
      </c>
      <c r="C2531" s="6">
        <v>44701</v>
      </c>
      <c r="D2531" t="s">
        <v>2104</v>
      </c>
      <c r="E2531" t="s">
        <v>3224</v>
      </c>
      <c r="F2531" t="s">
        <v>202</v>
      </c>
      <c r="G2531" t="s">
        <v>3205</v>
      </c>
      <c r="H2531"/>
      <c r="I2531"/>
      <c r="J2531"/>
      <c r="K2531" t="s">
        <v>3154</v>
      </c>
    </row>
    <row r="2532" spans="1:11">
      <c r="A2532" s="6">
        <v>44704</v>
      </c>
      <c r="B2532" s="20" t="s">
        <v>3203</v>
      </c>
      <c r="C2532" s="6">
        <v>44701</v>
      </c>
      <c r="D2532" t="s">
        <v>2104</v>
      </c>
      <c r="E2532" t="s">
        <v>3225</v>
      </c>
      <c r="F2532" t="s">
        <v>202</v>
      </c>
      <c r="G2532" t="s">
        <v>3205</v>
      </c>
      <c r="H2532"/>
      <c r="I2532"/>
      <c r="J2532"/>
      <c r="K2532" t="s">
        <v>3154</v>
      </c>
    </row>
    <row r="2533" spans="1:11">
      <c r="A2533" s="6">
        <v>44704</v>
      </c>
      <c r="B2533" s="20" t="s">
        <v>3203</v>
      </c>
      <c r="C2533" s="6">
        <v>44701</v>
      </c>
      <c r="D2533" t="s">
        <v>2104</v>
      </c>
      <c r="E2533" t="s">
        <v>3226</v>
      </c>
      <c r="F2533" t="s">
        <v>202</v>
      </c>
      <c r="G2533" t="s">
        <v>3205</v>
      </c>
      <c r="H2533"/>
      <c r="I2533"/>
      <c r="J2533"/>
      <c r="K2533" t="s">
        <v>3154</v>
      </c>
    </row>
    <row r="2534" spans="1:11">
      <c r="A2534" s="6">
        <v>44704</v>
      </c>
      <c r="B2534" s="20" t="s">
        <v>3203</v>
      </c>
      <c r="C2534" s="6">
        <v>44701</v>
      </c>
      <c r="D2534" t="s">
        <v>2104</v>
      </c>
      <c r="E2534" t="s">
        <v>3227</v>
      </c>
      <c r="F2534" t="s">
        <v>202</v>
      </c>
      <c r="G2534" t="s">
        <v>3205</v>
      </c>
      <c r="H2534"/>
      <c r="I2534"/>
      <c r="J2534"/>
      <c r="K2534" t="s">
        <v>3151</v>
      </c>
    </row>
    <row r="2535" spans="1:11">
      <c r="A2535" s="6">
        <v>44704</v>
      </c>
      <c r="B2535" s="20" t="s">
        <v>3203</v>
      </c>
      <c r="C2535" s="6">
        <v>44701</v>
      </c>
      <c r="D2535" t="s">
        <v>2104</v>
      </c>
      <c r="E2535" t="s">
        <v>3228</v>
      </c>
      <c r="F2535" t="s">
        <v>202</v>
      </c>
      <c r="G2535" t="s">
        <v>3205</v>
      </c>
      <c r="H2535"/>
      <c r="I2535"/>
      <c r="J2535"/>
      <c r="K2535" t="s">
        <v>3139</v>
      </c>
    </row>
    <row r="2536" spans="1:11">
      <c r="A2536" s="6">
        <v>44704</v>
      </c>
      <c r="B2536" s="20" t="s">
        <v>3203</v>
      </c>
      <c r="C2536" s="6">
        <v>44701</v>
      </c>
      <c r="D2536" t="s">
        <v>2104</v>
      </c>
      <c r="E2536" t="s">
        <v>3229</v>
      </c>
      <c r="F2536" t="s">
        <v>202</v>
      </c>
      <c r="G2536" t="s">
        <v>3205</v>
      </c>
      <c r="H2536"/>
      <c r="I2536"/>
      <c r="J2536"/>
      <c r="K2536" t="s">
        <v>3139</v>
      </c>
    </row>
    <row r="2537" spans="1:11">
      <c r="A2537" s="6">
        <v>44704</v>
      </c>
      <c r="B2537" s="20" t="s">
        <v>3203</v>
      </c>
      <c r="C2537" s="6">
        <v>44701</v>
      </c>
      <c r="D2537" t="s">
        <v>2104</v>
      </c>
      <c r="E2537" t="s">
        <v>3230</v>
      </c>
      <c r="F2537" t="s">
        <v>202</v>
      </c>
      <c r="G2537" t="s">
        <v>3205</v>
      </c>
      <c r="H2537"/>
      <c r="I2537"/>
      <c r="J2537"/>
      <c r="K2537" t="s">
        <v>3139</v>
      </c>
    </row>
    <row r="2538" spans="1:11">
      <c r="A2538" s="6">
        <v>44704</v>
      </c>
      <c r="B2538" s="20" t="s">
        <v>3203</v>
      </c>
      <c r="C2538" s="6">
        <v>44701</v>
      </c>
      <c r="D2538" t="s">
        <v>2104</v>
      </c>
      <c r="E2538" t="s">
        <v>3231</v>
      </c>
      <c r="F2538" t="s">
        <v>202</v>
      </c>
      <c r="G2538" t="s">
        <v>3205</v>
      </c>
      <c r="H2538"/>
      <c r="I2538"/>
      <c r="J2538"/>
      <c r="K2538" t="s">
        <v>3139</v>
      </c>
    </row>
    <row r="2539" spans="1:11">
      <c r="A2539" s="6">
        <v>44704</v>
      </c>
      <c r="B2539" s="20" t="s">
        <v>3203</v>
      </c>
      <c r="C2539" s="6">
        <v>44701</v>
      </c>
      <c r="D2539" t="s">
        <v>2104</v>
      </c>
      <c r="E2539" t="s">
        <v>3232</v>
      </c>
      <c r="F2539" t="s">
        <v>202</v>
      </c>
      <c r="G2539" t="s">
        <v>3205</v>
      </c>
      <c r="H2539"/>
      <c r="I2539"/>
      <c r="J2539"/>
      <c r="K2539" t="s">
        <v>3133</v>
      </c>
    </row>
    <row r="2540" spans="1:11">
      <c r="A2540" s="6">
        <v>44704</v>
      </c>
      <c r="B2540" s="20" t="s">
        <v>3203</v>
      </c>
      <c r="C2540" s="6">
        <v>44701</v>
      </c>
      <c r="D2540" t="s">
        <v>2104</v>
      </c>
      <c r="E2540" t="s">
        <v>3233</v>
      </c>
      <c r="F2540" t="s">
        <v>202</v>
      </c>
      <c r="G2540" t="s">
        <v>3205</v>
      </c>
      <c r="H2540"/>
      <c r="I2540"/>
      <c r="J2540"/>
      <c r="K2540" t="s">
        <v>3133</v>
      </c>
    </row>
    <row r="2541" spans="1:11">
      <c r="A2541" s="6">
        <v>44704</v>
      </c>
      <c r="B2541" s="20" t="s">
        <v>3203</v>
      </c>
      <c r="C2541" s="6">
        <v>44701</v>
      </c>
      <c r="D2541" t="s">
        <v>2104</v>
      </c>
      <c r="E2541" t="s">
        <v>3234</v>
      </c>
      <c r="F2541" t="s">
        <v>202</v>
      </c>
      <c r="G2541" t="s">
        <v>3205</v>
      </c>
      <c r="H2541"/>
      <c r="I2541"/>
      <c r="J2541"/>
      <c r="K2541" t="s">
        <v>3133</v>
      </c>
    </row>
    <row r="2542" spans="1:11">
      <c r="A2542" s="6">
        <v>44704</v>
      </c>
      <c r="B2542" s="20" t="s">
        <v>3203</v>
      </c>
      <c r="C2542" s="6">
        <v>44701</v>
      </c>
      <c r="D2542" t="s">
        <v>2104</v>
      </c>
      <c r="E2542" t="s">
        <v>3235</v>
      </c>
      <c r="F2542" t="s">
        <v>202</v>
      </c>
      <c r="G2542" t="s">
        <v>3205</v>
      </c>
      <c r="H2542"/>
      <c r="I2542"/>
      <c r="J2542"/>
      <c r="K2542" t="s">
        <v>3133</v>
      </c>
    </row>
    <row r="2543" spans="1:11">
      <c r="A2543" s="6">
        <v>44704</v>
      </c>
      <c r="B2543" s="20" t="s">
        <v>3203</v>
      </c>
      <c r="C2543" s="6">
        <v>44701</v>
      </c>
      <c r="D2543" t="s">
        <v>2104</v>
      </c>
      <c r="E2543" t="s">
        <v>3236</v>
      </c>
      <c r="F2543" t="s">
        <v>202</v>
      </c>
      <c r="G2543" t="s">
        <v>3205</v>
      </c>
      <c r="H2543"/>
      <c r="I2543"/>
      <c r="J2543"/>
      <c r="K2543" t="s">
        <v>3136</v>
      </c>
    </row>
    <row r="2544" spans="1:11">
      <c r="A2544" s="6">
        <v>44704</v>
      </c>
      <c r="B2544" s="20" t="s">
        <v>3203</v>
      </c>
      <c r="C2544" s="6">
        <v>44701</v>
      </c>
      <c r="D2544" t="s">
        <v>2104</v>
      </c>
      <c r="E2544" t="s">
        <v>3237</v>
      </c>
      <c r="F2544" t="s">
        <v>202</v>
      </c>
      <c r="G2544" t="s">
        <v>3205</v>
      </c>
      <c r="H2544"/>
      <c r="I2544"/>
      <c r="J2544"/>
      <c r="K2544" t="s">
        <v>3136</v>
      </c>
    </row>
    <row r="2545" spans="1:11">
      <c r="A2545" s="6">
        <v>44704</v>
      </c>
      <c r="B2545" s="20" t="s">
        <v>3203</v>
      </c>
      <c r="C2545" s="6">
        <v>44701</v>
      </c>
      <c r="D2545" t="s">
        <v>2104</v>
      </c>
      <c r="E2545" t="s">
        <v>3238</v>
      </c>
      <c r="F2545" t="s">
        <v>202</v>
      </c>
      <c r="G2545" t="s">
        <v>3205</v>
      </c>
      <c r="H2545"/>
      <c r="I2545"/>
      <c r="J2545"/>
      <c r="K2545" t="s">
        <v>3136</v>
      </c>
    </row>
    <row r="2546" spans="1:11">
      <c r="A2546" s="6">
        <v>44704</v>
      </c>
      <c r="B2546" s="20" t="s">
        <v>3203</v>
      </c>
      <c r="C2546" s="6">
        <v>44701</v>
      </c>
      <c r="D2546" t="s">
        <v>2104</v>
      </c>
      <c r="E2546" t="s">
        <v>3239</v>
      </c>
      <c r="F2546" t="s">
        <v>202</v>
      </c>
      <c r="G2546" t="s">
        <v>3205</v>
      </c>
      <c r="H2546"/>
      <c r="I2546"/>
      <c r="J2546"/>
      <c r="K2546" t="s">
        <v>3136</v>
      </c>
    </row>
    <row r="2547" spans="1:11">
      <c r="A2547" s="6">
        <v>44704</v>
      </c>
      <c r="B2547" s="20" t="s">
        <v>3203</v>
      </c>
      <c r="C2547" s="6">
        <v>44701</v>
      </c>
      <c r="D2547" t="s">
        <v>2104</v>
      </c>
      <c r="E2547" t="s">
        <v>3240</v>
      </c>
      <c r="F2547" t="s">
        <v>202</v>
      </c>
      <c r="G2547" t="s">
        <v>3205</v>
      </c>
      <c r="H2547"/>
      <c r="I2547"/>
      <c r="J2547"/>
      <c r="K2547" t="s">
        <v>3130</v>
      </c>
    </row>
    <row r="2548" spans="1:11">
      <c r="A2548" s="6">
        <v>44704</v>
      </c>
      <c r="B2548" s="20" t="s">
        <v>3203</v>
      </c>
      <c r="C2548" s="6">
        <v>44701</v>
      </c>
      <c r="D2548" t="s">
        <v>2104</v>
      </c>
      <c r="E2548" t="s">
        <v>3241</v>
      </c>
      <c r="F2548" t="s">
        <v>202</v>
      </c>
      <c r="G2548" t="s">
        <v>3205</v>
      </c>
      <c r="H2548"/>
      <c r="I2548"/>
      <c r="J2548"/>
      <c r="K2548" t="s">
        <v>3130</v>
      </c>
    </row>
    <row r="2549" spans="1:11">
      <c r="A2549" s="6">
        <v>44704</v>
      </c>
      <c r="B2549" s="20" t="s">
        <v>3203</v>
      </c>
      <c r="C2549" s="6">
        <v>44701</v>
      </c>
      <c r="D2549" t="s">
        <v>2104</v>
      </c>
      <c r="E2549" t="s">
        <v>3242</v>
      </c>
      <c r="F2549" t="s">
        <v>202</v>
      </c>
      <c r="G2549" t="s">
        <v>3205</v>
      </c>
      <c r="H2549"/>
      <c r="I2549"/>
      <c r="J2549"/>
      <c r="K2549" t="s">
        <v>3130</v>
      </c>
    </row>
    <row r="2550" spans="1:11">
      <c r="A2550" s="6">
        <v>44704</v>
      </c>
      <c r="B2550" s="20" t="s">
        <v>3203</v>
      </c>
      <c r="C2550" s="6">
        <v>44701</v>
      </c>
      <c r="D2550" t="s">
        <v>2104</v>
      </c>
      <c r="E2550" t="s">
        <v>3243</v>
      </c>
      <c r="F2550" t="s">
        <v>202</v>
      </c>
      <c r="G2550" t="s">
        <v>3205</v>
      </c>
      <c r="H2550"/>
      <c r="I2550"/>
      <c r="J2550"/>
      <c r="K2550" t="s">
        <v>3130</v>
      </c>
    </row>
    <row r="2551" spans="1:11">
      <c r="A2551" s="6">
        <v>44704</v>
      </c>
      <c r="B2551" s="20" t="s">
        <v>3203</v>
      </c>
      <c r="C2551" s="6">
        <v>44701</v>
      </c>
      <c r="D2551" t="s">
        <v>2104</v>
      </c>
      <c r="E2551" t="s">
        <v>3244</v>
      </c>
      <c r="F2551" t="s">
        <v>202</v>
      </c>
      <c r="G2551" t="s">
        <v>3205</v>
      </c>
      <c r="H2551"/>
      <c r="I2551"/>
      <c r="J2551"/>
      <c r="K2551" t="s">
        <v>3127</v>
      </c>
    </row>
    <row r="2552" spans="1:11">
      <c r="A2552" s="6">
        <v>44704</v>
      </c>
      <c r="B2552" s="20" t="s">
        <v>3203</v>
      </c>
      <c r="C2552" s="6">
        <v>44701</v>
      </c>
      <c r="D2552" t="s">
        <v>2104</v>
      </c>
      <c r="E2552" t="s">
        <v>3245</v>
      </c>
      <c r="F2552" t="s">
        <v>202</v>
      </c>
      <c r="G2552" t="s">
        <v>3205</v>
      </c>
      <c r="H2552"/>
      <c r="I2552"/>
      <c r="J2552"/>
      <c r="K2552" t="s">
        <v>3127</v>
      </c>
    </row>
    <row r="2553" spans="1:11">
      <c r="A2553" s="6">
        <v>44704</v>
      </c>
      <c r="B2553" s="20" t="s">
        <v>3203</v>
      </c>
      <c r="C2553" s="6">
        <v>44701</v>
      </c>
      <c r="D2553" t="s">
        <v>2104</v>
      </c>
      <c r="E2553" t="s">
        <v>3246</v>
      </c>
      <c r="F2553" t="s">
        <v>202</v>
      </c>
      <c r="G2553" t="s">
        <v>3205</v>
      </c>
      <c r="H2553"/>
      <c r="I2553"/>
      <c r="J2553"/>
      <c r="K2553" t="s">
        <v>3127</v>
      </c>
    </row>
    <row r="2554" spans="1:11">
      <c r="A2554" s="6">
        <v>44704</v>
      </c>
      <c r="B2554" s="20" t="s">
        <v>3203</v>
      </c>
      <c r="C2554" s="6">
        <v>44701</v>
      </c>
      <c r="D2554" t="s">
        <v>2104</v>
      </c>
      <c r="E2554" t="s">
        <v>3247</v>
      </c>
      <c r="F2554" t="s">
        <v>202</v>
      </c>
      <c r="G2554" t="s">
        <v>3205</v>
      </c>
      <c r="H2554"/>
      <c r="I2554"/>
      <c r="J2554"/>
      <c r="K2554" t="s">
        <v>3127</v>
      </c>
    </row>
    <row r="2555" spans="1:11">
      <c r="A2555" s="6">
        <v>44704</v>
      </c>
      <c r="B2555" s="20" t="s">
        <v>3203</v>
      </c>
      <c r="C2555" s="6">
        <v>44701</v>
      </c>
      <c r="D2555" t="s">
        <v>2104</v>
      </c>
      <c r="E2555" t="s">
        <v>3248</v>
      </c>
      <c r="F2555" t="s">
        <v>202</v>
      </c>
      <c r="G2555" t="s">
        <v>3205</v>
      </c>
      <c r="H2555"/>
      <c r="I2555"/>
      <c r="J2555"/>
      <c r="K2555" t="s">
        <v>3157</v>
      </c>
    </row>
    <row r="2556" spans="1:11">
      <c r="A2556" s="6">
        <v>44704</v>
      </c>
      <c r="B2556" s="20" t="s">
        <v>3203</v>
      </c>
      <c r="C2556" s="6">
        <v>44701</v>
      </c>
      <c r="D2556" t="s">
        <v>2104</v>
      </c>
      <c r="E2556" t="s">
        <v>3249</v>
      </c>
      <c r="F2556" t="s">
        <v>202</v>
      </c>
      <c r="G2556" t="s">
        <v>3205</v>
      </c>
      <c r="H2556"/>
      <c r="I2556"/>
      <c r="J2556"/>
      <c r="K2556" t="s">
        <v>3157</v>
      </c>
    </row>
    <row r="2557" spans="1:11">
      <c r="A2557" s="6">
        <v>44704</v>
      </c>
      <c r="B2557" s="20" t="s">
        <v>3203</v>
      </c>
      <c r="C2557" s="6">
        <v>44701</v>
      </c>
      <c r="D2557" t="s">
        <v>2104</v>
      </c>
      <c r="E2557" t="s">
        <v>3250</v>
      </c>
      <c r="F2557" t="s">
        <v>202</v>
      </c>
      <c r="G2557" t="s">
        <v>3205</v>
      </c>
      <c r="H2557"/>
      <c r="I2557"/>
      <c r="J2557"/>
      <c r="K2557" t="s">
        <v>3157</v>
      </c>
    </row>
    <row r="2558" spans="1:11">
      <c r="A2558" s="6">
        <v>44704</v>
      </c>
      <c r="B2558" s="20" t="s">
        <v>3203</v>
      </c>
      <c r="C2558" s="6">
        <v>44701</v>
      </c>
      <c r="D2558" t="s">
        <v>2104</v>
      </c>
      <c r="E2558" t="s">
        <v>3251</v>
      </c>
      <c r="F2558" t="s">
        <v>202</v>
      </c>
      <c r="G2558" t="s">
        <v>3205</v>
      </c>
      <c r="H2558"/>
      <c r="I2558"/>
      <c r="J2558"/>
      <c r="K2558" t="s">
        <v>3157</v>
      </c>
    </row>
    <row r="2559" spans="1:11">
      <c r="A2559" s="6">
        <v>44704</v>
      </c>
      <c r="B2559" s="20" t="s">
        <v>3203</v>
      </c>
      <c r="C2559" s="6">
        <v>44701</v>
      </c>
      <c r="D2559" t="s">
        <v>2104</v>
      </c>
      <c r="E2559" t="s">
        <v>3252</v>
      </c>
      <c r="F2559" t="s">
        <v>202</v>
      </c>
      <c r="G2559" t="s">
        <v>3205</v>
      </c>
      <c r="H2559"/>
      <c r="I2559"/>
      <c r="J2559"/>
      <c r="K2559" t="s">
        <v>3160</v>
      </c>
    </row>
    <row r="2560" spans="1:11">
      <c r="A2560" s="6">
        <v>44683</v>
      </c>
      <c r="B2560" s="20">
        <v>5757964092713</v>
      </c>
      <c r="C2560" s="6">
        <v>44679</v>
      </c>
      <c r="D2560" t="s">
        <v>3048</v>
      </c>
      <c r="E2560" t="s">
        <v>3254</v>
      </c>
      <c r="F2560" t="s">
        <v>3255</v>
      </c>
      <c r="G2560" t="s">
        <v>3256</v>
      </c>
      <c r="H2560"/>
      <c r="I2560"/>
      <c r="J2560"/>
      <c r="K2560" t="s">
        <v>3257</v>
      </c>
    </row>
    <row r="2561" spans="1:11">
      <c r="A2561" s="6">
        <v>44683</v>
      </c>
      <c r="B2561" s="20">
        <v>5757964092713</v>
      </c>
      <c r="C2561" s="6">
        <v>44679</v>
      </c>
      <c r="D2561" t="s">
        <v>3048</v>
      </c>
      <c r="E2561" t="s">
        <v>3258</v>
      </c>
      <c r="F2561" t="s">
        <v>3255</v>
      </c>
      <c r="G2561" t="s">
        <v>3256</v>
      </c>
      <c r="H2561"/>
      <c r="I2561"/>
      <c r="J2561"/>
      <c r="K2561" t="s">
        <v>3259</v>
      </c>
    </row>
    <row r="2562" spans="1:11">
      <c r="A2562" s="6">
        <v>44729</v>
      </c>
      <c r="B2562" s="20" t="s">
        <v>3315</v>
      </c>
      <c r="C2562" s="6">
        <v>44726</v>
      </c>
      <c r="D2562" t="s">
        <v>956</v>
      </c>
      <c r="E2562">
        <v>1940559</v>
      </c>
      <c r="F2562"/>
      <c r="G2562" t="s">
        <v>1259</v>
      </c>
      <c r="H2562"/>
      <c r="I2562"/>
      <c r="J2562"/>
      <c r="K2562" t="s">
        <v>3259</v>
      </c>
    </row>
    <row r="2563" spans="1:11">
      <c r="A2563" s="6">
        <v>44729</v>
      </c>
      <c r="B2563" s="20" t="s">
        <v>3315</v>
      </c>
      <c r="C2563" s="6">
        <v>44726</v>
      </c>
      <c r="D2563" t="s">
        <v>956</v>
      </c>
      <c r="E2563">
        <v>1940563</v>
      </c>
      <c r="F2563"/>
      <c r="G2563" t="s">
        <v>1259</v>
      </c>
      <c r="H2563"/>
      <c r="I2563"/>
      <c r="J2563"/>
      <c r="K2563" t="s">
        <v>3259</v>
      </c>
    </row>
    <row r="2564" spans="1:11">
      <c r="A2564" s="6">
        <v>44729</v>
      </c>
      <c r="B2564" s="20" t="s">
        <v>3315</v>
      </c>
      <c r="C2564" s="6">
        <v>44726</v>
      </c>
      <c r="D2564" t="s">
        <v>956</v>
      </c>
      <c r="E2564">
        <v>1940546</v>
      </c>
      <c r="F2564"/>
      <c r="G2564" t="s">
        <v>1259</v>
      </c>
      <c r="H2564"/>
      <c r="I2564"/>
      <c r="J2564"/>
      <c r="K2564" t="s">
        <v>3257</v>
      </c>
    </row>
    <row r="2565" spans="1:11">
      <c r="A2565" s="6">
        <v>44729</v>
      </c>
      <c r="B2565" s="20" t="s">
        <v>3315</v>
      </c>
      <c r="C2565" s="6">
        <v>44726</v>
      </c>
      <c r="D2565" t="s">
        <v>956</v>
      </c>
      <c r="E2565">
        <v>1940542</v>
      </c>
      <c r="F2565"/>
      <c r="G2565" t="s">
        <v>1259</v>
      </c>
      <c r="H2565"/>
      <c r="I2565"/>
      <c r="J2565"/>
      <c r="K2565" t="s">
        <v>3257</v>
      </c>
    </row>
    <row r="2566" spans="1:11">
      <c r="A2566" s="6">
        <v>44729</v>
      </c>
      <c r="B2566" s="20" t="s">
        <v>3315</v>
      </c>
      <c r="C2566" s="6">
        <v>44726</v>
      </c>
      <c r="D2566" t="s">
        <v>956</v>
      </c>
      <c r="E2566">
        <v>1940558</v>
      </c>
      <c r="F2566"/>
      <c r="G2566" t="s">
        <v>1259</v>
      </c>
      <c r="H2566"/>
      <c r="I2566"/>
      <c r="J2566"/>
      <c r="K2566" t="s">
        <v>3260</v>
      </c>
    </row>
    <row r="2567" spans="1:11">
      <c r="A2567" s="6">
        <v>44729</v>
      </c>
      <c r="B2567" s="20" t="s">
        <v>3315</v>
      </c>
      <c r="C2567" s="6">
        <v>44726</v>
      </c>
      <c r="D2567" t="s">
        <v>956</v>
      </c>
      <c r="E2567">
        <v>1940550</v>
      </c>
      <c r="F2567"/>
      <c r="G2567" t="s">
        <v>1259</v>
      </c>
      <c r="H2567"/>
      <c r="I2567"/>
      <c r="J2567"/>
      <c r="K2567" t="s">
        <v>3260</v>
      </c>
    </row>
    <row r="2568" spans="1:11">
      <c r="A2568" s="6">
        <v>44729</v>
      </c>
      <c r="B2568" s="20" t="s">
        <v>3315</v>
      </c>
      <c r="C2568" s="6">
        <v>44726</v>
      </c>
      <c r="D2568" t="s">
        <v>956</v>
      </c>
      <c r="E2568">
        <v>1940554</v>
      </c>
      <c r="F2568"/>
      <c r="G2568" t="s">
        <v>1259</v>
      </c>
      <c r="H2568"/>
      <c r="I2568"/>
      <c r="J2568"/>
      <c r="K2568" t="s">
        <v>3261</v>
      </c>
    </row>
    <row r="2569" spans="1:11">
      <c r="A2569" s="6">
        <v>44729</v>
      </c>
      <c r="B2569" s="20" t="s">
        <v>3315</v>
      </c>
      <c r="C2569" s="6">
        <v>44726</v>
      </c>
      <c r="D2569" t="s">
        <v>956</v>
      </c>
      <c r="E2569">
        <v>1940551</v>
      </c>
      <c r="F2569"/>
      <c r="G2569" t="s">
        <v>1259</v>
      </c>
      <c r="H2569"/>
      <c r="I2569"/>
      <c r="J2569"/>
      <c r="K2569" t="s">
        <v>3261</v>
      </c>
    </row>
    <row r="2570" spans="1:11">
      <c r="A2570" s="6">
        <v>44729</v>
      </c>
      <c r="B2570" s="20" t="s">
        <v>3315</v>
      </c>
      <c r="C2570" s="6">
        <v>44726</v>
      </c>
      <c r="D2570" t="s">
        <v>956</v>
      </c>
      <c r="E2570">
        <v>1940543</v>
      </c>
      <c r="F2570"/>
      <c r="G2570" t="s">
        <v>1259</v>
      </c>
      <c r="H2570"/>
      <c r="I2570"/>
      <c r="J2570"/>
      <c r="K2570" t="s">
        <v>3262</v>
      </c>
    </row>
    <row r="2571" spans="1:11">
      <c r="A2571" s="6">
        <v>44729</v>
      </c>
      <c r="B2571" s="20" t="s">
        <v>3315</v>
      </c>
      <c r="C2571" s="6">
        <v>44726</v>
      </c>
      <c r="D2571" t="s">
        <v>956</v>
      </c>
      <c r="E2571">
        <v>1940555</v>
      </c>
      <c r="F2571"/>
      <c r="G2571" t="s">
        <v>1259</v>
      </c>
      <c r="H2571"/>
      <c r="I2571"/>
      <c r="J2571"/>
      <c r="K2571" t="s">
        <v>3262</v>
      </c>
    </row>
    <row r="2572" spans="1:11">
      <c r="A2572" s="6">
        <v>44732</v>
      </c>
      <c r="B2572" s="20" t="s">
        <v>3316</v>
      </c>
      <c r="C2572" s="6">
        <v>44727</v>
      </c>
      <c r="D2572" t="s">
        <v>956</v>
      </c>
      <c r="E2572" t="s">
        <v>3263</v>
      </c>
      <c r="F2572" t="s">
        <v>2592</v>
      </c>
      <c r="G2572">
        <v>3136656</v>
      </c>
      <c r="H2572"/>
      <c r="I2572"/>
      <c r="J2572"/>
      <c r="K2572" t="s">
        <v>3264</v>
      </c>
    </row>
    <row r="2573" spans="1:11">
      <c r="A2573" s="6">
        <v>44732</v>
      </c>
      <c r="B2573" s="20" t="s">
        <v>3316</v>
      </c>
      <c r="C2573" s="6">
        <v>44727</v>
      </c>
      <c r="D2573" t="s">
        <v>956</v>
      </c>
      <c r="E2573" t="s">
        <v>3265</v>
      </c>
      <c r="F2573" t="s">
        <v>2592</v>
      </c>
      <c r="G2573">
        <v>3136656</v>
      </c>
      <c r="H2573"/>
      <c r="I2573"/>
      <c r="J2573"/>
      <c r="K2573" t="s">
        <v>3264</v>
      </c>
    </row>
    <row r="2574" spans="1:11">
      <c r="A2574" s="38">
        <v>44732</v>
      </c>
      <c r="B2574" s="27" t="s">
        <v>9</v>
      </c>
      <c r="C2574" s="38">
        <v>44729</v>
      </c>
      <c r="D2574" s="26" t="s">
        <v>965</v>
      </c>
      <c r="E2574" s="26" t="s">
        <v>3266</v>
      </c>
      <c r="F2574" s="26" t="s">
        <v>12</v>
      </c>
      <c r="G2574" s="26">
        <v>931488698</v>
      </c>
      <c r="H2574" s="26"/>
      <c r="I2574" s="26"/>
      <c r="J2574" s="26"/>
      <c r="K2574" t="s">
        <v>3259</v>
      </c>
    </row>
    <row r="2575" spans="1:11">
      <c r="A2575" s="6">
        <v>44732</v>
      </c>
      <c r="B2575" s="20" t="s">
        <v>9</v>
      </c>
      <c r="C2575"/>
      <c r="D2575" s="24" t="s">
        <v>967</v>
      </c>
      <c r="E2575" t="s">
        <v>3267</v>
      </c>
      <c r="F2575" t="s">
        <v>12</v>
      </c>
      <c r="G2575"/>
      <c r="H2575"/>
      <c r="I2575"/>
      <c r="J2575"/>
      <c r="K2575" t="s">
        <v>3259</v>
      </c>
    </row>
    <row r="2576" spans="1:11">
      <c r="A2576" s="6">
        <v>44732</v>
      </c>
      <c r="B2576" s="20" t="s">
        <v>9</v>
      </c>
      <c r="C2576"/>
      <c r="D2576" s="24" t="s">
        <v>969</v>
      </c>
      <c r="E2576" t="s">
        <v>3268</v>
      </c>
      <c r="F2576" t="s">
        <v>12</v>
      </c>
      <c r="G2576"/>
      <c r="H2576"/>
      <c r="I2576"/>
      <c r="J2576"/>
      <c r="K2576" t="s">
        <v>3259</v>
      </c>
    </row>
    <row r="2577" spans="1:11">
      <c r="A2577" s="6">
        <v>44732</v>
      </c>
      <c r="B2577" s="20" t="s">
        <v>9</v>
      </c>
      <c r="C2577"/>
      <c r="D2577" s="24" t="s">
        <v>971</v>
      </c>
      <c r="E2577" t="s">
        <v>3269</v>
      </c>
      <c r="F2577" t="s">
        <v>12</v>
      </c>
      <c r="G2577"/>
      <c r="H2577"/>
      <c r="I2577"/>
      <c r="J2577"/>
      <c r="K2577" t="s">
        <v>3259</v>
      </c>
    </row>
    <row r="2578" spans="1:11">
      <c r="A2578" s="6">
        <v>44732</v>
      </c>
      <c r="B2578" s="20" t="s">
        <v>9</v>
      </c>
      <c r="C2578"/>
      <c r="D2578" s="24" t="s">
        <v>975</v>
      </c>
      <c r="E2578" t="s">
        <v>3270</v>
      </c>
      <c r="F2578" t="s">
        <v>12</v>
      </c>
      <c r="G2578"/>
      <c r="H2578"/>
      <c r="I2578"/>
      <c r="J2578"/>
      <c r="K2578" t="s">
        <v>3259</v>
      </c>
    </row>
    <row r="2579" spans="1:11">
      <c r="A2579" s="45">
        <v>44732</v>
      </c>
      <c r="B2579" s="29" t="s">
        <v>9</v>
      </c>
      <c r="C2579" s="28"/>
      <c r="D2579" s="46" t="s">
        <v>17</v>
      </c>
      <c r="E2579" s="28" t="s">
        <v>3271</v>
      </c>
      <c r="F2579" s="28" t="s">
        <v>12</v>
      </c>
      <c r="G2579" s="28"/>
      <c r="H2579" s="28"/>
      <c r="I2579" s="28"/>
      <c r="J2579" s="28"/>
      <c r="K2579" s="28" t="s">
        <v>3259</v>
      </c>
    </row>
    <row r="2580" spans="1:11">
      <c r="A2580" s="38">
        <v>44732</v>
      </c>
      <c r="B2580" s="27" t="s">
        <v>9</v>
      </c>
      <c r="C2580" s="38">
        <v>44729</v>
      </c>
      <c r="D2580" s="26" t="s">
        <v>965</v>
      </c>
      <c r="E2580" s="26" t="s">
        <v>3272</v>
      </c>
      <c r="F2580" s="26" t="s">
        <v>12</v>
      </c>
      <c r="G2580">
        <v>931488698</v>
      </c>
      <c r="H2580" s="26"/>
      <c r="I2580" s="26"/>
      <c r="J2580" s="26"/>
      <c r="K2580" s="26" t="s">
        <v>3257</v>
      </c>
    </row>
    <row r="2581" spans="1:11">
      <c r="A2581" s="6">
        <v>44732</v>
      </c>
      <c r="B2581" s="20" t="s">
        <v>9</v>
      </c>
      <c r="C2581"/>
      <c r="D2581" s="24" t="s">
        <v>967</v>
      </c>
      <c r="E2581" t="s">
        <v>3273</v>
      </c>
      <c r="F2581" t="s">
        <v>12</v>
      </c>
      <c r="G2581"/>
      <c r="H2581"/>
      <c r="I2581"/>
      <c r="J2581"/>
      <c r="K2581" t="s">
        <v>3257</v>
      </c>
    </row>
    <row r="2582" spans="1:11">
      <c r="A2582" s="6">
        <v>44732</v>
      </c>
      <c r="B2582" s="20" t="s">
        <v>9</v>
      </c>
      <c r="C2582"/>
      <c r="D2582" s="24" t="s">
        <v>969</v>
      </c>
      <c r="E2582" t="s">
        <v>3274</v>
      </c>
      <c r="F2582" t="s">
        <v>12</v>
      </c>
      <c r="G2582"/>
      <c r="H2582"/>
      <c r="I2582"/>
      <c r="J2582"/>
      <c r="K2582" t="s">
        <v>3257</v>
      </c>
    </row>
    <row r="2583" spans="1:11">
      <c r="A2583" s="6">
        <v>44732</v>
      </c>
      <c r="B2583" s="20" t="s">
        <v>9</v>
      </c>
      <c r="C2583"/>
      <c r="D2583" s="24" t="s">
        <v>971</v>
      </c>
      <c r="E2583" t="s">
        <v>3275</v>
      </c>
      <c r="F2583" t="s">
        <v>12</v>
      </c>
      <c r="G2583"/>
      <c r="H2583"/>
      <c r="I2583"/>
      <c r="J2583"/>
      <c r="K2583" t="s">
        <v>3257</v>
      </c>
    </row>
    <row r="2584" spans="1:11">
      <c r="A2584" s="6">
        <v>44732</v>
      </c>
      <c r="B2584" s="20" t="s">
        <v>9</v>
      </c>
      <c r="C2584"/>
      <c r="D2584" s="24" t="s">
        <v>975</v>
      </c>
      <c r="E2584" t="s">
        <v>3276</v>
      </c>
      <c r="F2584" t="s">
        <v>12</v>
      </c>
      <c r="G2584"/>
      <c r="H2584"/>
      <c r="I2584"/>
      <c r="J2584"/>
      <c r="K2584" t="s">
        <v>3257</v>
      </c>
    </row>
    <row r="2585" spans="1:11">
      <c r="A2585" s="45">
        <v>44732</v>
      </c>
      <c r="B2585" s="29" t="s">
        <v>9</v>
      </c>
      <c r="C2585" s="28"/>
      <c r="D2585" s="46" t="s">
        <v>17</v>
      </c>
      <c r="E2585" s="28" t="s">
        <v>3277</v>
      </c>
      <c r="F2585" s="28" t="s">
        <v>12</v>
      </c>
      <c r="G2585" s="28"/>
      <c r="H2585" s="28"/>
      <c r="I2585" s="28"/>
      <c r="J2585" s="28"/>
      <c r="K2585" s="28" t="s">
        <v>3257</v>
      </c>
    </row>
    <row r="2586" spans="1:11">
      <c r="A2586" s="38">
        <v>44732</v>
      </c>
      <c r="B2586" s="27" t="s">
        <v>9</v>
      </c>
      <c r="C2586" s="38">
        <v>44729</v>
      </c>
      <c r="D2586" s="26" t="s">
        <v>965</v>
      </c>
      <c r="E2586" s="26" t="s">
        <v>3278</v>
      </c>
      <c r="F2586" s="26" t="s">
        <v>12</v>
      </c>
      <c r="G2586" s="26">
        <v>931488707</v>
      </c>
      <c r="H2586" s="26"/>
      <c r="I2586" s="26"/>
      <c r="J2586" s="26"/>
      <c r="K2586" s="26" t="s">
        <v>3262</v>
      </c>
    </row>
    <row r="2587" spans="1:11">
      <c r="A2587" s="6">
        <v>44732</v>
      </c>
      <c r="B2587" s="20" t="s">
        <v>9</v>
      </c>
      <c r="C2587"/>
      <c r="D2587" s="24" t="s">
        <v>967</v>
      </c>
      <c r="E2587" t="s">
        <v>3279</v>
      </c>
      <c r="F2587" t="s">
        <v>12</v>
      </c>
      <c r="G2587"/>
      <c r="H2587"/>
      <c r="I2587"/>
      <c r="J2587"/>
      <c r="K2587" t="s">
        <v>3262</v>
      </c>
    </row>
    <row r="2588" spans="1:11">
      <c r="A2588" s="6">
        <v>44732</v>
      </c>
      <c r="B2588" s="20" t="s">
        <v>9</v>
      </c>
      <c r="C2588"/>
      <c r="D2588" s="24" t="s">
        <v>969</v>
      </c>
      <c r="E2588" t="s">
        <v>3280</v>
      </c>
      <c r="F2588" t="s">
        <v>12</v>
      </c>
      <c r="G2588"/>
      <c r="H2588"/>
      <c r="I2588"/>
      <c r="J2588"/>
      <c r="K2588" t="s">
        <v>3262</v>
      </c>
    </row>
    <row r="2589" spans="1:11">
      <c r="A2589" s="6">
        <v>44732</v>
      </c>
      <c r="B2589" s="20" t="s">
        <v>9</v>
      </c>
      <c r="C2589"/>
      <c r="D2589" s="24" t="s">
        <v>971</v>
      </c>
      <c r="E2589" t="s">
        <v>3281</v>
      </c>
      <c r="F2589" t="s">
        <v>12</v>
      </c>
      <c r="G2589"/>
      <c r="H2589"/>
      <c r="I2589"/>
      <c r="J2589"/>
      <c r="K2589" t="s">
        <v>3262</v>
      </c>
    </row>
    <row r="2590" spans="1:11">
      <c r="A2590" s="6">
        <v>44732</v>
      </c>
      <c r="B2590" s="20" t="s">
        <v>9</v>
      </c>
      <c r="C2590"/>
      <c r="D2590" s="24" t="s">
        <v>975</v>
      </c>
      <c r="E2590" t="s">
        <v>3282</v>
      </c>
      <c r="F2590" t="s">
        <v>12</v>
      </c>
      <c r="G2590"/>
      <c r="H2590"/>
      <c r="I2590"/>
      <c r="J2590"/>
      <c r="K2590" t="s">
        <v>3262</v>
      </c>
    </row>
    <row r="2591" spans="1:11">
      <c r="A2591" s="45">
        <v>44732</v>
      </c>
      <c r="B2591" s="29" t="s">
        <v>9</v>
      </c>
      <c r="C2591" s="28"/>
      <c r="D2591" s="46" t="s">
        <v>17</v>
      </c>
      <c r="E2591" s="28" t="s">
        <v>3283</v>
      </c>
      <c r="F2591" s="28" t="s">
        <v>12</v>
      </c>
      <c r="G2591" s="28"/>
      <c r="H2591" s="28"/>
      <c r="I2591" s="28"/>
      <c r="J2591" s="28"/>
      <c r="K2591" s="28" t="s">
        <v>3262</v>
      </c>
    </row>
    <row r="2592" spans="1:11">
      <c r="A2592" s="38">
        <v>44732</v>
      </c>
      <c r="B2592" s="27" t="s">
        <v>9</v>
      </c>
      <c r="C2592" s="38">
        <v>44729</v>
      </c>
      <c r="D2592" s="26" t="s">
        <v>965</v>
      </c>
      <c r="E2592" s="26" t="s">
        <v>3284</v>
      </c>
      <c r="F2592" s="26" t="s">
        <v>12</v>
      </c>
      <c r="G2592">
        <v>931488698</v>
      </c>
      <c r="H2592" s="26"/>
      <c r="I2592" s="26"/>
      <c r="J2592" s="26"/>
      <c r="K2592" s="26" t="s">
        <v>3264</v>
      </c>
    </row>
    <row r="2593" spans="1:11">
      <c r="A2593" s="6">
        <v>44732</v>
      </c>
      <c r="B2593" s="20" t="s">
        <v>9</v>
      </c>
      <c r="C2593"/>
      <c r="D2593" s="24" t="s">
        <v>967</v>
      </c>
      <c r="E2593" t="s">
        <v>3285</v>
      </c>
      <c r="F2593" t="s">
        <v>12</v>
      </c>
      <c r="G2593"/>
      <c r="H2593"/>
      <c r="I2593"/>
      <c r="J2593"/>
      <c r="K2593" t="s">
        <v>3264</v>
      </c>
    </row>
    <row r="2594" spans="1:11">
      <c r="A2594" s="6">
        <v>44732</v>
      </c>
      <c r="B2594" s="20" t="s">
        <v>9</v>
      </c>
      <c r="C2594"/>
      <c r="D2594" s="24" t="s">
        <v>969</v>
      </c>
      <c r="E2594" t="s">
        <v>3286</v>
      </c>
      <c r="F2594" t="s">
        <v>12</v>
      </c>
      <c r="G2594"/>
      <c r="H2594"/>
      <c r="I2594"/>
      <c r="J2594"/>
      <c r="K2594" t="s">
        <v>3264</v>
      </c>
    </row>
    <row r="2595" spans="1:11">
      <c r="A2595" s="6">
        <v>44732</v>
      </c>
      <c r="B2595" s="20" t="s">
        <v>9</v>
      </c>
      <c r="C2595"/>
      <c r="D2595" s="24" t="s">
        <v>971</v>
      </c>
      <c r="E2595" t="s">
        <v>3287</v>
      </c>
      <c r="F2595" t="s">
        <v>12</v>
      </c>
      <c r="G2595"/>
      <c r="H2595"/>
      <c r="I2595"/>
      <c r="J2595"/>
      <c r="K2595" t="s">
        <v>3264</v>
      </c>
    </row>
    <row r="2596" spans="1:11">
      <c r="A2596" s="6">
        <v>44732</v>
      </c>
      <c r="B2596" s="20" t="s">
        <v>9</v>
      </c>
      <c r="C2596"/>
      <c r="D2596" s="24" t="s">
        <v>975</v>
      </c>
      <c r="E2596" t="s">
        <v>3288</v>
      </c>
      <c r="F2596" t="s">
        <v>12</v>
      </c>
      <c r="G2596"/>
      <c r="H2596"/>
      <c r="I2596"/>
      <c r="J2596"/>
      <c r="K2596" t="s">
        <v>3264</v>
      </c>
    </row>
    <row r="2597" spans="1:11">
      <c r="A2597" s="45">
        <v>44732</v>
      </c>
      <c r="B2597" s="29" t="s">
        <v>9</v>
      </c>
      <c r="C2597" s="28"/>
      <c r="D2597" s="46" t="s">
        <v>17</v>
      </c>
      <c r="E2597" s="28" t="s">
        <v>3289</v>
      </c>
      <c r="F2597" s="28" t="s">
        <v>12</v>
      </c>
      <c r="G2597" s="28"/>
      <c r="H2597" s="28"/>
      <c r="I2597" s="28"/>
      <c r="J2597" s="28"/>
      <c r="K2597" s="28" t="s">
        <v>3264</v>
      </c>
    </row>
    <row r="2598" spans="1:11">
      <c r="A2598" s="38">
        <v>44732</v>
      </c>
      <c r="B2598" s="27" t="s">
        <v>9</v>
      </c>
      <c r="C2598" s="38">
        <v>44729</v>
      </c>
      <c r="D2598" s="26" t="s">
        <v>965</v>
      </c>
      <c r="E2598" s="26" t="s">
        <v>3290</v>
      </c>
      <c r="F2598" s="26" t="s">
        <v>12</v>
      </c>
      <c r="G2598">
        <v>931488703</v>
      </c>
      <c r="H2598" s="26"/>
      <c r="I2598" s="26"/>
      <c r="J2598" s="26"/>
      <c r="K2598" s="26" t="s">
        <v>3261</v>
      </c>
    </row>
    <row r="2599" spans="1:11">
      <c r="A2599" s="6">
        <v>44732</v>
      </c>
      <c r="B2599" s="20" t="s">
        <v>9</v>
      </c>
      <c r="C2599"/>
      <c r="D2599" s="24" t="s">
        <v>967</v>
      </c>
      <c r="E2599" t="s">
        <v>3291</v>
      </c>
      <c r="F2599" t="s">
        <v>12</v>
      </c>
      <c r="G2599"/>
      <c r="H2599"/>
      <c r="I2599"/>
      <c r="J2599"/>
      <c r="K2599" t="s">
        <v>3261</v>
      </c>
    </row>
    <row r="2600" spans="1:11">
      <c r="A2600" s="6">
        <v>44732</v>
      </c>
      <c r="B2600" s="20" t="s">
        <v>9</v>
      </c>
      <c r="C2600"/>
      <c r="D2600" s="24" t="s">
        <v>969</v>
      </c>
      <c r="E2600" t="s">
        <v>3292</v>
      </c>
      <c r="F2600" t="s">
        <v>12</v>
      </c>
      <c r="G2600"/>
      <c r="H2600"/>
      <c r="I2600"/>
      <c r="J2600"/>
      <c r="K2600" t="s">
        <v>3261</v>
      </c>
    </row>
    <row r="2601" spans="1:11">
      <c r="A2601" s="6">
        <v>44732</v>
      </c>
      <c r="B2601" s="20" t="s">
        <v>9</v>
      </c>
      <c r="C2601"/>
      <c r="D2601" s="24" t="s">
        <v>971</v>
      </c>
      <c r="E2601" t="s">
        <v>3293</v>
      </c>
      <c r="F2601" t="s">
        <v>12</v>
      </c>
      <c r="G2601"/>
      <c r="H2601"/>
      <c r="I2601"/>
      <c r="J2601"/>
      <c r="K2601" t="s">
        <v>3261</v>
      </c>
    </row>
    <row r="2602" spans="1:11">
      <c r="A2602" s="6">
        <v>44732</v>
      </c>
      <c r="B2602" s="20" t="s">
        <v>9</v>
      </c>
      <c r="C2602"/>
      <c r="D2602" s="24" t="s">
        <v>975</v>
      </c>
      <c r="E2602" t="s">
        <v>3294</v>
      </c>
      <c r="F2602" t="s">
        <v>12</v>
      </c>
      <c r="G2602"/>
      <c r="H2602"/>
      <c r="I2602"/>
      <c r="J2602"/>
      <c r="K2602" t="s">
        <v>3261</v>
      </c>
    </row>
    <row r="2603" spans="1:11">
      <c r="A2603" s="45">
        <v>44732</v>
      </c>
      <c r="B2603" s="29" t="s">
        <v>9</v>
      </c>
      <c r="C2603" s="28"/>
      <c r="D2603" s="46" t="s">
        <v>17</v>
      </c>
      <c r="E2603" s="28" t="s">
        <v>3295</v>
      </c>
      <c r="F2603" s="28" t="s">
        <v>12</v>
      </c>
      <c r="G2603" s="28"/>
      <c r="H2603" s="28"/>
      <c r="I2603" s="28"/>
      <c r="J2603" s="28"/>
      <c r="K2603" s="28" t="s">
        <v>3261</v>
      </c>
    </row>
    <row r="2604" spans="1:11">
      <c r="A2604" s="38">
        <v>44732</v>
      </c>
      <c r="B2604" s="27" t="s">
        <v>9</v>
      </c>
      <c r="C2604" s="38">
        <v>44729</v>
      </c>
      <c r="D2604" s="26" t="s">
        <v>965</v>
      </c>
      <c r="E2604" s="26" t="s">
        <v>3296</v>
      </c>
      <c r="F2604" s="26" t="s">
        <v>12</v>
      </c>
      <c r="G2604" s="26">
        <v>931488707</v>
      </c>
      <c r="H2604" s="26"/>
      <c r="I2604" s="26"/>
      <c r="J2604" s="26"/>
      <c r="K2604" s="26" t="s">
        <v>3260</v>
      </c>
    </row>
    <row r="2605" spans="1:11">
      <c r="A2605" s="6">
        <v>44732</v>
      </c>
      <c r="B2605" s="20" t="s">
        <v>9</v>
      </c>
      <c r="C2605"/>
      <c r="D2605" s="24" t="s">
        <v>967</v>
      </c>
      <c r="E2605" t="s">
        <v>3297</v>
      </c>
      <c r="F2605" t="s">
        <v>12</v>
      </c>
      <c r="G2605"/>
      <c r="H2605"/>
      <c r="I2605"/>
      <c r="J2605"/>
      <c r="K2605" t="s">
        <v>3260</v>
      </c>
    </row>
    <row r="2606" spans="1:11">
      <c r="A2606" s="6">
        <v>44732</v>
      </c>
      <c r="B2606" s="20" t="s">
        <v>9</v>
      </c>
      <c r="C2606"/>
      <c r="D2606" s="24" t="s">
        <v>969</v>
      </c>
      <c r="E2606" t="s">
        <v>3298</v>
      </c>
      <c r="F2606" t="s">
        <v>12</v>
      </c>
      <c r="G2606"/>
      <c r="H2606"/>
      <c r="I2606"/>
      <c r="J2606"/>
      <c r="K2606" t="s">
        <v>3260</v>
      </c>
    </row>
    <row r="2607" spans="1:11">
      <c r="A2607" s="6">
        <v>44732</v>
      </c>
      <c r="B2607" s="20" t="s">
        <v>9</v>
      </c>
      <c r="C2607"/>
      <c r="D2607" s="24" t="s">
        <v>971</v>
      </c>
      <c r="E2607" t="s">
        <v>3299</v>
      </c>
      <c r="F2607" t="s">
        <v>12</v>
      </c>
      <c r="G2607"/>
      <c r="H2607"/>
      <c r="I2607"/>
      <c r="J2607"/>
      <c r="K2607" t="s">
        <v>3260</v>
      </c>
    </row>
    <row r="2608" spans="1:11">
      <c r="A2608" s="6">
        <v>44732</v>
      </c>
      <c r="B2608" s="20" t="s">
        <v>9</v>
      </c>
      <c r="C2608"/>
      <c r="D2608" s="24" t="s">
        <v>975</v>
      </c>
      <c r="E2608" t="s">
        <v>3300</v>
      </c>
      <c r="F2608" t="s">
        <v>12</v>
      </c>
      <c r="G2608"/>
      <c r="H2608"/>
      <c r="I2608"/>
      <c r="J2608"/>
      <c r="K2608" t="s">
        <v>3260</v>
      </c>
    </row>
    <row r="2609" spans="1:11">
      <c r="A2609" s="45">
        <v>44732</v>
      </c>
      <c r="B2609" s="29" t="s">
        <v>9</v>
      </c>
      <c r="C2609" s="28"/>
      <c r="D2609" s="46" t="s">
        <v>17</v>
      </c>
      <c r="E2609" s="28" t="s">
        <v>3301</v>
      </c>
      <c r="F2609" s="28" t="s">
        <v>12</v>
      </c>
      <c r="G2609" s="28"/>
      <c r="H2609" s="28"/>
      <c r="I2609" s="28"/>
      <c r="J2609" s="28"/>
      <c r="K2609" s="28" t="s">
        <v>3260</v>
      </c>
    </row>
    <row r="2610" spans="1:11">
      <c r="A2610" s="6">
        <v>44733</v>
      </c>
      <c r="B2610" s="20">
        <v>567147811563</v>
      </c>
      <c r="C2610" s="6">
        <v>44727</v>
      </c>
      <c r="D2610" t="s">
        <v>3302</v>
      </c>
      <c r="E2610" t="s">
        <v>3303</v>
      </c>
      <c r="F2610" t="s">
        <v>2992</v>
      </c>
      <c r="G2610" t="s">
        <v>3304</v>
      </c>
      <c r="H2610"/>
      <c r="I2610"/>
      <c r="J2610"/>
      <c r="K2610" t="s">
        <v>3261</v>
      </c>
    </row>
    <row r="2611" spans="1:11">
      <c r="A2611" s="6">
        <v>44733</v>
      </c>
      <c r="B2611" s="20">
        <v>567147811563</v>
      </c>
      <c r="C2611" s="6">
        <v>44727</v>
      </c>
      <c r="D2611" t="s">
        <v>3302</v>
      </c>
      <c r="E2611" t="s">
        <v>3305</v>
      </c>
      <c r="F2611" t="s">
        <v>2992</v>
      </c>
      <c r="G2611" t="s">
        <v>3304</v>
      </c>
      <c r="H2611"/>
      <c r="I2611"/>
      <c r="J2611"/>
      <c r="K2611" t="s">
        <v>3260</v>
      </c>
    </row>
    <row r="2612" spans="1:11">
      <c r="A2612" s="6">
        <v>44733</v>
      </c>
      <c r="B2612" s="20">
        <v>567147811563</v>
      </c>
      <c r="C2612" s="6">
        <v>44727</v>
      </c>
      <c r="D2612" t="s">
        <v>3302</v>
      </c>
      <c r="E2612" t="s">
        <v>3306</v>
      </c>
      <c r="F2612" t="s">
        <v>2992</v>
      </c>
      <c r="G2612" t="s">
        <v>3304</v>
      </c>
      <c r="H2612"/>
      <c r="I2612"/>
      <c r="J2612"/>
      <c r="K2612" t="s">
        <v>3257</v>
      </c>
    </row>
    <row r="2613" spans="1:11">
      <c r="A2613" s="6">
        <v>44733</v>
      </c>
      <c r="B2613" s="20">
        <v>567147811563</v>
      </c>
      <c r="C2613" s="6">
        <v>44727</v>
      </c>
      <c r="D2613" t="s">
        <v>3302</v>
      </c>
      <c r="E2613" t="s">
        <v>3307</v>
      </c>
      <c r="F2613" t="s">
        <v>2992</v>
      </c>
      <c r="G2613" t="s">
        <v>3304</v>
      </c>
      <c r="H2613"/>
      <c r="I2613"/>
      <c r="J2613"/>
      <c r="K2613" t="s">
        <v>3264</v>
      </c>
    </row>
    <row r="2614" spans="1:11">
      <c r="A2614" s="6">
        <v>44733</v>
      </c>
      <c r="B2614" s="20">
        <v>567147811563</v>
      </c>
      <c r="C2614" s="6">
        <v>44727</v>
      </c>
      <c r="D2614" t="s">
        <v>3302</v>
      </c>
      <c r="E2614" t="s">
        <v>3308</v>
      </c>
      <c r="F2614" t="s">
        <v>2992</v>
      </c>
      <c r="G2614" t="s">
        <v>3304</v>
      </c>
      <c r="H2614"/>
      <c r="I2614"/>
      <c r="J2614"/>
      <c r="K2614" t="s">
        <v>3262</v>
      </c>
    </row>
    <row r="2615" spans="1:11">
      <c r="A2615" s="6">
        <v>44733</v>
      </c>
      <c r="B2615" s="20">
        <v>567147811563</v>
      </c>
      <c r="C2615" s="6">
        <v>44727</v>
      </c>
      <c r="D2615" t="s">
        <v>3302</v>
      </c>
      <c r="E2615" t="s">
        <v>3309</v>
      </c>
      <c r="F2615" t="s">
        <v>2992</v>
      </c>
      <c r="G2615" t="s">
        <v>3304</v>
      </c>
      <c r="H2615"/>
      <c r="I2615"/>
      <c r="J2615"/>
      <c r="K2615" t="s">
        <v>3259</v>
      </c>
    </row>
    <row r="2616" spans="1:11">
      <c r="A2616" s="6">
        <v>44736</v>
      </c>
      <c r="B2616" s="20">
        <v>1.0247833887508101E+21</v>
      </c>
      <c r="C2616" s="6">
        <v>44735</v>
      </c>
      <c r="D2616" t="s">
        <v>3048</v>
      </c>
      <c r="E2616" t="s">
        <v>3310</v>
      </c>
      <c r="F2616" t="s">
        <v>264</v>
      </c>
      <c r="G2616" t="s">
        <v>3311</v>
      </c>
      <c r="H2616"/>
      <c r="I2616"/>
      <c r="J2616"/>
      <c r="K2616" t="s">
        <v>3260</v>
      </c>
    </row>
    <row r="2617" spans="1:11">
      <c r="A2617" s="6">
        <v>44736</v>
      </c>
      <c r="B2617" s="20">
        <v>1.0247833887508101E+21</v>
      </c>
      <c r="C2617" s="6">
        <v>44735</v>
      </c>
      <c r="D2617" t="s">
        <v>3048</v>
      </c>
      <c r="E2617" t="s">
        <v>3312</v>
      </c>
      <c r="F2617" t="s">
        <v>264</v>
      </c>
      <c r="G2617" t="s">
        <v>3311</v>
      </c>
      <c r="H2617"/>
      <c r="I2617"/>
      <c r="J2617"/>
      <c r="K2617" t="s">
        <v>3261</v>
      </c>
    </row>
    <row r="2618" spans="1:11">
      <c r="A2618" s="6">
        <v>44736</v>
      </c>
      <c r="B2618" s="20">
        <v>1.0247833887508101E+21</v>
      </c>
      <c r="C2618" s="6">
        <v>44735</v>
      </c>
      <c r="D2618" t="s">
        <v>3048</v>
      </c>
      <c r="E2618" t="s">
        <v>3313</v>
      </c>
      <c r="F2618" t="s">
        <v>264</v>
      </c>
      <c r="G2618" t="s">
        <v>3311</v>
      </c>
      <c r="H2618"/>
      <c r="I2618"/>
      <c r="J2618"/>
      <c r="K2618" t="s">
        <v>3262</v>
      </c>
    </row>
    <row r="2619" spans="1:11">
      <c r="A2619" s="6">
        <v>44736</v>
      </c>
      <c r="B2619" s="20">
        <v>1.0247833887508101E+21</v>
      </c>
      <c r="C2619" s="6">
        <v>44735</v>
      </c>
      <c r="D2619" t="s">
        <v>3048</v>
      </c>
      <c r="E2619" t="s">
        <v>3314</v>
      </c>
      <c r="F2619" t="s">
        <v>264</v>
      </c>
      <c r="G2619" t="s">
        <v>3311</v>
      </c>
      <c r="H2619"/>
      <c r="I2619"/>
      <c r="J2619"/>
      <c r="K2619" t="s">
        <v>3264</v>
      </c>
    </row>
    <row r="2620" spans="1:11">
      <c r="A2620"/>
      <c r="B2620"/>
      <c r="C2620"/>
      <c r="D2620" t="s">
        <v>976</v>
      </c>
      <c r="E2620" s="37" t="s">
        <v>3317</v>
      </c>
      <c r="F2620"/>
      <c r="G2620"/>
      <c r="H2620"/>
      <c r="I2620"/>
      <c r="J2620"/>
      <c r="K2620" t="s">
        <v>3259</v>
      </c>
    </row>
    <row r="2621" spans="1:11">
      <c r="A2621"/>
      <c r="B2621"/>
      <c r="C2621"/>
      <c r="D2621" t="s">
        <v>976</v>
      </c>
      <c r="E2621" s="37" t="s">
        <v>3318</v>
      </c>
      <c r="F2621"/>
      <c r="G2621"/>
      <c r="H2621"/>
      <c r="I2621"/>
      <c r="J2621"/>
      <c r="K2621" t="s">
        <v>3257</v>
      </c>
    </row>
    <row r="2622" spans="1:11">
      <c r="A2622"/>
      <c r="B2622"/>
      <c r="C2622"/>
      <c r="D2622" t="s">
        <v>976</v>
      </c>
      <c r="E2622" s="37" t="s">
        <v>3319</v>
      </c>
      <c r="F2622"/>
      <c r="G2622"/>
      <c r="H2622"/>
      <c r="I2622"/>
      <c r="J2622"/>
      <c r="K2622" t="s">
        <v>3260</v>
      </c>
    </row>
    <row r="2623" spans="1:11">
      <c r="A2623"/>
      <c r="B2623"/>
      <c r="C2623"/>
      <c r="D2623" t="s">
        <v>976</v>
      </c>
      <c r="E2623" s="37" t="s">
        <v>3320</v>
      </c>
      <c r="F2623"/>
      <c r="G2623"/>
      <c r="H2623"/>
      <c r="I2623"/>
      <c r="J2623"/>
      <c r="K2623" t="s">
        <v>3261</v>
      </c>
    </row>
    <row r="2624" spans="1:11">
      <c r="A2624"/>
      <c r="B2624"/>
      <c r="C2624"/>
      <c r="D2624" t="s">
        <v>976</v>
      </c>
      <c r="E2624" s="37" t="s">
        <v>3321</v>
      </c>
      <c r="F2624"/>
      <c r="G2624"/>
      <c r="H2624"/>
      <c r="I2624"/>
      <c r="J2624"/>
      <c r="K2624" t="s">
        <v>3262</v>
      </c>
    </row>
    <row r="2625" spans="1:11">
      <c r="A2625"/>
      <c r="B2625"/>
      <c r="C2625"/>
      <c r="D2625" t="s">
        <v>976</v>
      </c>
      <c r="E2625" s="37" t="s">
        <v>3322</v>
      </c>
      <c r="F2625"/>
      <c r="G2625"/>
      <c r="H2625"/>
      <c r="I2625"/>
      <c r="J2625"/>
      <c r="K2625" t="s">
        <v>3264</v>
      </c>
    </row>
    <row r="2626" spans="1:11">
      <c r="A2626" s="30">
        <v>44722</v>
      </c>
      <c r="B2626" s="31">
        <v>25127634527</v>
      </c>
      <c r="C2626" s="30">
        <v>44721</v>
      </c>
      <c r="D2626" s="19" t="s">
        <v>3330</v>
      </c>
      <c r="E2626" s="19" t="s">
        <v>3331</v>
      </c>
      <c r="F2626" s="19" t="s">
        <v>821</v>
      </c>
      <c r="G2626" s="19">
        <v>105794068</v>
      </c>
      <c r="H2626" s="19"/>
      <c r="I2626" s="19"/>
      <c r="J2626" s="19"/>
      <c r="K2626" s="19" t="s">
        <v>3332</v>
      </c>
    </row>
    <row r="2627" spans="1:11">
      <c r="A2627" s="30">
        <v>44722</v>
      </c>
      <c r="B2627" s="31">
        <v>25127634527</v>
      </c>
      <c r="C2627" s="30">
        <v>44721</v>
      </c>
      <c r="D2627" s="19" t="s">
        <v>3330</v>
      </c>
      <c r="E2627" s="19" t="s">
        <v>3333</v>
      </c>
      <c r="F2627" s="19" t="s">
        <v>821</v>
      </c>
      <c r="G2627" s="19">
        <v>105794068</v>
      </c>
      <c r="H2627" s="19"/>
      <c r="I2627" s="19"/>
      <c r="J2627" s="19"/>
      <c r="K2627" s="19" t="s">
        <v>3332</v>
      </c>
    </row>
    <row r="2628" spans="1:11">
      <c r="A2628" s="30">
        <v>44722</v>
      </c>
      <c r="B2628" s="31">
        <v>25127634527</v>
      </c>
      <c r="C2628" s="30">
        <v>44721</v>
      </c>
      <c r="D2628" s="19" t="s">
        <v>3330</v>
      </c>
      <c r="E2628" s="19" t="s">
        <v>3334</v>
      </c>
      <c r="F2628" s="19" t="s">
        <v>821</v>
      </c>
      <c r="G2628" s="19">
        <v>105794068</v>
      </c>
      <c r="H2628" s="19"/>
      <c r="I2628" s="19"/>
      <c r="J2628" s="19"/>
      <c r="K2628" s="19" t="s">
        <v>3332</v>
      </c>
    </row>
    <row r="2629" spans="1:11">
      <c r="A2629" s="30">
        <v>44722</v>
      </c>
      <c r="B2629" s="31">
        <v>25127634527</v>
      </c>
      <c r="C2629" s="30">
        <v>44721</v>
      </c>
      <c r="D2629" s="19" t="s">
        <v>3330</v>
      </c>
      <c r="E2629" s="19" t="s">
        <v>3335</v>
      </c>
      <c r="F2629" s="19" t="s">
        <v>821</v>
      </c>
      <c r="G2629" s="19">
        <v>105794068</v>
      </c>
      <c r="H2629" s="19"/>
      <c r="I2629" s="19"/>
      <c r="J2629" s="19"/>
      <c r="K2629" s="19" t="s">
        <v>3332</v>
      </c>
    </row>
    <row r="2630" spans="1:11">
      <c r="A2630" s="30">
        <v>44722</v>
      </c>
      <c r="B2630" s="31">
        <v>25127634527</v>
      </c>
      <c r="C2630" s="30">
        <v>44721</v>
      </c>
      <c r="D2630" s="19" t="s">
        <v>3330</v>
      </c>
      <c r="E2630" s="19" t="s">
        <v>3336</v>
      </c>
      <c r="F2630" s="19" t="s">
        <v>821</v>
      </c>
      <c r="G2630" s="19">
        <v>105794068</v>
      </c>
      <c r="H2630" s="19"/>
      <c r="I2630" s="19"/>
      <c r="J2630" s="19"/>
      <c r="K2630" s="19" t="s">
        <v>3332</v>
      </c>
    </row>
    <row r="2631" spans="1:11">
      <c r="A2631" s="30">
        <v>44722</v>
      </c>
      <c r="B2631" s="31">
        <v>25127634527</v>
      </c>
      <c r="C2631" s="30">
        <v>44721</v>
      </c>
      <c r="D2631" s="19" t="s">
        <v>3330</v>
      </c>
      <c r="E2631" s="19" t="s">
        <v>3337</v>
      </c>
      <c r="F2631" s="19" t="s">
        <v>821</v>
      </c>
      <c r="G2631" s="19">
        <v>105794068</v>
      </c>
      <c r="H2631" s="19"/>
      <c r="I2631" s="19"/>
      <c r="J2631" s="19"/>
      <c r="K2631" s="19" t="s">
        <v>3332</v>
      </c>
    </row>
    <row r="2632" spans="1:11">
      <c r="A2632" s="30">
        <v>44722</v>
      </c>
      <c r="B2632" s="31">
        <v>25127634527</v>
      </c>
      <c r="C2632" s="30">
        <v>44721</v>
      </c>
      <c r="D2632" s="19" t="s">
        <v>3330</v>
      </c>
      <c r="E2632" s="19" t="s">
        <v>3338</v>
      </c>
      <c r="F2632" s="19" t="s">
        <v>821</v>
      </c>
      <c r="G2632" s="19">
        <v>105794068</v>
      </c>
      <c r="H2632" s="19"/>
      <c r="I2632" s="19"/>
      <c r="J2632" s="19"/>
      <c r="K2632" s="19" t="s">
        <v>3332</v>
      </c>
    </row>
    <row r="2633" spans="1:11">
      <c r="A2633" s="30">
        <v>44722</v>
      </c>
      <c r="B2633" s="31">
        <v>25127634527</v>
      </c>
      <c r="C2633" s="30">
        <v>44721</v>
      </c>
      <c r="D2633" s="19" t="s">
        <v>3330</v>
      </c>
      <c r="E2633" s="19" t="s">
        <v>3339</v>
      </c>
      <c r="F2633" s="19" t="s">
        <v>821</v>
      </c>
      <c r="G2633" s="19">
        <v>105794068</v>
      </c>
      <c r="H2633" s="19"/>
      <c r="I2633" s="19"/>
      <c r="J2633" s="19"/>
      <c r="K2633" s="19" t="s">
        <v>3332</v>
      </c>
    </row>
    <row r="2634" spans="1:11">
      <c r="A2634" s="30">
        <v>44753</v>
      </c>
      <c r="B2634" s="31" t="s">
        <v>3340</v>
      </c>
      <c r="C2634" s="30">
        <v>44749</v>
      </c>
      <c r="D2634" s="19" t="s">
        <v>3341</v>
      </c>
      <c r="E2634" s="19" t="s">
        <v>3342</v>
      </c>
      <c r="F2634" s="19" t="s">
        <v>113</v>
      </c>
      <c r="G2634" s="19">
        <v>2208965</v>
      </c>
      <c r="H2634" s="19"/>
      <c r="I2634" s="19"/>
      <c r="J2634" s="19"/>
      <c r="K2634" s="19" t="s">
        <v>3332</v>
      </c>
    </row>
    <row r="2635" spans="1:11">
      <c r="A2635" s="30">
        <v>44753</v>
      </c>
      <c r="B2635" s="31" t="s">
        <v>3340</v>
      </c>
      <c r="C2635" s="30">
        <v>44749</v>
      </c>
      <c r="D2635" s="19" t="s">
        <v>3341</v>
      </c>
      <c r="E2635" s="19" t="s">
        <v>3343</v>
      </c>
      <c r="F2635" s="19" t="s">
        <v>113</v>
      </c>
      <c r="G2635" s="19">
        <v>2208965</v>
      </c>
      <c r="H2635" s="19"/>
      <c r="I2635" s="19"/>
      <c r="J2635" s="19"/>
      <c r="K2635" s="19" t="s">
        <v>3332</v>
      </c>
    </row>
    <row r="2636" spans="1:11">
      <c r="A2636" s="30">
        <v>44753</v>
      </c>
      <c r="B2636" s="31" t="s">
        <v>3340</v>
      </c>
      <c r="C2636" s="30">
        <v>44749</v>
      </c>
      <c r="D2636" s="19" t="s">
        <v>3341</v>
      </c>
      <c r="E2636" s="19" t="s">
        <v>3344</v>
      </c>
      <c r="F2636" s="19" t="s">
        <v>113</v>
      </c>
      <c r="G2636" s="19">
        <v>2208965</v>
      </c>
      <c r="H2636" s="19"/>
      <c r="I2636" s="19"/>
      <c r="J2636" s="19"/>
      <c r="K2636" s="19" t="s">
        <v>3332</v>
      </c>
    </row>
    <row r="2637" spans="1:11">
      <c r="A2637" s="30">
        <v>44753</v>
      </c>
      <c r="B2637" s="31" t="s">
        <v>3340</v>
      </c>
      <c r="C2637" s="30">
        <v>44749</v>
      </c>
      <c r="D2637" s="19" t="s">
        <v>3341</v>
      </c>
      <c r="E2637" s="19" t="s">
        <v>3345</v>
      </c>
      <c r="F2637" s="19" t="s">
        <v>113</v>
      </c>
      <c r="G2637" s="19">
        <v>2208965</v>
      </c>
      <c r="H2637" s="19"/>
      <c r="I2637" s="19"/>
      <c r="J2637" s="19"/>
      <c r="K2637" s="19" t="s">
        <v>3332</v>
      </c>
    </row>
    <row r="2638" spans="1:11">
      <c r="A2638" s="30">
        <v>44757</v>
      </c>
      <c r="B2638" s="31" t="s">
        <v>3346</v>
      </c>
      <c r="C2638" s="30">
        <v>44755</v>
      </c>
      <c r="D2638" s="19" t="s">
        <v>17</v>
      </c>
      <c r="E2638" s="19" t="s">
        <v>3347</v>
      </c>
      <c r="F2638" s="19" t="s">
        <v>2592</v>
      </c>
      <c r="G2638" s="19">
        <v>3139428</v>
      </c>
      <c r="H2638" s="19"/>
      <c r="I2638" s="19"/>
      <c r="J2638" s="19"/>
      <c r="K2638" s="19" t="s">
        <v>3332</v>
      </c>
    </row>
    <row r="2639" spans="1:11">
      <c r="A2639" s="30">
        <v>44760</v>
      </c>
      <c r="B2639" s="31" t="s">
        <v>223</v>
      </c>
      <c r="C2639" s="30">
        <v>44757</v>
      </c>
      <c r="D2639" s="19" t="s">
        <v>3348</v>
      </c>
      <c r="E2639" s="19" t="s">
        <v>3349</v>
      </c>
      <c r="F2639" s="19" t="s">
        <v>210</v>
      </c>
      <c r="G2639" s="19"/>
      <c r="H2639" s="19"/>
      <c r="I2639" s="19"/>
      <c r="J2639" s="19"/>
      <c r="K2639" s="19" t="s">
        <v>3332</v>
      </c>
    </row>
    <row r="2640" spans="1:11">
      <c r="A2640" s="30">
        <v>44760</v>
      </c>
      <c r="B2640" s="31" t="s">
        <v>223</v>
      </c>
      <c r="C2640" s="30">
        <v>44757</v>
      </c>
      <c r="D2640" s="19" t="s">
        <v>914</v>
      </c>
      <c r="E2640" s="19" t="s">
        <v>3350</v>
      </c>
      <c r="F2640" s="19" t="s">
        <v>210</v>
      </c>
      <c r="G2640" s="19"/>
      <c r="H2640" s="19"/>
      <c r="I2640" s="19"/>
      <c r="J2640" s="19"/>
      <c r="K2640" s="19" t="s">
        <v>3332</v>
      </c>
    </row>
    <row r="2641" spans="1:11">
      <c r="A2641" s="30">
        <v>44760</v>
      </c>
      <c r="B2641" s="31" t="s">
        <v>223</v>
      </c>
      <c r="C2641" s="30">
        <v>44757</v>
      </c>
      <c r="D2641" s="19" t="s">
        <v>3351</v>
      </c>
      <c r="E2641" s="19" t="s">
        <v>3352</v>
      </c>
      <c r="F2641" s="19" t="s">
        <v>210</v>
      </c>
      <c r="G2641" s="19"/>
      <c r="H2641" s="19"/>
      <c r="I2641" s="19"/>
      <c r="J2641" s="19"/>
      <c r="K2641" s="19" t="s">
        <v>3332</v>
      </c>
    </row>
    <row r="2642" spans="1:11">
      <c r="A2642" s="30"/>
      <c r="B2642" s="31"/>
      <c r="C2642" s="30"/>
      <c r="D2642" s="19" t="s">
        <v>3353</v>
      </c>
      <c r="E2642" s="19" t="s">
        <v>3354</v>
      </c>
      <c r="F2642" s="19"/>
      <c r="G2642" s="19"/>
      <c r="H2642" s="19"/>
      <c r="I2642" s="19"/>
      <c r="J2642" s="19"/>
      <c r="K2642" s="19" t="s">
        <v>3332</v>
      </c>
    </row>
    <row r="2643" spans="1:11">
      <c r="A2643" s="30"/>
      <c r="B2643" s="31"/>
      <c r="C2643" s="30"/>
      <c r="D2643" s="19" t="s">
        <v>3353</v>
      </c>
      <c r="E2643" s="19" t="s">
        <v>3355</v>
      </c>
      <c r="F2643" s="19"/>
      <c r="G2643" s="19"/>
      <c r="H2643" s="19"/>
      <c r="I2643" s="19"/>
      <c r="J2643" s="19"/>
      <c r="K2643" s="19" t="s">
        <v>3332</v>
      </c>
    </row>
    <row r="2644" spans="1:11">
      <c r="A2644" s="41"/>
      <c r="B2644" s="36"/>
      <c r="C2644" s="41"/>
      <c r="D2644" s="35" t="s">
        <v>3356</v>
      </c>
      <c r="E2644" s="35" t="s">
        <v>3357</v>
      </c>
      <c r="F2644" s="35"/>
      <c r="G2644" s="35"/>
      <c r="H2644" s="35"/>
      <c r="I2644" s="35"/>
      <c r="J2644" s="35"/>
      <c r="K2644" s="35" t="s">
        <v>3332</v>
      </c>
    </row>
    <row r="2645" spans="1:11">
      <c r="A2645" s="6">
        <v>44732</v>
      </c>
      <c r="B2645" s="20" t="s">
        <v>3316</v>
      </c>
      <c r="C2645" s="6">
        <v>44727</v>
      </c>
      <c r="D2645" t="s">
        <v>2852</v>
      </c>
      <c r="E2645" t="s">
        <v>3359</v>
      </c>
      <c r="F2645" t="s">
        <v>2592</v>
      </c>
      <c r="G2645">
        <v>3136656</v>
      </c>
      <c r="H2645"/>
      <c r="I2645"/>
      <c r="J2645"/>
      <c r="K2645" t="s">
        <v>3323</v>
      </c>
    </row>
    <row r="2646" spans="1:11">
      <c r="A2646" s="6">
        <v>44732</v>
      </c>
      <c r="B2646" s="20" t="s">
        <v>3316</v>
      </c>
      <c r="C2646" s="6">
        <v>44727</v>
      </c>
      <c r="D2646" t="s">
        <v>2852</v>
      </c>
      <c r="E2646" t="s">
        <v>3360</v>
      </c>
      <c r="F2646" t="s">
        <v>2592</v>
      </c>
      <c r="G2646">
        <v>3136656</v>
      </c>
      <c r="H2646"/>
      <c r="I2646"/>
      <c r="J2646"/>
      <c r="K2646" t="s">
        <v>3323</v>
      </c>
    </row>
    <row r="2647" spans="1:11">
      <c r="A2647" s="6">
        <v>44736</v>
      </c>
      <c r="B2647" s="20">
        <v>1.0247833887508101E+21</v>
      </c>
      <c r="C2647" s="6">
        <v>44735</v>
      </c>
      <c r="D2647" t="s">
        <v>3048</v>
      </c>
      <c r="E2647" t="s">
        <v>3361</v>
      </c>
      <c r="F2647" t="s">
        <v>264</v>
      </c>
      <c r="G2647" t="s">
        <v>3311</v>
      </c>
      <c r="H2647"/>
      <c r="I2647"/>
      <c r="J2647"/>
      <c r="K2647" t="s">
        <v>3323</v>
      </c>
    </row>
    <row r="2648" spans="1:11">
      <c r="A2648" s="6">
        <v>44770</v>
      </c>
      <c r="B2648" s="20" t="s">
        <v>3362</v>
      </c>
      <c r="C2648" s="6">
        <v>44769</v>
      </c>
      <c r="D2648" t="s">
        <v>3302</v>
      </c>
      <c r="E2648" t="s">
        <v>3363</v>
      </c>
      <c r="F2648" t="s">
        <v>2835</v>
      </c>
      <c r="G2648">
        <v>2514033</v>
      </c>
      <c r="H2648"/>
      <c r="I2648"/>
      <c r="J2648"/>
      <c r="K2648" t="s">
        <v>3323</v>
      </c>
    </row>
    <row r="2649" spans="1:11">
      <c r="A2649" s="26" t="s">
        <v>3364</v>
      </c>
      <c r="B2649" s="27" t="s">
        <v>954</v>
      </c>
      <c r="C2649" s="38">
        <v>44778</v>
      </c>
      <c r="D2649" t="s">
        <v>965</v>
      </c>
      <c r="E2649" t="s">
        <v>3365</v>
      </c>
      <c r="F2649" s="26" t="s">
        <v>210</v>
      </c>
      <c r="G2649">
        <v>931514180</v>
      </c>
      <c r="H2649"/>
      <c r="I2649"/>
      <c r="J2649"/>
      <c r="K2649" t="s">
        <v>3323</v>
      </c>
    </row>
    <row r="2650" spans="1:11">
      <c r="A2650"/>
      <c r="B2650" s="20"/>
      <c r="C2650"/>
      <c r="D2650" s="24" t="s">
        <v>967</v>
      </c>
      <c r="E2650" t="s">
        <v>3366</v>
      </c>
      <c r="F2650"/>
      <c r="G2650"/>
      <c r="H2650"/>
      <c r="I2650"/>
      <c r="J2650"/>
      <c r="K2650" t="s">
        <v>3323</v>
      </c>
    </row>
    <row r="2651" spans="1:11">
      <c r="A2651"/>
      <c r="B2651" s="20"/>
      <c r="C2651"/>
      <c r="D2651" s="24" t="s">
        <v>969</v>
      </c>
      <c r="E2651" t="s">
        <v>3367</v>
      </c>
      <c r="F2651"/>
      <c r="G2651"/>
      <c r="H2651"/>
      <c r="I2651"/>
      <c r="J2651"/>
      <c r="K2651" t="s">
        <v>3323</v>
      </c>
    </row>
    <row r="2652" spans="1:11">
      <c r="A2652"/>
      <c r="B2652" s="20"/>
      <c r="C2652"/>
      <c r="D2652" s="24" t="s">
        <v>971</v>
      </c>
      <c r="E2652" t="s">
        <v>3368</v>
      </c>
      <c r="F2652"/>
      <c r="G2652"/>
      <c r="H2652"/>
      <c r="I2652"/>
      <c r="J2652"/>
      <c r="K2652" t="s">
        <v>3323</v>
      </c>
    </row>
    <row r="2653" spans="1:11">
      <c r="A2653"/>
      <c r="B2653" s="20"/>
      <c r="C2653"/>
      <c r="D2653" s="24" t="s">
        <v>975</v>
      </c>
      <c r="E2653" t="s">
        <v>3369</v>
      </c>
      <c r="F2653"/>
      <c r="G2653"/>
      <c r="H2653"/>
      <c r="I2653"/>
      <c r="J2653"/>
      <c r="K2653" t="s">
        <v>3323</v>
      </c>
    </row>
    <row r="2654" spans="1:11">
      <c r="A2654" s="28"/>
      <c r="B2654" s="29"/>
      <c r="C2654" s="28"/>
      <c r="D2654" s="46" t="s">
        <v>17</v>
      </c>
      <c r="E2654" s="28" t="s">
        <v>3370</v>
      </c>
      <c r="F2654" s="28"/>
      <c r="G2654" s="28"/>
      <c r="H2654" s="28"/>
      <c r="I2654" s="28"/>
      <c r="J2654" s="28"/>
      <c r="K2654" s="28" t="s">
        <v>3323</v>
      </c>
    </row>
    <row r="2655" spans="1:11">
      <c r="A2655"/>
      <c r="B2655"/>
      <c r="C2655"/>
      <c r="D2655" t="s">
        <v>976</v>
      </c>
      <c r="E2655" s="20">
        <v>2219145923997</v>
      </c>
      <c r="F2655"/>
      <c r="G2655"/>
      <c r="H2655"/>
      <c r="I2655"/>
      <c r="J2655"/>
      <c r="K2655" t="s">
        <v>3323</v>
      </c>
    </row>
    <row r="2656" spans="1:11">
      <c r="A2656"/>
      <c r="B2656"/>
      <c r="C2656"/>
      <c r="D2656" t="s">
        <v>976</v>
      </c>
      <c r="E2656" s="20">
        <v>2219145923996</v>
      </c>
      <c r="F2656"/>
      <c r="G2656"/>
      <c r="H2656"/>
      <c r="I2656"/>
      <c r="J2656"/>
      <c r="K2656" t="s">
        <v>3324</v>
      </c>
    </row>
    <row r="2657" spans="1:11">
      <c r="A2657"/>
      <c r="B2657"/>
      <c r="C2657"/>
      <c r="D2657" t="s">
        <v>976</v>
      </c>
      <c r="E2657" s="20">
        <v>2219145923998</v>
      </c>
      <c r="F2657"/>
      <c r="G2657"/>
      <c r="H2657"/>
      <c r="I2657"/>
      <c r="J2657"/>
      <c r="K2657" t="s">
        <v>3325</v>
      </c>
    </row>
    <row r="2658" spans="1:11">
      <c r="A2658"/>
      <c r="B2658"/>
      <c r="C2658"/>
      <c r="D2658" t="s">
        <v>976</v>
      </c>
      <c r="E2658" s="20">
        <v>2219145923999</v>
      </c>
      <c r="F2658"/>
      <c r="G2658"/>
      <c r="H2658"/>
      <c r="I2658"/>
      <c r="J2658"/>
      <c r="K2658" t="s">
        <v>3326</v>
      </c>
    </row>
    <row r="2659" spans="1:11">
      <c r="A2659"/>
      <c r="B2659"/>
      <c r="C2659"/>
      <c r="D2659" t="s">
        <v>976</v>
      </c>
      <c r="E2659" s="20">
        <v>2219145924000</v>
      </c>
      <c r="F2659"/>
      <c r="G2659"/>
      <c r="H2659"/>
      <c r="I2659"/>
      <c r="J2659"/>
      <c r="K2659" t="s">
        <v>3327</v>
      </c>
    </row>
    <row r="2660" spans="1:11">
      <c r="A2660"/>
      <c r="B2660"/>
      <c r="C2660"/>
      <c r="D2660" t="s">
        <v>976</v>
      </c>
      <c r="E2660" s="20">
        <v>2219145924001</v>
      </c>
      <c r="F2660"/>
      <c r="G2660"/>
      <c r="H2660"/>
      <c r="I2660"/>
      <c r="J2660"/>
      <c r="K2660" t="s">
        <v>3328</v>
      </c>
    </row>
    <row r="2661" spans="1:11">
      <c r="A2661" s="6">
        <v>44732</v>
      </c>
      <c r="B2661" s="20" t="s">
        <v>3316</v>
      </c>
      <c r="C2661" s="6">
        <v>44727</v>
      </c>
      <c r="D2661" t="s">
        <v>2852</v>
      </c>
      <c r="E2661" t="s">
        <v>3371</v>
      </c>
      <c r="F2661" t="s">
        <v>2592</v>
      </c>
      <c r="G2661">
        <v>3136656</v>
      </c>
      <c r="H2661"/>
      <c r="I2661"/>
      <c r="J2661"/>
      <c r="K2661" t="s">
        <v>3324</v>
      </c>
    </row>
    <row r="2662" spans="1:11">
      <c r="A2662" s="6">
        <v>44732</v>
      </c>
      <c r="B2662" s="20" t="s">
        <v>3316</v>
      </c>
      <c r="C2662" s="6">
        <v>44727</v>
      </c>
      <c r="D2662" t="s">
        <v>2852</v>
      </c>
      <c r="E2662" t="s">
        <v>3372</v>
      </c>
      <c r="F2662" t="s">
        <v>2592</v>
      </c>
      <c r="G2662">
        <v>3136656</v>
      </c>
      <c r="H2662"/>
      <c r="I2662"/>
      <c r="J2662"/>
      <c r="K2662" t="s">
        <v>3324</v>
      </c>
    </row>
    <row r="2663" spans="1:11">
      <c r="A2663" s="6">
        <v>44736</v>
      </c>
      <c r="B2663" s="20">
        <v>1.0247833887508101E+21</v>
      </c>
      <c r="C2663" s="6">
        <v>44735</v>
      </c>
      <c r="D2663" t="s">
        <v>3048</v>
      </c>
      <c r="E2663" t="s">
        <v>3373</v>
      </c>
      <c r="F2663" t="s">
        <v>264</v>
      </c>
      <c r="G2663" t="s">
        <v>3311</v>
      </c>
      <c r="H2663"/>
      <c r="I2663"/>
      <c r="J2663"/>
      <c r="K2663" t="s">
        <v>3324</v>
      </c>
    </row>
    <row r="2664" spans="1:11">
      <c r="A2664" s="6">
        <v>44770</v>
      </c>
      <c r="B2664" s="20" t="s">
        <v>3362</v>
      </c>
      <c r="C2664" s="6">
        <v>44769</v>
      </c>
      <c r="D2664" t="s">
        <v>3302</v>
      </c>
      <c r="E2664" t="s">
        <v>3374</v>
      </c>
      <c r="F2664" t="s">
        <v>2835</v>
      </c>
      <c r="G2664">
        <v>2514033</v>
      </c>
      <c r="H2664"/>
      <c r="I2664"/>
      <c r="J2664"/>
      <c r="K2664" t="s">
        <v>3324</v>
      </c>
    </row>
    <row r="2665" spans="1:11">
      <c r="A2665" s="26" t="s">
        <v>3364</v>
      </c>
      <c r="B2665" s="27" t="s">
        <v>954</v>
      </c>
      <c r="C2665" s="38">
        <v>44778</v>
      </c>
      <c r="D2665" s="26" t="s">
        <v>965</v>
      </c>
      <c r="E2665" s="26" t="s">
        <v>3375</v>
      </c>
      <c r="F2665" s="26" t="s">
        <v>210</v>
      </c>
      <c r="G2665" s="26">
        <v>931514180</v>
      </c>
      <c r="H2665" s="26"/>
      <c r="I2665" s="26"/>
      <c r="J2665" s="26"/>
      <c r="K2665" s="26" t="s">
        <v>3324</v>
      </c>
    </row>
    <row r="2666" spans="1:11">
      <c r="A2666"/>
      <c r="B2666" s="20"/>
      <c r="C2666"/>
      <c r="D2666" s="24" t="s">
        <v>967</v>
      </c>
      <c r="E2666" t="s">
        <v>3376</v>
      </c>
      <c r="F2666"/>
      <c r="G2666"/>
      <c r="H2666"/>
      <c r="I2666"/>
      <c r="J2666"/>
      <c r="K2666" t="s">
        <v>3324</v>
      </c>
    </row>
    <row r="2667" spans="1:11">
      <c r="A2667"/>
      <c r="B2667" s="20"/>
      <c r="C2667"/>
      <c r="D2667" s="24" t="s">
        <v>969</v>
      </c>
      <c r="E2667" t="s">
        <v>3377</v>
      </c>
      <c r="F2667"/>
      <c r="G2667"/>
      <c r="H2667"/>
      <c r="I2667"/>
      <c r="J2667"/>
      <c r="K2667" t="s">
        <v>3324</v>
      </c>
    </row>
    <row r="2668" spans="1:11">
      <c r="A2668"/>
      <c r="B2668" s="20"/>
      <c r="C2668"/>
      <c r="D2668" s="24" t="s">
        <v>971</v>
      </c>
      <c r="E2668" t="s">
        <v>3378</v>
      </c>
      <c r="F2668"/>
      <c r="G2668"/>
      <c r="H2668"/>
      <c r="I2668"/>
      <c r="J2668"/>
      <c r="K2668" t="s">
        <v>3324</v>
      </c>
    </row>
    <row r="2669" spans="1:11">
      <c r="A2669"/>
      <c r="B2669" s="20"/>
      <c r="C2669"/>
      <c r="D2669" s="24" t="s">
        <v>975</v>
      </c>
      <c r="E2669" t="s">
        <v>3379</v>
      </c>
      <c r="F2669"/>
      <c r="G2669"/>
      <c r="H2669"/>
      <c r="I2669"/>
      <c r="J2669"/>
      <c r="K2669" t="s">
        <v>3324</v>
      </c>
    </row>
    <row r="2670" spans="1:11">
      <c r="A2670" s="28"/>
      <c r="B2670" s="29"/>
      <c r="C2670" s="28"/>
      <c r="D2670" s="46" t="s">
        <v>17</v>
      </c>
      <c r="E2670" s="28" t="s">
        <v>3380</v>
      </c>
      <c r="F2670" s="28"/>
      <c r="G2670" s="28"/>
      <c r="H2670" s="28"/>
      <c r="I2670" s="28"/>
      <c r="J2670" s="28"/>
      <c r="K2670" s="28" t="s">
        <v>3324</v>
      </c>
    </row>
    <row r="2671" spans="1:11">
      <c r="A2671" s="6">
        <v>44732</v>
      </c>
      <c r="B2671" s="20" t="s">
        <v>3316</v>
      </c>
      <c r="C2671" s="6">
        <v>44727</v>
      </c>
      <c r="D2671" t="s">
        <v>2852</v>
      </c>
      <c r="E2671" t="s">
        <v>3381</v>
      </c>
      <c r="F2671" t="s">
        <v>2592</v>
      </c>
      <c r="G2671">
        <v>3136656</v>
      </c>
      <c r="H2671"/>
      <c r="I2671"/>
      <c r="J2671"/>
      <c r="K2671" t="s">
        <v>3325</v>
      </c>
    </row>
    <row r="2672" spans="1:11">
      <c r="A2672" s="6">
        <v>44732</v>
      </c>
      <c r="B2672" s="20" t="s">
        <v>3316</v>
      </c>
      <c r="C2672" s="6">
        <v>44727</v>
      </c>
      <c r="D2672" t="s">
        <v>2852</v>
      </c>
      <c r="E2672" t="s">
        <v>3382</v>
      </c>
      <c r="F2672" t="s">
        <v>2592</v>
      </c>
      <c r="G2672">
        <v>3136656</v>
      </c>
      <c r="H2672"/>
      <c r="I2672"/>
      <c r="J2672"/>
      <c r="K2672" t="s">
        <v>3325</v>
      </c>
    </row>
    <row r="2673" spans="1:11">
      <c r="A2673" s="6">
        <v>44736</v>
      </c>
      <c r="B2673" s="20">
        <v>1.0247833887508101E+21</v>
      </c>
      <c r="C2673" s="6">
        <v>44735</v>
      </c>
      <c r="D2673" t="s">
        <v>3048</v>
      </c>
      <c r="E2673" t="s">
        <v>3383</v>
      </c>
      <c r="F2673" t="s">
        <v>264</v>
      </c>
      <c r="G2673" t="s">
        <v>3311</v>
      </c>
      <c r="H2673"/>
      <c r="I2673"/>
      <c r="J2673"/>
      <c r="K2673" t="s">
        <v>3325</v>
      </c>
    </row>
    <row r="2674" spans="1:11">
      <c r="A2674" s="6">
        <v>44770</v>
      </c>
      <c r="B2674" s="20" t="s">
        <v>3362</v>
      </c>
      <c r="C2674" s="6">
        <v>44769</v>
      </c>
      <c r="D2674" t="s">
        <v>3302</v>
      </c>
      <c r="E2674" t="s">
        <v>3384</v>
      </c>
      <c r="F2674" t="s">
        <v>2835</v>
      </c>
      <c r="G2674">
        <v>2514033</v>
      </c>
      <c r="H2674"/>
      <c r="I2674"/>
      <c r="J2674"/>
      <c r="K2674" t="s">
        <v>3325</v>
      </c>
    </row>
    <row r="2675" spans="1:11">
      <c r="A2675" s="26" t="s">
        <v>3364</v>
      </c>
      <c r="B2675" s="27" t="s">
        <v>954</v>
      </c>
      <c r="C2675" s="38">
        <v>44778</v>
      </c>
      <c r="D2675" t="s">
        <v>965</v>
      </c>
      <c r="E2675" t="s">
        <v>3385</v>
      </c>
      <c r="F2675" s="26" t="s">
        <v>210</v>
      </c>
      <c r="G2675">
        <v>931514180</v>
      </c>
      <c r="H2675"/>
      <c r="I2675"/>
      <c r="J2675"/>
      <c r="K2675" t="s">
        <v>3325</v>
      </c>
    </row>
    <row r="2676" spans="1:11">
      <c r="A2676"/>
      <c r="B2676" s="20"/>
      <c r="C2676"/>
      <c r="D2676" s="24" t="s">
        <v>967</v>
      </c>
      <c r="E2676" t="s">
        <v>3386</v>
      </c>
      <c r="F2676"/>
      <c r="G2676"/>
      <c r="H2676"/>
      <c r="I2676"/>
      <c r="J2676"/>
      <c r="K2676" t="s">
        <v>3325</v>
      </c>
    </row>
    <row r="2677" spans="1:11">
      <c r="A2677"/>
      <c r="B2677" s="20"/>
      <c r="C2677"/>
      <c r="D2677" s="24" t="s">
        <v>969</v>
      </c>
      <c r="E2677" t="s">
        <v>3387</v>
      </c>
      <c r="F2677"/>
      <c r="G2677"/>
      <c r="H2677"/>
      <c r="I2677"/>
      <c r="J2677"/>
      <c r="K2677" t="s">
        <v>3325</v>
      </c>
    </row>
    <row r="2678" spans="1:11">
      <c r="A2678"/>
      <c r="B2678" s="20"/>
      <c r="C2678"/>
      <c r="D2678" s="24" t="s">
        <v>971</v>
      </c>
      <c r="E2678" t="s">
        <v>3388</v>
      </c>
      <c r="F2678"/>
      <c r="G2678"/>
      <c r="H2678"/>
      <c r="I2678"/>
      <c r="J2678"/>
      <c r="K2678" t="s">
        <v>3325</v>
      </c>
    </row>
    <row r="2679" spans="1:11">
      <c r="A2679"/>
      <c r="B2679" s="20"/>
      <c r="C2679"/>
      <c r="D2679" s="24" t="s">
        <v>975</v>
      </c>
      <c r="E2679" t="s">
        <v>3389</v>
      </c>
      <c r="F2679"/>
      <c r="G2679"/>
      <c r="H2679"/>
      <c r="I2679"/>
      <c r="J2679"/>
      <c r="K2679" t="s">
        <v>3325</v>
      </c>
    </row>
    <row r="2680" spans="1:11">
      <c r="A2680" s="28"/>
      <c r="B2680" s="29"/>
      <c r="C2680" s="28"/>
      <c r="D2680" s="46" t="s">
        <v>17</v>
      </c>
      <c r="E2680" s="28" t="s">
        <v>3390</v>
      </c>
      <c r="F2680" s="28"/>
      <c r="G2680" s="28"/>
      <c r="H2680" s="28"/>
      <c r="I2680" s="28"/>
      <c r="J2680" s="28"/>
      <c r="K2680" s="28" t="s">
        <v>3325</v>
      </c>
    </row>
    <row r="2681" spans="1:11">
      <c r="A2681" s="6">
        <v>44732</v>
      </c>
      <c r="B2681" s="20" t="s">
        <v>3316</v>
      </c>
      <c r="C2681" s="6">
        <v>44727</v>
      </c>
      <c r="D2681" t="s">
        <v>2852</v>
      </c>
      <c r="E2681" t="s">
        <v>3391</v>
      </c>
      <c r="F2681" t="s">
        <v>2592</v>
      </c>
      <c r="G2681">
        <v>3136656</v>
      </c>
      <c r="H2681"/>
      <c r="I2681"/>
      <c r="J2681"/>
      <c r="K2681" t="s">
        <v>3326</v>
      </c>
    </row>
    <row r="2682" spans="1:11">
      <c r="A2682" s="6">
        <v>44732</v>
      </c>
      <c r="B2682" s="20" t="s">
        <v>3316</v>
      </c>
      <c r="C2682" s="6">
        <v>44727</v>
      </c>
      <c r="D2682" t="s">
        <v>2852</v>
      </c>
      <c r="E2682" t="s">
        <v>3392</v>
      </c>
      <c r="F2682" t="s">
        <v>2592</v>
      </c>
      <c r="G2682">
        <v>3136656</v>
      </c>
      <c r="H2682"/>
      <c r="I2682"/>
      <c r="J2682"/>
      <c r="K2682" t="s">
        <v>3326</v>
      </c>
    </row>
    <row r="2683" spans="1:11">
      <c r="A2683" s="6">
        <v>44736</v>
      </c>
      <c r="B2683" s="20">
        <v>1.0247833887508101E+21</v>
      </c>
      <c r="C2683" s="6">
        <v>44735</v>
      </c>
      <c r="D2683" t="s">
        <v>3048</v>
      </c>
      <c r="E2683" t="s">
        <v>3393</v>
      </c>
      <c r="F2683" t="s">
        <v>264</v>
      </c>
      <c r="G2683" t="s">
        <v>3311</v>
      </c>
      <c r="H2683"/>
      <c r="I2683"/>
      <c r="J2683"/>
      <c r="K2683" t="s">
        <v>3326</v>
      </c>
    </row>
    <row r="2684" spans="1:11">
      <c r="A2684" s="6">
        <v>44770</v>
      </c>
      <c r="B2684" s="20" t="s">
        <v>3362</v>
      </c>
      <c r="C2684" s="6">
        <v>44769</v>
      </c>
      <c r="D2684" t="s">
        <v>3302</v>
      </c>
      <c r="E2684" t="s">
        <v>3394</v>
      </c>
      <c r="F2684" t="s">
        <v>2835</v>
      </c>
      <c r="G2684">
        <v>2514033</v>
      </c>
      <c r="H2684"/>
      <c r="I2684"/>
      <c r="J2684"/>
      <c r="K2684" t="s">
        <v>3326</v>
      </c>
    </row>
    <row r="2685" spans="1:11">
      <c r="A2685" s="26" t="s">
        <v>3364</v>
      </c>
      <c r="B2685" s="27" t="s">
        <v>954</v>
      </c>
      <c r="C2685" s="38">
        <v>44778</v>
      </c>
      <c r="D2685" t="s">
        <v>965</v>
      </c>
      <c r="E2685" t="s">
        <v>3395</v>
      </c>
      <c r="F2685" s="26" t="s">
        <v>210</v>
      </c>
      <c r="G2685">
        <v>931514179</v>
      </c>
      <c r="H2685"/>
      <c r="I2685"/>
      <c r="J2685"/>
      <c r="K2685" t="s">
        <v>3326</v>
      </c>
    </row>
    <row r="2686" spans="1:11">
      <c r="A2686"/>
      <c r="B2686" s="20"/>
      <c r="C2686"/>
      <c r="D2686" s="24" t="s">
        <v>967</v>
      </c>
      <c r="E2686" t="s">
        <v>3396</v>
      </c>
      <c r="F2686"/>
      <c r="G2686"/>
      <c r="H2686"/>
      <c r="I2686"/>
      <c r="J2686"/>
      <c r="K2686" t="s">
        <v>3326</v>
      </c>
    </row>
    <row r="2687" spans="1:11">
      <c r="A2687"/>
      <c r="B2687" s="20"/>
      <c r="C2687"/>
      <c r="D2687" s="24" t="s">
        <v>969</v>
      </c>
      <c r="E2687" t="s">
        <v>3397</v>
      </c>
      <c r="F2687"/>
      <c r="G2687"/>
      <c r="H2687"/>
      <c r="I2687"/>
      <c r="J2687"/>
      <c r="K2687" t="s">
        <v>3326</v>
      </c>
    </row>
    <row r="2688" spans="1:11">
      <c r="A2688"/>
      <c r="B2688" s="20"/>
      <c r="C2688"/>
      <c r="D2688" s="24" t="s">
        <v>971</v>
      </c>
      <c r="E2688" t="s">
        <v>3398</v>
      </c>
      <c r="F2688"/>
      <c r="G2688"/>
      <c r="H2688"/>
      <c r="I2688"/>
      <c r="J2688"/>
      <c r="K2688" t="s">
        <v>3326</v>
      </c>
    </row>
    <row r="2689" spans="1:11">
      <c r="A2689"/>
      <c r="B2689" s="20"/>
      <c r="C2689"/>
      <c r="D2689" s="24" t="s">
        <v>975</v>
      </c>
      <c r="E2689" t="s">
        <v>3399</v>
      </c>
      <c r="F2689"/>
      <c r="G2689"/>
      <c r="H2689"/>
      <c r="I2689"/>
      <c r="J2689"/>
      <c r="K2689" t="s">
        <v>3326</v>
      </c>
    </row>
    <row r="2690" spans="1:11">
      <c r="A2690" s="28"/>
      <c r="B2690" s="29"/>
      <c r="C2690" s="28"/>
      <c r="D2690" s="46" t="s">
        <v>17</v>
      </c>
      <c r="E2690" s="28" t="s">
        <v>3400</v>
      </c>
      <c r="F2690" s="28"/>
      <c r="G2690" s="28"/>
      <c r="H2690" s="28"/>
      <c r="I2690" s="28"/>
      <c r="J2690" s="28"/>
      <c r="K2690" s="28" t="s">
        <v>3326</v>
      </c>
    </row>
    <row r="2691" spans="1:11">
      <c r="A2691" s="6">
        <v>44732</v>
      </c>
      <c r="B2691" s="20" t="s">
        <v>3316</v>
      </c>
      <c r="C2691" s="6">
        <v>44727</v>
      </c>
      <c r="D2691" t="s">
        <v>2852</v>
      </c>
      <c r="E2691" t="s">
        <v>3401</v>
      </c>
      <c r="F2691" t="s">
        <v>2592</v>
      </c>
      <c r="G2691">
        <v>3136656</v>
      </c>
      <c r="H2691"/>
      <c r="I2691"/>
      <c r="J2691"/>
      <c r="K2691" t="s">
        <v>3327</v>
      </c>
    </row>
    <row r="2692" spans="1:11">
      <c r="A2692" s="6">
        <v>44732</v>
      </c>
      <c r="B2692" s="20" t="s">
        <v>3316</v>
      </c>
      <c r="C2692" s="6">
        <v>44727</v>
      </c>
      <c r="D2692" t="s">
        <v>2852</v>
      </c>
      <c r="E2692" t="s">
        <v>3402</v>
      </c>
      <c r="F2692" t="s">
        <v>2592</v>
      </c>
      <c r="G2692">
        <v>3136656</v>
      </c>
      <c r="H2692"/>
      <c r="I2692"/>
      <c r="J2692"/>
      <c r="K2692" t="s">
        <v>3327</v>
      </c>
    </row>
    <row r="2693" spans="1:11">
      <c r="A2693" s="6">
        <v>44736</v>
      </c>
      <c r="B2693" s="20">
        <v>1.0247833887508101E+21</v>
      </c>
      <c r="C2693" s="6">
        <v>44735</v>
      </c>
      <c r="D2693" t="s">
        <v>3048</v>
      </c>
      <c r="E2693" t="s">
        <v>3403</v>
      </c>
      <c r="F2693" t="s">
        <v>264</v>
      </c>
      <c r="G2693" t="s">
        <v>3311</v>
      </c>
      <c r="H2693"/>
      <c r="I2693"/>
      <c r="J2693"/>
      <c r="K2693" t="s">
        <v>3327</v>
      </c>
    </row>
    <row r="2694" spans="1:11">
      <c r="A2694" s="6">
        <v>44770</v>
      </c>
      <c r="B2694" s="20" t="s">
        <v>3362</v>
      </c>
      <c r="C2694" s="6">
        <v>44769</v>
      </c>
      <c r="D2694" t="s">
        <v>3302</v>
      </c>
      <c r="E2694" t="s">
        <v>3404</v>
      </c>
      <c r="F2694" t="s">
        <v>2835</v>
      </c>
      <c r="G2694">
        <v>2514033</v>
      </c>
      <c r="H2694"/>
      <c r="I2694"/>
      <c r="J2694"/>
      <c r="K2694" t="s">
        <v>3327</v>
      </c>
    </row>
    <row r="2695" spans="1:11">
      <c r="A2695" s="26" t="s">
        <v>3364</v>
      </c>
      <c r="B2695" s="27" t="s">
        <v>954</v>
      </c>
      <c r="C2695" s="38">
        <v>44778</v>
      </c>
      <c r="D2695" t="s">
        <v>965</v>
      </c>
      <c r="E2695" t="s">
        <v>3405</v>
      </c>
      <c r="F2695" s="26" t="s">
        <v>210</v>
      </c>
      <c r="G2695">
        <v>931514179</v>
      </c>
      <c r="H2695"/>
      <c r="I2695"/>
      <c r="J2695"/>
      <c r="K2695" t="s">
        <v>3327</v>
      </c>
    </row>
    <row r="2696" spans="1:11">
      <c r="A2696"/>
      <c r="B2696" s="20"/>
      <c r="C2696"/>
      <c r="D2696" s="24" t="s">
        <v>967</v>
      </c>
      <c r="E2696" t="s">
        <v>3406</v>
      </c>
      <c r="F2696"/>
      <c r="G2696"/>
      <c r="H2696"/>
      <c r="I2696"/>
      <c r="J2696"/>
      <c r="K2696" t="s">
        <v>3327</v>
      </c>
    </row>
    <row r="2697" spans="1:11">
      <c r="A2697"/>
      <c r="B2697" s="20"/>
      <c r="C2697"/>
      <c r="D2697" s="24" t="s">
        <v>969</v>
      </c>
      <c r="E2697" t="s">
        <v>3407</v>
      </c>
      <c r="F2697"/>
      <c r="G2697"/>
      <c r="H2697"/>
      <c r="I2697"/>
      <c r="J2697"/>
      <c r="K2697" t="s">
        <v>3327</v>
      </c>
    </row>
    <row r="2698" spans="1:11">
      <c r="A2698"/>
      <c r="B2698" s="20"/>
      <c r="C2698"/>
      <c r="D2698" s="24" t="s">
        <v>971</v>
      </c>
      <c r="E2698" t="s">
        <v>3408</v>
      </c>
      <c r="F2698"/>
      <c r="G2698"/>
      <c r="H2698"/>
      <c r="I2698"/>
      <c r="J2698"/>
      <c r="K2698" t="s">
        <v>3327</v>
      </c>
    </row>
    <row r="2699" spans="1:11">
      <c r="A2699"/>
      <c r="B2699" s="20"/>
      <c r="C2699"/>
      <c r="D2699" s="24" t="s">
        <v>975</v>
      </c>
      <c r="E2699" t="s">
        <v>3409</v>
      </c>
      <c r="F2699"/>
      <c r="G2699"/>
      <c r="H2699"/>
      <c r="I2699"/>
      <c r="J2699"/>
      <c r="K2699" t="s">
        <v>3327</v>
      </c>
    </row>
    <row r="2700" spans="1:11">
      <c r="A2700" s="28"/>
      <c r="B2700" s="29"/>
      <c r="C2700" s="28"/>
      <c r="D2700" s="46" t="s">
        <v>17</v>
      </c>
      <c r="E2700" s="28" t="s">
        <v>3410</v>
      </c>
      <c r="F2700" s="28"/>
      <c r="G2700" s="28"/>
      <c r="H2700" s="28"/>
      <c r="I2700" s="28"/>
      <c r="J2700" s="28"/>
      <c r="K2700" s="28" t="s">
        <v>3327</v>
      </c>
    </row>
    <row r="2701" spans="1:11">
      <c r="A2701" s="6">
        <v>44732</v>
      </c>
      <c r="B2701" s="20" t="s">
        <v>3316</v>
      </c>
      <c r="C2701" s="6">
        <v>44727</v>
      </c>
      <c r="D2701" t="s">
        <v>2852</v>
      </c>
      <c r="E2701" t="s">
        <v>3411</v>
      </c>
      <c r="F2701" t="s">
        <v>2592</v>
      </c>
      <c r="G2701">
        <v>3136656</v>
      </c>
      <c r="H2701"/>
      <c r="I2701"/>
      <c r="J2701"/>
      <c r="K2701" t="s">
        <v>3328</v>
      </c>
    </row>
    <row r="2702" spans="1:11">
      <c r="A2702" s="6">
        <v>44732</v>
      </c>
      <c r="B2702" s="20" t="s">
        <v>3316</v>
      </c>
      <c r="C2702" s="45">
        <v>44727</v>
      </c>
      <c r="D2702" s="28" t="s">
        <v>2852</v>
      </c>
      <c r="E2702" s="28" t="s">
        <v>3412</v>
      </c>
      <c r="F2702" s="28" t="s">
        <v>2592</v>
      </c>
      <c r="G2702" s="28">
        <v>3136656</v>
      </c>
      <c r="H2702" s="28"/>
      <c r="I2702" s="28"/>
      <c r="J2702" s="28"/>
      <c r="K2702" s="28" t="s">
        <v>3328</v>
      </c>
    </row>
    <row r="2703" spans="1:11">
      <c r="A2703" s="6">
        <v>44736</v>
      </c>
      <c r="B2703" s="20">
        <v>1.0247833887508101E+21</v>
      </c>
      <c r="C2703" s="6">
        <v>44735</v>
      </c>
      <c r="D2703" t="s">
        <v>3048</v>
      </c>
      <c r="E2703" t="s">
        <v>3413</v>
      </c>
      <c r="F2703" t="s">
        <v>264</v>
      </c>
      <c r="G2703" t="s">
        <v>3311</v>
      </c>
      <c r="H2703"/>
      <c r="I2703"/>
      <c r="J2703"/>
      <c r="K2703" t="s">
        <v>3328</v>
      </c>
    </row>
    <row r="2704" spans="1:11">
      <c r="A2704" s="6">
        <v>44770</v>
      </c>
      <c r="B2704" s="20" t="s">
        <v>3362</v>
      </c>
      <c r="C2704" s="6">
        <v>44769</v>
      </c>
      <c r="D2704" t="s">
        <v>3302</v>
      </c>
      <c r="E2704" t="s">
        <v>3414</v>
      </c>
      <c r="F2704" t="s">
        <v>2835</v>
      </c>
      <c r="G2704">
        <v>2514033</v>
      </c>
      <c r="H2704"/>
      <c r="I2704"/>
      <c r="J2704"/>
      <c r="K2704" t="s">
        <v>3328</v>
      </c>
    </row>
    <row r="2705" spans="1:11">
      <c r="A2705" s="26" t="s">
        <v>3364</v>
      </c>
      <c r="B2705" s="27" t="s">
        <v>954</v>
      </c>
      <c r="C2705" s="38">
        <v>44778</v>
      </c>
      <c r="D2705" t="s">
        <v>965</v>
      </c>
      <c r="E2705" t="s">
        <v>3415</v>
      </c>
      <c r="F2705" s="26" t="s">
        <v>210</v>
      </c>
      <c r="G2705">
        <v>931514180</v>
      </c>
      <c r="H2705"/>
      <c r="I2705"/>
      <c r="J2705"/>
      <c r="K2705" t="s">
        <v>3328</v>
      </c>
    </row>
    <row r="2706" spans="1:11">
      <c r="A2706"/>
      <c r="B2706" s="20"/>
      <c r="C2706"/>
      <c r="D2706" s="24" t="s">
        <v>967</v>
      </c>
      <c r="E2706" t="s">
        <v>3416</v>
      </c>
      <c r="F2706"/>
      <c r="G2706"/>
      <c r="H2706"/>
      <c r="I2706"/>
      <c r="J2706"/>
      <c r="K2706" t="s">
        <v>3328</v>
      </c>
    </row>
    <row r="2707" spans="1:11">
      <c r="A2707"/>
      <c r="B2707" s="20"/>
      <c r="C2707"/>
      <c r="D2707" s="24" t="s">
        <v>969</v>
      </c>
      <c r="E2707" t="s">
        <v>3417</v>
      </c>
      <c r="F2707"/>
      <c r="G2707"/>
      <c r="H2707"/>
      <c r="I2707"/>
      <c r="J2707"/>
      <c r="K2707" t="s">
        <v>3328</v>
      </c>
    </row>
    <row r="2708" spans="1:11">
      <c r="A2708"/>
      <c r="B2708" s="20"/>
      <c r="C2708"/>
      <c r="D2708" s="24" t="s">
        <v>971</v>
      </c>
      <c r="E2708" t="s">
        <v>3418</v>
      </c>
      <c r="F2708"/>
      <c r="G2708"/>
      <c r="H2708"/>
      <c r="I2708"/>
      <c r="J2708"/>
      <c r="K2708" t="s">
        <v>3328</v>
      </c>
    </row>
    <row r="2709" spans="1:11">
      <c r="A2709"/>
      <c r="B2709" s="20"/>
      <c r="C2709"/>
      <c r="D2709" s="24" t="s">
        <v>975</v>
      </c>
      <c r="E2709" t="s">
        <v>3419</v>
      </c>
      <c r="F2709"/>
      <c r="G2709"/>
      <c r="H2709"/>
      <c r="I2709"/>
      <c r="J2709"/>
      <c r="K2709" t="s">
        <v>3328</v>
      </c>
    </row>
    <row r="2710" spans="1:11">
      <c r="A2710" s="28"/>
      <c r="B2710" s="29"/>
      <c r="C2710" s="28"/>
      <c r="D2710" s="46" t="s">
        <v>17</v>
      </c>
      <c r="E2710" s="28" t="s">
        <v>3420</v>
      </c>
      <c r="F2710" s="28"/>
      <c r="G2710" s="28"/>
      <c r="H2710" s="28"/>
      <c r="I2710" s="28"/>
      <c r="J2710" s="28"/>
      <c r="K2710" s="28" t="s">
        <v>3328</v>
      </c>
    </row>
    <row r="2711" spans="1:11">
      <c r="A2711"/>
      <c r="B2711"/>
      <c r="C2711"/>
      <c r="D2711" t="s">
        <v>976</v>
      </c>
      <c r="E2711" s="20">
        <v>2219145923987</v>
      </c>
      <c r="F2711"/>
      <c r="G2711"/>
      <c r="H2711"/>
      <c r="I2711"/>
      <c r="J2711"/>
      <c r="K2711" t="s">
        <v>3421</v>
      </c>
    </row>
    <row r="2712" spans="1:11">
      <c r="A2712"/>
      <c r="B2712"/>
      <c r="C2712"/>
      <c r="D2712" t="s">
        <v>976</v>
      </c>
      <c r="E2712" s="20">
        <v>2219145923986</v>
      </c>
      <c r="F2712"/>
      <c r="G2712"/>
      <c r="H2712"/>
      <c r="I2712"/>
      <c r="J2712"/>
      <c r="K2712" t="s">
        <v>3422</v>
      </c>
    </row>
    <row r="2713" spans="1:11">
      <c r="A2713"/>
      <c r="B2713"/>
      <c r="C2713"/>
      <c r="D2713" t="s">
        <v>976</v>
      </c>
      <c r="E2713" s="20">
        <v>2219145923988</v>
      </c>
      <c r="F2713"/>
      <c r="G2713"/>
      <c r="H2713"/>
      <c r="I2713"/>
      <c r="J2713"/>
      <c r="K2713" t="s">
        <v>3423</v>
      </c>
    </row>
    <row r="2714" spans="1:11">
      <c r="A2714"/>
      <c r="B2714"/>
      <c r="C2714"/>
      <c r="D2714" t="s">
        <v>976</v>
      </c>
      <c r="E2714" s="20">
        <v>2219145923989</v>
      </c>
      <c r="F2714"/>
      <c r="G2714"/>
      <c r="H2714"/>
      <c r="I2714"/>
      <c r="J2714"/>
      <c r="K2714" t="s">
        <v>3424</v>
      </c>
    </row>
    <row r="2715" spans="1:11">
      <c r="A2715"/>
      <c r="B2715"/>
      <c r="C2715"/>
      <c r="D2715" t="s">
        <v>976</v>
      </c>
      <c r="E2715" s="20">
        <v>2219145923990</v>
      </c>
      <c r="F2715"/>
      <c r="G2715"/>
      <c r="H2715"/>
      <c r="I2715"/>
      <c r="J2715"/>
      <c r="K2715" t="s">
        <v>3425</v>
      </c>
    </row>
    <row r="2716" spans="1:11">
      <c r="A2716"/>
      <c r="B2716"/>
      <c r="C2716"/>
      <c r="D2716" t="s">
        <v>976</v>
      </c>
      <c r="E2716" s="20">
        <v>2219145923991</v>
      </c>
      <c r="F2716"/>
      <c r="G2716"/>
      <c r="H2716"/>
      <c r="I2716"/>
      <c r="J2716"/>
      <c r="K2716" t="s">
        <v>3426</v>
      </c>
    </row>
    <row r="2717" spans="1:11">
      <c r="A2717"/>
      <c r="B2717"/>
      <c r="C2717"/>
      <c r="D2717" t="s">
        <v>976</v>
      </c>
      <c r="E2717" s="20">
        <v>2219145923992</v>
      </c>
      <c r="F2717"/>
      <c r="G2717"/>
      <c r="H2717"/>
      <c r="I2717"/>
      <c r="J2717"/>
      <c r="K2717" t="s">
        <v>3427</v>
      </c>
    </row>
    <row r="2718" spans="1:11">
      <c r="A2718"/>
      <c r="B2718"/>
      <c r="C2718"/>
      <c r="D2718" t="s">
        <v>976</v>
      </c>
      <c r="E2718" s="20">
        <v>2219145923993</v>
      </c>
      <c r="F2718"/>
      <c r="G2718"/>
      <c r="H2718"/>
      <c r="I2718"/>
      <c r="J2718"/>
      <c r="K2718" t="s">
        <v>3428</v>
      </c>
    </row>
    <row r="2719" spans="1:11">
      <c r="A2719"/>
      <c r="B2719"/>
      <c r="C2719"/>
      <c r="D2719" t="s">
        <v>976</v>
      </c>
      <c r="E2719" s="20">
        <v>2219145923994</v>
      </c>
      <c r="F2719"/>
      <c r="G2719"/>
      <c r="H2719"/>
      <c r="I2719"/>
      <c r="J2719"/>
      <c r="K2719" t="s">
        <v>3429</v>
      </c>
    </row>
    <row r="2720" spans="1:11">
      <c r="A2720"/>
      <c r="B2720"/>
      <c r="C2720"/>
      <c r="D2720" t="s">
        <v>976</v>
      </c>
      <c r="E2720" s="20">
        <v>2219145923995</v>
      </c>
      <c r="F2720"/>
      <c r="G2720"/>
      <c r="H2720"/>
      <c r="I2720"/>
      <c r="J2720"/>
      <c r="K2720" t="s">
        <v>3430</v>
      </c>
    </row>
    <row r="2721" spans="1:11">
      <c r="A2721" s="6">
        <v>44739</v>
      </c>
      <c r="B2721" s="20" t="s">
        <v>223</v>
      </c>
      <c r="C2721" s="6">
        <v>44736</v>
      </c>
      <c r="D2721" t="s">
        <v>3052</v>
      </c>
      <c r="E2721" t="s">
        <v>3444</v>
      </c>
      <c r="F2721" t="s">
        <v>210</v>
      </c>
      <c r="G2721">
        <v>931492681</v>
      </c>
      <c r="H2721"/>
      <c r="I2721"/>
      <c r="J2721"/>
      <c r="K2721" t="s">
        <v>3430</v>
      </c>
    </row>
    <row r="2722" spans="1:11">
      <c r="A2722" s="6">
        <v>44739</v>
      </c>
      <c r="B2722" s="20" t="s">
        <v>223</v>
      </c>
      <c r="C2722" s="6">
        <v>44736</v>
      </c>
      <c r="D2722" t="s">
        <v>3052</v>
      </c>
      <c r="E2722" t="s">
        <v>3445</v>
      </c>
      <c r="F2722" t="s">
        <v>210</v>
      </c>
      <c r="G2722">
        <v>931492681</v>
      </c>
      <c r="H2722"/>
      <c r="I2722"/>
      <c r="J2722"/>
      <c r="K2722" t="s">
        <v>3426</v>
      </c>
    </row>
    <row r="2723" spans="1:11">
      <c r="A2723" s="6">
        <v>44739</v>
      </c>
      <c r="B2723" s="20" t="s">
        <v>223</v>
      </c>
      <c r="C2723" s="6">
        <v>44736</v>
      </c>
      <c r="D2723" t="s">
        <v>3052</v>
      </c>
      <c r="E2723" t="s">
        <v>3446</v>
      </c>
      <c r="F2723" t="s">
        <v>210</v>
      </c>
      <c r="G2723">
        <v>931492681</v>
      </c>
      <c r="H2723"/>
      <c r="I2723"/>
      <c r="J2723"/>
      <c r="K2723" t="s">
        <v>3428</v>
      </c>
    </row>
    <row r="2724" spans="1:11">
      <c r="A2724" s="6">
        <v>44739</v>
      </c>
      <c r="B2724" s="20" t="s">
        <v>223</v>
      </c>
      <c r="C2724" s="6">
        <v>44736</v>
      </c>
      <c r="D2724" t="s">
        <v>3052</v>
      </c>
      <c r="E2724" t="s">
        <v>3447</v>
      </c>
      <c r="F2724" t="s">
        <v>210</v>
      </c>
      <c r="G2724">
        <v>931492681</v>
      </c>
      <c r="H2724"/>
      <c r="I2724"/>
      <c r="J2724"/>
      <c r="K2724" t="s">
        <v>3427</v>
      </c>
    </row>
    <row r="2725" spans="1:11">
      <c r="A2725" s="6">
        <v>44739</v>
      </c>
      <c r="B2725" s="20" t="s">
        <v>223</v>
      </c>
      <c r="C2725" s="6">
        <v>44736</v>
      </c>
      <c r="D2725" t="s">
        <v>3052</v>
      </c>
      <c r="E2725" t="s">
        <v>3448</v>
      </c>
      <c r="F2725" t="s">
        <v>210</v>
      </c>
      <c r="G2725">
        <v>931492681</v>
      </c>
      <c r="H2725"/>
      <c r="I2725"/>
      <c r="J2725"/>
      <c r="K2725" t="s">
        <v>3430</v>
      </c>
    </row>
    <row r="2726" spans="1:11">
      <c r="A2726" s="6">
        <v>44739</v>
      </c>
      <c r="B2726" s="20" t="s">
        <v>223</v>
      </c>
      <c r="C2726" s="6">
        <v>44736</v>
      </c>
      <c r="D2726" t="s">
        <v>3052</v>
      </c>
      <c r="E2726" t="s">
        <v>3449</v>
      </c>
      <c r="F2726" t="s">
        <v>210</v>
      </c>
      <c r="G2726">
        <v>931492681</v>
      </c>
      <c r="H2726"/>
      <c r="I2726"/>
      <c r="J2726"/>
      <c r="K2726" t="s">
        <v>3427</v>
      </c>
    </row>
    <row r="2727" spans="1:11">
      <c r="A2727" s="6">
        <v>44739</v>
      </c>
      <c r="B2727" s="20" t="s">
        <v>223</v>
      </c>
      <c r="C2727" s="6">
        <v>44736</v>
      </c>
      <c r="D2727" t="s">
        <v>3052</v>
      </c>
      <c r="E2727" t="s">
        <v>3450</v>
      </c>
      <c r="F2727" t="s">
        <v>210</v>
      </c>
      <c r="G2727">
        <v>931492681</v>
      </c>
      <c r="H2727"/>
      <c r="I2727"/>
      <c r="J2727"/>
      <c r="K2727" t="s">
        <v>3426</v>
      </c>
    </row>
    <row r="2728" spans="1:11">
      <c r="A2728" s="6">
        <v>44739</v>
      </c>
      <c r="B2728" s="20" t="s">
        <v>223</v>
      </c>
      <c r="C2728" s="6">
        <v>44736</v>
      </c>
      <c r="D2728" t="s">
        <v>3052</v>
      </c>
      <c r="E2728" t="s">
        <v>3451</v>
      </c>
      <c r="F2728" t="s">
        <v>210</v>
      </c>
      <c r="G2728">
        <v>931492681</v>
      </c>
      <c r="H2728"/>
      <c r="I2728"/>
      <c r="J2728"/>
      <c r="K2728" t="s">
        <v>3424</v>
      </c>
    </row>
    <row r="2729" spans="1:11">
      <c r="A2729" s="6">
        <v>44739</v>
      </c>
      <c r="B2729" s="20" t="s">
        <v>223</v>
      </c>
      <c r="C2729" s="6">
        <v>44736</v>
      </c>
      <c r="D2729" t="s">
        <v>3052</v>
      </c>
      <c r="E2729" t="s">
        <v>3452</v>
      </c>
      <c r="F2729" t="s">
        <v>210</v>
      </c>
      <c r="G2729">
        <v>931492681</v>
      </c>
      <c r="H2729"/>
      <c r="I2729"/>
      <c r="J2729"/>
      <c r="K2729" t="s">
        <v>3424</v>
      </c>
    </row>
    <row r="2730" spans="1:11">
      <c r="A2730" s="6">
        <v>44739</v>
      </c>
      <c r="B2730" s="20" t="s">
        <v>223</v>
      </c>
      <c r="C2730" s="6">
        <v>44736</v>
      </c>
      <c r="D2730" t="s">
        <v>3052</v>
      </c>
      <c r="E2730" t="s">
        <v>3453</v>
      </c>
      <c r="F2730" t="s">
        <v>210</v>
      </c>
      <c r="G2730">
        <v>931492681</v>
      </c>
      <c r="H2730"/>
      <c r="I2730"/>
      <c r="J2730"/>
      <c r="K2730" t="s">
        <v>3425</v>
      </c>
    </row>
    <row r="2731" spans="1:11">
      <c r="A2731" s="6">
        <v>44739</v>
      </c>
      <c r="B2731" s="20" t="s">
        <v>223</v>
      </c>
      <c r="C2731" s="6">
        <v>44736</v>
      </c>
      <c r="D2731" t="s">
        <v>3052</v>
      </c>
      <c r="E2731" t="s">
        <v>3454</v>
      </c>
      <c r="F2731" t="s">
        <v>210</v>
      </c>
      <c r="G2731">
        <v>931492681</v>
      </c>
      <c r="H2731"/>
      <c r="I2731"/>
      <c r="J2731"/>
      <c r="K2731" t="s">
        <v>3425</v>
      </c>
    </row>
    <row r="2732" spans="1:11">
      <c r="A2732" s="6">
        <v>44739</v>
      </c>
      <c r="B2732" s="20" t="s">
        <v>223</v>
      </c>
      <c r="C2732" s="6">
        <v>44736</v>
      </c>
      <c r="D2732" t="s">
        <v>3052</v>
      </c>
      <c r="E2732" t="s">
        <v>3455</v>
      </c>
      <c r="F2732" t="s">
        <v>210</v>
      </c>
      <c r="G2732">
        <v>931492677</v>
      </c>
      <c r="H2732"/>
      <c r="I2732"/>
      <c r="J2732"/>
      <c r="K2732" t="s">
        <v>3422</v>
      </c>
    </row>
    <row r="2733" spans="1:11">
      <c r="A2733" s="6">
        <v>44739</v>
      </c>
      <c r="B2733" s="20" t="s">
        <v>223</v>
      </c>
      <c r="C2733" s="6">
        <v>44736</v>
      </c>
      <c r="D2733" t="s">
        <v>3052</v>
      </c>
      <c r="E2733" t="s">
        <v>3431</v>
      </c>
      <c r="F2733" t="s">
        <v>210</v>
      </c>
      <c r="G2733">
        <v>931492677</v>
      </c>
      <c r="H2733"/>
      <c r="I2733"/>
      <c r="J2733"/>
      <c r="K2733" t="s">
        <v>3421</v>
      </c>
    </row>
    <row r="2734" spans="1:11">
      <c r="A2734" s="6">
        <v>44739</v>
      </c>
      <c r="B2734" s="20" t="s">
        <v>223</v>
      </c>
      <c r="C2734" s="6">
        <v>44736</v>
      </c>
      <c r="D2734" t="s">
        <v>3052</v>
      </c>
      <c r="E2734" t="s">
        <v>3432</v>
      </c>
      <c r="F2734" t="s">
        <v>210</v>
      </c>
      <c r="G2734">
        <v>931492677</v>
      </c>
      <c r="H2734"/>
      <c r="I2734"/>
      <c r="J2734"/>
      <c r="K2734" t="s">
        <v>3421</v>
      </c>
    </row>
    <row r="2735" spans="1:11">
      <c r="A2735" s="6">
        <v>44739</v>
      </c>
      <c r="B2735" s="20" t="s">
        <v>223</v>
      </c>
      <c r="C2735" s="6">
        <v>44736</v>
      </c>
      <c r="D2735" t="s">
        <v>3052</v>
      </c>
      <c r="E2735" t="s">
        <v>3456</v>
      </c>
      <c r="F2735" t="s">
        <v>210</v>
      </c>
      <c r="G2735">
        <v>931492677</v>
      </c>
      <c r="H2735"/>
      <c r="I2735"/>
      <c r="J2735"/>
      <c r="K2735" t="s">
        <v>3422</v>
      </c>
    </row>
    <row r="2736" spans="1:11">
      <c r="A2736" s="6">
        <v>44739</v>
      </c>
      <c r="B2736" s="20" t="s">
        <v>223</v>
      </c>
      <c r="C2736" s="6">
        <v>44736</v>
      </c>
      <c r="D2736" t="s">
        <v>3052</v>
      </c>
      <c r="E2736" t="s">
        <v>3457</v>
      </c>
      <c r="F2736" t="s">
        <v>210</v>
      </c>
      <c r="G2736">
        <v>931492677</v>
      </c>
      <c r="H2736"/>
      <c r="I2736"/>
      <c r="J2736"/>
      <c r="K2736" t="s">
        <v>3428</v>
      </c>
    </row>
    <row r="2737" spans="1:11">
      <c r="A2737" s="6">
        <v>44739</v>
      </c>
      <c r="B2737" s="20" t="s">
        <v>223</v>
      </c>
      <c r="C2737" s="6">
        <v>44736</v>
      </c>
      <c r="D2737" t="s">
        <v>3052</v>
      </c>
      <c r="E2737" t="s">
        <v>3458</v>
      </c>
      <c r="F2737" t="s">
        <v>210</v>
      </c>
      <c r="G2737">
        <v>931492677</v>
      </c>
      <c r="H2737"/>
      <c r="I2737"/>
      <c r="J2737"/>
      <c r="K2737" t="s">
        <v>3429</v>
      </c>
    </row>
    <row r="2738" spans="1:11">
      <c r="A2738" s="6">
        <v>44739</v>
      </c>
      <c r="B2738" s="20" t="s">
        <v>223</v>
      </c>
      <c r="C2738" s="6">
        <v>44736</v>
      </c>
      <c r="D2738" t="s">
        <v>3052</v>
      </c>
      <c r="E2738" t="s">
        <v>3459</v>
      </c>
      <c r="F2738" t="s">
        <v>210</v>
      </c>
      <c r="G2738">
        <v>931492677</v>
      </c>
      <c r="H2738"/>
      <c r="I2738"/>
      <c r="J2738"/>
      <c r="K2738" t="s">
        <v>3429</v>
      </c>
    </row>
    <row r="2739" spans="1:11">
      <c r="A2739" s="6">
        <v>44739</v>
      </c>
      <c r="B2739" s="20" t="s">
        <v>223</v>
      </c>
      <c r="C2739" s="6">
        <v>44736</v>
      </c>
      <c r="D2739" t="s">
        <v>3052</v>
      </c>
      <c r="E2739" t="s">
        <v>3460</v>
      </c>
      <c r="F2739" t="s">
        <v>210</v>
      </c>
      <c r="G2739">
        <v>931492677</v>
      </c>
      <c r="H2739"/>
      <c r="I2739"/>
      <c r="J2739"/>
      <c r="K2739" t="s">
        <v>3423</v>
      </c>
    </row>
    <row r="2740" spans="1:11">
      <c r="A2740" s="6">
        <v>44739</v>
      </c>
      <c r="B2740" s="20" t="s">
        <v>223</v>
      </c>
      <c r="C2740" s="6">
        <v>44736</v>
      </c>
      <c r="D2740" t="s">
        <v>3052</v>
      </c>
      <c r="E2740" t="s">
        <v>3461</v>
      </c>
      <c r="F2740" t="s">
        <v>210</v>
      </c>
      <c r="G2740">
        <v>931492677</v>
      </c>
      <c r="H2740"/>
      <c r="I2740"/>
      <c r="J2740"/>
      <c r="K2740" t="s">
        <v>3423</v>
      </c>
    </row>
    <row r="2741" spans="1:11">
      <c r="A2741" s="6">
        <v>44770</v>
      </c>
      <c r="B2741" s="20" t="s">
        <v>3362</v>
      </c>
      <c r="C2741" s="6">
        <v>44769</v>
      </c>
      <c r="D2741" t="s">
        <v>3302</v>
      </c>
      <c r="E2741" t="s">
        <v>3462</v>
      </c>
      <c r="F2741" t="s">
        <v>2835</v>
      </c>
      <c r="G2741">
        <v>2514033</v>
      </c>
      <c r="H2741"/>
      <c r="I2741"/>
      <c r="J2741"/>
      <c r="K2741" t="s">
        <v>3422</v>
      </c>
    </row>
    <row r="2742" spans="1:11">
      <c r="A2742" s="6">
        <v>44770</v>
      </c>
      <c r="B2742" s="20" t="s">
        <v>3362</v>
      </c>
      <c r="C2742" s="6">
        <v>44769</v>
      </c>
      <c r="D2742" t="s">
        <v>3302</v>
      </c>
      <c r="E2742" t="s">
        <v>3463</v>
      </c>
      <c r="F2742" t="s">
        <v>2835</v>
      </c>
      <c r="G2742">
        <v>2514033</v>
      </c>
      <c r="H2742"/>
      <c r="I2742"/>
      <c r="J2742"/>
      <c r="K2742" t="s">
        <v>3423</v>
      </c>
    </row>
    <row r="2743" spans="1:11">
      <c r="A2743" s="6">
        <v>44770</v>
      </c>
      <c r="B2743" s="20" t="s">
        <v>3362</v>
      </c>
      <c r="C2743" s="6">
        <v>44769</v>
      </c>
      <c r="D2743" t="s">
        <v>3302</v>
      </c>
      <c r="E2743" t="s">
        <v>3464</v>
      </c>
      <c r="F2743" t="s">
        <v>2835</v>
      </c>
      <c r="G2743">
        <v>2514033</v>
      </c>
      <c r="H2743"/>
      <c r="I2743"/>
      <c r="J2743"/>
      <c r="K2743" t="s">
        <v>3428</v>
      </c>
    </row>
    <row r="2744" spans="1:11">
      <c r="A2744" s="6">
        <v>44770</v>
      </c>
      <c r="B2744" s="20" t="s">
        <v>3362</v>
      </c>
      <c r="C2744" s="6">
        <v>44769</v>
      </c>
      <c r="D2744" t="s">
        <v>3302</v>
      </c>
      <c r="E2744" t="s">
        <v>3465</v>
      </c>
      <c r="F2744" t="s">
        <v>2835</v>
      </c>
      <c r="G2744">
        <v>2514033</v>
      </c>
      <c r="H2744"/>
      <c r="I2744"/>
      <c r="J2744"/>
      <c r="K2744" t="s">
        <v>3429</v>
      </c>
    </row>
    <row r="2745" spans="1:11">
      <c r="A2745" s="6">
        <v>44770</v>
      </c>
      <c r="B2745" s="20" t="s">
        <v>3362</v>
      </c>
      <c r="C2745" s="6">
        <v>44769</v>
      </c>
      <c r="D2745" t="s">
        <v>3302</v>
      </c>
      <c r="E2745" t="s">
        <v>3466</v>
      </c>
      <c r="F2745" t="s">
        <v>2835</v>
      </c>
      <c r="G2745">
        <v>2514033</v>
      </c>
      <c r="H2745"/>
      <c r="I2745"/>
      <c r="J2745"/>
      <c r="K2745" t="s">
        <v>3426</v>
      </c>
    </row>
    <row r="2746" spans="1:11">
      <c r="A2746" s="6">
        <v>44770</v>
      </c>
      <c r="B2746" s="20" t="s">
        <v>3362</v>
      </c>
      <c r="C2746" s="6">
        <v>44769</v>
      </c>
      <c r="D2746" t="s">
        <v>3302</v>
      </c>
      <c r="E2746" t="s">
        <v>3467</v>
      </c>
      <c r="F2746" t="s">
        <v>2835</v>
      </c>
      <c r="G2746">
        <v>2514033</v>
      </c>
      <c r="H2746"/>
      <c r="I2746"/>
      <c r="J2746"/>
      <c r="K2746" t="s">
        <v>3427</v>
      </c>
    </row>
    <row r="2747" spans="1:11">
      <c r="A2747" s="6">
        <v>44770</v>
      </c>
      <c r="B2747" s="20" t="s">
        <v>3362</v>
      </c>
      <c r="C2747" s="6">
        <v>44769</v>
      </c>
      <c r="D2747" t="s">
        <v>3302</v>
      </c>
      <c r="E2747" t="s">
        <v>3468</v>
      </c>
      <c r="F2747" t="s">
        <v>2835</v>
      </c>
      <c r="G2747">
        <v>2514033</v>
      </c>
      <c r="H2747"/>
      <c r="I2747"/>
      <c r="J2747"/>
      <c r="K2747" t="s">
        <v>3425</v>
      </c>
    </row>
    <row r="2748" spans="1:11">
      <c r="A2748" s="6">
        <v>44770</v>
      </c>
      <c r="B2748" s="20" t="s">
        <v>3362</v>
      </c>
      <c r="C2748" s="6">
        <v>44769</v>
      </c>
      <c r="D2748" t="s">
        <v>3302</v>
      </c>
      <c r="E2748" t="s">
        <v>3469</v>
      </c>
      <c r="F2748" t="s">
        <v>2835</v>
      </c>
      <c r="G2748">
        <v>2514033</v>
      </c>
      <c r="H2748"/>
      <c r="I2748"/>
      <c r="J2748"/>
      <c r="K2748" t="s">
        <v>3430</v>
      </c>
    </row>
    <row r="2749" spans="1:11">
      <c r="A2749" s="6">
        <v>44770</v>
      </c>
      <c r="B2749" s="20" t="s">
        <v>3362</v>
      </c>
      <c r="C2749" s="6">
        <v>44769</v>
      </c>
      <c r="D2749" t="s">
        <v>3302</v>
      </c>
      <c r="E2749" t="s">
        <v>3470</v>
      </c>
      <c r="F2749" t="s">
        <v>2835</v>
      </c>
      <c r="G2749">
        <v>2514033</v>
      </c>
      <c r="H2749"/>
      <c r="I2749"/>
      <c r="J2749"/>
      <c r="K2749" t="s">
        <v>3424</v>
      </c>
    </row>
    <row r="2750" spans="1:11">
      <c r="A2750" s="6">
        <v>44770</v>
      </c>
      <c r="B2750" s="20" t="s">
        <v>3362</v>
      </c>
      <c r="C2750" s="6">
        <v>44769</v>
      </c>
      <c r="D2750" t="s">
        <v>3302</v>
      </c>
      <c r="E2750" t="s">
        <v>3433</v>
      </c>
      <c r="F2750" t="s">
        <v>2835</v>
      </c>
      <c r="G2750">
        <v>2514033</v>
      </c>
      <c r="H2750"/>
      <c r="I2750"/>
      <c r="J2750"/>
      <c r="K2750" t="s">
        <v>3421</v>
      </c>
    </row>
    <row r="2751" spans="1:11">
      <c r="A2751" s="26" t="s">
        <v>3364</v>
      </c>
      <c r="B2751" s="27" t="s">
        <v>954</v>
      </c>
      <c r="C2751" s="38">
        <v>44778</v>
      </c>
      <c r="D2751" t="s">
        <v>965</v>
      </c>
      <c r="E2751" t="s">
        <v>3471</v>
      </c>
      <c r="F2751" s="26" t="s">
        <v>210</v>
      </c>
      <c r="G2751">
        <v>931514180</v>
      </c>
      <c r="H2751"/>
      <c r="I2751"/>
      <c r="J2751"/>
      <c r="K2751" t="s">
        <v>3428</v>
      </c>
    </row>
    <row r="2752" spans="1:11">
      <c r="A2752"/>
      <c r="B2752" s="20"/>
      <c r="C2752"/>
      <c r="D2752" s="24" t="s">
        <v>967</v>
      </c>
      <c r="E2752" t="s">
        <v>3472</v>
      </c>
      <c r="F2752"/>
      <c r="G2752"/>
      <c r="H2752"/>
      <c r="I2752"/>
      <c r="J2752"/>
      <c r="K2752" t="s">
        <v>3428</v>
      </c>
    </row>
    <row r="2753" spans="1:11">
      <c r="A2753"/>
      <c r="B2753" s="20"/>
      <c r="C2753"/>
      <c r="D2753" s="24" t="s">
        <v>969</v>
      </c>
      <c r="E2753" t="s">
        <v>3473</v>
      </c>
      <c r="F2753"/>
      <c r="G2753"/>
      <c r="H2753"/>
      <c r="I2753"/>
      <c r="J2753"/>
      <c r="K2753" t="s">
        <v>3428</v>
      </c>
    </row>
    <row r="2754" spans="1:11">
      <c r="A2754"/>
      <c r="B2754" s="20"/>
      <c r="C2754"/>
      <c r="D2754" s="24" t="s">
        <v>971</v>
      </c>
      <c r="E2754" t="s">
        <v>3474</v>
      </c>
      <c r="F2754"/>
      <c r="G2754"/>
      <c r="H2754"/>
      <c r="I2754"/>
      <c r="J2754"/>
      <c r="K2754" t="s">
        <v>3428</v>
      </c>
    </row>
    <row r="2755" spans="1:11">
      <c r="A2755"/>
      <c r="B2755" s="20"/>
      <c r="C2755"/>
      <c r="D2755" s="24" t="s">
        <v>975</v>
      </c>
      <c r="E2755" t="s">
        <v>3475</v>
      </c>
      <c r="F2755"/>
      <c r="G2755"/>
      <c r="H2755"/>
      <c r="I2755"/>
      <c r="J2755"/>
      <c r="K2755" t="s">
        <v>3428</v>
      </c>
    </row>
    <row r="2756" spans="1:11">
      <c r="A2756" s="28"/>
      <c r="B2756" s="29"/>
      <c r="C2756" s="28"/>
      <c r="D2756" s="46" t="s">
        <v>17</v>
      </c>
      <c r="E2756" s="28" t="s">
        <v>3476</v>
      </c>
      <c r="F2756" s="28"/>
      <c r="G2756" s="28"/>
      <c r="H2756" s="28"/>
      <c r="I2756" s="28"/>
      <c r="J2756" s="28"/>
      <c r="K2756" s="28" t="s">
        <v>3428</v>
      </c>
    </row>
    <row r="2757" spans="1:11">
      <c r="A2757" s="26" t="s">
        <v>3364</v>
      </c>
      <c r="B2757" s="27" t="s">
        <v>954</v>
      </c>
      <c r="C2757" s="38">
        <v>44778</v>
      </c>
      <c r="D2757" t="s">
        <v>965</v>
      </c>
      <c r="E2757" t="s">
        <v>3477</v>
      </c>
      <c r="F2757" s="26" t="s">
        <v>210</v>
      </c>
      <c r="G2757">
        <v>931514180</v>
      </c>
      <c r="H2757"/>
      <c r="I2757"/>
      <c r="J2757"/>
      <c r="K2757" t="s">
        <v>3423</v>
      </c>
    </row>
    <row r="2758" spans="1:11">
      <c r="A2758"/>
      <c r="B2758" s="20"/>
      <c r="C2758"/>
      <c r="D2758" s="24" t="s">
        <v>967</v>
      </c>
      <c r="E2758" t="s">
        <v>3478</v>
      </c>
      <c r="F2758"/>
      <c r="G2758"/>
      <c r="H2758"/>
      <c r="I2758"/>
      <c r="J2758"/>
      <c r="K2758" t="s">
        <v>3423</v>
      </c>
    </row>
    <row r="2759" spans="1:11">
      <c r="A2759"/>
      <c r="B2759" s="20"/>
      <c r="C2759"/>
      <c r="D2759" s="24" t="s">
        <v>969</v>
      </c>
      <c r="E2759" t="s">
        <v>3479</v>
      </c>
      <c r="F2759"/>
      <c r="G2759"/>
      <c r="H2759"/>
      <c r="I2759"/>
      <c r="J2759"/>
      <c r="K2759" t="s">
        <v>3423</v>
      </c>
    </row>
    <row r="2760" spans="1:11">
      <c r="A2760"/>
      <c r="B2760" s="20"/>
      <c r="C2760"/>
      <c r="D2760" s="24" t="s">
        <v>971</v>
      </c>
      <c r="E2760" t="s">
        <v>3480</v>
      </c>
      <c r="F2760"/>
      <c r="G2760"/>
      <c r="H2760"/>
      <c r="I2760"/>
      <c r="J2760"/>
      <c r="K2760" t="s">
        <v>3423</v>
      </c>
    </row>
    <row r="2761" spans="1:11">
      <c r="A2761"/>
      <c r="B2761" s="20"/>
      <c r="C2761"/>
      <c r="D2761" s="24" t="s">
        <v>975</v>
      </c>
      <c r="E2761" t="s">
        <v>3481</v>
      </c>
      <c r="F2761"/>
      <c r="G2761"/>
      <c r="H2761"/>
      <c r="I2761"/>
      <c r="J2761"/>
      <c r="K2761" t="s">
        <v>3423</v>
      </c>
    </row>
    <row r="2762" spans="1:11">
      <c r="A2762" s="28"/>
      <c r="B2762" s="29"/>
      <c r="C2762" s="28"/>
      <c r="D2762" s="46" t="s">
        <v>17</v>
      </c>
      <c r="E2762" s="28" t="s">
        <v>3482</v>
      </c>
      <c r="F2762" s="28"/>
      <c r="G2762" s="28"/>
      <c r="H2762" s="28"/>
      <c r="I2762" s="28"/>
      <c r="J2762" s="28"/>
      <c r="K2762" s="28" t="s">
        <v>3423</v>
      </c>
    </row>
    <row r="2763" spans="1:11">
      <c r="A2763" s="26" t="s">
        <v>3364</v>
      </c>
      <c r="B2763" s="27" t="s">
        <v>954</v>
      </c>
      <c r="C2763" s="38">
        <v>44778</v>
      </c>
      <c r="D2763" t="s">
        <v>965</v>
      </c>
      <c r="E2763" t="s">
        <v>3483</v>
      </c>
      <c r="F2763" s="26" t="s">
        <v>210</v>
      </c>
      <c r="G2763">
        <v>931514180</v>
      </c>
      <c r="H2763"/>
      <c r="I2763"/>
      <c r="J2763"/>
      <c r="K2763" t="s">
        <v>3429</v>
      </c>
    </row>
    <row r="2764" spans="1:11">
      <c r="A2764"/>
      <c r="B2764" s="20"/>
      <c r="C2764"/>
      <c r="D2764" s="24" t="s">
        <v>967</v>
      </c>
      <c r="E2764" t="s">
        <v>3484</v>
      </c>
      <c r="F2764"/>
      <c r="G2764"/>
      <c r="H2764"/>
      <c r="I2764"/>
      <c r="J2764"/>
      <c r="K2764" t="s">
        <v>3429</v>
      </c>
    </row>
    <row r="2765" spans="1:11">
      <c r="A2765"/>
      <c r="B2765" s="20"/>
      <c r="C2765"/>
      <c r="D2765" s="24" t="s">
        <v>969</v>
      </c>
      <c r="E2765" t="s">
        <v>3485</v>
      </c>
      <c r="F2765"/>
      <c r="G2765"/>
      <c r="H2765"/>
      <c r="I2765"/>
      <c r="J2765"/>
      <c r="K2765" t="s">
        <v>3429</v>
      </c>
    </row>
    <row r="2766" spans="1:11">
      <c r="A2766"/>
      <c r="B2766" s="20"/>
      <c r="C2766"/>
      <c r="D2766" s="24" t="s">
        <v>971</v>
      </c>
      <c r="E2766" t="s">
        <v>3486</v>
      </c>
      <c r="F2766"/>
      <c r="G2766"/>
      <c r="H2766"/>
      <c r="I2766"/>
      <c r="J2766"/>
      <c r="K2766" t="s">
        <v>3429</v>
      </c>
    </row>
    <row r="2767" spans="1:11">
      <c r="A2767"/>
      <c r="B2767" s="20"/>
      <c r="C2767"/>
      <c r="D2767" s="24" t="s">
        <v>975</v>
      </c>
      <c r="E2767" t="s">
        <v>3487</v>
      </c>
      <c r="F2767"/>
      <c r="G2767"/>
      <c r="H2767"/>
      <c r="I2767"/>
      <c r="J2767"/>
      <c r="K2767" t="s">
        <v>3429</v>
      </c>
    </row>
    <row r="2768" spans="1:11">
      <c r="A2768" s="28"/>
      <c r="B2768" s="29"/>
      <c r="C2768" s="28"/>
      <c r="D2768" s="46" t="s">
        <v>17</v>
      </c>
      <c r="E2768" s="28" t="s">
        <v>3488</v>
      </c>
      <c r="F2768" s="28"/>
      <c r="G2768" s="28"/>
      <c r="H2768" s="28"/>
      <c r="I2768" s="28"/>
      <c r="J2768" s="28"/>
      <c r="K2768" s="28" t="s">
        <v>3429</v>
      </c>
    </row>
    <row r="2769" spans="1:11">
      <c r="A2769" s="26" t="s">
        <v>3364</v>
      </c>
      <c r="B2769" s="27" t="s">
        <v>954</v>
      </c>
      <c r="C2769" s="38">
        <v>44778</v>
      </c>
      <c r="D2769" t="s">
        <v>965</v>
      </c>
      <c r="E2769" t="s">
        <v>3434</v>
      </c>
      <c r="F2769" s="26" t="s">
        <v>210</v>
      </c>
      <c r="G2769">
        <v>931514180</v>
      </c>
      <c r="H2769"/>
      <c r="I2769"/>
      <c r="J2769"/>
      <c r="K2769" t="s">
        <v>3421</v>
      </c>
    </row>
    <row r="2770" spans="1:11">
      <c r="A2770"/>
      <c r="B2770" s="20"/>
      <c r="C2770"/>
      <c r="D2770" s="24" t="s">
        <v>967</v>
      </c>
      <c r="E2770" t="s">
        <v>3435</v>
      </c>
      <c r="F2770"/>
      <c r="G2770"/>
      <c r="H2770"/>
      <c r="I2770"/>
      <c r="J2770"/>
      <c r="K2770" t="s">
        <v>3421</v>
      </c>
    </row>
    <row r="2771" spans="1:11">
      <c r="A2771"/>
      <c r="B2771" s="20"/>
      <c r="C2771"/>
      <c r="D2771" s="24" t="s">
        <v>969</v>
      </c>
      <c r="E2771" t="s">
        <v>3436</v>
      </c>
      <c r="F2771"/>
      <c r="G2771"/>
      <c r="H2771"/>
      <c r="I2771"/>
      <c r="J2771"/>
      <c r="K2771" t="s">
        <v>3421</v>
      </c>
    </row>
    <row r="2772" spans="1:11">
      <c r="A2772"/>
      <c r="B2772" s="20"/>
      <c r="C2772"/>
      <c r="D2772" s="24" t="s">
        <v>971</v>
      </c>
      <c r="E2772" t="s">
        <v>3437</v>
      </c>
      <c r="F2772"/>
      <c r="G2772"/>
      <c r="H2772"/>
      <c r="I2772"/>
      <c r="J2772"/>
      <c r="K2772" t="s">
        <v>3421</v>
      </c>
    </row>
    <row r="2773" spans="1:11">
      <c r="A2773"/>
      <c r="B2773" s="20"/>
      <c r="C2773"/>
      <c r="D2773" s="24" t="s">
        <v>975</v>
      </c>
      <c r="E2773" t="s">
        <v>3438</v>
      </c>
      <c r="F2773"/>
      <c r="G2773"/>
      <c r="H2773"/>
      <c r="I2773"/>
      <c r="J2773"/>
      <c r="K2773" t="s">
        <v>3421</v>
      </c>
    </row>
    <row r="2774" spans="1:11">
      <c r="A2774" s="28"/>
      <c r="B2774" s="29"/>
      <c r="C2774" s="28"/>
      <c r="D2774" s="46" t="s">
        <v>17</v>
      </c>
      <c r="E2774" s="28" t="s">
        <v>3439</v>
      </c>
      <c r="F2774" s="28"/>
      <c r="G2774" s="28"/>
      <c r="H2774" s="28"/>
      <c r="I2774" s="28"/>
      <c r="J2774" s="28"/>
      <c r="K2774" s="28" t="s">
        <v>3421</v>
      </c>
    </row>
    <row r="2775" spans="1:11">
      <c r="A2775" s="26" t="s">
        <v>3364</v>
      </c>
      <c r="B2775" s="27" t="s">
        <v>954</v>
      </c>
      <c r="C2775" s="38">
        <v>44778</v>
      </c>
      <c r="D2775" t="s">
        <v>965</v>
      </c>
      <c r="E2775" t="s">
        <v>3489</v>
      </c>
      <c r="F2775" s="26" t="s">
        <v>210</v>
      </c>
      <c r="G2775">
        <v>931514180</v>
      </c>
      <c r="H2775"/>
      <c r="I2775"/>
      <c r="J2775"/>
      <c r="K2775" t="s">
        <v>3422</v>
      </c>
    </row>
    <row r="2776" spans="1:11">
      <c r="A2776"/>
      <c r="B2776" s="20"/>
      <c r="C2776"/>
      <c r="D2776" s="24" t="s">
        <v>967</v>
      </c>
      <c r="E2776" t="s">
        <v>3490</v>
      </c>
      <c r="F2776"/>
      <c r="G2776"/>
      <c r="H2776"/>
      <c r="I2776"/>
      <c r="J2776"/>
      <c r="K2776" t="s">
        <v>3422</v>
      </c>
    </row>
    <row r="2777" spans="1:11">
      <c r="A2777"/>
      <c r="B2777" s="20"/>
      <c r="C2777"/>
      <c r="D2777" s="24" t="s">
        <v>969</v>
      </c>
      <c r="E2777" t="s">
        <v>3491</v>
      </c>
      <c r="F2777"/>
      <c r="G2777"/>
      <c r="H2777"/>
      <c r="I2777"/>
      <c r="J2777"/>
      <c r="K2777" t="s">
        <v>3422</v>
      </c>
    </row>
    <row r="2778" spans="1:11">
      <c r="A2778"/>
      <c r="B2778" s="20"/>
      <c r="C2778"/>
      <c r="D2778" s="24" t="s">
        <v>971</v>
      </c>
      <c r="E2778" t="s">
        <v>3492</v>
      </c>
      <c r="F2778"/>
      <c r="G2778"/>
      <c r="H2778"/>
      <c r="I2778"/>
      <c r="J2778"/>
      <c r="K2778" t="s">
        <v>3422</v>
      </c>
    </row>
    <row r="2779" spans="1:11">
      <c r="A2779"/>
      <c r="B2779" s="20"/>
      <c r="C2779"/>
      <c r="D2779" s="24" t="s">
        <v>975</v>
      </c>
      <c r="E2779" t="s">
        <v>3493</v>
      </c>
      <c r="F2779"/>
      <c r="G2779"/>
      <c r="H2779"/>
      <c r="I2779"/>
      <c r="J2779"/>
      <c r="K2779" t="s">
        <v>3422</v>
      </c>
    </row>
    <row r="2780" spans="1:11">
      <c r="A2780" s="28"/>
      <c r="B2780" s="29"/>
      <c r="C2780" s="28"/>
      <c r="D2780" s="46" t="s">
        <v>17</v>
      </c>
      <c r="E2780" s="28" t="s">
        <v>3494</v>
      </c>
      <c r="F2780" s="28"/>
      <c r="G2780" s="28"/>
      <c r="H2780" s="28"/>
      <c r="I2780" s="28"/>
      <c r="J2780" s="28"/>
      <c r="K2780" s="28" t="s">
        <v>3422</v>
      </c>
    </row>
    <row r="2781" spans="1:11">
      <c r="A2781" s="26" t="s">
        <v>3364</v>
      </c>
      <c r="B2781" s="27" t="s">
        <v>954</v>
      </c>
      <c r="C2781" s="38">
        <v>44778</v>
      </c>
      <c r="D2781" t="s">
        <v>965</v>
      </c>
      <c r="E2781" t="s">
        <v>3495</v>
      </c>
      <c r="F2781" s="26" t="s">
        <v>210</v>
      </c>
      <c r="G2781">
        <v>931514179</v>
      </c>
      <c r="H2781"/>
      <c r="I2781"/>
      <c r="J2781"/>
      <c r="K2781" t="s">
        <v>3427</v>
      </c>
    </row>
    <row r="2782" spans="1:11">
      <c r="A2782"/>
      <c r="B2782" s="20"/>
      <c r="C2782"/>
      <c r="D2782" s="24" t="s">
        <v>967</v>
      </c>
      <c r="E2782" t="s">
        <v>3496</v>
      </c>
      <c r="F2782"/>
      <c r="G2782"/>
      <c r="H2782"/>
      <c r="I2782"/>
      <c r="J2782"/>
      <c r="K2782" t="s">
        <v>3427</v>
      </c>
    </row>
    <row r="2783" spans="1:11">
      <c r="A2783"/>
      <c r="B2783" s="20"/>
      <c r="C2783"/>
      <c r="D2783" s="24" t="s">
        <v>969</v>
      </c>
      <c r="E2783" t="s">
        <v>3497</v>
      </c>
      <c r="F2783"/>
      <c r="G2783"/>
      <c r="H2783"/>
      <c r="I2783"/>
      <c r="J2783"/>
      <c r="K2783" t="s">
        <v>3427</v>
      </c>
    </row>
    <row r="2784" spans="1:11">
      <c r="A2784"/>
      <c r="B2784" s="20"/>
      <c r="C2784"/>
      <c r="D2784" s="24" t="s">
        <v>971</v>
      </c>
      <c r="E2784" t="s">
        <v>3498</v>
      </c>
      <c r="F2784"/>
      <c r="G2784"/>
      <c r="H2784"/>
      <c r="I2784"/>
      <c r="J2784"/>
      <c r="K2784" t="s">
        <v>3427</v>
      </c>
    </row>
    <row r="2785" spans="1:11">
      <c r="A2785"/>
      <c r="B2785" s="20"/>
      <c r="C2785"/>
      <c r="D2785" s="24" t="s">
        <v>975</v>
      </c>
      <c r="E2785" t="s">
        <v>3499</v>
      </c>
      <c r="F2785"/>
      <c r="G2785"/>
      <c r="H2785"/>
      <c r="I2785"/>
      <c r="J2785"/>
      <c r="K2785" t="s">
        <v>3427</v>
      </c>
    </row>
    <row r="2786" spans="1:11">
      <c r="A2786" s="28"/>
      <c r="B2786" s="29"/>
      <c r="C2786" s="28"/>
      <c r="D2786" s="46" t="s">
        <v>17</v>
      </c>
      <c r="E2786" s="28" t="s">
        <v>3500</v>
      </c>
      <c r="F2786" s="28"/>
      <c r="G2786" s="28"/>
      <c r="H2786" s="28"/>
      <c r="I2786" s="28"/>
      <c r="J2786" s="28"/>
      <c r="K2786" s="28" t="s">
        <v>3427</v>
      </c>
    </row>
    <row r="2787" spans="1:11">
      <c r="A2787" s="26" t="s">
        <v>3364</v>
      </c>
      <c r="B2787" s="27" t="s">
        <v>954</v>
      </c>
      <c r="C2787" s="38">
        <v>44778</v>
      </c>
      <c r="D2787" t="s">
        <v>965</v>
      </c>
      <c r="E2787" t="s">
        <v>3501</v>
      </c>
      <c r="F2787" s="26" t="s">
        <v>210</v>
      </c>
      <c r="G2787">
        <v>931514179</v>
      </c>
      <c r="H2787"/>
      <c r="I2787"/>
      <c r="J2787"/>
      <c r="K2787" t="s">
        <v>3430</v>
      </c>
    </row>
    <row r="2788" spans="1:11">
      <c r="A2788"/>
      <c r="B2788" s="20"/>
      <c r="C2788"/>
      <c r="D2788" s="24" t="s">
        <v>967</v>
      </c>
      <c r="E2788" t="s">
        <v>3502</v>
      </c>
      <c r="F2788"/>
      <c r="G2788"/>
      <c r="H2788"/>
      <c r="I2788"/>
      <c r="J2788"/>
      <c r="K2788" t="s">
        <v>3430</v>
      </c>
    </row>
    <row r="2789" spans="1:11">
      <c r="A2789"/>
      <c r="B2789" s="20"/>
      <c r="C2789"/>
      <c r="D2789" s="24" t="s">
        <v>969</v>
      </c>
      <c r="E2789" t="s">
        <v>3503</v>
      </c>
      <c r="F2789"/>
      <c r="G2789"/>
      <c r="H2789"/>
      <c r="I2789"/>
      <c r="J2789"/>
      <c r="K2789" t="s">
        <v>3430</v>
      </c>
    </row>
    <row r="2790" spans="1:11">
      <c r="A2790"/>
      <c r="B2790" s="20"/>
      <c r="C2790"/>
      <c r="D2790" s="24" t="s">
        <v>971</v>
      </c>
      <c r="E2790" t="s">
        <v>3504</v>
      </c>
      <c r="F2790"/>
      <c r="G2790"/>
      <c r="H2790"/>
      <c r="I2790"/>
      <c r="J2790"/>
      <c r="K2790" t="s">
        <v>3430</v>
      </c>
    </row>
    <row r="2791" spans="1:11">
      <c r="A2791"/>
      <c r="B2791" s="20"/>
      <c r="C2791"/>
      <c r="D2791" s="24" t="s">
        <v>975</v>
      </c>
      <c r="E2791" t="s">
        <v>3505</v>
      </c>
      <c r="F2791"/>
      <c r="G2791"/>
      <c r="H2791"/>
      <c r="I2791"/>
      <c r="J2791"/>
      <c r="K2791" t="s">
        <v>3430</v>
      </c>
    </row>
    <row r="2792" spans="1:11">
      <c r="A2792" s="28"/>
      <c r="B2792" s="29"/>
      <c r="C2792" s="28"/>
      <c r="D2792" s="46" t="s">
        <v>17</v>
      </c>
      <c r="E2792" s="28" t="s">
        <v>3506</v>
      </c>
      <c r="F2792" s="28"/>
      <c r="G2792" s="28"/>
      <c r="H2792" s="28"/>
      <c r="I2792" s="28"/>
      <c r="J2792" s="28"/>
      <c r="K2792" s="28" t="s">
        <v>3430</v>
      </c>
    </row>
    <row r="2793" spans="1:11">
      <c r="A2793" s="26" t="s">
        <v>3364</v>
      </c>
      <c r="B2793" s="27" t="s">
        <v>954</v>
      </c>
      <c r="C2793" s="38">
        <v>44778</v>
      </c>
      <c r="D2793" t="s">
        <v>965</v>
      </c>
      <c r="E2793" t="s">
        <v>3507</v>
      </c>
      <c r="F2793" s="26" t="s">
        <v>210</v>
      </c>
      <c r="G2793">
        <v>931514179</v>
      </c>
      <c r="H2793"/>
      <c r="I2793"/>
      <c r="J2793"/>
      <c r="K2793" t="s">
        <v>3425</v>
      </c>
    </row>
    <row r="2794" spans="1:11">
      <c r="A2794"/>
      <c r="B2794" s="20"/>
      <c r="C2794"/>
      <c r="D2794" s="24" t="s">
        <v>967</v>
      </c>
      <c r="E2794" t="s">
        <v>3508</v>
      </c>
      <c r="F2794"/>
      <c r="G2794"/>
      <c r="H2794"/>
      <c r="I2794"/>
      <c r="J2794"/>
      <c r="K2794" t="s">
        <v>3425</v>
      </c>
    </row>
    <row r="2795" spans="1:11">
      <c r="A2795"/>
      <c r="B2795" s="20"/>
      <c r="C2795"/>
      <c r="D2795" s="24" t="s">
        <v>969</v>
      </c>
      <c r="E2795" t="s">
        <v>3509</v>
      </c>
      <c r="F2795"/>
      <c r="G2795"/>
      <c r="H2795"/>
      <c r="I2795"/>
      <c r="J2795"/>
      <c r="K2795" t="s">
        <v>3425</v>
      </c>
    </row>
    <row r="2796" spans="1:11">
      <c r="A2796"/>
      <c r="B2796" s="20"/>
      <c r="C2796"/>
      <c r="D2796" s="24" t="s">
        <v>971</v>
      </c>
      <c r="E2796" t="s">
        <v>3510</v>
      </c>
      <c r="F2796"/>
      <c r="G2796"/>
      <c r="H2796"/>
      <c r="I2796"/>
      <c r="J2796"/>
      <c r="K2796" t="s">
        <v>3425</v>
      </c>
    </row>
    <row r="2797" spans="1:11">
      <c r="A2797"/>
      <c r="B2797" s="20"/>
      <c r="C2797"/>
      <c r="D2797" s="24" t="s">
        <v>975</v>
      </c>
      <c r="E2797" t="s">
        <v>3511</v>
      </c>
      <c r="F2797"/>
      <c r="G2797"/>
      <c r="H2797"/>
      <c r="I2797"/>
      <c r="J2797"/>
      <c r="K2797" t="s">
        <v>3425</v>
      </c>
    </row>
    <row r="2798" spans="1:11">
      <c r="A2798" s="28"/>
      <c r="B2798" s="29"/>
      <c r="C2798" s="28"/>
      <c r="D2798" s="46" t="s">
        <v>17</v>
      </c>
      <c r="E2798" s="28" t="s">
        <v>3512</v>
      </c>
      <c r="F2798" s="28"/>
      <c r="G2798" s="28"/>
      <c r="H2798" s="28"/>
      <c r="I2798" s="28"/>
      <c r="J2798" s="28"/>
      <c r="K2798" s="28" t="s">
        <v>3425</v>
      </c>
    </row>
    <row r="2799" spans="1:11">
      <c r="A2799" s="26" t="s">
        <v>3364</v>
      </c>
      <c r="B2799" s="27" t="s">
        <v>954</v>
      </c>
      <c r="C2799" s="38">
        <v>44778</v>
      </c>
      <c r="D2799" t="s">
        <v>965</v>
      </c>
      <c r="E2799" t="s">
        <v>3513</v>
      </c>
      <c r="F2799" s="26" t="s">
        <v>210</v>
      </c>
      <c r="G2799">
        <v>931514179</v>
      </c>
      <c r="H2799"/>
      <c r="I2799"/>
      <c r="J2799"/>
      <c r="K2799" t="s">
        <v>3426</v>
      </c>
    </row>
    <row r="2800" spans="1:11">
      <c r="A2800"/>
      <c r="B2800" s="20"/>
      <c r="C2800"/>
      <c r="D2800" s="24" t="s">
        <v>967</v>
      </c>
      <c r="E2800" t="s">
        <v>3514</v>
      </c>
      <c r="F2800"/>
      <c r="G2800"/>
      <c r="H2800"/>
      <c r="I2800"/>
      <c r="J2800"/>
      <c r="K2800" t="s">
        <v>3426</v>
      </c>
    </row>
    <row r="2801" spans="1:11">
      <c r="A2801"/>
      <c r="B2801" s="20"/>
      <c r="C2801"/>
      <c r="D2801" s="24" t="s">
        <v>969</v>
      </c>
      <c r="E2801" t="s">
        <v>3515</v>
      </c>
      <c r="F2801"/>
      <c r="G2801"/>
      <c r="H2801"/>
      <c r="I2801"/>
      <c r="J2801"/>
      <c r="K2801" t="s">
        <v>3426</v>
      </c>
    </row>
    <row r="2802" spans="1:11">
      <c r="A2802"/>
      <c r="B2802" s="20"/>
      <c r="C2802"/>
      <c r="D2802" s="24" t="s">
        <v>971</v>
      </c>
      <c r="E2802" t="s">
        <v>3516</v>
      </c>
      <c r="F2802"/>
      <c r="G2802"/>
      <c r="H2802"/>
      <c r="I2802"/>
      <c r="J2802"/>
      <c r="K2802" t="s">
        <v>3426</v>
      </c>
    </row>
    <row r="2803" spans="1:11">
      <c r="A2803"/>
      <c r="B2803" s="20"/>
      <c r="C2803"/>
      <c r="D2803" s="24" t="s">
        <v>975</v>
      </c>
      <c r="E2803" t="s">
        <v>3517</v>
      </c>
      <c r="F2803"/>
      <c r="G2803"/>
      <c r="H2803"/>
      <c r="I2803"/>
      <c r="J2803"/>
      <c r="K2803" t="s">
        <v>3426</v>
      </c>
    </row>
    <row r="2804" spans="1:11">
      <c r="A2804" s="28"/>
      <c r="B2804" s="29"/>
      <c r="C2804" s="28"/>
      <c r="D2804" s="46" t="s">
        <v>17</v>
      </c>
      <c r="E2804" s="28" t="s">
        <v>3518</v>
      </c>
      <c r="F2804" s="28"/>
      <c r="G2804" s="28"/>
      <c r="H2804" s="28"/>
      <c r="I2804" s="28"/>
      <c r="J2804" s="28"/>
      <c r="K2804" s="28" t="s">
        <v>3426</v>
      </c>
    </row>
    <row r="2805" spans="1:11">
      <c r="A2805" s="26" t="s">
        <v>3364</v>
      </c>
      <c r="B2805" s="27" t="s">
        <v>954</v>
      </c>
      <c r="C2805" s="38">
        <v>44778</v>
      </c>
      <c r="D2805" t="s">
        <v>965</v>
      </c>
      <c r="E2805" t="s">
        <v>3519</v>
      </c>
      <c r="F2805" s="26" t="s">
        <v>210</v>
      </c>
      <c r="G2805">
        <v>931514179</v>
      </c>
      <c r="H2805"/>
      <c r="I2805"/>
      <c r="J2805"/>
      <c r="K2805" t="s">
        <v>3424</v>
      </c>
    </row>
    <row r="2806" spans="1:11">
      <c r="A2806"/>
      <c r="B2806" s="20"/>
      <c r="C2806"/>
      <c r="D2806" s="24" t="s">
        <v>967</v>
      </c>
      <c r="E2806" t="s">
        <v>3520</v>
      </c>
      <c r="F2806"/>
      <c r="G2806"/>
      <c r="H2806"/>
      <c r="I2806"/>
      <c r="J2806"/>
      <c r="K2806" t="s">
        <v>3424</v>
      </c>
    </row>
    <row r="2807" spans="1:11">
      <c r="A2807"/>
      <c r="B2807" s="20"/>
      <c r="C2807"/>
      <c r="D2807" s="24" t="s">
        <v>969</v>
      </c>
      <c r="E2807" t="s">
        <v>3521</v>
      </c>
      <c r="F2807"/>
      <c r="G2807"/>
      <c r="H2807"/>
      <c r="I2807"/>
      <c r="J2807"/>
      <c r="K2807" t="s">
        <v>3424</v>
      </c>
    </row>
    <row r="2808" spans="1:11">
      <c r="A2808"/>
      <c r="B2808" s="20"/>
      <c r="C2808"/>
      <c r="D2808" s="24" t="s">
        <v>971</v>
      </c>
      <c r="E2808" t="s">
        <v>3522</v>
      </c>
      <c r="F2808"/>
      <c r="G2808"/>
      <c r="H2808"/>
      <c r="I2808"/>
      <c r="J2808"/>
      <c r="K2808" t="s">
        <v>3424</v>
      </c>
    </row>
    <row r="2809" spans="1:11">
      <c r="A2809"/>
      <c r="B2809" s="20"/>
      <c r="C2809"/>
      <c r="D2809" s="24" t="s">
        <v>975</v>
      </c>
      <c r="E2809" t="s">
        <v>3523</v>
      </c>
      <c r="F2809"/>
      <c r="G2809"/>
      <c r="H2809"/>
      <c r="I2809"/>
      <c r="J2809"/>
      <c r="K2809" t="s">
        <v>3424</v>
      </c>
    </row>
    <row r="2810" spans="1:11">
      <c r="A2810" s="28"/>
      <c r="B2810" s="29"/>
      <c r="C2810" s="28"/>
      <c r="D2810" s="46" t="s">
        <v>17</v>
      </c>
      <c r="E2810" s="28" t="s">
        <v>3524</v>
      </c>
      <c r="F2810" s="28"/>
      <c r="G2810" s="28"/>
      <c r="H2810" s="28"/>
      <c r="I2810" s="28"/>
      <c r="J2810" s="28"/>
      <c r="K2810" s="28" t="s">
        <v>3424</v>
      </c>
    </row>
    <row r="2811" spans="1:11">
      <c r="A2811" s="6">
        <v>44781</v>
      </c>
      <c r="B2811" s="20" t="s">
        <v>3440</v>
      </c>
      <c r="C2811" s="6">
        <v>44778</v>
      </c>
      <c r="D2811" t="s">
        <v>3441</v>
      </c>
      <c r="E2811" t="s">
        <v>3525</v>
      </c>
      <c r="F2811" t="s">
        <v>264</v>
      </c>
      <c r="G2811" t="s">
        <v>3443</v>
      </c>
      <c r="H2811"/>
      <c r="I2811"/>
      <c r="J2811"/>
      <c r="K2811" t="s">
        <v>3423</v>
      </c>
    </row>
    <row r="2812" spans="1:11">
      <c r="A2812" s="6">
        <v>44781</v>
      </c>
      <c r="B2812" s="20" t="s">
        <v>3440</v>
      </c>
      <c r="C2812" s="6">
        <v>44778</v>
      </c>
      <c r="D2812" t="s">
        <v>3441</v>
      </c>
      <c r="E2812" t="s">
        <v>3526</v>
      </c>
      <c r="F2812" t="s">
        <v>264</v>
      </c>
      <c r="G2812" t="s">
        <v>3443</v>
      </c>
      <c r="H2812"/>
      <c r="I2812"/>
      <c r="J2812"/>
      <c r="K2812" t="s">
        <v>3429</v>
      </c>
    </row>
    <row r="2813" spans="1:11">
      <c r="A2813" s="6">
        <v>44781</v>
      </c>
      <c r="B2813" s="20" t="s">
        <v>3440</v>
      </c>
      <c r="C2813" s="6">
        <v>44778</v>
      </c>
      <c r="D2813" t="s">
        <v>3441</v>
      </c>
      <c r="E2813" t="s">
        <v>3527</v>
      </c>
      <c r="F2813" t="s">
        <v>264</v>
      </c>
      <c r="G2813" t="s">
        <v>3443</v>
      </c>
      <c r="H2813"/>
      <c r="I2813"/>
      <c r="J2813"/>
      <c r="K2813" t="s">
        <v>3428</v>
      </c>
    </row>
    <row r="2814" spans="1:11">
      <c r="A2814" s="6">
        <v>44781</v>
      </c>
      <c r="B2814" s="20" t="s">
        <v>3440</v>
      </c>
      <c r="C2814" s="6">
        <v>44778</v>
      </c>
      <c r="D2814" t="s">
        <v>3441</v>
      </c>
      <c r="E2814" t="s">
        <v>3528</v>
      </c>
      <c r="F2814" t="s">
        <v>264</v>
      </c>
      <c r="G2814" t="s">
        <v>3443</v>
      </c>
      <c r="H2814"/>
      <c r="I2814"/>
      <c r="J2814"/>
      <c r="K2814" t="s">
        <v>3424</v>
      </c>
    </row>
    <row r="2815" spans="1:11">
      <c r="A2815" s="6">
        <v>44781</v>
      </c>
      <c r="B2815" s="20" t="s">
        <v>3440</v>
      </c>
      <c r="C2815" s="6">
        <v>44778</v>
      </c>
      <c r="D2815" t="s">
        <v>3441</v>
      </c>
      <c r="E2815" t="s">
        <v>3529</v>
      </c>
      <c r="F2815" t="s">
        <v>264</v>
      </c>
      <c r="G2815" t="s">
        <v>3443</v>
      </c>
      <c r="H2815"/>
      <c r="I2815"/>
      <c r="J2815"/>
      <c r="K2815" t="s">
        <v>3422</v>
      </c>
    </row>
    <row r="2816" spans="1:11">
      <c r="A2816" s="6">
        <v>44781</v>
      </c>
      <c r="B2816" s="20" t="s">
        <v>3440</v>
      </c>
      <c r="C2816" s="6">
        <v>44778</v>
      </c>
      <c r="D2816" t="s">
        <v>3441</v>
      </c>
      <c r="E2816" t="s">
        <v>3442</v>
      </c>
      <c r="F2816" t="s">
        <v>264</v>
      </c>
      <c r="G2816" t="s">
        <v>3443</v>
      </c>
      <c r="H2816"/>
      <c r="I2816"/>
      <c r="J2816"/>
      <c r="K2816" t="s">
        <v>3421</v>
      </c>
    </row>
    <row r="2817" spans="1:11">
      <c r="A2817" s="6">
        <v>44781</v>
      </c>
      <c r="B2817" s="20" t="s">
        <v>3440</v>
      </c>
      <c r="C2817" s="6">
        <v>44778</v>
      </c>
      <c r="D2817" t="s">
        <v>3441</v>
      </c>
      <c r="E2817" t="s">
        <v>3530</v>
      </c>
      <c r="F2817" t="s">
        <v>264</v>
      </c>
      <c r="G2817" t="s">
        <v>3443</v>
      </c>
      <c r="H2817"/>
      <c r="I2817"/>
      <c r="J2817"/>
      <c r="K2817" t="s">
        <v>3425</v>
      </c>
    </row>
    <row r="2818" spans="1:11">
      <c r="A2818" s="6">
        <v>44781</v>
      </c>
      <c r="B2818" s="20" t="s">
        <v>3440</v>
      </c>
      <c r="C2818" s="6">
        <v>44778</v>
      </c>
      <c r="D2818" t="s">
        <v>3441</v>
      </c>
      <c r="E2818" t="s">
        <v>3531</v>
      </c>
      <c r="F2818" t="s">
        <v>264</v>
      </c>
      <c r="G2818" t="s">
        <v>3443</v>
      </c>
      <c r="H2818"/>
      <c r="I2818"/>
      <c r="J2818"/>
      <c r="K2818" t="s">
        <v>3426</v>
      </c>
    </row>
    <row r="2819" spans="1:11">
      <c r="A2819" s="6">
        <v>44781</v>
      </c>
      <c r="B2819" s="20" t="s">
        <v>3440</v>
      </c>
      <c r="C2819" s="6">
        <v>44778</v>
      </c>
      <c r="D2819" t="s">
        <v>3441</v>
      </c>
      <c r="E2819" t="s">
        <v>3532</v>
      </c>
      <c r="F2819" t="s">
        <v>264</v>
      </c>
      <c r="G2819" t="s">
        <v>3443</v>
      </c>
      <c r="H2819"/>
      <c r="I2819"/>
      <c r="J2819"/>
      <c r="K2819" t="s">
        <v>3427</v>
      </c>
    </row>
    <row r="2820" spans="1:11">
      <c r="A2820" s="6">
        <v>44781</v>
      </c>
      <c r="B2820" s="20" t="s">
        <v>3440</v>
      </c>
      <c r="C2820" s="6">
        <v>44778</v>
      </c>
      <c r="D2820" t="s">
        <v>3441</v>
      </c>
      <c r="E2820" t="s">
        <v>3533</v>
      </c>
      <c r="F2820" t="s">
        <v>264</v>
      </c>
      <c r="G2820" t="s">
        <v>3443</v>
      </c>
      <c r="H2820"/>
      <c r="I2820"/>
      <c r="J2820"/>
      <c r="K2820" t="s">
        <v>3430</v>
      </c>
    </row>
    <row r="2821" spans="1:11">
      <c r="A2821" s="6">
        <v>44771</v>
      </c>
      <c r="B2821" s="20" t="s">
        <v>954</v>
      </c>
      <c r="C2821" s="6">
        <v>44770</v>
      </c>
      <c r="D2821" t="s">
        <v>3553</v>
      </c>
      <c r="E2821" t="s">
        <v>3554</v>
      </c>
      <c r="F2821" t="s">
        <v>210</v>
      </c>
      <c r="G2821">
        <v>931509124</v>
      </c>
      <c r="H2821"/>
      <c r="I2821"/>
      <c r="J2821"/>
      <c r="K2821" t="s">
        <v>3535</v>
      </c>
    </row>
    <row r="2822" spans="1:11">
      <c r="A2822" s="6">
        <v>44771</v>
      </c>
      <c r="B2822" s="20" t="s">
        <v>954</v>
      </c>
      <c r="C2822" s="6">
        <v>44770</v>
      </c>
      <c r="D2822" t="s">
        <v>3553</v>
      </c>
      <c r="E2822" t="s">
        <v>3555</v>
      </c>
      <c r="F2822" t="s">
        <v>210</v>
      </c>
      <c r="G2822">
        <v>931509124</v>
      </c>
      <c r="H2822"/>
      <c r="I2822"/>
      <c r="J2822"/>
      <c r="K2822" t="s">
        <v>3536</v>
      </c>
    </row>
    <row r="2823" spans="1:11">
      <c r="A2823" s="6">
        <v>44771</v>
      </c>
      <c r="B2823" s="20" t="s">
        <v>954</v>
      </c>
      <c r="C2823" s="6">
        <v>44770</v>
      </c>
      <c r="D2823" t="s">
        <v>3553</v>
      </c>
      <c r="E2823" t="s">
        <v>3556</v>
      </c>
      <c r="F2823" t="s">
        <v>210</v>
      </c>
      <c r="G2823">
        <v>931509124</v>
      </c>
      <c r="H2823"/>
      <c r="I2823"/>
      <c r="J2823"/>
      <c r="K2823" t="s">
        <v>3536</v>
      </c>
    </row>
    <row r="2824" spans="1:11">
      <c r="A2824" s="6">
        <v>44771</v>
      </c>
      <c r="B2824" s="20" t="s">
        <v>954</v>
      </c>
      <c r="C2824" s="6">
        <v>44770</v>
      </c>
      <c r="D2824" t="s">
        <v>3553</v>
      </c>
      <c r="E2824" t="s">
        <v>3557</v>
      </c>
      <c r="F2824" t="s">
        <v>210</v>
      </c>
      <c r="G2824">
        <v>931509124</v>
      </c>
      <c r="H2824"/>
      <c r="I2824"/>
      <c r="J2824"/>
      <c r="K2824" t="s">
        <v>3537</v>
      </c>
    </row>
    <row r="2825" spans="1:11">
      <c r="A2825" s="6">
        <v>44771</v>
      </c>
      <c r="B2825" s="20" t="s">
        <v>954</v>
      </c>
      <c r="C2825" s="6">
        <v>44770</v>
      </c>
      <c r="D2825" t="s">
        <v>3553</v>
      </c>
      <c r="E2825" t="s">
        <v>3558</v>
      </c>
      <c r="F2825" t="s">
        <v>210</v>
      </c>
      <c r="G2825">
        <v>931509124</v>
      </c>
      <c r="H2825"/>
      <c r="I2825"/>
      <c r="J2825"/>
      <c r="K2825" t="s">
        <v>3537</v>
      </c>
    </row>
    <row r="2826" spans="1:11">
      <c r="A2826" s="6">
        <v>44771</v>
      </c>
      <c r="B2826" s="20" t="s">
        <v>954</v>
      </c>
      <c r="C2826" s="6">
        <v>44770</v>
      </c>
      <c r="D2826" t="s">
        <v>3553</v>
      </c>
      <c r="E2826" t="s">
        <v>3559</v>
      </c>
      <c r="F2826" t="s">
        <v>210</v>
      </c>
      <c r="G2826">
        <v>931509124</v>
      </c>
      <c r="H2826"/>
      <c r="I2826"/>
      <c r="J2826"/>
      <c r="K2826" t="s">
        <v>3538</v>
      </c>
    </row>
    <row r="2827" spans="1:11">
      <c r="A2827" s="6">
        <v>44771</v>
      </c>
      <c r="B2827" s="20" t="s">
        <v>954</v>
      </c>
      <c r="C2827" s="6">
        <v>44770</v>
      </c>
      <c r="D2827" t="s">
        <v>3553</v>
      </c>
      <c r="E2827" t="s">
        <v>3560</v>
      </c>
      <c r="F2827" t="s">
        <v>210</v>
      </c>
      <c r="G2827">
        <v>931509124</v>
      </c>
      <c r="H2827"/>
      <c r="I2827"/>
      <c r="J2827"/>
      <c r="K2827" t="s">
        <v>3538</v>
      </c>
    </row>
    <row r="2828" spans="1:11">
      <c r="A2828" s="6">
        <v>44771</v>
      </c>
      <c r="B2828" s="20" t="s">
        <v>954</v>
      </c>
      <c r="C2828" s="6">
        <v>44770</v>
      </c>
      <c r="D2828" t="s">
        <v>3553</v>
      </c>
      <c r="E2828" t="s">
        <v>3561</v>
      </c>
      <c r="F2828" t="s">
        <v>210</v>
      </c>
      <c r="G2828">
        <v>931509124</v>
      </c>
      <c r="H2828"/>
      <c r="I2828"/>
      <c r="J2828"/>
      <c r="K2828" t="s">
        <v>3539</v>
      </c>
    </row>
    <row r="2829" spans="1:11">
      <c r="A2829" s="6">
        <v>44771</v>
      </c>
      <c r="B2829" s="20" t="s">
        <v>954</v>
      </c>
      <c r="C2829" s="6">
        <v>44770</v>
      </c>
      <c r="D2829" t="s">
        <v>3553</v>
      </c>
      <c r="E2829" t="s">
        <v>3562</v>
      </c>
      <c r="F2829" t="s">
        <v>210</v>
      </c>
      <c r="G2829">
        <v>931509124</v>
      </c>
      <c r="H2829"/>
      <c r="I2829"/>
      <c r="J2829"/>
      <c r="K2829" t="s">
        <v>3539</v>
      </c>
    </row>
    <row r="2830" spans="1:11">
      <c r="A2830" s="6">
        <v>44771</v>
      </c>
      <c r="B2830" s="20" t="s">
        <v>954</v>
      </c>
      <c r="C2830" s="6">
        <v>44770</v>
      </c>
      <c r="D2830" t="s">
        <v>3553</v>
      </c>
      <c r="E2830" t="s">
        <v>3563</v>
      </c>
      <c r="F2830" t="s">
        <v>210</v>
      </c>
      <c r="G2830">
        <v>931509124</v>
      </c>
      <c r="H2830"/>
      <c r="I2830"/>
      <c r="J2830"/>
      <c r="K2830" t="s">
        <v>3540</v>
      </c>
    </row>
    <row r="2831" spans="1:11">
      <c r="A2831" s="6">
        <v>44771</v>
      </c>
      <c r="B2831" s="20" t="s">
        <v>954</v>
      </c>
      <c r="C2831" s="6">
        <v>44770</v>
      </c>
      <c r="D2831" t="s">
        <v>3553</v>
      </c>
      <c r="E2831" t="s">
        <v>3564</v>
      </c>
      <c r="F2831" t="s">
        <v>210</v>
      </c>
      <c r="G2831">
        <v>931509124</v>
      </c>
      <c r="H2831"/>
      <c r="I2831"/>
      <c r="J2831"/>
      <c r="K2831" t="s">
        <v>3540</v>
      </c>
    </row>
    <row r="2832" spans="1:11">
      <c r="A2832" s="6">
        <v>44771</v>
      </c>
      <c r="B2832" s="20" t="s">
        <v>954</v>
      </c>
      <c r="C2832" s="6">
        <v>44770</v>
      </c>
      <c r="D2832" t="s">
        <v>3553</v>
      </c>
      <c r="E2832" t="s">
        <v>3565</v>
      </c>
      <c r="F2832" t="s">
        <v>210</v>
      </c>
      <c r="G2832">
        <v>931509124</v>
      </c>
      <c r="H2832"/>
      <c r="I2832"/>
      <c r="J2832"/>
      <c r="K2832" t="s">
        <v>3541</v>
      </c>
    </row>
    <row r="2833" spans="1:11">
      <c r="A2833" s="6">
        <v>44771</v>
      </c>
      <c r="B2833" s="20" t="s">
        <v>954</v>
      </c>
      <c r="C2833" s="6">
        <v>44770</v>
      </c>
      <c r="D2833" t="s">
        <v>3553</v>
      </c>
      <c r="E2833" t="s">
        <v>3566</v>
      </c>
      <c r="F2833" t="s">
        <v>210</v>
      </c>
      <c r="G2833">
        <v>931509124</v>
      </c>
      <c r="H2833"/>
      <c r="I2833"/>
      <c r="J2833"/>
      <c r="K2833" t="s">
        <v>3541</v>
      </c>
    </row>
    <row r="2834" spans="1:11">
      <c r="A2834" s="6">
        <v>44771</v>
      </c>
      <c r="B2834" s="20" t="s">
        <v>954</v>
      </c>
      <c r="C2834" s="6">
        <v>44770</v>
      </c>
      <c r="D2834" t="s">
        <v>3553</v>
      </c>
      <c r="E2834" t="s">
        <v>3567</v>
      </c>
      <c r="F2834" t="s">
        <v>210</v>
      </c>
      <c r="G2834">
        <v>931509124</v>
      </c>
      <c r="H2834"/>
      <c r="I2834"/>
      <c r="J2834"/>
      <c r="K2834" t="s">
        <v>3542</v>
      </c>
    </row>
    <row r="2835" spans="1:11">
      <c r="A2835" s="6">
        <v>44771</v>
      </c>
      <c r="B2835" s="20" t="s">
        <v>954</v>
      </c>
      <c r="C2835" s="6">
        <v>44770</v>
      </c>
      <c r="D2835" t="s">
        <v>3553</v>
      </c>
      <c r="E2835" t="s">
        <v>3568</v>
      </c>
      <c r="F2835" t="s">
        <v>210</v>
      </c>
      <c r="G2835">
        <v>931509124</v>
      </c>
      <c r="H2835"/>
      <c r="I2835"/>
      <c r="J2835"/>
      <c r="K2835" t="s">
        <v>3542</v>
      </c>
    </row>
    <row r="2836" spans="1:11">
      <c r="A2836" s="6">
        <v>44771</v>
      </c>
      <c r="B2836" s="20" t="s">
        <v>954</v>
      </c>
      <c r="C2836" s="6">
        <v>44770</v>
      </c>
      <c r="D2836" t="s">
        <v>3553</v>
      </c>
      <c r="E2836" t="s">
        <v>3569</v>
      </c>
      <c r="F2836" t="s">
        <v>210</v>
      </c>
      <c r="G2836">
        <v>931509124</v>
      </c>
      <c r="H2836"/>
      <c r="I2836"/>
      <c r="J2836"/>
      <c r="K2836" t="s">
        <v>3543</v>
      </c>
    </row>
    <row r="2837" spans="1:11">
      <c r="A2837" s="6">
        <v>44771</v>
      </c>
      <c r="B2837" s="20" t="s">
        <v>954</v>
      </c>
      <c r="C2837" s="6">
        <v>44770</v>
      </c>
      <c r="D2837" t="s">
        <v>3553</v>
      </c>
      <c r="E2837" t="s">
        <v>3570</v>
      </c>
      <c r="F2837" t="s">
        <v>210</v>
      </c>
      <c r="G2837">
        <v>931509124</v>
      </c>
      <c r="H2837"/>
      <c r="I2837"/>
      <c r="J2837"/>
      <c r="K2837" t="s">
        <v>3543</v>
      </c>
    </row>
    <row r="2838" spans="1:11">
      <c r="A2838" s="6">
        <v>44771</v>
      </c>
      <c r="B2838" s="20" t="s">
        <v>954</v>
      </c>
      <c r="C2838" s="6">
        <v>44770</v>
      </c>
      <c r="D2838" t="s">
        <v>3553</v>
      </c>
      <c r="E2838" t="s">
        <v>3571</v>
      </c>
      <c r="F2838" t="s">
        <v>210</v>
      </c>
      <c r="G2838">
        <v>931509124</v>
      </c>
      <c r="H2838"/>
      <c r="I2838"/>
      <c r="J2838"/>
      <c r="K2838" t="s">
        <v>3544</v>
      </c>
    </row>
    <row r="2839" spans="1:11">
      <c r="A2839" s="6">
        <v>44771</v>
      </c>
      <c r="B2839" s="20" t="s">
        <v>954</v>
      </c>
      <c r="C2839" s="6">
        <v>44770</v>
      </c>
      <c r="D2839" t="s">
        <v>3553</v>
      </c>
      <c r="E2839" t="s">
        <v>3572</v>
      </c>
      <c r="F2839" t="s">
        <v>210</v>
      </c>
      <c r="G2839">
        <v>931509124</v>
      </c>
      <c r="H2839"/>
      <c r="I2839"/>
      <c r="J2839"/>
      <c r="K2839" t="s">
        <v>3544</v>
      </c>
    </row>
    <row r="2840" spans="1:11">
      <c r="A2840" s="6">
        <v>44771</v>
      </c>
      <c r="B2840" s="20" t="s">
        <v>954</v>
      </c>
      <c r="C2840" s="6">
        <v>44770</v>
      </c>
      <c r="D2840" t="s">
        <v>3553</v>
      </c>
      <c r="E2840" t="s">
        <v>3573</v>
      </c>
      <c r="F2840" t="s">
        <v>210</v>
      </c>
      <c r="G2840">
        <v>931509124</v>
      </c>
      <c r="H2840"/>
      <c r="I2840"/>
      <c r="J2840"/>
      <c r="K2840" t="s">
        <v>3545</v>
      </c>
    </row>
    <row r="2841" spans="1:11">
      <c r="A2841" s="6">
        <v>44771</v>
      </c>
      <c r="B2841" s="20" t="s">
        <v>954</v>
      </c>
      <c r="C2841" s="6">
        <v>44770</v>
      </c>
      <c r="D2841" t="s">
        <v>3553</v>
      </c>
      <c r="E2841" t="s">
        <v>3574</v>
      </c>
      <c r="F2841" t="s">
        <v>210</v>
      </c>
      <c r="G2841">
        <v>931509124</v>
      </c>
      <c r="H2841"/>
      <c r="I2841"/>
      <c r="J2841"/>
      <c r="K2841" t="s">
        <v>3545</v>
      </c>
    </row>
    <row r="2842" spans="1:11">
      <c r="A2842" s="6">
        <v>44771</v>
      </c>
      <c r="B2842" s="20" t="s">
        <v>954</v>
      </c>
      <c r="C2842" s="6">
        <v>44770</v>
      </c>
      <c r="D2842" t="s">
        <v>3553</v>
      </c>
      <c r="E2842" t="s">
        <v>3575</v>
      </c>
      <c r="F2842" t="s">
        <v>210</v>
      </c>
      <c r="G2842">
        <v>931509124</v>
      </c>
      <c r="H2842"/>
      <c r="I2842"/>
      <c r="J2842"/>
      <c r="K2842" t="s">
        <v>3546</v>
      </c>
    </row>
    <row r="2843" spans="1:11">
      <c r="A2843" s="6">
        <v>44771</v>
      </c>
      <c r="B2843" s="20" t="s">
        <v>954</v>
      </c>
      <c r="C2843" s="6">
        <v>44770</v>
      </c>
      <c r="D2843" t="s">
        <v>3553</v>
      </c>
      <c r="E2843" t="s">
        <v>3576</v>
      </c>
      <c r="F2843" t="s">
        <v>210</v>
      </c>
      <c r="G2843">
        <v>931509124</v>
      </c>
      <c r="H2843"/>
      <c r="I2843"/>
      <c r="J2843"/>
      <c r="K2843" t="s">
        <v>3546</v>
      </c>
    </row>
    <row r="2844" spans="1:11">
      <c r="A2844" s="6">
        <v>44771</v>
      </c>
      <c r="B2844" s="20" t="s">
        <v>954</v>
      </c>
      <c r="C2844" s="6">
        <v>44770</v>
      </c>
      <c r="D2844" t="s">
        <v>3553</v>
      </c>
      <c r="E2844" t="s">
        <v>3577</v>
      </c>
      <c r="F2844" t="s">
        <v>210</v>
      </c>
      <c r="G2844">
        <v>931509124</v>
      </c>
      <c r="H2844"/>
      <c r="I2844"/>
      <c r="J2844"/>
      <c r="K2844" t="s">
        <v>3547</v>
      </c>
    </row>
    <row r="2845" spans="1:11">
      <c r="A2845" s="6">
        <v>44771</v>
      </c>
      <c r="B2845" s="20" t="s">
        <v>954</v>
      </c>
      <c r="C2845" s="6">
        <v>44770</v>
      </c>
      <c r="D2845" t="s">
        <v>3553</v>
      </c>
      <c r="E2845" t="s">
        <v>3578</v>
      </c>
      <c r="F2845" t="s">
        <v>210</v>
      </c>
      <c r="G2845">
        <v>931509124</v>
      </c>
      <c r="H2845"/>
      <c r="I2845"/>
      <c r="J2845"/>
      <c r="K2845" t="s">
        <v>3547</v>
      </c>
    </row>
    <row r="2846" spans="1:11">
      <c r="A2846" s="6">
        <v>44771</v>
      </c>
      <c r="B2846" s="20" t="s">
        <v>954</v>
      </c>
      <c r="C2846" s="6">
        <v>44770</v>
      </c>
      <c r="D2846" t="s">
        <v>3553</v>
      </c>
      <c r="E2846" t="s">
        <v>3579</v>
      </c>
      <c r="F2846" t="s">
        <v>210</v>
      </c>
      <c r="G2846">
        <v>931509124</v>
      </c>
      <c r="H2846"/>
      <c r="I2846"/>
      <c r="J2846"/>
      <c r="K2846" t="s">
        <v>3552</v>
      </c>
    </row>
    <row r="2847" spans="1:11">
      <c r="A2847" s="6">
        <v>44771</v>
      </c>
      <c r="B2847" s="20" t="s">
        <v>954</v>
      </c>
      <c r="C2847" s="6">
        <v>44770</v>
      </c>
      <c r="D2847" t="s">
        <v>3553</v>
      </c>
      <c r="E2847" t="s">
        <v>3580</v>
      </c>
      <c r="F2847" t="s">
        <v>210</v>
      </c>
      <c r="G2847">
        <v>931509124</v>
      </c>
      <c r="H2847"/>
      <c r="I2847"/>
      <c r="J2847"/>
      <c r="K2847" t="s">
        <v>3552</v>
      </c>
    </row>
    <row r="2848" spans="1:11">
      <c r="A2848" s="6">
        <v>44771</v>
      </c>
      <c r="B2848" s="20" t="s">
        <v>954</v>
      </c>
      <c r="C2848" s="6">
        <v>44770</v>
      </c>
      <c r="D2848" t="s">
        <v>3553</v>
      </c>
      <c r="E2848" t="s">
        <v>3581</v>
      </c>
      <c r="F2848" t="s">
        <v>210</v>
      </c>
      <c r="G2848">
        <v>931509124</v>
      </c>
      <c r="H2848"/>
      <c r="I2848"/>
      <c r="J2848"/>
      <c r="K2848" t="s">
        <v>3551</v>
      </c>
    </row>
    <row r="2849" spans="1:11">
      <c r="A2849" s="6">
        <v>44771</v>
      </c>
      <c r="B2849" s="20" t="s">
        <v>954</v>
      </c>
      <c r="C2849" s="6">
        <v>44770</v>
      </c>
      <c r="D2849" t="s">
        <v>3553</v>
      </c>
      <c r="E2849" t="s">
        <v>3582</v>
      </c>
      <c r="F2849" t="s">
        <v>210</v>
      </c>
      <c r="G2849">
        <v>931509124</v>
      </c>
      <c r="H2849"/>
      <c r="I2849"/>
      <c r="J2849"/>
      <c r="K2849" t="s">
        <v>3551</v>
      </c>
    </row>
    <row r="2850" spans="1:11">
      <c r="A2850" s="6">
        <v>44771</v>
      </c>
      <c r="B2850" s="20" t="s">
        <v>954</v>
      </c>
      <c r="C2850" s="6">
        <v>44770</v>
      </c>
      <c r="D2850" t="s">
        <v>3553</v>
      </c>
      <c r="E2850" t="s">
        <v>3583</v>
      </c>
      <c r="F2850" t="s">
        <v>210</v>
      </c>
      <c r="G2850">
        <v>931509124</v>
      </c>
      <c r="H2850"/>
      <c r="I2850"/>
      <c r="J2850"/>
      <c r="K2850" t="s">
        <v>3550</v>
      </c>
    </row>
    <row r="2851" spans="1:11">
      <c r="A2851" s="6">
        <v>44771</v>
      </c>
      <c r="B2851" s="20" t="s">
        <v>954</v>
      </c>
      <c r="C2851" s="6">
        <v>44770</v>
      </c>
      <c r="D2851" t="s">
        <v>3553</v>
      </c>
      <c r="E2851" t="s">
        <v>3584</v>
      </c>
      <c r="F2851" t="s">
        <v>210</v>
      </c>
      <c r="G2851">
        <v>931509124</v>
      </c>
      <c r="H2851"/>
      <c r="I2851"/>
      <c r="J2851"/>
      <c r="K2851" t="s">
        <v>3550</v>
      </c>
    </row>
    <row r="2852" spans="1:11">
      <c r="A2852" s="6">
        <v>44771</v>
      </c>
      <c r="B2852" s="20" t="s">
        <v>954</v>
      </c>
      <c r="C2852" s="6">
        <v>44770</v>
      </c>
      <c r="D2852" t="s">
        <v>3553</v>
      </c>
      <c r="E2852" t="s">
        <v>3585</v>
      </c>
      <c r="F2852" t="s">
        <v>210</v>
      </c>
      <c r="G2852">
        <v>931509124</v>
      </c>
      <c r="H2852"/>
      <c r="I2852"/>
      <c r="J2852"/>
      <c r="K2852" t="s">
        <v>3549</v>
      </c>
    </row>
    <row r="2853" spans="1:11">
      <c r="A2853" s="6">
        <v>44771</v>
      </c>
      <c r="B2853" s="20" t="s">
        <v>954</v>
      </c>
      <c r="C2853" s="6">
        <v>44770</v>
      </c>
      <c r="D2853" t="s">
        <v>3553</v>
      </c>
      <c r="E2853" t="s">
        <v>3586</v>
      </c>
      <c r="F2853" t="s">
        <v>210</v>
      </c>
      <c r="G2853">
        <v>931509124</v>
      </c>
      <c r="H2853"/>
      <c r="I2853"/>
      <c r="J2853"/>
      <c r="K2853" t="s">
        <v>3549</v>
      </c>
    </row>
    <row r="2854" spans="1:11">
      <c r="A2854" s="6">
        <v>44771</v>
      </c>
      <c r="B2854" s="20" t="s">
        <v>954</v>
      </c>
      <c r="C2854" s="6">
        <v>44770</v>
      </c>
      <c r="D2854" t="s">
        <v>3553</v>
      </c>
      <c r="E2854" t="s">
        <v>3587</v>
      </c>
      <c r="F2854" t="s">
        <v>210</v>
      </c>
      <c r="G2854">
        <v>931509124</v>
      </c>
      <c r="H2854"/>
      <c r="I2854"/>
      <c r="J2854"/>
      <c r="K2854" t="s">
        <v>3548</v>
      </c>
    </row>
    <row r="2855" spans="1:11">
      <c r="A2855" s="6">
        <v>44771</v>
      </c>
      <c r="B2855" s="20" t="s">
        <v>954</v>
      </c>
      <c r="C2855" s="6">
        <v>44770</v>
      </c>
      <c r="D2855" t="s">
        <v>3553</v>
      </c>
      <c r="E2855" t="s">
        <v>3588</v>
      </c>
      <c r="F2855" t="s">
        <v>210</v>
      </c>
      <c r="G2855">
        <v>931509124</v>
      </c>
      <c r="H2855"/>
      <c r="I2855"/>
      <c r="J2855"/>
      <c r="K2855" t="s">
        <v>3548</v>
      </c>
    </row>
    <row r="2856" spans="1:11">
      <c r="A2856" s="6">
        <v>44771</v>
      </c>
      <c r="B2856" s="20" t="s">
        <v>954</v>
      </c>
      <c r="C2856" s="6">
        <v>44770</v>
      </c>
      <c r="D2856" t="s">
        <v>3553</v>
      </c>
      <c r="E2856" t="s">
        <v>3589</v>
      </c>
      <c r="F2856" t="s">
        <v>210</v>
      </c>
      <c r="G2856">
        <v>931509124</v>
      </c>
      <c r="H2856"/>
      <c r="I2856"/>
      <c r="J2856"/>
      <c r="K2856" t="s">
        <v>3535</v>
      </c>
    </row>
    <row r="2857" spans="1:11">
      <c r="A2857" s="26" t="s">
        <v>3364</v>
      </c>
      <c r="B2857" s="27" t="s">
        <v>954</v>
      </c>
      <c r="C2857" s="38">
        <v>44778</v>
      </c>
      <c r="D2857" t="s">
        <v>965</v>
      </c>
      <c r="E2857" t="s">
        <v>3552</v>
      </c>
      <c r="F2857" s="26" t="s">
        <v>210</v>
      </c>
      <c r="G2857">
        <v>931514180</v>
      </c>
      <c r="H2857"/>
      <c r="I2857"/>
      <c r="J2857"/>
      <c r="K2857" t="s">
        <v>3552</v>
      </c>
    </row>
    <row r="2858" spans="1:11">
      <c r="A2858"/>
      <c r="B2858" s="20"/>
      <c r="C2858"/>
      <c r="D2858" s="24" t="s">
        <v>967</v>
      </c>
      <c r="E2858" t="s">
        <v>3590</v>
      </c>
      <c r="F2858"/>
      <c r="G2858"/>
      <c r="H2858"/>
      <c r="I2858"/>
      <c r="J2858"/>
      <c r="K2858" t="s">
        <v>3552</v>
      </c>
    </row>
    <row r="2859" spans="1:11">
      <c r="A2859"/>
      <c r="B2859" s="20"/>
      <c r="C2859"/>
      <c r="D2859" s="24" t="s">
        <v>969</v>
      </c>
      <c r="E2859" t="s">
        <v>3591</v>
      </c>
      <c r="F2859"/>
      <c r="G2859"/>
      <c r="H2859"/>
      <c r="I2859"/>
      <c r="J2859"/>
      <c r="K2859" t="s">
        <v>3552</v>
      </c>
    </row>
    <row r="2860" spans="1:11">
      <c r="A2860"/>
      <c r="B2860" s="20"/>
      <c r="C2860"/>
      <c r="D2860" s="24" t="s">
        <v>971</v>
      </c>
      <c r="E2860" t="s">
        <v>3592</v>
      </c>
      <c r="F2860"/>
      <c r="G2860"/>
      <c r="H2860"/>
      <c r="I2860"/>
      <c r="J2860"/>
      <c r="K2860" t="s">
        <v>3552</v>
      </c>
    </row>
    <row r="2861" spans="1:11">
      <c r="A2861"/>
      <c r="B2861" s="20"/>
      <c r="C2861"/>
      <c r="D2861" s="24" t="s">
        <v>975</v>
      </c>
      <c r="E2861" t="s">
        <v>3593</v>
      </c>
      <c r="F2861"/>
      <c r="G2861"/>
      <c r="H2861"/>
      <c r="I2861"/>
      <c r="J2861"/>
      <c r="K2861" t="s">
        <v>3552</v>
      </c>
    </row>
    <row r="2862" spans="1:11">
      <c r="A2862" s="28"/>
      <c r="B2862" s="29"/>
      <c r="C2862" s="28"/>
      <c r="D2862" s="46" t="s">
        <v>17</v>
      </c>
      <c r="E2862" s="28" t="s">
        <v>3594</v>
      </c>
      <c r="F2862" s="28"/>
      <c r="G2862" s="28"/>
      <c r="H2862" s="28"/>
      <c r="I2862" s="28"/>
      <c r="J2862" s="28"/>
      <c r="K2862" s="28" t="s">
        <v>3552</v>
      </c>
    </row>
    <row r="2863" spans="1:11">
      <c r="A2863" s="26" t="s">
        <v>3364</v>
      </c>
      <c r="B2863" s="27" t="s">
        <v>954</v>
      </c>
      <c r="C2863" s="38">
        <v>44778</v>
      </c>
      <c r="D2863" t="s">
        <v>965</v>
      </c>
      <c r="E2863" t="s">
        <v>3536</v>
      </c>
      <c r="F2863" s="26" t="s">
        <v>210</v>
      </c>
      <c r="G2863">
        <v>931514179</v>
      </c>
      <c r="H2863"/>
      <c r="I2863"/>
      <c r="J2863"/>
      <c r="K2863" t="s">
        <v>3536</v>
      </c>
    </row>
    <row r="2864" spans="1:11">
      <c r="A2864"/>
      <c r="B2864" s="20"/>
      <c r="C2864"/>
      <c r="D2864" s="24" t="s">
        <v>967</v>
      </c>
      <c r="E2864" t="s">
        <v>3595</v>
      </c>
      <c r="F2864"/>
      <c r="G2864"/>
      <c r="H2864"/>
      <c r="I2864"/>
      <c r="J2864"/>
      <c r="K2864" t="s">
        <v>3536</v>
      </c>
    </row>
    <row r="2865" spans="1:11">
      <c r="A2865"/>
      <c r="B2865" s="20"/>
      <c r="C2865"/>
      <c r="D2865" s="24" t="s">
        <v>969</v>
      </c>
      <c r="E2865" t="s">
        <v>3596</v>
      </c>
      <c r="F2865"/>
      <c r="G2865"/>
      <c r="H2865"/>
      <c r="I2865"/>
      <c r="J2865"/>
      <c r="K2865" t="s">
        <v>3536</v>
      </c>
    </row>
    <row r="2866" spans="1:11">
      <c r="A2866"/>
      <c r="B2866" s="20"/>
      <c r="C2866"/>
      <c r="D2866" s="24" t="s">
        <v>971</v>
      </c>
      <c r="E2866" t="s">
        <v>3597</v>
      </c>
      <c r="F2866"/>
      <c r="G2866"/>
      <c r="H2866"/>
      <c r="I2866"/>
      <c r="J2866"/>
      <c r="K2866" t="s">
        <v>3536</v>
      </c>
    </row>
    <row r="2867" spans="1:11">
      <c r="A2867"/>
      <c r="B2867" s="20"/>
      <c r="C2867"/>
      <c r="D2867" s="24" t="s">
        <v>975</v>
      </c>
      <c r="E2867" t="s">
        <v>3598</v>
      </c>
      <c r="F2867"/>
      <c r="G2867"/>
      <c r="H2867"/>
      <c r="I2867"/>
      <c r="J2867"/>
      <c r="K2867" t="s">
        <v>3536</v>
      </c>
    </row>
    <row r="2868" spans="1:11">
      <c r="A2868" s="28"/>
      <c r="B2868" s="29"/>
      <c r="C2868" s="28"/>
      <c r="D2868" s="46" t="s">
        <v>17</v>
      </c>
      <c r="E2868" s="28" t="s">
        <v>3599</v>
      </c>
      <c r="F2868" s="28"/>
      <c r="G2868" s="28"/>
      <c r="H2868" s="28"/>
      <c r="I2868" s="28"/>
      <c r="J2868" s="28"/>
      <c r="K2868" s="28" t="s">
        <v>3536</v>
      </c>
    </row>
    <row r="2869" spans="1:11">
      <c r="A2869" s="26" t="s">
        <v>3364</v>
      </c>
      <c r="B2869" s="27" t="s">
        <v>954</v>
      </c>
      <c r="C2869" s="38">
        <v>44778</v>
      </c>
      <c r="D2869" t="s">
        <v>965</v>
      </c>
      <c r="E2869" t="s">
        <v>3535</v>
      </c>
      <c r="F2869" s="26" t="s">
        <v>210</v>
      </c>
      <c r="G2869">
        <v>931514179</v>
      </c>
      <c r="H2869"/>
      <c r="I2869"/>
      <c r="J2869"/>
      <c r="K2869" t="s">
        <v>3535</v>
      </c>
    </row>
    <row r="2870" spans="1:11">
      <c r="A2870"/>
      <c r="B2870" s="20"/>
      <c r="C2870"/>
      <c r="D2870" s="24" t="s">
        <v>967</v>
      </c>
      <c r="E2870" t="s">
        <v>3600</v>
      </c>
      <c r="F2870"/>
      <c r="G2870"/>
      <c r="H2870"/>
      <c r="I2870"/>
      <c r="J2870"/>
      <c r="K2870" t="s">
        <v>3535</v>
      </c>
    </row>
    <row r="2871" spans="1:11">
      <c r="A2871"/>
      <c r="B2871" s="20"/>
      <c r="C2871"/>
      <c r="D2871" s="24" t="s">
        <v>969</v>
      </c>
      <c r="E2871" t="s">
        <v>3601</v>
      </c>
      <c r="F2871"/>
      <c r="G2871"/>
      <c r="H2871"/>
      <c r="I2871"/>
      <c r="J2871"/>
      <c r="K2871" t="s">
        <v>3535</v>
      </c>
    </row>
    <row r="2872" spans="1:11">
      <c r="A2872"/>
      <c r="B2872" s="20"/>
      <c r="C2872"/>
      <c r="D2872" s="24" t="s">
        <v>971</v>
      </c>
      <c r="E2872" t="s">
        <v>3602</v>
      </c>
      <c r="F2872"/>
      <c r="G2872"/>
      <c r="H2872"/>
      <c r="I2872"/>
      <c r="J2872"/>
      <c r="K2872" t="s">
        <v>3535</v>
      </c>
    </row>
    <row r="2873" spans="1:11">
      <c r="A2873"/>
      <c r="B2873" s="20"/>
      <c r="C2873"/>
      <c r="D2873" s="24" t="s">
        <v>975</v>
      </c>
      <c r="E2873" t="s">
        <v>3603</v>
      </c>
      <c r="F2873"/>
      <c r="G2873"/>
      <c r="H2873"/>
      <c r="I2873"/>
      <c r="J2873"/>
      <c r="K2873" t="s">
        <v>3535</v>
      </c>
    </row>
    <row r="2874" spans="1:11">
      <c r="A2874" s="28"/>
      <c r="B2874" s="29"/>
      <c r="C2874" s="28"/>
      <c r="D2874" s="46" t="s">
        <v>17</v>
      </c>
      <c r="E2874" s="28" t="s">
        <v>3604</v>
      </c>
      <c r="F2874" s="28"/>
      <c r="G2874" s="28"/>
      <c r="H2874" s="28"/>
      <c r="I2874" s="28"/>
      <c r="J2874" s="28"/>
      <c r="K2874" s="28" t="s">
        <v>3535</v>
      </c>
    </row>
    <row r="2875" spans="1:11">
      <c r="A2875" s="26" t="s">
        <v>3364</v>
      </c>
      <c r="B2875" s="27" t="s">
        <v>954</v>
      </c>
      <c r="C2875" s="38">
        <v>44778</v>
      </c>
      <c r="D2875" t="s">
        <v>965</v>
      </c>
      <c r="E2875" t="s">
        <v>3538</v>
      </c>
      <c r="F2875" s="26" t="s">
        <v>210</v>
      </c>
      <c r="G2875">
        <v>931514179</v>
      </c>
      <c r="H2875"/>
      <c r="I2875"/>
      <c r="J2875"/>
      <c r="K2875" t="s">
        <v>3538</v>
      </c>
    </row>
    <row r="2876" spans="1:11">
      <c r="A2876"/>
      <c r="B2876" s="20"/>
      <c r="C2876"/>
      <c r="D2876" s="24" t="s">
        <v>967</v>
      </c>
      <c r="E2876" t="s">
        <v>3605</v>
      </c>
      <c r="F2876"/>
      <c r="G2876"/>
      <c r="H2876"/>
      <c r="I2876"/>
      <c r="J2876"/>
      <c r="K2876" t="s">
        <v>3538</v>
      </c>
    </row>
    <row r="2877" spans="1:11">
      <c r="A2877"/>
      <c r="B2877" s="20"/>
      <c r="C2877"/>
      <c r="D2877" s="24" t="s">
        <v>969</v>
      </c>
      <c r="E2877" t="s">
        <v>3606</v>
      </c>
      <c r="F2877"/>
      <c r="G2877"/>
      <c r="H2877"/>
      <c r="I2877"/>
      <c r="J2877"/>
      <c r="K2877" t="s">
        <v>3538</v>
      </c>
    </row>
    <row r="2878" spans="1:11">
      <c r="A2878"/>
      <c r="B2878" s="20"/>
      <c r="C2878"/>
      <c r="D2878" s="24" t="s">
        <v>971</v>
      </c>
      <c r="E2878" t="s">
        <v>3607</v>
      </c>
      <c r="F2878"/>
      <c r="G2878"/>
      <c r="H2878"/>
      <c r="I2878"/>
      <c r="J2878"/>
      <c r="K2878" t="s">
        <v>3538</v>
      </c>
    </row>
    <row r="2879" spans="1:11">
      <c r="A2879"/>
      <c r="B2879" s="20"/>
      <c r="C2879"/>
      <c r="D2879" s="24" t="s">
        <v>975</v>
      </c>
      <c r="E2879" t="s">
        <v>3608</v>
      </c>
      <c r="F2879"/>
      <c r="G2879"/>
      <c r="H2879"/>
      <c r="I2879"/>
      <c r="J2879"/>
      <c r="K2879" t="s">
        <v>3538</v>
      </c>
    </row>
    <row r="2880" spans="1:11">
      <c r="A2880" s="28"/>
      <c r="B2880" s="29"/>
      <c r="C2880" s="28"/>
      <c r="D2880" s="46" t="s">
        <v>17</v>
      </c>
      <c r="E2880" s="28" t="s">
        <v>3609</v>
      </c>
      <c r="F2880" s="28"/>
      <c r="G2880" s="28"/>
      <c r="H2880" s="28"/>
      <c r="I2880" s="28"/>
      <c r="J2880" s="28"/>
      <c r="K2880" s="28" t="s">
        <v>3538</v>
      </c>
    </row>
    <row r="2881" spans="1:11">
      <c r="A2881" s="26" t="s">
        <v>3364</v>
      </c>
      <c r="B2881" s="27" t="s">
        <v>954</v>
      </c>
      <c r="C2881" s="38">
        <v>44778</v>
      </c>
      <c r="D2881" t="s">
        <v>965</v>
      </c>
      <c r="E2881" t="s">
        <v>3537</v>
      </c>
      <c r="F2881" s="26" t="s">
        <v>210</v>
      </c>
      <c r="G2881">
        <v>931514179</v>
      </c>
      <c r="H2881"/>
      <c r="I2881"/>
      <c r="J2881"/>
      <c r="K2881" t="s">
        <v>3537</v>
      </c>
    </row>
    <row r="2882" spans="1:11">
      <c r="A2882"/>
      <c r="B2882" s="20"/>
      <c r="C2882"/>
      <c r="D2882" s="24" t="s">
        <v>967</v>
      </c>
      <c r="E2882" t="s">
        <v>3610</v>
      </c>
      <c r="F2882"/>
      <c r="G2882"/>
      <c r="H2882"/>
      <c r="I2882"/>
      <c r="J2882"/>
      <c r="K2882" t="s">
        <v>3537</v>
      </c>
    </row>
    <row r="2883" spans="1:11">
      <c r="A2883"/>
      <c r="B2883" s="20"/>
      <c r="C2883"/>
      <c r="D2883" s="24" t="s">
        <v>969</v>
      </c>
      <c r="E2883" t="s">
        <v>3611</v>
      </c>
      <c r="F2883"/>
      <c r="G2883"/>
      <c r="H2883"/>
      <c r="I2883"/>
      <c r="J2883"/>
      <c r="K2883" t="s">
        <v>3537</v>
      </c>
    </row>
    <row r="2884" spans="1:11">
      <c r="A2884"/>
      <c r="B2884" s="20"/>
      <c r="C2884"/>
      <c r="D2884" s="24" t="s">
        <v>971</v>
      </c>
      <c r="E2884" t="s">
        <v>3612</v>
      </c>
      <c r="F2884"/>
      <c r="G2884"/>
      <c r="H2884"/>
      <c r="I2884"/>
      <c r="J2884"/>
      <c r="K2884" t="s">
        <v>3537</v>
      </c>
    </row>
    <row r="2885" spans="1:11">
      <c r="A2885"/>
      <c r="B2885" s="20"/>
      <c r="C2885"/>
      <c r="D2885" s="24" t="s">
        <v>975</v>
      </c>
      <c r="E2885" t="s">
        <v>3613</v>
      </c>
      <c r="F2885"/>
      <c r="G2885"/>
      <c r="H2885"/>
      <c r="I2885"/>
      <c r="J2885"/>
      <c r="K2885" t="s">
        <v>3537</v>
      </c>
    </row>
    <row r="2886" spans="1:11">
      <c r="A2886" s="28"/>
      <c r="B2886" s="29"/>
      <c r="C2886" s="28"/>
      <c r="D2886" s="46" t="s">
        <v>17</v>
      </c>
      <c r="E2886" s="28" t="s">
        <v>3614</v>
      </c>
      <c r="F2886" s="28"/>
      <c r="G2886" s="28"/>
      <c r="H2886" s="28"/>
      <c r="I2886" s="28"/>
      <c r="J2886" s="28"/>
      <c r="K2886" s="28" t="s">
        <v>3537</v>
      </c>
    </row>
    <row r="2887" spans="1:11">
      <c r="A2887" s="26" t="s">
        <v>3364</v>
      </c>
      <c r="B2887" s="27" t="s">
        <v>954</v>
      </c>
      <c r="C2887" s="38">
        <v>44778</v>
      </c>
      <c r="D2887" t="s">
        <v>965</v>
      </c>
      <c r="E2887" t="s">
        <v>3540</v>
      </c>
      <c r="F2887" s="26" t="s">
        <v>210</v>
      </c>
      <c r="G2887">
        <v>931514179</v>
      </c>
      <c r="H2887"/>
      <c r="I2887"/>
      <c r="J2887"/>
      <c r="K2887" t="s">
        <v>3540</v>
      </c>
    </row>
    <row r="2888" spans="1:11">
      <c r="A2888"/>
      <c r="B2888" s="20"/>
      <c r="C2888"/>
      <c r="D2888" s="24" t="s">
        <v>967</v>
      </c>
      <c r="E2888" t="s">
        <v>3615</v>
      </c>
      <c r="F2888"/>
      <c r="G2888"/>
      <c r="H2888"/>
      <c r="I2888"/>
      <c r="J2888"/>
      <c r="K2888" t="s">
        <v>3540</v>
      </c>
    </row>
    <row r="2889" spans="1:11">
      <c r="A2889"/>
      <c r="B2889" s="20"/>
      <c r="C2889"/>
      <c r="D2889" s="24" t="s">
        <v>969</v>
      </c>
      <c r="E2889" t="s">
        <v>3616</v>
      </c>
      <c r="F2889"/>
      <c r="G2889"/>
      <c r="H2889"/>
      <c r="I2889"/>
      <c r="J2889"/>
      <c r="K2889" t="s">
        <v>3540</v>
      </c>
    </row>
    <row r="2890" spans="1:11">
      <c r="A2890"/>
      <c r="B2890" s="20"/>
      <c r="C2890"/>
      <c r="D2890" s="24" t="s">
        <v>971</v>
      </c>
      <c r="E2890" t="s">
        <v>3617</v>
      </c>
      <c r="F2890"/>
      <c r="G2890"/>
      <c r="H2890"/>
      <c r="I2890"/>
      <c r="J2890"/>
      <c r="K2890" t="s">
        <v>3540</v>
      </c>
    </row>
    <row r="2891" spans="1:11">
      <c r="A2891"/>
      <c r="B2891" s="20"/>
      <c r="C2891"/>
      <c r="D2891" s="24" t="s">
        <v>975</v>
      </c>
      <c r="E2891" t="s">
        <v>3618</v>
      </c>
      <c r="F2891"/>
      <c r="G2891"/>
      <c r="H2891"/>
      <c r="I2891"/>
      <c r="J2891"/>
      <c r="K2891" t="s">
        <v>3540</v>
      </c>
    </row>
    <row r="2892" spans="1:11">
      <c r="A2892" s="28"/>
      <c r="B2892" s="29"/>
      <c r="C2892" s="28"/>
      <c r="D2892" s="46" t="s">
        <v>17</v>
      </c>
      <c r="E2892" s="28" t="s">
        <v>3619</v>
      </c>
      <c r="F2892" s="28"/>
      <c r="G2892" s="28"/>
      <c r="H2892" s="28"/>
      <c r="I2892" s="28"/>
      <c r="J2892" s="28"/>
      <c r="K2892" s="28" t="s">
        <v>3540</v>
      </c>
    </row>
    <row r="2893" spans="1:11">
      <c r="A2893" s="26" t="s">
        <v>3364</v>
      </c>
      <c r="B2893" s="27" t="s">
        <v>954</v>
      </c>
      <c r="C2893" s="38">
        <v>44778</v>
      </c>
      <c r="D2893" t="s">
        <v>965</v>
      </c>
      <c r="E2893" t="s">
        <v>3539</v>
      </c>
      <c r="F2893" s="26" t="s">
        <v>210</v>
      </c>
      <c r="G2893">
        <v>931514179</v>
      </c>
      <c r="H2893"/>
      <c r="I2893"/>
      <c r="J2893"/>
      <c r="K2893" t="s">
        <v>3539</v>
      </c>
    </row>
    <row r="2894" spans="1:11">
      <c r="A2894"/>
      <c r="B2894" s="20"/>
      <c r="C2894"/>
      <c r="D2894" s="24" t="s">
        <v>967</v>
      </c>
      <c r="E2894" t="s">
        <v>3620</v>
      </c>
      <c r="F2894"/>
      <c r="G2894"/>
      <c r="H2894"/>
      <c r="I2894"/>
      <c r="J2894"/>
      <c r="K2894" t="s">
        <v>3539</v>
      </c>
    </row>
    <row r="2895" spans="1:11">
      <c r="A2895"/>
      <c r="B2895" s="20"/>
      <c r="C2895"/>
      <c r="D2895" s="24" t="s">
        <v>969</v>
      </c>
      <c r="E2895" t="s">
        <v>3621</v>
      </c>
      <c r="F2895"/>
      <c r="G2895"/>
      <c r="H2895"/>
      <c r="I2895"/>
      <c r="J2895"/>
      <c r="K2895" t="s">
        <v>3539</v>
      </c>
    </row>
    <row r="2896" spans="1:11">
      <c r="A2896"/>
      <c r="B2896" s="20"/>
      <c r="C2896"/>
      <c r="D2896" s="24" t="s">
        <v>971</v>
      </c>
      <c r="E2896" t="s">
        <v>3622</v>
      </c>
      <c r="F2896"/>
      <c r="G2896"/>
      <c r="H2896"/>
      <c r="I2896"/>
      <c r="J2896"/>
      <c r="K2896" t="s">
        <v>3539</v>
      </c>
    </row>
    <row r="2897" spans="1:11">
      <c r="A2897"/>
      <c r="B2897" s="20"/>
      <c r="C2897"/>
      <c r="D2897" s="24" t="s">
        <v>975</v>
      </c>
      <c r="E2897" t="s">
        <v>3623</v>
      </c>
      <c r="F2897"/>
      <c r="G2897"/>
      <c r="H2897"/>
      <c r="I2897"/>
      <c r="J2897"/>
      <c r="K2897" t="s">
        <v>3539</v>
      </c>
    </row>
    <row r="2898" spans="1:11">
      <c r="A2898" s="28"/>
      <c r="B2898" s="29"/>
      <c r="C2898" s="28"/>
      <c r="D2898" s="46" t="s">
        <v>17</v>
      </c>
      <c r="E2898" s="28" t="s">
        <v>3624</v>
      </c>
      <c r="F2898" s="28"/>
      <c r="G2898" s="28"/>
      <c r="H2898" s="28"/>
      <c r="I2898" s="28"/>
      <c r="J2898" s="28"/>
      <c r="K2898" s="28" t="s">
        <v>3539</v>
      </c>
    </row>
    <row r="2899" spans="1:11">
      <c r="A2899" s="26" t="s">
        <v>3364</v>
      </c>
      <c r="B2899" s="27" t="s">
        <v>954</v>
      </c>
      <c r="C2899" s="38">
        <v>44778</v>
      </c>
      <c r="D2899" t="s">
        <v>965</v>
      </c>
      <c r="E2899" t="s">
        <v>3541</v>
      </c>
      <c r="F2899" s="26" t="s">
        <v>210</v>
      </c>
      <c r="G2899">
        <v>931514179</v>
      </c>
      <c r="H2899"/>
      <c r="I2899"/>
      <c r="J2899"/>
      <c r="K2899" t="s">
        <v>3541</v>
      </c>
    </row>
    <row r="2900" spans="1:11">
      <c r="A2900"/>
      <c r="B2900" s="20"/>
      <c r="C2900"/>
      <c r="D2900" s="24" t="s">
        <v>967</v>
      </c>
      <c r="E2900" t="s">
        <v>3625</v>
      </c>
      <c r="F2900"/>
      <c r="G2900"/>
      <c r="H2900"/>
      <c r="I2900"/>
      <c r="J2900"/>
      <c r="K2900" t="s">
        <v>3541</v>
      </c>
    </row>
    <row r="2901" spans="1:11">
      <c r="A2901"/>
      <c r="B2901" s="20"/>
      <c r="C2901"/>
      <c r="D2901" s="24" t="s">
        <v>969</v>
      </c>
      <c r="E2901" t="s">
        <v>3626</v>
      </c>
      <c r="F2901"/>
      <c r="G2901"/>
      <c r="H2901"/>
      <c r="I2901"/>
      <c r="J2901"/>
      <c r="K2901" t="s">
        <v>3541</v>
      </c>
    </row>
    <row r="2902" spans="1:11">
      <c r="A2902"/>
      <c r="B2902" s="20"/>
      <c r="C2902"/>
      <c r="D2902" s="24" t="s">
        <v>971</v>
      </c>
      <c r="E2902" t="s">
        <v>3627</v>
      </c>
      <c r="F2902"/>
      <c r="G2902"/>
      <c r="H2902"/>
      <c r="I2902"/>
      <c r="J2902"/>
      <c r="K2902" t="s">
        <v>3541</v>
      </c>
    </row>
    <row r="2903" spans="1:11">
      <c r="A2903"/>
      <c r="B2903" s="20"/>
      <c r="C2903"/>
      <c r="D2903" s="24" t="s">
        <v>975</v>
      </c>
      <c r="E2903" t="s">
        <v>3628</v>
      </c>
      <c r="F2903"/>
      <c r="G2903"/>
      <c r="H2903"/>
      <c r="I2903"/>
      <c r="J2903"/>
      <c r="K2903" t="s">
        <v>3541</v>
      </c>
    </row>
    <row r="2904" spans="1:11">
      <c r="A2904" s="28"/>
      <c r="B2904" s="29"/>
      <c r="C2904" s="28"/>
      <c r="D2904" s="46" t="s">
        <v>17</v>
      </c>
      <c r="E2904" s="28" t="s">
        <v>3629</v>
      </c>
      <c r="F2904" s="28"/>
      <c r="G2904" s="28"/>
      <c r="H2904" s="28"/>
      <c r="I2904" s="28"/>
      <c r="J2904" s="28"/>
      <c r="K2904" s="28" t="s">
        <v>3541</v>
      </c>
    </row>
    <row r="2905" spans="1:11">
      <c r="A2905" s="26" t="s">
        <v>3364</v>
      </c>
      <c r="B2905" s="27" t="s">
        <v>954</v>
      </c>
      <c r="C2905" s="38">
        <v>44778</v>
      </c>
      <c r="D2905" t="s">
        <v>965</v>
      </c>
      <c r="E2905" t="s">
        <v>3542</v>
      </c>
      <c r="F2905" s="26" t="s">
        <v>210</v>
      </c>
      <c r="G2905">
        <v>931514179</v>
      </c>
      <c r="H2905"/>
      <c r="I2905"/>
      <c r="J2905"/>
      <c r="K2905" t="s">
        <v>3542</v>
      </c>
    </row>
    <row r="2906" spans="1:11">
      <c r="A2906"/>
      <c r="B2906" s="20"/>
      <c r="C2906"/>
      <c r="D2906" s="24" t="s">
        <v>967</v>
      </c>
      <c r="E2906" t="s">
        <v>3630</v>
      </c>
      <c r="F2906"/>
      <c r="G2906"/>
      <c r="H2906"/>
      <c r="I2906"/>
      <c r="J2906"/>
      <c r="K2906" t="s">
        <v>3542</v>
      </c>
    </row>
    <row r="2907" spans="1:11">
      <c r="A2907"/>
      <c r="B2907" s="20"/>
      <c r="C2907"/>
      <c r="D2907" s="24" t="s">
        <v>969</v>
      </c>
      <c r="E2907" t="s">
        <v>3631</v>
      </c>
      <c r="F2907"/>
      <c r="G2907"/>
      <c r="H2907"/>
      <c r="I2907"/>
      <c r="J2907"/>
      <c r="K2907" t="s">
        <v>3542</v>
      </c>
    </row>
    <row r="2908" spans="1:11">
      <c r="A2908"/>
      <c r="B2908" s="20"/>
      <c r="C2908"/>
      <c r="D2908" s="24" t="s">
        <v>971</v>
      </c>
      <c r="E2908" t="s">
        <v>3632</v>
      </c>
      <c r="F2908"/>
      <c r="G2908"/>
      <c r="H2908"/>
      <c r="I2908"/>
      <c r="J2908"/>
      <c r="K2908" t="s">
        <v>3542</v>
      </c>
    </row>
    <row r="2909" spans="1:11">
      <c r="A2909"/>
      <c r="B2909" s="20"/>
      <c r="C2909"/>
      <c r="D2909" s="24" t="s">
        <v>975</v>
      </c>
      <c r="E2909" t="s">
        <v>3633</v>
      </c>
      <c r="F2909"/>
      <c r="G2909"/>
      <c r="H2909"/>
      <c r="I2909"/>
      <c r="J2909"/>
      <c r="K2909" t="s">
        <v>3542</v>
      </c>
    </row>
    <row r="2910" spans="1:11">
      <c r="A2910" s="28"/>
      <c r="B2910" s="29"/>
      <c r="C2910" s="28"/>
      <c r="D2910" s="46" t="s">
        <v>17</v>
      </c>
      <c r="E2910" s="28" t="s">
        <v>3634</v>
      </c>
      <c r="F2910" s="28"/>
      <c r="G2910" s="28"/>
      <c r="H2910" s="28"/>
      <c r="I2910" s="28"/>
      <c r="J2910" s="28"/>
      <c r="K2910" s="28" t="s">
        <v>3542</v>
      </c>
    </row>
    <row r="2911" spans="1:11">
      <c r="A2911" s="26" t="s">
        <v>3364</v>
      </c>
      <c r="B2911" s="27" t="s">
        <v>954</v>
      </c>
      <c r="C2911" s="38">
        <v>44778</v>
      </c>
      <c r="D2911" t="s">
        <v>965</v>
      </c>
      <c r="E2911" t="s">
        <v>3543</v>
      </c>
      <c r="F2911" s="26" t="s">
        <v>210</v>
      </c>
      <c r="G2911">
        <v>931514179</v>
      </c>
      <c r="H2911"/>
      <c r="I2911"/>
      <c r="J2911"/>
      <c r="K2911" t="s">
        <v>3543</v>
      </c>
    </row>
    <row r="2912" spans="1:11">
      <c r="A2912"/>
      <c r="B2912" s="20"/>
      <c r="C2912"/>
      <c r="D2912" s="24" t="s">
        <v>967</v>
      </c>
      <c r="E2912" t="s">
        <v>3635</v>
      </c>
      <c r="F2912"/>
      <c r="G2912"/>
      <c r="H2912"/>
      <c r="I2912"/>
      <c r="J2912"/>
      <c r="K2912" t="s">
        <v>3543</v>
      </c>
    </row>
    <row r="2913" spans="1:11">
      <c r="A2913"/>
      <c r="B2913" s="20"/>
      <c r="C2913"/>
      <c r="D2913" s="24" t="s">
        <v>969</v>
      </c>
      <c r="E2913" t="s">
        <v>3636</v>
      </c>
      <c r="F2913"/>
      <c r="G2913"/>
      <c r="H2913"/>
      <c r="I2913"/>
      <c r="J2913"/>
      <c r="K2913" t="s">
        <v>3543</v>
      </c>
    </row>
    <row r="2914" spans="1:11">
      <c r="A2914"/>
      <c r="B2914" s="20"/>
      <c r="C2914"/>
      <c r="D2914" s="24" t="s">
        <v>971</v>
      </c>
      <c r="E2914" t="s">
        <v>3637</v>
      </c>
      <c r="F2914"/>
      <c r="G2914"/>
      <c r="H2914"/>
      <c r="I2914"/>
      <c r="J2914"/>
      <c r="K2914" t="s">
        <v>3543</v>
      </c>
    </row>
    <row r="2915" spans="1:11">
      <c r="A2915"/>
      <c r="B2915" s="20"/>
      <c r="C2915"/>
      <c r="D2915" s="24" t="s">
        <v>975</v>
      </c>
      <c r="E2915" t="s">
        <v>3638</v>
      </c>
      <c r="F2915"/>
      <c r="G2915"/>
      <c r="H2915"/>
      <c r="I2915"/>
      <c r="J2915"/>
      <c r="K2915" t="s">
        <v>3543</v>
      </c>
    </row>
    <row r="2916" spans="1:11">
      <c r="A2916" s="28"/>
      <c r="B2916" s="29"/>
      <c r="C2916" s="28"/>
      <c r="D2916" s="46" t="s">
        <v>17</v>
      </c>
      <c r="E2916" s="28" t="s">
        <v>3639</v>
      </c>
      <c r="F2916" s="28"/>
      <c r="G2916" s="28"/>
      <c r="H2916" s="28"/>
      <c r="I2916" s="28"/>
      <c r="J2916" s="28"/>
      <c r="K2916" s="28" t="s">
        <v>3543</v>
      </c>
    </row>
    <row r="2917" spans="1:11">
      <c r="A2917" s="26" t="s">
        <v>3364</v>
      </c>
      <c r="B2917" s="27" t="s">
        <v>954</v>
      </c>
      <c r="C2917" s="38">
        <v>44778</v>
      </c>
      <c r="D2917" t="s">
        <v>965</v>
      </c>
      <c r="E2917" t="s">
        <v>3551</v>
      </c>
      <c r="F2917" s="26" t="s">
        <v>210</v>
      </c>
      <c r="G2917">
        <v>931514179</v>
      </c>
      <c r="H2917"/>
      <c r="I2917"/>
      <c r="J2917"/>
      <c r="K2917" t="s">
        <v>3551</v>
      </c>
    </row>
    <row r="2918" spans="1:11">
      <c r="A2918"/>
      <c r="B2918" s="20"/>
      <c r="C2918"/>
      <c r="D2918" s="24" t="s">
        <v>967</v>
      </c>
      <c r="E2918" t="s">
        <v>3640</v>
      </c>
      <c r="F2918"/>
      <c r="G2918"/>
      <c r="H2918"/>
      <c r="I2918"/>
      <c r="J2918"/>
      <c r="K2918" t="s">
        <v>3551</v>
      </c>
    </row>
    <row r="2919" spans="1:11">
      <c r="A2919"/>
      <c r="B2919" s="20"/>
      <c r="C2919"/>
      <c r="D2919" s="24" t="s">
        <v>969</v>
      </c>
      <c r="E2919" t="s">
        <v>3641</v>
      </c>
      <c r="F2919"/>
      <c r="G2919"/>
      <c r="H2919"/>
      <c r="I2919"/>
      <c r="J2919"/>
      <c r="K2919" t="s">
        <v>3551</v>
      </c>
    </row>
    <row r="2920" spans="1:11">
      <c r="A2920"/>
      <c r="B2920" s="20"/>
      <c r="C2920"/>
      <c r="D2920" s="24" t="s">
        <v>971</v>
      </c>
      <c r="E2920" t="s">
        <v>3642</v>
      </c>
      <c r="F2920"/>
      <c r="G2920"/>
      <c r="H2920"/>
      <c r="I2920"/>
      <c r="J2920"/>
      <c r="K2920" t="s">
        <v>3551</v>
      </c>
    </row>
    <row r="2921" spans="1:11">
      <c r="A2921"/>
      <c r="B2921" s="20"/>
      <c r="C2921"/>
      <c r="D2921" s="24" t="s">
        <v>975</v>
      </c>
      <c r="E2921" t="s">
        <v>3643</v>
      </c>
      <c r="F2921"/>
      <c r="G2921"/>
      <c r="H2921"/>
      <c r="I2921"/>
      <c r="J2921"/>
      <c r="K2921" t="s">
        <v>3551</v>
      </c>
    </row>
    <row r="2922" spans="1:11">
      <c r="A2922" s="28"/>
      <c r="B2922" s="29"/>
      <c r="C2922" s="28"/>
      <c r="D2922" s="46" t="s">
        <v>17</v>
      </c>
      <c r="E2922" s="28" t="s">
        <v>3644</v>
      </c>
      <c r="F2922" s="28"/>
      <c r="G2922" s="28"/>
      <c r="H2922" s="28"/>
      <c r="I2922" s="28"/>
      <c r="J2922" s="28"/>
      <c r="K2922" s="28" t="s">
        <v>3551</v>
      </c>
    </row>
    <row r="2923" spans="1:11">
      <c r="A2923" s="26" t="s">
        <v>3364</v>
      </c>
      <c r="B2923" s="27" t="s">
        <v>954</v>
      </c>
      <c r="C2923" s="38">
        <v>44778</v>
      </c>
      <c r="D2923" t="s">
        <v>965</v>
      </c>
      <c r="E2923" t="s">
        <v>3550</v>
      </c>
      <c r="F2923" s="26" t="s">
        <v>210</v>
      </c>
      <c r="G2923">
        <v>931514179</v>
      </c>
      <c r="H2923"/>
      <c r="I2923"/>
      <c r="J2923"/>
      <c r="K2923" t="s">
        <v>3550</v>
      </c>
    </row>
    <row r="2924" spans="1:11">
      <c r="A2924"/>
      <c r="B2924" s="20"/>
      <c r="C2924"/>
      <c r="D2924" s="24" t="s">
        <v>967</v>
      </c>
      <c r="E2924" t="s">
        <v>3645</v>
      </c>
      <c r="F2924"/>
      <c r="G2924"/>
      <c r="H2924"/>
      <c r="I2924"/>
      <c r="J2924"/>
      <c r="K2924" t="s">
        <v>3550</v>
      </c>
    </row>
    <row r="2925" spans="1:11">
      <c r="A2925"/>
      <c r="B2925" s="20"/>
      <c r="C2925"/>
      <c r="D2925" s="24" t="s">
        <v>969</v>
      </c>
      <c r="E2925" t="s">
        <v>3646</v>
      </c>
      <c r="F2925"/>
      <c r="G2925"/>
      <c r="H2925"/>
      <c r="I2925"/>
      <c r="J2925"/>
      <c r="K2925" t="s">
        <v>3550</v>
      </c>
    </row>
    <row r="2926" spans="1:11">
      <c r="A2926"/>
      <c r="B2926" s="20"/>
      <c r="C2926"/>
      <c r="D2926" s="24" t="s">
        <v>971</v>
      </c>
      <c r="E2926" t="s">
        <v>3647</v>
      </c>
      <c r="F2926"/>
      <c r="G2926"/>
      <c r="H2926"/>
      <c r="I2926"/>
      <c r="J2926"/>
      <c r="K2926" t="s">
        <v>3550</v>
      </c>
    </row>
    <row r="2927" spans="1:11">
      <c r="A2927"/>
      <c r="B2927" s="20"/>
      <c r="C2927"/>
      <c r="D2927" s="24" t="s">
        <v>975</v>
      </c>
      <c r="E2927" t="s">
        <v>3648</v>
      </c>
      <c r="F2927"/>
      <c r="G2927"/>
      <c r="H2927"/>
      <c r="I2927"/>
      <c r="J2927"/>
      <c r="K2927" t="s">
        <v>3550</v>
      </c>
    </row>
    <row r="2928" spans="1:11">
      <c r="A2928" s="28"/>
      <c r="B2928" s="29"/>
      <c r="C2928" s="28"/>
      <c r="D2928" s="46" t="s">
        <v>17</v>
      </c>
      <c r="E2928" s="28" t="s">
        <v>3649</v>
      </c>
      <c r="F2928" s="28"/>
      <c r="G2928" s="28"/>
      <c r="H2928" s="28"/>
      <c r="I2928" s="28"/>
      <c r="J2928" s="28"/>
      <c r="K2928" s="28" t="s">
        <v>3550</v>
      </c>
    </row>
    <row r="2929" spans="1:11">
      <c r="A2929" s="26" t="s">
        <v>3364</v>
      </c>
      <c r="B2929" s="27" t="s">
        <v>954</v>
      </c>
      <c r="C2929" s="38">
        <v>44778</v>
      </c>
      <c r="D2929" t="s">
        <v>965</v>
      </c>
      <c r="E2929" t="s">
        <v>3549</v>
      </c>
      <c r="F2929" s="26" t="s">
        <v>210</v>
      </c>
      <c r="G2929">
        <v>931514179</v>
      </c>
      <c r="H2929"/>
      <c r="I2929"/>
      <c r="J2929"/>
      <c r="K2929" t="s">
        <v>3549</v>
      </c>
    </row>
    <row r="2930" spans="1:11">
      <c r="A2930"/>
      <c r="B2930" s="20"/>
      <c r="C2930"/>
      <c r="D2930" s="24" t="s">
        <v>967</v>
      </c>
      <c r="E2930" t="s">
        <v>3650</v>
      </c>
      <c r="F2930"/>
      <c r="G2930"/>
      <c r="H2930"/>
      <c r="I2930"/>
      <c r="J2930"/>
      <c r="K2930" t="s">
        <v>3549</v>
      </c>
    </row>
    <row r="2931" spans="1:11">
      <c r="A2931"/>
      <c r="B2931" s="20"/>
      <c r="C2931"/>
      <c r="D2931" s="24" t="s">
        <v>969</v>
      </c>
      <c r="E2931" t="s">
        <v>3651</v>
      </c>
      <c r="F2931"/>
      <c r="G2931"/>
      <c r="H2931"/>
      <c r="I2931"/>
      <c r="J2931"/>
      <c r="K2931" t="s">
        <v>3549</v>
      </c>
    </row>
    <row r="2932" spans="1:11">
      <c r="A2932"/>
      <c r="B2932" s="20"/>
      <c r="C2932"/>
      <c r="D2932" s="24" t="s">
        <v>971</v>
      </c>
      <c r="E2932" t="s">
        <v>3652</v>
      </c>
      <c r="F2932"/>
      <c r="G2932"/>
      <c r="H2932"/>
      <c r="I2932"/>
      <c r="J2932"/>
      <c r="K2932" t="s">
        <v>3549</v>
      </c>
    </row>
    <row r="2933" spans="1:11">
      <c r="A2933"/>
      <c r="B2933" s="20"/>
      <c r="C2933"/>
      <c r="D2933" s="24" t="s">
        <v>975</v>
      </c>
      <c r="E2933" t="s">
        <v>3653</v>
      </c>
      <c r="F2933"/>
      <c r="G2933"/>
      <c r="H2933"/>
      <c r="I2933"/>
      <c r="J2933"/>
      <c r="K2933" t="s">
        <v>3549</v>
      </c>
    </row>
    <row r="2934" spans="1:11">
      <c r="A2934" s="28"/>
      <c r="B2934" s="29"/>
      <c r="C2934" s="28"/>
      <c r="D2934" s="46" t="s">
        <v>17</v>
      </c>
      <c r="E2934" s="28" t="s">
        <v>3654</v>
      </c>
      <c r="F2934" s="28"/>
      <c r="G2934" s="28"/>
      <c r="H2934" s="28"/>
      <c r="I2934" s="28"/>
      <c r="J2934" s="28"/>
      <c r="K2934" s="28" t="s">
        <v>3549</v>
      </c>
    </row>
    <row r="2935" spans="1:11">
      <c r="A2935" s="26" t="s">
        <v>3364</v>
      </c>
      <c r="B2935" s="27" t="s">
        <v>954</v>
      </c>
      <c r="C2935" s="38">
        <v>44778</v>
      </c>
      <c r="D2935" t="s">
        <v>965</v>
      </c>
      <c r="E2935" t="s">
        <v>3548</v>
      </c>
      <c r="F2935" s="26" t="s">
        <v>210</v>
      </c>
      <c r="G2935">
        <v>931514179</v>
      </c>
      <c r="H2935"/>
      <c r="I2935"/>
      <c r="J2935"/>
      <c r="K2935" t="s">
        <v>3548</v>
      </c>
    </row>
    <row r="2936" spans="1:11">
      <c r="A2936"/>
      <c r="B2936" s="20"/>
      <c r="C2936"/>
      <c r="D2936" s="24" t="s">
        <v>967</v>
      </c>
      <c r="E2936" t="s">
        <v>3655</v>
      </c>
      <c r="F2936"/>
      <c r="G2936"/>
      <c r="H2936"/>
      <c r="I2936"/>
      <c r="J2936"/>
      <c r="K2936" t="s">
        <v>3548</v>
      </c>
    </row>
    <row r="2937" spans="1:11">
      <c r="A2937"/>
      <c r="B2937" s="20"/>
      <c r="C2937"/>
      <c r="D2937" s="24" t="s">
        <v>969</v>
      </c>
      <c r="E2937" t="s">
        <v>3656</v>
      </c>
      <c r="F2937"/>
      <c r="G2937"/>
      <c r="H2937"/>
      <c r="I2937"/>
      <c r="J2937"/>
      <c r="K2937" t="s">
        <v>3548</v>
      </c>
    </row>
    <row r="2938" spans="1:11">
      <c r="A2938"/>
      <c r="B2938" s="20"/>
      <c r="C2938"/>
      <c r="D2938" s="24" t="s">
        <v>971</v>
      </c>
      <c r="E2938" t="s">
        <v>3657</v>
      </c>
      <c r="F2938"/>
      <c r="G2938"/>
      <c r="H2938"/>
      <c r="I2938"/>
      <c r="J2938"/>
      <c r="K2938" t="s">
        <v>3548</v>
      </c>
    </row>
    <row r="2939" spans="1:11">
      <c r="A2939"/>
      <c r="B2939" s="20"/>
      <c r="C2939"/>
      <c r="D2939" s="24" t="s">
        <v>975</v>
      </c>
      <c r="E2939" t="s">
        <v>3658</v>
      </c>
      <c r="F2939"/>
      <c r="G2939"/>
      <c r="H2939"/>
      <c r="I2939"/>
      <c r="J2939"/>
      <c r="K2939" t="s">
        <v>3548</v>
      </c>
    </row>
    <row r="2940" spans="1:11">
      <c r="A2940" s="28"/>
      <c r="B2940" s="29"/>
      <c r="C2940" s="28"/>
      <c r="D2940" s="46" t="s">
        <v>17</v>
      </c>
      <c r="E2940" s="28" t="s">
        <v>3659</v>
      </c>
      <c r="F2940" s="28"/>
      <c r="G2940" s="28"/>
      <c r="H2940" s="28"/>
      <c r="I2940" s="28"/>
      <c r="J2940" s="28"/>
      <c r="K2940" s="28" t="s">
        <v>3548</v>
      </c>
    </row>
    <row r="2941" spans="1:11">
      <c r="A2941" s="26" t="s">
        <v>3364</v>
      </c>
      <c r="B2941" s="27" t="s">
        <v>954</v>
      </c>
      <c r="C2941" s="38">
        <v>44778</v>
      </c>
      <c r="D2941" t="s">
        <v>965</v>
      </c>
      <c r="E2941" t="s">
        <v>3547</v>
      </c>
      <c r="F2941" s="26" t="s">
        <v>210</v>
      </c>
      <c r="G2941">
        <v>931514179</v>
      </c>
      <c r="H2941"/>
      <c r="I2941"/>
      <c r="J2941"/>
      <c r="K2941" t="s">
        <v>3547</v>
      </c>
    </row>
    <row r="2942" spans="1:11">
      <c r="A2942"/>
      <c r="B2942" s="20"/>
      <c r="C2942"/>
      <c r="D2942" s="24" t="s">
        <v>967</v>
      </c>
      <c r="E2942" t="s">
        <v>3660</v>
      </c>
      <c r="F2942"/>
      <c r="G2942"/>
      <c r="H2942"/>
      <c r="I2942"/>
      <c r="J2942"/>
      <c r="K2942" t="s">
        <v>3547</v>
      </c>
    </row>
    <row r="2943" spans="1:11">
      <c r="A2943"/>
      <c r="B2943" s="20"/>
      <c r="C2943"/>
      <c r="D2943" s="24" t="s">
        <v>969</v>
      </c>
      <c r="E2943" t="s">
        <v>3661</v>
      </c>
      <c r="F2943"/>
      <c r="G2943"/>
      <c r="H2943"/>
      <c r="I2943"/>
      <c r="J2943"/>
      <c r="K2943" t="s">
        <v>3547</v>
      </c>
    </row>
    <row r="2944" spans="1:11">
      <c r="A2944"/>
      <c r="B2944" s="20"/>
      <c r="C2944"/>
      <c r="D2944" s="24" t="s">
        <v>971</v>
      </c>
      <c r="E2944" t="s">
        <v>3662</v>
      </c>
      <c r="F2944"/>
      <c r="G2944"/>
      <c r="H2944"/>
      <c r="I2944"/>
      <c r="J2944"/>
      <c r="K2944" t="s">
        <v>3547</v>
      </c>
    </row>
    <row r="2945" spans="1:11">
      <c r="A2945"/>
      <c r="B2945" s="20"/>
      <c r="C2945"/>
      <c r="D2945" s="24" t="s">
        <v>975</v>
      </c>
      <c r="E2945" t="s">
        <v>3663</v>
      </c>
      <c r="F2945"/>
      <c r="G2945"/>
      <c r="H2945"/>
      <c r="I2945"/>
      <c r="J2945"/>
      <c r="K2945" t="s">
        <v>3547</v>
      </c>
    </row>
    <row r="2946" spans="1:11">
      <c r="A2946" s="28"/>
      <c r="B2946" s="29"/>
      <c r="C2946" s="28"/>
      <c r="D2946" s="46" t="s">
        <v>17</v>
      </c>
      <c r="E2946" s="28" t="s">
        <v>3664</v>
      </c>
      <c r="F2946" s="28"/>
      <c r="G2946" s="28"/>
      <c r="H2946" s="28"/>
      <c r="I2946" s="28"/>
      <c r="J2946" s="28"/>
      <c r="K2946" s="28" t="s">
        <v>3547</v>
      </c>
    </row>
    <row r="2947" spans="1:11">
      <c r="A2947" s="26" t="s">
        <v>3364</v>
      </c>
      <c r="B2947" s="27" t="s">
        <v>954</v>
      </c>
      <c r="C2947" s="38">
        <v>44778</v>
      </c>
      <c r="D2947" t="s">
        <v>965</v>
      </c>
      <c r="E2947" t="s">
        <v>3546</v>
      </c>
      <c r="F2947" s="26" t="s">
        <v>210</v>
      </c>
      <c r="G2947">
        <v>931514179</v>
      </c>
      <c r="H2947"/>
      <c r="I2947"/>
      <c r="J2947"/>
      <c r="K2947" t="s">
        <v>3546</v>
      </c>
    </row>
    <row r="2948" spans="1:11">
      <c r="A2948"/>
      <c r="B2948" s="20"/>
      <c r="C2948"/>
      <c r="D2948" s="24" t="s">
        <v>967</v>
      </c>
      <c r="E2948" t="s">
        <v>3665</v>
      </c>
      <c r="F2948"/>
      <c r="G2948"/>
      <c r="H2948"/>
      <c r="I2948"/>
      <c r="J2948"/>
      <c r="K2948" t="s">
        <v>3546</v>
      </c>
    </row>
    <row r="2949" spans="1:11">
      <c r="A2949"/>
      <c r="B2949" s="20"/>
      <c r="C2949"/>
      <c r="D2949" s="24" t="s">
        <v>969</v>
      </c>
      <c r="E2949" t="s">
        <v>3666</v>
      </c>
      <c r="F2949"/>
      <c r="G2949"/>
      <c r="H2949"/>
      <c r="I2949"/>
      <c r="J2949"/>
      <c r="K2949" t="s">
        <v>3546</v>
      </c>
    </row>
    <row r="2950" spans="1:11">
      <c r="A2950"/>
      <c r="B2950" s="20"/>
      <c r="C2950"/>
      <c r="D2950" s="24" t="s">
        <v>971</v>
      </c>
      <c r="E2950" t="s">
        <v>3667</v>
      </c>
      <c r="F2950"/>
      <c r="G2950"/>
      <c r="H2950"/>
      <c r="I2950"/>
      <c r="J2950"/>
      <c r="K2950" t="s">
        <v>3546</v>
      </c>
    </row>
    <row r="2951" spans="1:11">
      <c r="A2951"/>
      <c r="B2951" s="20"/>
      <c r="C2951"/>
      <c r="D2951" s="24" t="s">
        <v>975</v>
      </c>
      <c r="E2951" t="s">
        <v>3668</v>
      </c>
      <c r="F2951"/>
      <c r="G2951"/>
      <c r="H2951"/>
      <c r="I2951"/>
      <c r="J2951"/>
      <c r="K2951" t="s">
        <v>3546</v>
      </c>
    </row>
    <row r="2952" spans="1:11">
      <c r="A2952" s="28"/>
      <c r="B2952" s="29"/>
      <c r="C2952" s="28"/>
      <c r="D2952" s="46" t="s">
        <v>17</v>
      </c>
      <c r="E2952" s="28" t="s">
        <v>3669</v>
      </c>
      <c r="F2952" s="28"/>
      <c r="G2952" s="28"/>
      <c r="H2952" s="28"/>
      <c r="I2952" s="28"/>
      <c r="J2952" s="28"/>
      <c r="K2952" s="28" t="s">
        <v>3546</v>
      </c>
    </row>
    <row r="2953" spans="1:11">
      <c r="A2953" s="26" t="s">
        <v>3364</v>
      </c>
      <c r="B2953" s="27" t="s">
        <v>954</v>
      </c>
      <c r="C2953" s="38">
        <v>44778</v>
      </c>
      <c r="D2953" t="s">
        <v>965</v>
      </c>
      <c r="E2953" t="s">
        <v>3545</v>
      </c>
      <c r="F2953" s="26" t="s">
        <v>210</v>
      </c>
      <c r="G2953">
        <v>931514179</v>
      </c>
      <c r="H2953"/>
      <c r="I2953"/>
      <c r="J2953"/>
      <c r="K2953" t="s">
        <v>3545</v>
      </c>
    </row>
    <row r="2954" spans="1:11">
      <c r="A2954"/>
      <c r="B2954" s="20"/>
      <c r="C2954"/>
      <c r="D2954" s="24" t="s">
        <v>967</v>
      </c>
      <c r="E2954" t="s">
        <v>3670</v>
      </c>
      <c r="F2954"/>
      <c r="G2954"/>
      <c r="H2954"/>
      <c r="I2954"/>
      <c r="J2954"/>
      <c r="K2954" t="s">
        <v>3545</v>
      </c>
    </row>
    <row r="2955" spans="1:11">
      <c r="A2955"/>
      <c r="B2955" s="20"/>
      <c r="C2955"/>
      <c r="D2955" s="24" t="s">
        <v>969</v>
      </c>
      <c r="E2955" t="s">
        <v>3671</v>
      </c>
      <c r="F2955"/>
      <c r="G2955"/>
      <c r="H2955"/>
      <c r="I2955"/>
      <c r="J2955"/>
      <c r="K2955" t="s">
        <v>3545</v>
      </c>
    </row>
    <row r="2956" spans="1:11">
      <c r="A2956"/>
      <c r="B2956" s="20"/>
      <c r="C2956"/>
      <c r="D2956" s="24" t="s">
        <v>971</v>
      </c>
      <c r="E2956" t="s">
        <v>3672</v>
      </c>
      <c r="F2956"/>
      <c r="G2956"/>
      <c r="H2956"/>
      <c r="I2956"/>
      <c r="J2956"/>
      <c r="K2956" t="s">
        <v>3545</v>
      </c>
    </row>
    <row r="2957" spans="1:11">
      <c r="A2957"/>
      <c r="B2957" s="20"/>
      <c r="C2957"/>
      <c r="D2957" s="24" t="s">
        <v>975</v>
      </c>
      <c r="E2957" t="s">
        <v>3673</v>
      </c>
      <c r="F2957"/>
      <c r="G2957"/>
      <c r="H2957"/>
      <c r="I2957"/>
      <c r="J2957"/>
      <c r="K2957" t="s">
        <v>3545</v>
      </c>
    </row>
    <row r="2958" spans="1:11">
      <c r="A2958" s="28"/>
      <c r="B2958" s="29"/>
      <c r="C2958" s="28"/>
      <c r="D2958" s="46" t="s">
        <v>17</v>
      </c>
      <c r="E2958" s="28" t="s">
        <v>3674</v>
      </c>
      <c r="F2958" s="28"/>
      <c r="G2958" s="28"/>
      <c r="H2958" s="28"/>
      <c r="I2958" s="28"/>
      <c r="J2958" s="28"/>
      <c r="K2958" s="28" t="s">
        <v>3545</v>
      </c>
    </row>
    <row r="2959" spans="1:11">
      <c r="A2959" s="26" t="s">
        <v>3364</v>
      </c>
      <c r="B2959" s="27" t="s">
        <v>954</v>
      </c>
      <c r="C2959" s="38">
        <v>44778</v>
      </c>
      <c r="D2959" t="s">
        <v>965</v>
      </c>
      <c r="E2959" t="s">
        <v>3544</v>
      </c>
      <c r="F2959" s="26" t="s">
        <v>210</v>
      </c>
      <c r="G2959">
        <v>931514179</v>
      </c>
      <c r="H2959"/>
      <c r="I2959"/>
      <c r="J2959"/>
      <c r="K2959" t="s">
        <v>3544</v>
      </c>
    </row>
    <row r="2960" spans="1:11">
      <c r="A2960"/>
      <c r="B2960" s="20"/>
      <c r="C2960"/>
      <c r="D2960" s="24" t="s">
        <v>967</v>
      </c>
      <c r="E2960" t="s">
        <v>3675</v>
      </c>
      <c r="F2960"/>
      <c r="G2960"/>
      <c r="H2960"/>
      <c r="I2960"/>
      <c r="J2960"/>
      <c r="K2960" t="s">
        <v>3544</v>
      </c>
    </row>
    <row r="2961" spans="1:11">
      <c r="A2961"/>
      <c r="B2961" s="20"/>
      <c r="C2961"/>
      <c r="D2961" s="24" t="s">
        <v>969</v>
      </c>
      <c r="E2961" t="s">
        <v>3676</v>
      </c>
      <c r="F2961"/>
      <c r="G2961"/>
      <c r="H2961"/>
      <c r="I2961"/>
      <c r="J2961"/>
      <c r="K2961" t="s">
        <v>3544</v>
      </c>
    </row>
    <row r="2962" spans="1:11">
      <c r="A2962"/>
      <c r="B2962" s="20"/>
      <c r="C2962"/>
      <c r="D2962" s="24" t="s">
        <v>971</v>
      </c>
      <c r="E2962" t="s">
        <v>3677</v>
      </c>
      <c r="F2962"/>
      <c r="G2962"/>
      <c r="H2962"/>
      <c r="I2962"/>
      <c r="J2962"/>
      <c r="K2962" t="s">
        <v>3544</v>
      </c>
    </row>
    <row r="2963" spans="1:11">
      <c r="A2963"/>
      <c r="B2963" s="20"/>
      <c r="C2963"/>
      <c r="D2963" s="24" t="s">
        <v>975</v>
      </c>
      <c r="E2963" t="s">
        <v>3678</v>
      </c>
      <c r="F2963"/>
      <c r="G2963"/>
      <c r="H2963"/>
      <c r="I2963"/>
      <c r="J2963"/>
      <c r="K2963" t="s">
        <v>3544</v>
      </c>
    </row>
    <row r="2964" spans="1:11">
      <c r="A2964" s="28"/>
      <c r="B2964" s="29"/>
      <c r="C2964" s="28"/>
      <c r="D2964" s="46" t="s">
        <v>17</v>
      </c>
      <c r="E2964" s="28" t="s">
        <v>3679</v>
      </c>
      <c r="F2964" s="28"/>
      <c r="G2964" s="28"/>
      <c r="H2964" s="28"/>
      <c r="I2964" s="28"/>
      <c r="J2964" s="28"/>
      <c r="K2964" s="28" t="s">
        <v>3544</v>
      </c>
    </row>
    <row r="2965" spans="1:11">
      <c r="A2965" s="6">
        <v>44781</v>
      </c>
      <c r="B2965" s="20">
        <v>4344792631</v>
      </c>
      <c r="C2965" s="6">
        <v>44778</v>
      </c>
      <c r="D2965" t="s">
        <v>3302</v>
      </c>
      <c r="E2965" t="s">
        <v>3680</v>
      </c>
      <c r="F2965" t="s">
        <v>2835</v>
      </c>
      <c r="G2965">
        <v>2514189</v>
      </c>
      <c r="H2965"/>
      <c r="I2965"/>
      <c r="J2965"/>
      <c r="K2965" t="s">
        <v>3547</v>
      </c>
    </row>
    <row r="2966" spans="1:11">
      <c r="A2966" s="6">
        <v>44781</v>
      </c>
      <c r="B2966" s="20">
        <v>4344792631</v>
      </c>
      <c r="C2966" s="6">
        <v>44778</v>
      </c>
      <c r="D2966" t="s">
        <v>3302</v>
      </c>
      <c r="E2966" t="s">
        <v>3681</v>
      </c>
      <c r="F2966" t="s">
        <v>2835</v>
      </c>
      <c r="G2966">
        <v>2514189</v>
      </c>
      <c r="H2966"/>
      <c r="I2966"/>
      <c r="J2966"/>
      <c r="K2966" t="s">
        <v>3548</v>
      </c>
    </row>
    <row r="2967" spans="1:11">
      <c r="A2967" s="6">
        <v>44781</v>
      </c>
      <c r="B2967" s="20">
        <v>4344792631</v>
      </c>
      <c r="C2967" s="6">
        <v>44778</v>
      </c>
      <c r="D2967" t="s">
        <v>3302</v>
      </c>
      <c r="E2967" t="s">
        <v>3682</v>
      </c>
      <c r="F2967" t="s">
        <v>2835</v>
      </c>
      <c r="G2967">
        <v>2514189</v>
      </c>
      <c r="H2967"/>
      <c r="I2967"/>
      <c r="J2967"/>
      <c r="K2967" t="s">
        <v>3549</v>
      </c>
    </row>
    <row r="2968" spans="1:11">
      <c r="A2968" s="6">
        <v>44781</v>
      </c>
      <c r="B2968" s="20">
        <v>4344792631</v>
      </c>
      <c r="C2968" s="6">
        <v>44778</v>
      </c>
      <c r="D2968" t="s">
        <v>3302</v>
      </c>
      <c r="E2968" t="s">
        <v>3683</v>
      </c>
      <c r="F2968" t="s">
        <v>2835</v>
      </c>
      <c r="G2968">
        <v>2514189</v>
      </c>
      <c r="H2968"/>
      <c r="I2968"/>
      <c r="J2968"/>
      <c r="K2968" t="s">
        <v>3550</v>
      </c>
    </row>
    <row r="2969" spans="1:11">
      <c r="A2969" s="6">
        <v>44781</v>
      </c>
      <c r="B2969" s="20">
        <v>4344792631</v>
      </c>
      <c r="C2969" s="6">
        <v>44778</v>
      </c>
      <c r="D2969" t="s">
        <v>3302</v>
      </c>
      <c r="E2969" t="s">
        <v>3684</v>
      </c>
      <c r="F2969" t="s">
        <v>2835</v>
      </c>
      <c r="G2969">
        <v>2514189</v>
      </c>
      <c r="H2969"/>
      <c r="I2969"/>
      <c r="J2969"/>
      <c r="K2969" t="s">
        <v>3551</v>
      </c>
    </row>
    <row r="2970" spans="1:11">
      <c r="A2970" s="6">
        <v>44781</v>
      </c>
      <c r="B2970" s="20">
        <v>4344792631</v>
      </c>
      <c r="C2970" s="6">
        <v>44778</v>
      </c>
      <c r="D2970" t="s">
        <v>3302</v>
      </c>
      <c r="E2970" t="s">
        <v>3685</v>
      </c>
      <c r="F2970" t="s">
        <v>2835</v>
      </c>
      <c r="G2970">
        <v>2514189</v>
      </c>
      <c r="H2970"/>
      <c r="I2970"/>
      <c r="J2970"/>
      <c r="K2970" t="s">
        <v>3552</v>
      </c>
    </row>
    <row r="2971" spans="1:11">
      <c r="A2971" s="6">
        <v>44781</v>
      </c>
      <c r="B2971" s="20">
        <v>4344792631</v>
      </c>
      <c r="C2971" s="6">
        <v>44778</v>
      </c>
      <c r="D2971" t="s">
        <v>3302</v>
      </c>
      <c r="E2971" t="s">
        <v>3686</v>
      </c>
      <c r="F2971" t="s">
        <v>2835</v>
      </c>
      <c r="G2971">
        <v>2514189</v>
      </c>
      <c r="H2971"/>
      <c r="I2971"/>
      <c r="J2971"/>
      <c r="K2971" t="s">
        <v>3541</v>
      </c>
    </row>
    <row r="2972" spans="1:11">
      <c r="A2972" s="6">
        <v>44781</v>
      </c>
      <c r="B2972" s="20">
        <v>4344792631</v>
      </c>
      <c r="C2972" s="6">
        <v>44778</v>
      </c>
      <c r="D2972" t="s">
        <v>3302</v>
      </c>
      <c r="E2972" t="s">
        <v>3687</v>
      </c>
      <c r="F2972" t="s">
        <v>2835</v>
      </c>
      <c r="G2972">
        <v>2514189</v>
      </c>
      <c r="H2972"/>
      <c r="I2972"/>
      <c r="J2972"/>
      <c r="K2972" t="s">
        <v>3542</v>
      </c>
    </row>
    <row r="2973" spans="1:11">
      <c r="A2973" s="6">
        <v>44781</v>
      </c>
      <c r="B2973" s="20">
        <v>4344792631</v>
      </c>
      <c r="C2973" s="6">
        <v>44778</v>
      </c>
      <c r="D2973" t="s">
        <v>3302</v>
      </c>
      <c r="E2973" t="s">
        <v>3688</v>
      </c>
      <c r="F2973" t="s">
        <v>2835</v>
      </c>
      <c r="G2973">
        <v>2514189</v>
      </c>
      <c r="H2973"/>
      <c r="I2973"/>
      <c r="J2973"/>
      <c r="K2973" t="s">
        <v>3543</v>
      </c>
    </row>
    <row r="2974" spans="1:11">
      <c r="A2974" s="6">
        <v>44781</v>
      </c>
      <c r="B2974" s="20">
        <v>4344792631</v>
      </c>
      <c r="C2974" s="6">
        <v>44778</v>
      </c>
      <c r="D2974" t="s">
        <v>3302</v>
      </c>
      <c r="E2974" t="s">
        <v>3689</v>
      </c>
      <c r="F2974" t="s">
        <v>2835</v>
      </c>
      <c r="G2974">
        <v>2514189</v>
      </c>
      <c r="H2974"/>
      <c r="I2974"/>
      <c r="J2974"/>
      <c r="K2974" t="s">
        <v>3544</v>
      </c>
    </row>
    <row r="2975" spans="1:11">
      <c r="A2975" s="6">
        <v>44781</v>
      </c>
      <c r="B2975" s="20">
        <v>4344792631</v>
      </c>
      <c r="C2975" s="6">
        <v>44778</v>
      </c>
      <c r="D2975" t="s">
        <v>3302</v>
      </c>
      <c r="E2975" t="s">
        <v>3690</v>
      </c>
      <c r="F2975" t="s">
        <v>2835</v>
      </c>
      <c r="G2975">
        <v>2514189</v>
      </c>
      <c r="H2975"/>
      <c r="I2975"/>
      <c r="J2975"/>
      <c r="K2975" t="s">
        <v>3545</v>
      </c>
    </row>
    <row r="2976" spans="1:11">
      <c r="A2976" s="6">
        <v>44781</v>
      </c>
      <c r="B2976" s="20">
        <v>4344792631</v>
      </c>
      <c r="C2976" s="6">
        <v>44778</v>
      </c>
      <c r="D2976" t="s">
        <v>3302</v>
      </c>
      <c r="E2976" t="s">
        <v>3691</v>
      </c>
      <c r="F2976" t="s">
        <v>2835</v>
      </c>
      <c r="G2976">
        <v>2514189</v>
      </c>
      <c r="H2976"/>
      <c r="I2976"/>
      <c r="J2976"/>
      <c r="K2976" t="s">
        <v>3546</v>
      </c>
    </row>
    <row r="2977" spans="1:11">
      <c r="A2977" s="6">
        <v>44781</v>
      </c>
      <c r="B2977" s="20">
        <v>4344792631</v>
      </c>
      <c r="C2977" s="6">
        <v>44778</v>
      </c>
      <c r="D2977" t="s">
        <v>3302</v>
      </c>
      <c r="E2977" t="s">
        <v>3692</v>
      </c>
      <c r="F2977" t="s">
        <v>2835</v>
      </c>
      <c r="G2977">
        <v>2514189</v>
      </c>
      <c r="H2977"/>
      <c r="I2977"/>
      <c r="J2977"/>
      <c r="K2977" t="s">
        <v>3535</v>
      </c>
    </row>
    <row r="2978" spans="1:11">
      <c r="A2978" s="6">
        <v>44781</v>
      </c>
      <c r="B2978" s="20">
        <v>4344792631</v>
      </c>
      <c r="C2978" s="6">
        <v>44778</v>
      </c>
      <c r="D2978" t="s">
        <v>3302</v>
      </c>
      <c r="E2978" t="s">
        <v>3693</v>
      </c>
      <c r="F2978" t="s">
        <v>2835</v>
      </c>
      <c r="G2978">
        <v>2514189</v>
      </c>
      <c r="H2978"/>
      <c r="I2978"/>
      <c r="J2978"/>
      <c r="K2978" t="s">
        <v>3536</v>
      </c>
    </row>
    <row r="2979" spans="1:11">
      <c r="A2979" s="6">
        <v>44781</v>
      </c>
      <c r="B2979" s="20">
        <v>4344792631</v>
      </c>
      <c r="C2979" s="6">
        <v>44778</v>
      </c>
      <c r="D2979" t="s">
        <v>3302</v>
      </c>
      <c r="E2979" t="s">
        <v>3694</v>
      </c>
      <c r="F2979" t="s">
        <v>2835</v>
      </c>
      <c r="G2979">
        <v>2514189</v>
      </c>
      <c r="H2979"/>
      <c r="I2979"/>
      <c r="J2979"/>
      <c r="K2979" t="s">
        <v>3537</v>
      </c>
    </row>
    <row r="2980" spans="1:11">
      <c r="A2980" s="6">
        <v>44781</v>
      </c>
      <c r="B2980" s="20">
        <v>4344792631</v>
      </c>
      <c r="C2980" s="6">
        <v>44778</v>
      </c>
      <c r="D2980" t="s">
        <v>3302</v>
      </c>
      <c r="E2980" t="s">
        <v>3695</v>
      </c>
      <c r="F2980" t="s">
        <v>2835</v>
      </c>
      <c r="G2980">
        <v>2514189</v>
      </c>
      <c r="H2980"/>
      <c r="I2980"/>
      <c r="J2980"/>
      <c r="K2980" t="s">
        <v>3538</v>
      </c>
    </row>
    <row r="2981" spans="1:11">
      <c r="A2981" s="6">
        <v>44781</v>
      </c>
      <c r="B2981" s="20">
        <v>4344792631</v>
      </c>
      <c r="C2981" s="6">
        <v>44778</v>
      </c>
      <c r="D2981" t="s">
        <v>3302</v>
      </c>
      <c r="E2981" t="s">
        <v>3696</v>
      </c>
      <c r="F2981" t="s">
        <v>2835</v>
      </c>
      <c r="G2981">
        <v>2514189</v>
      </c>
      <c r="H2981"/>
      <c r="I2981"/>
      <c r="J2981"/>
      <c r="K2981" t="s">
        <v>3539</v>
      </c>
    </row>
    <row r="2982" spans="1:11">
      <c r="A2982" s="6">
        <v>44781</v>
      </c>
      <c r="B2982" s="20">
        <v>4344792631</v>
      </c>
      <c r="C2982" s="6">
        <v>44778</v>
      </c>
      <c r="D2982" t="s">
        <v>3302</v>
      </c>
      <c r="E2982" t="s">
        <v>3697</v>
      </c>
      <c r="F2982" t="s">
        <v>2835</v>
      </c>
      <c r="G2982">
        <v>2514189</v>
      </c>
      <c r="H2982"/>
      <c r="I2982"/>
      <c r="J2982"/>
      <c r="K2982" t="s">
        <v>3540</v>
      </c>
    </row>
    <row r="2983" spans="1:11">
      <c r="A2983" s="6">
        <v>44792</v>
      </c>
      <c r="B2983" s="20" t="s">
        <v>3698</v>
      </c>
      <c r="C2983" s="6">
        <v>44784</v>
      </c>
      <c r="D2983" t="s">
        <v>3441</v>
      </c>
      <c r="E2983" t="s">
        <v>3699</v>
      </c>
      <c r="F2983" t="s">
        <v>2690</v>
      </c>
      <c r="G2983">
        <v>11073756</v>
      </c>
      <c r="H2983"/>
      <c r="I2983"/>
      <c r="J2983"/>
      <c r="K2983" t="s">
        <v>3535</v>
      </c>
    </row>
    <row r="2984" spans="1:11">
      <c r="A2984" s="6">
        <v>44792</v>
      </c>
      <c r="B2984" s="20" t="s">
        <v>3698</v>
      </c>
      <c r="C2984" s="6">
        <v>44784</v>
      </c>
      <c r="D2984" t="s">
        <v>3441</v>
      </c>
      <c r="E2984" t="s">
        <v>3700</v>
      </c>
      <c r="F2984" t="s">
        <v>2690</v>
      </c>
      <c r="G2984">
        <v>11073756</v>
      </c>
      <c r="H2984"/>
      <c r="I2984"/>
      <c r="J2984"/>
      <c r="K2984" t="s">
        <v>3536</v>
      </c>
    </row>
    <row r="2985" spans="1:11">
      <c r="A2985" s="6">
        <v>44792</v>
      </c>
      <c r="B2985" s="20" t="s">
        <v>3698</v>
      </c>
      <c r="C2985" s="6">
        <v>44784</v>
      </c>
      <c r="D2985" t="s">
        <v>3441</v>
      </c>
      <c r="E2985" t="s">
        <v>3701</v>
      </c>
      <c r="F2985" t="s">
        <v>2690</v>
      </c>
      <c r="G2985">
        <v>11073756</v>
      </c>
      <c r="H2985"/>
      <c r="I2985"/>
      <c r="J2985"/>
      <c r="K2985" t="s">
        <v>3537</v>
      </c>
    </row>
    <row r="2986" spans="1:11">
      <c r="A2986" s="6">
        <v>44792</v>
      </c>
      <c r="B2986" s="20" t="s">
        <v>3698</v>
      </c>
      <c r="C2986" s="6">
        <v>44784</v>
      </c>
      <c r="D2986" t="s">
        <v>3441</v>
      </c>
      <c r="E2986" t="s">
        <v>3702</v>
      </c>
      <c r="F2986" t="s">
        <v>2690</v>
      </c>
      <c r="G2986">
        <v>11073756</v>
      </c>
      <c r="H2986"/>
      <c r="I2986"/>
      <c r="J2986"/>
      <c r="K2986" t="s">
        <v>3538</v>
      </c>
    </row>
    <row r="2987" spans="1:11">
      <c r="A2987" s="6">
        <v>44792</v>
      </c>
      <c r="B2987" s="20" t="s">
        <v>3698</v>
      </c>
      <c r="C2987" s="6">
        <v>44784</v>
      </c>
      <c r="D2987" t="s">
        <v>3441</v>
      </c>
      <c r="E2987" t="s">
        <v>3703</v>
      </c>
      <c r="F2987" t="s">
        <v>2690</v>
      </c>
      <c r="G2987">
        <v>11073756</v>
      </c>
      <c r="H2987"/>
      <c r="I2987"/>
      <c r="J2987"/>
      <c r="K2987" t="s">
        <v>3539</v>
      </c>
    </row>
    <row r="2988" spans="1:11">
      <c r="A2988" s="6">
        <v>44792</v>
      </c>
      <c r="B2988" s="20" t="s">
        <v>3698</v>
      </c>
      <c r="C2988" s="6">
        <v>44784</v>
      </c>
      <c r="D2988" t="s">
        <v>3441</v>
      </c>
      <c r="E2988" t="s">
        <v>3704</v>
      </c>
      <c r="F2988" t="s">
        <v>2690</v>
      </c>
      <c r="G2988">
        <v>11073756</v>
      </c>
      <c r="H2988"/>
      <c r="I2988"/>
      <c r="J2988"/>
      <c r="K2988" t="s">
        <v>3540</v>
      </c>
    </row>
    <row r="2989" spans="1:11">
      <c r="A2989" s="6">
        <v>44792</v>
      </c>
      <c r="B2989" s="20" t="s">
        <v>3698</v>
      </c>
      <c r="C2989" s="6">
        <v>44784</v>
      </c>
      <c r="D2989" t="s">
        <v>3441</v>
      </c>
      <c r="E2989" t="s">
        <v>3705</v>
      </c>
      <c r="F2989" t="s">
        <v>2690</v>
      </c>
      <c r="G2989">
        <v>11073756</v>
      </c>
      <c r="H2989"/>
      <c r="I2989"/>
      <c r="J2989"/>
      <c r="K2989" t="s">
        <v>3541</v>
      </c>
    </row>
    <row r="2990" spans="1:11">
      <c r="A2990" s="6">
        <v>44792</v>
      </c>
      <c r="B2990" s="20" t="s">
        <v>3698</v>
      </c>
      <c r="C2990" s="6">
        <v>44784</v>
      </c>
      <c r="D2990" t="s">
        <v>3441</v>
      </c>
      <c r="E2990" t="s">
        <v>3706</v>
      </c>
      <c r="F2990" t="s">
        <v>2690</v>
      </c>
      <c r="G2990">
        <v>11073756</v>
      </c>
      <c r="H2990"/>
      <c r="I2990"/>
      <c r="J2990"/>
      <c r="K2990" t="s">
        <v>3542</v>
      </c>
    </row>
    <row r="2991" spans="1:11">
      <c r="A2991" s="6">
        <v>44792</v>
      </c>
      <c r="B2991" s="20" t="s">
        <v>3698</v>
      </c>
      <c r="C2991" s="6">
        <v>44784</v>
      </c>
      <c r="D2991" t="s">
        <v>3441</v>
      </c>
      <c r="E2991" t="s">
        <v>3707</v>
      </c>
      <c r="F2991" t="s">
        <v>2690</v>
      </c>
      <c r="G2991">
        <v>11073756</v>
      </c>
      <c r="H2991"/>
      <c r="I2991"/>
      <c r="J2991"/>
      <c r="K2991" t="s">
        <v>3543</v>
      </c>
    </row>
    <row r="2992" spans="1:11">
      <c r="A2992" s="6">
        <v>44792</v>
      </c>
      <c r="B2992" s="20" t="s">
        <v>3698</v>
      </c>
      <c r="C2992" s="6">
        <v>44784</v>
      </c>
      <c r="D2992" t="s">
        <v>3441</v>
      </c>
      <c r="E2992" t="s">
        <v>3708</v>
      </c>
      <c r="F2992" t="s">
        <v>2690</v>
      </c>
      <c r="G2992">
        <v>11073756</v>
      </c>
      <c r="H2992"/>
      <c r="I2992"/>
      <c r="J2992"/>
      <c r="K2992" t="s">
        <v>3544</v>
      </c>
    </row>
    <row r="2993" spans="1:11">
      <c r="A2993" s="6">
        <v>44792</v>
      </c>
      <c r="B2993" s="20" t="s">
        <v>3698</v>
      </c>
      <c r="C2993" s="6">
        <v>44784</v>
      </c>
      <c r="D2993" t="s">
        <v>3441</v>
      </c>
      <c r="E2993" t="s">
        <v>3709</v>
      </c>
      <c r="F2993" t="s">
        <v>2690</v>
      </c>
      <c r="G2993">
        <v>11073756</v>
      </c>
      <c r="H2993"/>
      <c r="I2993"/>
      <c r="J2993"/>
      <c r="K2993" t="s">
        <v>3545</v>
      </c>
    </row>
    <row r="2994" spans="1:11">
      <c r="A2994" s="6">
        <v>44792</v>
      </c>
      <c r="B2994" s="20" t="s">
        <v>3698</v>
      </c>
      <c r="C2994" s="6">
        <v>44784</v>
      </c>
      <c r="D2994" t="s">
        <v>3441</v>
      </c>
      <c r="E2994" t="s">
        <v>3710</v>
      </c>
      <c r="F2994" t="s">
        <v>2690</v>
      </c>
      <c r="G2994">
        <v>11073756</v>
      </c>
      <c r="H2994"/>
      <c r="I2994"/>
      <c r="J2994"/>
      <c r="K2994" t="s">
        <v>3546</v>
      </c>
    </row>
    <row r="2995" spans="1:11">
      <c r="A2995" s="6">
        <v>44792</v>
      </c>
      <c r="B2995" s="20" t="s">
        <v>3698</v>
      </c>
      <c r="C2995" s="6">
        <v>44784</v>
      </c>
      <c r="D2995" t="s">
        <v>3441</v>
      </c>
      <c r="E2995" t="s">
        <v>3711</v>
      </c>
      <c r="F2995" t="s">
        <v>2690</v>
      </c>
      <c r="G2995">
        <v>11073756</v>
      </c>
      <c r="H2995"/>
      <c r="I2995"/>
      <c r="J2995"/>
      <c r="K2995" t="s">
        <v>3547</v>
      </c>
    </row>
    <row r="2996" spans="1:11">
      <c r="A2996" s="6">
        <v>44792</v>
      </c>
      <c r="B2996" s="20" t="s">
        <v>3698</v>
      </c>
      <c r="C2996" s="6">
        <v>44784</v>
      </c>
      <c r="D2996" t="s">
        <v>3441</v>
      </c>
      <c r="E2996" t="s">
        <v>3712</v>
      </c>
      <c r="F2996" t="s">
        <v>2690</v>
      </c>
      <c r="G2996">
        <v>11073756</v>
      </c>
      <c r="H2996"/>
      <c r="I2996"/>
      <c r="J2996"/>
      <c r="K2996" t="s">
        <v>3548</v>
      </c>
    </row>
    <row r="2997" spans="1:11">
      <c r="A2997" s="6">
        <v>44792</v>
      </c>
      <c r="B2997" s="20" t="s">
        <v>3698</v>
      </c>
      <c r="C2997" s="6">
        <v>44784</v>
      </c>
      <c r="D2997" t="s">
        <v>3441</v>
      </c>
      <c r="E2997" t="s">
        <v>3713</v>
      </c>
      <c r="F2997" t="s">
        <v>2690</v>
      </c>
      <c r="G2997">
        <v>11073756</v>
      </c>
      <c r="H2997"/>
      <c r="I2997"/>
      <c r="J2997"/>
      <c r="K2997" t="s">
        <v>3549</v>
      </c>
    </row>
    <row r="2998" spans="1:11">
      <c r="A2998" s="6">
        <v>44792</v>
      </c>
      <c r="B2998" s="20" t="s">
        <v>3698</v>
      </c>
      <c r="C2998" s="6">
        <v>44784</v>
      </c>
      <c r="D2998" t="s">
        <v>3441</v>
      </c>
      <c r="E2998" t="s">
        <v>3714</v>
      </c>
      <c r="F2998" t="s">
        <v>2690</v>
      </c>
      <c r="G2998">
        <v>11073756</v>
      </c>
      <c r="H2998"/>
      <c r="I2998"/>
      <c r="J2998"/>
      <c r="K2998" t="s">
        <v>3550</v>
      </c>
    </row>
    <row r="2999" spans="1:11">
      <c r="A2999" s="6">
        <v>44792</v>
      </c>
      <c r="B2999" s="20" t="s">
        <v>3698</v>
      </c>
      <c r="C2999" s="6">
        <v>44784</v>
      </c>
      <c r="D2999" t="s">
        <v>3441</v>
      </c>
      <c r="E2999" t="s">
        <v>3715</v>
      </c>
      <c r="F2999" t="s">
        <v>2690</v>
      </c>
      <c r="G2999">
        <v>11073756</v>
      </c>
      <c r="H2999"/>
      <c r="I2999"/>
      <c r="J2999"/>
      <c r="K2999" t="s">
        <v>3551</v>
      </c>
    </row>
    <row r="3000" spans="1:11">
      <c r="A3000" s="6">
        <v>44792</v>
      </c>
      <c r="B3000" s="20" t="s">
        <v>3698</v>
      </c>
      <c r="C3000" s="6">
        <v>44784</v>
      </c>
      <c r="D3000" t="s">
        <v>3441</v>
      </c>
      <c r="E3000" t="s">
        <v>3716</v>
      </c>
      <c r="F3000" t="s">
        <v>2690</v>
      </c>
      <c r="G3000">
        <v>11073756</v>
      </c>
      <c r="H3000"/>
      <c r="I3000"/>
      <c r="J3000"/>
      <c r="K3000" t="s">
        <v>3552</v>
      </c>
    </row>
    <row r="3001" spans="1:11">
      <c r="A3001"/>
      <c r="B3001"/>
      <c r="C3001"/>
      <c r="D3001" t="s">
        <v>976</v>
      </c>
      <c r="E3001" s="47">
        <v>2219145923985</v>
      </c>
      <c r="F3001"/>
      <c r="G3001"/>
      <c r="H3001"/>
      <c r="I3001"/>
      <c r="J3001"/>
      <c r="K3001" t="s">
        <v>3535</v>
      </c>
    </row>
    <row r="3002" spans="1:11">
      <c r="A3002"/>
      <c r="B3002"/>
      <c r="C3002"/>
      <c r="D3002" t="s">
        <v>976</v>
      </c>
      <c r="E3002" s="47">
        <v>2219145923984</v>
      </c>
      <c r="F3002"/>
      <c r="G3002"/>
      <c r="H3002"/>
      <c r="I3002"/>
      <c r="J3002"/>
      <c r="K3002" t="s">
        <v>3536</v>
      </c>
    </row>
    <row r="3003" spans="1:11">
      <c r="A3003"/>
      <c r="B3003"/>
      <c r="C3003"/>
      <c r="D3003" t="s">
        <v>976</v>
      </c>
      <c r="E3003" s="47">
        <v>2219145923983</v>
      </c>
      <c r="F3003"/>
      <c r="G3003"/>
      <c r="H3003"/>
      <c r="I3003"/>
      <c r="J3003"/>
      <c r="K3003" t="s">
        <v>3537</v>
      </c>
    </row>
    <row r="3004" spans="1:11">
      <c r="A3004"/>
      <c r="B3004"/>
      <c r="C3004"/>
      <c r="D3004" t="s">
        <v>976</v>
      </c>
      <c r="E3004" s="47">
        <v>2219145923982</v>
      </c>
      <c r="F3004"/>
      <c r="G3004"/>
      <c r="H3004"/>
      <c r="I3004"/>
      <c r="J3004"/>
      <c r="K3004" t="s">
        <v>3538</v>
      </c>
    </row>
    <row r="3005" spans="1:11">
      <c r="A3005"/>
      <c r="B3005"/>
      <c r="C3005"/>
      <c r="D3005" t="s">
        <v>976</v>
      </c>
      <c r="E3005" s="47">
        <v>2219145923981</v>
      </c>
      <c r="F3005"/>
      <c r="G3005"/>
      <c r="H3005"/>
      <c r="I3005"/>
      <c r="J3005"/>
      <c r="K3005" t="s">
        <v>3539</v>
      </c>
    </row>
    <row r="3006" spans="1:11">
      <c r="A3006"/>
      <c r="B3006"/>
      <c r="C3006"/>
      <c r="D3006" t="s">
        <v>976</v>
      </c>
      <c r="E3006" s="47">
        <v>2219145923980</v>
      </c>
      <c r="F3006"/>
      <c r="G3006"/>
      <c r="H3006"/>
      <c r="I3006"/>
      <c r="J3006"/>
      <c r="K3006" t="s">
        <v>3540</v>
      </c>
    </row>
    <row r="3007" spans="1:11">
      <c r="A3007"/>
      <c r="B3007"/>
      <c r="C3007"/>
      <c r="D3007" t="s">
        <v>976</v>
      </c>
      <c r="E3007" s="47">
        <v>2219145923978</v>
      </c>
      <c r="F3007"/>
      <c r="G3007"/>
      <c r="H3007"/>
      <c r="I3007"/>
      <c r="J3007"/>
      <c r="K3007" t="s">
        <v>3541</v>
      </c>
    </row>
    <row r="3008" spans="1:11">
      <c r="A3008"/>
      <c r="B3008"/>
      <c r="C3008"/>
      <c r="D3008" t="s">
        <v>976</v>
      </c>
      <c r="E3008" s="47">
        <v>2219145923979</v>
      </c>
      <c r="F3008"/>
      <c r="G3008"/>
      <c r="H3008"/>
      <c r="I3008"/>
      <c r="J3008"/>
      <c r="K3008" t="s">
        <v>3542</v>
      </c>
    </row>
    <row r="3009" spans="1:11">
      <c r="A3009"/>
      <c r="B3009"/>
      <c r="C3009"/>
      <c r="D3009" t="s">
        <v>976</v>
      </c>
      <c r="E3009" s="47">
        <v>2219145923977</v>
      </c>
      <c r="F3009"/>
      <c r="G3009"/>
      <c r="H3009"/>
      <c r="I3009"/>
      <c r="J3009"/>
      <c r="K3009" t="s">
        <v>3543</v>
      </c>
    </row>
    <row r="3010" spans="1:11">
      <c r="A3010"/>
      <c r="B3010"/>
      <c r="C3010"/>
      <c r="D3010" t="s">
        <v>976</v>
      </c>
      <c r="E3010" s="47">
        <v>2219145923976</v>
      </c>
      <c r="F3010"/>
      <c r="G3010"/>
      <c r="H3010"/>
      <c r="I3010"/>
      <c r="J3010"/>
      <c r="K3010" t="s">
        <v>3544</v>
      </c>
    </row>
    <row r="3011" spans="1:11">
      <c r="A3011"/>
      <c r="B3011"/>
      <c r="C3011"/>
      <c r="D3011" t="s">
        <v>976</v>
      </c>
      <c r="E3011" s="47">
        <v>2219145923975</v>
      </c>
      <c r="F3011"/>
      <c r="G3011"/>
      <c r="H3011"/>
      <c r="I3011"/>
      <c r="J3011"/>
      <c r="K3011" t="s">
        <v>3545</v>
      </c>
    </row>
    <row r="3012" spans="1:11">
      <c r="A3012"/>
      <c r="B3012"/>
      <c r="C3012"/>
      <c r="D3012" t="s">
        <v>976</v>
      </c>
      <c r="E3012" s="47">
        <v>2219145923974</v>
      </c>
      <c r="F3012"/>
      <c r="G3012"/>
      <c r="H3012"/>
      <c r="I3012"/>
      <c r="J3012"/>
      <c r="K3012" t="s">
        <v>3546</v>
      </c>
    </row>
    <row r="3013" spans="1:11">
      <c r="A3013"/>
      <c r="B3013"/>
      <c r="C3013"/>
      <c r="D3013" t="s">
        <v>976</v>
      </c>
      <c r="E3013" s="47">
        <v>2219145923973</v>
      </c>
      <c r="F3013"/>
      <c r="G3013"/>
      <c r="H3013"/>
      <c r="I3013"/>
      <c r="J3013"/>
      <c r="K3013" t="s">
        <v>3547</v>
      </c>
    </row>
    <row r="3014" spans="1:11">
      <c r="A3014"/>
      <c r="B3014"/>
      <c r="C3014"/>
      <c r="D3014" t="s">
        <v>976</v>
      </c>
      <c r="E3014" s="47">
        <v>2219145924006</v>
      </c>
      <c r="F3014"/>
      <c r="G3014"/>
      <c r="H3014"/>
      <c r="I3014"/>
      <c r="J3014"/>
      <c r="K3014" t="s">
        <v>3548</v>
      </c>
    </row>
    <row r="3015" spans="1:11">
      <c r="A3015"/>
      <c r="B3015"/>
      <c r="C3015"/>
      <c r="D3015" t="s">
        <v>976</v>
      </c>
      <c r="E3015" s="47">
        <v>2219145924005</v>
      </c>
      <c r="F3015"/>
      <c r="G3015"/>
      <c r="H3015"/>
      <c r="I3015"/>
      <c r="J3015"/>
      <c r="K3015" t="s">
        <v>3549</v>
      </c>
    </row>
    <row r="3016" spans="1:11">
      <c r="A3016"/>
      <c r="B3016"/>
      <c r="C3016"/>
      <c r="D3016" t="s">
        <v>976</v>
      </c>
      <c r="E3016" s="47">
        <v>2219145924004</v>
      </c>
      <c r="F3016"/>
      <c r="G3016"/>
      <c r="H3016"/>
      <c r="I3016"/>
      <c r="J3016"/>
      <c r="K3016" t="s">
        <v>3550</v>
      </c>
    </row>
    <row r="3017" spans="1:11">
      <c r="A3017"/>
      <c r="B3017"/>
      <c r="C3017"/>
      <c r="D3017" t="s">
        <v>976</v>
      </c>
      <c r="E3017" s="47">
        <v>2219145924002</v>
      </c>
      <c r="F3017"/>
      <c r="G3017"/>
      <c r="H3017"/>
      <c r="I3017"/>
      <c r="J3017"/>
      <c r="K3017" t="s">
        <v>3551</v>
      </c>
    </row>
    <row r="3018" spans="1:11">
      <c r="A3018"/>
      <c r="B3018"/>
      <c r="C3018"/>
      <c r="D3018" t="s">
        <v>976</v>
      </c>
      <c r="E3018" s="47">
        <v>2219145924003</v>
      </c>
      <c r="F3018"/>
      <c r="G3018"/>
      <c r="H3018"/>
      <c r="I3018"/>
      <c r="J3018"/>
      <c r="K3018" t="s">
        <v>3552</v>
      </c>
    </row>
    <row r="3019" spans="1:11">
      <c r="A3019"/>
      <c r="B3019"/>
      <c r="C3019"/>
      <c r="D3019" t="s">
        <v>3717</v>
      </c>
      <c r="E3019" s="20">
        <v>4537000005176</v>
      </c>
      <c r="F3019"/>
      <c r="G3019"/>
      <c r="H3019"/>
      <c r="I3019"/>
      <c r="J3019"/>
      <c r="K3019" t="s">
        <v>3727</v>
      </c>
    </row>
    <row r="3020" spans="1:11">
      <c r="A3020"/>
      <c r="B3020"/>
      <c r="C3020"/>
      <c r="D3020" t="s">
        <v>3718</v>
      </c>
      <c r="E3020" s="20">
        <v>2219144320214</v>
      </c>
      <c r="F3020"/>
      <c r="G3020"/>
      <c r="H3020"/>
      <c r="I3020"/>
      <c r="J3020"/>
      <c r="K3020" t="s">
        <v>3727</v>
      </c>
    </row>
    <row r="3021" spans="1:11">
      <c r="A3021"/>
      <c r="B3021"/>
      <c r="C3021"/>
      <c r="D3021" t="s">
        <v>3718</v>
      </c>
      <c r="E3021" s="20">
        <v>2219144320211</v>
      </c>
      <c r="F3021"/>
      <c r="G3021"/>
      <c r="H3021"/>
      <c r="I3021"/>
      <c r="J3021"/>
      <c r="K3021" t="s">
        <v>3727</v>
      </c>
    </row>
    <row r="3022" spans="1:11">
      <c r="A3022"/>
      <c r="B3022"/>
      <c r="C3022"/>
      <c r="D3022" t="s">
        <v>3717</v>
      </c>
      <c r="E3022" s="20">
        <v>4537000022600</v>
      </c>
      <c r="F3022"/>
      <c r="G3022"/>
      <c r="H3022"/>
      <c r="I3022"/>
      <c r="J3022"/>
      <c r="K3022" t="s">
        <v>3722</v>
      </c>
    </row>
    <row r="3023" spans="1:11">
      <c r="A3023"/>
      <c r="B3023"/>
      <c r="C3023"/>
      <c r="D3023" t="s">
        <v>3718</v>
      </c>
      <c r="E3023" s="20">
        <v>2219144320212</v>
      </c>
      <c r="F3023"/>
      <c r="G3023"/>
      <c r="H3023"/>
      <c r="I3023"/>
      <c r="J3023"/>
      <c r="K3023" t="s">
        <v>3722</v>
      </c>
    </row>
    <row r="3024" spans="1:11">
      <c r="A3024"/>
      <c r="B3024"/>
      <c r="C3024"/>
      <c r="D3024" t="s">
        <v>3718</v>
      </c>
      <c r="E3024" s="20">
        <v>2219144320213</v>
      </c>
      <c r="F3024"/>
      <c r="G3024"/>
      <c r="H3024"/>
      <c r="I3024"/>
      <c r="J3024"/>
      <c r="K3024" t="s">
        <v>3722</v>
      </c>
    </row>
    <row r="3025" spans="1:11">
      <c r="A3025" s="6">
        <v>44781</v>
      </c>
      <c r="B3025" s="20" t="s">
        <v>3719</v>
      </c>
      <c r="C3025" s="6">
        <v>44777</v>
      </c>
      <c r="D3025" t="s">
        <v>2990</v>
      </c>
      <c r="E3025" t="s">
        <v>3720</v>
      </c>
      <c r="F3025" t="s">
        <v>113</v>
      </c>
      <c r="G3025" t="s">
        <v>3721</v>
      </c>
      <c r="H3025"/>
      <c r="I3025"/>
      <c r="J3025"/>
      <c r="K3025" t="s">
        <v>3722</v>
      </c>
    </row>
    <row r="3026" spans="1:11">
      <c r="A3026" s="6">
        <v>44781</v>
      </c>
      <c r="B3026" s="20" t="s">
        <v>3719</v>
      </c>
      <c r="C3026" s="6">
        <v>44777</v>
      </c>
      <c r="D3026" t="s">
        <v>2990</v>
      </c>
      <c r="E3026" t="s">
        <v>3723</v>
      </c>
      <c r="F3026" t="s">
        <v>113</v>
      </c>
      <c r="G3026" t="s">
        <v>3721</v>
      </c>
      <c r="H3026"/>
      <c r="I3026"/>
      <c r="J3026"/>
      <c r="K3026" t="s">
        <v>3722</v>
      </c>
    </row>
    <row r="3027" spans="1:11">
      <c r="A3027" s="6">
        <v>44781</v>
      </c>
      <c r="B3027" s="20" t="s">
        <v>3719</v>
      </c>
      <c r="C3027" s="6">
        <v>44777</v>
      </c>
      <c r="D3027" t="s">
        <v>2990</v>
      </c>
      <c r="E3027" t="s">
        <v>3724</v>
      </c>
      <c r="F3027" t="s">
        <v>113</v>
      </c>
      <c r="G3027" t="s">
        <v>3721</v>
      </c>
      <c r="H3027"/>
      <c r="I3027"/>
      <c r="J3027"/>
      <c r="K3027" t="s">
        <v>3722</v>
      </c>
    </row>
    <row r="3028" spans="1:11">
      <c r="A3028" s="6">
        <v>44781</v>
      </c>
      <c r="B3028" s="20" t="s">
        <v>3719</v>
      </c>
      <c r="C3028" s="6">
        <v>44777</v>
      </c>
      <c r="D3028" t="s">
        <v>2990</v>
      </c>
      <c r="E3028" t="s">
        <v>3725</v>
      </c>
      <c r="F3028" t="s">
        <v>113</v>
      </c>
      <c r="G3028" t="s">
        <v>3721</v>
      </c>
      <c r="H3028"/>
      <c r="I3028"/>
      <c r="J3028"/>
      <c r="K3028" t="s">
        <v>3722</v>
      </c>
    </row>
    <row r="3029" spans="1:11">
      <c r="A3029" s="6">
        <v>44781</v>
      </c>
      <c r="B3029" s="20" t="s">
        <v>3719</v>
      </c>
      <c r="C3029" s="6">
        <v>44777</v>
      </c>
      <c r="D3029" t="s">
        <v>2990</v>
      </c>
      <c r="E3029" t="s">
        <v>3726</v>
      </c>
      <c r="F3029" t="s">
        <v>113</v>
      </c>
      <c r="G3029" t="s">
        <v>3721</v>
      </c>
      <c r="H3029"/>
      <c r="I3029"/>
      <c r="J3029"/>
      <c r="K3029" t="s">
        <v>3727</v>
      </c>
    </row>
    <row r="3030" spans="1:11">
      <c r="A3030" s="6">
        <v>44781</v>
      </c>
      <c r="B3030" s="20" t="s">
        <v>3719</v>
      </c>
      <c r="C3030" s="6">
        <v>44777</v>
      </c>
      <c r="D3030" t="s">
        <v>2990</v>
      </c>
      <c r="E3030" t="s">
        <v>3728</v>
      </c>
      <c r="F3030" t="s">
        <v>113</v>
      </c>
      <c r="G3030" t="s">
        <v>3721</v>
      </c>
      <c r="H3030"/>
      <c r="I3030"/>
      <c r="J3030"/>
      <c r="K3030" t="s">
        <v>3727</v>
      </c>
    </row>
    <row r="3031" spans="1:11">
      <c r="A3031" s="6">
        <v>44781</v>
      </c>
      <c r="B3031" s="20" t="s">
        <v>3719</v>
      </c>
      <c r="C3031" s="6">
        <v>44777</v>
      </c>
      <c r="D3031" t="s">
        <v>2990</v>
      </c>
      <c r="E3031" t="s">
        <v>3729</v>
      </c>
      <c r="F3031" t="s">
        <v>113</v>
      </c>
      <c r="G3031" t="s">
        <v>3721</v>
      </c>
      <c r="H3031"/>
      <c r="I3031"/>
      <c r="J3031"/>
      <c r="K3031" t="s">
        <v>3727</v>
      </c>
    </row>
    <row r="3032" spans="1:11">
      <c r="A3032" s="6">
        <v>44781</v>
      </c>
      <c r="B3032" s="20" t="s">
        <v>3719</v>
      </c>
      <c r="C3032" s="6">
        <v>44777</v>
      </c>
      <c r="D3032" t="s">
        <v>2990</v>
      </c>
      <c r="E3032" t="s">
        <v>3730</v>
      </c>
      <c r="F3032" t="s">
        <v>113</v>
      </c>
      <c r="G3032" t="s">
        <v>3721</v>
      </c>
      <c r="H3032"/>
      <c r="I3032"/>
      <c r="J3032"/>
      <c r="K3032" t="s">
        <v>3727</v>
      </c>
    </row>
    <row r="3033" spans="1:11">
      <c r="A3033" s="6">
        <v>44781</v>
      </c>
      <c r="B3033" s="20" t="s">
        <v>3719</v>
      </c>
      <c r="C3033" s="6">
        <v>44777</v>
      </c>
      <c r="D3033" t="s">
        <v>3731</v>
      </c>
      <c r="E3033" t="s">
        <v>3732</v>
      </c>
      <c r="F3033" t="s">
        <v>113</v>
      </c>
      <c r="G3033" t="s">
        <v>3721</v>
      </c>
      <c r="H3033"/>
      <c r="I3033"/>
      <c r="J3033"/>
      <c r="K3033" t="s">
        <v>3727</v>
      </c>
    </row>
    <row r="3034" spans="1:11">
      <c r="A3034" s="6">
        <v>44781</v>
      </c>
      <c r="B3034" s="20" t="s">
        <v>3719</v>
      </c>
      <c r="C3034" s="6">
        <v>44777</v>
      </c>
      <c r="D3034" t="s">
        <v>3731</v>
      </c>
      <c r="E3034" t="s">
        <v>3733</v>
      </c>
      <c r="F3034" t="s">
        <v>113</v>
      </c>
      <c r="G3034" t="s">
        <v>3721</v>
      </c>
      <c r="H3034"/>
      <c r="I3034"/>
      <c r="J3034"/>
      <c r="K3034" t="s">
        <v>3722</v>
      </c>
    </row>
    <row r="3035" spans="1:11">
      <c r="A3035" s="6">
        <v>44781</v>
      </c>
      <c r="B3035" s="20" t="s">
        <v>3719</v>
      </c>
      <c r="C3035" s="6">
        <v>44777</v>
      </c>
      <c r="D3035" t="s">
        <v>3731</v>
      </c>
      <c r="E3035" t="s">
        <v>3734</v>
      </c>
      <c r="F3035" t="s">
        <v>113</v>
      </c>
      <c r="G3035" t="s">
        <v>3721</v>
      </c>
      <c r="H3035"/>
      <c r="I3035"/>
      <c r="J3035"/>
      <c r="K3035" t="s">
        <v>3727</v>
      </c>
    </row>
    <row r="3036" spans="1:11">
      <c r="A3036" s="6">
        <v>44781</v>
      </c>
      <c r="B3036" s="20" t="s">
        <v>3719</v>
      </c>
      <c r="C3036" s="6">
        <v>44777</v>
      </c>
      <c r="D3036" t="s">
        <v>3731</v>
      </c>
      <c r="E3036" t="s">
        <v>3735</v>
      </c>
      <c r="F3036" t="s">
        <v>113</v>
      </c>
      <c r="G3036" t="s">
        <v>3721</v>
      </c>
      <c r="H3036"/>
      <c r="I3036"/>
      <c r="J3036"/>
      <c r="K3036" t="s">
        <v>3722</v>
      </c>
    </row>
    <row r="3037" spans="1:11">
      <c r="A3037" s="6">
        <v>44781</v>
      </c>
      <c r="B3037" s="20" t="s">
        <v>3719</v>
      </c>
      <c r="C3037" s="6">
        <v>44777</v>
      </c>
      <c r="D3037" t="s">
        <v>3736</v>
      </c>
      <c r="E3037" t="s">
        <v>3737</v>
      </c>
      <c r="F3037" t="s">
        <v>113</v>
      </c>
      <c r="G3037" t="s">
        <v>3721</v>
      </c>
      <c r="H3037"/>
      <c r="I3037"/>
      <c r="J3037"/>
      <c r="K3037" t="s">
        <v>3727</v>
      </c>
    </row>
    <row r="3038" spans="1:11">
      <c r="A3038" s="6">
        <v>44781</v>
      </c>
      <c r="B3038" s="20" t="s">
        <v>3719</v>
      </c>
      <c r="C3038" s="6">
        <v>44777</v>
      </c>
      <c r="D3038" t="s">
        <v>3736</v>
      </c>
      <c r="E3038" t="s">
        <v>3738</v>
      </c>
      <c r="F3038" t="s">
        <v>113</v>
      </c>
      <c r="G3038" t="s">
        <v>3721</v>
      </c>
      <c r="H3038"/>
      <c r="I3038"/>
      <c r="J3038"/>
      <c r="K3038" t="s">
        <v>3722</v>
      </c>
    </row>
    <row r="3039" spans="1:11">
      <c r="A3039" s="6">
        <v>44781</v>
      </c>
      <c r="B3039" s="20" t="s">
        <v>3719</v>
      </c>
      <c r="C3039" s="6">
        <v>44777</v>
      </c>
      <c r="D3039" t="s">
        <v>3736</v>
      </c>
      <c r="E3039" t="s">
        <v>3739</v>
      </c>
      <c r="F3039" t="s">
        <v>113</v>
      </c>
      <c r="G3039" t="s">
        <v>3721</v>
      </c>
      <c r="H3039"/>
      <c r="I3039"/>
      <c r="J3039"/>
      <c r="K3039" t="s">
        <v>3722</v>
      </c>
    </row>
    <row r="3040" spans="1:11">
      <c r="A3040" s="6">
        <v>44781</v>
      </c>
      <c r="B3040" s="20" t="s">
        <v>3719</v>
      </c>
      <c r="C3040" s="6">
        <v>44777</v>
      </c>
      <c r="D3040" t="s">
        <v>3736</v>
      </c>
      <c r="E3040" t="s">
        <v>3740</v>
      </c>
      <c r="F3040" t="s">
        <v>113</v>
      </c>
      <c r="G3040" t="s">
        <v>3721</v>
      </c>
      <c r="H3040"/>
      <c r="I3040"/>
      <c r="J3040"/>
      <c r="K3040" t="s">
        <v>3727</v>
      </c>
    </row>
    <row r="3041" spans="1:11">
      <c r="A3041" s="6">
        <v>44781</v>
      </c>
      <c r="B3041" s="20" t="s">
        <v>3719</v>
      </c>
      <c r="C3041" s="48">
        <v>44777</v>
      </c>
      <c r="D3041" s="49" t="s">
        <v>3736</v>
      </c>
      <c r="E3041" s="49" t="s">
        <v>3741</v>
      </c>
      <c r="F3041" s="49" t="s">
        <v>113</v>
      </c>
      <c r="G3041" s="49" t="s">
        <v>3721</v>
      </c>
      <c r="H3041" s="49"/>
      <c r="I3041"/>
      <c r="J3041"/>
      <c r="K3041" t="s">
        <v>3727</v>
      </c>
    </row>
    <row r="3042" spans="1:11">
      <c r="A3042" s="6">
        <v>44781</v>
      </c>
      <c r="B3042" s="20" t="s">
        <v>3719</v>
      </c>
      <c r="C3042" s="48">
        <v>44777</v>
      </c>
      <c r="D3042" s="49" t="s">
        <v>3736</v>
      </c>
      <c r="E3042" s="49" t="s">
        <v>3742</v>
      </c>
      <c r="F3042" s="49" t="s">
        <v>113</v>
      </c>
      <c r="G3042" s="49" t="s">
        <v>3721</v>
      </c>
      <c r="H3042" s="49"/>
      <c r="I3042"/>
      <c r="J3042"/>
      <c r="K3042" t="s">
        <v>3722</v>
      </c>
    </row>
    <row r="3043" spans="1:11">
      <c r="A3043" s="6">
        <v>44782</v>
      </c>
      <c r="B3043" s="20">
        <v>10812723267</v>
      </c>
      <c r="C3043" s="6">
        <v>44781</v>
      </c>
      <c r="D3043" t="s">
        <v>3743</v>
      </c>
      <c r="E3043" t="s">
        <v>3744</v>
      </c>
      <c r="F3043" t="s">
        <v>753</v>
      </c>
      <c r="G3043">
        <v>40083572</v>
      </c>
      <c r="H3043"/>
      <c r="I3043"/>
      <c r="J3043"/>
      <c r="K3043" t="s">
        <v>3722</v>
      </c>
    </row>
    <row r="3044" spans="1:11">
      <c r="A3044" s="6">
        <v>44782</v>
      </c>
      <c r="B3044" s="20">
        <v>10812723267</v>
      </c>
      <c r="C3044" s="6">
        <v>44781</v>
      </c>
      <c r="D3044" t="s">
        <v>3743</v>
      </c>
      <c r="E3044" t="s">
        <v>3745</v>
      </c>
      <c r="F3044" t="s">
        <v>753</v>
      </c>
      <c r="G3044">
        <v>40083572</v>
      </c>
      <c r="H3044"/>
      <c r="I3044"/>
      <c r="J3044"/>
      <c r="K3044" t="s">
        <v>3727</v>
      </c>
    </row>
    <row r="3045" spans="1:11">
      <c r="A3045" s="38">
        <v>44789</v>
      </c>
      <c r="B3045" s="27" t="s">
        <v>954</v>
      </c>
      <c r="C3045" s="38">
        <v>44785</v>
      </c>
      <c r="D3045" s="26" t="s">
        <v>3746</v>
      </c>
      <c r="E3045" s="26" t="s">
        <v>3727</v>
      </c>
      <c r="F3045" s="26" t="s">
        <v>210</v>
      </c>
      <c r="G3045" s="26">
        <v>931517886</v>
      </c>
      <c r="H3045" s="26"/>
      <c r="I3045" s="26"/>
      <c r="J3045" s="26"/>
      <c r="K3045" t="s">
        <v>3727</v>
      </c>
    </row>
    <row r="3046" spans="1:11">
      <c r="A3046" s="6">
        <v>44789</v>
      </c>
      <c r="B3046" s="20"/>
      <c r="C3046"/>
      <c r="D3046" t="s">
        <v>2700</v>
      </c>
      <c r="E3046" t="s">
        <v>3747</v>
      </c>
      <c r="F3046"/>
      <c r="G3046"/>
      <c r="H3046"/>
      <c r="I3046"/>
      <c r="J3046"/>
      <c r="K3046" t="s">
        <v>3727</v>
      </c>
    </row>
    <row r="3047" spans="1:11">
      <c r="A3047" s="6">
        <v>44789</v>
      </c>
      <c r="B3047" s="20"/>
      <c r="C3047"/>
      <c r="D3047" t="s">
        <v>2700</v>
      </c>
      <c r="E3047" t="s">
        <v>3748</v>
      </c>
      <c r="F3047"/>
      <c r="G3047"/>
      <c r="H3047"/>
      <c r="I3047"/>
      <c r="J3047"/>
      <c r="K3047" t="s">
        <v>3727</v>
      </c>
    </row>
    <row r="3048" spans="1:11">
      <c r="A3048" s="45">
        <v>44789</v>
      </c>
      <c r="B3048" s="29"/>
      <c r="C3048" s="28"/>
      <c r="D3048" s="28" t="s">
        <v>3356</v>
      </c>
      <c r="E3048" s="28" t="s">
        <v>3749</v>
      </c>
      <c r="F3048" s="28"/>
      <c r="G3048" s="28"/>
      <c r="H3048" s="28"/>
      <c r="I3048" s="28"/>
      <c r="J3048" s="28"/>
      <c r="K3048" t="s">
        <v>3727</v>
      </c>
    </row>
    <row r="3049" spans="1:11">
      <c r="A3049" s="6">
        <v>44789</v>
      </c>
      <c r="B3049" s="20" t="s">
        <v>954</v>
      </c>
      <c r="C3049" s="6">
        <v>44785</v>
      </c>
      <c r="D3049" t="s">
        <v>3746</v>
      </c>
      <c r="E3049" t="s">
        <v>3722</v>
      </c>
      <c r="F3049" t="s">
        <v>210</v>
      </c>
      <c r="G3049">
        <v>931517886</v>
      </c>
      <c r="H3049"/>
      <c r="I3049"/>
      <c r="J3049"/>
      <c r="K3049" t="s">
        <v>3722</v>
      </c>
    </row>
    <row r="3050" spans="1:11">
      <c r="A3050" s="6">
        <v>44789</v>
      </c>
      <c r="B3050" s="20"/>
      <c r="C3050"/>
      <c r="D3050" t="s">
        <v>2700</v>
      </c>
      <c r="E3050" t="s">
        <v>3750</v>
      </c>
      <c r="F3050"/>
      <c r="G3050"/>
      <c r="H3050"/>
      <c r="I3050"/>
      <c r="J3050"/>
      <c r="K3050" t="s">
        <v>3722</v>
      </c>
    </row>
    <row r="3051" spans="1:11">
      <c r="A3051" s="6">
        <v>44789</v>
      </c>
      <c r="B3051" s="20"/>
      <c r="C3051"/>
      <c r="D3051" t="s">
        <v>2700</v>
      </c>
      <c r="E3051" t="s">
        <v>3751</v>
      </c>
      <c r="F3051"/>
      <c r="G3051"/>
      <c r="H3051"/>
      <c r="I3051"/>
      <c r="J3051"/>
      <c r="K3051" t="s">
        <v>3722</v>
      </c>
    </row>
    <row r="3052" spans="1:11">
      <c r="A3052" s="45">
        <v>44789</v>
      </c>
      <c r="B3052" s="29"/>
      <c r="C3052" s="28"/>
      <c r="D3052" s="28" t="s">
        <v>3356</v>
      </c>
      <c r="E3052" s="28" t="s">
        <v>3752</v>
      </c>
      <c r="F3052" s="28"/>
      <c r="G3052" s="28"/>
      <c r="H3052" s="28"/>
      <c r="I3052" s="28"/>
      <c r="J3052" s="28"/>
      <c r="K3052" s="28" t="s">
        <v>3722</v>
      </c>
    </row>
    <row r="3053" spans="1:11">
      <c r="A3053" s="6">
        <v>44789</v>
      </c>
      <c r="B3053" s="20" t="s">
        <v>954</v>
      </c>
      <c r="C3053" s="6">
        <v>44785</v>
      </c>
      <c r="D3053" t="s">
        <v>773</v>
      </c>
      <c r="E3053" t="s">
        <v>3753</v>
      </c>
      <c r="F3053" t="s">
        <v>210</v>
      </c>
      <c r="G3053">
        <v>931517886</v>
      </c>
      <c r="H3053"/>
      <c r="I3053"/>
      <c r="J3053"/>
      <c r="K3053" t="s">
        <v>3727</v>
      </c>
    </row>
    <row r="3054" spans="1:11">
      <c r="A3054" s="6">
        <v>44789</v>
      </c>
      <c r="B3054" s="20" t="s">
        <v>954</v>
      </c>
      <c r="C3054" s="6">
        <v>44785</v>
      </c>
      <c r="D3054" t="s">
        <v>773</v>
      </c>
      <c r="E3054" t="s">
        <v>3754</v>
      </c>
      <c r="F3054" t="s">
        <v>210</v>
      </c>
      <c r="G3054">
        <v>931517886</v>
      </c>
      <c r="H3054"/>
      <c r="I3054"/>
      <c r="J3054"/>
      <c r="K3054" t="s">
        <v>3722</v>
      </c>
    </row>
    <row r="3055" spans="1:11">
      <c r="A3055" s="6">
        <v>44789</v>
      </c>
      <c r="B3055" s="20" t="s">
        <v>954</v>
      </c>
      <c r="C3055" s="6">
        <v>44785</v>
      </c>
      <c r="D3055" t="s">
        <v>293</v>
      </c>
      <c r="E3055" t="s">
        <v>3755</v>
      </c>
      <c r="F3055" t="s">
        <v>210</v>
      </c>
      <c r="G3055">
        <v>931517886</v>
      </c>
      <c r="H3055"/>
      <c r="I3055"/>
      <c r="J3055"/>
      <c r="K3055" t="s">
        <v>3727</v>
      </c>
    </row>
    <row r="3056" spans="1:11">
      <c r="A3056" s="6">
        <v>44789</v>
      </c>
      <c r="B3056" s="20" t="s">
        <v>954</v>
      </c>
      <c r="C3056" s="6">
        <v>44785</v>
      </c>
      <c r="D3056" t="s">
        <v>293</v>
      </c>
      <c r="E3056" t="s">
        <v>3756</v>
      </c>
      <c r="F3056" t="s">
        <v>210</v>
      </c>
      <c r="G3056">
        <v>931517886</v>
      </c>
      <c r="H3056"/>
      <c r="I3056"/>
      <c r="J3056"/>
      <c r="K3056" t="s">
        <v>3722</v>
      </c>
    </row>
    <row r="3057" spans="1:11">
      <c r="A3057" s="6">
        <v>44789</v>
      </c>
      <c r="B3057" s="20" t="s">
        <v>954</v>
      </c>
      <c r="C3057" s="6">
        <v>44785</v>
      </c>
      <c r="D3057" t="s">
        <v>3757</v>
      </c>
      <c r="E3057" t="s">
        <v>3758</v>
      </c>
      <c r="F3057" t="s">
        <v>210</v>
      </c>
      <c r="G3057">
        <v>931517886</v>
      </c>
      <c r="H3057"/>
      <c r="I3057"/>
      <c r="J3057"/>
      <c r="K3057" t="s">
        <v>3727</v>
      </c>
    </row>
    <row r="3058" spans="1:11">
      <c r="A3058" s="6">
        <v>44789</v>
      </c>
      <c r="B3058" s="20" t="s">
        <v>954</v>
      </c>
      <c r="C3058" s="6">
        <v>44785</v>
      </c>
      <c r="D3058" t="s">
        <v>3757</v>
      </c>
      <c r="E3058" t="s">
        <v>3759</v>
      </c>
      <c r="F3058" t="s">
        <v>210</v>
      </c>
      <c r="G3058">
        <v>931517886</v>
      </c>
      <c r="H3058"/>
      <c r="I3058"/>
      <c r="J3058"/>
      <c r="K3058" t="s">
        <v>3722</v>
      </c>
    </row>
    <row r="3059" spans="1:11">
      <c r="A3059" s="6">
        <v>44789</v>
      </c>
      <c r="B3059" s="20" t="s">
        <v>954</v>
      </c>
      <c r="C3059" s="6">
        <v>44785</v>
      </c>
      <c r="D3059" t="s">
        <v>3760</v>
      </c>
      <c r="E3059" t="s">
        <v>3761</v>
      </c>
      <c r="F3059" t="s">
        <v>210</v>
      </c>
      <c r="G3059">
        <v>931517886</v>
      </c>
      <c r="H3059"/>
      <c r="I3059"/>
      <c r="J3059"/>
      <c r="K3059" t="s">
        <v>3727</v>
      </c>
    </row>
    <row r="3060" spans="1:11">
      <c r="A3060" s="6">
        <v>44789</v>
      </c>
      <c r="B3060" s="20" t="s">
        <v>954</v>
      </c>
      <c r="C3060" s="6">
        <v>44785</v>
      </c>
      <c r="D3060" t="s">
        <v>3760</v>
      </c>
      <c r="E3060" t="s">
        <v>3762</v>
      </c>
      <c r="F3060" t="s">
        <v>210</v>
      </c>
      <c r="G3060">
        <v>931517886</v>
      </c>
      <c r="H3060"/>
      <c r="I3060"/>
      <c r="J3060"/>
      <c r="K3060" t="s">
        <v>3722</v>
      </c>
    </row>
    <row r="3061" spans="1:11">
      <c r="A3061" s="6">
        <v>44792</v>
      </c>
      <c r="B3061" s="20" t="s">
        <v>3698</v>
      </c>
      <c r="C3061" s="6">
        <v>44784</v>
      </c>
      <c r="D3061" t="s">
        <v>3763</v>
      </c>
      <c r="E3061" t="s">
        <v>3764</v>
      </c>
      <c r="F3061" t="s">
        <v>2690</v>
      </c>
      <c r="G3061">
        <v>11073756</v>
      </c>
      <c r="H3061"/>
      <c r="I3061"/>
      <c r="J3061"/>
      <c r="K3061" t="s">
        <v>3727</v>
      </c>
    </row>
    <row r="3062" spans="1:11">
      <c r="A3062" s="6">
        <v>44792</v>
      </c>
      <c r="B3062" s="20" t="s">
        <v>3698</v>
      </c>
      <c r="C3062" s="6">
        <v>44784</v>
      </c>
      <c r="D3062" t="s">
        <v>3763</v>
      </c>
      <c r="E3062" t="s">
        <v>3765</v>
      </c>
      <c r="F3062" t="s">
        <v>2690</v>
      </c>
      <c r="G3062">
        <v>11073756</v>
      </c>
      <c r="H3062"/>
      <c r="I3062"/>
      <c r="J3062"/>
      <c r="K3062" t="s">
        <v>3727</v>
      </c>
    </row>
    <row r="3063" spans="1:11">
      <c r="A3063" s="6">
        <v>44792</v>
      </c>
      <c r="B3063" s="20" t="s">
        <v>3698</v>
      </c>
      <c r="C3063" s="6">
        <v>44784</v>
      </c>
      <c r="D3063" t="s">
        <v>3763</v>
      </c>
      <c r="E3063" t="s">
        <v>3766</v>
      </c>
      <c r="F3063" t="s">
        <v>2690</v>
      </c>
      <c r="G3063">
        <v>11073756</v>
      </c>
      <c r="H3063"/>
      <c r="I3063"/>
      <c r="J3063"/>
      <c r="K3063" t="s">
        <v>3722</v>
      </c>
    </row>
    <row r="3064" spans="1:11">
      <c r="A3064" s="6">
        <v>44792</v>
      </c>
      <c r="B3064" s="20" t="s">
        <v>3698</v>
      </c>
      <c r="C3064" s="6">
        <v>44784</v>
      </c>
      <c r="D3064" t="s">
        <v>3763</v>
      </c>
      <c r="E3064" t="s">
        <v>3767</v>
      </c>
      <c r="F3064" t="s">
        <v>2690</v>
      </c>
      <c r="G3064">
        <v>11073756</v>
      </c>
      <c r="H3064"/>
      <c r="I3064"/>
      <c r="J3064"/>
      <c r="K3064" t="s">
        <v>3722</v>
      </c>
    </row>
    <row r="3065" spans="1:11">
      <c r="A3065"/>
      <c r="B3065"/>
      <c r="C3065"/>
      <c r="D3065"/>
      <c r="E3065"/>
      <c r="F3065"/>
      <c r="G3065"/>
      <c r="H3065"/>
      <c r="I3065"/>
      <c r="J3065"/>
      <c r="K3065"/>
    </row>
    <row r="3066" spans="1:11">
      <c r="A3066"/>
      <c r="B3066"/>
      <c r="C3066"/>
      <c r="D3066"/>
      <c r="E3066"/>
      <c r="F3066"/>
      <c r="G3066"/>
      <c r="H3066"/>
      <c r="I3066"/>
      <c r="J3066"/>
      <c r="K3066"/>
    </row>
    <row r="3067" spans="1:11">
      <c r="A3067"/>
      <c r="B3067"/>
      <c r="C3067"/>
      <c r="D3067"/>
      <c r="E3067"/>
      <c r="F3067"/>
      <c r="G3067"/>
      <c r="H3067"/>
      <c r="I3067"/>
      <c r="J3067"/>
      <c r="K3067"/>
    </row>
    <row r="3068" spans="1:11">
      <c r="A3068"/>
      <c r="B3068"/>
      <c r="C3068"/>
      <c r="D3068"/>
      <c r="E3068"/>
      <c r="F3068"/>
      <c r="G3068"/>
      <c r="H3068"/>
      <c r="I3068"/>
      <c r="J3068"/>
      <c r="K3068"/>
    </row>
    <row r="3069" spans="1:11">
      <c r="A3069"/>
      <c r="B3069"/>
      <c r="C3069"/>
      <c r="D3069"/>
      <c r="E3069"/>
      <c r="F3069"/>
      <c r="G3069"/>
      <c r="H3069"/>
      <c r="I3069"/>
      <c r="J3069"/>
      <c r="K3069"/>
    </row>
    <row r="3070" spans="1:11">
      <c r="A3070"/>
      <c r="B3070"/>
      <c r="C3070"/>
      <c r="D3070"/>
      <c r="E3070"/>
      <c r="F3070"/>
      <c r="G3070"/>
      <c r="H3070"/>
      <c r="I3070"/>
      <c r="J3070"/>
      <c r="K3070"/>
    </row>
    <row r="3071" spans="1:11">
      <c r="A3071"/>
      <c r="B3071"/>
      <c r="C3071"/>
      <c r="D3071"/>
      <c r="E3071"/>
      <c r="F3071"/>
      <c r="G3071"/>
      <c r="H3071"/>
      <c r="I3071"/>
      <c r="J3071"/>
      <c r="K3071"/>
    </row>
    <row r="3072" spans="1:11">
      <c r="A3072"/>
      <c r="B3072"/>
      <c r="C3072"/>
      <c r="D3072"/>
      <c r="E3072"/>
      <c r="F3072"/>
      <c r="G3072"/>
      <c r="H3072"/>
      <c r="I3072"/>
      <c r="J3072"/>
      <c r="K3072"/>
    </row>
    <row r="3073" spans="1:11">
      <c r="A3073"/>
      <c r="B3073"/>
      <c r="C3073"/>
      <c r="D3073"/>
      <c r="E3073"/>
      <c r="F3073"/>
      <c r="G3073"/>
      <c r="H3073"/>
      <c r="I3073"/>
      <c r="J3073"/>
      <c r="K3073"/>
    </row>
    <row r="3074" spans="1:11">
      <c r="A3074"/>
      <c r="B3074"/>
      <c r="C3074"/>
      <c r="D3074"/>
      <c r="E3074"/>
      <c r="F3074"/>
      <c r="G3074"/>
      <c r="H3074"/>
      <c r="I3074"/>
      <c r="J3074"/>
      <c r="K3074"/>
    </row>
    <row r="3075" spans="1:11">
      <c r="A3075"/>
      <c r="B3075"/>
      <c r="C3075"/>
      <c r="D3075"/>
      <c r="E3075"/>
      <c r="F3075"/>
      <c r="G3075"/>
      <c r="H3075"/>
      <c r="I3075"/>
      <c r="J3075"/>
      <c r="K3075"/>
    </row>
    <row r="3076" spans="1:11">
      <c r="A3076"/>
      <c r="B3076"/>
      <c r="C3076"/>
      <c r="D3076"/>
      <c r="E3076"/>
      <c r="F3076"/>
      <c r="G3076"/>
      <c r="H3076"/>
      <c r="I3076"/>
      <c r="J3076"/>
      <c r="K3076"/>
    </row>
    <row r="3077" spans="1:11">
      <c r="A3077"/>
      <c r="B3077"/>
      <c r="C3077"/>
      <c r="D3077"/>
      <c r="E3077"/>
      <c r="F3077"/>
      <c r="G3077"/>
      <c r="H3077"/>
      <c r="I3077"/>
      <c r="J3077"/>
      <c r="K3077"/>
    </row>
    <row r="3078" spans="1:11">
      <c r="A3078"/>
      <c r="B3078"/>
      <c r="C3078"/>
      <c r="D3078"/>
      <c r="E3078"/>
      <c r="F3078"/>
      <c r="G3078"/>
      <c r="H3078"/>
      <c r="I3078"/>
      <c r="J3078"/>
      <c r="K3078"/>
    </row>
    <row r="3079" spans="1:11">
      <c r="A3079"/>
      <c r="B3079"/>
      <c r="C3079"/>
      <c r="D3079"/>
      <c r="E3079"/>
      <c r="F3079"/>
      <c r="G3079"/>
      <c r="H3079"/>
      <c r="I3079"/>
      <c r="J3079"/>
      <c r="K3079"/>
    </row>
    <row r="3080" spans="1:11">
      <c r="A3080"/>
      <c r="B3080"/>
      <c r="C3080"/>
      <c r="D3080"/>
      <c r="E3080"/>
      <c r="F3080"/>
      <c r="G3080"/>
      <c r="H3080"/>
      <c r="I3080"/>
      <c r="J3080"/>
      <c r="K3080"/>
    </row>
    <row r="3081" spans="1:11">
      <c r="A3081"/>
      <c r="B3081"/>
      <c r="C3081"/>
      <c r="D3081"/>
      <c r="E3081"/>
      <c r="F3081"/>
      <c r="G3081"/>
      <c r="H3081"/>
      <c r="I3081"/>
      <c r="J3081"/>
      <c r="K3081"/>
    </row>
    <row r="3082" spans="1:11">
      <c r="A3082"/>
      <c r="B3082"/>
      <c r="C3082"/>
      <c r="D3082"/>
      <c r="E3082"/>
      <c r="F3082"/>
      <c r="G3082"/>
      <c r="H3082"/>
      <c r="I3082"/>
      <c r="J3082"/>
      <c r="K3082"/>
    </row>
    <row r="3083" spans="1:11">
      <c r="A3083"/>
      <c r="B3083"/>
      <c r="C3083"/>
      <c r="D3083"/>
      <c r="E3083"/>
      <c r="F3083"/>
      <c r="G3083"/>
      <c r="H3083"/>
      <c r="I3083"/>
      <c r="J3083"/>
      <c r="K3083"/>
    </row>
    <row r="3084" spans="1:11">
      <c r="A3084"/>
      <c r="B3084"/>
      <c r="C3084"/>
      <c r="D3084"/>
      <c r="E3084"/>
      <c r="F3084"/>
      <c r="G3084"/>
      <c r="H3084"/>
      <c r="I3084"/>
      <c r="J3084"/>
      <c r="K3084"/>
    </row>
    <row r="3085" spans="1:11">
      <c r="A3085"/>
      <c r="B3085"/>
      <c r="C3085"/>
      <c r="D3085"/>
      <c r="E3085"/>
      <c r="F3085"/>
      <c r="G3085"/>
      <c r="H3085"/>
      <c r="I3085"/>
      <c r="J3085"/>
      <c r="K3085"/>
    </row>
    <row r="3086" spans="1:11">
      <c r="A3086"/>
      <c r="B3086"/>
      <c r="C3086"/>
      <c r="D3086"/>
      <c r="E3086"/>
      <c r="F3086"/>
      <c r="G3086"/>
      <c r="H3086"/>
      <c r="I3086"/>
      <c r="J3086"/>
      <c r="K3086"/>
    </row>
    <row r="3087" spans="1:11">
      <c r="A3087"/>
      <c r="B3087"/>
      <c r="C3087"/>
      <c r="D3087"/>
      <c r="E3087"/>
      <c r="F3087"/>
      <c r="G3087"/>
      <c r="H3087"/>
      <c r="I3087"/>
      <c r="J3087"/>
      <c r="K3087"/>
    </row>
    <row r="3088" spans="1:11">
      <c r="A3088"/>
      <c r="B3088"/>
      <c r="C3088"/>
      <c r="D3088"/>
      <c r="E3088"/>
      <c r="F3088"/>
      <c r="G3088"/>
      <c r="H3088"/>
      <c r="I3088"/>
      <c r="J3088"/>
      <c r="K3088"/>
    </row>
    <row r="3089" spans="1:11">
      <c r="A3089"/>
      <c r="B3089"/>
      <c r="C3089"/>
      <c r="D3089"/>
      <c r="E3089"/>
      <c r="F3089"/>
      <c r="G3089"/>
      <c r="H3089"/>
      <c r="I3089"/>
      <c r="J3089"/>
      <c r="K3089"/>
    </row>
    <row r="3090" spans="1:11">
      <c r="A3090"/>
      <c r="B3090"/>
      <c r="C3090"/>
      <c r="D3090"/>
      <c r="E3090"/>
      <c r="F3090"/>
      <c r="G3090"/>
      <c r="H3090"/>
      <c r="I3090"/>
      <c r="J3090"/>
      <c r="K3090"/>
    </row>
    <row r="3091" spans="1:11">
      <c r="A3091"/>
      <c r="B3091"/>
      <c r="C3091"/>
      <c r="D3091"/>
      <c r="E3091"/>
      <c r="F3091"/>
      <c r="G3091"/>
      <c r="H3091"/>
      <c r="I3091"/>
      <c r="J3091"/>
      <c r="K3091"/>
    </row>
    <row r="3092" spans="1:11">
      <c r="A3092"/>
      <c r="B3092"/>
      <c r="C3092"/>
      <c r="D3092"/>
      <c r="E3092"/>
      <c r="F3092"/>
      <c r="G3092"/>
      <c r="H3092"/>
      <c r="I3092"/>
      <c r="J3092"/>
      <c r="K3092"/>
    </row>
    <row r="3093" spans="1:11">
      <c r="A3093"/>
      <c r="B3093"/>
      <c r="C3093"/>
      <c r="D3093"/>
      <c r="E3093"/>
      <c r="F3093"/>
      <c r="G3093"/>
      <c r="H3093"/>
      <c r="I3093"/>
      <c r="J3093"/>
      <c r="K3093"/>
    </row>
    <row r="3094" spans="1:11">
      <c r="A3094"/>
      <c r="B3094"/>
      <c r="C3094"/>
      <c r="D3094"/>
      <c r="E3094"/>
      <c r="F3094"/>
      <c r="G3094"/>
      <c r="H3094"/>
      <c r="I3094"/>
      <c r="J3094"/>
      <c r="K3094"/>
    </row>
    <row r="3095" spans="1:11">
      <c r="A3095"/>
      <c r="B3095"/>
      <c r="C3095"/>
      <c r="D3095"/>
      <c r="E3095"/>
      <c r="F3095"/>
      <c r="G3095"/>
      <c r="H3095"/>
      <c r="I3095"/>
      <c r="J3095"/>
      <c r="K3095"/>
    </row>
    <row r="3096" spans="1:11">
      <c r="A3096"/>
      <c r="B3096"/>
      <c r="C3096"/>
      <c r="D3096"/>
      <c r="E3096"/>
      <c r="F3096"/>
      <c r="G3096"/>
      <c r="H3096"/>
      <c r="I3096"/>
      <c r="J3096"/>
      <c r="K3096"/>
    </row>
    <row r="3097" spans="1:11">
      <c r="A3097"/>
      <c r="B3097"/>
      <c r="C3097"/>
      <c r="D3097"/>
      <c r="E3097"/>
      <c r="F3097"/>
      <c r="G3097"/>
      <c r="H3097"/>
      <c r="I3097"/>
      <c r="J3097"/>
      <c r="K3097"/>
    </row>
    <row r="3098" spans="1:11">
      <c r="A3098"/>
      <c r="B3098"/>
      <c r="C3098"/>
      <c r="D3098"/>
      <c r="E3098"/>
      <c r="F3098"/>
      <c r="G3098"/>
      <c r="H3098"/>
      <c r="I3098"/>
      <c r="J3098"/>
      <c r="K3098"/>
    </row>
    <row r="3099" spans="1:11">
      <c r="A3099"/>
      <c r="B3099"/>
      <c r="C3099"/>
      <c r="D3099"/>
      <c r="E3099"/>
      <c r="F3099"/>
      <c r="G3099"/>
      <c r="H3099"/>
      <c r="I3099"/>
      <c r="J3099"/>
      <c r="K3099"/>
    </row>
    <row r="3100" spans="1:11">
      <c r="A3100"/>
      <c r="B3100"/>
      <c r="C3100"/>
      <c r="D3100"/>
      <c r="E3100"/>
      <c r="F3100"/>
      <c r="G3100"/>
      <c r="H3100"/>
      <c r="I3100"/>
      <c r="J3100"/>
      <c r="K3100"/>
    </row>
    <row r="3101" spans="1:11">
      <c r="A3101"/>
      <c r="B3101"/>
      <c r="C3101"/>
      <c r="D3101"/>
      <c r="E3101"/>
      <c r="F3101"/>
      <c r="G3101"/>
      <c r="H3101"/>
      <c r="I3101"/>
      <c r="J3101"/>
      <c r="K3101"/>
    </row>
    <row r="3102" spans="1:11">
      <c r="A3102"/>
      <c r="B3102"/>
      <c r="C3102"/>
      <c r="D3102"/>
      <c r="E3102"/>
      <c r="F3102"/>
      <c r="G3102"/>
      <c r="H3102"/>
      <c r="I3102"/>
      <c r="J3102"/>
      <c r="K3102"/>
    </row>
    <row r="3103" spans="1:11">
      <c r="A3103"/>
      <c r="B3103"/>
      <c r="C3103"/>
      <c r="D3103"/>
      <c r="E3103"/>
      <c r="F3103"/>
      <c r="G3103"/>
      <c r="H3103"/>
      <c r="I3103"/>
      <c r="J3103"/>
      <c r="K3103"/>
    </row>
    <row r="3104" spans="1:11">
      <c r="A3104"/>
      <c r="B3104"/>
      <c r="C3104"/>
      <c r="D3104"/>
      <c r="E3104"/>
      <c r="F3104"/>
      <c r="G3104"/>
      <c r="H3104"/>
      <c r="I3104"/>
      <c r="J3104"/>
      <c r="K3104"/>
    </row>
    <row r="3105" spans="1:11">
      <c r="A3105"/>
      <c r="B3105"/>
      <c r="C3105"/>
      <c r="D3105"/>
      <c r="E3105"/>
      <c r="F3105"/>
      <c r="G3105"/>
      <c r="H3105"/>
      <c r="I3105"/>
      <c r="J3105"/>
      <c r="K3105"/>
    </row>
    <row r="3106" spans="1:11">
      <c r="A3106"/>
      <c r="B3106"/>
      <c r="C3106"/>
      <c r="D3106"/>
      <c r="E3106"/>
      <c r="F3106"/>
      <c r="G3106"/>
      <c r="H3106"/>
      <c r="I3106"/>
      <c r="J3106"/>
      <c r="K3106"/>
    </row>
    <row r="3107" spans="1:11">
      <c r="A3107"/>
      <c r="B3107"/>
      <c r="C3107"/>
      <c r="D3107"/>
      <c r="E3107"/>
      <c r="F3107"/>
      <c r="G3107"/>
      <c r="H3107"/>
      <c r="I3107"/>
      <c r="J3107"/>
      <c r="K3107"/>
    </row>
    <row r="3108" spans="1:11">
      <c r="A3108"/>
      <c r="B3108"/>
      <c r="C3108"/>
      <c r="D3108"/>
      <c r="E3108"/>
      <c r="F3108"/>
      <c r="G3108"/>
      <c r="H3108"/>
      <c r="I3108"/>
      <c r="J3108"/>
      <c r="K3108"/>
    </row>
    <row r="3109" spans="1:11">
      <c r="A3109"/>
      <c r="B3109"/>
      <c r="C3109"/>
      <c r="D3109"/>
      <c r="E3109"/>
      <c r="F3109"/>
      <c r="G3109"/>
      <c r="H3109"/>
      <c r="I3109"/>
      <c r="J3109"/>
      <c r="K3109"/>
    </row>
    <row r="3110" spans="1:11">
      <c r="A3110"/>
      <c r="B3110"/>
      <c r="C3110"/>
      <c r="D3110"/>
      <c r="E3110"/>
      <c r="F3110"/>
      <c r="G3110"/>
      <c r="H3110"/>
      <c r="I3110"/>
      <c r="J3110"/>
      <c r="K3110"/>
    </row>
    <row r="3111" spans="1:11">
      <c r="A3111"/>
      <c r="B3111"/>
      <c r="C3111"/>
      <c r="D3111"/>
      <c r="E3111"/>
      <c r="F3111"/>
      <c r="G3111"/>
      <c r="H3111"/>
      <c r="I3111"/>
      <c r="J3111"/>
      <c r="K3111"/>
    </row>
    <row r="3112" spans="1:11">
      <c r="A3112"/>
      <c r="B3112"/>
      <c r="C3112"/>
      <c r="D3112"/>
      <c r="E3112"/>
      <c r="F3112"/>
      <c r="G3112"/>
      <c r="H3112"/>
      <c r="I3112"/>
      <c r="J3112"/>
      <c r="K3112"/>
    </row>
    <row r="3113" spans="1:11">
      <c r="A3113"/>
      <c r="B3113"/>
      <c r="C3113"/>
      <c r="D3113"/>
      <c r="E3113"/>
      <c r="F3113"/>
      <c r="G3113"/>
      <c r="H3113"/>
      <c r="I3113"/>
      <c r="J3113"/>
      <c r="K3113"/>
    </row>
    <row r="3114" spans="1:11">
      <c r="A3114"/>
      <c r="B3114"/>
      <c r="C3114"/>
      <c r="D3114"/>
      <c r="E3114"/>
      <c r="F3114"/>
      <c r="G3114"/>
      <c r="H3114"/>
      <c r="I3114"/>
      <c r="J3114"/>
      <c r="K3114"/>
    </row>
    <row r="3115" spans="1:11">
      <c r="A3115"/>
      <c r="B3115"/>
      <c r="C3115"/>
      <c r="D3115"/>
      <c r="E3115"/>
      <c r="F3115"/>
      <c r="G3115"/>
      <c r="H3115"/>
      <c r="I3115"/>
      <c r="J3115"/>
      <c r="K3115"/>
    </row>
    <row r="3116" spans="1:11">
      <c r="A3116"/>
      <c r="B3116"/>
      <c r="C3116"/>
      <c r="D3116"/>
      <c r="E3116"/>
      <c r="F3116"/>
      <c r="G3116"/>
      <c r="H3116"/>
      <c r="I3116"/>
      <c r="J3116"/>
      <c r="K3116"/>
    </row>
    <row r="3117" spans="1:11">
      <c r="A3117"/>
      <c r="B3117"/>
      <c r="C3117"/>
      <c r="D3117"/>
      <c r="E3117"/>
      <c r="F3117"/>
      <c r="G3117"/>
      <c r="H3117"/>
      <c r="I3117"/>
      <c r="J3117"/>
      <c r="K3117"/>
    </row>
    <row r="3118" spans="1:11">
      <c r="A3118"/>
      <c r="B3118"/>
      <c r="C3118"/>
      <c r="D3118"/>
      <c r="E3118"/>
      <c r="F3118"/>
      <c r="G3118"/>
      <c r="H3118"/>
      <c r="I3118"/>
      <c r="J3118"/>
      <c r="K3118"/>
    </row>
    <row r="3119" spans="1:11">
      <c r="A3119"/>
      <c r="B3119"/>
      <c r="C3119"/>
      <c r="D3119"/>
      <c r="E3119"/>
      <c r="F3119"/>
      <c r="G3119"/>
      <c r="H3119"/>
      <c r="I3119"/>
      <c r="J3119"/>
      <c r="K3119"/>
    </row>
    <row r="3120" spans="1:11">
      <c r="A3120"/>
      <c r="B3120"/>
      <c r="C3120"/>
      <c r="D3120"/>
      <c r="E3120"/>
      <c r="F3120"/>
      <c r="G3120"/>
      <c r="H3120"/>
      <c r="I3120"/>
      <c r="J3120"/>
      <c r="K3120"/>
    </row>
    <row r="3121" spans="1:11">
      <c r="A3121"/>
      <c r="B3121"/>
      <c r="C3121"/>
      <c r="D3121"/>
      <c r="E3121"/>
      <c r="F3121"/>
      <c r="G3121"/>
      <c r="H3121"/>
      <c r="I3121"/>
      <c r="J3121"/>
      <c r="K3121"/>
    </row>
    <row r="3122" spans="1:11">
      <c r="A3122"/>
      <c r="B3122"/>
      <c r="C3122"/>
      <c r="D3122"/>
      <c r="E3122"/>
      <c r="F3122"/>
      <c r="G3122"/>
      <c r="H3122"/>
      <c r="I3122"/>
      <c r="J3122"/>
      <c r="K3122"/>
    </row>
    <row r="3123" spans="1:11">
      <c r="A3123"/>
      <c r="B3123"/>
      <c r="C3123"/>
      <c r="D3123"/>
      <c r="E3123"/>
      <c r="F3123"/>
      <c r="G3123"/>
      <c r="H3123"/>
      <c r="I3123"/>
      <c r="J3123"/>
      <c r="K3123"/>
    </row>
    <row r="3124" spans="1:11">
      <c r="A3124"/>
      <c r="B3124"/>
      <c r="C3124"/>
      <c r="D3124"/>
      <c r="E3124"/>
      <c r="F3124"/>
      <c r="G3124"/>
      <c r="H3124"/>
      <c r="I3124"/>
      <c r="J3124"/>
      <c r="K3124"/>
    </row>
    <row r="3125" spans="1:11">
      <c r="A3125"/>
      <c r="B3125"/>
      <c r="C3125"/>
      <c r="D3125"/>
      <c r="E3125"/>
      <c r="F3125"/>
      <c r="G3125"/>
      <c r="H3125"/>
      <c r="I3125"/>
      <c r="J3125"/>
      <c r="K3125"/>
    </row>
    <row r="3126" spans="1:11">
      <c r="A3126"/>
      <c r="B3126"/>
      <c r="C3126"/>
      <c r="D3126"/>
      <c r="E3126"/>
      <c r="F3126"/>
      <c r="G3126"/>
      <c r="H3126"/>
      <c r="I3126"/>
      <c r="J3126"/>
      <c r="K3126"/>
    </row>
    <row r="3127" spans="1:11">
      <c r="A3127"/>
      <c r="B3127"/>
      <c r="C3127"/>
      <c r="D3127"/>
      <c r="E3127"/>
      <c r="F3127"/>
      <c r="G3127"/>
      <c r="H3127"/>
      <c r="I3127"/>
      <c r="J3127"/>
      <c r="K3127"/>
    </row>
    <row r="3128" spans="1:11">
      <c r="A3128"/>
      <c r="B3128"/>
      <c r="C3128"/>
      <c r="D3128"/>
      <c r="E3128"/>
      <c r="F3128"/>
      <c r="G3128"/>
      <c r="H3128"/>
      <c r="I3128"/>
      <c r="J3128"/>
      <c r="K3128"/>
    </row>
    <row r="3129" spans="1:11">
      <c r="A3129"/>
      <c r="B3129"/>
      <c r="C3129"/>
      <c r="D3129"/>
      <c r="E3129"/>
      <c r="F3129"/>
      <c r="G3129"/>
      <c r="H3129"/>
      <c r="I3129"/>
      <c r="J3129"/>
      <c r="K3129"/>
    </row>
    <row r="3130" spans="1:11">
      <c r="A3130"/>
      <c r="B3130"/>
      <c r="C3130"/>
      <c r="D3130"/>
      <c r="E3130"/>
      <c r="F3130"/>
      <c r="G3130"/>
      <c r="H3130"/>
      <c r="I3130"/>
      <c r="J3130"/>
      <c r="K3130"/>
    </row>
    <row r="3131" spans="1:11">
      <c r="A3131"/>
      <c r="B3131"/>
      <c r="C3131"/>
      <c r="D3131"/>
      <c r="E3131"/>
      <c r="F3131"/>
      <c r="G3131"/>
      <c r="H3131"/>
      <c r="I3131"/>
      <c r="J3131"/>
      <c r="K3131"/>
    </row>
    <row r="3132" spans="1:11">
      <c r="A3132"/>
      <c r="B3132"/>
      <c r="C3132"/>
      <c r="D3132"/>
      <c r="E3132"/>
      <c r="F3132"/>
      <c r="G3132"/>
      <c r="H3132"/>
      <c r="I3132"/>
      <c r="J3132"/>
      <c r="K3132"/>
    </row>
    <row r="3133" spans="1:11">
      <c r="A3133"/>
      <c r="B3133"/>
      <c r="C3133"/>
      <c r="D3133"/>
      <c r="E3133"/>
      <c r="F3133"/>
      <c r="G3133"/>
      <c r="H3133"/>
      <c r="I3133"/>
      <c r="J3133"/>
      <c r="K3133"/>
    </row>
    <row r="3134" spans="1:11">
      <c r="A3134"/>
      <c r="B3134"/>
      <c r="C3134"/>
      <c r="D3134"/>
      <c r="E3134"/>
      <c r="F3134"/>
      <c r="G3134"/>
      <c r="H3134"/>
      <c r="I3134"/>
      <c r="J3134"/>
      <c r="K3134"/>
    </row>
    <row r="3135" spans="1:11">
      <c r="A3135"/>
      <c r="B3135"/>
      <c r="C3135"/>
      <c r="D3135"/>
      <c r="E3135"/>
      <c r="F3135"/>
      <c r="G3135"/>
      <c r="H3135"/>
      <c r="I3135"/>
      <c r="J3135"/>
      <c r="K3135"/>
    </row>
    <row r="3136" spans="1:11">
      <c r="A3136"/>
      <c r="B3136"/>
      <c r="C3136"/>
      <c r="D3136"/>
      <c r="E3136"/>
      <c r="F3136"/>
      <c r="G3136"/>
      <c r="H3136"/>
      <c r="I3136"/>
      <c r="J3136"/>
      <c r="K3136"/>
    </row>
    <row r="3137" spans="1:11">
      <c r="A3137"/>
      <c r="B3137"/>
      <c r="C3137"/>
      <c r="D3137"/>
      <c r="E3137"/>
      <c r="F3137"/>
      <c r="G3137"/>
      <c r="H3137"/>
      <c r="I3137"/>
      <c r="J3137"/>
      <c r="K3137"/>
    </row>
    <row r="3138" spans="1:11">
      <c r="A3138"/>
      <c r="B3138"/>
      <c r="C3138"/>
      <c r="D3138"/>
      <c r="E3138"/>
      <c r="F3138"/>
      <c r="G3138"/>
      <c r="H3138"/>
      <c r="I3138"/>
      <c r="J3138"/>
      <c r="K3138"/>
    </row>
    <row r="3139" spans="1:11">
      <c r="A3139"/>
      <c r="B3139"/>
      <c r="C3139"/>
      <c r="D3139"/>
      <c r="E3139"/>
      <c r="F3139"/>
      <c r="G3139"/>
      <c r="H3139"/>
      <c r="I3139"/>
      <c r="J3139"/>
      <c r="K3139"/>
    </row>
    <row r="3140" spans="1:11">
      <c r="A3140"/>
      <c r="B3140"/>
      <c r="C3140"/>
      <c r="D3140"/>
      <c r="E3140"/>
      <c r="F3140"/>
      <c r="G3140"/>
      <c r="H3140"/>
      <c r="I3140"/>
      <c r="J3140"/>
      <c r="K3140"/>
    </row>
    <row r="3141" spans="1:11">
      <c r="A3141"/>
      <c r="B3141"/>
      <c r="C3141"/>
      <c r="D3141"/>
      <c r="E3141"/>
      <c r="F3141"/>
      <c r="G3141"/>
      <c r="H3141"/>
      <c r="I3141"/>
      <c r="J3141"/>
      <c r="K3141"/>
    </row>
    <row r="3142" spans="1:11">
      <c r="A3142"/>
      <c r="B3142"/>
      <c r="C3142"/>
      <c r="D3142"/>
      <c r="E3142"/>
      <c r="F3142"/>
      <c r="G3142"/>
      <c r="H3142"/>
      <c r="I3142"/>
      <c r="J3142"/>
      <c r="K3142"/>
    </row>
    <row r="3143" spans="1:11">
      <c r="A3143"/>
      <c r="B3143"/>
      <c r="C3143"/>
      <c r="D3143"/>
      <c r="E3143"/>
      <c r="F3143"/>
      <c r="G3143"/>
      <c r="H3143"/>
      <c r="I3143"/>
      <c r="J3143"/>
      <c r="K3143"/>
    </row>
    <row r="3144" spans="1:11">
      <c r="A3144"/>
      <c r="B3144"/>
      <c r="C3144"/>
      <c r="D3144"/>
      <c r="E3144"/>
      <c r="F3144"/>
      <c r="G3144"/>
      <c r="H3144"/>
      <c r="I3144"/>
      <c r="J3144"/>
      <c r="K3144"/>
    </row>
    <row r="3145" spans="1:11">
      <c r="A3145"/>
      <c r="B3145"/>
      <c r="C3145"/>
      <c r="D3145"/>
      <c r="E3145"/>
      <c r="F3145"/>
      <c r="G3145"/>
      <c r="H3145"/>
      <c r="I3145"/>
      <c r="J3145"/>
      <c r="K3145"/>
    </row>
    <row r="3146" spans="1:11">
      <c r="A3146"/>
      <c r="B3146"/>
      <c r="C3146"/>
      <c r="D3146"/>
      <c r="E3146"/>
      <c r="F3146"/>
      <c r="G3146"/>
      <c r="H3146"/>
      <c r="I3146"/>
      <c r="J3146"/>
      <c r="K3146"/>
    </row>
    <row r="3147" spans="1:11">
      <c r="A3147"/>
      <c r="B3147"/>
      <c r="C3147"/>
      <c r="D3147"/>
      <c r="E3147"/>
      <c r="F3147"/>
      <c r="G3147"/>
      <c r="H3147"/>
      <c r="I3147"/>
      <c r="J3147"/>
      <c r="K3147"/>
    </row>
    <row r="3148" spans="1:11">
      <c r="A3148"/>
      <c r="B3148"/>
      <c r="C3148"/>
      <c r="D3148"/>
      <c r="E3148"/>
      <c r="F3148"/>
      <c r="G3148"/>
      <c r="H3148"/>
      <c r="I3148"/>
      <c r="J3148"/>
      <c r="K3148"/>
    </row>
    <row r="3149" spans="1:11">
      <c r="A3149"/>
      <c r="B3149"/>
      <c r="C3149"/>
      <c r="D3149"/>
      <c r="E3149"/>
      <c r="F3149"/>
      <c r="G3149"/>
      <c r="H3149"/>
      <c r="I3149"/>
      <c r="J3149"/>
      <c r="K3149"/>
    </row>
    <row r="3150" spans="1:11">
      <c r="A3150"/>
      <c r="B3150"/>
      <c r="C3150"/>
      <c r="D3150"/>
      <c r="E3150"/>
      <c r="F3150"/>
      <c r="G3150"/>
      <c r="H3150"/>
      <c r="I3150"/>
      <c r="J3150"/>
      <c r="K3150"/>
    </row>
    <row r="3151" spans="1:11">
      <c r="A3151"/>
      <c r="B3151"/>
      <c r="C3151"/>
      <c r="D3151"/>
      <c r="E3151"/>
      <c r="F3151"/>
      <c r="G3151"/>
      <c r="H3151"/>
      <c r="I3151"/>
      <c r="J3151"/>
      <c r="K3151"/>
    </row>
    <row r="3152" spans="1:11">
      <c r="A3152"/>
      <c r="B3152"/>
      <c r="C3152"/>
      <c r="D3152"/>
      <c r="E3152"/>
      <c r="F3152"/>
      <c r="G3152"/>
      <c r="H3152"/>
      <c r="I3152"/>
      <c r="J3152"/>
      <c r="K3152"/>
    </row>
    <row r="3153" spans="1:11">
      <c r="A3153"/>
      <c r="B3153"/>
      <c r="C3153"/>
      <c r="D3153"/>
      <c r="E3153"/>
      <c r="F3153"/>
      <c r="G3153"/>
      <c r="H3153"/>
      <c r="I3153"/>
      <c r="J3153"/>
      <c r="K3153"/>
    </row>
    <row r="3154" spans="1:11">
      <c r="A3154"/>
      <c r="B3154"/>
      <c r="C3154"/>
      <c r="D3154"/>
      <c r="E3154"/>
      <c r="F3154"/>
      <c r="G3154"/>
      <c r="H3154"/>
      <c r="I3154"/>
      <c r="J3154"/>
      <c r="K3154"/>
    </row>
    <row r="3155" spans="1:11">
      <c r="A3155"/>
      <c r="B3155"/>
      <c r="C3155"/>
      <c r="D3155"/>
      <c r="E3155"/>
      <c r="F3155"/>
      <c r="G3155"/>
      <c r="H3155"/>
      <c r="I3155"/>
      <c r="J3155"/>
      <c r="K3155"/>
    </row>
    <row r="3156" spans="1:11">
      <c r="A3156"/>
      <c r="B3156"/>
      <c r="C3156"/>
      <c r="D3156"/>
      <c r="E3156"/>
      <c r="F3156"/>
      <c r="G3156"/>
      <c r="H3156"/>
      <c r="I3156"/>
      <c r="J3156"/>
      <c r="K3156"/>
    </row>
    <row r="3157" spans="1:11">
      <c r="A3157"/>
      <c r="B3157"/>
      <c r="C3157"/>
      <c r="D3157"/>
      <c r="E3157"/>
      <c r="F3157"/>
      <c r="G3157"/>
      <c r="H3157"/>
      <c r="I3157"/>
      <c r="J3157"/>
      <c r="K3157"/>
    </row>
    <row r="3158" spans="1:11">
      <c r="A3158"/>
      <c r="B3158"/>
      <c r="C3158"/>
      <c r="D3158"/>
      <c r="E3158"/>
      <c r="F3158"/>
      <c r="G3158"/>
      <c r="H3158"/>
      <c r="I3158"/>
      <c r="J3158"/>
      <c r="K3158"/>
    </row>
    <row r="3159" spans="1:11">
      <c r="A3159"/>
      <c r="B3159"/>
      <c r="C3159"/>
      <c r="D3159"/>
      <c r="E3159"/>
      <c r="F3159"/>
      <c r="G3159"/>
      <c r="H3159"/>
      <c r="I3159"/>
      <c r="J3159"/>
      <c r="K3159"/>
    </row>
    <row r="3160" spans="1:11">
      <c r="A3160"/>
      <c r="B3160"/>
      <c r="C3160"/>
      <c r="D3160"/>
      <c r="E3160"/>
      <c r="F3160"/>
      <c r="G3160"/>
      <c r="H3160"/>
      <c r="I3160"/>
      <c r="J3160"/>
      <c r="K3160"/>
    </row>
    <row r="3161" spans="1:11">
      <c r="A3161"/>
      <c r="B3161"/>
      <c r="C3161"/>
      <c r="D3161"/>
      <c r="E3161"/>
      <c r="F3161"/>
      <c r="G3161"/>
      <c r="H3161"/>
      <c r="I3161"/>
      <c r="J3161"/>
      <c r="K3161"/>
    </row>
    <row r="3162" spans="1:11">
      <c r="A3162"/>
      <c r="B3162"/>
      <c r="C3162"/>
      <c r="D3162"/>
      <c r="E3162"/>
      <c r="F3162"/>
      <c r="G3162"/>
      <c r="H3162"/>
      <c r="I3162"/>
      <c r="J3162"/>
      <c r="K3162"/>
    </row>
    <row r="3163" spans="1:11">
      <c r="A3163"/>
      <c r="B3163"/>
      <c r="C3163"/>
      <c r="D3163"/>
      <c r="E3163"/>
      <c r="F3163"/>
      <c r="G3163"/>
      <c r="H3163"/>
      <c r="I3163"/>
      <c r="J3163"/>
      <c r="K3163"/>
    </row>
    <row r="3164" spans="1:11">
      <c r="A3164"/>
      <c r="B3164"/>
      <c r="C3164"/>
      <c r="D3164"/>
      <c r="E3164"/>
      <c r="F3164"/>
      <c r="G3164"/>
      <c r="H3164"/>
      <c r="I3164"/>
      <c r="J3164"/>
      <c r="K3164"/>
    </row>
    <row r="3165" spans="1:11">
      <c r="A3165"/>
      <c r="B3165"/>
      <c r="C3165"/>
      <c r="D3165"/>
      <c r="E3165"/>
      <c r="F3165"/>
      <c r="G3165"/>
      <c r="H3165"/>
      <c r="I3165"/>
      <c r="J3165"/>
      <c r="K3165"/>
    </row>
    <row r="3166" spans="1:11">
      <c r="A3166"/>
      <c r="B3166"/>
      <c r="C3166"/>
      <c r="D3166"/>
      <c r="E3166"/>
      <c r="F3166"/>
      <c r="G3166"/>
      <c r="H3166"/>
      <c r="I3166"/>
      <c r="J3166"/>
      <c r="K3166"/>
    </row>
    <row r="3167" spans="1:11">
      <c r="A3167"/>
      <c r="B3167"/>
      <c r="C3167"/>
      <c r="D3167"/>
      <c r="E3167"/>
      <c r="F3167"/>
      <c r="G3167"/>
      <c r="H3167"/>
      <c r="I3167"/>
      <c r="J3167"/>
      <c r="K3167"/>
    </row>
    <row r="3168" spans="1:11">
      <c r="A3168"/>
      <c r="B3168"/>
      <c r="C3168"/>
      <c r="D3168"/>
      <c r="E3168"/>
      <c r="F3168"/>
      <c r="G3168"/>
      <c r="H3168"/>
      <c r="I3168"/>
      <c r="J3168"/>
      <c r="K3168"/>
    </row>
    <row r="3169" spans="1:11">
      <c r="A3169"/>
      <c r="B3169"/>
      <c r="C3169"/>
      <c r="D3169"/>
      <c r="E3169"/>
      <c r="F3169"/>
      <c r="G3169"/>
      <c r="H3169"/>
      <c r="I3169"/>
      <c r="J3169"/>
      <c r="K3169"/>
    </row>
    <row r="3170" spans="1:11">
      <c r="A3170"/>
      <c r="B3170"/>
      <c r="C3170"/>
      <c r="D3170"/>
      <c r="E3170"/>
      <c r="F3170"/>
      <c r="G3170"/>
      <c r="H3170"/>
      <c r="I3170"/>
      <c r="J3170"/>
      <c r="K3170"/>
    </row>
    <row r="3171" spans="1:11">
      <c r="A3171"/>
      <c r="B3171"/>
      <c r="C3171"/>
      <c r="D3171"/>
      <c r="E3171"/>
      <c r="F3171"/>
      <c r="G3171"/>
      <c r="H3171"/>
      <c r="I3171"/>
      <c r="J3171"/>
      <c r="K3171"/>
    </row>
    <row r="3172" spans="1:11">
      <c r="A3172"/>
      <c r="B3172"/>
      <c r="C3172"/>
      <c r="D3172"/>
      <c r="E3172"/>
      <c r="F3172"/>
      <c r="G3172"/>
      <c r="H3172"/>
      <c r="I3172"/>
      <c r="J3172"/>
      <c r="K3172"/>
    </row>
    <row r="3173" spans="1:11">
      <c r="A3173"/>
      <c r="B3173"/>
      <c r="C3173"/>
      <c r="D3173"/>
      <c r="E3173"/>
      <c r="F3173"/>
      <c r="G3173"/>
      <c r="H3173"/>
      <c r="I3173"/>
      <c r="J3173"/>
      <c r="K3173"/>
    </row>
    <row r="3174" spans="1:11">
      <c r="A3174"/>
      <c r="B3174"/>
      <c r="C3174"/>
      <c r="D3174"/>
      <c r="E3174"/>
      <c r="F3174"/>
      <c r="G3174"/>
      <c r="H3174"/>
      <c r="I3174"/>
      <c r="J3174"/>
      <c r="K3174"/>
    </row>
    <row r="3175" spans="1:11">
      <c r="A3175"/>
      <c r="B3175"/>
      <c r="C3175"/>
      <c r="D3175"/>
      <c r="E3175"/>
      <c r="F3175"/>
      <c r="G3175"/>
      <c r="H3175"/>
      <c r="I3175"/>
      <c r="J3175"/>
      <c r="K3175"/>
    </row>
    <row r="3176" spans="1:11">
      <c r="A3176"/>
      <c r="B3176"/>
      <c r="C3176"/>
      <c r="D3176"/>
      <c r="E3176"/>
      <c r="F3176"/>
      <c r="G3176"/>
      <c r="H3176"/>
      <c r="I3176"/>
      <c r="J3176"/>
      <c r="K3176"/>
    </row>
    <row r="3177" spans="1:11">
      <c r="A3177"/>
      <c r="B3177"/>
      <c r="C3177"/>
      <c r="D3177"/>
      <c r="E3177"/>
      <c r="F3177"/>
      <c r="G3177"/>
      <c r="H3177"/>
      <c r="I3177"/>
      <c r="J3177"/>
      <c r="K3177"/>
    </row>
    <row r="3178" spans="1:11">
      <c r="A3178"/>
      <c r="B3178"/>
      <c r="C3178"/>
      <c r="D3178"/>
      <c r="E3178"/>
      <c r="F3178"/>
      <c r="G3178"/>
      <c r="H3178"/>
      <c r="I3178"/>
      <c r="J3178"/>
      <c r="K3178"/>
    </row>
    <row r="3179" spans="1:11">
      <c r="A3179"/>
      <c r="B3179"/>
      <c r="C3179"/>
      <c r="D3179"/>
      <c r="E3179"/>
      <c r="F3179"/>
      <c r="G3179"/>
      <c r="H3179"/>
      <c r="I3179"/>
      <c r="J3179"/>
      <c r="K3179"/>
    </row>
    <row r="3180" spans="1:11">
      <c r="A3180"/>
      <c r="B3180"/>
      <c r="C3180"/>
      <c r="D3180"/>
      <c r="E3180"/>
      <c r="F3180"/>
      <c r="G3180"/>
      <c r="H3180"/>
      <c r="I3180"/>
      <c r="J3180"/>
      <c r="K3180"/>
    </row>
    <row r="3181" spans="1:11">
      <c r="A3181"/>
      <c r="B3181"/>
      <c r="C3181"/>
      <c r="D3181"/>
      <c r="E3181"/>
      <c r="F3181"/>
      <c r="G3181"/>
      <c r="H3181"/>
      <c r="I3181"/>
      <c r="J3181"/>
      <c r="K3181"/>
    </row>
    <row r="3182" spans="1:11">
      <c r="A3182"/>
      <c r="B3182"/>
      <c r="C3182"/>
      <c r="D3182"/>
      <c r="E3182"/>
      <c r="F3182"/>
      <c r="G3182"/>
      <c r="H3182"/>
      <c r="I3182"/>
      <c r="J3182"/>
      <c r="K3182"/>
    </row>
    <row r="3183" spans="1:11">
      <c r="A3183"/>
      <c r="B3183"/>
      <c r="C3183"/>
      <c r="D3183"/>
      <c r="E3183"/>
      <c r="F3183"/>
      <c r="G3183"/>
      <c r="H3183"/>
      <c r="I3183"/>
      <c r="J3183"/>
      <c r="K3183"/>
    </row>
    <row r="3184" spans="1:11">
      <c r="A3184"/>
      <c r="B3184"/>
      <c r="C3184"/>
      <c r="D3184"/>
      <c r="E3184"/>
      <c r="F3184"/>
      <c r="G3184"/>
      <c r="H3184"/>
      <c r="I3184"/>
      <c r="J3184"/>
      <c r="K3184"/>
    </row>
    <row r="3185" spans="1:11">
      <c r="A3185"/>
      <c r="B3185"/>
      <c r="C3185"/>
      <c r="D3185"/>
      <c r="E3185"/>
      <c r="F3185"/>
      <c r="G3185"/>
      <c r="H3185"/>
      <c r="I3185"/>
      <c r="J3185"/>
      <c r="K3185"/>
    </row>
    <row r="3186" spans="1:11">
      <c r="A3186"/>
      <c r="B3186"/>
      <c r="C3186"/>
      <c r="D3186"/>
      <c r="E3186"/>
      <c r="F3186"/>
      <c r="G3186"/>
      <c r="H3186"/>
      <c r="I3186"/>
      <c r="J3186"/>
      <c r="K3186"/>
    </row>
    <row r="3187" spans="1:11">
      <c r="A3187"/>
      <c r="B3187"/>
      <c r="C3187"/>
      <c r="D3187"/>
      <c r="E3187"/>
      <c r="F3187"/>
      <c r="G3187"/>
      <c r="H3187"/>
      <c r="I3187"/>
      <c r="J3187"/>
      <c r="K3187"/>
    </row>
    <row r="3188" spans="1:11">
      <c r="A3188"/>
      <c r="B3188"/>
      <c r="C3188"/>
      <c r="D3188"/>
      <c r="E3188"/>
      <c r="F3188"/>
      <c r="G3188"/>
      <c r="H3188"/>
      <c r="I3188"/>
      <c r="J3188"/>
      <c r="K3188"/>
    </row>
    <row r="3189" spans="1:11">
      <c r="A3189"/>
      <c r="B3189"/>
      <c r="C3189"/>
      <c r="D3189"/>
      <c r="E3189"/>
      <c r="F3189"/>
      <c r="G3189"/>
      <c r="H3189"/>
      <c r="I3189"/>
      <c r="J3189"/>
      <c r="K3189"/>
    </row>
    <row r="3190" spans="1:11">
      <c r="A3190"/>
      <c r="B3190"/>
      <c r="C3190"/>
      <c r="D3190"/>
      <c r="E3190"/>
      <c r="F3190"/>
      <c r="G3190"/>
      <c r="H3190"/>
      <c r="I3190"/>
      <c r="J3190"/>
      <c r="K3190"/>
    </row>
    <row r="3191" spans="1:11">
      <c r="A3191"/>
      <c r="B3191"/>
      <c r="C3191"/>
      <c r="D3191"/>
      <c r="E3191"/>
      <c r="F3191"/>
      <c r="G3191"/>
      <c r="H3191"/>
      <c r="I3191"/>
      <c r="J3191"/>
      <c r="K3191"/>
    </row>
    <row r="3192" spans="1:11">
      <c r="A3192"/>
      <c r="B3192"/>
      <c r="C3192"/>
      <c r="D3192"/>
      <c r="E3192"/>
      <c r="F3192"/>
      <c r="G3192"/>
      <c r="H3192"/>
      <c r="I3192"/>
      <c r="J3192"/>
      <c r="K3192"/>
    </row>
    <row r="3193" spans="1:11">
      <c r="A3193"/>
      <c r="B3193"/>
      <c r="C3193"/>
      <c r="D3193"/>
      <c r="E3193"/>
      <c r="F3193"/>
      <c r="G3193"/>
      <c r="H3193"/>
      <c r="I3193"/>
      <c r="J3193"/>
      <c r="K3193"/>
    </row>
    <row r="3194" spans="1:11">
      <c r="A3194"/>
      <c r="B3194"/>
      <c r="C3194"/>
      <c r="D3194"/>
      <c r="E3194"/>
      <c r="F3194"/>
      <c r="G3194"/>
      <c r="H3194"/>
      <c r="I3194"/>
      <c r="J3194"/>
      <c r="K3194"/>
    </row>
    <row r="3195" spans="1:11">
      <c r="A3195"/>
      <c r="B3195"/>
      <c r="C3195"/>
      <c r="D3195"/>
      <c r="E3195"/>
      <c r="F3195"/>
      <c r="G3195"/>
      <c r="H3195"/>
      <c r="I3195"/>
      <c r="J3195"/>
      <c r="K3195"/>
    </row>
    <row r="3196" spans="1:11">
      <c r="A3196"/>
      <c r="B3196"/>
      <c r="C3196"/>
      <c r="D3196"/>
      <c r="E3196"/>
      <c r="F3196"/>
      <c r="G3196"/>
      <c r="H3196"/>
      <c r="I3196"/>
      <c r="J3196"/>
      <c r="K3196"/>
    </row>
    <row r="3197" spans="1:11">
      <c r="A3197"/>
      <c r="B3197"/>
      <c r="C3197"/>
      <c r="D3197"/>
      <c r="E3197"/>
      <c r="F3197"/>
      <c r="G3197"/>
      <c r="H3197"/>
      <c r="I3197"/>
      <c r="J3197"/>
      <c r="K3197"/>
    </row>
    <row r="3198" spans="1:11">
      <c r="A3198"/>
      <c r="B3198"/>
      <c r="C3198"/>
      <c r="D3198"/>
      <c r="E3198"/>
      <c r="F3198"/>
      <c r="G3198"/>
      <c r="H3198"/>
      <c r="I3198"/>
      <c r="J3198"/>
      <c r="K3198"/>
    </row>
    <row r="3199" spans="1:11">
      <c r="A3199"/>
      <c r="B3199"/>
      <c r="C3199"/>
      <c r="D3199"/>
      <c r="E3199"/>
      <c r="F3199"/>
      <c r="G3199"/>
      <c r="H3199"/>
      <c r="I3199"/>
      <c r="J3199"/>
      <c r="K3199"/>
    </row>
    <row r="3200" spans="1:11">
      <c r="A3200"/>
      <c r="B3200"/>
      <c r="C3200"/>
      <c r="D3200"/>
      <c r="E3200"/>
      <c r="F3200"/>
      <c r="G3200"/>
      <c r="H3200"/>
      <c r="I3200"/>
      <c r="J3200"/>
      <c r="K3200"/>
    </row>
    <row r="3201" spans="1:11">
      <c r="A3201"/>
      <c r="B3201"/>
      <c r="C3201"/>
      <c r="D3201"/>
      <c r="E3201"/>
      <c r="F3201"/>
      <c r="G3201"/>
      <c r="H3201"/>
      <c r="I3201"/>
      <c r="J3201"/>
      <c r="K3201"/>
    </row>
    <row r="3202" spans="1:11">
      <c r="A3202"/>
      <c r="B3202"/>
      <c r="C3202"/>
      <c r="D3202"/>
      <c r="E3202"/>
      <c r="F3202"/>
      <c r="G3202"/>
      <c r="H3202"/>
      <c r="I3202"/>
      <c r="J3202"/>
      <c r="K3202"/>
    </row>
    <row r="3203" spans="1:11">
      <c r="A3203"/>
      <c r="B3203"/>
      <c r="C3203"/>
      <c r="D3203"/>
      <c r="E3203"/>
      <c r="F3203"/>
      <c r="G3203"/>
      <c r="H3203"/>
      <c r="I3203"/>
      <c r="J3203"/>
      <c r="K3203"/>
    </row>
    <row r="3204" spans="1:11">
      <c r="A3204"/>
      <c r="B3204"/>
      <c r="C3204"/>
      <c r="D3204"/>
      <c r="E3204"/>
      <c r="F3204"/>
      <c r="G3204"/>
      <c r="H3204"/>
      <c r="I3204"/>
      <c r="J3204"/>
      <c r="K3204"/>
    </row>
    <row r="3205" spans="1:11">
      <c r="A3205"/>
      <c r="B3205"/>
      <c r="C3205"/>
      <c r="D3205"/>
      <c r="E3205"/>
      <c r="F3205"/>
      <c r="G3205"/>
      <c r="H3205"/>
      <c r="I3205"/>
      <c r="J3205"/>
      <c r="K3205"/>
    </row>
    <row r="3206" spans="1:11">
      <c r="A3206"/>
      <c r="B3206"/>
      <c r="C3206"/>
      <c r="D3206"/>
      <c r="E3206"/>
      <c r="F3206"/>
      <c r="G3206"/>
      <c r="H3206"/>
      <c r="I3206"/>
      <c r="J3206"/>
      <c r="K3206"/>
    </row>
    <row r="3207" spans="1:11">
      <c r="A3207"/>
      <c r="B3207"/>
      <c r="C3207"/>
      <c r="D3207"/>
      <c r="E3207"/>
      <c r="F3207"/>
      <c r="G3207"/>
      <c r="H3207"/>
      <c r="I3207"/>
      <c r="J3207"/>
      <c r="K3207"/>
    </row>
    <row r="3208" spans="1:11">
      <c r="A3208"/>
      <c r="B3208"/>
      <c r="C3208"/>
      <c r="D3208"/>
      <c r="E3208"/>
      <c r="F3208"/>
      <c r="G3208"/>
      <c r="H3208"/>
      <c r="I3208"/>
      <c r="J3208"/>
      <c r="K3208"/>
    </row>
    <row r="3209" spans="1:11">
      <c r="A3209"/>
      <c r="B3209"/>
      <c r="C3209"/>
      <c r="D3209"/>
      <c r="E3209"/>
      <c r="F3209"/>
      <c r="G3209"/>
      <c r="H3209"/>
      <c r="I3209"/>
      <c r="J3209"/>
      <c r="K3209"/>
    </row>
    <row r="3210" spans="1:11">
      <c r="A3210"/>
      <c r="B3210"/>
      <c r="C3210"/>
      <c r="D3210"/>
      <c r="E3210"/>
      <c r="F3210"/>
      <c r="G3210"/>
      <c r="H3210"/>
      <c r="I3210"/>
      <c r="J3210"/>
      <c r="K3210"/>
    </row>
    <row r="3211" spans="1:11">
      <c r="A3211"/>
      <c r="B3211"/>
      <c r="C3211"/>
      <c r="D3211"/>
      <c r="E3211"/>
      <c r="F3211"/>
      <c r="G3211"/>
      <c r="H3211"/>
      <c r="I3211"/>
      <c r="J3211"/>
      <c r="K3211"/>
    </row>
    <row r="3212" spans="1:11">
      <c r="A3212"/>
      <c r="B3212"/>
      <c r="C3212"/>
      <c r="D3212"/>
      <c r="E3212"/>
      <c r="F3212"/>
      <c r="G3212"/>
      <c r="H3212"/>
      <c r="I3212"/>
      <c r="J3212"/>
      <c r="K3212"/>
    </row>
    <row r="3213" spans="1:11">
      <c r="A3213"/>
      <c r="B3213"/>
      <c r="C3213"/>
      <c r="D3213"/>
      <c r="E3213"/>
      <c r="F3213"/>
      <c r="G3213"/>
      <c r="H3213"/>
      <c r="I3213"/>
      <c r="J3213"/>
      <c r="K3213"/>
    </row>
    <row r="3214" spans="1:11">
      <c r="A3214"/>
      <c r="B3214"/>
      <c r="C3214"/>
      <c r="D3214"/>
      <c r="E3214"/>
      <c r="F3214"/>
      <c r="G3214"/>
      <c r="H3214"/>
      <c r="I3214"/>
      <c r="J3214"/>
      <c r="K3214"/>
    </row>
    <row r="3215" spans="1:11">
      <c r="A3215"/>
      <c r="B3215"/>
      <c r="C3215"/>
      <c r="D3215"/>
      <c r="E3215"/>
      <c r="F3215"/>
      <c r="G3215"/>
      <c r="H3215"/>
      <c r="I3215"/>
      <c r="J3215"/>
      <c r="K3215"/>
    </row>
    <row r="3216" spans="1:11">
      <c r="A3216"/>
      <c r="B3216"/>
      <c r="C3216"/>
      <c r="D3216"/>
      <c r="E3216"/>
      <c r="F3216"/>
      <c r="G3216"/>
      <c r="H3216"/>
      <c r="I3216"/>
      <c r="J3216"/>
      <c r="K3216"/>
    </row>
    <row r="3217" spans="1:11">
      <c r="A3217"/>
      <c r="B3217"/>
      <c r="C3217"/>
      <c r="D3217"/>
      <c r="E3217"/>
      <c r="F3217"/>
      <c r="G3217"/>
      <c r="H3217"/>
      <c r="I3217"/>
      <c r="J3217"/>
      <c r="K3217"/>
    </row>
    <row r="3218" spans="1:11">
      <c r="A3218"/>
      <c r="B3218"/>
      <c r="C3218"/>
      <c r="D3218"/>
      <c r="E3218"/>
      <c r="F3218"/>
      <c r="G3218"/>
      <c r="H3218"/>
      <c r="I3218"/>
      <c r="J3218"/>
      <c r="K3218"/>
    </row>
    <row r="3219" spans="1:11">
      <c r="A3219"/>
      <c r="B3219"/>
      <c r="C3219"/>
      <c r="D3219"/>
      <c r="E3219"/>
      <c r="F3219"/>
      <c r="G3219"/>
      <c r="H3219"/>
      <c r="I3219"/>
      <c r="J3219"/>
      <c r="K3219"/>
    </row>
    <row r="3220" spans="1:11">
      <c r="A3220"/>
      <c r="B3220"/>
      <c r="C3220"/>
      <c r="D3220"/>
      <c r="E3220"/>
      <c r="F3220"/>
      <c r="G3220"/>
      <c r="H3220"/>
      <c r="I3220"/>
      <c r="J3220"/>
      <c r="K3220"/>
    </row>
    <row r="3221" spans="1:11">
      <c r="A3221"/>
      <c r="B3221"/>
      <c r="C3221"/>
      <c r="D3221"/>
      <c r="E3221"/>
      <c r="F3221"/>
      <c r="G3221"/>
      <c r="H3221"/>
      <c r="I3221"/>
      <c r="J3221"/>
      <c r="K3221"/>
    </row>
    <row r="3222" spans="1:11">
      <c r="A3222"/>
      <c r="B3222"/>
      <c r="C3222"/>
      <c r="D3222"/>
      <c r="E3222"/>
      <c r="F3222"/>
      <c r="G3222"/>
      <c r="H3222"/>
      <c r="I3222"/>
      <c r="J3222"/>
      <c r="K3222"/>
    </row>
    <row r="3223" spans="1:11">
      <c r="A3223"/>
      <c r="B3223"/>
      <c r="C3223"/>
      <c r="D3223"/>
      <c r="E3223"/>
      <c r="F3223"/>
      <c r="G3223"/>
      <c r="H3223"/>
      <c r="I3223"/>
      <c r="J3223"/>
      <c r="K3223"/>
    </row>
    <row r="3224" spans="1:11">
      <c r="A3224"/>
      <c r="B3224"/>
      <c r="C3224"/>
      <c r="D3224"/>
      <c r="E3224"/>
      <c r="F3224"/>
      <c r="G3224"/>
      <c r="H3224"/>
      <c r="I3224"/>
      <c r="J3224"/>
      <c r="K3224"/>
    </row>
    <row r="3225" spans="1:11">
      <c r="A3225"/>
      <c r="B3225"/>
      <c r="C3225"/>
      <c r="D3225"/>
      <c r="E3225"/>
      <c r="F3225"/>
      <c r="G3225"/>
      <c r="H3225"/>
      <c r="I3225"/>
      <c r="J3225"/>
      <c r="K3225"/>
    </row>
    <row r="3226" spans="1:11">
      <c r="A3226"/>
      <c r="B3226"/>
      <c r="C3226"/>
      <c r="D3226"/>
      <c r="E3226"/>
      <c r="F3226"/>
      <c r="G3226"/>
      <c r="H3226"/>
      <c r="I3226"/>
      <c r="J3226"/>
      <c r="K3226"/>
    </row>
    <row r="3227" spans="1:11">
      <c r="A3227"/>
      <c r="B3227"/>
      <c r="C3227"/>
      <c r="D3227"/>
      <c r="E3227"/>
      <c r="F3227"/>
      <c r="G3227"/>
      <c r="H3227"/>
      <c r="I3227"/>
      <c r="J3227"/>
      <c r="K3227"/>
    </row>
    <row r="3228" spans="1:11">
      <c r="A3228"/>
      <c r="B3228"/>
      <c r="C3228"/>
      <c r="D3228"/>
      <c r="E3228"/>
      <c r="F3228"/>
      <c r="G3228"/>
      <c r="H3228"/>
      <c r="I3228"/>
      <c r="J3228"/>
      <c r="K3228"/>
    </row>
    <row r="3229" spans="1:11">
      <c r="A3229"/>
      <c r="B3229"/>
      <c r="C3229"/>
      <c r="D3229"/>
      <c r="E3229"/>
      <c r="F3229"/>
      <c r="G3229"/>
      <c r="H3229"/>
      <c r="I3229"/>
      <c r="J3229"/>
      <c r="K3229"/>
    </row>
    <row r="3230" spans="1:11">
      <c r="A3230"/>
      <c r="B3230"/>
      <c r="C3230"/>
      <c r="D3230"/>
      <c r="E3230"/>
      <c r="F3230"/>
      <c r="G3230"/>
      <c r="H3230"/>
      <c r="I3230"/>
      <c r="J3230"/>
      <c r="K3230"/>
    </row>
    <row r="3231" spans="1:11">
      <c r="A3231"/>
      <c r="B3231"/>
      <c r="C3231"/>
      <c r="D3231"/>
      <c r="E3231"/>
      <c r="F3231"/>
      <c r="G3231"/>
      <c r="H3231"/>
      <c r="I3231"/>
      <c r="J3231"/>
      <c r="K3231"/>
    </row>
    <row r="3232" spans="1:11">
      <c r="A3232"/>
      <c r="B3232"/>
      <c r="C3232"/>
      <c r="D3232"/>
      <c r="E3232"/>
      <c r="F3232"/>
      <c r="G3232"/>
      <c r="H3232"/>
      <c r="I3232"/>
      <c r="J3232"/>
      <c r="K3232"/>
    </row>
    <row r="3233" spans="1:11">
      <c r="A3233"/>
      <c r="B3233"/>
      <c r="C3233"/>
      <c r="D3233"/>
      <c r="E3233"/>
      <c r="F3233"/>
      <c r="G3233"/>
      <c r="H3233"/>
      <c r="I3233"/>
      <c r="J3233"/>
      <c r="K3233"/>
    </row>
    <row r="3234" spans="1:11">
      <c r="A3234"/>
      <c r="B3234"/>
      <c r="C3234"/>
      <c r="D3234"/>
      <c r="E3234"/>
      <c r="F3234"/>
      <c r="G3234"/>
      <c r="H3234"/>
      <c r="I3234"/>
      <c r="J3234"/>
      <c r="K3234"/>
    </row>
    <row r="3235" spans="1:11">
      <c r="A3235"/>
      <c r="B3235"/>
      <c r="C3235"/>
      <c r="D3235"/>
      <c r="E3235"/>
      <c r="F3235"/>
      <c r="G3235"/>
      <c r="H3235"/>
      <c r="I3235"/>
      <c r="J3235"/>
      <c r="K3235"/>
    </row>
    <row r="3236" spans="1:11">
      <c r="A3236"/>
      <c r="B3236"/>
      <c r="C3236"/>
      <c r="D3236"/>
      <c r="E3236"/>
      <c r="F3236"/>
      <c r="G3236"/>
      <c r="H3236"/>
      <c r="I3236"/>
      <c r="J3236"/>
      <c r="K3236"/>
    </row>
    <row r="3237" spans="1:11">
      <c r="A3237"/>
      <c r="B3237"/>
      <c r="C3237"/>
      <c r="D3237"/>
      <c r="E3237"/>
      <c r="F3237"/>
      <c r="G3237"/>
      <c r="H3237"/>
      <c r="I3237"/>
      <c r="J3237"/>
      <c r="K3237"/>
    </row>
    <row r="3238" spans="1:11">
      <c r="A3238"/>
      <c r="B3238"/>
      <c r="C3238"/>
      <c r="D3238"/>
      <c r="E3238"/>
      <c r="F3238"/>
      <c r="G3238"/>
      <c r="H3238"/>
      <c r="I3238"/>
      <c r="J3238"/>
      <c r="K3238"/>
    </row>
    <row r="3239" spans="1:11">
      <c r="A3239"/>
      <c r="B3239"/>
      <c r="C3239"/>
      <c r="D3239"/>
      <c r="E3239"/>
      <c r="F3239"/>
      <c r="G3239"/>
      <c r="H3239"/>
      <c r="I3239"/>
      <c r="J3239"/>
      <c r="K3239"/>
    </row>
    <row r="3240" spans="1:11">
      <c r="A3240"/>
      <c r="B3240"/>
      <c r="C3240"/>
      <c r="D3240"/>
      <c r="E3240"/>
      <c r="F3240"/>
      <c r="G3240"/>
      <c r="H3240"/>
      <c r="I3240"/>
      <c r="J3240"/>
      <c r="K3240"/>
    </row>
    <row r="3241" spans="1:11">
      <c r="A3241"/>
      <c r="B3241"/>
      <c r="C3241"/>
      <c r="D3241"/>
      <c r="E3241"/>
      <c r="F3241"/>
      <c r="G3241"/>
      <c r="H3241"/>
      <c r="I3241"/>
      <c r="J3241"/>
      <c r="K3241"/>
    </row>
    <row r="3242" spans="1:11">
      <c r="A3242"/>
      <c r="B3242"/>
      <c r="C3242"/>
      <c r="D3242"/>
      <c r="E3242"/>
      <c r="F3242"/>
      <c r="G3242"/>
      <c r="H3242"/>
      <c r="I3242"/>
      <c r="J3242"/>
      <c r="K3242"/>
    </row>
    <row r="3243" spans="1:11">
      <c r="A3243"/>
      <c r="B3243"/>
      <c r="C3243"/>
      <c r="D3243"/>
      <c r="E3243"/>
      <c r="F3243"/>
      <c r="G3243"/>
      <c r="H3243"/>
      <c r="I3243"/>
      <c r="J3243"/>
      <c r="K3243"/>
    </row>
    <row r="3244" spans="1:11">
      <c r="A3244"/>
      <c r="B3244"/>
      <c r="C3244"/>
      <c r="D3244"/>
      <c r="E3244"/>
      <c r="F3244"/>
      <c r="G3244"/>
      <c r="H3244"/>
      <c r="I3244"/>
      <c r="J3244"/>
      <c r="K3244"/>
    </row>
    <row r="3245" spans="1:11">
      <c r="A3245"/>
      <c r="B3245"/>
      <c r="C3245"/>
      <c r="D3245"/>
      <c r="E3245"/>
      <c r="F3245"/>
      <c r="G3245"/>
      <c r="H3245"/>
      <c r="I3245"/>
      <c r="J3245"/>
      <c r="K3245"/>
    </row>
    <row r="3246" spans="1:11">
      <c r="A3246"/>
      <c r="B3246"/>
      <c r="C3246"/>
      <c r="D3246"/>
      <c r="E3246"/>
      <c r="F3246"/>
      <c r="G3246"/>
      <c r="H3246"/>
      <c r="I3246"/>
      <c r="J3246"/>
      <c r="K3246"/>
    </row>
    <row r="3247" spans="1:11">
      <c r="A3247"/>
      <c r="B3247"/>
      <c r="C3247"/>
      <c r="D3247"/>
      <c r="E3247"/>
      <c r="F3247"/>
      <c r="G3247"/>
      <c r="H3247"/>
      <c r="I3247"/>
      <c r="J3247"/>
      <c r="K3247"/>
    </row>
    <row r="3248" spans="1:11">
      <c r="A3248"/>
      <c r="B3248"/>
      <c r="C3248"/>
      <c r="D3248"/>
      <c r="E3248"/>
      <c r="F3248"/>
      <c r="G3248"/>
      <c r="H3248"/>
      <c r="I3248"/>
      <c r="J3248"/>
      <c r="K3248"/>
    </row>
    <row r="3249" spans="1:11">
      <c r="A3249"/>
      <c r="B3249"/>
      <c r="C3249"/>
      <c r="D3249"/>
      <c r="E3249"/>
      <c r="F3249"/>
      <c r="G3249"/>
      <c r="H3249"/>
      <c r="I3249"/>
      <c r="J3249"/>
      <c r="K3249"/>
    </row>
    <row r="3250" spans="1:11">
      <c r="A3250"/>
      <c r="B3250"/>
      <c r="C3250"/>
      <c r="D3250"/>
      <c r="E3250"/>
      <c r="F3250"/>
      <c r="G3250"/>
      <c r="H3250"/>
      <c r="I3250"/>
      <c r="J3250"/>
      <c r="K3250"/>
    </row>
    <row r="3251" spans="1:11">
      <c r="A3251"/>
      <c r="B3251"/>
      <c r="C3251"/>
      <c r="D3251"/>
      <c r="E3251"/>
      <c r="F3251"/>
      <c r="G3251"/>
      <c r="H3251"/>
      <c r="I3251"/>
      <c r="J3251"/>
      <c r="K3251"/>
    </row>
    <row r="3252" spans="1:11">
      <c r="A3252"/>
      <c r="B3252"/>
      <c r="C3252"/>
      <c r="D3252"/>
      <c r="E3252"/>
      <c r="F3252"/>
      <c r="G3252"/>
      <c r="H3252"/>
      <c r="I3252"/>
      <c r="J3252"/>
      <c r="K3252"/>
    </row>
    <row r="3253" spans="1:11">
      <c r="A3253"/>
      <c r="B3253"/>
      <c r="C3253"/>
      <c r="D3253"/>
      <c r="E3253"/>
      <c r="F3253"/>
      <c r="G3253"/>
      <c r="H3253"/>
      <c r="I3253"/>
      <c r="J3253"/>
      <c r="K3253"/>
    </row>
    <row r="3254" spans="1:11">
      <c r="A3254"/>
      <c r="B3254"/>
      <c r="C3254"/>
      <c r="D3254"/>
      <c r="E3254"/>
      <c r="F3254"/>
      <c r="G3254"/>
      <c r="H3254"/>
      <c r="I3254"/>
      <c r="J3254"/>
      <c r="K3254"/>
    </row>
    <row r="3255" spans="1:11">
      <c r="A3255"/>
      <c r="B3255"/>
      <c r="C3255"/>
      <c r="D3255"/>
      <c r="E3255"/>
      <c r="F3255"/>
      <c r="G3255"/>
      <c r="H3255"/>
      <c r="I3255"/>
      <c r="J3255"/>
      <c r="K3255"/>
    </row>
    <row r="3256" spans="1:11">
      <c r="A3256"/>
      <c r="B3256"/>
      <c r="C3256"/>
      <c r="D3256"/>
      <c r="E3256"/>
      <c r="F3256"/>
      <c r="G3256"/>
      <c r="H3256"/>
      <c r="I3256"/>
      <c r="J3256"/>
      <c r="K3256"/>
    </row>
    <row r="3257" spans="1:11">
      <c r="A3257"/>
      <c r="B3257"/>
      <c r="C3257"/>
      <c r="D3257"/>
      <c r="E3257"/>
      <c r="F3257"/>
      <c r="G3257"/>
      <c r="H3257"/>
      <c r="I3257"/>
      <c r="J3257"/>
      <c r="K3257"/>
    </row>
    <row r="3258" spans="1:11">
      <c r="A3258"/>
      <c r="B3258"/>
      <c r="C3258"/>
      <c r="D3258"/>
      <c r="E3258"/>
      <c r="F3258"/>
      <c r="G3258"/>
      <c r="H3258"/>
      <c r="I3258"/>
      <c r="J3258"/>
      <c r="K3258"/>
    </row>
    <row r="3259" spans="1:11">
      <c r="A3259"/>
      <c r="B3259"/>
      <c r="C3259"/>
      <c r="D3259"/>
      <c r="E3259"/>
      <c r="F3259"/>
      <c r="G3259"/>
      <c r="H3259"/>
      <c r="I3259"/>
      <c r="J3259"/>
      <c r="K3259"/>
    </row>
    <row r="3260" spans="1:11">
      <c r="A3260"/>
      <c r="B3260"/>
      <c r="C3260"/>
      <c r="D3260"/>
      <c r="E3260"/>
      <c r="F3260"/>
      <c r="G3260"/>
      <c r="H3260"/>
      <c r="I3260"/>
      <c r="J3260"/>
      <c r="K3260"/>
    </row>
    <row r="3261" spans="1:11">
      <c r="A3261"/>
      <c r="B3261"/>
      <c r="C3261"/>
      <c r="D3261"/>
      <c r="E3261"/>
      <c r="F3261"/>
      <c r="G3261"/>
      <c r="H3261"/>
      <c r="I3261"/>
      <c r="J3261"/>
      <c r="K3261"/>
    </row>
    <row r="3262" spans="1:11">
      <c r="A3262"/>
      <c r="B3262"/>
      <c r="C3262"/>
      <c r="D3262"/>
      <c r="E3262"/>
      <c r="F3262"/>
      <c r="G3262"/>
      <c r="H3262"/>
      <c r="I3262"/>
      <c r="J3262"/>
      <c r="K3262"/>
    </row>
    <row r="3263" spans="1:11">
      <c r="A3263"/>
      <c r="B3263"/>
      <c r="C3263"/>
      <c r="D3263"/>
      <c r="E3263"/>
      <c r="F3263"/>
      <c r="G3263"/>
      <c r="H3263"/>
      <c r="I3263"/>
      <c r="J3263"/>
      <c r="K3263"/>
    </row>
    <row r="3264" spans="1:11">
      <c r="A3264"/>
      <c r="B3264"/>
      <c r="C3264"/>
      <c r="D3264"/>
      <c r="E3264"/>
      <c r="F3264"/>
      <c r="G3264"/>
      <c r="H3264"/>
      <c r="I3264"/>
      <c r="J3264"/>
      <c r="K3264"/>
    </row>
    <row r="3265" spans="1:11">
      <c r="A3265"/>
      <c r="B3265"/>
      <c r="C3265"/>
      <c r="D3265"/>
      <c r="E3265"/>
      <c r="F3265"/>
      <c r="G3265"/>
      <c r="H3265"/>
      <c r="I3265"/>
      <c r="J3265"/>
      <c r="K3265"/>
    </row>
    <row r="3266" spans="1:11">
      <c r="A3266"/>
      <c r="B3266"/>
      <c r="C3266"/>
      <c r="D3266"/>
      <c r="E3266"/>
      <c r="F3266"/>
      <c r="G3266"/>
      <c r="H3266"/>
      <c r="I3266"/>
      <c r="J3266"/>
      <c r="K3266"/>
    </row>
    <row r="3267" spans="1:11">
      <c r="A3267"/>
      <c r="B3267"/>
      <c r="C3267"/>
      <c r="D3267"/>
      <c r="E3267"/>
      <c r="F3267"/>
      <c r="G3267"/>
      <c r="H3267"/>
      <c r="I3267"/>
      <c r="J3267"/>
      <c r="K3267"/>
    </row>
    <row r="3268" spans="1:11">
      <c r="A3268"/>
      <c r="B3268"/>
      <c r="C3268"/>
      <c r="D3268"/>
      <c r="E3268"/>
      <c r="F3268"/>
      <c r="G3268"/>
      <c r="H3268"/>
      <c r="I3268"/>
      <c r="J3268"/>
      <c r="K3268"/>
    </row>
    <row r="3269" spans="1:11">
      <c r="A3269"/>
      <c r="B3269"/>
      <c r="C3269"/>
      <c r="D3269"/>
      <c r="E3269"/>
      <c r="F3269"/>
      <c r="G3269"/>
      <c r="H3269"/>
      <c r="I3269"/>
      <c r="J3269"/>
      <c r="K3269"/>
    </row>
    <row r="3270" spans="1:11">
      <c r="A3270"/>
      <c r="B3270"/>
      <c r="C3270"/>
      <c r="D3270"/>
      <c r="E3270"/>
      <c r="F3270"/>
      <c r="G3270"/>
      <c r="H3270"/>
      <c r="I3270"/>
      <c r="J3270"/>
      <c r="K3270"/>
    </row>
    <row r="3271" spans="1:11">
      <c r="A3271"/>
      <c r="B3271"/>
      <c r="C3271"/>
      <c r="D3271"/>
      <c r="E3271"/>
      <c r="F3271"/>
      <c r="G3271"/>
      <c r="H3271"/>
      <c r="I3271"/>
      <c r="J3271"/>
      <c r="K3271"/>
    </row>
    <row r="3272" spans="1:11">
      <c r="A3272"/>
      <c r="B3272"/>
      <c r="C3272"/>
      <c r="D3272"/>
      <c r="E3272"/>
      <c r="F3272"/>
      <c r="G3272"/>
      <c r="H3272"/>
      <c r="I3272"/>
      <c r="J3272"/>
      <c r="K3272"/>
    </row>
    <row r="3273" spans="1:11">
      <c r="A3273"/>
      <c r="B3273"/>
      <c r="C3273"/>
      <c r="D3273"/>
      <c r="E3273"/>
      <c r="F3273"/>
      <c r="G3273"/>
      <c r="H3273"/>
      <c r="I3273"/>
      <c r="J3273"/>
      <c r="K3273"/>
    </row>
    <row r="3274" spans="1:11">
      <c r="A3274"/>
      <c r="B3274"/>
      <c r="C3274"/>
      <c r="D3274"/>
      <c r="E3274"/>
      <c r="F3274"/>
      <c r="G3274"/>
      <c r="H3274"/>
      <c r="I3274"/>
      <c r="J3274"/>
      <c r="K3274"/>
    </row>
    <row r="3275" spans="1:11">
      <c r="A3275"/>
      <c r="B3275"/>
      <c r="C3275"/>
      <c r="D3275"/>
      <c r="E3275"/>
      <c r="F3275"/>
      <c r="G3275"/>
      <c r="H3275"/>
      <c r="I3275"/>
      <c r="J3275"/>
      <c r="K3275"/>
    </row>
    <row r="3276" spans="1:11">
      <c r="A3276"/>
      <c r="B3276"/>
      <c r="C3276"/>
      <c r="D3276"/>
      <c r="E3276"/>
      <c r="F3276"/>
      <c r="G3276"/>
      <c r="H3276"/>
      <c r="I3276"/>
      <c r="J3276"/>
      <c r="K3276"/>
    </row>
    <row r="3277" spans="1:11">
      <c r="A3277"/>
      <c r="B3277"/>
      <c r="C3277"/>
      <c r="D3277"/>
      <c r="E3277"/>
      <c r="F3277"/>
      <c r="G3277"/>
      <c r="H3277"/>
      <c r="I3277"/>
      <c r="J3277"/>
      <c r="K3277"/>
    </row>
    <row r="3278" spans="1:11">
      <c r="A3278"/>
      <c r="B3278"/>
      <c r="C3278"/>
      <c r="D3278"/>
      <c r="E3278"/>
      <c r="F3278"/>
      <c r="G3278"/>
      <c r="H3278"/>
      <c r="I3278"/>
      <c r="J3278"/>
      <c r="K3278"/>
    </row>
    <row r="3279" spans="1:11">
      <c r="A3279"/>
      <c r="B3279"/>
      <c r="C3279"/>
      <c r="D3279"/>
      <c r="E3279"/>
      <c r="F3279"/>
      <c r="G3279"/>
      <c r="H3279"/>
      <c r="I3279"/>
      <c r="J3279"/>
      <c r="K3279"/>
    </row>
    <row r="3280" spans="1:11">
      <c r="A3280"/>
      <c r="B3280"/>
      <c r="C3280"/>
      <c r="D3280"/>
      <c r="E3280"/>
      <c r="F3280"/>
      <c r="G3280"/>
      <c r="H3280"/>
      <c r="I3280"/>
      <c r="J3280"/>
      <c r="K3280"/>
    </row>
    <row r="3281" spans="1:11">
      <c r="A3281"/>
      <c r="B3281"/>
      <c r="C3281"/>
      <c r="D3281"/>
      <c r="E3281"/>
      <c r="F3281"/>
      <c r="G3281"/>
      <c r="H3281"/>
      <c r="I3281"/>
      <c r="J3281"/>
      <c r="K3281"/>
    </row>
    <row r="3282" spans="1:11">
      <c r="A3282"/>
      <c r="B3282"/>
      <c r="C3282"/>
      <c r="D3282"/>
      <c r="E3282"/>
      <c r="F3282"/>
      <c r="G3282"/>
      <c r="H3282"/>
      <c r="I3282"/>
      <c r="J3282"/>
      <c r="K3282"/>
    </row>
    <row r="3283" spans="1:11">
      <c r="A3283"/>
      <c r="B3283"/>
      <c r="C3283"/>
      <c r="D3283"/>
      <c r="E3283"/>
      <c r="F3283"/>
      <c r="G3283"/>
      <c r="H3283"/>
      <c r="I3283"/>
      <c r="J3283"/>
      <c r="K3283"/>
    </row>
    <row r="3284" spans="1:11">
      <c r="A3284"/>
      <c r="B3284"/>
      <c r="C3284"/>
      <c r="D3284"/>
      <c r="E3284"/>
      <c r="F3284"/>
      <c r="G3284"/>
      <c r="H3284"/>
      <c r="I3284"/>
      <c r="J3284"/>
      <c r="K3284"/>
    </row>
    <row r="3285" spans="1:11">
      <c r="A3285"/>
      <c r="B3285"/>
      <c r="C3285"/>
      <c r="D3285"/>
      <c r="E3285"/>
      <c r="F3285"/>
      <c r="G3285"/>
      <c r="H3285"/>
      <c r="I3285"/>
      <c r="J3285"/>
      <c r="K3285"/>
    </row>
    <row r="3286" spans="1:11">
      <c r="A3286"/>
      <c r="B3286"/>
      <c r="C3286"/>
      <c r="D3286"/>
      <c r="E3286"/>
      <c r="F3286"/>
      <c r="G3286"/>
      <c r="H3286"/>
      <c r="I3286"/>
      <c r="J3286"/>
      <c r="K3286"/>
    </row>
    <row r="3287" spans="1:11">
      <c r="A3287"/>
      <c r="B3287"/>
      <c r="C3287"/>
      <c r="D3287"/>
      <c r="E3287"/>
      <c r="F3287"/>
      <c r="G3287"/>
      <c r="H3287"/>
      <c r="I3287"/>
      <c r="J3287"/>
      <c r="K3287"/>
    </row>
    <row r="3288" spans="1:11">
      <c r="A3288"/>
      <c r="B3288"/>
      <c r="C3288"/>
      <c r="D3288"/>
      <c r="E3288"/>
      <c r="F3288"/>
      <c r="G3288"/>
      <c r="H3288"/>
      <c r="I3288"/>
      <c r="J3288"/>
      <c r="K3288"/>
    </row>
    <row r="3289" spans="1:11">
      <c r="A3289"/>
      <c r="B3289"/>
      <c r="C3289"/>
      <c r="D3289"/>
      <c r="E3289"/>
      <c r="F3289"/>
      <c r="G3289"/>
      <c r="H3289"/>
      <c r="I3289"/>
      <c r="J3289"/>
      <c r="K3289"/>
    </row>
    <row r="3290" spans="1:11">
      <c r="A3290"/>
      <c r="B3290"/>
      <c r="C3290"/>
      <c r="D3290"/>
      <c r="E3290"/>
      <c r="F3290"/>
      <c r="G3290"/>
      <c r="H3290"/>
      <c r="I3290"/>
      <c r="J3290"/>
      <c r="K3290"/>
    </row>
    <row r="3291" spans="1:11">
      <c r="A3291"/>
      <c r="B3291"/>
      <c r="C3291"/>
      <c r="D3291"/>
      <c r="E3291"/>
      <c r="F3291"/>
      <c r="G3291"/>
      <c r="H3291"/>
      <c r="I3291"/>
      <c r="J3291"/>
      <c r="K3291"/>
    </row>
    <row r="3292" spans="1:11">
      <c r="A3292"/>
      <c r="B3292"/>
      <c r="C3292"/>
      <c r="D3292"/>
      <c r="E3292"/>
      <c r="F3292"/>
      <c r="G3292"/>
      <c r="H3292"/>
      <c r="I3292"/>
      <c r="J3292"/>
      <c r="K3292"/>
    </row>
    <row r="3293" spans="1:11">
      <c r="A3293"/>
      <c r="B3293"/>
      <c r="C3293"/>
      <c r="D3293"/>
      <c r="E3293"/>
      <c r="F3293"/>
      <c r="G3293"/>
      <c r="H3293"/>
      <c r="I3293"/>
      <c r="J3293"/>
      <c r="K3293"/>
    </row>
    <row r="3294" spans="1:11">
      <c r="A3294"/>
      <c r="B3294"/>
      <c r="C3294"/>
      <c r="D3294"/>
      <c r="E3294"/>
      <c r="F3294"/>
      <c r="G3294"/>
      <c r="H3294"/>
      <c r="I3294"/>
      <c r="J3294"/>
      <c r="K3294"/>
    </row>
    <row r="3295" spans="1:11">
      <c r="A3295"/>
      <c r="B3295"/>
      <c r="C3295"/>
      <c r="D3295"/>
      <c r="E3295"/>
      <c r="F3295"/>
      <c r="G3295"/>
      <c r="H3295"/>
      <c r="I3295"/>
      <c r="J3295"/>
      <c r="K3295"/>
    </row>
    <row r="3296" spans="1:11">
      <c r="A3296"/>
      <c r="B3296"/>
      <c r="C3296"/>
      <c r="D3296"/>
      <c r="E3296"/>
      <c r="F3296"/>
      <c r="G3296"/>
      <c r="H3296"/>
      <c r="I3296"/>
      <c r="J3296"/>
      <c r="K3296"/>
    </row>
    <row r="3297" spans="1:11">
      <c r="A3297"/>
      <c r="B3297"/>
      <c r="C3297"/>
      <c r="D3297"/>
      <c r="E3297"/>
      <c r="F3297"/>
      <c r="G3297"/>
      <c r="H3297"/>
      <c r="I3297"/>
      <c r="J3297"/>
      <c r="K3297"/>
    </row>
    <row r="3298" spans="1:11">
      <c r="A3298"/>
      <c r="B3298"/>
      <c r="C3298"/>
      <c r="D3298"/>
      <c r="E3298"/>
      <c r="F3298"/>
      <c r="G3298"/>
      <c r="H3298"/>
      <c r="I3298"/>
      <c r="J3298"/>
      <c r="K3298"/>
    </row>
    <row r="3299" spans="1:11">
      <c r="A3299"/>
      <c r="B3299"/>
      <c r="C3299"/>
      <c r="D3299"/>
      <c r="E3299"/>
      <c r="F3299"/>
      <c r="G3299"/>
      <c r="H3299"/>
      <c r="I3299"/>
      <c r="J3299"/>
      <c r="K3299"/>
    </row>
    <row r="3300" spans="1:11">
      <c r="A3300"/>
      <c r="B3300"/>
      <c r="C3300"/>
      <c r="D3300"/>
      <c r="E3300"/>
      <c r="F3300"/>
      <c r="G3300"/>
      <c r="H3300"/>
      <c r="I3300"/>
      <c r="J3300"/>
      <c r="K3300"/>
    </row>
    <row r="3301" spans="1:11">
      <c r="A3301"/>
      <c r="B3301"/>
      <c r="C3301"/>
      <c r="D3301"/>
      <c r="E3301"/>
      <c r="F3301"/>
      <c r="G3301"/>
      <c r="H3301"/>
      <c r="I3301"/>
      <c r="J3301"/>
      <c r="K3301"/>
    </row>
    <row r="3302" spans="1:11">
      <c r="A3302"/>
      <c r="B3302"/>
      <c r="C3302"/>
      <c r="D3302"/>
      <c r="E3302"/>
      <c r="F3302"/>
      <c r="G3302"/>
      <c r="H3302"/>
      <c r="I3302"/>
      <c r="J3302"/>
      <c r="K3302"/>
    </row>
    <row r="3303" spans="1:11">
      <c r="A3303"/>
      <c r="B3303"/>
      <c r="C3303"/>
      <c r="D3303"/>
      <c r="E3303"/>
      <c r="F3303"/>
      <c r="G3303"/>
      <c r="H3303"/>
      <c r="I3303"/>
      <c r="J3303"/>
      <c r="K3303"/>
    </row>
    <row r="3304" spans="1:11">
      <c r="A3304"/>
      <c r="B3304"/>
      <c r="C3304"/>
      <c r="D3304"/>
      <c r="E3304"/>
      <c r="F3304"/>
      <c r="G3304"/>
      <c r="H3304"/>
      <c r="I3304"/>
      <c r="J3304"/>
      <c r="K3304"/>
    </row>
    <row r="3305" spans="1:11">
      <c r="A3305"/>
      <c r="B3305"/>
      <c r="C3305"/>
      <c r="D3305"/>
      <c r="E3305"/>
      <c r="F3305"/>
      <c r="G3305"/>
      <c r="H3305"/>
      <c r="I3305"/>
      <c r="J3305"/>
      <c r="K3305"/>
    </row>
    <row r="3306" spans="1:11">
      <c r="A3306"/>
      <c r="B3306"/>
      <c r="C3306"/>
      <c r="D3306"/>
      <c r="E3306"/>
      <c r="F3306"/>
      <c r="G3306"/>
      <c r="H3306"/>
      <c r="I3306"/>
      <c r="J3306"/>
      <c r="K3306"/>
    </row>
    <row r="3307" spans="1:11">
      <c r="A3307"/>
      <c r="B3307"/>
      <c r="C3307"/>
      <c r="D3307"/>
      <c r="E3307"/>
      <c r="F3307"/>
      <c r="G3307"/>
      <c r="H3307"/>
      <c r="I3307"/>
      <c r="J3307"/>
      <c r="K3307"/>
    </row>
    <row r="3308" spans="1:11">
      <c r="A3308"/>
      <c r="B3308"/>
      <c r="C3308"/>
      <c r="D3308"/>
      <c r="E3308"/>
      <c r="F3308"/>
      <c r="G3308"/>
      <c r="H3308"/>
      <c r="I3308"/>
      <c r="J3308"/>
      <c r="K3308"/>
    </row>
    <row r="3309" spans="1:11">
      <c r="A3309"/>
      <c r="B3309"/>
      <c r="C3309"/>
      <c r="D3309"/>
      <c r="E3309"/>
      <c r="F3309"/>
      <c r="G3309"/>
      <c r="H3309"/>
      <c r="I3309"/>
      <c r="J3309"/>
      <c r="K3309"/>
    </row>
    <row r="3310" spans="1:11">
      <c r="A3310"/>
      <c r="B3310"/>
      <c r="C3310"/>
      <c r="D3310"/>
      <c r="E3310"/>
      <c r="F3310"/>
      <c r="G3310"/>
      <c r="H3310"/>
      <c r="I3310"/>
      <c r="J3310"/>
      <c r="K3310"/>
    </row>
    <row r="3311" spans="1:11">
      <c r="A3311"/>
      <c r="B3311"/>
      <c r="C3311"/>
      <c r="D3311"/>
      <c r="E3311"/>
      <c r="F3311"/>
      <c r="G3311"/>
      <c r="H3311"/>
      <c r="I3311"/>
      <c r="J3311"/>
      <c r="K3311"/>
    </row>
    <row r="3312" spans="1:11">
      <c r="A3312"/>
      <c r="B3312"/>
      <c r="C3312"/>
      <c r="D3312"/>
      <c r="E3312"/>
      <c r="F3312"/>
      <c r="G3312"/>
      <c r="H3312"/>
      <c r="I3312"/>
      <c r="J3312"/>
      <c r="K3312"/>
    </row>
    <row r="3313" spans="1:11">
      <c r="A3313"/>
      <c r="B3313"/>
      <c r="C3313"/>
      <c r="D3313"/>
      <c r="E3313"/>
      <c r="F3313"/>
      <c r="G3313"/>
      <c r="H3313"/>
      <c r="I3313"/>
      <c r="J3313"/>
      <c r="K3313"/>
    </row>
    <row r="3314" spans="1:11">
      <c r="A3314"/>
      <c r="B3314"/>
      <c r="C3314"/>
      <c r="D3314"/>
      <c r="E3314"/>
      <c r="F3314"/>
      <c r="G3314"/>
      <c r="H3314"/>
      <c r="I3314"/>
      <c r="J3314"/>
      <c r="K3314"/>
    </row>
    <row r="3315" spans="1:11">
      <c r="A3315"/>
      <c r="B3315"/>
      <c r="C3315"/>
      <c r="D3315"/>
      <c r="E3315"/>
      <c r="F3315"/>
      <c r="G3315"/>
      <c r="H3315"/>
      <c r="I3315"/>
      <c r="J3315"/>
      <c r="K3315"/>
    </row>
    <row r="3316" spans="1:11">
      <c r="A3316"/>
      <c r="B3316"/>
      <c r="C3316"/>
      <c r="D3316"/>
      <c r="E3316"/>
      <c r="F3316"/>
      <c r="G3316"/>
      <c r="H3316"/>
      <c r="I3316"/>
      <c r="J3316"/>
      <c r="K3316"/>
    </row>
    <row r="3317" spans="1:11">
      <c r="A3317"/>
      <c r="B3317"/>
      <c r="C3317"/>
      <c r="D3317"/>
      <c r="E3317"/>
      <c r="F3317"/>
      <c r="G3317"/>
      <c r="H3317"/>
      <c r="I3317"/>
      <c r="J3317"/>
      <c r="K3317"/>
    </row>
    <row r="3318" spans="1:11">
      <c r="A3318"/>
      <c r="B3318"/>
      <c r="C3318"/>
      <c r="D3318"/>
      <c r="E3318"/>
      <c r="F3318"/>
      <c r="G3318"/>
      <c r="H3318"/>
      <c r="I3318"/>
      <c r="J3318"/>
      <c r="K3318"/>
    </row>
    <row r="3319" spans="1:11">
      <c r="A3319"/>
      <c r="B3319"/>
      <c r="C3319"/>
      <c r="D3319"/>
      <c r="E3319"/>
      <c r="F3319"/>
      <c r="G3319"/>
      <c r="H3319"/>
      <c r="I3319"/>
      <c r="J3319"/>
      <c r="K3319"/>
    </row>
    <row r="3320" spans="1:11">
      <c r="A3320"/>
      <c r="B3320"/>
      <c r="C3320"/>
      <c r="D3320"/>
      <c r="E3320"/>
      <c r="F3320"/>
      <c r="G3320"/>
      <c r="H3320"/>
      <c r="I3320"/>
      <c r="J3320"/>
      <c r="K3320"/>
    </row>
    <row r="3321" spans="1:11">
      <c r="A3321"/>
      <c r="B3321"/>
      <c r="C3321"/>
      <c r="D3321"/>
      <c r="E3321"/>
      <c r="F3321"/>
      <c r="G3321"/>
      <c r="H3321"/>
      <c r="I3321"/>
      <c r="J3321"/>
      <c r="K3321"/>
    </row>
    <row r="3322" spans="1:11">
      <c r="A3322"/>
      <c r="B3322"/>
      <c r="C3322"/>
      <c r="D3322"/>
      <c r="E3322"/>
      <c r="F3322"/>
      <c r="G3322"/>
      <c r="H3322"/>
      <c r="I3322"/>
      <c r="J3322"/>
      <c r="K3322"/>
    </row>
    <row r="3323" spans="1:11">
      <c r="A3323"/>
      <c r="B3323"/>
      <c r="C3323"/>
      <c r="D3323"/>
      <c r="E3323"/>
      <c r="F3323"/>
      <c r="G3323"/>
      <c r="H3323"/>
      <c r="I3323"/>
      <c r="J3323"/>
      <c r="K3323"/>
    </row>
    <row r="3324" spans="1:11">
      <c r="A3324"/>
      <c r="B3324"/>
      <c r="C3324"/>
      <c r="D3324"/>
      <c r="E3324"/>
      <c r="F3324"/>
      <c r="G3324"/>
      <c r="H3324"/>
      <c r="I3324"/>
      <c r="J3324"/>
      <c r="K3324"/>
    </row>
    <row r="3325" spans="1:11">
      <c r="A3325"/>
      <c r="B3325"/>
      <c r="C3325"/>
      <c r="D3325"/>
      <c r="E3325"/>
      <c r="F3325"/>
      <c r="G3325"/>
      <c r="H3325"/>
      <c r="I3325"/>
      <c r="J3325"/>
      <c r="K3325"/>
    </row>
    <row r="3326" spans="1:11">
      <c r="A3326"/>
      <c r="B3326"/>
      <c r="C3326"/>
      <c r="D3326"/>
      <c r="E3326"/>
      <c r="F3326"/>
      <c r="G3326"/>
      <c r="H3326"/>
      <c r="I3326"/>
      <c r="J3326"/>
      <c r="K3326"/>
    </row>
    <row r="3327" spans="1:11">
      <c r="A3327"/>
      <c r="B3327"/>
      <c r="C3327"/>
      <c r="D3327"/>
      <c r="E3327"/>
      <c r="F3327"/>
      <c r="G3327"/>
      <c r="H3327"/>
      <c r="I3327"/>
      <c r="J3327"/>
      <c r="K3327"/>
    </row>
    <row r="3328" spans="1:11">
      <c r="A3328"/>
      <c r="B3328"/>
      <c r="C3328"/>
      <c r="D3328"/>
      <c r="E3328"/>
      <c r="F3328"/>
      <c r="G3328"/>
      <c r="H3328"/>
      <c r="I3328"/>
      <c r="J3328"/>
      <c r="K3328"/>
    </row>
    <row r="3329" spans="1:11">
      <c r="A3329"/>
      <c r="B3329"/>
      <c r="C3329"/>
      <c r="D3329"/>
      <c r="E3329"/>
      <c r="F3329"/>
      <c r="G3329"/>
      <c r="H3329"/>
      <c r="I3329"/>
      <c r="J3329"/>
      <c r="K3329"/>
    </row>
    <row r="3330" spans="1:11">
      <c r="A3330"/>
      <c r="B3330"/>
      <c r="C3330"/>
      <c r="D3330"/>
      <c r="E3330"/>
      <c r="F3330"/>
      <c r="G3330"/>
      <c r="H3330"/>
      <c r="I3330"/>
      <c r="J3330"/>
      <c r="K3330"/>
    </row>
    <row r="3331" spans="1:11">
      <c r="A3331"/>
      <c r="B3331"/>
      <c r="C3331"/>
      <c r="D3331"/>
      <c r="E3331"/>
      <c r="F3331"/>
      <c r="G3331"/>
      <c r="H3331"/>
      <c r="I3331"/>
      <c r="J3331"/>
      <c r="K3331"/>
    </row>
    <row r="3332" spans="1:11">
      <c r="A3332"/>
      <c r="B3332"/>
      <c r="C3332"/>
      <c r="D3332"/>
      <c r="E3332"/>
      <c r="F3332"/>
      <c r="G3332"/>
      <c r="H3332"/>
      <c r="I3332"/>
      <c r="J3332"/>
      <c r="K3332"/>
    </row>
    <row r="3333" spans="1:11">
      <c r="A3333"/>
      <c r="B3333"/>
      <c r="C3333"/>
      <c r="D3333"/>
      <c r="E3333"/>
      <c r="F3333"/>
      <c r="G3333"/>
      <c r="H3333"/>
      <c r="I3333"/>
      <c r="J3333"/>
      <c r="K3333"/>
    </row>
    <row r="3334" spans="1:11">
      <c r="A3334"/>
      <c r="B3334"/>
      <c r="C3334"/>
      <c r="D3334"/>
      <c r="E3334"/>
      <c r="F3334"/>
      <c r="G3334"/>
      <c r="H3334"/>
      <c r="I3334"/>
      <c r="J3334"/>
      <c r="K3334"/>
    </row>
    <row r="3335" spans="1:11">
      <c r="A3335"/>
      <c r="B3335"/>
      <c r="C3335"/>
      <c r="D3335"/>
      <c r="E3335"/>
      <c r="F3335"/>
      <c r="G3335"/>
      <c r="H3335"/>
      <c r="I3335"/>
      <c r="J3335"/>
      <c r="K3335"/>
    </row>
    <row r="3336" spans="1:11">
      <c r="A3336"/>
      <c r="B3336"/>
      <c r="C3336"/>
      <c r="D3336"/>
      <c r="E3336"/>
      <c r="F3336"/>
      <c r="G3336"/>
      <c r="H3336"/>
      <c r="I3336"/>
      <c r="J3336"/>
      <c r="K3336"/>
    </row>
    <row r="3337" spans="1:11">
      <c r="A3337"/>
      <c r="B3337"/>
      <c r="C3337"/>
      <c r="D3337"/>
      <c r="E3337"/>
      <c r="F3337"/>
      <c r="G3337"/>
      <c r="H3337"/>
      <c r="I3337"/>
      <c r="J3337"/>
      <c r="K3337"/>
    </row>
    <row r="3338" spans="1:11">
      <c r="A3338"/>
      <c r="B3338"/>
      <c r="C3338"/>
      <c r="D3338"/>
      <c r="E3338"/>
      <c r="F3338"/>
      <c r="G3338"/>
      <c r="H3338"/>
      <c r="I3338"/>
      <c r="J3338"/>
      <c r="K3338"/>
    </row>
    <row r="3339" spans="1:11">
      <c r="A3339"/>
      <c r="B3339"/>
      <c r="C3339"/>
      <c r="D3339"/>
      <c r="E3339"/>
      <c r="F3339"/>
      <c r="G3339"/>
      <c r="H3339"/>
      <c r="I3339"/>
      <c r="J3339"/>
      <c r="K3339"/>
    </row>
    <row r="3340" spans="1:11">
      <c r="A3340"/>
      <c r="B3340"/>
      <c r="C3340"/>
      <c r="D3340"/>
      <c r="E3340"/>
      <c r="F3340"/>
      <c r="G3340"/>
      <c r="H3340"/>
      <c r="I3340"/>
      <c r="J3340"/>
      <c r="K3340"/>
    </row>
    <row r="3341" spans="1:11">
      <c r="A3341"/>
      <c r="B3341"/>
      <c r="C3341"/>
      <c r="D3341"/>
      <c r="E3341"/>
      <c r="F3341"/>
      <c r="G3341"/>
      <c r="H3341"/>
      <c r="I3341"/>
      <c r="J3341"/>
      <c r="K3341"/>
    </row>
    <row r="3342" spans="1:11">
      <c r="A3342"/>
      <c r="B3342"/>
      <c r="C3342"/>
      <c r="D3342"/>
      <c r="E3342"/>
      <c r="F3342"/>
      <c r="G3342"/>
      <c r="H3342"/>
      <c r="I3342"/>
      <c r="J3342"/>
      <c r="K3342"/>
    </row>
    <row r="3343" spans="1:11">
      <c r="A3343"/>
      <c r="B3343"/>
      <c r="C3343"/>
      <c r="D3343"/>
      <c r="E3343"/>
      <c r="F3343"/>
      <c r="G3343"/>
      <c r="H3343"/>
      <c r="I3343"/>
      <c r="J3343"/>
      <c r="K3343"/>
    </row>
    <row r="3344" spans="1:11">
      <c r="A3344"/>
      <c r="B3344"/>
      <c r="C3344"/>
      <c r="D3344"/>
      <c r="E3344"/>
      <c r="F3344"/>
      <c r="G3344"/>
      <c r="H3344"/>
      <c r="I3344"/>
      <c r="J3344"/>
      <c r="K3344"/>
    </row>
    <row r="3345" spans="1:11">
      <c r="A3345"/>
      <c r="B3345"/>
      <c r="C3345"/>
      <c r="D3345"/>
      <c r="E3345"/>
      <c r="F3345"/>
      <c r="G3345"/>
      <c r="H3345"/>
      <c r="I3345"/>
      <c r="J3345"/>
      <c r="K3345"/>
    </row>
    <row r="3346" spans="1:11">
      <c r="A3346"/>
      <c r="B3346"/>
      <c r="C3346"/>
      <c r="D3346"/>
      <c r="E3346"/>
      <c r="F3346"/>
      <c r="G3346"/>
      <c r="H3346"/>
      <c r="I3346"/>
      <c r="J3346"/>
      <c r="K3346"/>
    </row>
    <row r="3347" spans="1:11">
      <c r="A3347"/>
      <c r="B3347"/>
      <c r="C3347"/>
      <c r="D3347"/>
      <c r="E3347"/>
      <c r="F3347"/>
      <c r="G3347"/>
      <c r="H3347"/>
      <c r="I3347"/>
      <c r="J3347"/>
      <c r="K3347"/>
    </row>
    <row r="3348" spans="1:11">
      <c r="A3348"/>
      <c r="B3348"/>
      <c r="C3348"/>
      <c r="D3348"/>
      <c r="E3348"/>
      <c r="F3348"/>
      <c r="G3348"/>
      <c r="H3348"/>
      <c r="I3348"/>
      <c r="J3348"/>
      <c r="K3348"/>
    </row>
    <row r="3349" spans="1:11">
      <c r="A3349"/>
      <c r="B3349"/>
      <c r="C3349"/>
      <c r="D3349"/>
      <c r="E3349"/>
      <c r="F3349"/>
      <c r="G3349"/>
      <c r="H3349"/>
      <c r="I3349"/>
      <c r="J3349"/>
      <c r="K3349"/>
    </row>
    <row r="3350" spans="1:11">
      <c r="A3350"/>
      <c r="B3350"/>
      <c r="C3350"/>
      <c r="D3350"/>
      <c r="E3350"/>
      <c r="F3350"/>
      <c r="G3350"/>
      <c r="H3350"/>
      <c r="I3350"/>
      <c r="J3350"/>
      <c r="K3350"/>
    </row>
    <row r="3351" spans="1:11">
      <c r="A3351"/>
      <c r="B3351"/>
      <c r="C3351"/>
      <c r="D3351"/>
      <c r="E3351"/>
      <c r="F3351"/>
      <c r="G3351"/>
      <c r="H3351"/>
      <c r="I3351"/>
      <c r="J3351"/>
      <c r="K3351"/>
    </row>
    <row r="3352" spans="1:11">
      <c r="A3352"/>
      <c r="B3352"/>
      <c r="C3352"/>
      <c r="D3352"/>
      <c r="E3352"/>
      <c r="F3352"/>
      <c r="G3352"/>
      <c r="H3352"/>
      <c r="I3352"/>
      <c r="J3352"/>
      <c r="K3352"/>
    </row>
    <row r="3353" spans="1:11">
      <c r="A3353"/>
      <c r="B3353"/>
      <c r="C3353"/>
      <c r="D3353"/>
      <c r="E3353"/>
      <c r="F3353"/>
      <c r="G3353"/>
      <c r="H3353"/>
      <c r="I3353"/>
      <c r="J3353"/>
      <c r="K3353"/>
    </row>
    <row r="3354" spans="1:11">
      <c r="A3354"/>
      <c r="B3354"/>
      <c r="C3354"/>
      <c r="D3354"/>
      <c r="E3354"/>
      <c r="F3354"/>
      <c r="G3354"/>
      <c r="H3354"/>
      <c r="I3354"/>
      <c r="J3354"/>
      <c r="K3354"/>
    </row>
    <row r="3355" spans="1:11">
      <c r="A3355"/>
      <c r="B3355"/>
      <c r="C3355"/>
      <c r="D3355"/>
      <c r="E3355"/>
      <c r="F3355"/>
      <c r="G3355"/>
      <c r="H3355"/>
      <c r="I3355"/>
      <c r="J3355"/>
      <c r="K3355"/>
    </row>
    <row r="3356" spans="1:11">
      <c r="A3356"/>
      <c r="B3356"/>
      <c r="C3356"/>
      <c r="D3356"/>
      <c r="E3356"/>
      <c r="F3356"/>
      <c r="G3356"/>
      <c r="H3356"/>
      <c r="I3356"/>
      <c r="J3356"/>
      <c r="K3356"/>
    </row>
    <row r="3357" spans="1:11">
      <c r="A3357"/>
      <c r="B3357"/>
      <c r="C3357"/>
      <c r="D3357"/>
      <c r="E3357"/>
      <c r="F3357"/>
      <c r="G3357"/>
      <c r="H3357"/>
      <c r="I3357"/>
      <c r="J3357"/>
      <c r="K3357"/>
    </row>
    <row r="3358" spans="1:11">
      <c r="A3358"/>
      <c r="B3358"/>
      <c r="C3358"/>
      <c r="D3358"/>
      <c r="E3358"/>
      <c r="F3358"/>
      <c r="G3358"/>
      <c r="H3358"/>
      <c r="I3358"/>
      <c r="J3358"/>
      <c r="K3358"/>
    </row>
    <row r="3359" spans="1:11">
      <c r="A3359"/>
      <c r="B3359"/>
      <c r="C3359"/>
      <c r="D3359"/>
      <c r="E3359"/>
      <c r="F3359"/>
      <c r="G3359"/>
      <c r="H3359"/>
      <c r="I3359"/>
      <c r="J3359"/>
      <c r="K3359"/>
    </row>
    <row r="3360" spans="1:11">
      <c r="A3360"/>
      <c r="B3360"/>
      <c r="C3360"/>
      <c r="D3360"/>
      <c r="E3360"/>
      <c r="F3360"/>
      <c r="G3360"/>
      <c r="H3360"/>
      <c r="I3360"/>
      <c r="J3360"/>
      <c r="K3360"/>
    </row>
    <row r="3361" spans="1:11">
      <c r="A3361"/>
      <c r="B3361"/>
      <c r="C3361"/>
      <c r="D3361"/>
      <c r="E3361"/>
      <c r="F3361"/>
      <c r="G3361"/>
      <c r="H3361"/>
      <c r="I3361"/>
      <c r="J3361"/>
      <c r="K3361"/>
    </row>
    <row r="3362" spans="1:11">
      <c r="A3362"/>
      <c r="B3362"/>
      <c r="C3362"/>
      <c r="D3362"/>
      <c r="E3362"/>
      <c r="F3362"/>
      <c r="G3362"/>
      <c r="H3362"/>
      <c r="I3362"/>
      <c r="J3362"/>
      <c r="K3362"/>
    </row>
    <row r="3363" spans="1:11">
      <c r="A3363"/>
      <c r="B3363"/>
      <c r="C3363"/>
      <c r="D3363"/>
      <c r="E3363"/>
      <c r="F3363"/>
      <c r="G3363"/>
      <c r="H3363"/>
      <c r="I3363"/>
      <c r="J3363"/>
      <c r="K3363"/>
    </row>
    <row r="3364" spans="1:11">
      <c r="A3364"/>
      <c r="B3364"/>
      <c r="C3364"/>
      <c r="D3364"/>
      <c r="E3364"/>
      <c r="F3364"/>
      <c r="G3364"/>
      <c r="H3364"/>
      <c r="I3364"/>
      <c r="J3364"/>
      <c r="K3364"/>
    </row>
    <row r="3365" spans="1:11">
      <c r="A3365"/>
      <c r="B3365"/>
      <c r="C3365"/>
      <c r="D3365"/>
      <c r="E3365"/>
      <c r="F3365"/>
      <c r="G3365"/>
      <c r="H3365"/>
      <c r="I3365"/>
      <c r="J3365"/>
      <c r="K3365"/>
    </row>
    <row r="3366" spans="1:11">
      <c r="A3366"/>
      <c r="B3366"/>
      <c r="C3366"/>
      <c r="D3366"/>
      <c r="E3366"/>
      <c r="F3366"/>
      <c r="G3366"/>
      <c r="H3366"/>
      <c r="I3366"/>
      <c r="J3366"/>
      <c r="K3366"/>
    </row>
    <row r="3367" spans="1:11">
      <c r="A3367"/>
      <c r="B3367"/>
      <c r="C3367"/>
      <c r="D3367"/>
      <c r="E3367"/>
      <c r="F3367"/>
      <c r="G3367"/>
      <c r="H3367"/>
      <c r="I3367"/>
      <c r="J3367"/>
      <c r="K3367"/>
    </row>
    <row r="3368" spans="1:11">
      <c r="A3368"/>
      <c r="B3368"/>
      <c r="C3368"/>
      <c r="D3368"/>
      <c r="E3368"/>
      <c r="F3368"/>
      <c r="G3368"/>
      <c r="H3368"/>
      <c r="I3368"/>
      <c r="J3368"/>
      <c r="K3368"/>
    </row>
    <row r="3369" spans="1:11">
      <c r="A3369"/>
      <c r="B3369"/>
      <c r="C3369"/>
      <c r="D3369"/>
      <c r="E3369"/>
      <c r="F3369"/>
      <c r="G3369"/>
      <c r="H3369"/>
      <c r="I3369"/>
      <c r="J3369"/>
      <c r="K3369"/>
    </row>
    <row r="3370" spans="1:11">
      <c r="A3370"/>
      <c r="B3370"/>
      <c r="C3370"/>
      <c r="D3370"/>
      <c r="E3370"/>
      <c r="F3370"/>
      <c r="G3370"/>
      <c r="H3370"/>
      <c r="I3370"/>
      <c r="J3370"/>
      <c r="K3370"/>
    </row>
    <row r="3371" spans="1:11">
      <c r="A3371"/>
      <c r="B3371"/>
      <c r="C3371"/>
      <c r="D3371"/>
      <c r="E3371"/>
      <c r="F3371"/>
      <c r="G3371"/>
      <c r="H3371"/>
      <c r="I3371"/>
      <c r="J3371"/>
      <c r="K3371"/>
    </row>
    <row r="3372" spans="1:11">
      <c r="A3372"/>
      <c r="B3372"/>
      <c r="C3372"/>
      <c r="D3372"/>
      <c r="E3372"/>
      <c r="F3372"/>
      <c r="G3372"/>
      <c r="H3372"/>
      <c r="I3372"/>
      <c r="J3372"/>
      <c r="K3372"/>
    </row>
    <row r="3373" spans="1:11">
      <c r="A3373"/>
      <c r="B3373"/>
      <c r="C3373"/>
      <c r="D3373"/>
      <c r="E3373"/>
      <c r="F3373"/>
      <c r="G3373"/>
      <c r="H3373"/>
      <c r="I3373"/>
      <c r="J3373"/>
      <c r="K3373"/>
    </row>
    <row r="3374" spans="1:11">
      <c r="A3374"/>
      <c r="B3374"/>
      <c r="C3374"/>
      <c r="D3374"/>
      <c r="E3374"/>
      <c r="F3374"/>
      <c r="G3374"/>
      <c r="H3374"/>
      <c r="I3374"/>
      <c r="J3374"/>
      <c r="K3374"/>
    </row>
    <row r="3375" spans="1:11">
      <c r="A3375"/>
      <c r="B3375"/>
      <c r="C3375"/>
      <c r="D3375"/>
      <c r="E3375"/>
      <c r="F3375"/>
      <c r="G3375"/>
      <c r="H3375"/>
      <c r="I3375"/>
      <c r="J3375"/>
      <c r="K3375"/>
    </row>
    <row r="3376" spans="1:11">
      <c r="A3376"/>
      <c r="B3376"/>
      <c r="C3376"/>
      <c r="D3376"/>
      <c r="E3376"/>
      <c r="F3376"/>
      <c r="G3376"/>
      <c r="H3376"/>
      <c r="I3376"/>
      <c r="J3376"/>
      <c r="K3376"/>
    </row>
    <row r="3377" spans="1:11">
      <c r="A3377"/>
      <c r="B3377"/>
      <c r="C3377"/>
      <c r="D3377"/>
      <c r="E3377"/>
      <c r="F3377"/>
      <c r="G3377"/>
      <c r="H3377"/>
      <c r="I3377"/>
      <c r="J3377"/>
      <c r="K3377"/>
    </row>
    <row r="3378" spans="1:11">
      <c r="A3378"/>
      <c r="B3378"/>
      <c r="C3378"/>
      <c r="D3378"/>
      <c r="E3378"/>
      <c r="F3378"/>
      <c r="G3378"/>
      <c r="H3378"/>
      <c r="I3378"/>
      <c r="J3378"/>
      <c r="K3378"/>
    </row>
    <row r="3379" spans="1:11">
      <c r="A3379"/>
      <c r="B3379"/>
      <c r="C3379"/>
      <c r="D3379"/>
      <c r="E3379"/>
      <c r="F3379"/>
      <c r="G3379"/>
      <c r="H3379"/>
      <c r="I3379"/>
      <c r="J3379"/>
      <c r="K3379"/>
    </row>
    <row r="3380" spans="1:11">
      <c r="A3380"/>
      <c r="B3380"/>
      <c r="C3380"/>
      <c r="D3380"/>
      <c r="E3380"/>
      <c r="F3380"/>
      <c r="G3380"/>
      <c r="H3380"/>
      <c r="I3380"/>
      <c r="J3380"/>
      <c r="K3380"/>
    </row>
    <row r="3381" spans="1:11">
      <c r="A3381"/>
      <c r="B3381"/>
      <c r="C3381"/>
      <c r="D3381"/>
      <c r="E3381"/>
      <c r="F3381"/>
      <c r="G3381"/>
      <c r="H3381"/>
      <c r="I3381"/>
      <c r="J3381"/>
      <c r="K3381"/>
    </row>
    <row r="3382" spans="1:11">
      <c r="A3382"/>
      <c r="B3382"/>
      <c r="C3382"/>
      <c r="D3382"/>
      <c r="E3382"/>
      <c r="F3382"/>
      <c r="G3382"/>
      <c r="H3382"/>
      <c r="I3382"/>
      <c r="J3382"/>
      <c r="K3382"/>
    </row>
    <row r="3383" spans="1:11">
      <c r="A3383"/>
      <c r="B3383"/>
      <c r="C3383"/>
      <c r="D3383"/>
      <c r="E3383"/>
      <c r="F3383"/>
      <c r="G3383"/>
      <c r="H3383"/>
      <c r="I3383"/>
      <c r="J3383"/>
      <c r="K3383"/>
    </row>
    <row r="3384" spans="1:11">
      <c r="A3384"/>
      <c r="B3384"/>
      <c r="C3384"/>
      <c r="D3384"/>
      <c r="E3384"/>
      <c r="F3384"/>
      <c r="G3384"/>
      <c r="H3384"/>
      <c r="I3384"/>
      <c r="J3384"/>
      <c r="K3384"/>
    </row>
    <row r="3385" spans="1:11">
      <c r="A3385"/>
      <c r="B3385"/>
      <c r="C3385"/>
      <c r="D3385"/>
      <c r="E3385"/>
      <c r="F3385"/>
      <c r="G3385"/>
      <c r="H3385"/>
      <c r="I3385"/>
      <c r="J3385"/>
      <c r="K3385"/>
    </row>
    <row r="3386" spans="1:11">
      <c r="A3386"/>
      <c r="B3386"/>
      <c r="C3386"/>
      <c r="D3386"/>
      <c r="E3386"/>
      <c r="F3386"/>
      <c r="G3386"/>
      <c r="H3386"/>
      <c r="I3386"/>
      <c r="J3386"/>
      <c r="K3386"/>
    </row>
    <row r="3387" spans="1:11">
      <c r="A3387"/>
      <c r="B3387"/>
      <c r="C3387"/>
      <c r="D3387"/>
      <c r="E3387"/>
      <c r="F3387"/>
      <c r="G3387"/>
      <c r="H3387"/>
      <c r="I3387"/>
      <c r="J3387"/>
      <c r="K3387"/>
    </row>
    <row r="3388" spans="1:11">
      <c r="A3388"/>
      <c r="B3388"/>
      <c r="C3388"/>
      <c r="D3388"/>
      <c r="E3388"/>
      <c r="F3388"/>
      <c r="G3388"/>
      <c r="H3388"/>
      <c r="I3388"/>
      <c r="J3388"/>
      <c r="K3388"/>
    </row>
    <row r="3389" spans="1:11">
      <c r="A3389"/>
      <c r="B3389"/>
      <c r="C3389"/>
      <c r="D3389"/>
      <c r="E3389"/>
      <c r="F3389"/>
      <c r="G3389"/>
      <c r="H3389"/>
      <c r="I3389"/>
      <c r="J3389"/>
      <c r="K3389"/>
    </row>
    <row r="3390" spans="1:11">
      <c r="A3390"/>
      <c r="B3390"/>
      <c r="C3390"/>
      <c r="D3390"/>
      <c r="E3390"/>
      <c r="F3390"/>
      <c r="G3390"/>
      <c r="H3390"/>
      <c r="I3390"/>
      <c r="J3390"/>
      <c r="K3390"/>
    </row>
    <row r="3391" spans="1:11">
      <c r="A3391"/>
      <c r="B3391"/>
      <c r="C3391"/>
      <c r="D3391"/>
      <c r="E3391"/>
      <c r="F3391"/>
      <c r="G3391"/>
      <c r="H3391"/>
      <c r="I3391"/>
      <c r="J3391"/>
      <c r="K3391"/>
    </row>
    <row r="3392" spans="1:11">
      <c r="A3392"/>
      <c r="B3392"/>
      <c r="C3392"/>
      <c r="D3392"/>
      <c r="E3392"/>
      <c r="F3392"/>
      <c r="G3392"/>
      <c r="H3392"/>
      <c r="I3392"/>
      <c r="J3392"/>
      <c r="K3392"/>
    </row>
    <row r="3393" spans="1:11">
      <c r="A3393"/>
      <c r="B3393"/>
      <c r="C3393"/>
      <c r="D3393"/>
      <c r="E3393"/>
      <c r="F3393"/>
      <c r="G3393"/>
      <c r="H3393"/>
      <c r="I3393"/>
      <c r="J3393"/>
      <c r="K3393"/>
    </row>
    <row r="3394" spans="1:11">
      <c r="A3394"/>
      <c r="B3394"/>
      <c r="C3394"/>
      <c r="D3394"/>
      <c r="E3394"/>
      <c r="F3394"/>
      <c r="G3394"/>
      <c r="H3394"/>
      <c r="I3394"/>
      <c r="J3394"/>
      <c r="K3394"/>
    </row>
    <row r="3395" spans="1:11">
      <c r="A3395"/>
      <c r="B3395"/>
      <c r="C3395"/>
      <c r="D3395"/>
      <c r="E3395"/>
      <c r="F3395"/>
      <c r="G3395"/>
      <c r="H3395"/>
      <c r="I3395"/>
      <c r="J3395"/>
      <c r="K3395"/>
    </row>
    <row r="3396" spans="1:11">
      <c r="A3396"/>
      <c r="B3396"/>
      <c r="C3396"/>
      <c r="D3396"/>
      <c r="E3396"/>
      <c r="F3396"/>
      <c r="G3396"/>
      <c r="H3396"/>
      <c r="I3396"/>
      <c r="J3396"/>
      <c r="K3396"/>
    </row>
    <row r="3397" spans="1:11">
      <c r="A3397"/>
      <c r="B3397"/>
      <c r="C3397"/>
      <c r="D3397"/>
      <c r="E3397"/>
      <c r="F3397"/>
      <c r="G3397"/>
      <c r="H3397"/>
      <c r="I3397"/>
      <c r="J3397"/>
      <c r="K3397"/>
    </row>
    <row r="3398" spans="1:11">
      <c r="A3398"/>
      <c r="B3398"/>
      <c r="C3398"/>
      <c r="D3398"/>
      <c r="E3398"/>
      <c r="F3398"/>
      <c r="G3398"/>
      <c r="H3398"/>
      <c r="I3398"/>
      <c r="J3398"/>
      <c r="K3398"/>
    </row>
    <row r="3399" spans="1:11">
      <c r="A3399"/>
      <c r="B3399"/>
      <c r="C3399"/>
      <c r="D3399"/>
      <c r="E3399"/>
      <c r="F3399"/>
      <c r="G3399"/>
      <c r="H3399"/>
      <c r="I3399"/>
      <c r="J3399"/>
      <c r="K3399"/>
    </row>
    <row r="3400" spans="1:11">
      <c r="A3400"/>
      <c r="B3400"/>
      <c r="C3400"/>
      <c r="D3400"/>
      <c r="E3400"/>
      <c r="F3400"/>
      <c r="G3400"/>
      <c r="H3400"/>
      <c r="I3400"/>
      <c r="J3400"/>
      <c r="K3400"/>
    </row>
    <row r="3401" spans="1:11">
      <c r="A3401"/>
      <c r="B3401"/>
      <c r="C3401"/>
      <c r="D3401"/>
      <c r="E3401"/>
      <c r="F3401"/>
      <c r="G3401"/>
      <c r="H3401"/>
      <c r="I3401"/>
      <c r="J3401"/>
      <c r="K3401"/>
    </row>
    <row r="3402" spans="1:11">
      <c r="A3402"/>
      <c r="B3402"/>
      <c r="C3402"/>
      <c r="D3402"/>
      <c r="E3402"/>
      <c r="F3402"/>
      <c r="G3402"/>
      <c r="H3402"/>
      <c r="I3402"/>
      <c r="J3402"/>
      <c r="K3402"/>
    </row>
    <row r="3403" spans="1:11">
      <c r="A3403"/>
      <c r="B3403"/>
      <c r="C3403"/>
      <c r="D3403"/>
      <c r="E3403"/>
      <c r="F3403"/>
      <c r="G3403"/>
      <c r="H3403"/>
      <c r="I3403"/>
      <c r="J3403"/>
      <c r="K3403"/>
    </row>
    <row r="3404" spans="1:11">
      <c r="A3404"/>
      <c r="B3404"/>
      <c r="C3404"/>
      <c r="D3404"/>
      <c r="E3404"/>
      <c r="F3404"/>
      <c r="G3404"/>
      <c r="H3404"/>
      <c r="I3404"/>
      <c r="J3404"/>
      <c r="K3404"/>
    </row>
    <row r="3405" spans="1:11">
      <c r="A3405"/>
      <c r="B3405"/>
      <c r="C3405"/>
      <c r="D3405"/>
      <c r="E3405"/>
      <c r="F3405"/>
      <c r="G3405"/>
      <c r="H3405"/>
      <c r="I3405"/>
      <c r="J3405"/>
      <c r="K3405"/>
    </row>
    <row r="3406" spans="1:11">
      <c r="A3406"/>
      <c r="B3406"/>
      <c r="C3406"/>
      <c r="D3406"/>
      <c r="E3406"/>
      <c r="F3406"/>
      <c r="G3406"/>
      <c r="H3406"/>
      <c r="I3406"/>
      <c r="J3406"/>
      <c r="K3406"/>
    </row>
    <row r="3407" spans="1:11">
      <c r="A3407"/>
      <c r="B3407"/>
      <c r="C3407"/>
      <c r="D3407"/>
      <c r="E3407"/>
      <c r="F3407"/>
      <c r="G3407"/>
      <c r="H3407"/>
      <c r="I3407"/>
      <c r="J3407"/>
      <c r="K3407"/>
    </row>
    <row r="3408" spans="1:11">
      <c r="A3408"/>
      <c r="B3408"/>
      <c r="C3408"/>
      <c r="D3408"/>
      <c r="E3408"/>
      <c r="F3408"/>
      <c r="G3408"/>
      <c r="H3408"/>
      <c r="I3408"/>
      <c r="J3408"/>
      <c r="K3408"/>
    </row>
    <row r="3409" spans="1:11">
      <c r="A3409"/>
      <c r="B3409"/>
      <c r="C3409"/>
      <c r="D3409"/>
      <c r="E3409"/>
      <c r="F3409"/>
      <c r="G3409"/>
      <c r="H3409"/>
      <c r="I3409"/>
      <c r="J3409"/>
      <c r="K3409"/>
    </row>
    <row r="3410" spans="1:11">
      <c r="A3410"/>
      <c r="B3410"/>
      <c r="C3410"/>
      <c r="D3410"/>
      <c r="E3410"/>
      <c r="F3410"/>
      <c r="G3410"/>
      <c r="H3410"/>
      <c r="I3410"/>
      <c r="J3410"/>
      <c r="K3410"/>
    </row>
    <row r="3411" spans="1:11">
      <c r="A3411"/>
      <c r="B3411"/>
      <c r="C3411"/>
      <c r="D3411"/>
      <c r="E3411"/>
      <c r="F3411"/>
      <c r="G3411"/>
      <c r="H3411"/>
      <c r="I3411"/>
      <c r="J3411"/>
      <c r="K3411"/>
    </row>
    <row r="3412" spans="1:11">
      <c r="A3412"/>
      <c r="B3412"/>
      <c r="C3412"/>
      <c r="D3412"/>
      <c r="E3412"/>
      <c r="F3412"/>
      <c r="G3412"/>
      <c r="H3412"/>
      <c r="I3412"/>
      <c r="J3412"/>
      <c r="K3412"/>
    </row>
    <row r="3413" spans="1:11">
      <c r="A3413"/>
      <c r="B3413"/>
      <c r="C3413"/>
      <c r="D3413"/>
      <c r="E3413"/>
      <c r="F3413"/>
      <c r="G3413"/>
      <c r="H3413"/>
      <c r="I3413"/>
      <c r="J3413"/>
      <c r="K3413"/>
    </row>
    <row r="3414" spans="1:11">
      <c r="A3414"/>
      <c r="B3414"/>
      <c r="C3414"/>
      <c r="D3414"/>
      <c r="E3414"/>
      <c r="F3414"/>
      <c r="G3414"/>
      <c r="H3414"/>
      <c r="I3414"/>
      <c r="J3414"/>
      <c r="K3414"/>
    </row>
    <row r="3415" spans="1:11">
      <c r="A3415"/>
      <c r="B3415"/>
      <c r="C3415"/>
      <c r="D3415"/>
      <c r="E3415"/>
      <c r="F3415"/>
      <c r="G3415"/>
      <c r="H3415"/>
      <c r="I3415"/>
      <c r="J3415"/>
      <c r="K3415"/>
    </row>
    <row r="3416" spans="1:11">
      <c r="A3416"/>
      <c r="B3416"/>
      <c r="C3416"/>
      <c r="D3416"/>
      <c r="E3416"/>
      <c r="F3416"/>
      <c r="G3416"/>
      <c r="H3416"/>
      <c r="I3416"/>
      <c r="J3416"/>
      <c r="K3416"/>
    </row>
    <row r="3417" spans="1:11">
      <c r="A3417"/>
      <c r="B3417"/>
      <c r="C3417"/>
      <c r="D3417"/>
      <c r="E3417"/>
      <c r="F3417"/>
      <c r="G3417"/>
      <c r="H3417"/>
      <c r="I3417"/>
      <c r="J3417"/>
      <c r="K3417"/>
    </row>
    <row r="3418" spans="1:11">
      <c r="A3418"/>
      <c r="B3418"/>
      <c r="C3418"/>
      <c r="D3418"/>
      <c r="E3418"/>
      <c r="F3418"/>
      <c r="G3418"/>
      <c r="H3418"/>
      <c r="I3418"/>
      <c r="J3418"/>
      <c r="K3418"/>
    </row>
    <row r="3419" spans="1:11">
      <c r="A3419"/>
      <c r="B3419"/>
      <c r="C3419"/>
      <c r="D3419"/>
      <c r="E3419"/>
      <c r="F3419"/>
      <c r="G3419"/>
      <c r="H3419"/>
      <c r="I3419"/>
      <c r="J3419"/>
      <c r="K3419"/>
    </row>
    <row r="3420" spans="1:11">
      <c r="A3420"/>
      <c r="B3420"/>
      <c r="C3420"/>
      <c r="D3420"/>
      <c r="E3420"/>
      <c r="F3420"/>
      <c r="G3420"/>
      <c r="H3420"/>
      <c r="I3420"/>
      <c r="J3420"/>
      <c r="K3420"/>
    </row>
    <row r="3421" spans="1:11">
      <c r="A3421"/>
      <c r="B3421"/>
      <c r="C3421"/>
      <c r="D3421"/>
      <c r="E3421"/>
      <c r="F3421"/>
      <c r="G3421"/>
      <c r="H3421"/>
      <c r="I3421"/>
      <c r="J3421"/>
      <c r="K3421"/>
    </row>
    <row r="3422" spans="1:11">
      <c r="A3422"/>
      <c r="B3422"/>
      <c r="C3422"/>
      <c r="D3422"/>
      <c r="E3422"/>
      <c r="F3422"/>
      <c r="G3422"/>
      <c r="H3422"/>
      <c r="I3422"/>
      <c r="J3422"/>
      <c r="K3422"/>
    </row>
    <row r="3423" spans="1:11">
      <c r="A3423"/>
      <c r="B3423"/>
      <c r="C3423"/>
      <c r="D3423"/>
      <c r="E3423"/>
      <c r="F3423"/>
      <c r="G3423"/>
      <c r="H3423"/>
      <c r="I3423"/>
      <c r="J3423"/>
      <c r="K3423"/>
    </row>
    <row r="3424" spans="1:11">
      <c r="A3424"/>
      <c r="B3424"/>
      <c r="C3424"/>
      <c r="D3424"/>
      <c r="E3424"/>
      <c r="F3424"/>
      <c r="G3424"/>
      <c r="H3424"/>
      <c r="I3424"/>
      <c r="J3424"/>
      <c r="K3424"/>
    </row>
    <row r="3425" spans="1:11">
      <c r="A3425"/>
      <c r="B3425"/>
      <c r="C3425"/>
      <c r="D3425"/>
      <c r="E3425"/>
      <c r="F3425"/>
      <c r="G3425"/>
      <c r="H3425"/>
      <c r="I3425"/>
      <c r="J3425"/>
      <c r="K3425"/>
    </row>
    <row r="3426" spans="1:11">
      <c r="A3426"/>
      <c r="B3426"/>
      <c r="C3426"/>
      <c r="D3426"/>
      <c r="E3426"/>
      <c r="F3426"/>
      <c r="G3426"/>
      <c r="H3426"/>
      <c r="I3426"/>
      <c r="J3426"/>
      <c r="K3426"/>
    </row>
    <row r="3427" spans="1:11">
      <c r="A3427"/>
      <c r="B3427"/>
      <c r="C3427"/>
      <c r="D3427"/>
      <c r="E3427"/>
      <c r="F3427"/>
      <c r="G3427"/>
      <c r="H3427"/>
      <c r="I3427"/>
      <c r="J3427"/>
      <c r="K3427"/>
    </row>
    <row r="3428" spans="1:11">
      <c r="A3428"/>
      <c r="B3428"/>
      <c r="C3428"/>
      <c r="D3428"/>
      <c r="E3428"/>
      <c r="F3428"/>
      <c r="G3428"/>
      <c r="H3428"/>
      <c r="I3428"/>
      <c r="J3428"/>
      <c r="K3428"/>
    </row>
    <row r="3429" spans="1:11">
      <c r="A3429"/>
      <c r="B3429"/>
      <c r="C3429"/>
      <c r="D3429"/>
      <c r="E3429"/>
      <c r="F3429"/>
      <c r="G3429"/>
      <c r="H3429"/>
      <c r="I3429"/>
      <c r="J3429"/>
      <c r="K3429"/>
    </row>
    <row r="3430" spans="1:11">
      <c r="A3430"/>
      <c r="B3430"/>
      <c r="C3430"/>
      <c r="D3430"/>
      <c r="E3430"/>
      <c r="F3430"/>
      <c r="G3430"/>
      <c r="H3430"/>
      <c r="I3430"/>
      <c r="J3430"/>
      <c r="K3430"/>
    </row>
    <row r="3431" spans="1:11">
      <c r="A3431"/>
      <c r="B3431"/>
      <c r="C3431"/>
      <c r="D3431"/>
      <c r="E3431"/>
      <c r="F3431"/>
      <c r="G3431"/>
      <c r="H3431"/>
      <c r="I3431"/>
      <c r="J3431"/>
      <c r="K3431"/>
    </row>
    <row r="3432" spans="1:11">
      <c r="A3432"/>
      <c r="B3432"/>
      <c r="C3432"/>
      <c r="D3432"/>
      <c r="E3432"/>
      <c r="F3432"/>
      <c r="G3432"/>
      <c r="H3432"/>
      <c r="I3432"/>
      <c r="J3432"/>
      <c r="K3432"/>
    </row>
    <row r="3433" spans="1:11">
      <c r="A3433"/>
      <c r="B3433"/>
      <c r="C3433"/>
      <c r="D3433"/>
      <c r="E3433"/>
      <c r="F3433"/>
      <c r="G3433"/>
      <c r="H3433"/>
      <c r="I3433"/>
      <c r="J3433"/>
      <c r="K3433"/>
    </row>
    <row r="3434" spans="1:11">
      <c r="A3434"/>
      <c r="B3434"/>
      <c r="C3434"/>
      <c r="D3434"/>
      <c r="E3434"/>
      <c r="F3434"/>
      <c r="G3434"/>
      <c r="H3434"/>
      <c r="I3434"/>
      <c r="J3434"/>
      <c r="K3434"/>
    </row>
    <row r="3435" spans="1:11">
      <c r="A3435"/>
      <c r="B3435"/>
      <c r="C3435"/>
      <c r="D3435"/>
      <c r="E3435"/>
      <c r="F3435"/>
      <c r="G3435"/>
      <c r="H3435"/>
      <c r="I3435"/>
      <c r="J3435"/>
      <c r="K3435"/>
    </row>
    <row r="3436" spans="1:11">
      <c r="A3436"/>
      <c r="B3436"/>
      <c r="C3436"/>
      <c r="D3436"/>
      <c r="E3436"/>
      <c r="F3436"/>
      <c r="G3436"/>
      <c r="H3436"/>
      <c r="I3436"/>
      <c r="J3436"/>
      <c r="K3436"/>
    </row>
    <row r="3437" spans="1:11">
      <c r="A3437"/>
      <c r="B3437"/>
      <c r="C3437"/>
      <c r="D3437"/>
      <c r="E3437"/>
      <c r="F3437"/>
      <c r="G3437"/>
      <c r="H3437"/>
      <c r="I3437"/>
      <c r="J3437"/>
      <c r="K3437"/>
    </row>
    <row r="3438" spans="1:11">
      <c r="A3438"/>
      <c r="B3438"/>
      <c r="C3438"/>
      <c r="D3438"/>
      <c r="E3438"/>
      <c r="F3438"/>
      <c r="G3438"/>
      <c r="H3438"/>
      <c r="I3438"/>
      <c r="J3438"/>
      <c r="K3438"/>
    </row>
    <row r="3439" spans="1:11">
      <c r="A3439"/>
      <c r="B3439"/>
      <c r="C3439"/>
      <c r="D3439"/>
      <c r="E3439"/>
      <c r="F3439"/>
      <c r="G3439"/>
      <c r="H3439"/>
      <c r="I3439"/>
      <c r="J3439"/>
      <c r="K3439"/>
    </row>
    <row r="3440" spans="1:11">
      <c r="A3440"/>
      <c r="B3440"/>
      <c r="C3440"/>
      <c r="D3440"/>
      <c r="E3440"/>
      <c r="F3440"/>
      <c r="G3440"/>
      <c r="H3440"/>
      <c r="I3440"/>
      <c r="J3440"/>
      <c r="K3440"/>
    </row>
    <row r="3441" spans="1:11">
      <c r="A3441"/>
      <c r="B3441"/>
      <c r="C3441"/>
      <c r="D3441"/>
      <c r="E3441"/>
      <c r="F3441"/>
      <c r="G3441"/>
      <c r="H3441"/>
      <c r="I3441"/>
      <c r="J3441"/>
      <c r="K3441"/>
    </row>
    <row r="3442" spans="1:11">
      <c r="A3442"/>
      <c r="B3442"/>
      <c r="C3442"/>
      <c r="D3442"/>
      <c r="E3442"/>
      <c r="F3442"/>
      <c r="G3442"/>
      <c r="H3442"/>
      <c r="I3442"/>
      <c r="J3442"/>
      <c r="K3442"/>
    </row>
    <row r="3443" spans="1:11">
      <c r="A3443"/>
      <c r="B3443"/>
      <c r="C3443"/>
      <c r="D3443"/>
      <c r="E3443"/>
      <c r="F3443"/>
      <c r="G3443"/>
      <c r="H3443"/>
      <c r="I3443"/>
      <c r="J3443"/>
      <c r="K3443"/>
    </row>
    <row r="3444" spans="1:11">
      <c r="A3444"/>
      <c r="B3444"/>
      <c r="C3444"/>
      <c r="D3444"/>
      <c r="E3444"/>
      <c r="F3444"/>
      <c r="G3444"/>
      <c r="H3444"/>
      <c r="I3444"/>
      <c r="J3444"/>
      <c r="K3444"/>
    </row>
    <row r="3445" spans="1:11">
      <c r="A3445"/>
      <c r="B3445"/>
      <c r="C3445"/>
      <c r="D3445"/>
      <c r="E3445"/>
      <c r="F3445"/>
      <c r="G3445"/>
      <c r="H3445"/>
      <c r="I3445"/>
      <c r="J3445"/>
      <c r="K3445"/>
    </row>
    <row r="3446" spans="1:11">
      <c r="A3446"/>
      <c r="B3446"/>
      <c r="C3446"/>
      <c r="D3446"/>
      <c r="E3446"/>
      <c r="F3446"/>
      <c r="G3446"/>
      <c r="H3446"/>
      <c r="I3446"/>
      <c r="J3446"/>
      <c r="K3446"/>
    </row>
    <row r="3447" spans="1:11">
      <c r="A3447"/>
      <c r="B3447"/>
      <c r="C3447"/>
      <c r="D3447"/>
      <c r="E3447"/>
      <c r="F3447"/>
      <c r="G3447"/>
      <c r="H3447"/>
      <c r="I3447"/>
      <c r="J3447"/>
      <c r="K3447"/>
    </row>
    <row r="3448" spans="1:11">
      <c r="A3448"/>
      <c r="B3448"/>
      <c r="C3448"/>
      <c r="D3448"/>
      <c r="E3448"/>
      <c r="F3448"/>
      <c r="G3448"/>
      <c r="H3448"/>
      <c r="I3448"/>
      <c r="J3448"/>
      <c r="K3448"/>
    </row>
    <row r="3449" spans="1:11">
      <c r="A3449"/>
      <c r="B3449"/>
      <c r="C3449"/>
      <c r="D3449"/>
      <c r="E3449"/>
      <c r="F3449"/>
      <c r="G3449"/>
      <c r="H3449"/>
      <c r="I3449"/>
      <c r="J3449"/>
      <c r="K3449"/>
    </row>
    <row r="3450" spans="1:11">
      <c r="A3450"/>
      <c r="B3450"/>
      <c r="C3450"/>
      <c r="D3450"/>
      <c r="E3450"/>
      <c r="F3450"/>
      <c r="G3450"/>
      <c r="H3450"/>
      <c r="I3450"/>
      <c r="J3450"/>
      <c r="K3450"/>
    </row>
    <row r="3451" spans="1:11">
      <c r="A3451"/>
      <c r="B3451"/>
      <c r="C3451"/>
      <c r="D3451"/>
      <c r="E3451"/>
      <c r="F3451"/>
      <c r="G3451"/>
      <c r="H3451"/>
      <c r="I3451"/>
      <c r="J3451"/>
      <c r="K3451"/>
    </row>
    <row r="3452" spans="1:11">
      <c r="A3452"/>
      <c r="B3452"/>
      <c r="C3452"/>
      <c r="D3452"/>
      <c r="E3452"/>
      <c r="F3452"/>
      <c r="G3452"/>
      <c r="H3452"/>
      <c r="I3452"/>
      <c r="J3452"/>
      <c r="K3452"/>
    </row>
    <row r="3453" spans="1:11">
      <c r="A3453"/>
      <c r="B3453"/>
      <c r="C3453"/>
      <c r="D3453"/>
      <c r="E3453"/>
      <c r="F3453"/>
      <c r="G3453"/>
      <c r="H3453"/>
      <c r="I3453"/>
      <c r="J3453"/>
      <c r="K3453"/>
    </row>
    <row r="3454" spans="1:11">
      <c r="A3454"/>
      <c r="B3454"/>
      <c r="C3454"/>
      <c r="D3454"/>
      <c r="E3454"/>
      <c r="F3454"/>
      <c r="G3454"/>
      <c r="H3454"/>
      <c r="I3454"/>
      <c r="J3454"/>
      <c r="K3454"/>
    </row>
    <row r="3455" spans="1:11">
      <c r="A3455"/>
      <c r="B3455"/>
      <c r="C3455"/>
      <c r="D3455"/>
      <c r="E3455"/>
      <c r="F3455"/>
      <c r="G3455"/>
      <c r="H3455"/>
      <c r="I3455"/>
      <c r="J3455"/>
      <c r="K3455"/>
    </row>
    <row r="3456" spans="1:11">
      <c r="A3456"/>
      <c r="B3456"/>
      <c r="C3456"/>
      <c r="D3456"/>
      <c r="E3456"/>
      <c r="F3456"/>
      <c r="G3456"/>
      <c r="H3456"/>
      <c r="I3456"/>
      <c r="J3456"/>
      <c r="K3456"/>
    </row>
    <row r="3457" spans="1:11">
      <c r="A3457"/>
      <c r="B3457"/>
      <c r="C3457"/>
      <c r="D3457"/>
      <c r="E3457"/>
      <c r="F3457"/>
      <c r="G3457"/>
      <c r="H3457"/>
      <c r="I3457"/>
      <c r="J3457"/>
      <c r="K3457"/>
    </row>
    <row r="3458" spans="1:11">
      <c r="A3458"/>
      <c r="B3458"/>
      <c r="C3458"/>
      <c r="D3458"/>
      <c r="E3458"/>
      <c r="F3458"/>
      <c r="G3458"/>
      <c r="H3458"/>
      <c r="I3458"/>
      <c r="J3458"/>
      <c r="K3458"/>
    </row>
    <row r="3459" spans="1:11">
      <c r="A3459"/>
      <c r="B3459"/>
      <c r="C3459"/>
      <c r="D3459"/>
      <c r="E3459"/>
      <c r="F3459"/>
      <c r="G3459"/>
      <c r="H3459"/>
      <c r="I3459"/>
      <c r="J3459"/>
      <c r="K3459"/>
    </row>
    <row r="3460" spans="1:11">
      <c r="A3460"/>
      <c r="B3460"/>
      <c r="C3460"/>
      <c r="D3460"/>
      <c r="E3460"/>
      <c r="F3460"/>
      <c r="G3460"/>
      <c r="H3460"/>
      <c r="I3460"/>
      <c r="J3460"/>
      <c r="K3460"/>
    </row>
    <row r="3461" spans="1:11">
      <c r="A3461"/>
      <c r="B3461"/>
      <c r="C3461"/>
      <c r="D3461"/>
      <c r="E3461"/>
      <c r="F3461"/>
      <c r="G3461"/>
      <c r="H3461"/>
      <c r="I3461"/>
      <c r="J3461"/>
      <c r="K3461"/>
    </row>
    <row r="3462" spans="1:11">
      <c r="A3462"/>
      <c r="B3462"/>
      <c r="C3462"/>
      <c r="D3462"/>
      <c r="E3462"/>
      <c r="F3462"/>
      <c r="G3462"/>
      <c r="H3462"/>
      <c r="I3462"/>
      <c r="J3462"/>
      <c r="K3462"/>
    </row>
    <row r="3463" spans="1:11">
      <c r="A3463"/>
      <c r="B3463"/>
      <c r="C3463"/>
      <c r="D3463"/>
      <c r="E3463"/>
      <c r="F3463"/>
      <c r="G3463"/>
      <c r="H3463"/>
      <c r="I3463"/>
      <c r="J3463"/>
      <c r="K3463"/>
    </row>
    <row r="3464" spans="1:11">
      <c r="A3464"/>
      <c r="B3464"/>
      <c r="C3464"/>
      <c r="D3464"/>
      <c r="E3464"/>
      <c r="F3464"/>
      <c r="G3464"/>
      <c r="H3464"/>
      <c r="I3464"/>
      <c r="J3464"/>
      <c r="K3464"/>
    </row>
    <row r="3465" spans="1:11">
      <c r="A3465"/>
      <c r="B3465"/>
      <c r="C3465"/>
      <c r="D3465"/>
      <c r="E3465"/>
      <c r="F3465"/>
      <c r="G3465"/>
      <c r="H3465"/>
      <c r="I3465"/>
      <c r="J3465"/>
      <c r="K3465"/>
    </row>
    <row r="3466" spans="1:11">
      <c r="A3466"/>
      <c r="B3466"/>
      <c r="C3466"/>
      <c r="D3466"/>
      <c r="E3466"/>
      <c r="F3466"/>
      <c r="G3466"/>
      <c r="H3466"/>
      <c r="I3466"/>
      <c r="J3466"/>
      <c r="K3466"/>
    </row>
    <row r="3467" spans="1:11">
      <c r="A3467"/>
      <c r="B3467"/>
      <c r="C3467"/>
      <c r="D3467"/>
      <c r="E3467"/>
      <c r="F3467"/>
      <c r="G3467"/>
      <c r="H3467"/>
      <c r="I3467"/>
      <c r="J3467"/>
      <c r="K3467"/>
    </row>
    <row r="3468" spans="1:11">
      <c r="A3468"/>
      <c r="B3468"/>
      <c r="C3468"/>
      <c r="D3468"/>
      <c r="E3468"/>
      <c r="F3468"/>
      <c r="G3468"/>
      <c r="H3468"/>
      <c r="I3468"/>
      <c r="J3468"/>
      <c r="K3468"/>
    </row>
    <row r="3469" spans="1:11">
      <c r="A3469"/>
      <c r="B3469"/>
      <c r="C3469"/>
      <c r="D3469"/>
      <c r="E3469"/>
      <c r="F3469"/>
      <c r="G3469"/>
      <c r="H3469"/>
      <c r="I3469"/>
      <c r="J3469"/>
      <c r="K3469"/>
    </row>
    <row r="3470" spans="1:11">
      <c r="A3470"/>
      <c r="B3470"/>
      <c r="C3470"/>
      <c r="D3470"/>
      <c r="E3470"/>
      <c r="F3470"/>
      <c r="G3470"/>
      <c r="H3470"/>
      <c r="I3470"/>
      <c r="J3470"/>
      <c r="K3470"/>
    </row>
    <row r="3471" spans="1:11">
      <c r="A3471"/>
      <c r="B3471"/>
      <c r="C3471"/>
      <c r="D3471"/>
      <c r="E3471"/>
      <c r="F3471"/>
      <c r="G3471"/>
      <c r="H3471"/>
      <c r="I3471"/>
      <c r="J3471"/>
      <c r="K3471"/>
    </row>
    <row r="3472" spans="1:11">
      <c r="A3472"/>
      <c r="B3472"/>
      <c r="C3472"/>
      <c r="D3472"/>
      <c r="E3472"/>
      <c r="F3472"/>
      <c r="G3472"/>
      <c r="H3472"/>
      <c r="I3472"/>
      <c r="J3472"/>
      <c r="K3472"/>
    </row>
    <row r="3473" spans="1:11">
      <c r="A3473"/>
      <c r="B3473"/>
      <c r="C3473"/>
      <c r="D3473"/>
      <c r="E3473"/>
      <c r="F3473"/>
      <c r="G3473"/>
      <c r="H3473"/>
      <c r="I3473"/>
      <c r="J3473"/>
      <c r="K3473"/>
    </row>
    <row r="3474" spans="1:11">
      <c r="A3474"/>
      <c r="B3474"/>
      <c r="C3474"/>
      <c r="D3474"/>
      <c r="E3474"/>
      <c r="F3474"/>
      <c r="G3474"/>
      <c r="H3474"/>
      <c r="I3474"/>
      <c r="J3474"/>
      <c r="K3474"/>
    </row>
    <row r="3475" spans="1:11">
      <c r="A3475"/>
      <c r="B3475"/>
      <c r="C3475"/>
      <c r="D3475"/>
      <c r="E3475"/>
      <c r="F3475"/>
      <c r="G3475"/>
      <c r="H3475"/>
      <c r="I3475"/>
      <c r="J3475"/>
      <c r="K3475"/>
    </row>
    <row r="3476" spans="1:11">
      <c r="A3476"/>
      <c r="B3476"/>
      <c r="C3476"/>
      <c r="D3476"/>
      <c r="E3476"/>
      <c r="F3476"/>
      <c r="G3476"/>
      <c r="H3476"/>
      <c r="I3476"/>
      <c r="J3476"/>
      <c r="K3476"/>
    </row>
    <row r="3477" spans="1:11">
      <c r="A3477"/>
      <c r="B3477"/>
      <c r="C3477"/>
      <c r="D3477"/>
      <c r="E3477"/>
      <c r="F3477"/>
      <c r="G3477"/>
      <c r="H3477"/>
      <c r="I3477"/>
      <c r="J3477"/>
      <c r="K3477"/>
    </row>
    <row r="3478" spans="1:11">
      <c r="A3478"/>
      <c r="B3478"/>
      <c r="C3478"/>
      <c r="D3478"/>
      <c r="E3478"/>
      <c r="F3478"/>
      <c r="G3478"/>
      <c r="H3478"/>
      <c r="I3478"/>
      <c r="J3478"/>
      <c r="K3478"/>
    </row>
    <row r="3479" spans="1:11">
      <c r="A3479"/>
      <c r="B3479"/>
      <c r="C3479"/>
      <c r="D3479"/>
      <c r="E3479"/>
      <c r="F3479"/>
      <c r="G3479"/>
      <c r="H3479"/>
      <c r="I3479"/>
      <c r="J3479"/>
      <c r="K3479"/>
    </row>
    <row r="3480" spans="1:11">
      <c r="A3480"/>
      <c r="B3480"/>
      <c r="C3480"/>
      <c r="D3480"/>
      <c r="E3480"/>
      <c r="F3480"/>
      <c r="G3480"/>
      <c r="H3480"/>
      <c r="I3480"/>
      <c r="J3480"/>
      <c r="K3480"/>
    </row>
    <row r="3481" spans="1:11">
      <c r="A3481"/>
      <c r="B3481"/>
      <c r="C3481"/>
      <c r="D3481"/>
      <c r="E3481"/>
      <c r="F3481"/>
      <c r="G3481"/>
      <c r="H3481"/>
      <c r="I3481"/>
      <c r="J3481"/>
      <c r="K3481"/>
    </row>
    <row r="3482" spans="1:11">
      <c r="A3482"/>
      <c r="B3482"/>
      <c r="C3482"/>
      <c r="D3482"/>
      <c r="E3482"/>
      <c r="F3482"/>
      <c r="G3482"/>
      <c r="H3482"/>
      <c r="I3482"/>
      <c r="J3482"/>
      <c r="K3482"/>
    </row>
    <row r="3483" spans="1:11">
      <c r="A3483"/>
      <c r="B3483"/>
      <c r="C3483"/>
      <c r="D3483"/>
      <c r="E3483"/>
      <c r="F3483"/>
      <c r="G3483"/>
      <c r="H3483"/>
      <c r="I3483"/>
      <c r="J3483"/>
      <c r="K3483"/>
    </row>
    <row r="3484" spans="1:11">
      <c r="A3484"/>
      <c r="B3484"/>
      <c r="C3484"/>
      <c r="D3484"/>
      <c r="E3484"/>
      <c r="F3484"/>
      <c r="G3484"/>
      <c r="H3484"/>
      <c r="I3484"/>
      <c r="J3484"/>
      <c r="K3484"/>
    </row>
    <row r="3485" spans="1:11">
      <c r="A3485"/>
      <c r="B3485"/>
      <c r="C3485"/>
      <c r="D3485"/>
      <c r="E3485"/>
      <c r="F3485"/>
      <c r="G3485"/>
      <c r="H3485"/>
      <c r="I3485"/>
      <c r="J3485"/>
      <c r="K3485"/>
    </row>
    <row r="3486" spans="1:11">
      <c r="A3486"/>
      <c r="B3486"/>
      <c r="C3486"/>
      <c r="D3486"/>
      <c r="E3486"/>
      <c r="F3486"/>
      <c r="G3486"/>
      <c r="H3486"/>
      <c r="I3486"/>
      <c r="J3486"/>
      <c r="K3486"/>
    </row>
    <row r="3487" spans="1:11">
      <c r="A3487"/>
      <c r="B3487"/>
      <c r="C3487"/>
      <c r="D3487"/>
      <c r="E3487"/>
      <c r="F3487"/>
      <c r="G3487"/>
      <c r="H3487"/>
      <c r="I3487"/>
      <c r="J3487"/>
      <c r="K3487"/>
    </row>
    <row r="3488" spans="1:11">
      <c r="A3488"/>
      <c r="B3488"/>
      <c r="C3488"/>
      <c r="D3488"/>
      <c r="E3488"/>
      <c r="F3488"/>
      <c r="G3488"/>
      <c r="H3488"/>
      <c r="I3488"/>
      <c r="J3488"/>
      <c r="K3488"/>
    </row>
    <row r="3489" spans="1:11">
      <c r="A3489"/>
      <c r="B3489"/>
      <c r="C3489"/>
      <c r="D3489"/>
      <c r="E3489"/>
      <c r="F3489"/>
      <c r="G3489"/>
      <c r="H3489"/>
      <c r="I3489"/>
      <c r="J3489"/>
      <c r="K3489"/>
    </row>
    <row r="3490" spans="1:11">
      <c r="A3490"/>
      <c r="B3490"/>
      <c r="C3490"/>
      <c r="D3490"/>
      <c r="E3490"/>
      <c r="F3490"/>
      <c r="G3490"/>
      <c r="H3490"/>
      <c r="I3490"/>
      <c r="J3490"/>
      <c r="K3490"/>
    </row>
    <row r="3491" spans="1:11">
      <c r="A3491"/>
      <c r="B3491"/>
      <c r="C3491"/>
      <c r="D3491"/>
      <c r="E3491"/>
      <c r="F3491"/>
      <c r="G3491"/>
      <c r="H3491"/>
      <c r="I3491"/>
      <c r="J3491"/>
      <c r="K3491"/>
    </row>
    <row r="3492" spans="1:11">
      <c r="A3492"/>
      <c r="B3492"/>
      <c r="C3492"/>
      <c r="D3492"/>
      <c r="E3492"/>
      <c r="F3492"/>
      <c r="G3492"/>
      <c r="H3492"/>
      <c r="I3492"/>
      <c r="J3492"/>
      <c r="K3492"/>
    </row>
    <row r="3493" spans="1:11">
      <c r="A3493"/>
      <c r="B3493"/>
      <c r="C3493"/>
      <c r="D3493"/>
      <c r="E3493"/>
      <c r="F3493"/>
      <c r="G3493"/>
      <c r="H3493"/>
      <c r="I3493"/>
      <c r="J3493"/>
      <c r="K3493"/>
    </row>
    <row r="3494" spans="1:11">
      <c r="A3494"/>
      <c r="B3494"/>
      <c r="C3494"/>
      <c r="D3494"/>
      <c r="E3494"/>
      <c r="F3494"/>
      <c r="G3494"/>
      <c r="H3494"/>
      <c r="I3494"/>
      <c r="J3494"/>
      <c r="K3494"/>
    </row>
    <row r="3495" spans="1:11">
      <c r="A3495"/>
      <c r="B3495"/>
      <c r="C3495"/>
      <c r="D3495"/>
      <c r="E3495"/>
      <c r="F3495"/>
      <c r="G3495"/>
      <c r="H3495"/>
      <c r="I3495"/>
      <c r="J3495"/>
      <c r="K3495"/>
    </row>
    <row r="3496" spans="1:11">
      <c r="A3496"/>
      <c r="B3496"/>
      <c r="C3496"/>
      <c r="D3496"/>
      <c r="E3496"/>
      <c r="F3496"/>
      <c r="G3496"/>
      <c r="H3496"/>
      <c r="I3496"/>
      <c r="J3496"/>
      <c r="K3496"/>
    </row>
    <row r="3497" spans="1:11">
      <c r="A3497"/>
      <c r="B3497"/>
      <c r="C3497"/>
      <c r="D3497"/>
      <c r="E3497"/>
      <c r="F3497"/>
      <c r="G3497"/>
      <c r="H3497"/>
      <c r="I3497"/>
      <c r="J3497"/>
      <c r="K3497"/>
    </row>
    <row r="3498" spans="1:11">
      <c r="A3498"/>
      <c r="B3498"/>
      <c r="C3498"/>
      <c r="D3498"/>
      <c r="E3498"/>
      <c r="F3498"/>
      <c r="G3498"/>
      <c r="H3498"/>
      <c r="I3498"/>
      <c r="J3498"/>
      <c r="K3498"/>
    </row>
    <row r="3499" spans="1:11">
      <c r="A3499"/>
      <c r="B3499"/>
      <c r="C3499"/>
      <c r="D3499"/>
      <c r="E3499"/>
      <c r="F3499"/>
      <c r="G3499"/>
      <c r="H3499"/>
      <c r="I3499"/>
      <c r="J3499"/>
      <c r="K3499"/>
    </row>
    <row r="3500" spans="1:11">
      <c r="A3500"/>
      <c r="B3500"/>
      <c r="C3500"/>
      <c r="D3500"/>
      <c r="E3500"/>
      <c r="F3500"/>
      <c r="G3500"/>
      <c r="H3500"/>
      <c r="I3500"/>
      <c r="J3500"/>
      <c r="K3500"/>
    </row>
    <row r="3501" spans="1:11">
      <c r="A3501"/>
      <c r="B3501"/>
      <c r="C3501"/>
      <c r="D3501"/>
      <c r="E3501"/>
      <c r="F3501"/>
      <c r="G3501"/>
      <c r="H3501"/>
      <c r="I3501"/>
      <c r="J3501"/>
      <c r="K3501"/>
    </row>
    <row r="3502" spans="1:11">
      <c r="A3502"/>
      <c r="B3502"/>
      <c r="C3502"/>
      <c r="D3502"/>
      <c r="E3502"/>
      <c r="F3502"/>
      <c r="G3502"/>
      <c r="H3502"/>
      <c r="I3502"/>
      <c r="J3502"/>
      <c r="K3502"/>
    </row>
    <row r="3503" spans="1:11">
      <c r="A3503"/>
      <c r="B3503"/>
      <c r="C3503"/>
      <c r="D3503"/>
      <c r="E3503"/>
      <c r="F3503"/>
      <c r="G3503"/>
      <c r="H3503"/>
      <c r="I3503"/>
      <c r="J3503"/>
      <c r="K3503"/>
    </row>
    <row r="3504" spans="1:11">
      <c r="A3504"/>
      <c r="B3504"/>
      <c r="C3504"/>
      <c r="D3504"/>
      <c r="E3504"/>
      <c r="F3504"/>
      <c r="G3504"/>
      <c r="H3504"/>
      <c r="I3504"/>
      <c r="J3504"/>
      <c r="K3504"/>
    </row>
    <row r="3505" spans="1:11">
      <c r="A3505"/>
      <c r="B3505"/>
      <c r="C3505"/>
      <c r="D3505"/>
      <c r="E3505"/>
      <c r="F3505"/>
      <c r="G3505"/>
      <c r="H3505"/>
      <c r="I3505"/>
      <c r="J3505"/>
      <c r="K3505"/>
    </row>
    <row r="3506" spans="1:11">
      <c r="A3506"/>
      <c r="B3506"/>
      <c r="C3506"/>
      <c r="D3506"/>
      <c r="E3506"/>
      <c r="F3506"/>
      <c r="G3506"/>
      <c r="H3506"/>
      <c r="I3506"/>
      <c r="J3506"/>
      <c r="K3506"/>
    </row>
    <row r="3507" spans="1:11">
      <c r="A3507"/>
      <c r="B3507"/>
      <c r="C3507"/>
      <c r="D3507"/>
      <c r="E3507"/>
      <c r="F3507"/>
      <c r="G3507"/>
      <c r="H3507"/>
      <c r="I3507"/>
      <c r="J3507"/>
      <c r="K3507"/>
    </row>
    <row r="3508" spans="1:11">
      <c r="A3508"/>
      <c r="B3508"/>
      <c r="C3508"/>
      <c r="D3508"/>
      <c r="E3508"/>
      <c r="F3508"/>
      <c r="G3508"/>
      <c r="H3508"/>
      <c r="I3508"/>
      <c r="J3508"/>
      <c r="K3508"/>
    </row>
    <row r="3509" spans="1:11">
      <c r="A3509"/>
      <c r="B3509"/>
      <c r="C3509"/>
      <c r="D3509"/>
      <c r="E3509"/>
      <c r="F3509"/>
      <c r="G3509"/>
      <c r="H3509"/>
      <c r="I3509"/>
      <c r="J3509"/>
      <c r="K3509"/>
    </row>
    <row r="3510" spans="1:11">
      <c r="A3510"/>
      <c r="B3510"/>
      <c r="C3510"/>
      <c r="D3510"/>
      <c r="E3510"/>
      <c r="F3510"/>
      <c r="G3510"/>
      <c r="H3510"/>
      <c r="I3510"/>
      <c r="J3510"/>
      <c r="K3510"/>
    </row>
    <row r="3511" spans="1:11">
      <c r="A3511"/>
      <c r="B3511"/>
      <c r="C3511"/>
      <c r="D3511"/>
      <c r="E3511"/>
      <c r="F3511"/>
      <c r="G3511"/>
      <c r="H3511"/>
      <c r="I3511"/>
      <c r="J3511"/>
      <c r="K3511"/>
    </row>
    <row r="3512" spans="1:11">
      <c r="A3512"/>
      <c r="B3512"/>
      <c r="C3512"/>
      <c r="D3512"/>
      <c r="E3512"/>
      <c r="F3512"/>
      <c r="G3512"/>
      <c r="H3512"/>
      <c r="I3512"/>
      <c r="J3512"/>
      <c r="K3512"/>
    </row>
    <row r="3513" spans="1:11">
      <c r="A3513"/>
      <c r="B3513"/>
      <c r="C3513"/>
      <c r="D3513"/>
      <c r="E3513"/>
      <c r="F3513"/>
      <c r="G3513"/>
      <c r="H3513"/>
      <c r="I3513"/>
      <c r="J3513"/>
      <c r="K3513"/>
    </row>
    <row r="3514" spans="1:11">
      <c r="A3514"/>
      <c r="B3514"/>
      <c r="C3514"/>
      <c r="D3514"/>
      <c r="E3514"/>
      <c r="F3514"/>
      <c r="G3514"/>
      <c r="H3514"/>
      <c r="I3514"/>
      <c r="J3514"/>
      <c r="K3514"/>
    </row>
    <row r="3515" spans="1:11">
      <c r="A3515"/>
      <c r="B3515"/>
      <c r="C3515"/>
      <c r="D3515"/>
      <c r="E3515"/>
      <c r="F3515"/>
      <c r="G3515"/>
      <c r="H3515"/>
      <c r="I3515"/>
      <c r="J3515"/>
      <c r="K3515"/>
    </row>
    <row r="3516" spans="1:11">
      <c r="A3516"/>
      <c r="B3516"/>
      <c r="C3516"/>
      <c r="D3516"/>
      <c r="E3516"/>
      <c r="F3516"/>
      <c r="G3516"/>
      <c r="H3516"/>
      <c r="I3516"/>
      <c r="J3516"/>
      <c r="K3516"/>
    </row>
    <row r="3517" spans="1:11">
      <c r="A3517"/>
      <c r="B3517"/>
      <c r="C3517"/>
      <c r="D3517"/>
      <c r="E3517"/>
      <c r="F3517"/>
      <c r="G3517"/>
      <c r="H3517"/>
      <c r="I3517"/>
      <c r="J3517"/>
      <c r="K3517"/>
    </row>
    <row r="3518" spans="1:11">
      <c r="A3518"/>
      <c r="B3518"/>
      <c r="C3518"/>
      <c r="D3518"/>
      <c r="E3518"/>
      <c r="F3518"/>
      <c r="G3518"/>
      <c r="H3518"/>
      <c r="I3518"/>
      <c r="J3518"/>
      <c r="K3518"/>
    </row>
    <row r="3519" spans="1:11">
      <c r="A3519"/>
      <c r="B3519"/>
      <c r="C3519"/>
      <c r="D3519"/>
      <c r="E3519"/>
      <c r="F3519"/>
      <c r="G3519"/>
      <c r="H3519"/>
      <c r="I3519"/>
      <c r="J3519"/>
      <c r="K3519"/>
    </row>
    <row r="3520" spans="1:11">
      <c r="A3520"/>
      <c r="B3520"/>
      <c r="C3520"/>
      <c r="D3520"/>
      <c r="E3520"/>
      <c r="F3520"/>
      <c r="G3520"/>
      <c r="H3520"/>
      <c r="I3520"/>
      <c r="J3520"/>
      <c r="K3520"/>
    </row>
    <row r="3521" spans="1:11">
      <c r="A3521"/>
      <c r="B3521"/>
      <c r="C3521"/>
      <c r="D3521"/>
      <c r="E3521"/>
      <c r="F3521"/>
      <c r="G3521"/>
      <c r="H3521"/>
      <c r="I3521"/>
      <c r="J3521"/>
      <c r="K3521"/>
    </row>
    <row r="3522" spans="1:11">
      <c r="A3522"/>
      <c r="B3522"/>
      <c r="C3522"/>
      <c r="D3522"/>
      <c r="E3522"/>
      <c r="F3522"/>
      <c r="G3522"/>
      <c r="H3522"/>
      <c r="I3522"/>
      <c r="J3522"/>
      <c r="K3522"/>
    </row>
    <row r="3523" spans="1:11">
      <c r="A3523"/>
      <c r="B3523"/>
      <c r="C3523"/>
      <c r="D3523"/>
      <c r="E3523"/>
      <c r="F3523"/>
      <c r="G3523"/>
      <c r="H3523"/>
      <c r="I3523"/>
      <c r="J3523"/>
      <c r="K3523"/>
    </row>
    <row r="3524" spans="1:11">
      <c r="A3524"/>
      <c r="B3524"/>
      <c r="C3524"/>
      <c r="D3524"/>
      <c r="E3524"/>
      <c r="F3524"/>
      <c r="G3524"/>
      <c r="H3524"/>
      <c r="I3524"/>
      <c r="J3524"/>
      <c r="K3524"/>
    </row>
    <row r="3525" spans="1:11">
      <c r="A3525"/>
      <c r="B3525"/>
      <c r="C3525"/>
      <c r="D3525"/>
      <c r="E3525"/>
      <c r="F3525"/>
      <c r="G3525"/>
      <c r="H3525"/>
      <c r="I3525"/>
      <c r="J3525"/>
      <c r="K3525"/>
    </row>
    <row r="3526" spans="1:11">
      <c r="A3526"/>
      <c r="B3526"/>
      <c r="C3526"/>
      <c r="D3526"/>
      <c r="E3526"/>
      <c r="F3526"/>
      <c r="G3526"/>
      <c r="H3526"/>
      <c r="I3526"/>
      <c r="J3526"/>
      <c r="K3526"/>
    </row>
    <row r="3527" spans="1:11">
      <c r="A3527"/>
      <c r="B3527"/>
      <c r="C3527"/>
      <c r="D3527"/>
      <c r="E3527"/>
      <c r="F3527"/>
      <c r="G3527"/>
      <c r="H3527"/>
      <c r="I3527"/>
      <c r="J3527"/>
      <c r="K3527"/>
    </row>
    <row r="3528" spans="1:11">
      <c r="A3528"/>
      <c r="B3528"/>
      <c r="C3528"/>
      <c r="D3528"/>
      <c r="E3528"/>
      <c r="F3528"/>
      <c r="G3528"/>
      <c r="H3528"/>
      <c r="I3528"/>
      <c r="J3528"/>
      <c r="K3528"/>
    </row>
    <row r="3529" spans="1:11">
      <c r="A3529"/>
      <c r="B3529"/>
      <c r="C3529"/>
      <c r="D3529"/>
      <c r="E3529"/>
      <c r="F3529"/>
      <c r="G3529"/>
      <c r="H3529"/>
      <c r="I3529"/>
      <c r="J3529"/>
      <c r="K3529"/>
    </row>
    <row r="3530" spans="1:11">
      <c r="A3530"/>
      <c r="B3530"/>
      <c r="C3530"/>
      <c r="D3530"/>
      <c r="E3530"/>
      <c r="F3530"/>
      <c r="G3530"/>
      <c r="H3530"/>
      <c r="I3530"/>
      <c r="J3530"/>
      <c r="K3530"/>
    </row>
    <row r="3531" spans="1:11">
      <c r="A3531"/>
      <c r="B3531"/>
      <c r="C3531"/>
      <c r="D3531"/>
      <c r="E3531"/>
      <c r="F3531"/>
      <c r="G3531"/>
      <c r="H3531"/>
      <c r="I3531"/>
      <c r="J3531"/>
      <c r="K3531"/>
    </row>
    <row r="3532" spans="1:11">
      <c r="A3532"/>
      <c r="B3532"/>
      <c r="C3532"/>
      <c r="D3532"/>
      <c r="E3532"/>
      <c r="F3532"/>
      <c r="G3532"/>
      <c r="H3532"/>
      <c r="I3532"/>
      <c r="J3532"/>
      <c r="K3532"/>
    </row>
    <row r="3533" spans="1:11">
      <c r="A3533"/>
      <c r="B3533"/>
      <c r="C3533"/>
      <c r="D3533"/>
      <c r="E3533"/>
      <c r="F3533"/>
      <c r="G3533"/>
      <c r="H3533"/>
      <c r="I3533"/>
      <c r="J3533"/>
      <c r="K3533"/>
    </row>
    <row r="3534" spans="1:11">
      <c r="A3534"/>
      <c r="B3534"/>
      <c r="C3534"/>
      <c r="D3534"/>
      <c r="E3534"/>
      <c r="F3534"/>
      <c r="G3534"/>
      <c r="H3534"/>
      <c r="I3534"/>
      <c r="J3534"/>
      <c r="K3534"/>
    </row>
    <row r="3535" spans="1:11">
      <c r="A3535"/>
      <c r="B3535"/>
      <c r="C3535"/>
      <c r="D3535"/>
      <c r="E3535"/>
      <c r="F3535"/>
      <c r="G3535"/>
      <c r="H3535"/>
      <c r="I3535"/>
      <c r="J3535"/>
      <c r="K3535"/>
    </row>
    <row r="3536" spans="1:11">
      <c r="A3536"/>
      <c r="B3536"/>
      <c r="C3536"/>
      <c r="D3536"/>
      <c r="E3536"/>
      <c r="F3536"/>
      <c r="G3536"/>
      <c r="H3536"/>
      <c r="I3536"/>
      <c r="J3536"/>
      <c r="K3536"/>
    </row>
    <row r="3537" spans="1:11">
      <c r="A3537"/>
      <c r="B3537"/>
      <c r="C3537"/>
      <c r="D3537"/>
      <c r="E3537"/>
      <c r="F3537"/>
      <c r="G3537"/>
      <c r="H3537"/>
      <c r="I3537"/>
      <c r="J3537"/>
      <c r="K3537"/>
    </row>
    <row r="3538" spans="1:11">
      <c r="A3538"/>
      <c r="B3538"/>
      <c r="C3538"/>
      <c r="D3538"/>
      <c r="E3538"/>
      <c r="F3538"/>
      <c r="G3538"/>
      <c r="H3538"/>
      <c r="I3538"/>
      <c r="J3538"/>
      <c r="K3538"/>
    </row>
    <row r="3539" spans="1:11">
      <c r="A3539"/>
      <c r="B3539"/>
      <c r="C3539"/>
      <c r="D3539"/>
      <c r="E3539"/>
      <c r="F3539"/>
      <c r="G3539"/>
      <c r="H3539"/>
      <c r="I3539"/>
      <c r="J3539"/>
      <c r="K3539"/>
    </row>
    <row r="3540" spans="1:11">
      <c r="A3540"/>
      <c r="B3540"/>
      <c r="C3540"/>
      <c r="D3540"/>
      <c r="E3540"/>
      <c r="F3540"/>
      <c r="G3540"/>
      <c r="H3540"/>
      <c r="I3540"/>
      <c r="J3540"/>
      <c r="K3540"/>
    </row>
    <row r="3541" spans="1:11">
      <c r="A3541"/>
      <c r="B3541"/>
      <c r="C3541"/>
      <c r="D3541"/>
      <c r="E3541"/>
      <c r="F3541"/>
      <c r="G3541"/>
      <c r="H3541"/>
      <c r="I3541"/>
      <c r="J3541"/>
      <c r="K3541"/>
    </row>
    <row r="3542" spans="1:11">
      <c r="A3542"/>
      <c r="B3542"/>
      <c r="C3542"/>
      <c r="D3542"/>
      <c r="E3542"/>
      <c r="F3542"/>
      <c r="G3542"/>
      <c r="H3542"/>
      <c r="I3542"/>
      <c r="J3542"/>
      <c r="K3542"/>
    </row>
    <row r="3543" spans="1:11">
      <c r="A3543"/>
      <c r="B3543"/>
      <c r="C3543"/>
      <c r="D3543"/>
      <c r="E3543"/>
      <c r="F3543"/>
      <c r="G3543"/>
      <c r="H3543"/>
      <c r="I3543"/>
      <c r="J3543"/>
      <c r="K3543"/>
    </row>
    <row r="3544" spans="1:11">
      <c r="A3544"/>
      <c r="B3544"/>
      <c r="C3544"/>
      <c r="D3544"/>
      <c r="E3544"/>
      <c r="F3544"/>
      <c r="G3544"/>
      <c r="H3544"/>
      <c r="I3544"/>
      <c r="J3544"/>
      <c r="K3544"/>
    </row>
    <row r="3545" spans="1:11">
      <c r="A3545"/>
      <c r="B3545"/>
      <c r="C3545"/>
      <c r="D3545"/>
      <c r="E3545"/>
      <c r="F3545"/>
      <c r="G3545"/>
      <c r="H3545"/>
      <c r="I3545"/>
      <c r="J3545"/>
      <c r="K3545"/>
    </row>
    <row r="3546" spans="1:11">
      <c r="A3546"/>
      <c r="B3546"/>
      <c r="C3546"/>
      <c r="D3546"/>
      <c r="E3546"/>
      <c r="F3546"/>
      <c r="G3546"/>
      <c r="H3546"/>
      <c r="I3546"/>
      <c r="J3546"/>
      <c r="K3546"/>
    </row>
    <row r="3547" spans="1:11">
      <c r="A3547"/>
      <c r="B3547"/>
      <c r="C3547"/>
      <c r="D3547"/>
      <c r="E3547"/>
      <c r="F3547"/>
      <c r="G3547"/>
      <c r="H3547"/>
      <c r="I3547"/>
      <c r="J3547"/>
      <c r="K3547"/>
    </row>
    <row r="3548" spans="1:11">
      <c r="A3548"/>
      <c r="B3548"/>
      <c r="C3548"/>
      <c r="D3548"/>
      <c r="E3548"/>
      <c r="F3548"/>
      <c r="G3548"/>
      <c r="H3548"/>
      <c r="I3548"/>
      <c r="J3548"/>
      <c r="K3548"/>
    </row>
    <row r="3549" spans="1:11">
      <c r="A3549"/>
      <c r="B3549"/>
      <c r="C3549"/>
      <c r="D3549"/>
      <c r="E3549"/>
      <c r="F3549"/>
      <c r="G3549"/>
      <c r="H3549"/>
      <c r="I3549"/>
      <c r="J3549"/>
      <c r="K3549"/>
    </row>
    <row r="3550" spans="1:11">
      <c r="A3550"/>
      <c r="B3550"/>
      <c r="C3550"/>
      <c r="D3550"/>
      <c r="E3550"/>
      <c r="F3550"/>
      <c r="G3550"/>
      <c r="H3550"/>
      <c r="I3550"/>
      <c r="J3550"/>
      <c r="K3550"/>
    </row>
    <row r="3551" spans="1:11">
      <c r="A3551"/>
      <c r="B3551"/>
      <c r="C3551"/>
      <c r="D3551"/>
      <c r="E3551"/>
      <c r="F3551"/>
      <c r="G3551"/>
      <c r="H3551"/>
      <c r="I3551"/>
      <c r="J3551"/>
      <c r="K3551"/>
    </row>
    <row r="3552" spans="1:11">
      <c r="A3552"/>
      <c r="B3552"/>
      <c r="C3552"/>
      <c r="D3552"/>
      <c r="E3552"/>
      <c r="F3552"/>
      <c r="G3552"/>
      <c r="H3552"/>
      <c r="I3552"/>
      <c r="J3552"/>
      <c r="K3552"/>
    </row>
    <row r="3553" spans="1:11">
      <c r="A3553"/>
      <c r="B3553"/>
      <c r="C3553"/>
      <c r="D3553"/>
      <c r="E3553"/>
      <c r="F3553"/>
      <c r="G3553"/>
      <c r="H3553"/>
      <c r="I3553"/>
      <c r="J3553"/>
      <c r="K3553"/>
    </row>
    <row r="3554" spans="1:11">
      <c r="A3554"/>
      <c r="B3554"/>
      <c r="C3554"/>
      <c r="D3554"/>
      <c r="E3554"/>
      <c r="F3554"/>
      <c r="G3554"/>
      <c r="H3554"/>
      <c r="I3554"/>
      <c r="J3554"/>
      <c r="K3554"/>
    </row>
    <row r="3555" spans="1:11">
      <c r="A3555"/>
      <c r="B3555"/>
      <c r="C3555"/>
      <c r="D3555"/>
      <c r="E3555"/>
      <c r="F3555"/>
      <c r="G3555"/>
      <c r="H3555"/>
      <c r="I3555"/>
      <c r="J3555"/>
      <c r="K3555"/>
    </row>
    <row r="3556" spans="1:11">
      <c r="A3556"/>
      <c r="B3556"/>
      <c r="C3556"/>
      <c r="D3556"/>
      <c r="E3556"/>
      <c r="F3556"/>
      <c r="G3556"/>
      <c r="H3556"/>
      <c r="I3556"/>
      <c r="J3556"/>
      <c r="K3556"/>
    </row>
    <row r="3557" spans="1:11">
      <c r="A3557"/>
      <c r="B3557"/>
      <c r="C3557"/>
      <c r="D3557"/>
      <c r="E3557"/>
      <c r="F3557"/>
      <c r="G3557"/>
      <c r="H3557"/>
      <c r="I3557"/>
      <c r="J3557"/>
      <c r="K3557"/>
    </row>
    <row r="3558" spans="1:11">
      <c r="A3558"/>
      <c r="B3558"/>
      <c r="C3558"/>
      <c r="D3558"/>
      <c r="E3558"/>
      <c r="F3558"/>
      <c r="G3558"/>
      <c r="H3558"/>
      <c r="I3558"/>
      <c r="J3558"/>
      <c r="K3558"/>
    </row>
    <row r="3559" spans="1:11">
      <c r="A3559"/>
      <c r="B3559"/>
      <c r="C3559"/>
      <c r="D3559"/>
      <c r="E3559"/>
      <c r="F3559"/>
      <c r="G3559"/>
      <c r="H3559"/>
      <c r="I3559"/>
      <c r="J3559"/>
      <c r="K3559"/>
    </row>
    <row r="3560" spans="1:11">
      <c r="A3560"/>
      <c r="B3560"/>
      <c r="C3560"/>
      <c r="D3560"/>
      <c r="E3560"/>
      <c r="F3560"/>
      <c r="G3560"/>
      <c r="H3560"/>
      <c r="I3560"/>
      <c r="J3560"/>
      <c r="K3560"/>
    </row>
    <row r="3561" spans="1:11">
      <c r="A3561"/>
      <c r="B3561"/>
      <c r="C3561"/>
      <c r="D3561"/>
      <c r="E3561"/>
      <c r="F3561"/>
      <c r="G3561"/>
      <c r="H3561"/>
      <c r="I3561"/>
      <c r="J3561"/>
      <c r="K3561"/>
    </row>
    <row r="3562" spans="1:11">
      <c r="A3562"/>
      <c r="B3562"/>
      <c r="C3562"/>
      <c r="D3562"/>
      <c r="E3562"/>
      <c r="F3562"/>
      <c r="G3562"/>
      <c r="H3562"/>
      <c r="I3562"/>
      <c r="J3562"/>
      <c r="K3562"/>
    </row>
    <row r="3563" spans="1:11">
      <c r="A3563"/>
      <c r="B3563"/>
      <c r="C3563"/>
      <c r="D3563"/>
      <c r="E3563"/>
      <c r="F3563"/>
      <c r="G3563"/>
      <c r="H3563"/>
      <c r="I3563"/>
      <c r="J3563"/>
      <c r="K3563"/>
    </row>
    <row r="3564" spans="1:11">
      <c r="A3564"/>
      <c r="B3564"/>
      <c r="C3564"/>
      <c r="D3564"/>
      <c r="E3564"/>
      <c r="F3564"/>
      <c r="G3564"/>
      <c r="H3564"/>
      <c r="I3564"/>
      <c r="J3564"/>
      <c r="K3564"/>
    </row>
    <row r="3565" spans="1:11">
      <c r="A3565"/>
      <c r="B3565"/>
      <c r="C3565"/>
      <c r="D3565"/>
      <c r="E3565"/>
      <c r="F3565"/>
      <c r="G3565"/>
      <c r="H3565"/>
      <c r="I3565"/>
      <c r="J3565"/>
      <c r="K3565"/>
    </row>
    <row r="3566" spans="1:11">
      <c r="A3566"/>
      <c r="B3566"/>
      <c r="C3566"/>
      <c r="D3566"/>
      <c r="E3566"/>
      <c r="F3566"/>
      <c r="G3566"/>
      <c r="H3566"/>
      <c r="I3566"/>
      <c r="J3566"/>
      <c r="K3566"/>
    </row>
    <row r="3567" spans="1:11">
      <c r="A3567"/>
      <c r="B3567"/>
      <c r="C3567"/>
      <c r="D3567"/>
      <c r="E3567"/>
      <c r="F3567"/>
      <c r="G3567"/>
      <c r="H3567"/>
      <c r="I3567"/>
      <c r="J3567"/>
      <c r="K3567"/>
    </row>
    <row r="3568" spans="1:11">
      <c r="A3568"/>
      <c r="B3568"/>
      <c r="C3568"/>
      <c r="D3568"/>
      <c r="E3568"/>
      <c r="F3568"/>
      <c r="G3568"/>
      <c r="H3568"/>
      <c r="I3568"/>
      <c r="J3568"/>
      <c r="K3568"/>
    </row>
    <row r="3569" spans="1:11">
      <c r="A3569"/>
      <c r="B3569"/>
      <c r="C3569"/>
      <c r="D3569"/>
      <c r="E3569"/>
      <c r="F3569"/>
      <c r="G3569"/>
      <c r="H3569"/>
      <c r="I3569"/>
      <c r="J3569"/>
      <c r="K3569"/>
    </row>
    <row r="3570" spans="1:11">
      <c r="A3570"/>
      <c r="B3570"/>
      <c r="C3570"/>
      <c r="D3570"/>
      <c r="E3570"/>
      <c r="F3570"/>
      <c r="G3570"/>
      <c r="H3570"/>
      <c r="I3570"/>
      <c r="J3570"/>
      <c r="K3570"/>
    </row>
    <row r="3571" spans="1:11">
      <c r="A3571"/>
      <c r="B3571"/>
      <c r="C3571"/>
      <c r="D3571"/>
      <c r="E3571"/>
      <c r="F3571"/>
      <c r="G3571"/>
      <c r="H3571"/>
      <c r="I3571"/>
      <c r="J3571"/>
      <c r="K3571"/>
    </row>
    <row r="3572" spans="1:11">
      <c r="A3572"/>
      <c r="B3572"/>
      <c r="C3572"/>
      <c r="D3572"/>
      <c r="E3572"/>
      <c r="F3572"/>
      <c r="G3572"/>
      <c r="H3572"/>
      <c r="I3572"/>
      <c r="J3572"/>
      <c r="K3572"/>
    </row>
    <row r="3573" spans="1:11">
      <c r="A3573"/>
      <c r="B3573"/>
      <c r="C3573"/>
      <c r="D3573"/>
      <c r="E3573"/>
      <c r="F3573"/>
      <c r="G3573"/>
      <c r="H3573"/>
      <c r="I3573"/>
      <c r="J3573"/>
      <c r="K3573"/>
    </row>
    <row r="3574" spans="1:11">
      <c r="A3574"/>
      <c r="B3574"/>
      <c r="C3574"/>
      <c r="D3574"/>
      <c r="E3574"/>
      <c r="F3574"/>
      <c r="G3574"/>
      <c r="H3574"/>
      <c r="I3574"/>
      <c r="J3574"/>
      <c r="K3574"/>
    </row>
    <row r="3575" spans="1:11">
      <c r="A3575"/>
      <c r="B3575"/>
      <c r="C3575"/>
      <c r="D3575"/>
      <c r="E3575"/>
      <c r="F3575"/>
      <c r="G3575"/>
      <c r="H3575"/>
      <c r="I3575"/>
      <c r="J3575"/>
      <c r="K3575"/>
    </row>
    <row r="3576" spans="1:11">
      <c r="A3576"/>
      <c r="B3576"/>
      <c r="C3576"/>
      <c r="D3576"/>
      <c r="E3576"/>
      <c r="F3576"/>
      <c r="G3576"/>
      <c r="H3576"/>
      <c r="I3576"/>
      <c r="J3576"/>
      <c r="K3576"/>
    </row>
    <row r="3577" spans="1:11">
      <c r="A3577"/>
      <c r="B3577"/>
      <c r="C3577"/>
      <c r="D3577"/>
      <c r="E3577"/>
      <c r="F3577"/>
      <c r="G3577"/>
      <c r="H3577"/>
      <c r="I3577"/>
      <c r="J3577"/>
      <c r="K3577"/>
    </row>
    <row r="3578" spans="1:11">
      <c r="A3578"/>
      <c r="B3578"/>
      <c r="C3578"/>
      <c r="D3578"/>
      <c r="E3578"/>
      <c r="F3578"/>
      <c r="G3578"/>
      <c r="H3578"/>
      <c r="I3578"/>
      <c r="J3578"/>
      <c r="K3578"/>
    </row>
    <row r="3579" spans="1:11">
      <c r="A3579"/>
      <c r="B3579"/>
      <c r="C3579"/>
      <c r="D3579"/>
      <c r="E3579"/>
      <c r="F3579"/>
      <c r="G3579"/>
      <c r="H3579"/>
      <c r="I3579"/>
      <c r="J3579"/>
      <c r="K3579"/>
    </row>
    <row r="3580" spans="1:11">
      <c r="A3580"/>
      <c r="B3580"/>
      <c r="C3580"/>
      <c r="D3580"/>
      <c r="E3580"/>
      <c r="F3580"/>
      <c r="G3580"/>
      <c r="H3580"/>
      <c r="I3580"/>
      <c r="J3580"/>
      <c r="K3580"/>
    </row>
    <row r="3581" spans="1:11">
      <c r="A3581"/>
      <c r="B3581"/>
      <c r="C3581"/>
      <c r="D3581"/>
      <c r="E3581"/>
      <c r="F3581"/>
      <c r="G3581"/>
      <c r="H3581"/>
      <c r="I3581"/>
      <c r="J3581"/>
      <c r="K3581"/>
    </row>
    <row r="3582" spans="1:11">
      <c r="A3582"/>
      <c r="B3582"/>
      <c r="C3582"/>
      <c r="D3582"/>
      <c r="E3582"/>
      <c r="F3582"/>
      <c r="G3582"/>
      <c r="H3582"/>
      <c r="I3582"/>
      <c r="J3582"/>
      <c r="K3582"/>
    </row>
    <row r="3583" spans="1:11">
      <c r="A3583"/>
      <c r="B3583"/>
      <c r="C3583"/>
      <c r="D3583"/>
      <c r="E3583"/>
      <c r="F3583"/>
      <c r="G3583"/>
      <c r="H3583"/>
      <c r="I3583"/>
      <c r="J3583"/>
      <c r="K3583"/>
    </row>
    <row r="3584" spans="1:11">
      <c r="A3584"/>
      <c r="B3584"/>
      <c r="C3584"/>
      <c r="D3584"/>
      <c r="E3584"/>
      <c r="F3584"/>
      <c r="G3584"/>
      <c r="H3584"/>
      <c r="I3584"/>
      <c r="J3584"/>
      <c r="K3584"/>
    </row>
    <row r="3585" spans="1:11">
      <c r="A3585"/>
      <c r="B3585"/>
      <c r="C3585"/>
      <c r="D3585"/>
      <c r="E3585"/>
      <c r="F3585"/>
      <c r="G3585"/>
      <c r="H3585"/>
      <c r="I3585"/>
      <c r="J3585"/>
      <c r="K3585"/>
    </row>
    <row r="3586" spans="1:11">
      <c r="A3586"/>
      <c r="B3586"/>
      <c r="C3586"/>
      <c r="D3586"/>
      <c r="E3586"/>
      <c r="F3586"/>
      <c r="G3586"/>
      <c r="H3586"/>
      <c r="I3586"/>
      <c r="J3586"/>
      <c r="K3586"/>
    </row>
    <row r="3587" spans="1:11">
      <c r="A3587"/>
      <c r="B3587"/>
      <c r="C3587"/>
      <c r="D3587"/>
      <c r="E3587"/>
      <c r="F3587"/>
      <c r="G3587"/>
      <c r="H3587"/>
      <c r="I3587"/>
      <c r="J3587"/>
      <c r="K3587"/>
    </row>
    <row r="3588" spans="1:11">
      <c r="A3588"/>
      <c r="B3588"/>
      <c r="C3588"/>
      <c r="D3588"/>
      <c r="E3588"/>
      <c r="F3588"/>
      <c r="G3588"/>
      <c r="H3588"/>
      <c r="I3588"/>
      <c r="J3588"/>
      <c r="K3588"/>
    </row>
    <row r="3589" spans="1:11">
      <c r="A3589"/>
      <c r="B3589"/>
      <c r="C3589"/>
      <c r="D3589"/>
      <c r="E3589"/>
      <c r="F3589"/>
      <c r="G3589"/>
      <c r="H3589"/>
      <c r="I3589"/>
      <c r="J3589"/>
      <c r="K3589"/>
    </row>
    <row r="3590" spans="1:11">
      <c r="A3590"/>
      <c r="B3590"/>
      <c r="C3590"/>
      <c r="D3590"/>
      <c r="E3590"/>
      <c r="F3590"/>
      <c r="G3590"/>
      <c r="H3590"/>
      <c r="I3590"/>
      <c r="J3590"/>
      <c r="K3590"/>
    </row>
    <row r="3591" spans="1:11">
      <c r="A3591"/>
      <c r="B3591"/>
      <c r="C3591"/>
      <c r="D3591"/>
      <c r="E3591"/>
      <c r="F3591"/>
      <c r="G3591"/>
      <c r="H3591"/>
      <c r="I3591"/>
      <c r="J3591"/>
      <c r="K3591"/>
    </row>
    <row r="3592" spans="1:11">
      <c r="A3592"/>
      <c r="B3592"/>
      <c r="C3592"/>
      <c r="D3592"/>
      <c r="E3592"/>
      <c r="F3592"/>
      <c r="G3592"/>
      <c r="H3592"/>
      <c r="I3592"/>
      <c r="J3592"/>
      <c r="K3592"/>
    </row>
    <row r="3593" spans="1:11">
      <c r="A3593"/>
      <c r="B3593"/>
      <c r="C3593"/>
      <c r="D3593"/>
      <c r="E3593"/>
      <c r="F3593"/>
      <c r="G3593"/>
      <c r="H3593"/>
      <c r="I3593"/>
      <c r="J3593"/>
      <c r="K3593"/>
    </row>
    <row r="3594" spans="1:11">
      <c r="A3594"/>
      <c r="B3594"/>
      <c r="C3594"/>
      <c r="D3594"/>
      <c r="E3594"/>
      <c r="F3594"/>
      <c r="G3594"/>
      <c r="H3594"/>
      <c r="I3594"/>
      <c r="J3594"/>
      <c r="K3594"/>
    </row>
    <row r="3595" spans="1:11">
      <c r="A3595"/>
      <c r="B3595"/>
      <c r="C3595"/>
      <c r="D3595"/>
      <c r="E3595"/>
      <c r="F3595"/>
      <c r="G3595"/>
      <c r="H3595"/>
      <c r="I3595"/>
      <c r="J3595"/>
      <c r="K3595"/>
    </row>
    <row r="3596" spans="1:11">
      <c r="A3596"/>
      <c r="B3596"/>
      <c r="C3596"/>
      <c r="D3596"/>
      <c r="E3596"/>
      <c r="F3596"/>
      <c r="G3596"/>
      <c r="H3596"/>
      <c r="I3596"/>
      <c r="J3596"/>
      <c r="K3596"/>
    </row>
    <row r="3597" spans="1:11">
      <c r="A3597"/>
      <c r="B3597"/>
      <c r="C3597"/>
      <c r="D3597"/>
      <c r="E3597"/>
      <c r="F3597"/>
      <c r="G3597"/>
      <c r="H3597"/>
      <c r="I3597"/>
      <c r="J3597"/>
      <c r="K3597"/>
    </row>
    <row r="3598" spans="1:11">
      <c r="A3598"/>
      <c r="B3598"/>
      <c r="C3598"/>
      <c r="D3598"/>
      <c r="E3598"/>
      <c r="F3598"/>
      <c r="G3598"/>
      <c r="H3598"/>
      <c r="I3598"/>
      <c r="J3598"/>
      <c r="K3598"/>
    </row>
    <row r="3599" spans="1:11">
      <c r="A3599"/>
      <c r="B3599"/>
      <c r="C3599"/>
      <c r="D3599"/>
      <c r="E3599"/>
      <c r="F3599"/>
      <c r="G3599"/>
      <c r="H3599"/>
      <c r="I3599"/>
      <c r="J3599"/>
      <c r="K3599"/>
    </row>
    <row r="3600" spans="1:11">
      <c r="A3600"/>
      <c r="B3600"/>
      <c r="C3600"/>
      <c r="D3600"/>
      <c r="E3600"/>
      <c r="F3600"/>
      <c r="G3600"/>
      <c r="H3600"/>
      <c r="I3600"/>
      <c r="J3600"/>
      <c r="K3600"/>
    </row>
    <row r="3601" spans="1:11">
      <c r="A3601"/>
      <c r="B3601"/>
      <c r="C3601"/>
      <c r="D3601"/>
      <c r="E3601"/>
      <c r="F3601"/>
      <c r="G3601"/>
      <c r="H3601"/>
      <c r="I3601"/>
      <c r="J3601"/>
      <c r="K3601"/>
    </row>
    <row r="3602" spans="1:11">
      <c r="A3602"/>
      <c r="B3602"/>
      <c r="C3602"/>
      <c r="D3602"/>
      <c r="E3602"/>
      <c r="F3602"/>
      <c r="G3602"/>
      <c r="H3602"/>
      <c r="I3602"/>
      <c r="J3602"/>
      <c r="K3602"/>
    </row>
    <row r="3603" spans="1:11">
      <c r="A3603"/>
      <c r="B3603"/>
      <c r="C3603"/>
      <c r="D3603"/>
      <c r="E3603"/>
      <c r="F3603"/>
      <c r="G3603"/>
      <c r="H3603"/>
      <c r="I3603"/>
      <c r="J3603"/>
      <c r="K3603"/>
    </row>
    <row r="3604" spans="1:11">
      <c r="A3604"/>
      <c r="B3604"/>
      <c r="C3604"/>
      <c r="D3604"/>
      <c r="E3604"/>
      <c r="F3604"/>
      <c r="G3604"/>
      <c r="H3604"/>
      <c r="I3604"/>
      <c r="J3604"/>
      <c r="K3604"/>
    </row>
    <row r="3605" spans="1:11">
      <c r="A3605"/>
      <c r="B3605"/>
      <c r="C3605"/>
      <c r="D3605"/>
      <c r="E3605"/>
      <c r="F3605"/>
      <c r="G3605"/>
      <c r="H3605"/>
      <c r="I3605"/>
      <c r="J3605"/>
      <c r="K3605"/>
    </row>
    <row r="3606" spans="1:11">
      <c r="A3606"/>
      <c r="B3606"/>
      <c r="C3606"/>
      <c r="D3606"/>
      <c r="E3606"/>
      <c r="F3606"/>
      <c r="G3606"/>
      <c r="H3606"/>
      <c r="I3606"/>
      <c r="J3606"/>
      <c r="K3606"/>
    </row>
    <row r="3607" spans="1:11">
      <c r="A3607"/>
      <c r="B3607"/>
      <c r="C3607"/>
      <c r="D3607"/>
      <c r="E3607"/>
      <c r="F3607"/>
      <c r="G3607"/>
      <c r="H3607"/>
      <c r="I3607"/>
      <c r="J3607"/>
      <c r="K3607"/>
    </row>
    <row r="3608" spans="1:11">
      <c r="A3608"/>
      <c r="B3608"/>
      <c r="C3608"/>
      <c r="D3608"/>
      <c r="E3608"/>
      <c r="F3608"/>
      <c r="G3608"/>
      <c r="H3608"/>
      <c r="I3608"/>
      <c r="J3608"/>
      <c r="K3608"/>
    </row>
    <row r="3609" spans="1:11">
      <c r="A3609"/>
      <c r="B3609"/>
      <c r="C3609"/>
      <c r="D3609"/>
      <c r="E3609"/>
      <c r="F3609"/>
      <c r="G3609"/>
      <c r="H3609"/>
      <c r="I3609"/>
      <c r="J3609"/>
      <c r="K3609"/>
    </row>
    <row r="3610" spans="1:11">
      <c r="A3610"/>
      <c r="B3610"/>
      <c r="C3610"/>
      <c r="D3610"/>
      <c r="E3610"/>
      <c r="F3610"/>
      <c r="G3610"/>
      <c r="H3610"/>
      <c r="I3610"/>
      <c r="J3610"/>
      <c r="K3610"/>
    </row>
    <row r="3611" spans="1:11">
      <c r="A3611"/>
      <c r="B3611"/>
      <c r="C3611"/>
      <c r="D3611"/>
      <c r="E3611"/>
      <c r="F3611"/>
      <c r="G3611"/>
      <c r="H3611"/>
      <c r="I3611"/>
      <c r="J3611"/>
      <c r="K3611"/>
    </row>
    <row r="3612" spans="1:11">
      <c r="A3612"/>
      <c r="B3612"/>
      <c r="C3612"/>
      <c r="D3612"/>
      <c r="E3612"/>
      <c r="F3612"/>
      <c r="G3612"/>
      <c r="H3612"/>
      <c r="I3612"/>
      <c r="J3612"/>
      <c r="K3612"/>
    </row>
    <row r="3613" spans="1:11">
      <c r="A3613"/>
      <c r="B3613"/>
      <c r="C3613"/>
      <c r="D3613"/>
      <c r="E3613"/>
      <c r="F3613"/>
      <c r="G3613"/>
      <c r="H3613"/>
      <c r="I3613"/>
      <c r="J3613"/>
      <c r="K3613"/>
    </row>
    <row r="3614" spans="1:11">
      <c r="A3614"/>
      <c r="B3614"/>
      <c r="C3614"/>
      <c r="D3614"/>
      <c r="E3614"/>
      <c r="F3614"/>
      <c r="G3614"/>
      <c r="H3614"/>
      <c r="I3614"/>
      <c r="J3614"/>
      <c r="K3614"/>
    </row>
    <row r="3615" spans="1:11">
      <c r="A3615"/>
      <c r="B3615"/>
      <c r="C3615"/>
      <c r="D3615"/>
      <c r="E3615"/>
      <c r="F3615"/>
      <c r="G3615"/>
      <c r="H3615"/>
      <c r="I3615"/>
      <c r="J3615"/>
      <c r="K3615"/>
    </row>
    <row r="3616" spans="1:11">
      <c r="A3616"/>
      <c r="B3616"/>
      <c r="C3616"/>
      <c r="D3616"/>
      <c r="E3616"/>
      <c r="F3616"/>
      <c r="G3616"/>
      <c r="H3616"/>
      <c r="I3616"/>
      <c r="J3616"/>
      <c r="K3616"/>
    </row>
    <row r="3617" spans="1:11">
      <c r="A3617"/>
      <c r="B3617"/>
      <c r="C3617"/>
      <c r="D3617"/>
      <c r="E3617"/>
      <c r="F3617"/>
      <c r="G3617"/>
      <c r="H3617"/>
      <c r="I3617"/>
      <c r="J3617"/>
      <c r="K3617"/>
    </row>
    <row r="3618" spans="1:11">
      <c r="A3618"/>
      <c r="B3618"/>
      <c r="C3618"/>
      <c r="D3618"/>
      <c r="E3618"/>
      <c r="F3618"/>
      <c r="G3618"/>
      <c r="H3618"/>
      <c r="I3618"/>
      <c r="J3618"/>
      <c r="K3618"/>
    </row>
    <row r="3619" spans="1:11">
      <c r="A3619"/>
      <c r="B3619"/>
      <c r="C3619"/>
      <c r="D3619"/>
      <c r="E3619"/>
      <c r="F3619"/>
      <c r="G3619"/>
      <c r="H3619"/>
      <c r="I3619"/>
      <c r="J3619"/>
      <c r="K3619"/>
    </row>
    <row r="3620" spans="1:11">
      <c r="A3620"/>
      <c r="B3620"/>
      <c r="C3620"/>
      <c r="D3620"/>
      <c r="E3620"/>
      <c r="F3620"/>
      <c r="G3620"/>
      <c r="H3620"/>
      <c r="I3620"/>
      <c r="J3620"/>
      <c r="K3620"/>
    </row>
    <row r="3621" spans="1:11">
      <c r="A3621"/>
      <c r="B3621"/>
      <c r="C3621"/>
      <c r="D3621"/>
      <c r="E3621"/>
      <c r="F3621"/>
      <c r="G3621"/>
      <c r="H3621"/>
      <c r="I3621"/>
      <c r="J3621"/>
      <c r="K3621"/>
    </row>
    <row r="3622" spans="1:11">
      <c r="A3622"/>
      <c r="B3622"/>
      <c r="C3622"/>
      <c r="D3622"/>
      <c r="E3622"/>
      <c r="F3622"/>
      <c r="G3622"/>
      <c r="H3622"/>
      <c r="I3622"/>
      <c r="J3622"/>
      <c r="K3622"/>
    </row>
    <row r="3623" spans="1:11">
      <c r="A3623"/>
      <c r="B3623"/>
      <c r="C3623"/>
      <c r="D3623"/>
      <c r="E3623"/>
      <c r="F3623"/>
      <c r="G3623"/>
      <c r="H3623"/>
      <c r="I3623"/>
      <c r="J3623"/>
      <c r="K3623"/>
    </row>
    <row r="3624" spans="1:11">
      <c r="A3624"/>
      <c r="B3624"/>
      <c r="C3624"/>
      <c r="D3624"/>
      <c r="E3624"/>
      <c r="F3624"/>
      <c r="G3624"/>
      <c r="H3624"/>
      <c r="I3624"/>
      <c r="J3624"/>
      <c r="K3624"/>
    </row>
    <row r="3625" spans="1:11">
      <c r="A3625"/>
      <c r="B3625"/>
      <c r="C3625"/>
      <c r="D3625"/>
      <c r="E3625"/>
      <c r="F3625"/>
      <c r="G3625"/>
      <c r="H3625"/>
      <c r="I3625"/>
      <c r="J3625"/>
      <c r="K3625"/>
    </row>
    <row r="3626" spans="1:11">
      <c r="A3626"/>
      <c r="B3626"/>
      <c r="C3626"/>
      <c r="D3626"/>
      <c r="E3626"/>
      <c r="F3626"/>
      <c r="G3626"/>
      <c r="H3626"/>
      <c r="I3626"/>
      <c r="J3626"/>
      <c r="K3626"/>
    </row>
    <row r="3627" spans="1:11">
      <c r="A3627"/>
      <c r="B3627"/>
      <c r="C3627"/>
      <c r="D3627"/>
      <c r="E3627"/>
      <c r="F3627"/>
      <c r="G3627"/>
      <c r="H3627"/>
      <c r="I3627"/>
      <c r="J3627"/>
      <c r="K3627"/>
    </row>
    <row r="3628" spans="1:11">
      <c r="A3628"/>
      <c r="B3628"/>
      <c r="C3628"/>
      <c r="D3628"/>
      <c r="E3628"/>
      <c r="F3628"/>
      <c r="G3628"/>
      <c r="H3628"/>
      <c r="I3628"/>
      <c r="J3628"/>
      <c r="K3628"/>
    </row>
    <row r="3629" spans="1:11">
      <c r="A3629"/>
      <c r="B3629"/>
      <c r="C3629"/>
      <c r="D3629"/>
      <c r="E3629"/>
      <c r="F3629"/>
      <c r="G3629"/>
      <c r="H3629"/>
      <c r="I3629"/>
      <c r="J3629"/>
      <c r="K3629"/>
    </row>
    <row r="3630" spans="1:11">
      <c r="A3630"/>
      <c r="B3630"/>
      <c r="C3630"/>
      <c r="D3630"/>
      <c r="E3630"/>
      <c r="F3630"/>
      <c r="G3630"/>
      <c r="H3630"/>
      <c r="I3630"/>
      <c r="J3630"/>
      <c r="K3630"/>
    </row>
    <row r="3631" spans="1:11">
      <c r="A3631"/>
      <c r="B3631"/>
      <c r="C3631"/>
      <c r="D3631"/>
      <c r="E3631"/>
      <c r="F3631"/>
      <c r="G3631"/>
      <c r="H3631"/>
      <c r="I3631"/>
      <c r="J3631"/>
      <c r="K3631"/>
    </row>
    <row r="3632" spans="1:11">
      <c r="A3632"/>
      <c r="B3632"/>
      <c r="C3632"/>
      <c r="D3632"/>
      <c r="E3632"/>
      <c r="F3632"/>
      <c r="G3632"/>
      <c r="H3632"/>
      <c r="I3632"/>
      <c r="J3632"/>
      <c r="K3632"/>
    </row>
    <row r="3633" spans="1:11">
      <c r="A3633"/>
      <c r="B3633"/>
      <c r="C3633"/>
      <c r="D3633"/>
      <c r="E3633"/>
      <c r="F3633"/>
      <c r="G3633"/>
      <c r="H3633"/>
      <c r="I3633"/>
      <c r="J3633"/>
      <c r="K3633"/>
    </row>
    <row r="3634" spans="1:11">
      <c r="A3634"/>
      <c r="B3634"/>
      <c r="C3634"/>
      <c r="D3634"/>
      <c r="E3634"/>
      <c r="F3634"/>
      <c r="G3634"/>
      <c r="H3634"/>
      <c r="I3634"/>
      <c r="J3634"/>
      <c r="K3634"/>
    </row>
    <row r="3635" spans="1:11">
      <c r="A3635"/>
      <c r="B3635"/>
      <c r="C3635"/>
      <c r="D3635"/>
      <c r="E3635"/>
      <c r="F3635"/>
      <c r="G3635"/>
      <c r="H3635"/>
      <c r="I3635"/>
      <c r="J3635"/>
      <c r="K3635"/>
    </row>
    <row r="3636" spans="1:11">
      <c r="A3636"/>
      <c r="B3636"/>
      <c r="C3636"/>
      <c r="D3636"/>
      <c r="E3636"/>
      <c r="F3636"/>
      <c r="G3636"/>
      <c r="H3636"/>
      <c r="I3636"/>
      <c r="J3636"/>
      <c r="K3636"/>
    </row>
    <row r="3637" spans="1:11">
      <c r="A3637"/>
      <c r="B3637"/>
      <c r="C3637"/>
      <c r="D3637"/>
      <c r="E3637"/>
      <c r="F3637"/>
      <c r="G3637"/>
      <c r="H3637"/>
      <c r="I3637"/>
      <c r="J3637"/>
      <c r="K3637"/>
    </row>
    <row r="3638" spans="1:11">
      <c r="A3638"/>
      <c r="B3638"/>
      <c r="C3638"/>
      <c r="D3638"/>
      <c r="E3638"/>
      <c r="F3638"/>
      <c r="G3638"/>
      <c r="H3638"/>
      <c r="I3638"/>
      <c r="J3638"/>
      <c r="K3638"/>
    </row>
    <row r="3639" spans="1:11">
      <c r="A3639"/>
      <c r="B3639"/>
      <c r="C3639"/>
      <c r="D3639"/>
      <c r="E3639"/>
      <c r="F3639"/>
      <c r="G3639"/>
      <c r="H3639"/>
      <c r="I3639"/>
      <c r="J3639"/>
      <c r="K3639"/>
    </row>
    <row r="3640" spans="1:11">
      <c r="A3640"/>
      <c r="B3640"/>
      <c r="C3640"/>
      <c r="D3640"/>
      <c r="E3640"/>
      <c r="F3640"/>
      <c r="G3640"/>
      <c r="H3640"/>
      <c r="I3640"/>
      <c r="J3640"/>
      <c r="K3640"/>
    </row>
    <row r="3641" spans="1:11">
      <c r="A3641"/>
      <c r="B3641"/>
      <c r="C3641"/>
      <c r="D3641"/>
      <c r="E3641"/>
      <c r="F3641"/>
      <c r="G3641"/>
      <c r="H3641"/>
      <c r="I3641"/>
      <c r="J3641"/>
      <c r="K3641"/>
    </row>
    <row r="3642" spans="1:11">
      <c r="A3642"/>
      <c r="B3642"/>
      <c r="C3642"/>
      <c r="D3642"/>
      <c r="E3642"/>
      <c r="F3642"/>
      <c r="G3642"/>
      <c r="H3642"/>
      <c r="I3642"/>
      <c r="J3642"/>
      <c r="K3642"/>
    </row>
    <row r="3643" spans="1:11">
      <c r="A3643"/>
      <c r="B3643"/>
      <c r="C3643"/>
      <c r="D3643"/>
      <c r="E3643"/>
      <c r="F3643"/>
      <c r="G3643"/>
      <c r="H3643"/>
      <c r="I3643"/>
      <c r="J3643"/>
      <c r="K3643"/>
    </row>
    <row r="3644" spans="1:11">
      <c r="A3644"/>
      <c r="B3644"/>
      <c r="C3644"/>
      <c r="D3644"/>
      <c r="E3644"/>
      <c r="F3644"/>
      <c r="G3644"/>
      <c r="H3644"/>
      <c r="I3644"/>
      <c r="J3644"/>
      <c r="K3644"/>
    </row>
    <row r="3645" spans="1:11">
      <c r="A3645"/>
      <c r="B3645"/>
      <c r="C3645"/>
      <c r="D3645"/>
      <c r="E3645"/>
      <c r="F3645"/>
      <c r="G3645"/>
      <c r="H3645"/>
      <c r="I3645"/>
      <c r="J3645"/>
      <c r="K3645"/>
    </row>
    <row r="3646" spans="1:11">
      <c r="A3646"/>
      <c r="B3646"/>
      <c r="C3646"/>
      <c r="D3646"/>
      <c r="E3646"/>
      <c r="F3646"/>
      <c r="G3646"/>
      <c r="H3646"/>
      <c r="I3646"/>
      <c r="J3646"/>
      <c r="K3646"/>
    </row>
    <row r="3647" spans="1:11">
      <c r="A3647"/>
      <c r="B3647"/>
      <c r="C3647"/>
      <c r="D3647"/>
      <c r="E3647"/>
      <c r="F3647"/>
      <c r="G3647"/>
      <c r="H3647"/>
      <c r="I3647"/>
      <c r="J3647"/>
      <c r="K3647"/>
    </row>
    <row r="3648" spans="1:11">
      <c r="A3648"/>
      <c r="B3648"/>
      <c r="C3648"/>
      <c r="D3648"/>
      <c r="E3648"/>
      <c r="F3648"/>
      <c r="G3648"/>
      <c r="H3648"/>
      <c r="I3648"/>
      <c r="J3648"/>
      <c r="K3648"/>
    </row>
    <row r="3649" spans="1:11">
      <c r="A3649"/>
      <c r="B3649"/>
      <c r="C3649"/>
      <c r="D3649"/>
      <c r="E3649"/>
      <c r="F3649"/>
      <c r="G3649"/>
      <c r="H3649"/>
      <c r="I3649"/>
      <c r="J3649"/>
      <c r="K3649"/>
    </row>
    <row r="3650" spans="1:11">
      <c r="A3650"/>
      <c r="B3650"/>
      <c r="C3650"/>
      <c r="D3650"/>
      <c r="E3650"/>
      <c r="F3650"/>
      <c r="G3650"/>
      <c r="H3650"/>
      <c r="I3650"/>
      <c r="J3650"/>
      <c r="K3650"/>
    </row>
    <row r="3651" spans="1:11">
      <c r="A3651"/>
      <c r="B3651"/>
      <c r="C3651"/>
      <c r="D3651"/>
      <c r="E3651"/>
      <c r="F3651"/>
      <c r="G3651"/>
      <c r="H3651"/>
      <c r="I3651"/>
      <c r="J3651"/>
      <c r="K3651"/>
    </row>
    <row r="3652" spans="1:11">
      <c r="A3652"/>
      <c r="B3652"/>
      <c r="C3652"/>
      <c r="D3652"/>
      <c r="E3652"/>
      <c r="F3652"/>
      <c r="G3652"/>
      <c r="H3652"/>
      <c r="I3652"/>
      <c r="J3652"/>
      <c r="K3652"/>
    </row>
    <row r="3653" spans="1:11">
      <c r="A3653"/>
      <c r="B3653"/>
      <c r="C3653"/>
      <c r="D3653"/>
      <c r="E3653"/>
      <c r="F3653"/>
      <c r="G3653"/>
      <c r="H3653"/>
      <c r="I3653"/>
      <c r="J3653"/>
      <c r="K3653"/>
    </row>
    <row r="3654" spans="1:11">
      <c r="A3654"/>
      <c r="B3654"/>
      <c r="C3654"/>
      <c r="D3654"/>
      <c r="E3654"/>
      <c r="F3654"/>
      <c r="G3654"/>
      <c r="H3654"/>
      <c r="I3654"/>
      <c r="J3654"/>
      <c r="K3654"/>
    </row>
    <row r="3655" spans="1:11">
      <c r="A3655"/>
      <c r="B3655"/>
      <c r="C3655"/>
      <c r="D3655"/>
      <c r="E3655"/>
      <c r="F3655"/>
      <c r="G3655"/>
      <c r="H3655"/>
      <c r="I3655"/>
      <c r="J3655"/>
      <c r="K3655"/>
    </row>
    <row r="3656" spans="1:11">
      <c r="A3656"/>
      <c r="B3656"/>
      <c r="C3656"/>
      <c r="D3656"/>
      <c r="E3656"/>
      <c r="F3656"/>
      <c r="G3656"/>
      <c r="H3656"/>
      <c r="I3656"/>
      <c r="J3656"/>
      <c r="K3656"/>
    </row>
    <row r="3657" spans="1:11">
      <c r="A3657"/>
      <c r="B3657"/>
      <c r="C3657"/>
      <c r="D3657"/>
      <c r="E3657"/>
      <c r="F3657"/>
      <c r="G3657"/>
      <c r="H3657"/>
      <c r="I3657"/>
      <c r="J3657"/>
      <c r="K3657"/>
    </row>
    <row r="3658" spans="1:11">
      <c r="A3658"/>
      <c r="B3658"/>
      <c r="C3658"/>
      <c r="D3658"/>
      <c r="E3658"/>
      <c r="F3658"/>
      <c r="G3658"/>
      <c r="H3658"/>
      <c r="I3658"/>
      <c r="J3658"/>
      <c r="K3658"/>
    </row>
    <row r="3659" spans="1:11">
      <c r="A3659"/>
      <c r="B3659"/>
      <c r="C3659"/>
      <c r="D3659"/>
      <c r="E3659"/>
      <c r="F3659"/>
      <c r="G3659"/>
      <c r="H3659"/>
      <c r="I3659"/>
      <c r="J3659"/>
      <c r="K3659"/>
    </row>
    <row r="3660" spans="1:11">
      <c r="A3660"/>
      <c r="B3660"/>
      <c r="C3660"/>
      <c r="D3660"/>
      <c r="E3660"/>
      <c r="F3660"/>
      <c r="G3660"/>
      <c r="H3660"/>
      <c r="I3660"/>
      <c r="J3660"/>
      <c r="K3660"/>
    </row>
    <row r="3661" spans="1:11">
      <c r="A3661"/>
      <c r="B3661"/>
      <c r="C3661"/>
      <c r="D3661"/>
      <c r="E3661"/>
      <c r="F3661"/>
      <c r="G3661"/>
      <c r="H3661"/>
      <c r="I3661"/>
      <c r="J3661"/>
      <c r="K3661"/>
    </row>
    <row r="3662" spans="1:11">
      <c r="A3662"/>
      <c r="B3662"/>
      <c r="C3662"/>
      <c r="D3662"/>
      <c r="E3662"/>
      <c r="F3662"/>
      <c r="G3662"/>
      <c r="H3662"/>
      <c r="I3662"/>
      <c r="J3662"/>
      <c r="K3662"/>
    </row>
    <row r="3663" spans="1:11">
      <c r="A3663"/>
      <c r="B3663"/>
      <c r="C3663"/>
      <c r="D3663"/>
      <c r="E3663"/>
      <c r="F3663"/>
      <c r="G3663"/>
      <c r="H3663"/>
      <c r="I3663"/>
      <c r="J3663"/>
      <c r="K3663"/>
    </row>
    <row r="3664" spans="1:11">
      <c r="A3664"/>
      <c r="B3664"/>
      <c r="C3664"/>
      <c r="D3664"/>
      <c r="E3664"/>
      <c r="F3664"/>
      <c r="G3664"/>
      <c r="H3664"/>
      <c r="I3664"/>
      <c r="J3664"/>
      <c r="K3664"/>
    </row>
    <row r="3665" spans="1:11">
      <c r="A3665"/>
      <c r="B3665"/>
      <c r="C3665"/>
      <c r="D3665"/>
      <c r="E3665"/>
      <c r="F3665"/>
      <c r="G3665"/>
      <c r="H3665"/>
      <c r="I3665"/>
      <c r="J3665"/>
      <c r="K3665"/>
    </row>
    <row r="3666" spans="1:11">
      <c r="A3666"/>
      <c r="B3666"/>
      <c r="C3666"/>
      <c r="D3666"/>
      <c r="E3666"/>
      <c r="F3666"/>
      <c r="G3666"/>
      <c r="H3666"/>
      <c r="I3666"/>
      <c r="J3666"/>
      <c r="K3666"/>
    </row>
    <row r="3667" spans="1:11">
      <c r="A3667"/>
      <c r="B3667"/>
      <c r="C3667"/>
      <c r="D3667"/>
      <c r="E3667"/>
      <c r="F3667"/>
      <c r="G3667"/>
      <c r="H3667"/>
      <c r="I3667"/>
      <c r="J3667"/>
      <c r="K3667"/>
    </row>
    <row r="3668" spans="1:11">
      <c r="A3668"/>
      <c r="B3668"/>
      <c r="C3668"/>
      <c r="D3668"/>
      <c r="E3668"/>
      <c r="F3668"/>
      <c r="G3668"/>
      <c r="H3668"/>
      <c r="I3668"/>
      <c r="J3668"/>
      <c r="K3668"/>
    </row>
    <row r="3669" spans="1:11">
      <c r="A3669"/>
      <c r="B3669"/>
      <c r="C3669"/>
      <c r="D3669"/>
      <c r="E3669"/>
      <c r="F3669"/>
      <c r="G3669"/>
      <c r="H3669"/>
      <c r="I3669"/>
      <c r="J3669"/>
      <c r="K3669"/>
    </row>
    <row r="3670" spans="1:11">
      <c r="A3670"/>
      <c r="B3670"/>
      <c r="C3670"/>
      <c r="D3670"/>
      <c r="E3670"/>
      <c r="F3670"/>
      <c r="G3670"/>
      <c r="H3670"/>
      <c r="I3670"/>
      <c r="J3670"/>
      <c r="K3670"/>
    </row>
    <row r="3671" spans="1:11">
      <c r="A3671"/>
      <c r="B3671"/>
      <c r="C3671"/>
      <c r="D3671"/>
      <c r="E3671"/>
      <c r="F3671"/>
      <c r="G3671"/>
      <c r="H3671"/>
      <c r="I3671"/>
      <c r="J3671"/>
      <c r="K3671"/>
    </row>
    <row r="3672" spans="1:11">
      <c r="A3672"/>
      <c r="B3672"/>
      <c r="C3672"/>
      <c r="D3672"/>
      <c r="E3672"/>
      <c r="F3672"/>
      <c r="G3672"/>
      <c r="H3672"/>
      <c r="I3672"/>
      <c r="J3672"/>
      <c r="K3672"/>
    </row>
    <row r="3673" spans="1:11">
      <c r="A3673"/>
      <c r="B3673"/>
      <c r="C3673"/>
      <c r="D3673"/>
      <c r="E3673"/>
      <c r="F3673"/>
      <c r="G3673"/>
      <c r="H3673"/>
      <c r="I3673"/>
      <c r="J3673"/>
      <c r="K3673"/>
    </row>
    <row r="3674" spans="1:11">
      <c r="A3674"/>
      <c r="B3674"/>
      <c r="C3674"/>
      <c r="D3674"/>
      <c r="E3674"/>
      <c r="F3674"/>
      <c r="G3674"/>
      <c r="H3674"/>
      <c r="I3674"/>
      <c r="J3674"/>
      <c r="K3674"/>
    </row>
    <row r="3675" spans="1:11">
      <c r="A3675"/>
      <c r="B3675"/>
      <c r="C3675"/>
      <c r="D3675"/>
      <c r="E3675"/>
      <c r="F3675"/>
      <c r="G3675"/>
      <c r="H3675"/>
      <c r="I3675"/>
      <c r="J3675"/>
      <c r="K3675"/>
    </row>
    <row r="3676" spans="1:11">
      <c r="A3676"/>
      <c r="B3676"/>
      <c r="C3676"/>
      <c r="D3676"/>
      <c r="E3676"/>
      <c r="F3676"/>
      <c r="G3676"/>
      <c r="H3676"/>
      <c r="I3676"/>
      <c r="J3676"/>
      <c r="K3676"/>
    </row>
    <row r="3677" spans="1:11">
      <c r="A3677"/>
      <c r="B3677"/>
      <c r="C3677"/>
      <c r="D3677"/>
      <c r="E3677"/>
      <c r="F3677"/>
      <c r="G3677"/>
      <c r="H3677"/>
      <c r="I3677"/>
      <c r="J3677"/>
      <c r="K3677"/>
    </row>
    <row r="3678" spans="1:11">
      <c r="A3678"/>
      <c r="B3678"/>
      <c r="C3678"/>
      <c r="D3678"/>
      <c r="E3678"/>
      <c r="F3678"/>
      <c r="G3678"/>
      <c r="H3678"/>
      <c r="I3678"/>
      <c r="J3678"/>
      <c r="K3678"/>
    </row>
    <row r="3679" spans="1:11">
      <c r="A3679"/>
      <c r="B3679"/>
      <c r="C3679"/>
      <c r="D3679"/>
      <c r="E3679"/>
      <c r="F3679"/>
      <c r="G3679"/>
      <c r="H3679"/>
      <c r="I3679"/>
      <c r="J3679"/>
      <c r="K3679"/>
    </row>
    <row r="3680" spans="1:11">
      <c r="A3680"/>
      <c r="B3680"/>
      <c r="C3680"/>
      <c r="D3680"/>
      <c r="E3680"/>
      <c r="F3680"/>
      <c r="G3680"/>
      <c r="H3680"/>
      <c r="I3680"/>
      <c r="J3680"/>
      <c r="K3680"/>
    </row>
    <row r="3681" spans="1:11">
      <c r="A3681"/>
      <c r="B3681"/>
      <c r="C3681"/>
      <c r="D3681"/>
      <c r="E3681"/>
      <c r="F3681"/>
      <c r="G3681"/>
      <c r="H3681"/>
      <c r="I3681"/>
      <c r="J3681"/>
      <c r="K3681"/>
    </row>
    <row r="3682" spans="1:11">
      <c r="A3682"/>
      <c r="B3682"/>
      <c r="C3682"/>
      <c r="D3682"/>
      <c r="E3682"/>
      <c r="F3682"/>
      <c r="G3682"/>
      <c r="H3682"/>
      <c r="I3682"/>
      <c r="J3682"/>
      <c r="K3682"/>
    </row>
    <row r="3683" spans="1:11">
      <c r="A3683"/>
      <c r="B3683"/>
      <c r="C3683"/>
      <c r="D3683"/>
      <c r="E3683"/>
      <c r="F3683"/>
      <c r="G3683"/>
      <c r="H3683"/>
      <c r="I3683"/>
      <c r="J3683"/>
      <c r="K3683"/>
    </row>
    <row r="3684" spans="1:11">
      <c r="A3684"/>
      <c r="B3684"/>
      <c r="C3684"/>
      <c r="D3684"/>
      <c r="E3684"/>
      <c r="F3684"/>
      <c r="G3684"/>
      <c r="H3684"/>
      <c r="I3684"/>
      <c r="J3684"/>
      <c r="K3684"/>
    </row>
    <row r="3685" spans="1:11">
      <c r="A3685"/>
      <c r="B3685"/>
      <c r="C3685"/>
      <c r="D3685"/>
      <c r="E3685"/>
      <c r="F3685"/>
      <c r="G3685"/>
      <c r="H3685"/>
      <c r="I3685"/>
      <c r="J3685"/>
      <c r="K3685"/>
    </row>
    <row r="3686" spans="1:11">
      <c r="A3686"/>
      <c r="B3686"/>
      <c r="C3686"/>
      <c r="D3686"/>
      <c r="E3686"/>
      <c r="F3686"/>
      <c r="G3686"/>
      <c r="H3686"/>
      <c r="I3686"/>
      <c r="J3686"/>
      <c r="K3686"/>
    </row>
    <row r="3687" spans="1:11">
      <c r="A3687"/>
      <c r="B3687"/>
      <c r="C3687"/>
      <c r="D3687"/>
      <c r="E3687"/>
      <c r="F3687"/>
      <c r="G3687"/>
      <c r="H3687"/>
      <c r="I3687"/>
      <c r="J3687"/>
      <c r="K3687"/>
    </row>
    <row r="3688" spans="1:11">
      <c r="A3688"/>
      <c r="B3688"/>
      <c r="C3688"/>
      <c r="D3688"/>
      <c r="E3688"/>
      <c r="F3688"/>
      <c r="G3688"/>
      <c r="H3688"/>
      <c r="I3688"/>
      <c r="J3688"/>
      <c r="K3688"/>
    </row>
    <row r="3689" spans="1:11">
      <c r="A3689"/>
      <c r="B3689"/>
      <c r="C3689"/>
      <c r="D3689"/>
      <c r="E3689"/>
      <c r="F3689"/>
      <c r="G3689"/>
      <c r="H3689"/>
      <c r="I3689"/>
      <c r="J3689"/>
      <c r="K3689"/>
    </row>
    <row r="3690" spans="1:11">
      <c r="A3690"/>
      <c r="B3690"/>
      <c r="C3690"/>
      <c r="D3690"/>
      <c r="E3690"/>
      <c r="F3690"/>
      <c r="G3690"/>
      <c r="H3690"/>
      <c r="I3690"/>
      <c r="J3690"/>
      <c r="K3690"/>
    </row>
    <row r="3691" spans="1:11">
      <c r="A3691"/>
      <c r="B3691"/>
      <c r="C3691"/>
      <c r="D3691"/>
      <c r="E3691"/>
      <c r="F3691"/>
      <c r="G3691"/>
      <c r="H3691"/>
      <c r="I3691"/>
      <c r="J3691"/>
      <c r="K3691"/>
    </row>
    <row r="3692" spans="1:11">
      <c r="A3692"/>
      <c r="B3692"/>
      <c r="C3692"/>
      <c r="D3692"/>
      <c r="E3692"/>
      <c r="F3692"/>
      <c r="G3692"/>
      <c r="H3692"/>
      <c r="I3692"/>
      <c r="J3692"/>
      <c r="K3692"/>
    </row>
    <row r="3693" spans="1:11">
      <c r="A3693"/>
      <c r="B3693"/>
      <c r="C3693"/>
      <c r="D3693"/>
      <c r="E3693"/>
      <c r="F3693"/>
      <c r="G3693"/>
      <c r="H3693"/>
      <c r="I3693"/>
      <c r="J3693"/>
      <c r="K3693"/>
    </row>
    <row r="3694" spans="1:11">
      <c r="A3694"/>
      <c r="B3694"/>
      <c r="C3694"/>
      <c r="D3694"/>
      <c r="E3694"/>
      <c r="F3694"/>
      <c r="G3694"/>
      <c r="H3694"/>
      <c r="I3694"/>
      <c r="J3694"/>
      <c r="K3694"/>
    </row>
    <row r="3695" spans="1:11">
      <c r="A3695"/>
      <c r="B3695"/>
      <c r="C3695"/>
      <c r="D3695"/>
      <c r="E3695"/>
      <c r="F3695"/>
      <c r="G3695"/>
      <c r="H3695"/>
      <c r="I3695"/>
      <c r="J3695"/>
      <c r="K3695"/>
    </row>
    <row r="3696" spans="1:11">
      <c r="A3696"/>
      <c r="B3696"/>
      <c r="C3696"/>
      <c r="D3696"/>
      <c r="E3696"/>
      <c r="F3696"/>
      <c r="G3696"/>
      <c r="H3696"/>
      <c r="I3696"/>
      <c r="J3696"/>
      <c r="K3696"/>
    </row>
    <row r="3697" spans="1:11">
      <c r="A3697"/>
      <c r="B3697"/>
      <c r="C3697"/>
      <c r="D3697"/>
      <c r="E3697"/>
      <c r="F3697"/>
      <c r="G3697"/>
      <c r="H3697"/>
      <c r="I3697"/>
      <c r="J3697"/>
      <c r="K3697"/>
    </row>
    <row r="3698" spans="1:11">
      <c r="A3698"/>
      <c r="B3698"/>
      <c r="C3698"/>
      <c r="D3698"/>
      <c r="E3698"/>
      <c r="F3698"/>
      <c r="G3698"/>
      <c r="H3698"/>
      <c r="I3698"/>
      <c r="J3698"/>
      <c r="K3698"/>
    </row>
    <row r="3699" spans="1:11">
      <c r="A3699"/>
      <c r="B3699"/>
      <c r="C3699"/>
      <c r="D3699"/>
      <c r="E3699"/>
      <c r="F3699"/>
      <c r="G3699"/>
      <c r="H3699"/>
      <c r="I3699"/>
      <c r="J3699"/>
      <c r="K3699"/>
    </row>
    <row r="3700" spans="1:11">
      <c r="A3700"/>
      <c r="B3700"/>
      <c r="C3700"/>
      <c r="D3700"/>
      <c r="E3700"/>
      <c r="F3700"/>
      <c r="G3700"/>
      <c r="H3700"/>
      <c r="I3700"/>
      <c r="J3700"/>
      <c r="K3700"/>
    </row>
    <row r="3701" spans="1:11">
      <c r="A3701"/>
      <c r="B3701"/>
      <c r="C3701"/>
      <c r="D3701"/>
      <c r="E3701"/>
      <c r="F3701"/>
      <c r="G3701"/>
      <c r="H3701"/>
      <c r="I3701"/>
      <c r="J3701"/>
      <c r="K3701"/>
    </row>
    <row r="3702" spans="1:11">
      <c r="A3702"/>
      <c r="B3702"/>
      <c r="C3702"/>
      <c r="D3702"/>
      <c r="E3702"/>
      <c r="F3702"/>
      <c r="G3702"/>
      <c r="H3702"/>
      <c r="I3702"/>
      <c r="J3702"/>
      <c r="K3702"/>
    </row>
    <row r="3703" spans="1:11">
      <c r="A3703"/>
      <c r="B3703"/>
      <c r="C3703"/>
      <c r="D3703"/>
      <c r="E3703"/>
      <c r="F3703"/>
      <c r="G3703"/>
      <c r="H3703"/>
      <c r="I3703"/>
      <c r="J3703"/>
      <c r="K3703"/>
    </row>
    <row r="3704" spans="1:11">
      <c r="A3704"/>
      <c r="B3704"/>
      <c r="C3704"/>
      <c r="D3704"/>
      <c r="E3704"/>
      <c r="F3704"/>
      <c r="G3704"/>
      <c r="H3704"/>
      <c r="I3704"/>
      <c r="J3704"/>
      <c r="K3704"/>
    </row>
    <row r="3705" spans="1:11">
      <c r="A3705"/>
      <c r="B3705"/>
      <c r="C3705"/>
      <c r="D3705"/>
      <c r="E3705"/>
      <c r="F3705"/>
      <c r="G3705"/>
      <c r="H3705"/>
      <c r="I3705"/>
      <c r="J3705"/>
      <c r="K3705"/>
    </row>
    <row r="3706" spans="1:11">
      <c r="A3706"/>
      <c r="B3706"/>
      <c r="C3706"/>
      <c r="D3706"/>
      <c r="E3706"/>
      <c r="F3706"/>
      <c r="G3706"/>
      <c r="H3706"/>
      <c r="I3706"/>
      <c r="J3706"/>
      <c r="K3706"/>
    </row>
    <row r="3707" spans="1:11">
      <c r="A3707"/>
      <c r="B3707"/>
      <c r="C3707"/>
      <c r="D3707"/>
      <c r="E3707"/>
      <c r="F3707"/>
      <c r="G3707"/>
      <c r="H3707"/>
      <c r="I3707"/>
      <c r="J3707"/>
      <c r="K3707"/>
    </row>
    <row r="3708" spans="1:11">
      <c r="A3708"/>
      <c r="B3708"/>
      <c r="C3708"/>
      <c r="D3708"/>
      <c r="E3708"/>
      <c r="F3708"/>
      <c r="G3708"/>
      <c r="H3708"/>
      <c r="I3708"/>
      <c r="J3708"/>
      <c r="K3708"/>
    </row>
    <row r="3709" spans="1:11">
      <c r="A3709"/>
      <c r="B3709"/>
      <c r="C3709"/>
      <c r="D3709"/>
      <c r="E3709"/>
      <c r="F3709"/>
      <c r="G3709"/>
      <c r="H3709"/>
      <c r="I3709"/>
      <c r="J3709"/>
      <c r="K3709"/>
    </row>
    <row r="3710" spans="1:11">
      <c r="A3710"/>
      <c r="B3710"/>
      <c r="C3710"/>
      <c r="D3710"/>
      <c r="E3710"/>
      <c r="F3710"/>
      <c r="G3710"/>
      <c r="H3710"/>
      <c r="I3710"/>
      <c r="J3710"/>
      <c r="K3710"/>
    </row>
    <row r="3711" spans="1:11">
      <c r="A3711"/>
      <c r="B3711"/>
      <c r="C3711"/>
      <c r="D3711"/>
      <c r="E3711"/>
      <c r="F3711"/>
      <c r="G3711"/>
      <c r="H3711"/>
      <c r="I3711"/>
      <c r="J3711"/>
      <c r="K3711"/>
    </row>
    <row r="3712" spans="1:11">
      <c r="A3712"/>
      <c r="B3712"/>
      <c r="C3712"/>
      <c r="D3712"/>
      <c r="E3712"/>
      <c r="F3712"/>
      <c r="G3712"/>
      <c r="H3712"/>
      <c r="I3712"/>
      <c r="J3712"/>
      <c r="K3712"/>
    </row>
    <row r="3713" spans="1:11">
      <c r="A3713"/>
      <c r="B3713"/>
      <c r="C3713"/>
      <c r="D3713"/>
      <c r="E3713"/>
      <c r="F3713"/>
      <c r="G3713"/>
      <c r="H3713"/>
      <c r="I3713"/>
      <c r="J3713"/>
      <c r="K3713"/>
    </row>
    <row r="3714" spans="1:11">
      <c r="A3714"/>
      <c r="B3714"/>
      <c r="C3714"/>
      <c r="D3714"/>
      <c r="E3714"/>
      <c r="F3714"/>
      <c r="G3714"/>
      <c r="H3714"/>
      <c r="I3714"/>
      <c r="J3714"/>
      <c r="K3714"/>
    </row>
    <row r="3715" spans="1:11">
      <c r="A3715"/>
      <c r="B3715"/>
      <c r="C3715"/>
      <c r="D3715"/>
      <c r="E3715"/>
      <c r="F3715"/>
      <c r="G3715"/>
      <c r="H3715"/>
      <c r="I3715"/>
      <c r="J3715"/>
      <c r="K3715"/>
    </row>
    <row r="3716" spans="1:11">
      <c r="A3716"/>
      <c r="B3716"/>
      <c r="C3716"/>
      <c r="D3716"/>
      <c r="E3716"/>
      <c r="F3716"/>
      <c r="G3716"/>
      <c r="H3716"/>
      <c r="I3716"/>
      <c r="J3716"/>
      <c r="K3716"/>
    </row>
    <row r="3717" spans="1:11">
      <c r="A3717"/>
      <c r="B3717"/>
      <c r="C3717"/>
      <c r="D3717"/>
      <c r="E3717"/>
      <c r="F3717"/>
      <c r="G3717"/>
      <c r="H3717"/>
      <c r="I3717"/>
      <c r="J3717"/>
      <c r="K3717"/>
    </row>
    <row r="3718" spans="1:11">
      <c r="A3718"/>
      <c r="B3718"/>
      <c r="C3718"/>
      <c r="D3718"/>
      <c r="E3718"/>
      <c r="F3718"/>
      <c r="G3718"/>
      <c r="H3718"/>
      <c r="I3718"/>
      <c r="J3718"/>
      <c r="K3718"/>
    </row>
    <row r="3719" spans="1:11">
      <c r="A3719"/>
      <c r="B3719"/>
      <c r="C3719"/>
      <c r="D3719"/>
      <c r="E3719"/>
      <c r="F3719"/>
      <c r="G3719"/>
      <c r="H3719"/>
      <c r="I3719"/>
      <c r="J3719"/>
      <c r="K3719"/>
    </row>
    <row r="3720" spans="1:11">
      <c r="A3720"/>
      <c r="B3720"/>
      <c r="C3720"/>
      <c r="D3720"/>
      <c r="E3720"/>
      <c r="F3720"/>
      <c r="G3720"/>
      <c r="H3720"/>
      <c r="I3720"/>
      <c r="J3720"/>
      <c r="K3720"/>
    </row>
    <row r="3721" spans="1:11">
      <c r="A3721"/>
      <c r="B3721"/>
      <c r="C3721"/>
      <c r="D3721"/>
      <c r="E3721"/>
      <c r="F3721"/>
      <c r="G3721"/>
      <c r="H3721"/>
      <c r="I3721"/>
      <c r="J3721"/>
      <c r="K3721"/>
    </row>
    <row r="3722" spans="1:11">
      <c r="A3722"/>
      <c r="B3722"/>
      <c r="C3722"/>
      <c r="D3722"/>
      <c r="E3722"/>
      <c r="F3722"/>
      <c r="G3722"/>
      <c r="H3722"/>
      <c r="I3722"/>
      <c r="J3722"/>
      <c r="K3722"/>
    </row>
    <row r="3723" spans="1:11">
      <c r="A3723"/>
      <c r="B3723"/>
      <c r="C3723"/>
      <c r="D3723"/>
      <c r="E3723"/>
      <c r="F3723"/>
      <c r="G3723"/>
      <c r="H3723"/>
      <c r="I3723"/>
      <c r="J3723"/>
      <c r="K3723"/>
    </row>
    <row r="3724" spans="1:11">
      <c r="A3724"/>
      <c r="B3724"/>
      <c r="C3724"/>
      <c r="D3724"/>
      <c r="E3724"/>
      <c r="F3724"/>
      <c r="G3724"/>
      <c r="H3724"/>
      <c r="I3724"/>
      <c r="J3724"/>
      <c r="K3724"/>
    </row>
    <row r="3725" spans="1:11">
      <c r="A3725"/>
      <c r="B3725"/>
      <c r="C3725"/>
      <c r="D3725"/>
      <c r="E3725"/>
      <c r="F3725"/>
      <c r="G3725"/>
      <c r="H3725"/>
      <c r="I3725"/>
      <c r="J3725"/>
      <c r="K3725"/>
    </row>
    <row r="3726" spans="1:11">
      <c r="A3726"/>
      <c r="B3726"/>
      <c r="C3726"/>
      <c r="D3726"/>
      <c r="E3726"/>
      <c r="F3726"/>
      <c r="G3726"/>
      <c r="H3726"/>
      <c r="I3726"/>
      <c r="J3726"/>
      <c r="K3726"/>
    </row>
    <row r="3727" spans="1:11">
      <c r="A3727"/>
      <c r="B3727"/>
      <c r="C3727"/>
      <c r="D3727"/>
      <c r="E3727"/>
      <c r="F3727"/>
      <c r="G3727"/>
      <c r="H3727"/>
      <c r="I3727"/>
      <c r="J3727"/>
      <c r="K3727"/>
    </row>
    <row r="3728" spans="1:11">
      <c r="A3728"/>
      <c r="B3728"/>
      <c r="C3728"/>
      <c r="D3728"/>
      <c r="E3728"/>
      <c r="F3728"/>
      <c r="G3728"/>
      <c r="H3728"/>
      <c r="I3728"/>
      <c r="J3728"/>
      <c r="K3728"/>
    </row>
    <row r="3729" spans="1:11">
      <c r="A3729"/>
      <c r="B3729"/>
      <c r="C3729"/>
      <c r="D3729"/>
      <c r="E3729"/>
      <c r="F3729"/>
      <c r="G3729"/>
      <c r="H3729"/>
      <c r="I3729"/>
      <c r="J3729"/>
      <c r="K3729"/>
    </row>
    <row r="3730" spans="1:11">
      <c r="A3730"/>
      <c r="B3730"/>
      <c r="C3730"/>
      <c r="D3730"/>
      <c r="E3730"/>
      <c r="F3730"/>
      <c r="G3730"/>
      <c r="H3730"/>
      <c r="I3730"/>
      <c r="J3730"/>
      <c r="K3730"/>
    </row>
    <row r="3731" spans="1:11">
      <c r="A3731"/>
      <c r="B3731"/>
      <c r="C3731"/>
      <c r="D3731"/>
      <c r="E3731"/>
      <c r="F3731"/>
      <c r="G3731"/>
      <c r="H3731"/>
      <c r="I3731"/>
      <c r="J3731"/>
      <c r="K3731"/>
    </row>
    <row r="3732" spans="1:11">
      <c r="A3732"/>
      <c r="B3732"/>
      <c r="C3732"/>
      <c r="D3732"/>
      <c r="E3732"/>
      <c r="F3732"/>
      <c r="G3732"/>
      <c r="H3732"/>
      <c r="I3732"/>
      <c r="J3732"/>
      <c r="K3732"/>
    </row>
    <row r="3733" spans="1:11">
      <c r="A3733"/>
      <c r="B3733"/>
      <c r="C3733"/>
      <c r="D3733"/>
      <c r="E3733"/>
      <c r="F3733"/>
      <c r="G3733"/>
      <c r="H3733"/>
      <c r="I3733"/>
      <c r="J3733"/>
      <c r="K3733"/>
    </row>
    <row r="3734" spans="1:11">
      <c r="A3734"/>
      <c r="B3734"/>
      <c r="C3734"/>
      <c r="D3734"/>
      <c r="E3734"/>
      <c r="F3734"/>
      <c r="G3734"/>
      <c r="H3734"/>
      <c r="I3734"/>
      <c r="J3734"/>
      <c r="K3734"/>
    </row>
    <row r="3735" spans="1:11">
      <c r="A3735"/>
      <c r="B3735"/>
      <c r="C3735"/>
      <c r="D3735"/>
      <c r="E3735"/>
      <c r="F3735"/>
      <c r="G3735"/>
      <c r="H3735"/>
      <c r="I3735"/>
      <c r="J3735"/>
      <c r="K3735"/>
    </row>
    <row r="3736" spans="1:11">
      <c r="A3736"/>
      <c r="B3736"/>
      <c r="C3736"/>
      <c r="D3736"/>
      <c r="E3736"/>
      <c r="F3736"/>
      <c r="G3736"/>
      <c r="H3736"/>
      <c r="I3736"/>
      <c r="J3736"/>
      <c r="K3736"/>
    </row>
    <row r="3737" spans="1:11">
      <c r="A3737"/>
      <c r="B3737"/>
      <c r="C3737"/>
      <c r="D3737"/>
      <c r="E3737"/>
      <c r="F3737"/>
      <c r="G3737"/>
      <c r="H3737"/>
      <c r="I3737"/>
      <c r="J3737"/>
      <c r="K3737"/>
    </row>
    <row r="3738" spans="1:11">
      <c r="A3738"/>
      <c r="B3738"/>
      <c r="C3738"/>
      <c r="D3738"/>
      <c r="E3738"/>
      <c r="F3738"/>
      <c r="G3738"/>
      <c r="H3738"/>
      <c r="I3738"/>
      <c r="J3738"/>
      <c r="K3738"/>
    </row>
    <row r="3739" spans="1:11">
      <c r="A3739"/>
      <c r="B3739"/>
      <c r="C3739"/>
      <c r="D3739"/>
      <c r="E3739"/>
      <c r="F3739"/>
      <c r="G3739"/>
      <c r="H3739"/>
      <c r="I3739"/>
      <c r="J3739"/>
      <c r="K3739"/>
    </row>
    <row r="3740" spans="1:11">
      <c r="A3740"/>
      <c r="B3740"/>
      <c r="C3740"/>
      <c r="D3740"/>
      <c r="E3740"/>
      <c r="F3740"/>
      <c r="G3740"/>
      <c r="H3740"/>
      <c r="I3740"/>
      <c r="J3740"/>
      <c r="K3740"/>
    </row>
    <row r="3741" spans="1:11">
      <c r="A3741"/>
      <c r="B3741"/>
      <c r="C3741"/>
      <c r="D3741"/>
      <c r="E3741"/>
      <c r="F3741"/>
      <c r="G3741"/>
      <c r="H3741"/>
      <c r="I3741"/>
      <c r="J3741"/>
      <c r="K3741"/>
    </row>
    <row r="3742" spans="1:11">
      <c r="A3742"/>
      <c r="B3742"/>
      <c r="C3742"/>
      <c r="D3742"/>
      <c r="E3742"/>
      <c r="F3742"/>
      <c r="G3742"/>
      <c r="H3742"/>
      <c r="I3742"/>
      <c r="J3742"/>
      <c r="K3742"/>
    </row>
    <row r="3743" spans="1:11">
      <c r="A3743"/>
      <c r="B3743"/>
      <c r="C3743"/>
      <c r="D3743"/>
      <c r="E3743"/>
      <c r="F3743"/>
      <c r="G3743"/>
      <c r="H3743"/>
      <c r="I3743"/>
      <c r="J3743"/>
      <c r="K3743"/>
    </row>
    <row r="3744" spans="1:11">
      <c r="A3744"/>
      <c r="B3744"/>
      <c r="C3744"/>
      <c r="D3744"/>
      <c r="E3744"/>
      <c r="F3744"/>
      <c r="G3744"/>
      <c r="H3744"/>
      <c r="I3744"/>
      <c r="J3744"/>
      <c r="K3744"/>
    </row>
    <row r="3745" spans="1:11">
      <c r="A3745"/>
      <c r="B3745"/>
      <c r="C3745"/>
      <c r="D3745"/>
      <c r="E3745"/>
      <c r="F3745"/>
      <c r="G3745"/>
      <c r="H3745"/>
      <c r="I3745"/>
      <c r="J3745"/>
      <c r="K3745"/>
    </row>
    <row r="3746" spans="1:11">
      <c r="A3746"/>
      <c r="B3746"/>
      <c r="C3746"/>
      <c r="D3746"/>
      <c r="E3746"/>
      <c r="F3746"/>
      <c r="G3746"/>
      <c r="H3746"/>
      <c r="I3746"/>
      <c r="J3746"/>
      <c r="K3746"/>
    </row>
    <row r="3747" spans="1:11">
      <c r="A3747"/>
      <c r="B3747"/>
      <c r="C3747"/>
      <c r="D3747"/>
      <c r="E3747"/>
      <c r="F3747"/>
      <c r="G3747"/>
      <c r="H3747"/>
      <c r="I3747"/>
      <c r="J3747"/>
      <c r="K3747"/>
    </row>
    <row r="3748" spans="1:11">
      <c r="A3748"/>
      <c r="B3748"/>
      <c r="C3748"/>
      <c r="D3748"/>
      <c r="E3748"/>
      <c r="F3748"/>
      <c r="G3748"/>
      <c r="H3748"/>
      <c r="I3748"/>
      <c r="J3748"/>
      <c r="K3748"/>
    </row>
    <row r="3749" spans="1:11">
      <c r="A3749"/>
      <c r="B3749"/>
      <c r="C3749"/>
      <c r="D3749"/>
      <c r="E3749"/>
      <c r="F3749"/>
      <c r="G3749"/>
      <c r="H3749"/>
      <c r="I3749"/>
      <c r="J3749"/>
      <c r="K3749"/>
    </row>
    <row r="3750" spans="1:11">
      <c r="A3750"/>
      <c r="B3750"/>
      <c r="C3750"/>
      <c r="D3750"/>
      <c r="E3750"/>
      <c r="F3750"/>
      <c r="G3750"/>
      <c r="H3750"/>
      <c r="I3750"/>
      <c r="J3750"/>
      <c r="K3750"/>
    </row>
    <row r="3751" spans="1:11">
      <c r="A3751"/>
      <c r="B3751"/>
      <c r="C3751"/>
      <c r="D3751"/>
      <c r="E3751"/>
      <c r="F3751"/>
      <c r="G3751"/>
      <c r="H3751"/>
      <c r="I3751"/>
      <c r="J3751"/>
      <c r="K3751"/>
    </row>
    <row r="3752" spans="1:11">
      <c r="A3752"/>
      <c r="B3752"/>
      <c r="C3752"/>
      <c r="D3752"/>
      <c r="E3752"/>
      <c r="F3752"/>
      <c r="G3752"/>
      <c r="H3752"/>
      <c r="I3752"/>
      <c r="J3752"/>
      <c r="K3752"/>
    </row>
    <row r="3753" spans="1:11">
      <c r="A3753"/>
      <c r="B3753"/>
      <c r="C3753"/>
      <c r="D3753"/>
      <c r="E3753"/>
      <c r="F3753"/>
      <c r="G3753"/>
      <c r="H3753"/>
      <c r="I3753"/>
      <c r="J3753"/>
      <c r="K3753"/>
    </row>
    <row r="3754" spans="1:11">
      <c r="A3754"/>
      <c r="B3754"/>
      <c r="C3754"/>
      <c r="D3754"/>
      <c r="E3754"/>
      <c r="F3754"/>
      <c r="G3754"/>
      <c r="H3754"/>
      <c r="I3754"/>
      <c r="J3754"/>
      <c r="K3754"/>
    </row>
    <row r="3755" spans="1:11">
      <c r="A3755"/>
      <c r="B3755"/>
      <c r="C3755"/>
      <c r="D3755"/>
      <c r="E3755"/>
      <c r="F3755"/>
      <c r="G3755"/>
      <c r="H3755"/>
      <c r="I3755"/>
      <c r="J3755"/>
      <c r="K3755"/>
    </row>
    <row r="3756" spans="1:11">
      <c r="A3756"/>
      <c r="B3756"/>
      <c r="C3756"/>
      <c r="D3756"/>
      <c r="E3756"/>
      <c r="F3756"/>
      <c r="G3756"/>
      <c r="H3756"/>
      <c r="I3756"/>
      <c r="J3756"/>
      <c r="K3756"/>
    </row>
    <row r="3757" spans="1:11">
      <c r="A3757"/>
      <c r="B3757"/>
      <c r="C3757"/>
      <c r="D3757"/>
      <c r="E3757"/>
      <c r="F3757"/>
      <c r="G3757"/>
      <c r="H3757"/>
      <c r="I3757"/>
      <c r="J3757"/>
      <c r="K3757"/>
    </row>
    <row r="3758" spans="1:11">
      <c r="A3758"/>
      <c r="B3758"/>
      <c r="C3758"/>
      <c r="D3758"/>
      <c r="E3758"/>
      <c r="F3758"/>
      <c r="G3758"/>
      <c r="H3758"/>
      <c r="I3758"/>
      <c r="J3758"/>
      <c r="K3758"/>
    </row>
    <row r="3759" spans="1:11">
      <c r="A3759"/>
      <c r="B3759"/>
      <c r="C3759"/>
      <c r="D3759"/>
      <c r="E3759"/>
      <c r="F3759"/>
      <c r="G3759"/>
      <c r="H3759"/>
      <c r="I3759"/>
      <c r="J3759"/>
      <c r="K3759"/>
    </row>
    <row r="3760" spans="1:11">
      <c r="A3760"/>
      <c r="B3760"/>
      <c r="C3760"/>
      <c r="D3760"/>
      <c r="E3760"/>
      <c r="F3760"/>
      <c r="G3760"/>
      <c r="H3760"/>
      <c r="I3760"/>
      <c r="J3760"/>
      <c r="K3760"/>
    </row>
    <row r="3761" spans="1:11">
      <c r="A3761"/>
      <c r="B3761"/>
      <c r="C3761"/>
      <c r="D3761"/>
      <c r="E3761"/>
      <c r="F3761"/>
      <c r="G3761"/>
      <c r="H3761"/>
      <c r="I3761"/>
      <c r="J3761"/>
      <c r="K3761"/>
    </row>
    <row r="3762" spans="1:11">
      <c r="A3762"/>
      <c r="B3762"/>
      <c r="C3762"/>
      <c r="D3762"/>
      <c r="E3762"/>
      <c r="F3762"/>
      <c r="G3762"/>
      <c r="H3762"/>
      <c r="I3762"/>
      <c r="J3762"/>
      <c r="K3762"/>
    </row>
    <row r="3763" spans="1:11">
      <c r="A3763"/>
      <c r="B3763"/>
      <c r="C3763"/>
      <c r="D3763"/>
      <c r="E3763"/>
      <c r="F3763"/>
      <c r="G3763"/>
      <c r="H3763"/>
      <c r="I3763"/>
      <c r="J3763"/>
      <c r="K3763"/>
    </row>
    <row r="3764" spans="1:11">
      <c r="A3764"/>
      <c r="B3764"/>
      <c r="C3764"/>
      <c r="D3764"/>
      <c r="E3764"/>
      <c r="F3764"/>
      <c r="G3764"/>
      <c r="H3764"/>
      <c r="I3764"/>
      <c r="J3764"/>
      <c r="K3764"/>
    </row>
    <row r="3765" spans="1:11">
      <c r="A3765"/>
      <c r="B3765"/>
      <c r="C3765"/>
      <c r="D3765"/>
      <c r="E3765"/>
      <c r="F3765"/>
      <c r="G3765"/>
      <c r="H3765"/>
      <c r="I3765"/>
      <c r="J3765"/>
      <c r="K3765"/>
    </row>
    <row r="3766" spans="1:11">
      <c r="A3766"/>
      <c r="B3766"/>
      <c r="C3766"/>
      <c r="D3766"/>
      <c r="E3766"/>
      <c r="F3766"/>
      <c r="G3766"/>
      <c r="H3766"/>
      <c r="I3766"/>
      <c r="J3766"/>
      <c r="K3766"/>
    </row>
    <row r="3767" spans="1:11">
      <c r="A3767"/>
      <c r="B3767"/>
      <c r="C3767"/>
      <c r="D3767"/>
      <c r="E3767"/>
      <c r="F3767"/>
      <c r="G3767"/>
      <c r="H3767"/>
      <c r="I3767"/>
      <c r="J3767"/>
      <c r="K3767"/>
    </row>
    <row r="3768" spans="1:11">
      <c r="A3768"/>
      <c r="B3768"/>
      <c r="C3768"/>
      <c r="D3768"/>
      <c r="E3768"/>
      <c r="F3768"/>
      <c r="G3768"/>
      <c r="H3768"/>
      <c r="I3768"/>
      <c r="J3768"/>
      <c r="K3768"/>
    </row>
    <row r="3769" spans="1:11">
      <c r="A3769"/>
      <c r="B3769"/>
      <c r="C3769"/>
      <c r="D3769"/>
      <c r="E3769"/>
      <c r="F3769"/>
      <c r="G3769"/>
      <c r="H3769"/>
      <c r="I3769"/>
      <c r="J3769"/>
      <c r="K3769"/>
    </row>
    <row r="3770" spans="1:11">
      <c r="A3770"/>
      <c r="B3770"/>
      <c r="C3770"/>
      <c r="D3770"/>
      <c r="E3770"/>
      <c r="F3770"/>
      <c r="G3770"/>
      <c r="H3770"/>
      <c r="I3770"/>
      <c r="J3770"/>
      <c r="K3770"/>
    </row>
    <row r="3771" spans="1:11">
      <c r="A3771"/>
      <c r="B3771"/>
      <c r="C3771"/>
      <c r="D3771"/>
      <c r="E3771"/>
      <c r="F3771"/>
      <c r="G3771"/>
      <c r="H3771"/>
      <c r="I3771"/>
      <c r="J3771"/>
      <c r="K3771"/>
    </row>
    <row r="3772" spans="1:11">
      <c r="A3772"/>
      <c r="B3772"/>
      <c r="C3772"/>
      <c r="D3772"/>
      <c r="E3772"/>
      <c r="F3772"/>
      <c r="G3772"/>
      <c r="H3772"/>
      <c r="I3772"/>
      <c r="J3772"/>
      <c r="K3772"/>
    </row>
    <row r="3773" spans="1:11">
      <c r="A3773"/>
      <c r="B3773"/>
      <c r="C3773"/>
      <c r="D3773"/>
      <c r="E3773"/>
      <c r="F3773"/>
      <c r="G3773"/>
      <c r="H3773"/>
      <c r="I3773"/>
      <c r="J3773"/>
      <c r="K3773"/>
    </row>
    <row r="3774" spans="1:11">
      <c r="A3774"/>
      <c r="B3774"/>
      <c r="C3774"/>
      <c r="D3774"/>
      <c r="E3774"/>
      <c r="F3774"/>
      <c r="G3774"/>
      <c r="H3774"/>
      <c r="I3774"/>
      <c r="J3774"/>
      <c r="K3774"/>
    </row>
    <row r="3775" spans="1:11">
      <c r="A3775"/>
      <c r="B3775"/>
      <c r="C3775"/>
      <c r="D3775"/>
      <c r="E3775"/>
      <c r="F3775"/>
      <c r="G3775"/>
      <c r="H3775"/>
      <c r="I3775"/>
      <c r="J3775"/>
      <c r="K3775"/>
    </row>
    <row r="3776" spans="1:11">
      <c r="A3776"/>
      <c r="B3776"/>
      <c r="C3776"/>
      <c r="D3776"/>
      <c r="E3776"/>
      <c r="F3776"/>
      <c r="G3776"/>
      <c r="H3776"/>
      <c r="I3776"/>
      <c r="J3776"/>
      <c r="K3776"/>
    </row>
    <row r="3777" spans="1:11">
      <c r="A3777"/>
      <c r="B3777"/>
      <c r="C3777"/>
      <c r="D3777"/>
      <c r="E3777"/>
      <c r="F3777"/>
      <c r="G3777"/>
      <c r="H3777"/>
      <c r="I3777"/>
      <c r="J3777"/>
      <c r="K3777"/>
    </row>
    <row r="3778" spans="1:11">
      <c r="A3778"/>
      <c r="B3778"/>
      <c r="C3778"/>
      <c r="D3778"/>
      <c r="E3778"/>
      <c r="F3778"/>
      <c r="G3778"/>
      <c r="H3778"/>
      <c r="I3778"/>
      <c r="J3778"/>
      <c r="K3778"/>
    </row>
    <row r="3779" spans="1:11">
      <c r="A3779"/>
      <c r="B3779"/>
      <c r="C3779"/>
      <c r="D3779"/>
      <c r="E3779"/>
      <c r="F3779"/>
      <c r="G3779"/>
      <c r="H3779"/>
      <c r="I3779"/>
      <c r="J3779"/>
      <c r="K3779"/>
    </row>
    <row r="3780" spans="1:11">
      <c r="A3780"/>
      <c r="B3780"/>
      <c r="C3780"/>
      <c r="D3780"/>
      <c r="E3780"/>
      <c r="F3780"/>
      <c r="G3780"/>
      <c r="H3780"/>
      <c r="I3780"/>
      <c r="J3780"/>
      <c r="K3780"/>
    </row>
    <row r="3781" spans="1:11">
      <c r="A3781"/>
      <c r="B3781"/>
      <c r="C3781"/>
      <c r="D3781"/>
      <c r="E3781"/>
      <c r="F3781"/>
      <c r="G3781"/>
      <c r="H3781"/>
      <c r="I3781"/>
      <c r="J3781"/>
      <c r="K3781"/>
    </row>
    <row r="3782" spans="1:11">
      <c r="A3782"/>
      <c r="B3782"/>
      <c r="C3782"/>
      <c r="D3782"/>
      <c r="E3782"/>
      <c r="F3782"/>
      <c r="G3782"/>
      <c r="H3782"/>
      <c r="I3782"/>
      <c r="J3782"/>
      <c r="K3782"/>
    </row>
    <row r="3783" spans="1:11">
      <c r="A3783"/>
      <c r="B3783"/>
      <c r="C3783"/>
      <c r="D3783"/>
      <c r="E3783"/>
      <c r="F3783"/>
      <c r="G3783"/>
      <c r="H3783"/>
      <c r="I3783"/>
      <c r="J3783"/>
      <c r="K3783"/>
    </row>
    <row r="3784" spans="1:11">
      <c r="A3784"/>
      <c r="B3784"/>
      <c r="C3784"/>
      <c r="D3784"/>
      <c r="E3784"/>
      <c r="F3784"/>
      <c r="G3784"/>
      <c r="H3784"/>
      <c r="I3784"/>
      <c r="J3784"/>
      <c r="K3784"/>
    </row>
    <row r="3785" spans="1:11">
      <c r="A3785"/>
      <c r="B3785"/>
      <c r="C3785"/>
      <c r="D3785"/>
      <c r="E3785"/>
      <c r="F3785"/>
      <c r="G3785"/>
      <c r="H3785"/>
      <c r="I3785"/>
      <c r="J3785"/>
      <c r="K3785"/>
    </row>
    <row r="3786" spans="1:11">
      <c r="A3786"/>
      <c r="B3786"/>
      <c r="C3786"/>
      <c r="D3786"/>
      <c r="E3786"/>
      <c r="F3786"/>
      <c r="G3786"/>
      <c r="H3786"/>
      <c r="I3786"/>
      <c r="J3786"/>
      <c r="K3786"/>
    </row>
    <row r="3787" spans="1:11">
      <c r="A3787"/>
      <c r="B3787"/>
      <c r="C3787"/>
      <c r="D3787"/>
      <c r="E3787"/>
      <c r="F3787"/>
      <c r="G3787"/>
      <c r="H3787"/>
      <c r="I3787"/>
      <c r="J3787"/>
      <c r="K3787"/>
    </row>
    <row r="3788" spans="1:11">
      <c r="A3788"/>
      <c r="B3788"/>
      <c r="C3788"/>
      <c r="D3788"/>
      <c r="E3788"/>
      <c r="F3788"/>
      <c r="G3788"/>
      <c r="H3788"/>
      <c r="I3788"/>
      <c r="J3788"/>
      <c r="K3788"/>
    </row>
    <row r="3789" spans="1:11">
      <c r="A3789"/>
      <c r="B3789"/>
      <c r="C3789"/>
      <c r="D3789"/>
      <c r="E3789"/>
      <c r="F3789"/>
      <c r="G3789"/>
      <c r="H3789"/>
      <c r="I3789"/>
      <c r="J3789"/>
      <c r="K3789"/>
    </row>
    <row r="3790" spans="1:11">
      <c r="A3790"/>
      <c r="B3790"/>
      <c r="C3790"/>
      <c r="D3790"/>
      <c r="E3790"/>
      <c r="F3790"/>
      <c r="G3790"/>
      <c r="H3790"/>
      <c r="I3790"/>
      <c r="J3790"/>
      <c r="K3790"/>
    </row>
    <row r="3791" spans="1:11">
      <c r="A3791"/>
      <c r="B3791"/>
      <c r="C3791"/>
      <c r="D3791"/>
      <c r="E3791"/>
      <c r="F3791"/>
      <c r="G3791"/>
      <c r="H3791"/>
      <c r="I3791"/>
      <c r="J3791"/>
      <c r="K3791"/>
    </row>
    <row r="3792" spans="1:11">
      <c r="A3792"/>
      <c r="B3792"/>
      <c r="C3792"/>
      <c r="D3792"/>
      <c r="E3792"/>
      <c r="F3792"/>
      <c r="G3792"/>
      <c r="H3792"/>
      <c r="I3792"/>
      <c r="J3792"/>
      <c r="K3792"/>
    </row>
    <row r="3793" spans="1:11">
      <c r="A3793"/>
      <c r="B3793"/>
      <c r="C3793"/>
      <c r="D3793"/>
      <c r="E3793"/>
      <c r="F3793"/>
      <c r="G3793"/>
      <c r="H3793"/>
      <c r="I3793"/>
      <c r="J3793"/>
      <c r="K3793"/>
    </row>
    <row r="3794" spans="1:11">
      <c r="A3794"/>
      <c r="B3794"/>
      <c r="C3794"/>
      <c r="D3794"/>
      <c r="E3794"/>
      <c r="F3794"/>
      <c r="G3794"/>
      <c r="H3794"/>
      <c r="I3794"/>
      <c r="J3794"/>
      <c r="K3794"/>
    </row>
    <row r="3795" spans="1:11">
      <c r="A3795"/>
      <c r="B3795"/>
      <c r="C3795"/>
      <c r="D3795"/>
      <c r="E3795"/>
      <c r="F3795"/>
      <c r="G3795"/>
      <c r="H3795"/>
      <c r="I3795"/>
      <c r="J3795"/>
      <c r="K3795"/>
    </row>
    <row r="3796" spans="1:11">
      <c r="A3796"/>
      <c r="B3796"/>
      <c r="C3796"/>
      <c r="D3796"/>
      <c r="E3796"/>
      <c r="F3796"/>
      <c r="G3796"/>
      <c r="H3796"/>
      <c r="I3796"/>
      <c r="J3796"/>
      <c r="K3796"/>
    </row>
    <row r="3797" spans="1:11">
      <c r="A3797"/>
      <c r="B3797"/>
      <c r="C3797"/>
      <c r="D3797"/>
      <c r="E3797"/>
      <c r="F3797"/>
      <c r="G3797"/>
      <c r="H3797"/>
      <c r="I3797"/>
      <c r="J3797"/>
      <c r="K3797"/>
    </row>
    <row r="3798" spans="1:11">
      <c r="A3798"/>
      <c r="B3798"/>
      <c r="C3798"/>
      <c r="D3798"/>
      <c r="E3798"/>
      <c r="F3798"/>
      <c r="G3798"/>
      <c r="H3798"/>
      <c r="I3798"/>
      <c r="J3798"/>
      <c r="K3798"/>
    </row>
    <row r="3799" spans="1:11">
      <c r="A3799"/>
      <c r="B3799"/>
      <c r="C3799"/>
      <c r="D3799"/>
      <c r="E3799"/>
      <c r="F3799"/>
      <c r="G3799"/>
      <c r="H3799"/>
      <c r="I3799"/>
      <c r="J3799"/>
      <c r="K3799"/>
    </row>
    <row r="3800" spans="1:11">
      <c r="A3800"/>
      <c r="B3800"/>
      <c r="C3800"/>
      <c r="D3800"/>
      <c r="E3800"/>
      <c r="F3800"/>
      <c r="G3800"/>
      <c r="H3800"/>
      <c r="I3800"/>
      <c r="J3800"/>
      <c r="K3800"/>
    </row>
    <row r="3801" spans="1:11">
      <c r="A3801"/>
      <c r="B3801"/>
      <c r="C3801"/>
      <c r="D3801"/>
      <c r="E3801"/>
      <c r="F3801"/>
      <c r="G3801"/>
      <c r="H3801"/>
      <c r="I3801"/>
      <c r="J3801"/>
      <c r="K3801"/>
    </row>
    <row r="3802" spans="1:11">
      <c r="A3802"/>
      <c r="B3802"/>
      <c r="C3802"/>
      <c r="D3802"/>
      <c r="E3802"/>
      <c r="F3802"/>
      <c r="G3802"/>
      <c r="H3802"/>
      <c r="I3802"/>
      <c r="J3802"/>
      <c r="K3802"/>
    </row>
    <row r="3803" spans="1:11">
      <c r="A3803"/>
      <c r="B3803"/>
      <c r="C3803"/>
      <c r="D3803"/>
      <c r="E3803"/>
      <c r="F3803"/>
      <c r="G3803"/>
      <c r="H3803"/>
      <c r="I3803"/>
      <c r="J3803"/>
      <c r="K3803"/>
    </row>
    <row r="3804" spans="1:11">
      <c r="A3804"/>
      <c r="B3804"/>
      <c r="C3804"/>
      <c r="D3804"/>
      <c r="E3804"/>
      <c r="F3804"/>
      <c r="G3804"/>
      <c r="H3804"/>
      <c r="I3804"/>
      <c r="J3804"/>
      <c r="K3804"/>
    </row>
    <row r="3805" spans="1:11">
      <c r="A3805"/>
      <c r="B3805"/>
      <c r="C3805"/>
      <c r="D3805"/>
      <c r="E3805"/>
      <c r="F3805"/>
      <c r="G3805"/>
      <c r="H3805"/>
      <c r="I3805"/>
      <c r="J3805"/>
      <c r="K3805"/>
    </row>
    <row r="3806" spans="1:11">
      <c r="A3806"/>
      <c r="B3806"/>
      <c r="C3806"/>
      <c r="D3806"/>
      <c r="E3806"/>
      <c r="F3806"/>
      <c r="G3806"/>
      <c r="H3806"/>
      <c r="I3806"/>
      <c r="J3806"/>
      <c r="K3806"/>
    </row>
    <row r="3807" spans="1:11">
      <c r="A3807"/>
      <c r="B3807"/>
      <c r="C3807"/>
      <c r="D3807"/>
      <c r="E3807"/>
      <c r="F3807"/>
      <c r="G3807"/>
      <c r="H3807"/>
      <c r="I3807"/>
      <c r="J3807"/>
      <c r="K3807"/>
    </row>
    <row r="3808" spans="1:11">
      <c r="A3808"/>
      <c r="B3808"/>
      <c r="C3808"/>
      <c r="D3808"/>
      <c r="E3808"/>
      <c r="F3808"/>
      <c r="G3808"/>
      <c r="H3808"/>
      <c r="I3808"/>
      <c r="J3808"/>
      <c r="K3808"/>
    </row>
    <row r="3809" spans="1:11">
      <c r="A3809"/>
      <c r="B3809"/>
      <c r="C3809"/>
      <c r="D3809"/>
      <c r="E3809"/>
      <c r="F3809"/>
      <c r="G3809"/>
      <c r="H3809"/>
      <c r="I3809"/>
      <c r="J3809"/>
      <c r="K3809"/>
    </row>
    <row r="3810" spans="1:11">
      <c r="A3810"/>
      <c r="B3810"/>
      <c r="C3810"/>
      <c r="D3810"/>
      <c r="E3810"/>
      <c r="F3810"/>
      <c r="G3810"/>
      <c r="H3810"/>
      <c r="I3810"/>
      <c r="J3810"/>
      <c r="K3810"/>
    </row>
    <row r="3811" spans="1:11">
      <c r="A3811"/>
      <c r="B3811"/>
      <c r="C3811"/>
      <c r="D3811"/>
      <c r="E3811"/>
      <c r="F3811"/>
      <c r="G3811"/>
      <c r="H3811"/>
      <c r="I3811"/>
      <c r="J3811"/>
      <c r="K3811"/>
    </row>
    <row r="3812" spans="1:11">
      <c r="A3812"/>
      <c r="B3812"/>
      <c r="C3812"/>
      <c r="D3812"/>
      <c r="E3812"/>
      <c r="F3812"/>
      <c r="G3812"/>
      <c r="H3812"/>
      <c r="I3812"/>
      <c r="J3812"/>
      <c r="K3812"/>
    </row>
    <row r="3813" spans="1:11">
      <c r="A3813"/>
      <c r="B3813"/>
      <c r="C3813"/>
      <c r="D3813"/>
      <c r="E3813"/>
      <c r="F3813"/>
      <c r="G3813"/>
      <c r="H3813"/>
      <c r="I3813"/>
      <c r="J3813"/>
      <c r="K3813"/>
    </row>
    <row r="3814" spans="1:11">
      <c r="A3814"/>
      <c r="B3814"/>
      <c r="C3814"/>
      <c r="D3814"/>
      <c r="E3814"/>
      <c r="F3814"/>
      <c r="G3814"/>
      <c r="H3814"/>
      <c r="I3814"/>
      <c r="J3814"/>
      <c r="K3814"/>
    </row>
    <row r="3815" spans="1:11">
      <c r="A3815"/>
      <c r="B3815"/>
      <c r="C3815"/>
      <c r="D3815"/>
      <c r="E3815"/>
      <c r="F3815"/>
      <c r="G3815"/>
      <c r="H3815"/>
      <c r="I3815"/>
      <c r="J3815"/>
      <c r="K3815"/>
    </row>
    <row r="3816" spans="1:11">
      <c r="A3816"/>
      <c r="B3816"/>
      <c r="C3816"/>
      <c r="D3816"/>
      <c r="E3816"/>
      <c r="F3816"/>
      <c r="G3816"/>
      <c r="H3816"/>
      <c r="I3816"/>
      <c r="J3816"/>
      <c r="K3816"/>
    </row>
    <row r="3817" spans="1:11">
      <c r="A3817"/>
      <c r="B3817"/>
      <c r="C3817"/>
      <c r="D3817"/>
      <c r="E3817"/>
      <c r="F3817"/>
      <c r="G3817"/>
      <c r="H3817"/>
      <c r="I3817"/>
      <c r="J3817"/>
      <c r="K3817"/>
    </row>
    <row r="3818" spans="1:11">
      <c r="A3818"/>
      <c r="B3818"/>
      <c r="C3818"/>
      <c r="D3818"/>
      <c r="E3818"/>
      <c r="F3818"/>
      <c r="G3818"/>
      <c r="H3818"/>
      <c r="I3818"/>
      <c r="J3818"/>
      <c r="K3818"/>
    </row>
    <row r="3819" spans="1:11">
      <c r="A3819"/>
      <c r="B3819"/>
      <c r="C3819"/>
      <c r="D3819"/>
      <c r="E3819"/>
      <c r="F3819"/>
      <c r="G3819"/>
      <c r="H3819"/>
      <c r="I3819"/>
      <c r="J3819"/>
      <c r="K3819"/>
    </row>
    <row r="3820" spans="1:11">
      <c r="A3820"/>
      <c r="B3820"/>
      <c r="C3820"/>
      <c r="D3820"/>
      <c r="E3820"/>
      <c r="F3820"/>
      <c r="G3820"/>
      <c r="H3820"/>
      <c r="I3820"/>
      <c r="J3820"/>
      <c r="K3820"/>
    </row>
    <row r="3821" spans="1:11">
      <c r="A3821"/>
      <c r="B3821"/>
      <c r="C3821"/>
      <c r="D3821"/>
      <c r="E3821"/>
      <c r="F3821"/>
      <c r="G3821"/>
      <c r="H3821"/>
      <c r="I3821"/>
      <c r="J3821"/>
      <c r="K3821"/>
    </row>
    <row r="3822" spans="1:11">
      <c r="A3822"/>
      <c r="B3822"/>
      <c r="C3822"/>
      <c r="D3822"/>
      <c r="E3822"/>
      <c r="F3822"/>
      <c r="G3822"/>
      <c r="H3822"/>
      <c r="I3822"/>
      <c r="J3822"/>
      <c r="K3822"/>
    </row>
    <row r="3823" spans="1:11">
      <c r="A3823"/>
      <c r="B3823"/>
      <c r="C3823"/>
      <c r="D3823"/>
      <c r="E3823"/>
      <c r="F3823"/>
      <c r="G3823"/>
      <c r="H3823"/>
      <c r="I3823"/>
      <c r="J3823"/>
      <c r="K3823"/>
    </row>
    <row r="3824" spans="1:11">
      <c r="A3824"/>
      <c r="B3824"/>
      <c r="C3824"/>
      <c r="D3824"/>
      <c r="E3824"/>
      <c r="F3824"/>
      <c r="G3824"/>
      <c r="H3824"/>
      <c r="I3824"/>
      <c r="J3824"/>
      <c r="K3824"/>
    </row>
    <row r="3825" spans="1:11">
      <c r="A3825"/>
      <c r="B3825"/>
      <c r="C3825"/>
      <c r="D3825"/>
      <c r="E3825"/>
      <c r="F3825"/>
      <c r="G3825"/>
      <c r="H3825"/>
      <c r="I3825"/>
      <c r="J3825"/>
      <c r="K3825"/>
    </row>
    <row r="3826" spans="1:11">
      <c r="A3826"/>
      <c r="B3826"/>
      <c r="C3826"/>
      <c r="D3826"/>
      <c r="E3826"/>
      <c r="F3826"/>
      <c r="G3826"/>
      <c r="H3826"/>
      <c r="I3826"/>
      <c r="J3826"/>
      <c r="K3826"/>
    </row>
    <row r="3827" spans="1:11">
      <c r="A3827"/>
      <c r="B3827"/>
      <c r="C3827"/>
      <c r="D3827"/>
      <c r="E3827"/>
      <c r="F3827"/>
      <c r="G3827"/>
      <c r="H3827"/>
      <c r="I3827"/>
      <c r="J3827"/>
      <c r="K3827"/>
    </row>
    <row r="3828" spans="1:11">
      <c r="A3828"/>
      <c r="B3828"/>
      <c r="C3828"/>
      <c r="D3828"/>
      <c r="E3828"/>
      <c r="F3828"/>
      <c r="G3828"/>
      <c r="H3828"/>
      <c r="I3828"/>
      <c r="J3828"/>
      <c r="K3828"/>
    </row>
    <row r="3829" spans="1:11">
      <c r="A3829"/>
      <c r="B3829"/>
      <c r="C3829"/>
      <c r="D3829"/>
      <c r="E3829"/>
      <c r="F3829"/>
      <c r="G3829"/>
      <c r="H3829"/>
      <c r="I3829"/>
      <c r="J3829"/>
      <c r="K3829"/>
    </row>
    <row r="3830" spans="1:11">
      <c r="A3830"/>
      <c r="B3830"/>
      <c r="C3830"/>
      <c r="D3830"/>
      <c r="E3830"/>
      <c r="F3830"/>
      <c r="G3830"/>
      <c r="H3830"/>
      <c r="I3830"/>
      <c r="J3830"/>
      <c r="K3830"/>
    </row>
    <row r="3831" spans="1:11">
      <c r="A3831"/>
      <c r="B3831"/>
      <c r="C3831"/>
      <c r="D3831"/>
      <c r="E3831"/>
      <c r="F3831"/>
      <c r="G3831"/>
      <c r="H3831"/>
      <c r="I3831"/>
      <c r="J3831"/>
      <c r="K3831"/>
    </row>
    <row r="3832" spans="1:11">
      <c r="A3832"/>
      <c r="B3832"/>
      <c r="C3832"/>
      <c r="D3832"/>
      <c r="E3832"/>
      <c r="F3832"/>
      <c r="G3832"/>
      <c r="H3832"/>
      <c r="I3832"/>
      <c r="J3832"/>
      <c r="K3832"/>
    </row>
    <row r="3833" spans="1:11">
      <c r="A3833"/>
      <c r="B3833"/>
      <c r="C3833"/>
      <c r="D3833"/>
      <c r="E3833"/>
      <c r="F3833"/>
      <c r="G3833"/>
      <c r="H3833"/>
      <c r="I3833"/>
      <c r="J3833"/>
      <c r="K3833"/>
    </row>
    <row r="3834" spans="1:11">
      <c r="A3834"/>
      <c r="B3834"/>
      <c r="C3834"/>
      <c r="D3834"/>
      <c r="E3834"/>
      <c r="F3834"/>
      <c r="G3834"/>
      <c r="H3834"/>
      <c r="I3834"/>
      <c r="J3834"/>
      <c r="K3834"/>
    </row>
    <row r="3835" spans="1:11">
      <c r="A3835"/>
      <c r="B3835"/>
      <c r="C3835"/>
      <c r="D3835"/>
      <c r="E3835"/>
      <c r="F3835"/>
      <c r="G3835"/>
      <c r="H3835"/>
      <c r="I3835"/>
      <c r="J3835"/>
      <c r="K3835"/>
    </row>
    <row r="3836" spans="1:11">
      <c r="A3836"/>
      <c r="B3836"/>
      <c r="C3836"/>
      <c r="D3836"/>
      <c r="E3836"/>
      <c r="F3836"/>
      <c r="G3836"/>
      <c r="H3836"/>
      <c r="I3836"/>
      <c r="J3836"/>
      <c r="K3836"/>
    </row>
    <row r="3837" spans="1:11">
      <c r="A3837"/>
      <c r="B3837"/>
      <c r="C3837"/>
      <c r="D3837"/>
      <c r="E3837"/>
      <c r="F3837"/>
      <c r="G3837"/>
      <c r="H3837"/>
      <c r="I3837"/>
      <c r="J3837"/>
      <c r="K3837"/>
    </row>
    <row r="3838" spans="1:11">
      <c r="A3838"/>
      <c r="B3838"/>
      <c r="C3838"/>
      <c r="D3838"/>
      <c r="E3838"/>
      <c r="F3838"/>
      <c r="G3838"/>
      <c r="H3838"/>
      <c r="I3838"/>
      <c r="J3838"/>
      <c r="K3838"/>
    </row>
    <row r="3839" spans="1:11">
      <c r="A3839"/>
      <c r="B3839"/>
      <c r="C3839"/>
      <c r="D3839"/>
      <c r="E3839"/>
      <c r="F3839"/>
      <c r="G3839"/>
      <c r="H3839"/>
      <c r="I3839"/>
      <c r="J3839"/>
      <c r="K3839"/>
    </row>
    <row r="3840" spans="1:11">
      <c r="A3840"/>
      <c r="B3840"/>
      <c r="C3840"/>
      <c r="D3840"/>
      <c r="E3840"/>
      <c r="F3840"/>
      <c r="G3840"/>
      <c r="H3840"/>
      <c r="I3840"/>
      <c r="J3840"/>
      <c r="K3840"/>
    </row>
    <row r="3841" spans="1:11">
      <c r="A3841"/>
      <c r="B3841"/>
      <c r="C3841"/>
      <c r="D3841"/>
      <c r="E3841"/>
      <c r="F3841"/>
      <c r="G3841"/>
      <c r="H3841"/>
      <c r="I3841"/>
      <c r="J3841"/>
      <c r="K3841"/>
    </row>
    <row r="3842" spans="1:11">
      <c r="A3842"/>
      <c r="B3842"/>
      <c r="C3842"/>
      <c r="D3842"/>
      <c r="E3842"/>
      <c r="F3842"/>
      <c r="G3842"/>
      <c r="H3842"/>
      <c r="I3842"/>
      <c r="J3842"/>
      <c r="K3842"/>
    </row>
    <row r="3843" spans="1:11">
      <c r="A3843"/>
      <c r="B3843"/>
      <c r="C3843"/>
      <c r="D3843"/>
      <c r="E3843"/>
      <c r="F3843"/>
      <c r="G3843"/>
      <c r="H3843"/>
      <c r="I3843"/>
      <c r="J3843"/>
      <c r="K3843"/>
    </row>
    <row r="3844" spans="1:11">
      <c r="A3844"/>
      <c r="B3844"/>
      <c r="C3844"/>
      <c r="D3844"/>
      <c r="E3844"/>
      <c r="F3844"/>
      <c r="G3844"/>
      <c r="H3844"/>
      <c r="I3844"/>
      <c r="J3844"/>
      <c r="K3844"/>
    </row>
    <row r="3845" spans="1:11">
      <c r="A3845"/>
      <c r="B3845"/>
      <c r="C3845"/>
      <c r="D3845"/>
      <c r="E3845"/>
      <c r="F3845"/>
      <c r="G3845"/>
      <c r="H3845"/>
      <c r="I3845"/>
      <c r="J3845"/>
      <c r="K3845"/>
    </row>
    <row r="3846" spans="1:11">
      <c r="A3846"/>
      <c r="B3846"/>
      <c r="C3846"/>
      <c r="D3846"/>
      <c r="E3846"/>
      <c r="F3846"/>
      <c r="G3846"/>
      <c r="H3846"/>
      <c r="I3846"/>
      <c r="J3846"/>
      <c r="K3846"/>
    </row>
    <row r="3847" spans="1:11">
      <c r="A3847"/>
      <c r="B3847"/>
      <c r="C3847"/>
      <c r="D3847"/>
      <c r="E3847"/>
      <c r="F3847"/>
      <c r="G3847"/>
      <c r="H3847"/>
      <c r="I3847"/>
      <c r="J3847"/>
      <c r="K3847"/>
    </row>
    <row r="3848" spans="1:11">
      <c r="A3848"/>
      <c r="B3848"/>
      <c r="C3848"/>
      <c r="D3848"/>
      <c r="E3848"/>
      <c r="F3848"/>
      <c r="G3848"/>
      <c r="H3848"/>
      <c r="I3848"/>
      <c r="J3848"/>
      <c r="K3848"/>
    </row>
    <row r="3849" spans="1:11">
      <c r="A3849"/>
      <c r="B3849"/>
      <c r="C3849"/>
      <c r="D3849"/>
      <c r="E3849"/>
      <c r="F3849"/>
      <c r="G3849"/>
      <c r="H3849"/>
      <c r="I3849"/>
      <c r="J3849"/>
      <c r="K3849"/>
    </row>
    <row r="3850" spans="1:11">
      <c r="A3850"/>
      <c r="B3850"/>
      <c r="C3850"/>
      <c r="D3850"/>
      <c r="E3850"/>
      <c r="F3850"/>
      <c r="G3850"/>
      <c r="H3850"/>
      <c r="I3850"/>
      <c r="J3850"/>
      <c r="K3850"/>
    </row>
    <row r="3851" spans="1:11">
      <c r="A3851"/>
      <c r="B3851"/>
      <c r="C3851"/>
      <c r="D3851"/>
      <c r="E3851"/>
      <c r="F3851"/>
      <c r="G3851"/>
      <c r="H3851"/>
      <c r="I3851"/>
      <c r="J3851"/>
      <c r="K3851"/>
    </row>
    <row r="3852" spans="1:11">
      <c r="A3852"/>
      <c r="B3852"/>
      <c r="C3852"/>
      <c r="D3852"/>
      <c r="E3852"/>
      <c r="F3852"/>
      <c r="G3852"/>
      <c r="H3852"/>
      <c r="I3852"/>
      <c r="J3852"/>
      <c r="K3852"/>
    </row>
    <row r="3853" spans="1:11">
      <c r="A3853"/>
      <c r="B3853"/>
      <c r="C3853"/>
      <c r="D3853"/>
      <c r="E3853"/>
      <c r="F3853"/>
      <c r="G3853"/>
      <c r="H3853"/>
      <c r="I3853"/>
      <c r="J3853"/>
      <c r="K3853"/>
    </row>
    <row r="3854" spans="1:11">
      <c r="A3854"/>
      <c r="B3854"/>
      <c r="C3854"/>
      <c r="D3854"/>
      <c r="E3854"/>
      <c r="F3854"/>
      <c r="G3854"/>
      <c r="H3854"/>
      <c r="I3854"/>
      <c r="J3854"/>
      <c r="K3854"/>
    </row>
    <row r="3855" spans="1:11">
      <c r="A3855"/>
      <c r="B3855"/>
      <c r="C3855"/>
      <c r="D3855"/>
      <c r="E3855"/>
      <c r="F3855"/>
      <c r="G3855"/>
      <c r="H3855"/>
      <c r="I3855"/>
      <c r="J3855"/>
      <c r="K3855"/>
    </row>
    <row r="3856" spans="1:11">
      <c r="A3856"/>
      <c r="B3856"/>
      <c r="C3856"/>
      <c r="D3856"/>
      <c r="E3856"/>
      <c r="F3856"/>
      <c r="G3856"/>
      <c r="H3856"/>
      <c r="I3856"/>
      <c r="J3856"/>
      <c r="K3856"/>
    </row>
    <row r="3857" spans="1:11">
      <c r="A3857"/>
      <c r="B3857"/>
      <c r="C3857"/>
      <c r="D3857"/>
      <c r="E3857"/>
      <c r="F3857"/>
      <c r="G3857"/>
      <c r="H3857"/>
      <c r="I3857"/>
      <c r="J3857"/>
      <c r="K3857"/>
    </row>
    <row r="3858" spans="1:11">
      <c r="A3858"/>
      <c r="B3858"/>
      <c r="C3858"/>
      <c r="D3858"/>
      <c r="E3858"/>
      <c r="F3858"/>
      <c r="G3858"/>
      <c r="H3858"/>
      <c r="I3858"/>
      <c r="J3858"/>
      <c r="K3858"/>
    </row>
    <row r="3859" spans="1:11">
      <c r="A3859"/>
      <c r="B3859"/>
      <c r="C3859"/>
      <c r="D3859"/>
      <c r="E3859"/>
      <c r="F3859"/>
      <c r="G3859"/>
      <c r="H3859"/>
      <c r="I3859"/>
      <c r="J3859"/>
      <c r="K3859"/>
    </row>
    <row r="3860" spans="1:11">
      <c r="A3860"/>
      <c r="B3860"/>
      <c r="C3860"/>
      <c r="D3860"/>
      <c r="E3860"/>
      <c r="F3860"/>
      <c r="G3860"/>
      <c r="H3860"/>
      <c r="I3860"/>
      <c r="J3860"/>
      <c r="K3860"/>
    </row>
    <row r="3861" spans="1:11">
      <c r="A3861"/>
      <c r="B3861"/>
      <c r="C3861"/>
      <c r="D3861"/>
      <c r="E3861"/>
      <c r="F3861"/>
      <c r="G3861"/>
      <c r="H3861"/>
      <c r="I3861"/>
      <c r="J3861"/>
      <c r="K3861"/>
    </row>
    <row r="3862" spans="1:11">
      <c r="A3862"/>
      <c r="B3862"/>
      <c r="C3862"/>
      <c r="D3862"/>
      <c r="E3862"/>
      <c r="F3862"/>
      <c r="G3862"/>
      <c r="H3862"/>
      <c r="I3862"/>
      <c r="J3862"/>
      <c r="K3862"/>
    </row>
    <row r="3863" spans="1:11">
      <c r="A3863"/>
      <c r="B3863"/>
      <c r="C3863"/>
      <c r="D3863"/>
      <c r="E3863"/>
      <c r="F3863"/>
      <c r="G3863"/>
      <c r="H3863"/>
      <c r="I3863"/>
      <c r="J3863"/>
      <c r="K3863"/>
    </row>
    <row r="3864" spans="1:11">
      <c r="A3864"/>
      <c r="B3864"/>
      <c r="C3864"/>
      <c r="D3864"/>
      <c r="E3864"/>
      <c r="F3864"/>
      <c r="G3864"/>
      <c r="H3864"/>
      <c r="I3864"/>
      <c r="J3864"/>
      <c r="K3864"/>
    </row>
    <row r="3865" spans="1:11">
      <c r="A3865"/>
      <c r="B3865"/>
      <c r="C3865"/>
      <c r="D3865"/>
      <c r="E3865"/>
      <c r="F3865"/>
      <c r="G3865"/>
      <c r="H3865"/>
      <c r="I3865"/>
      <c r="J3865"/>
      <c r="K3865"/>
    </row>
    <row r="3866" spans="1:11">
      <c r="A3866"/>
      <c r="B3866"/>
      <c r="C3866"/>
      <c r="D3866"/>
      <c r="E3866"/>
      <c r="F3866"/>
      <c r="G3866"/>
      <c r="H3866"/>
      <c r="I3866"/>
      <c r="J3866"/>
      <c r="K3866"/>
    </row>
    <row r="3867" spans="1:11">
      <c r="A3867"/>
      <c r="B3867"/>
      <c r="C3867"/>
      <c r="D3867"/>
      <c r="E3867"/>
      <c r="F3867"/>
      <c r="G3867"/>
      <c r="H3867"/>
      <c r="I3867"/>
      <c r="J3867"/>
      <c r="K3867"/>
    </row>
    <row r="3868" spans="1:11">
      <c r="A3868"/>
      <c r="B3868"/>
      <c r="C3868"/>
      <c r="D3868"/>
      <c r="E3868"/>
      <c r="F3868"/>
      <c r="G3868"/>
      <c r="H3868"/>
      <c r="I3868"/>
      <c r="J3868"/>
      <c r="K3868"/>
    </row>
    <row r="3869" spans="1:11">
      <c r="A3869"/>
      <c r="B3869"/>
      <c r="C3869"/>
      <c r="D3869"/>
      <c r="E3869"/>
      <c r="F3869"/>
      <c r="G3869"/>
      <c r="H3869"/>
      <c r="I3869"/>
      <c r="J3869"/>
      <c r="K3869"/>
    </row>
    <row r="3870" spans="1:11">
      <c r="A3870"/>
      <c r="B3870"/>
      <c r="C3870"/>
      <c r="D3870"/>
      <c r="E3870"/>
      <c r="F3870"/>
      <c r="G3870"/>
      <c r="H3870"/>
      <c r="I3870"/>
      <c r="J3870"/>
      <c r="K3870"/>
    </row>
    <row r="3871" spans="1:11">
      <c r="A3871"/>
      <c r="B3871"/>
      <c r="C3871"/>
      <c r="D3871"/>
      <c r="E3871"/>
      <c r="F3871"/>
      <c r="G3871"/>
      <c r="H3871"/>
      <c r="I3871"/>
      <c r="J3871"/>
      <c r="K3871"/>
    </row>
    <row r="3872" spans="1:11">
      <c r="A3872"/>
      <c r="B3872"/>
      <c r="C3872"/>
      <c r="D3872"/>
      <c r="E3872"/>
      <c r="F3872"/>
      <c r="G3872"/>
      <c r="H3872"/>
      <c r="I3872"/>
      <c r="J3872"/>
      <c r="K3872"/>
    </row>
    <row r="3873" spans="1:11">
      <c r="A3873"/>
      <c r="B3873"/>
      <c r="C3873"/>
      <c r="D3873"/>
      <c r="E3873"/>
      <c r="F3873"/>
      <c r="G3873"/>
      <c r="H3873"/>
      <c r="I3873"/>
      <c r="J3873"/>
      <c r="K3873"/>
    </row>
    <row r="3874" spans="1:11">
      <c r="A3874"/>
      <c r="B3874"/>
      <c r="C3874"/>
      <c r="D3874"/>
      <c r="E3874"/>
      <c r="F3874"/>
      <c r="G3874"/>
      <c r="H3874"/>
      <c r="I3874"/>
      <c r="J3874"/>
      <c r="K3874"/>
    </row>
    <row r="3875" spans="1:11">
      <c r="A3875"/>
      <c r="B3875"/>
      <c r="C3875"/>
      <c r="D3875"/>
      <c r="E3875"/>
      <c r="F3875"/>
      <c r="G3875"/>
      <c r="H3875"/>
      <c r="I3875"/>
      <c r="J3875"/>
      <c r="K3875"/>
    </row>
    <row r="3876" spans="1:11">
      <c r="A3876"/>
      <c r="B3876"/>
      <c r="C3876"/>
      <c r="D3876"/>
      <c r="E3876"/>
      <c r="F3876"/>
      <c r="G3876"/>
      <c r="H3876"/>
      <c r="I3876"/>
      <c r="J3876"/>
      <c r="K3876"/>
    </row>
    <row r="3877" spans="1:11">
      <c r="A3877"/>
      <c r="B3877"/>
      <c r="C3877"/>
      <c r="D3877"/>
      <c r="E3877"/>
      <c r="F3877"/>
      <c r="G3877"/>
      <c r="H3877"/>
      <c r="I3877"/>
      <c r="J3877"/>
      <c r="K3877"/>
    </row>
    <row r="3878" spans="1:11">
      <c r="A3878"/>
      <c r="B3878"/>
      <c r="C3878"/>
      <c r="D3878"/>
      <c r="E3878"/>
      <c r="F3878"/>
      <c r="G3878"/>
      <c r="H3878"/>
      <c r="I3878"/>
      <c r="J3878"/>
      <c r="K3878"/>
    </row>
    <row r="3879" spans="1:11">
      <c r="A3879"/>
      <c r="B3879"/>
      <c r="C3879"/>
      <c r="D3879"/>
      <c r="E3879"/>
      <c r="F3879"/>
      <c r="G3879"/>
      <c r="H3879"/>
      <c r="I3879"/>
      <c r="J3879"/>
      <c r="K3879"/>
    </row>
    <row r="3880" spans="1:11">
      <c r="A3880"/>
      <c r="B3880"/>
      <c r="C3880"/>
      <c r="D3880"/>
      <c r="E3880"/>
      <c r="F3880"/>
      <c r="G3880"/>
      <c r="H3880"/>
      <c r="I3880"/>
      <c r="J3880"/>
      <c r="K3880"/>
    </row>
    <row r="3881" spans="1:11">
      <c r="A3881"/>
      <c r="B3881"/>
      <c r="C3881"/>
      <c r="D3881"/>
      <c r="E3881"/>
      <c r="F3881"/>
      <c r="G3881"/>
      <c r="H3881"/>
      <c r="I3881"/>
      <c r="J3881"/>
      <c r="K3881"/>
    </row>
    <row r="3882" spans="1:11">
      <c r="A3882"/>
      <c r="B3882"/>
      <c r="C3882"/>
      <c r="D3882"/>
      <c r="E3882"/>
      <c r="F3882"/>
      <c r="G3882"/>
      <c r="H3882"/>
      <c r="I3882"/>
      <c r="J3882"/>
      <c r="K3882"/>
    </row>
    <row r="3883" spans="1:11">
      <c r="A3883"/>
      <c r="B3883"/>
      <c r="C3883"/>
      <c r="D3883"/>
      <c r="E3883"/>
      <c r="F3883"/>
      <c r="G3883"/>
      <c r="H3883"/>
      <c r="I3883"/>
      <c r="J3883"/>
      <c r="K3883"/>
    </row>
    <row r="3884" spans="1:11">
      <c r="A3884"/>
      <c r="B3884"/>
      <c r="C3884"/>
      <c r="D3884"/>
      <c r="E3884"/>
      <c r="F3884"/>
      <c r="G3884"/>
      <c r="H3884"/>
      <c r="I3884"/>
      <c r="J3884"/>
      <c r="K3884"/>
    </row>
    <row r="3885" spans="1:11">
      <c r="A3885"/>
      <c r="B3885"/>
      <c r="C3885"/>
      <c r="D3885"/>
      <c r="E3885"/>
      <c r="F3885"/>
      <c r="G3885"/>
      <c r="H3885"/>
      <c r="I3885"/>
      <c r="J3885"/>
      <c r="K3885"/>
    </row>
    <row r="3886" spans="1:11">
      <c r="A3886"/>
      <c r="B3886"/>
      <c r="C3886"/>
      <c r="D3886"/>
      <c r="E3886"/>
      <c r="F3886"/>
      <c r="G3886"/>
      <c r="H3886"/>
      <c r="I3886"/>
      <c r="J3886"/>
      <c r="K3886"/>
    </row>
    <row r="3887" spans="1:11">
      <c r="A3887"/>
      <c r="B3887"/>
      <c r="C3887"/>
      <c r="D3887"/>
      <c r="E3887"/>
      <c r="F3887"/>
      <c r="G3887"/>
      <c r="H3887"/>
      <c r="I3887"/>
      <c r="J3887"/>
      <c r="K3887"/>
    </row>
    <row r="3888" spans="1:11">
      <c r="A3888"/>
      <c r="B3888"/>
      <c r="C3888"/>
      <c r="D3888"/>
      <c r="E3888"/>
      <c r="F3888"/>
      <c r="G3888"/>
      <c r="H3888"/>
      <c r="I3888"/>
      <c r="J3888"/>
      <c r="K3888"/>
    </row>
    <row r="3889" spans="1:11">
      <c r="A3889"/>
      <c r="B3889"/>
      <c r="C3889"/>
      <c r="D3889"/>
      <c r="E3889"/>
      <c r="F3889"/>
      <c r="G3889"/>
      <c r="H3889"/>
      <c r="I3889"/>
      <c r="J3889"/>
      <c r="K3889"/>
    </row>
    <row r="3890" spans="1:11">
      <c r="A3890"/>
      <c r="B3890"/>
      <c r="C3890"/>
      <c r="D3890"/>
      <c r="E3890"/>
      <c r="F3890"/>
      <c r="G3890"/>
      <c r="H3890"/>
      <c r="I3890"/>
      <c r="J3890"/>
      <c r="K3890"/>
    </row>
    <row r="3891" spans="1:11">
      <c r="A3891"/>
      <c r="B3891"/>
      <c r="C3891"/>
      <c r="D3891"/>
      <c r="E3891"/>
      <c r="F3891"/>
      <c r="G3891"/>
      <c r="H3891"/>
      <c r="I3891"/>
      <c r="J3891"/>
      <c r="K3891"/>
    </row>
    <row r="3892" spans="1:11">
      <c r="A3892"/>
      <c r="B3892"/>
      <c r="C3892"/>
      <c r="D3892"/>
      <c r="E3892"/>
      <c r="F3892"/>
      <c r="G3892"/>
      <c r="H3892"/>
      <c r="I3892"/>
      <c r="J3892"/>
      <c r="K3892"/>
    </row>
    <row r="3893" spans="1:11">
      <c r="A3893"/>
      <c r="B3893"/>
      <c r="C3893"/>
      <c r="D3893"/>
      <c r="E3893"/>
      <c r="F3893"/>
      <c r="G3893"/>
      <c r="H3893"/>
      <c r="I3893"/>
      <c r="J3893"/>
      <c r="K3893"/>
    </row>
    <row r="3894" spans="1:11">
      <c r="A3894"/>
      <c r="B3894"/>
      <c r="C3894"/>
      <c r="D3894"/>
      <c r="E3894"/>
      <c r="F3894"/>
      <c r="G3894"/>
      <c r="H3894"/>
      <c r="I3894"/>
      <c r="J3894"/>
      <c r="K3894"/>
    </row>
    <row r="3895" spans="1:11">
      <c r="A3895"/>
      <c r="B3895"/>
      <c r="C3895"/>
      <c r="D3895"/>
      <c r="E3895"/>
      <c r="F3895"/>
      <c r="G3895"/>
      <c r="H3895"/>
      <c r="I3895"/>
      <c r="J3895"/>
      <c r="K3895"/>
    </row>
    <row r="3896" spans="1:11">
      <c r="A3896"/>
      <c r="B3896"/>
      <c r="C3896"/>
      <c r="D3896"/>
      <c r="E3896"/>
      <c r="F3896"/>
      <c r="G3896"/>
      <c r="H3896"/>
      <c r="I3896"/>
      <c r="J3896"/>
      <c r="K3896"/>
    </row>
    <row r="3897" spans="1:11">
      <c r="A3897"/>
      <c r="B3897"/>
      <c r="C3897"/>
      <c r="D3897"/>
      <c r="E3897"/>
      <c r="F3897"/>
      <c r="G3897"/>
      <c r="H3897"/>
      <c r="I3897"/>
      <c r="J3897"/>
      <c r="K3897"/>
    </row>
    <row r="3898" spans="1:11">
      <c r="A3898"/>
      <c r="B3898"/>
      <c r="C3898"/>
      <c r="D3898"/>
      <c r="E3898"/>
      <c r="F3898"/>
      <c r="G3898"/>
      <c r="H3898"/>
      <c r="I3898"/>
      <c r="J3898"/>
      <c r="K3898"/>
    </row>
    <row r="3899" spans="1:11">
      <c r="A3899"/>
      <c r="B3899"/>
      <c r="C3899"/>
      <c r="D3899"/>
      <c r="E3899"/>
      <c r="F3899"/>
      <c r="G3899"/>
      <c r="H3899"/>
      <c r="I3899"/>
      <c r="J3899"/>
      <c r="K3899"/>
    </row>
    <row r="3900" spans="1:11">
      <c r="A3900"/>
      <c r="B3900"/>
      <c r="C3900"/>
      <c r="D3900"/>
      <c r="E3900"/>
      <c r="F3900"/>
      <c r="G3900"/>
      <c r="H3900"/>
      <c r="I3900"/>
      <c r="J3900"/>
      <c r="K3900"/>
    </row>
    <row r="3901" spans="1:11">
      <c r="A3901"/>
      <c r="B3901"/>
      <c r="C3901"/>
      <c r="D3901"/>
      <c r="E3901"/>
      <c r="F3901"/>
      <c r="G3901"/>
      <c r="H3901"/>
      <c r="I3901"/>
      <c r="J3901"/>
      <c r="K3901"/>
    </row>
    <row r="3902" spans="1:11">
      <c r="A3902"/>
      <c r="B3902"/>
      <c r="C3902"/>
      <c r="D3902"/>
      <c r="E3902"/>
      <c r="F3902"/>
      <c r="G3902"/>
      <c r="H3902"/>
      <c r="I3902"/>
      <c r="J3902"/>
      <c r="K3902"/>
    </row>
    <row r="3903" spans="1:11">
      <c r="A3903"/>
      <c r="B3903"/>
      <c r="C3903"/>
      <c r="D3903"/>
      <c r="E3903"/>
      <c r="F3903"/>
      <c r="G3903"/>
      <c r="H3903"/>
      <c r="I3903"/>
      <c r="J3903"/>
      <c r="K3903"/>
    </row>
    <row r="3904" spans="1:11">
      <c r="A3904"/>
      <c r="B3904"/>
      <c r="C3904"/>
      <c r="D3904"/>
      <c r="E3904"/>
      <c r="F3904"/>
      <c r="G3904"/>
      <c r="H3904"/>
      <c r="I3904"/>
      <c r="J3904"/>
      <c r="K3904"/>
    </row>
    <row r="3905" spans="1:11">
      <c r="A3905"/>
      <c r="B3905"/>
      <c r="C3905"/>
      <c r="D3905"/>
      <c r="E3905"/>
      <c r="F3905"/>
      <c r="G3905"/>
      <c r="H3905"/>
      <c r="I3905"/>
      <c r="J3905"/>
      <c r="K3905"/>
    </row>
    <row r="3906" spans="1:11">
      <c r="A3906"/>
      <c r="B3906"/>
      <c r="C3906"/>
      <c r="D3906"/>
      <c r="E3906"/>
      <c r="F3906"/>
      <c r="G3906"/>
      <c r="H3906"/>
      <c r="I3906"/>
      <c r="J3906"/>
      <c r="K3906"/>
    </row>
    <row r="3907" spans="1:11">
      <c r="A3907"/>
      <c r="B3907"/>
      <c r="C3907"/>
      <c r="D3907"/>
      <c r="E3907"/>
      <c r="F3907"/>
      <c r="G3907"/>
      <c r="H3907"/>
      <c r="I3907"/>
      <c r="J3907"/>
      <c r="K3907"/>
    </row>
    <row r="3908" spans="1:11">
      <c r="A3908"/>
      <c r="B3908"/>
      <c r="C3908"/>
      <c r="D3908"/>
      <c r="E3908"/>
      <c r="F3908"/>
      <c r="G3908"/>
      <c r="H3908"/>
      <c r="I3908"/>
      <c r="J3908"/>
      <c r="K3908"/>
    </row>
    <row r="3909" spans="1:11">
      <c r="A3909"/>
      <c r="B3909"/>
      <c r="C3909"/>
      <c r="D3909"/>
      <c r="E3909"/>
      <c r="F3909"/>
      <c r="G3909"/>
      <c r="H3909"/>
      <c r="I3909"/>
      <c r="J3909"/>
      <c r="K3909"/>
    </row>
    <row r="3910" spans="1:11">
      <c r="A3910"/>
      <c r="B3910"/>
      <c r="C3910"/>
      <c r="D3910"/>
      <c r="E3910"/>
      <c r="F3910"/>
      <c r="G3910"/>
      <c r="H3910"/>
      <c r="I3910"/>
      <c r="J3910"/>
      <c r="K3910"/>
    </row>
    <row r="3911" spans="1:11">
      <c r="A3911"/>
      <c r="B3911"/>
      <c r="C3911"/>
      <c r="D3911"/>
      <c r="E3911"/>
      <c r="F3911"/>
      <c r="G3911"/>
      <c r="H3911"/>
      <c r="I3911"/>
      <c r="J3911"/>
      <c r="K3911"/>
    </row>
    <row r="3912" spans="1:11">
      <c r="A3912"/>
      <c r="B3912"/>
      <c r="C3912"/>
      <c r="D3912"/>
      <c r="E3912"/>
      <c r="F3912"/>
      <c r="G3912"/>
      <c r="H3912"/>
      <c r="I3912"/>
      <c r="J3912"/>
      <c r="K3912"/>
    </row>
    <row r="3913" spans="1:11">
      <c r="A3913"/>
      <c r="B3913"/>
      <c r="C3913"/>
      <c r="D3913"/>
      <c r="E3913"/>
      <c r="F3913"/>
      <c r="G3913"/>
      <c r="H3913"/>
      <c r="I3913"/>
      <c r="J3913"/>
      <c r="K3913"/>
    </row>
    <row r="3914" spans="1:11">
      <c r="A3914"/>
      <c r="B3914"/>
      <c r="C3914"/>
      <c r="D3914"/>
      <c r="E3914"/>
      <c r="F3914"/>
      <c r="G3914"/>
      <c r="H3914"/>
      <c r="I3914"/>
      <c r="J3914"/>
      <c r="K3914"/>
    </row>
    <row r="3915" spans="1:11">
      <c r="A3915"/>
      <c r="B3915"/>
      <c r="C3915"/>
      <c r="D3915"/>
      <c r="E3915"/>
      <c r="F3915"/>
      <c r="G3915"/>
      <c r="H3915"/>
      <c r="I3915"/>
      <c r="J3915"/>
      <c r="K3915"/>
    </row>
    <row r="3916" spans="1:11">
      <c r="A3916"/>
      <c r="B3916"/>
      <c r="C3916"/>
      <c r="D3916"/>
      <c r="E3916"/>
      <c r="F3916"/>
      <c r="G3916"/>
      <c r="H3916"/>
      <c r="I3916"/>
      <c r="J3916"/>
      <c r="K3916"/>
    </row>
    <row r="3917" spans="1:11">
      <c r="A3917"/>
      <c r="B3917"/>
      <c r="C3917"/>
      <c r="D3917"/>
      <c r="E3917"/>
      <c r="F3917"/>
      <c r="G3917"/>
      <c r="H3917"/>
      <c r="I3917"/>
      <c r="J3917"/>
      <c r="K3917"/>
    </row>
    <row r="3918" spans="1:11">
      <c r="A3918"/>
      <c r="B3918"/>
      <c r="C3918"/>
      <c r="D3918"/>
      <c r="E3918"/>
      <c r="F3918"/>
      <c r="G3918"/>
      <c r="H3918"/>
      <c r="I3918"/>
      <c r="J3918"/>
      <c r="K3918"/>
    </row>
    <row r="3919" spans="1:11">
      <c r="A3919"/>
      <c r="B3919"/>
      <c r="C3919"/>
      <c r="D3919"/>
      <c r="E3919"/>
      <c r="F3919"/>
      <c r="G3919"/>
      <c r="H3919"/>
      <c r="I3919"/>
      <c r="J3919"/>
      <c r="K3919"/>
    </row>
    <row r="3920" spans="1:11">
      <c r="A3920"/>
      <c r="B3920"/>
      <c r="C3920"/>
      <c r="D3920"/>
      <c r="E3920"/>
      <c r="F3920"/>
      <c r="G3920"/>
      <c r="H3920"/>
      <c r="I3920"/>
      <c r="J3920"/>
      <c r="K3920"/>
    </row>
    <row r="3921" spans="1:11">
      <c r="A3921"/>
      <c r="B3921"/>
      <c r="C3921"/>
      <c r="D3921"/>
      <c r="E3921"/>
      <c r="F3921"/>
      <c r="G3921"/>
      <c r="H3921"/>
      <c r="I3921"/>
      <c r="J3921"/>
      <c r="K3921"/>
    </row>
    <row r="3922" spans="1:11">
      <c r="A3922"/>
      <c r="B3922"/>
      <c r="C3922"/>
      <c r="D3922"/>
      <c r="E3922"/>
      <c r="F3922"/>
      <c r="G3922"/>
      <c r="H3922"/>
      <c r="I3922"/>
      <c r="J3922"/>
      <c r="K3922"/>
    </row>
    <row r="3923" spans="1:11">
      <c r="A3923"/>
      <c r="B3923"/>
      <c r="C3923"/>
      <c r="D3923"/>
      <c r="E3923"/>
      <c r="F3923"/>
      <c r="G3923"/>
      <c r="H3923"/>
      <c r="I3923"/>
      <c r="J3923"/>
      <c r="K3923"/>
    </row>
    <row r="3924" spans="1:11">
      <c r="A3924"/>
      <c r="B3924"/>
      <c r="C3924"/>
      <c r="D3924"/>
      <c r="E3924"/>
      <c r="F3924"/>
      <c r="G3924"/>
      <c r="H3924"/>
      <c r="I3924"/>
      <c r="J3924"/>
      <c r="K3924"/>
    </row>
    <row r="3925" spans="1:11">
      <c r="A3925"/>
      <c r="B3925"/>
      <c r="C3925"/>
      <c r="D3925"/>
      <c r="E3925"/>
      <c r="F3925"/>
      <c r="G3925"/>
      <c r="H3925"/>
      <c r="I3925"/>
      <c r="J3925"/>
      <c r="K3925"/>
    </row>
    <row r="3926" spans="1:11">
      <c r="A3926"/>
      <c r="B3926"/>
      <c r="C3926"/>
      <c r="D3926"/>
      <c r="E3926"/>
      <c r="F3926"/>
      <c r="G3926"/>
      <c r="H3926"/>
      <c r="I3926"/>
      <c r="J3926"/>
      <c r="K3926"/>
    </row>
    <row r="3927" spans="1:11">
      <c r="A3927"/>
      <c r="B3927"/>
      <c r="C3927"/>
      <c r="D3927"/>
      <c r="E3927"/>
      <c r="F3927"/>
      <c r="G3927"/>
      <c r="H3927"/>
      <c r="I3927"/>
      <c r="J3927"/>
      <c r="K3927"/>
    </row>
    <row r="3928" spans="1:11">
      <c r="A3928"/>
      <c r="B3928"/>
      <c r="C3928"/>
      <c r="D3928"/>
      <c r="E3928"/>
      <c r="F3928"/>
      <c r="G3928"/>
      <c r="H3928"/>
      <c r="I3928"/>
      <c r="J3928"/>
      <c r="K3928"/>
    </row>
    <row r="3929" spans="1:11">
      <c r="A3929"/>
      <c r="B3929"/>
      <c r="C3929"/>
      <c r="D3929"/>
      <c r="E3929"/>
      <c r="F3929"/>
      <c r="G3929"/>
      <c r="H3929"/>
      <c r="I3929"/>
      <c r="J3929"/>
      <c r="K3929"/>
    </row>
    <row r="3930" spans="1:11">
      <c r="A3930"/>
      <c r="B3930"/>
      <c r="C3930"/>
      <c r="D3930"/>
      <c r="E3930"/>
      <c r="F3930"/>
      <c r="G3930"/>
      <c r="H3930"/>
      <c r="I3930"/>
      <c r="J3930"/>
      <c r="K3930"/>
    </row>
    <row r="3931" spans="1:11">
      <c r="A3931"/>
      <c r="B3931"/>
      <c r="C3931"/>
      <c r="D3931"/>
      <c r="E3931"/>
      <c r="F3931"/>
      <c r="G3931"/>
      <c r="H3931"/>
      <c r="I3931"/>
      <c r="J3931"/>
      <c r="K3931"/>
    </row>
    <row r="3932" spans="1:11">
      <c r="A3932"/>
      <c r="B3932"/>
      <c r="C3932"/>
      <c r="D3932"/>
      <c r="E3932"/>
      <c r="F3932"/>
      <c r="G3932"/>
      <c r="H3932"/>
      <c r="I3932"/>
      <c r="J3932"/>
      <c r="K3932"/>
    </row>
    <row r="3933" spans="1:11">
      <c r="A3933"/>
      <c r="B3933"/>
      <c r="C3933"/>
      <c r="D3933"/>
      <c r="E3933"/>
      <c r="F3933"/>
      <c r="G3933"/>
      <c r="H3933"/>
      <c r="I3933"/>
      <c r="J3933"/>
      <c r="K3933"/>
    </row>
    <row r="3934" spans="1:11">
      <c r="A3934"/>
      <c r="B3934"/>
      <c r="C3934"/>
      <c r="D3934"/>
      <c r="E3934"/>
      <c r="F3934"/>
      <c r="G3934"/>
      <c r="H3934"/>
      <c r="I3934"/>
      <c r="J3934"/>
      <c r="K3934"/>
    </row>
    <row r="3935" spans="1:11">
      <c r="A3935"/>
      <c r="B3935"/>
      <c r="C3935"/>
      <c r="D3935"/>
      <c r="E3935"/>
      <c r="F3935"/>
      <c r="G3935"/>
      <c r="H3935"/>
      <c r="I3935"/>
      <c r="J3935"/>
      <c r="K3935"/>
    </row>
    <row r="3936" spans="1:11">
      <c r="A3936"/>
      <c r="B3936"/>
      <c r="C3936"/>
      <c r="D3936"/>
      <c r="E3936"/>
      <c r="F3936"/>
      <c r="G3936"/>
      <c r="H3936"/>
      <c r="I3936"/>
      <c r="J3936"/>
      <c r="K3936"/>
    </row>
    <row r="3937" spans="1:11">
      <c r="A3937"/>
      <c r="B3937"/>
      <c r="C3937"/>
      <c r="D3937"/>
      <c r="E3937"/>
      <c r="F3937"/>
      <c r="G3937"/>
      <c r="H3937"/>
      <c r="I3937"/>
      <c r="J3937"/>
      <c r="K3937"/>
    </row>
    <row r="3938" spans="1:11">
      <c r="A3938"/>
      <c r="B3938"/>
      <c r="C3938"/>
      <c r="D3938"/>
      <c r="E3938"/>
      <c r="F3938"/>
      <c r="G3938"/>
      <c r="H3938"/>
      <c r="I3938"/>
      <c r="J3938"/>
      <c r="K3938"/>
    </row>
    <row r="3939" spans="1:11">
      <c r="A3939"/>
      <c r="B3939"/>
      <c r="C3939"/>
      <c r="D3939"/>
      <c r="E3939"/>
      <c r="F3939"/>
      <c r="G3939"/>
      <c r="H3939"/>
      <c r="I3939"/>
      <c r="J3939"/>
      <c r="K3939"/>
    </row>
    <row r="3940" spans="1:11">
      <c r="A3940"/>
      <c r="B3940"/>
      <c r="C3940"/>
      <c r="D3940"/>
      <c r="E3940"/>
      <c r="F3940"/>
      <c r="G3940"/>
      <c r="H3940"/>
      <c r="I3940"/>
      <c r="J3940"/>
      <c r="K3940"/>
    </row>
    <row r="3941" spans="1:11">
      <c r="A3941"/>
      <c r="B3941"/>
      <c r="C3941"/>
      <c r="D3941"/>
      <c r="E3941"/>
      <c r="F3941"/>
      <c r="G3941"/>
      <c r="H3941"/>
      <c r="I3941"/>
      <c r="J3941"/>
      <c r="K3941"/>
    </row>
    <row r="3942" spans="1:11">
      <c r="A3942"/>
      <c r="B3942"/>
      <c r="C3942"/>
      <c r="D3942"/>
      <c r="E3942"/>
      <c r="F3942"/>
      <c r="G3942"/>
      <c r="H3942"/>
      <c r="I3942"/>
      <c r="J3942"/>
      <c r="K3942"/>
    </row>
    <row r="3943" spans="1:11">
      <c r="A3943"/>
      <c r="B3943"/>
      <c r="C3943"/>
      <c r="D3943"/>
      <c r="E3943"/>
      <c r="F3943"/>
      <c r="G3943"/>
      <c r="H3943"/>
      <c r="I3943"/>
      <c r="J3943"/>
      <c r="K3943"/>
    </row>
    <row r="3944" spans="1:11">
      <c r="A3944"/>
      <c r="B3944"/>
      <c r="C3944"/>
      <c r="D3944"/>
      <c r="E3944"/>
      <c r="F3944"/>
      <c r="G3944"/>
      <c r="H3944"/>
      <c r="I3944"/>
      <c r="J3944"/>
      <c r="K3944"/>
    </row>
    <row r="3945" spans="1:11">
      <c r="A3945"/>
      <c r="B3945"/>
      <c r="C3945"/>
      <c r="D3945"/>
      <c r="E3945"/>
      <c r="F3945"/>
      <c r="G3945"/>
      <c r="H3945"/>
      <c r="I3945"/>
      <c r="J3945"/>
      <c r="K3945"/>
    </row>
    <row r="3946" spans="1:11">
      <c r="A3946"/>
      <c r="B3946"/>
      <c r="C3946"/>
      <c r="D3946"/>
      <c r="E3946"/>
      <c r="F3946"/>
      <c r="G3946"/>
      <c r="H3946"/>
      <c r="I3946"/>
      <c r="J3946"/>
      <c r="K3946"/>
    </row>
    <row r="3947" spans="1:11">
      <c r="A3947"/>
      <c r="B3947"/>
      <c r="C3947"/>
      <c r="D3947"/>
      <c r="E3947"/>
      <c r="F3947"/>
      <c r="G3947"/>
      <c r="H3947"/>
      <c r="I3947"/>
      <c r="J3947"/>
      <c r="K3947"/>
    </row>
    <row r="3948" spans="1:11">
      <c r="A3948"/>
      <c r="B3948"/>
      <c r="C3948"/>
      <c r="D3948"/>
      <c r="E3948"/>
      <c r="F3948"/>
      <c r="G3948"/>
      <c r="H3948"/>
      <c r="I3948"/>
      <c r="J3948"/>
      <c r="K3948"/>
    </row>
    <row r="3949" spans="1:11">
      <c r="A3949"/>
      <c r="B3949"/>
      <c r="C3949"/>
      <c r="D3949"/>
      <c r="E3949"/>
      <c r="F3949"/>
      <c r="G3949"/>
      <c r="H3949"/>
      <c r="I3949"/>
      <c r="J3949"/>
      <c r="K3949"/>
    </row>
    <row r="3950" spans="1:11">
      <c r="A3950"/>
      <c r="B3950"/>
      <c r="C3950"/>
      <c r="D3950"/>
      <c r="E3950"/>
      <c r="F3950"/>
      <c r="G3950"/>
      <c r="H3950"/>
      <c r="I3950"/>
      <c r="J3950"/>
      <c r="K3950"/>
    </row>
    <row r="3951" spans="1:11">
      <c r="A3951"/>
      <c r="B3951"/>
      <c r="C3951"/>
      <c r="D3951"/>
      <c r="E3951"/>
      <c r="F3951"/>
      <c r="G3951"/>
      <c r="H3951"/>
      <c r="I3951"/>
      <c r="J3951"/>
      <c r="K3951"/>
    </row>
    <row r="3952" spans="1:11">
      <c r="A3952"/>
      <c r="B3952"/>
      <c r="C3952"/>
      <c r="D3952"/>
      <c r="E3952"/>
      <c r="F3952"/>
      <c r="G3952"/>
      <c r="H3952"/>
      <c r="I3952"/>
      <c r="J3952"/>
      <c r="K3952"/>
    </row>
    <row r="3953" spans="1:11">
      <c r="A3953"/>
      <c r="B3953"/>
      <c r="C3953"/>
      <c r="D3953"/>
      <c r="E3953"/>
      <c r="F3953"/>
      <c r="G3953"/>
      <c r="H3953"/>
      <c r="I3953"/>
      <c r="J3953"/>
      <c r="K3953"/>
    </row>
    <row r="3954" spans="1:11">
      <c r="A3954"/>
      <c r="B3954"/>
      <c r="C3954"/>
      <c r="D3954"/>
      <c r="E3954"/>
      <c r="F3954"/>
      <c r="G3954"/>
      <c r="H3954"/>
      <c r="I3954"/>
      <c r="J3954"/>
      <c r="K3954"/>
    </row>
    <row r="3955" spans="1:11">
      <c r="A3955"/>
      <c r="B3955"/>
      <c r="C3955"/>
      <c r="D3955"/>
      <c r="E3955"/>
      <c r="F3955"/>
      <c r="G3955"/>
      <c r="H3955"/>
      <c r="I3955"/>
      <c r="J3955"/>
      <c r="K3955"/>
    </row>
    <row r="3956" spans="1:11">
      <c r="A3956"/>
      <c r="B3956"/>
      <c r="C3956"/>
      <c r="D3956"/>
      <c r="E3956"/>
      <c r="F3956"/>
      <c r="G3956"/>
      <c r="H3956"/>
      <c r="I3956"/>
      <c r="J3956"/>
      <c r="K3956"/>
    </row>
    <row r="3957" spans="1:11">
      <c r="A3957"/>
      <c r="B3957"/>
      <c r="C3957"/>
      <c r="D3957"/>
      <c r="E3957"/>
      <c r="F3957"/>
      <c r="G3957"/>
      <c r="H3957"/>
      <c r="I3957"/>
      <c r="J3957"/>
      <c r="K3957"/>
    </row>
    <row r="3958" spans="1:11">
      <c r="A3958"/>
      <c r="B3958"/>
      <c r="C3958"/>
      <c r="D3958"/>
      <c r="E3958"/>
      <c r="F3958"/>
      <c r="G3958"/>
      <c r="H3958"/>
      <c r="I3958"/>
      <c r="J3958"/>
      <c r="K3958"/>
    </row>
    <row r="3959" spans="1:11">
      <c r="A3959"/>
      <c r="B3959"/>
      <c r="C3959"/>
      <c r="D3959"/>
      <c r="E3959"/>
      <c r="F3959"/>
      <c r="G3959"/>
      <c r="H3959"/>
      <c r="I3959"/>
      <c r="J3959"/>
      <c r="K3959"/>
    </row>
    <row r="3960" spans="1:11">
      <c r="A3960"/>
      <c r="B3960"/>
      <c r="C3960"/>
      <c r="D3960"/>
      <c r="E3960"/>
      <c r="F3960"/>
      <c r="G3960"/>
      <c r="H3960"/>
      <c r="I3960"/>
      <c r="J3960"/>
      <c r="K3960"/>
    </row>
    <row r="3961" spans="1:11">
      <c r="A3961"/>
      <c r="B3961"/>
      <c r="C3961"/>
      <c r="D3961"/>
      <c r="E3961"/>
      <c r="F3961"/>
      <c r="G3961"/>
      <c r="H3961"/>
      <c r="I3961"/>
      <c r="J3961"/>
      <c r="K3961"/>
    </row>
    <row r="3962" spans="1:11">
      <c r="A3962"/>
      <c r="B3962"/>
      <c r="C3962"/>
      <c r="D3962"/>
      <c r="E3962"/>
      <c r="F3962"/>
      <c r="G3962"/>
      <c r="H3962"/>
      <c r="I3962"/>
      <c r="J3962"/>
      <c r="K3962"/>
    </row>
    <row r="3963" spans="1:11">
      <c r="A3963"/>
      <c r="B3963"/>
      <c r="C3963"/>
      <c r="D3963"/>
      <c r="E3963"/>
      <c r="F3963"/>
      <c r="G3963"/>
      <c r="H3963"/>
      <c r="I3963"/>
      <c r="J3963"/>
      <c r="K3963"/>
    </row>
    <row r="3964" spans="1:11">
      <c r="A3964"/>
      <c r="B3964"/>
      <c r="C3964"/>
      <c r="D3964"/>
      <c r="E3964"/>
      <c r="F3964"/>
      <c r="G3964"/>
      <c r="H3964"/>
      <c r="I3964"/>
      <c r="J3964"/>
      <c r="K3964"/>
    </row>
    <row r="3965" spans="1:11">
      <c r="A3965"/>
      <c r="B3965"/>
      <c r="C3965"/>
      <c r="D3965"/>
      <c r="E3965"/>
      <c r="F3965"/>
      <c r="G3965"/>
      <c r="H3965"/>
      <c r="I3965"/>
      <c r="J3965"/>
      <c r="K3965"/>
    </row>
    <row r="3966" spans="1:11">
      <c r="A3966"/>
      <c r="B3966"/>
      <c r="C3966"/>
      <c r="D3966"/>
      <c r="E3966"/>
      <c r="F3966"/>
      <c r="G3966"/>
      <c r="H3966"/>
      <c r="I3966"/>
      <c r="J3966"/>
      <c r="K3966"/>
    </row>
    <row r="3967" spans="1:11">
      <c r="A3967"/>
      <c r="B3967"/>
      <c r="C3967"/>
      <c r="D3967"/>
      <c r="E3967"/>
      <c r="F3967"/>
      <c r="G3967"/>
      <c r="H3967"/>
      <c r="I3967"/>
      <c r="J3967"/>
      <c r="K3967"/>
    </row>
    <row r="3968" spans="1:11">
      <c r="A3968"/>
      <c r="B3968"/>
      <c r="C3968"/>
      <c r="D3968"/>
      <c r="E3968"/>
      <c r="F3968"/>
      <c r="G3968"/>
      <c r="H3968"/>
      <c r="I3968"/>
      <c r="J3968"/>
      <c r="K3968"/>
    </row>
    <row r="3969" spans="1:11">
      <c r="A3969"/>
      <c r="B3969"/>
      <c r="C3969"/>
      <c r="D3969"/>
      <c r="E3969"/>
      <c r="F3969"/>
      <c r="G3969"/>
      <c r="H3969"/>
      <c r="I3969"/>
      <c r="J3969"/>
      <c r="K3969"/>
    </row>
    <row r="3970" spans="1:11">
      <c r="A3970"/>
      <c r="B3970"/>
      <c r="C3970"/>
      <c r="D3970"/>
      <c r="E3970"/>
      <c r="F3970"/>
      <c r="G3970"/>
      <c r="H3970"/>
      <c r="I3970"/>
      <c r="J3970"/>
      <c r="K3970"/>
    </row>
    <row r="3971" spans="1:11">
      <c r="A3971"/>
      <c r="B3971"/>
      <c r="C3971"/>
      <c r="D3971"/>
      <c r="E3971"/>
      <c r="F3971"/>
      <c r="G3971"/>
      <c r="H3971"/>
      <c r="I3971"/>
      <c r="J3971"/>
      <c r="K3971"/>
    </row>
    <row r="3972" spans="1:11">
      <c r="A3972"/>
      <c r="B3972"/>
      <c r="C3972"/>
      <c r="D3972"/>
      <c r="E3972"/>
      <c r="F3972"/>
      <c r="G3972"/>
      <c r="H3972"/>
      <c r="I3972"/>
      <c r="J3972"/>
      <c r="K3972"/>
    </row>
    <row r="3973" spans="1:11">
      <c r="A3973"/>
      <c r="B3973"/>
      <c r="C3973"/>
      <c r="D3973"/>
      <c r="E3973"/>
      <c r="F3973"/>
      <c r="G3973"/>
      <c r="H3973"/>
      <c r="I3973"/>
      <c r="J3973"/>
      <c r="K3973"/>
    </row>
    <row r="3974" spans="1:11">
      <c r="A3974"/>
      <c r="B3974"/>
      <c r="C3974"/>
      <c r="D3974"/>
      <c r="E3974"/>
      <c r="F3974"/>
      <c r="G3974"/>
      <c r="H3974"/>
      <c r="I3974"/>
      <c r="J3974"/>
      <c r="K3974"/>
    </row>
    <row r="3975" spans="1:11">
      <c r="A3975"/>
      <c r="B3975"/>
      <c r="C3975"/>
      <c r="D3975"/>
      <c r="E3975"/>
      <c r="F3975"/>
      <c r="G3975"/>
      <c r="H3975"/>
      <c r="I3975"/>
      <c r="J3975"/>
      <c r="K3975"/>
    </row>
    <row r="3976" spans="1:11">
      <c r="A3976"/>
      <c r="B3976"/>
      <c r="C3976"/>
      <c r="D3976"/>
      <c r="E3976"/>
      <c r="F3976"/>
      <c r="G3976"/>
      <c r="H3976"/>
      <c r="I3976"/>
      <c r="J3976"/>
      <c r="K3976"/>
    </row>
    <row r="3977" spans="1:11">
      <c r="A3977"/>
      <c r="B3977"/>
      <c r="C3977"/>
      <c r="D3977"/>
      <c r="E3977"/>
      <c r="F3977"/>
      <c r="G3977"/>
      <c r="H3977"/>
      <c r="I3977"/>
      <c r="J3977"/>
      <c r="K3977"/>
    </row>
    <row r="3978" spans="1:11">
      <c r="A3978"/>
      <c r="B3978"/>
      <c r="C3978"/>
      <c r="D3978"/>
      <c r="E3978"/>
      <c r="F3978"/>
      <c r="G3978"/>
      <c r="H3978"/>
      <c r="I3978"/>
      <c r="J3978"/>
      <c r="K3978"/>
    </row>
    <row r="3979" spans="1:11">
      <c r="A3979"/>
      <c r="B3979"/>
      <c r="C3979"/>
      <c r="D3979"/>
      <c r="E3979"/>
      <c r="F3979"/>
      <c r="G3979"/>
      <c r="H3979"/>
      <c r="I3979"/>
      <c r="J3979"/>
      <c r="K3979"/>
    </row>
    <row r="3980" spans="1:11">
      <c r="A3980"/>
      <c r="B3980"/>
      <c r="C3980"/>
      <c r="D3980"/>
      <c r="E3980"/>
      <c r="F3980"/>
      <c r="G3980"/>
      <c r="H3980"/>
      <c r="I3980"/>
      <c r="J3980"/>
      <c r="K3980"/>
    </row>
    <row r="3981" spans="1:11">
      <c r="A3981"/>
      <c r="B3981"/>
      <c r="C3981"/>
      <c r="D3981"/>
      <c r="E3981"/>
      <c r="F3981"/>
      <c r="G3981"/>
      <c r="H3981"/>
      <c r="I3981"/>
      <c r="J3981"/>
      <c r="K3981"/>
    </row>
    <row r="3982" spans="1:11">
      <c r="A3982"/>
      <c r="B3982"/>
      <c r="C3982"/>
      <c r="D3982"/>
      <c r="E3982"/>
      <c r="F3982"/>
      <c r="G3982"/>
      <c r="H3982"/>
      <c r="I3982"/>
      <c r="J3982"/>
      <c r="K3982"/>
    </row>
    <row r="3983" spans="1:11">
      <c r="A3983"/>
      <c r="B3983"/>
      <c r="C3983"/>
      <c r="D3983"/>
      <c r="E3983"/>
      <c r="F3983"/>
      <c r="G3983"/>
      <c r="H3983"/>
      <c r="I3983"/>
      <c r="J3983"/>
      <c r="K3983"/>
    </row>
    <row r="3984" spans="1:11">
      <c r="A3984"/>
      <c r="B3984"/>
      <c r="C3984"/>
      <c r="D3984"/>
      <c r="E3984"/>
      <c r="F3984"/>
      <c r="G3984"/>
      <c r="H3984"/>
      <c r="I3984"/>
      <c r="J3984"/>
      <c r="K3984"/>
    </row>
    <row r="3985" spans="1:11">
      <c r="A3985"/>
      <c r="B3985"/>
      <c r="C3985"/>
      <c r="D3985"/>
      <c r="E3985"/>
      <c r="F3985"/>
      <c r="G3985"/>
      <c r="H3985"/>
      <c r="I3985"/>
      <c r="J3985"/>
      <c r="K3985"/>
    </row>
    <row r="3986" spans="1:11">
      <c r="A3986"/>
      <c r="B3986"/>
      <c r="C3986"/>
      <c r="D3986"/>
      <c r="E3986"/>
      <c r="F3986"/>
      <c r="G3986"/>
      <c r="H3986"/>
      <c r="I3986"/>
      <c r="J3986"/>
      <c r="K3986"/>
    </row>
    <row r="3987" spans="1:11">
      <c r="A3987"/>
      <c r="B3987"/>
      <c r="C3987"/>
      <c r="D3987"/>
      <c r="E3987"/>
      <c r="F3987"/>
      <c r="G3987"/>
      <c r="H3987"/>
      <c r="I3987"/>
      <c r="J3987"/>
      <c r="K3987"/>
    </row>
    <row r="3988" spans="1:11">
      <c r="A3988"/>
      <c r="B3988"/>
      <c r="C3988"/>
      <c r="D3988"/>
      <c r="E3988"/>
      <c r="F3988"/>
      <c r="G3988"/>
      <c r="H3988"/>
      <c r="I3988"/>
      <c r="J3988"/>
      <c r="K3988"/>
    </row>
    <row r="3989" spans="1:11">
      <c r="A3989"/>
      <c r="B3989"/>
      <c r="C3989"/>
      <c r="D3989"/>
      <c r="E3989"/>
      <c r="F3989"/>
      <c r="G3989"/>
      <c r="H3989"/>
      <c r="I3989"/>
      <c r="J3989"/>
      <c r="K3989"/>
    </row>
    <row r="3990" spans="1:11">
      <c r="A3990"/>
      <c r="B3990"/>
      <c r="C3990"/>
      <c r="D3990"/>
      <c r="E3990"/>
      <c r="F3990"/>
      <c r="G3990"/>
      <c r="H3990"/>
      <c r="I3990"/>
      <c r="J3990"/>
      <c r="K3990"/>
    </row>
    <row r="3991" spans="1:11">
      <c r="A3991"/>
      <c r="B3991"/>
      <c r="C3991"/>
      <c r="D3991"/>
      <c r="E3991"/>
      <c r="F3991"/>
      <c r="G3991"/>
      <c r="H3991"/>
      <c r="I3991"/>
      <c r="J3991"/>
      <c r="K3991"/>
    </row>
    <row r="3992" spans="1:11">
      <c r="A3992"/>
      <c r="B3992"/>
      <c r="C3992"/>
      <c r="D3992"/>
      <c r="E3992"/>
      <c r="F3992"/>
      <c r="G3992"/>
      <c r="H3992"/>
      <c r="I3992"/>
      <c r="J3992"/>
      <c r="K3992"/>
    </row>
    <row r="3993" spans="1:11">
      <c r="A3993"/>
      <c r="B3993"/>
      <c r="C3993"/>
      <c r="D3993"/>
      <c r="E3993"/>
      <c r="F3993"/>
      <c r="G3993"/>
      <c r="H3993"/>
      <c r="I3993"/>
      <c r="J3993"/>
      <c r="K3993"/>
    </row>
    <row r="3994" spans="1:11">
      <c r="A3994"/>
      <c r="B3994"/>
      <c r="C3994"/>
      <c r="D3994"/>
      <c r="E3994"/>
      <c r="F3994"/>
      <c r="G3994"/>
      <c r="H3994"/>
      <c r="I3994"/>
      <c r="J3994"/>
      <c r="K3994"/>
    </row>
    <row r="3995" spans="1:11">
      <c r="A3995"/>
      <c r="B3995"/>
      <c r="C3995"/>
      <c r="D3995"/>
      <c r="E3995"/>
      <c r="F3995"/>
      <c r="G3995"/>
      <c r="H3995"/>
      <c r="I3995"/>
      <c r="J3995"/>
      <c r="K3995"/>
    </row>
    <row r="3996" spans="1:11">
      <c r="A3996"/>
      <c r="B3996"/>
      <c r="C3996"/>
      <c r="D3996"/>
      <c r="E3996"/>
      <c r="F3996"/>
      <c r="G3996"/>
      <c r="H3996"/>
      <c r="I3996"/>
      <c r="J3996"/>
      <c r="K3996"/>
    </row>
    <row r="3997" spans="1:11">
      <c r="A3997"/>
      <c r="B3997"/>
      <c r="C3997"/>
      <c r="D3997"/>
      <c r="E3997"/>
      <c r="F3997"/>
      <c r="G3997"/>
      <c r="H3997"/>
      <c r="I3997"/>
      <c r="J3997"/>
      <c r="K3997"/>
    </row>
    <row r="3998" spans="1:11">
      <c r="A3998"/>
      <c r="B3998"/>
      <c r="C3998"/>
      <c r="D3998"/>
      <c r="E3998"/>
      <c r="F3998"/>
      <c r="G3998"/>
      <c r="H3998"/>
      <c r="I3998"/>
      <c r="J3998"/>
      <c r="K3998"/>
    </row>
    <row r="3999" spans="1:11">
      <c r="A3999"/>
      <c r="B3999"/>
      <c r="C3999"/>
      <c r="D3999"/>
      <c r="E3999"/>
      <c r="F3999"/>
      <c r="G3999"/>
      <c r="H3999"/>
      <c r="I3999"/>
      <c r="J3999"/>
      <c r="K3999"/>
    </row>
    <row r="4000" spans="1:11">
      <c r="A4000"/>
      <c r="B4000"/>
      <c r="C4000"/>
      <c r="D4000"/>
      <c r="E4000"/>
      <c r="F4000"/>
      <c r="G4000"/>
      <c r="H4000"/>
      <c r="I4000"/>
      <c r="J4000"/>
      <c r="K4000"/>
    </row>
    <row r="4001" spans="1:11">
      <c r="A4001"/>
      <c r="B4001"/>
      <c r="C4001"/>
      <c r="D4001"/>
      <c r="E4001"/>
      <c r="F4001"/>
      <c r="G4001"/>
      <c r="H4001"/>
      <c r="I4001"/>
      <c r="J4001"/>
      <c r="K4001"/>
    </row>
    <row r="4002" spans="1:11">
      <c r="A4002"/>
      <c r="B4002"/>
      <c r="C4002"/>
      <c r="D4002"/>
      <c r="E4002"/>
      <c r="F4002"/>
      <c r="G4002"/>
      <c r="H4002"/>
      <c r="I4002"/>
      <c r="J4002"/>
      <c r="K4002"/>
    </row>
    <row r="4003" spans="1:11">
      <c r="A4003"/>
      <c r="B4003"/>
      <c r="C4003"/>
      <c r="D4003"/>
      <c r="E4003"/>
      <c r="F4003"/>
      <c r="G4003"/>
      <c r="H4003"/>
      <c r="I4003"/>
      <c r="J4003"/>
      <c r="K4003"/>
    </row>
    <row r="4004" spans="1:11">
      <c r="A4004"/>
      <c r="B4004"/>
      <c r="C4004"/>
      <c r="D4004"/>
      <c r="E4004"/>
      <c r="F4004"/>
      <c r="G4004"/>
      <c r="H4004"/>
      <c r="I4004"/>
      <c r="J4004"/>
      <c r="K4004"/>
    </row>
    <row r="4005" spans="1:11">
      <c r="A4005"/>
      <c r="B4005"/>
      <c r="C4005"/>
      <c r="D4005"/>
      <c r="E4005"/>
      <c r="F4005"/>
      <c r="G4005"/>
      <c r="H4005"/>
      <c r="I4005"/>
      <c r="J4005"/>
      <c r="K4005"/>
    </row>
    <row r="4006" spans="1:11">
      <c r="A4006"/>
      <c r="B4006"/>
      <c r="C4006"/>
      <c r="D4006"/>
      <c r="E4006"/>
      <c r="F4006"/>
      <c r="G4006"/>
      <c r="H4006"/>
      <c r="I4006"/>
      <c r="J4006"/>
      <c r="K4006"/>
    </row>
    <row r="4007" spans="1:11">
      <c r="A4007"/>
      <c r="B4007"/>
      <c r="C4007"/>
      <c r="D4007"/>
      <c r="E4007"/>
      <c r="F4007"/>
      <c r="G4007"/>
      <c r="H4007"/>
      <c r="I4007"/>
      <c r="J4007"/>
      <c r="K4007"/>
    </row>
    <row r="4008" spans="1:11">
      <c r="A4008"/>
      <c r="B4008"/>
      <c r="C4008"/>
      <c r="D4008"/>
      <c r="E4008"/>
      <c r="F4008"/>
      <c r="G4008"/>
      <c r="H4008"/>
      <c r="I4008"/>
      <c r="J4008"/>
      <c r="K4008"/>
    </row>
    <row r="4009" spans="1:11">
      <c r="A4009"/>
      <c r="B4009"/>
      <c r="C4009"/>
      <c r="D4009"/>
      <c r="E4009"/>
      <c r="F4009"/>
      <c r="G4009"/>
      <c r="H4009"/>
      <c r="I4009"/>
      <c r="J4009"/>
      <c r="K4009"/>
    </row>
    <row r="4010" spans="1:11">
      <c r="A4010"/>
      <c r="B4010"/>
      <c r="C4010"/>
      <c r="D4010"/>
      <c r="E4010"/>
      <c r="F4010"/>
      <c r="G4010"/>
      <c r="H4010"/>
      <c r="I4010"/>
      <c r="J4010"/>
      <c r="K4010"/>
    </row>
    <row r="4011" spans="1:11">
      <c r="A4011"/>
      <c r="B4011"/>
      <c r="C4011"/>
      <c r="D4011"/>
      <c r="E4011"/>
      <c r="F4011"/>
      <c r="G4011"/>
      <c r="H4011"/>
      <c r="I4011"/>
      <c r="J4011"/>
      <c r="K4011"/>
    </row>
    <row r="4012" spans="1:11">
      <c r="A4012"/>
      <c r="B4012"/>
      <c r="C4012"/>
      <c r="D4012"/>
      <c r="E4012"/>
      <c r="F4012"/>
      <c r="G4012"/>
      <c r="H4012"/>
      <c r="I4012"/>
      <c r="J4012"/>
      <c r="K4012"/>
    </row>
    <row r="4013" spans="1:11">
      <c r="A4013"/>
      <c r="B4013"/>
      <c r="C4013"/>
      <c r="D4013"/>
      <c r="E4013"/>
      <c r="F4013"/>
      <c r="G4013"/>
      <c r="H4013"/>
      <c r="I4013"/>
      <c r="J4013"/>
      <c r="K4013"/>
    </row>
    <row r="4014" spans="1:11">
      <c r="A4014"/>
      <c r="B4014"/>
      <c r="C4014"/>
      <c r="D4014"/>
      <c r="E4014"/>
      <c r="F4014"/>
      <c r="G4014"/>
      <c r="H4014"/>
      <c r="I4014"/>
      <c r="J4014"/>
      <c r="K4014"/>
    </row>
    <row r="4015" spans="1:11">
      <c r="A4015"/>
      <c r="B4015"/>
      <c r="C4015"/>
      <c r="D4015"/>
      <c r="E4015"/>
      <c r="F4015"/>
      <c r="G4015"/>
      <c r="H4015"/>
      <c r="I4015"/>
      <c r="J4015"/>
      <c r="K4015"/>
    </row>
    <row r="4016" spans="1:11">
      <c r="A4016"/>
      <c r="B4016"/>
      <c r="C4016"/>
      <c r="D4016"/>
      <c r="E4016"/>
      <c r="F4016"/>
      <c r="G4016"/>
      <c r="H4016"/>
      <c r="I4016"/>
      <c r="J4016"/>
      <c r="K4016"/>
    </row>
    <row r="4017" spans="1:11">
      <c r="A4017"/>
      <c r="B4017"/>
      <c r="C4017"/>
      <c r="D4017"/>
      <c r="E4017"/>
      <c r="F4017"/>
      <c r="G4017"/>
      <c r="H4017"/>
      <c r="I4017"/>
      <c r="J4017"/>
      <c r="K4017"/>
    </row>
    <row r="4018" spans="1:11">
      <c r="A4018"/>
      <c r="B4018"/>
      <c r="C4018"/>
      <c r="D4018"/>
      <c r="E4018"/>
      <c r="F4018"/>
      <c r="G4018"/>
      <c r="H4018"/>
      <c r="I4018"/>
      <c r="J4018"/>
      <c r="K4018"/>
    </row>
    <row r="4019" spans="1:11">
      <c r="A4019"/>
      <c r="B4019"/>
      <c r="C4019"/>
      <c r="D4019"/>
      <c r="E4019"/>
      <c r="F4019"/>
      <c r="G4019"/>
      <c r="H4019"/>
      <c r="I4019"/>
      <c r="J4019"/>
      <c r="K4019"/>
    </row>
    <row r="4020" spans="1:11">
      <c r="A4020"/>
      <c r="B4020"/>
      <c r="C4020"/>
      <c r="D4020"/>
      <c r="E4020"/>
      <c r="F4020"/>
      <c r="G4020"/>
      <c r="H4020"/>
      <c r="I4020"/>
      <c r="J4020"/>
      <c r="K4020"/>
    </row>
    <row r="4021" spans="1:11">
      <c r="A4021"/>
      <c r="B4021"/>
      <c r="C4021"/>
      <c r="D4021"/>
      <c r="E4021"/>
      <c r="F4021"/>
      <c r="G4021"/>
      <c r="H4021"/>
      <c r="I4021"/>
      <c r="J4021"/>
      <c r="K4021"/>
    </row>
    <row r="4022" spans="1:11">
      <c r="A4022"/>
      <c r="B4022"/>
      <c r="C4022"/>
      <c r="D4022"/>
      <c r="E4022"/>
      <c r="F4022"/>
      <c r="G4022"/>
      <c r="H4022"/>
      <c r="I4022"/>
      <c r="J4022"/>
      <c r="K4022"/>
    </row>
    <row r="4023" spans="1:11">
      <c r="A4023"/>
      <c r="B4023"/>
      <c r="C4023"/>
      <c r="D4023"/>
      <c r="E4023"/>
      <c r="F4023"/>
      <c r="G4023"/>
      <c r="H4023"/>
      <c r="I4023"/>
      <c r="J4023"/>
      <c r="K4023"/>
    </row>
    <row r="4024" spans="1:11">
      <c r="A4024"/>
      <c r="B4024"/>
      <c r="C4024"/>
      <c r="D4024"/>
      <c r="E4024"/>
      <c r="F4024"/>
      <c r="G4024"/>
      <c r="H4024"/>
      <c r="I4024"/>
      <c r="J4024"/>
      <c r="K4024"/>
    </row>
    <row r="4025" spans="1:11">
      <c r="A4025"/>
      <c r="B4025"/>
      <c r="C4025"/>
      <c r="D4025"/>
      <c r="E4025"/>
      <c r="F4025"/>
      <c r="G4025"/>
      <c r="H4025"/>
      <c r="I4025"/>
      <c r="J4025"/>
      <c r="K4025"/>
    </row>
    <row r="4026" spans="1:11">
      <c r="A4026"/>
      <c r="B4026"/>
      <c r="C4026"/>
      <c r="D4026"/>
      <c r="E4026"/>
      <c r="F4026"/>
      <c r="G4026"/>
      <c r="H4026"/>
      <c r="I4026"/>
      <c r="J4026"/>
      <c r="K4026"/>
    </row>
    <row r="4027" spans="1:11">
      <c r="A4027"/>
      <c r="B4027"/>
      <c r="C4027"/>
      <c r="D4027"/>
      <c r="E4027"/>
      <c r="F4027"/>
      <c r="G4027"/>
      <c r="H4027"/>
      <c r="I4027"/>
      <c r="J4027"/>
      <c r="K4027"/>
    </row>
    <row r="4028" spans="1:11">
      <c r="A4028"/>
      <c r="B4028"/>
      <c r="C4028"/>
      <c r="D4028"/>
      <c r="E4028"/>
      <c r="F4028"/>
      <c r="G4028"/>
      <c r="H4028"/>
      <c r="I4028"/>
      <c r="J4028"/>
      <c r="K4028"/>
    </row>
    <row r="4029" spans="1:11">
      <c r="A4029"/>
      <c r="B4029"/>
      <c r="C4029"/>
      <c r="D4029"/>
      <c r="E4029"/>
      <c r="F4029"/>
      <c r="G4029"/>
      <c r="H4029"/>
      <c r="I4029"/>
      <c r="J4029"/>
      <c r="K4029"/>
    </row>
    <row r="4030" spans="1:11">
      <c r="A4030"/>
      <c r="B4030"/>
      <c r="C4030"/>
      <c r="D4030"/>
      <c r="E4030"/>
      <c r="F4030"/>
      <c r="G4030"/>
      <c r="H4030"/>
      <c r="I4030"/>
      <c r="J4030"/>
      <c r="K4030"/>
    </row>
    <row r="4031" spans="1:11">
      <c r="A4031"/>
      <c r="B4031"/>
      <c r="C4031"/>
      <c r="D4031"/>
      <c r="E4031"/>
      <c r="F4031"/>
      <c r="G4031"/>
      <c r="H4031"/>
      <c r="I4031"/>
      <c r="J4031"/>
      <c r="K4031"/>
    </row>
    <row r="4032" spans="1:11">
      <c r="A4032"/>
      <c r="B4032"/>
      <c r="C4032"/>
      <c r="D4032"/>
      <c r="E4032"/>
      <c r="F4032"/>
      <c r="G4032"/>
      <c r="H4032"/>
      <c r="I4032"/>
      <c r="J4032"/>
      <c r="K4032"/>
    </row>
    <row r="4033" spans="1:11">
      <c r="A4033"/>
      <c r="B4033"/>
      <c r="C4033"/>
      <c r="D4033"/>
      <c r="E4033"/>
      <c r="F4033"/>
      <c r="G4033"/>
      <c r="H4033"/>
      <c r="I4033"/>
      <c r="J4033"/>
      <c r="K4033"/>
    </row>
    <row r="4034" spans="1:11">
      <c r="A4034"/>
      <c r="B4034"/>
      <c r="C4034"/>
      <c r="D4034"/>
      <c r="E4034"/>
      <c r="F4034"/>
      <c r="G4034"/>
      <c r="H4034"/>
      <c r="I4034"/>
      <c r="J4034"/>
      <c r="K4034"/>
    </row>
    <row r="4035" spans="1:11">
      <c r="A4035"/>
      <c r="B4035"/>
      <c r="C4035"/>
      <c r="D4035"/>
      <c r="E4035"/>
      <c r="F4035"/>
      <c r="G4035"/>
      <c r="H4035"/>
      <c r="I4035"/>
      <c r="J4035"/>
      <c r="K4035"/>
    </row>
    <row r="4036" spans="1:11">
      <c r="A4036"/>
      <c r="B4036"/>
      <c r="C4036"/>
      <c r="D4036"/>
      <c r="E4036"/>
      <c r="F4036"/>
      <c r="G4036"/>
      <c r="H4036"/>
      <c r="I4036"/>
      <c r="J4036"/>
      <c r="K4036"/>
    </row>
    <row r="4037" spans="1:11">
      <c r="A4037"/>
      <c r="B4037"/>
      <c r="C4037"/>
      <c r="D4037"/>
      <c r="E4037"/>
      <c r="F4037"/>
      <c r="G4037"/>
      <c r="H4037"/>
      <c r="I4037"/>
      <c r="J4037"/>
      <c r="K4037"/>
    </row>
    <row r="4038" spans="1:11">
      <c r="A4038"/>
      <c r="B4038"/>
      <c r="C4038"/>
      <c r="D4038"/>
      <c r="E4038"/>
      <c r="F4038"/>
      <c r="G4038"/>
      <c r="H4038"/>
      <c r="I4038"/>
      <c r="J4038"/>
      <c r="K4038"/>
    </row>
    <row r="4039" spans="1:11">
      <c r="A4039"/>
      <c r="B4039"/>
      <c r="C4039"/>
      <c r="D4039"/>
      <c r="E4039"/>
      <c r="F4039"/>
      <c r="G4039"/>
      <c r="H4039"/>
      <c r="I4039"/>
      <c r="J4039"/>
      <c r="K4039"/>
    </row>
    <row r="4040" spans="1:11">
      <c r="A4040"/>
      <c r="B4040"/>
      <c r="C4040"/>
      <c r="D4040"/>
      <c r="E4040"/>
      <c r="F4040"/>
      <c r="G4040"/>
      <c r="H4040"/>
      <c r="I4040"/>
      <c r="J4040"/>
      <c r="K4040"/>
    </row>
    <row r="4041" spans="1:11">
      <c r="A4041"/>
      <c r="B4041"/>
      <c r="C4041"/>
      <c r="D4041"/>
      <c r="E4041"/>
      <c r="F4041"/>
      <c r="G4041"/>
      <c r="H4041"/>
      <c r="I4041"/>
      <c r="J4041"/>
      <c r="K4041"/>
    </row>
    <row r="4042" spans="1:11">
      <c r="A4042"/>
      <c r="B4042"/>
      <c r="C4042"/>
      <c r="D4042"/>
      <c r="E4042"/>
      <c r="F4042"/>
      <c r="G4042"/>
      <c r="H4042"/>
      <c r="I4042"/>
      <c r="J4042"/>
      <c r="K4042"/>
    </row>
    <row r="4043" spans="1:11">
      <c r="A4043"/>
      <c r="B4043"/>
      <c r="C4043"/>
      <c r="D4043"/>
      <c r="E4043"/>
      <c r="F4043"/>
      <c r="G4043"/>
      <c r="H4043"/>
      <c r="I4043"/>
      <c r="J4043"/>
      <c r="K4043"/>
    </row>
    <row r="4044" spans="1:11">
      <c r="A4044"/>
      <c r="B4044"/>
      <c r="C4044"/>
      <c r="D4044"/>
      <c r="E4044"/>
      <c r="F4044"/>
      <c r="G4044"/>
      <c r="H4044"/>
      <c r="I4044"/>
      <c r="J4044"/>
      <c r="K4044"/>
    </row>
    <row r="4045" spans="1:11">
      <c r="A4045"/>
      <c r="B4045"/>
      <c r="C4045"/>
      <c r="D4045"/>
      <c r="E4045"/>
      <c r="F4045"/>
      <c r="G4045"/>
      <c r="H4045"/>
      <c r="I4045"/>
      <c r="J4045"/>
      <c r="K4045"/>
    </row>
    <row r="4046" spans="1:11">
      <c r="A4046"/>
      <c r="B4046"/>
      <c r="C4046"/>
      <c r="D4046"/>
      <c r="E4046"/>
      <c r="F4046"/>
      <c r="G4046"/>
      <c r="H4046"/>
      <c r="I4046"/>
      <c r="J4046"/>
      <c r="K4046"/>
    </row>
    <row r="4047" spans="1:11">
      <c r="A4047"/>
      <c r="B4047"/>
      <c r="C4047"/>
      <c r="D4047"/>
      <c r="E4047"/>
      <c r="F4047"/>
      <c r="G4047"/>
      <c r="H4047"/>
      <c r="I4047"/>
      <c r="J4047"/>
      <c r="K4047"/>
    </row>
    <row r="4048" spans="1:11">
      <c r="A4048"/>
      <c r="B4048"/>
      <c r="C4048"/>
      <c r="D4048"/>
      <c r="E4048"/>
      <c r="F4048"/>
      <c r="G4048"/>
      <c r="H4048"/>
      <c r="I4048"/>
      <c r="J4048"/>
      <c r="K4048"/>
    </row>
    <row r="4049" spans="1:11">
      <c r="A4049"/>
      <c r="B4049"/>
      <c r="C4049"/>
      <c r="D4049"/>
      <c r="E4049"/>
      <c r="F4049"/>
      <c r="G4049"/>
      <c r="H4049"/>
      <c r="I4049"/>
      <c r="J4049"/>
      <c r="K4049"/>
    </row>
    <row r="4050" spans="1:11">
      <c r="A4050"/>
      <c r="B4050"/>
      <c r="C4050"/>
      <c r="D4050"/>
      <c r="E4050"/>
      <c r="F4050"/>
      <c r="G4050"/>
      <c r="H4050"/>
      <c r="I4050"/>
      <c r="J4050"/>
      <c r="K4050"/>
    </row>
    <row r="4051" spans="1:11">
      <c r="A4051"/>
      <c r="B4051"/>
      <c r="C4051"/>
      <c r="D4051"/>
      <c r="E4051"/>
      <c r="F4051"/>
      <c r="G4051"/>
      <c r="H4051"/>
      <c r="I4051"/>
      <c r="J4051"/>
      <c r="K4051"/>
    </row>
    <row r="4052" spans="1:11">
      <c r="A4052"/>
      <c r="B4052"/>
      <c r="C4052"/>
      <c r="D4052"/>
      <c r="E4052"/>
      <c r="F4052"/>
      <c r="G4052"/>
      <c r="H4052"/>
      <c r="I4052"/>
      <c r="J4052"/>
      <c r="K4052"/>
    </row>
    <row r="4053" spans="1:11">
      <c r="A4053"/>
      <c r="B4053"/>
      <c r="C4053"/>
      <c r="D4053"/>
      <c r="E4053"/>
      <c r="F4053"/>
      <c r="G4053"/>
      <c r="H4053"/>
      <c r="I4053"/>
      <c r="J4053"/>
      <c r="K4053"/>
    </row>
    <row r="4054" spans="1:11">
      <c r="A4054"/>
      <c r="B4054"/>
      <c r="C4054"/>
      <c r="D4054"/>
      <c r="E4054"/>
      <c r="F4054"/>
      <c r="G4054"/>
      <c r="H4054"/>
      <c r="I4054"/>
      <c r="J4054"/>
      <c r="K4054"/>
    </row>
    <row r="4055" spans="1:11">
      <c r="A4055"/>
      <c r="B4055"/>
      <c r="C4055"/>
      <c r="D4055"/>
      <c r="E4055"/>
      <c r="F4055"/>
      <c r="G4055"/>
      <c r="H4055"/>
      <c r="I4055"/>
      <c r="J4055"/>
      <c r="K4055"/>
    </row>
    <row r="4056" spans="1:11">
      <c r="A4056"/>
      <c r="B4056"/>
      <c r="C4056"/>
      <c r="D4056"/>
      <c r="E4056"/>
      <c r="F4056"/>
      <c r="G4056"/>
      <c r="H4056"/>
      <c r="I4056"/>
      <c r="J4056"/>
      <c r="K4056"/>
    </row>
    <row r="4057" spans="1:11">
      <c r="A4057"/>
      <c r="B4057"/>
      <c r="C4057"/>
      <c r="D4057"/>
      <c r="E4057"/>
      <c r="F4057"/>
      <c r="G4057"/>
      <c r="H4057"/>
      <c r="I4057"/>
      <c r="J4057"/>
      <c r="K4057"/>
    </row>
    <row r="4058" spans="1:11">
      <c r="A4058"/>
      <c r="B4058"/>
      <c r="C4058"/>
      <c r="D4058"/>
      <c r="E4058"/>
      <c r="F4058"/>
      <c r="G4058"/>
      <c r="H4058"/>
      <c r="I4058"/>
      <c r="J4058"/>
      <c r="K4058"/>
    </row>
    <row r="4059" spans="1:11">
      <c r="A4059"/>
      <c r="B4059"/>
      <c r="C4059"/>
      <c r="D4059"/>
      <c r="E4059"/>
      <c r="F4059"/>
      <c r="G4059"/>
      <c r="H4059"/>
      <c r="I4059"/>
      <c r="J4059"/>
      <c r="K4059"/>
    </row>
    <row r="4060" spans="1:11">
      <c r="A4060"/>
      <c r="B4060"/>
      <c r="C4060"/>
      <c r="D4060"/>
      <c r="E4060"/>
      <c r="F4060"/>
      <c r="G4060"/>
      <c r="H4060"/>
      <c r="I4060"/>
      <c r="J4060"/>
      <c r="K4060"/>
    </row>
    <row r="4061" spans="1:11">
      <c r="A4061"/>
      <c r="B4061"/>
      <c r="C4061"/>
      <c r="D4061"/>
      <c r="E4061"/>
      <c r="F4061"/>
      <c r="G4061"/>
      <c r="H4061"/>
      <c r="I4061"/>
      <c r="J4061"/>
      <c r="K4061"/>
    </row>
    <row r="4062" spans="1:11">
      <c r="A4062"/>
      <c r="B4062"/>
      <c r="C4062"/>
      <c r="D4062"/>
      <c r="E4062"/>
      <c r="F4062"/>
      <c r="G4062"/>
      <c r="H4062"/>
      <c r="I4062"/>
      <c r="J4062"/>
      <c r="K4062"/>
    </row>
    <row r="4063" spans="1:11">
      <c r="A4063"/>
      <c r="B4063"/>
      <c r="C4063"/>
      <c r="D4063"/>
      <c r="E4063"/>
      <c r="F4063"/>
      <c r="G4063"/>
      <c r="H4063"/>
      <c r="I4063"/>
      <c r="J4063"/>
      <c r="K4063"/>
    </row>
    <row r="4064" spans="1:11">
      <c r="A4064"/>
      <c r="B4064"/>
      <c r="C4064"/>
      <c r="D4064"/>
      <c r="E4064"/>
      <c r="F4064"/>
      <c r="G4064"/>
      <c r="H4064"/>
      <c r="I4064"/>
      <c r="J4064"/>
      <c r="K4064"/>
    </row>
    <row r="4065" spans="1:11">
      <c r="A4065"/>
      <c r="B4065"/>
      <c r="C4065"/>
      <c r="D4065"/>
      <c r="E4065"/>
      <c r="F4065"/>
      <c r="G4065"/>
      <c r="H4065"/>
      <c r="I4065"/>
      <c r="J4065"/>
      <c r="K4065"/>
    </row>
    <row r="4066" spans="1:11">
      <c r="A4066"/>
      <c r="B4066"/>
      <c r="C4066"/>
      <c r="D4066"/>
      <c r="E4066"/>
      <c r="F4066"/>
      <c r="G4066"/>
      <c r="H4066"/>
      <c r="I4066"/>
      <c r="J4066"/>
      <c r="K4066"/>
    </row>
    <row r="4067" spans="1:11">
      <c r="A4067"/>
      <c r="B4067"/>
      <c r="C4067"/>
      <c r="D4067"/>
      <c r="E4067"/>
      <c r="F4067"/>
      <c r="G4067"/>
      <c r="H4067"/>
      <c r="I4067"/>
      <c r="J4067"/>
      <c r="K4067"/>
    </row>
    <row r="4068" spans="1:11">
      <c r="A4068"/>
      <c r="B4068"/>
      <c r="C4068"/>
      <c r="D4068"/>
      <c r="E4068"/>
      <c r="F4068"/>
      <c r="G4068"/>
      <c r="H4068"/>
      <c r="I4068"/>
      <c r="J4068"/>
      <c r="K4068"/>
    </row>
    <row r="4069" spans="1:11">
      <c r="A4069"/>
      <c r="B4069"/>
      <c r="C4069"/>
      <c r="D4069"/>
      <c r="E4069"/>
      <c r="F4069"/>
      <c r="G4069"/>
      <c r="H4069"/>
      <c r="I4069"/>
      <c r="J4069"/>
      <c r="K4069"/>
    </row>
    <row r="4070" spans="1:11">
      <c r="A4070"/>
      <c r="B4070"/>
      <c r="C4070"/>
      <c r="D4070"/>
      <c r="E4070"/>
      <c r="F4070"/>
      <c r="G4070"/>
      <c r="H4070"/>
      <c r="I4070"/>
      <c r="J4070"/>
      <c r="K4070"/>
    </row>
    <row r="4071" spans="1:11">
      <c r="A4071"/>
      <c r="B4071"/>
      <c r="C4071"/>
      <c r="D4071"/>
      <c r="E4071"/>
      <c r="F4071"/>
      <c r="G4071"/>
      <c r="H4071"/>
      <c r="I4071"/>
      <c r="J4071"/>
      <c r="K4071"/>
    </row>
    <row r="4072" spans="1:11">
      <c r="A4072"/>
      <c r="B4072"/>
      <c r="C4072"/>
      <c r="D4072"/>
      <c r="E4072"/>
      <c r="F4072"/>
      <c r="G4072"/>
      <c r="H4072"/>
      <c r="I4072"/>
      <c r="J4072"/>
      <c r="K4072"/>
    </row>
    <row r="4073" spans="1:11">
      <c r="A4073"/>
      <c r="B4073"/>
      <c r="C4073"/>
      <c r="D4073"/>
      <c r="E4073"/>
      <c r="F4073"/>
      <c r="G4073"/>
      <c r="H4073"/>
      <c r="I4073"/>
      <c r="J4073"/>
      <c r="K4073"/>
    </row>
    <row r="4074" spans="1:11">
      <c r="A4074"/>
      <c r="B4074"/>
      <c r="C4074"/>
      <c r="D4074"/>
      <c r="E4074"/>
      <c r="F4074"/>
      <c r="G4074"/>
      <c r="H4074"/>
      <c r="I4074"/>
      <c r="J4074"/>
      <c r="K4074"/>
    </row>
    <row r="4075" spans="1:11">
      <c r="A4075"/>
      <c r="B4075"/>
      <c r="C4075"/>
      <c r="D4075"/>
      <c r="E4075"/>
      <c r="F4075"/>
      <c r="G4075"/>
      <c r="H4075"/>
      <c r="I4075"/>
      <c r="J4075"/>
      <c r="K4075"/>
    </row>
    <row r="4076" spans="1:11">
      <c r="A4076"/>
      <c r="B4076"/>
      <c r="C4076"/>
      <c r="D4076"/>
      <c r="E4076"/>
      <c r="F4076"/>
      <c r="G4076"/>
      <c r="H4076"/>
      <c r="I4076"/>
      <c r="J4076"/>
      <c r="K4076"/>
    </row>
    <row r="4077" spans="1:11">
      <c r="A4077"/>
      <c r="B4077"/>
      <c r="C4077"/>
      <c r="D4077"/>
      <c r="E4077"/>
      <c r="F4077"/>
      <c r="G4077"/>
      <c r="H4077"/>
      <c r="I4077"/>
      <c r="J4077"/>
      <c r="K4077"/>
    </row>
    <row r="4078" spans="1:11">
      <c r="A4078"/>
      <c r="B4078"/>
      <c r="C4078"/>
      <c r="D4078"/>
      <c r="E4078"/>
      <c r="F4078"/>
      <c r="G4078"/>
      <c r="H4078"/>
      <c r="I4078"/>
      <c r="J4078"/>
      <c r="K4078"/>
    </row>
    <row r="4079" spans="1:11">
      <c r="A4079"/>
      <c r="B4079"/>
      <c r="C4079"/>
      <c r="D4079"/>
      <c r="E4079"/>
      <c r="F4079"/>
      <c r="G4079"/>
      <c r="H4079"/>
      <c r="I4079"/>
      <c r="J4079"/>
      <c r="K4079"/>
    </row>
    <row r="4080" spans="1:11">
      <c r="A4080"/>
      <c r="B4080"/>
      <c r="C4080"/>
      <c r="D4080"/>
      <c r="E4080"/>
      <c r="F4080"/>
      <c r="G4080"/>
      <c r="H4080"/>
      <c r="I4080"/>
      <c r="J4080"/>
      <c r="K4080"/>
    </row>
    <row r="4081" spans="1:11">
      <c r="A4081"/>
      <c r="B4081"/>
      <c r="C4081"/>
      <c r="D4081"/>
      <c r="E4081"/>
      <c r="F4081"/>
      <c r="G4081"/>
      <c r="H4081"/>
      <c r="I4081"/>
      <c r="J4081"/>
      <c r="K4081"/>
    </row>
    <row r="4082" spans="1:11">
      <c r="A4082"/>
      <c r="B4082"/>
      <c r="C4082"/>
      <c r="D4082"/>
      <c r="E4082"/>
      <c r="F4082"/>
      <c r="G4082"/>
      <c r="H4082"/>
      <c r="I4082"/>
      <c r="J4082"/>
      <c r="K4082"/>
    </row>
    <row r="4083" spans="1:11">
      <c r="A4083"/>
      <c r="B4083"/>
      <c r="C4083"/>
      <c r="D4083"/>
      <c r="E4083"/>
      <c r="F4083"/>
      <c r="G4083"/>
      <c r="H4083"/>
      <c r="I4083"/>
      <c r="J4083"/>
      <c r="K4083"/>
    </row>
    <row r="4084" spans="1:11">
      <c r="A4084"/>
      <c r="B4084"/>
      <c r="C4084"/>
      <c r="D4084"/>
      <c r="E4084"/>
      <c r="F4084"/>
      <c r="G4084"/>
      <c r="H4084"/>
      <c r="I4084"/>
      <c r="J4084"/>
      <c r="K4084"/>
    </row>
    <row r="4085" spans="1:11">
      <c r="A4085"/>
      <c r="B4085"/>
      <c r="C4085"/>
      <c r="D4085"/>
      <c r="E4085"/>
      <c r="F4085"/>
      <c r="G4085"/>
      <c r="H4085"/>
      <c r="I4085"/>
      <c r="J4085"/>
      <c r="K4085"/>
    </row>
    <row r="4086" spans="1:11">
      <c r="A4086"/>
      <c r="B4086"/>
      <c r="C4086"/>
      <c r="D4086"/>
      <c r="E4086"/>
      <c r="F4086"/>
      <c r="G4086"/>
      <c r="H4086"/>
      <c r="I4086"/>
      <c r="J4086"/>
      <c r="K4086"/>
    </row>
    <row r="4087" spans="1:11">
      <c r="A4087"/>
      <c r="B4087"/>
      <c r="C4087"/>
      <c r="D4087"/>
      <c r="E4087"/>
      <c r="F4087"/>
      <c r="G4087"/>
      <c r="H4087"/>
      <c r="I4087"/>
      <c r="J4087"/>
      <c r="K4087"/>
    </row>
    <row r="4088" spans="1:11">
      <c r="A4088"/>
      <c r="B4088"/>
      <c r="C4088"/>
      <c r="D4088"/>
      <c r="E4088"/>
      <c r="F4088"/>
      <c r="G4088"/>
      <c r="H4088"/>
      <c r="I4088"/>
      <c r="J4088"/>
      <c r="K4088"/>
    </row>
    <row r="4089" spans="1:11">
      <c r="A4089"/>
      <c r="B4089"/>
      <c r="C4089"/>
      <c r="D4089"/>
      <c r="E4089"/>
      <c r="F4089"/>
      <c r="G4089"/>
      <c r="H4089"/>
      <c r="I4089"/>
      <c r="J4089"/>
      <c r="K4089"/>
    </row>
    <row r="4090" spans="1:11">
      <c r="A4090"/>
      <c r="B4090"/>
      <c r="C4090"/>
      <c r="D4090"/>
      <c r="E4090"/>
      <c r="F4090"/>
      <c r="G4090"/>
      <c r="H4090"/>
      <c r="I4090"/>
      <c r="J4090"/>
      <c r="K4090"/>
    </row>
    <row r="4091" spans="1:11">
      <c r="A4091"/>
      <c r="B4091"/>
      <c r="C4091"/>
      <c r="D4091"/>
      <c r="E4091"/>
      <c r="F4091"/>
      <c r="G4091"/>
      <c r="H4091"/>
      <c r="I4091"/>
      <c r="J4091"/>
      <c r="K4091"/>
    </row>
    <row r="4092" spans="1:11">
      <c r="A4092"/>
      <c r="B4092"/>
      <c r="C4092"/>
      <c r="D4092"/>
      <c r="E4092"/>
      <c r="F4092"/>
      <c r="G4092"/>
      <c r="H4092"/>
      <c r="I4092"/>
      <c r="J4092"/>
      <c r="K4092"/>
    </row>
    <row r="4093" spans="1:11">
      <c r="A4093"/>
      <c r="B4093"/>
      <c r="C4093"/>
      <c r="D4093"/>
      <c r="E4093"/>
      <c r="F4093"/>
      <c r="G4093"/>
      <c r="H4093"/>
      <c r="I4093"/>
      <c r="J4093"/>
      <c r="K4093"/>
    </row>
    <row r="4094" spans="1:11">
      <c r="A4094"/>
      <c r="B4094"/>
      <c r="C4094"/>
      <c r="D4094"/>
      <c r="E4094"/>
      <c r="F4094"/>
      <c r="G4094"/>
      <c r="H4094"/>
      <c r="I4094"/>
      <c r="J4094"/>
      <c r="K4094"/>
    </row>
    <row r="4095" spans="1:11">
      <c r="A4095"/>
      <c r="B4095"/>
      <c r="C4095"/>
      <c r="D4095"/>
      <c r="E4095"/>
      <c r="F4095"/>
      <c r="G4095"/>
      <c r="H4095"/>
      <c r="I4095"/>
      <c r="J4095"/>
      <c r="K4095"/>
    </row>
    <row r="4096" spans="1:11">
      <c r="A4096"/>
      <c r="B4096"/>
      <c r="C4096"/>
      <c r="D4096"/>
      <c r="E4096"/>
      <c r="F4096"/>
      <c r="G4096"/>
      <c r="H4096"/>
      <c r="I4096"/>
      <c r="J4096"/>
      <c r="K4096"/>
    </row>
    <row r="4097" spans="1:11">
      <c r="A4097"/>
      <c r="B4097"/>
      <c r="C4097"/>
      <c r="D4097"/>
      <c r="E4097"/>
      <c r="F4097"/>
      <c r="G4097"/>
      <c r="H4097"/>
      <c r="I4097"/>
      <c r="J4097"/>
      <c r="K4097"/>
    </row>
    <row r="4098" spans="1:11">
      <c r="A4098"/>
      <c r="B4098"/>
      <c r="C4098"/>
      <c r="D4098"/>
      <c r="E4098"/>
      <c r="F4098"/>
      <c r="G4098"/>
      <c r="H4098"/>
      <c r="I4098"/>
      <c r="J4098"/>
      <c r="K4098"/>
    </row>
    <row r="4099" spans="1:11">
      <c r="A4099"/>
      <c r="B4099"/>
      <c r="C4099"/>
      <c r="D4099"/>
      <c r="E4099"/>
      <c r="F4099"/>
      <c r="G4099"/>
      <c r="H4099"/>
      <c r="I4099"/>
      <c r="J4099"/>
      <c r="K4099"/>
    </row>
    <row r="4100" spans="1:11">
      <c r="A4100"/>
      <c r="B4100"/>
      <c r="C4100"/>
      <c r="D4100"/>
      <c r="E4100"/>
      <c r="F4100"/>
      <c r="G4100"/>
      <c r="H4100"/>
      <c r="I4100"/>
      <c r="J4100"/>
      <c r="K4100"/>
    </row>
    <row r="4101" spans="1:11">
      <c r="A4101"/>
      <c r="B4101"/>
      <c r="C4101"/>
      <c r="D4101"/>
      <c r="E4101"/>
      <c r="F4101"/>
      <c r="G4101"/>
      <c r="H4101"/>
      <c r="I4101"/>
      <c r="J4101"/>
      <c r="K4101"/>
    </row>
    <row r="4102" spans="1:11">
      <c r="A4102"/>
      <c r="B4102"/>
      <c r="C4102"/>
      <c r="D4102"/>
      <c r="E4102"/>
      <c r="F4102"/>
      <c r="G4102"/>
      <c r="H4102"/>
      <c r="I4102"/>
      <c r="J4102"/>
      <c r="K4102"/>
    </row>
    <row r="4103" spans="1:11">
      <c r="A4103"/>
      <c r="B4103"/>
      <c r="C4103"/>
      <c r="D4103"/>
      <c r="E4103"/>
      <c r="F4103"/>
      <c r="G4103"/>
      <c r="H4103"/>
      <c r="I4103"/>
      <c r="J4103"/>
      <c r="K4103"/>
    </row>
    <row r="4104" spans="1:11">
      <c r="A4104"/>
      <c r="B4104"/>
      <c r="C4104"/>
      <c r="D4104"/>
      <c r="E4104"/>
      <c r="F4104"/>
      <c r="G4104"/>
      <c r="H4104"/>
      <c r="I4104"/>
      <c r="J4104"/>
      <c r="K4104"/>
    </row>
    <row r="4105" spans="1:11">
      <c r="A4105"/>
      <c r="B4105"/>
      <c r="C4105"/>
      <c r="D4105"/>
      <c r="E4105"/>
      <c r="F4105"/>
      <c r="G4105"/>
      <c r="H4105"/>
      <c r="I4105"/>
      <c r="J4105"/>
      <c r="K4105"/>
    </row>
    <row r="4106" spans="1:11">
      <c r="A4106"/>
      <c r="B4106"/>
      <c r="C4106"/>
      <c r="D4106"/>
      <c r="E4106"/>
      <c r="F4106"/>
      <c r="G4106"/>
      <c r="H4106"/>
      <c r="I4106"/>
      <c r="J4106"/>
      <c r="K4106"/>
    </row>
    <row r="4107" spans="1:11">
      <c r="A4107"/>
      <c r="B4107"/>
      <c r="C4107"/>
      <c r="D4107"/>
      <c r="E4107"/>
      <c r="F4107"/>
      <c r="G4107"/>
      <c r="H4107"/>
      <c r="I4107"/>
      <c r="J4107"/>
      <c r="K4107"/>
    </row>
    <row r="4108" spans="1:11">
      <c r="A4108"/>
      <c r="B4108"/>
      <c r="C4108"/>
      <c r="D4108"/>
      <c r="E4108"/>
      <c r="F4108"/>
      <c r="G4108"/>
      <c r="H4108"/>
      <c r="I4108"/>
      <c r="J4108"/>
      <c r="K4108"/>
    </row>
    <row r="4109" spans="1:11">
      <c r="A4109"/>
      <c r="B4109"/>
      <c r="C4109"/>
      <c r="D4109"/>
      <c r="E4109"/>
      <c r="F4109"/>
      <c r="G4109"/>
      <c r="H4109"/>
      <c r="I4109"/>
      <c r="J4109"/>
      <c r="K4109"/>
    </row>
    <row r="4110" spans="1:11">
      <c r="A4110"/>
      <c r="B4110"/>
      <c r="C4110"/>
      <c r="D4110"/>
      <c r="E4110"/>
      <c r="F4110"/>
      <c r="G4110"/>
      <c r="H4110"/>
      <c r="I4110"/>
      <c r="J4110"/>
      <c r="K4110"/>
    </row>
    <row r="4111" spans="1:11">
      <c r="A4111"/>
      <c r="B4111"/>
      <c r="C4111"/>
      <c r="D4111"/>
      <c r="E4111"/>
      <c r="F4111"/>
      <c r="G4111"/>
      <c r="H4111"/>
      <c r="I4111"/>
      <c r="J4111"/>
      <c r="K4111"/>
    </row>
    <row r="4112" spans="1:11">
      <c r="A4112"/>
      <c r="B4112"/>
      <c r="C4112"/>
      <c r="D4112"/>
      <c r="E4112"/>
      <c r="F4112"/>
      <c r="G4112"/>
      <c r="H4112"/>
      <c r="I4112"/>
      <c r="J4112"/>
      <c r="K4112"/>
    </row>
    <row r="4113" spans="1:11">
      <c r="A4113"/>
      <c r="B4113"/>
      <c r="C4113"/>
      <c r="D4113"/>
      <c r="E4113"/>
      <c r="F4113"/>
      <c r="G4113"/>
      <c r="H4113"/>
      <c r="I4113"/>
      <c r="J4113"/>
      <c r="K4113"/>
    </row>
    <row r="4114" spans="1:11">
      <c r="A4114"/>
      <c r="B4114"/>
      <c r="C4114"/>
      <c r="D4114"/>
      <c r="E4114"/>
      <c r="F4114"/>
      <c r="G4114"/>
      <c r="H4114"/>
      <c r="I4114"/>
      <c r="J4114"/>
      <c r="K4114"/>
    </row>
    <row r="4115" spans="1:11">
      <c r="A4115"/>
      <c r="B4115"/>
      <c r="C4115"/>
      <c r="D4115"/>
      <c r="E4115"/>
      <c r="F4115"/>
      <c r="G4115"/>
      <c r="H4115"/>
      <c r="I4115"/>
      <c r="J4115"/>
      <c r="K4115"/>
    </row>
    <row r="4116" spans="1:11">
      <c r="A4116"/>
      <c r="B4116"/>
      <c r="C4116"/>
      <c r="D4116"/>
      <c r="E4116"/>
      <c r="F4116"/>
      <c r="G4116"/>
      <c r="H4116"/>
      <c r="I4116"/>
      <c r="J4116"/>
      <c r="K4116"/>
    </row>
    <row r="4117" spans="1:11">
      <c r="A4117"/>
      <c r="B4117"/>
      <c r="C4117"/>
      <c r="D4117"/>
      <c r="E4117"/>
      <c r="F4117"/>
      <c r="G4117"/>
      <c r="H4117"/>
      <c r="I4117"/>
      <c r="J4117"/>
      <c r="K4117"/>
    </row>
    <row r="4118" spans="1:11">
      <c r="A4118"/>
      <c r="B4118"/>
      <c r="C4118"/>
      <c r="D4118"/>
      <c r="E4118"/>
      <c r="F4118"/>
      <c r="G4118"/>
      <c r="H4118"/>
      <c r="I4118"/>
      <c r="J4118"/>
      <c r="K4118"/>
    </row>
    <row r="4119" spans="1:11">
      <c r="A4119"/>
      <c r="B4119"/>
      <c r="C4119"/>
      <c r="D4119"/>
      <c r="E4119"/>
      <c r="F4119"/>
      <c r="G4119"/>
      <c r="H4119"/>
      <c r="I4119"/>
      <c r="J4119"/>
      <c r="K4119"/>
    </row>
    <row r="4120" spans="1:11">
      <c r="A4120"/>
      <c r="B4120"/>
      <c r="C4120"/>
      <c r="D4120"/>
      <c r="E4120"/>
      <c r="F4120"/>
      <c r="G4120"/>
      <c r="H4120"/>
      <c r="I4120"/>
      <c r="J4120"/>
      <c r="K4120"/>
    </row>
    <row r="4121" spans="1:11">
      <c r="A4121"/>
      <c r="B4121"/>
      <c r="C4121"/>
      <c r="D4121"/>
      <c r="E4121"/>
      <c r="F4121"/>
      <c r="G4121"/>
      <c r="H4121"/>
      <c r="I4121"/>
      <c r="J4121"/>
      <c r="K4121"/>
    </row>
    <row r="4122" spans="1:11">
      <c r="A4122"/>
      <c r="B4122"/>
      <c r="C4122"/>
      <c r="D4122"/>
      <c r="E4122"/>
      <c r="F4122"/>
      <c r="G4122"/>
      <c r="H4122"/>
      <c r="I4122"/>
      <c r="J4122"/>
      <c r="K4122"/>
    </row>
    <row r="4123" spans="1:11">
      <c r="A4123"/>
      <c r="B4123"/>
      <c r="C4123"/>
      <c r="D4123"/>
      <c r="E4123"/>
      <c r="F4123"/>
      <c r="G4123"/>
      <c r="H4123"/>
      <c r="I4123"/>
      <c r="J4123"/>
      <c r="K4123"/>
    </row>
    <row r="4124" spans="1:11">
      <c r="A4124"/>
      <c r="B4124"/>
      <c r="C4124"/>
      <c r="D4124"/>
      <c r="E4124"/>
      <c r="F4124"/>
      <c r="G4124"/>
      <c r="H4124"/>
      <c r="I4124"/>
      <c r="J4124"/>
      <c r="K4124"/>
    </row>
    <row r="4125" spans="1:11">
      <c r="A4125"/>
      <c r="B4125"/>
      <c r="C4125"/>
      <c r="D4125"/>
      <c r="E4125"/>
      <c r="F4125"/>
      <c r="G4125"/>
      <c r="H4125"/>
      <c r="I4125"/>
      <c r="J4125"/>
      <c r="K4125"/>
    </row>
    <row r="4126" spans="1:11">
      <c r="A4126"/>
      <c r="B4126"/>
      <c r="C4126"/>
      <c r="D4126"/>
      <c r="E4126"/>
      <c r="F4126"/>
      <c r="G4126"/>
      <c r="H4126"/>
      <c r="I4126"/>
      <c r="J4126"/>
      <c r="K4126"/>
    </row>
    <row r="4127" spans="1:11">
      <c r="A4127"/>
      <c r="B4127"/>
      <c r="C4127"/>
      <c r="D4127"/>
      <c r="E4127"/>
      <c r="F4127"/>
      <c r="G4127"/>
      <c r="H4127"/>
      <c r="I4127"/>
      <c r="J4127"/>
      <c r="K4127"/>
    </row>
    <row r="4128" spans="1:11">
      <c r="A4128"/>
      <c r="B4128"/>
      <c r="C4128"/>
      <c r="D4128"/>
      <c r="E4128"/>
      <c r="F4128"/>
      <c r="G4128"/>
      <c r="H4128"/>
      <c r="I4128"/>
      <c r="J4128"/>
      <c r="K4128"/>
    </row>
    <row r="4129" spans="1:11">
      <c r="A4129"/>
      <c r="B4129"/>
      <c r="C4129"/>
      <c r="D4129"/>
      <c r="E4129"/>
      <c r="F4129"/>
      <c r="G4129"/>
      <c r="H4129"/>
      <c r="I4129"/>
      <c r="J4129"/>
      <c r="K4129"/>
    </row>
    <row r="4130" spans="1:11">
      <c r="A4130"/>
      <c r="B4130"/>
      <c r="C4130"/>
      <c r="D4130"/>
      <c r="E4130"/>
      <c r="F4130"/>
      <c r="G4130"/>
      <c r="H4130"/>
      <c r="I4130"/>
      <c r="J4130"/>
      <c r="K4130"/>
    </row>
    <row r="4131" spans="1:11">
      <c r="A4131"/>
      <c r="B4131"/>
      <c r="C4131"/>
      <c r="D4131"/>
      <c r="E4131"/>
      <c r="F4131"/>
      <c r="G4131"/>
      <c r="H4131"/>
      <c r="I4131"/>
      <c r="J4131"/>
      <c r="K4131"/>
    </row>
    <row r="4132" spans="1:11">
      <c r="A4132"/>
      <c r="B4132"/>
      <c r="C4132"/>
      <c r="D4132"/>
      <c r="E4132"/>
      <c r="F4132"/>
      <c r="G4132"/>
      <c r="H4132"/>
      <c r="I4132"/>
      <c r="J4132"/>
      <c r="K4132"/>
    </row>
    <row r="4133" spans="1:11">
      <c r="A4133"/>
      <c r="B4133"/>
      <c r="C4133"/>
      <c r="D4133"/>
      <c r="E4133"/>
      <c r="F4133"/>
      <c r="G4133"/>
      <c r="H4133"/>
      <c r="I4133"/>
      <c r="J4133"/>
      <c r="K4133"/>
    </row>
    <row r="4134" spans="1:11">
      <c r="A4134"/>
      <c r="B4134"/>
      <c r="C4134"/>
      <c r="D4134"/>
      <c r="E4134"/>
      <c r="F4134"/>
      <c r="G4134"/>
      <c r="H4134"/>
      <c r="I4134"/>
      <c r="J4134"/>
      <c r="K4134"/>
    </row>
    <row r="4135" spans="1:11">
      <c r="A4135"/>
      <c r="B4135"/>
      <c r="C4135"/>
      <c r="D4135"/>
      <c r="E4135"/>
      <c r="F4135"/>
      <c r="G4135"/>
      <c r="H4135"/>
      <c r="I4135"/>
      <c r="J4135"/>
      <c r="K4135"/>
    </row>
    <row r="4136" spans="1:11">
      <c r="A4136"/>
      <c r="B4136"/>
      <c r="C4136"/>
      <c r="D4136"/>
      <c r="E4136"/>
      <c r="F4136"/>
      <c r="G4136"/>
      <c r="H4136"/>
      <c r="I4136"/>
      <c r="J4136"/>
      <c r="K4136"/>
    </row>
    <row r="4137" spans="1:11">
      <c r="A4137"/>
      <c r="B4137"/>
      <c r="C4137"/>
      <c r="D4137"/>
      <c r="E4137"/>
      <c r="F4137"/>
      <c r="G4137"/>
      <c r="H4137"/>
      <c r="I4137"/>
      <c r="J4137"/>
      <c r="K4137"/>
    </row>
    <row r="4138" spans="1:11">
      <c r="A4138"/>
      <c r="B4138"/>
      <c r="C4138"/>
      <c r="D4138"/>
      <c r="E4138"/>
      <c r="F4138"/>
      <c r="G4138"/>
      <c r="H4138"/>
      <c r="I4138"/>
      <c r="J4138"/>
      <c r="K4138"/>
    </row>
    <row r="4139" spans="1:11">
      <c r="A4139"/>
      <c r="B4139"/>
      <c r="C4139"/>
      <c r="D4139"/>
      <c r="E4139"/>
      <c r="F4139"/>
      <c r="G4139"/>
      <c r="H4139"/>
      <c r="I4139"/>
      <c r="J4139"/>
      <c r="K4139"/>
    </row>
    <row r="4140" spans="1:11">
      <c r="A4140"/>
      <c r="B4140"/>
      <c r="C4140"/>
      <c r="D4140"/>
      <c r="E4140"/>
      <c r="F4140"/>
      <c r="G4140"/>
      <c r="H4140"/>
      <c r="I4140"/>
      <c r="J4140"/>
      <c r="K4140"/>
    </row>
    <row r="4141" spans="1:11">
      <c r="A4141"/>
      <c r="B4141"/>
      <c r="C4141"/>
      <c r="D4141"/>
      <c r="E4141"/>
      <c r="F4141"/>
      <c r="G4141"/>
      <c r="H4141"/>
      <c r="I4141"/>
      <c r="J4141"/>
      <c r="K4141"/>
    </row>
    <row r="4142" spans="1:11">
      <c r="A4142"/>
      <c r="B4142"/>
      <c r="C4142"/>
      <c r="D4142"/>
      <c r="E4142"/>
      <c r="F4142"/>
      <c r="G4142"/>
      <c r="H4142"/>
      <c r="I4142"/>
      <c r="J4142"/>
      <c r="K4142"/>
    </row>
    <row r="4143" spans="1:11">
      <c r="A4143"/>
      <c r="B4143"/>
      <c r="C4143"/>
      <c r="D4143"/>
      <c r="E4143"/>
      <c r="F4143"/>
      <c r="G4143"/>
      <c r="H4143"/>
      <c r="I4143"/>
      <c r="J4143"/>
      <c r="K4143"/>
    </row>
    <row r="4144" spans="1:11">
      <c r="A4144"/>
      <c r="B4144"/>
      <c r="C4144"/>
      <c r="D4144"/>
      <c r="E4144"/>
      <c r="F4144"/>
      <c r="G4144"/>
      <c r="H4144"/>
      <c r="I4144"/>
      <c r="J4144"/>
      <c r="K4144"/>
    </row>
    <row r="4145" spans="1:11">
      <c r="A4145"/>
      <c r="B4145"/>
      <c r="C4145"/>
      <c r="D4145"/>
      <c r="E4145"/>
      <c r="F4145"/>
      <c r="G4145"/>
      <c r="H4145"/>
      <c r="I4145"/>
      <c r="J4145"/>
      <c r="K4145"/>
    </row>
    <row r="4146" spans="1:11">
      <c r="A4146"/>
      <c r="B4146"/>
      <c r="C4146"/>
      <c r="D4146"/>
      <c r="E4146"/>
      <c r="F4146"/>
      <c r="G4146"/>
      <c r="H4146"/>
      <c r="I4146"/>
      <c r="J4146"/>
      <c r="K4146"/>
    </row>
    <row r="4147" spans="1:11">
      <c r="A4147"/>
      <c r="B4147"/>
      <c r="C4147"/>
      <c r="D4147"/>
      <c r="E4147"/>
      <c r="F4147"/>
      <c r="G4147"/>
      <c r="H4147"/>
      <c r="I4147"/>
      <c r="J4147"/>
      <c r="K4147"/>
    </row>
    <row r="4148" spans="1:11">
      <c r="A4148"/>
      <c r="B4148"/>
      <c r="C4148"/>
      <c r="D4148"/>
      <c r="E4148"/>
      <c r="F4148"/>
      <c r="G4148"/>
      <c r="H4148"/>
      <c r="I4148"/>
      <c r="J4148"/>
      <c r="K4148"/>
    </row>
    <row r="4149" spans="1:11">
      <c r="A4149"/>
      <c r="B4149"/>
      <c r="C4149"/>
      <c r="D4149"/>
      <c r="E4149"/>
      <c r="F4149"/>
      <c r="G4149"/>
      <c r="H4149"/>
      <c r="I4149"/>
      <c r="J4149"/>
      <c r="K4149"/>
    </row>
    <row r="4150" spans="1:11">
      <c r="A4150"/>
      <c r="B4150"/>
      <c r="C4150"/>
      <c r="D4150"/>
      <c r="E4150"/>
      <c r="F4150"/>
      <c r="G4150"/>
      <c r="H4150"/>
      <c r="I4150"/>
      <c r="J4150"/>
      <c r="K4150"/>
    </row>
    <row r="4151" spans="1:11">
      <c r="A4151"/>
      <c r="B4151"/>
      <c r="C4151"/>
      <c r="D4151"/>
      <c r="E4151"/>
      <c r="F4151"/>
      <c r="G4151"/>
      <c r="H4151"/>
      <c r="I4151"/>
      <c r="J4151"/>
      <c r="K4151"/>
    </row>
    <row r="4152" spans="1:11">
      <c r="A4152"/>
      <c r="B4152"/>
      <c r="C4152"/>
      <c r="D4152"/>
      <c r="E4152"/>
      <c r="F4152"/>
      <c r="G4152"/>
      <c r="H4152"/>
      <c r="I4152"/>
      <c r="J4152"/>
      <c r="K4152"/>
    </row>
    <row r="4153" spans="1:11">
      <c r="A4153"/>
      <c r="B4153"/>
      <c r="C4153"/>
      <c r="D4153"/>
      <c r="E4153"/>
      <c r="F4153"/>
      <c r="G4153"/>
      <c r="H4153"/>
      <c r="I4153"/>
      <c r="J4153"/>
      <c r="K4153"/>
    </row>
    <row r="4154" spans="1:11">
      <c r="A4154"/>
      <c r="B4154"/>
      <c r="C4154"/>
      <c r="D4154"/>
      <c r="E4154"/>
      <c r="F4154"/>
      <c r="G4154"/>
      <c r="H4154"/>
      <c r="I4154"/>
      <c r="J4154"/>
      <c r="K4154"/>
    </row>
    <row r="4155" spans="1:11">
      <c r="A4155"/>
      <c r="B4155"/>
      <c r="C4155"/>
      <c r="D4155"/>
      <c r="E4155"/>
      <c r="F4155"/>
      <c r="G4155"/>
      <c r="H4155"/>
      <c r="I4155"/>
      <c r="J4155"/>
      <c r="K4155"/>
    </row>
    <row r="4156" spans="1:11">
      <c r="A4156"/>
      <c r="B4156"/>
      <c r="C4156"/>
      <c r="D4156"/>
      <c r="E4156"/>
      <c r="F4156"/>
      <c r="G4156"/>
      <c r="H4156"/>
      <c r="I4156"/>
      <c r="J4156"/>
      <c r="K4156"/>
    </row>
    <row r="4157" spans="1:11">
      <c r="A4157"/>
      <c r="B4157"/>
      <c r="C4157"/>
      <c r="D4157"/>
      <c r="E4157"/>
      <c r="F4157"/>
      <c r="G4157"/>
      <c r="H4157"/>
      <c r="I4157"/>
      <c r="J4157"/>
      <c r="K4157"/>
    </row>
    <row r="4158" spans="1:11">
      <c r="A4158"/>
      <c r="B4158"/>
      <c r="C4158"/>
      <c r="D4158"/>
      <c r="E4158"/>
      <c r="F4158"/>
      <c r="G4158"/>
      <c r="H4158"/>
      <c r="I4158"/>
      <c r="J4158"/>
      <c r="K4158"/>
    </row>
    <row r="4159" spans="1:11">
      <c r="A4159"/>
      <c r="B4159"/>
      <c r="C4159"/>
      <c r="D4159"/>
      <c r="E4159"/>
      <c r="F4159"/>
      <c r="G4159"/>
      <c r="H4159"/>
      <c r="I4159"/>
      <c r="J4159"/>
      <c r="K4159"/>
    </row>
    <row r="4160" spans="1:11">
      <c r="A4160"/>
      <c r="B4160"/>
      <c r="C4160"/>
      <c r="D4160"/>
      <c r="E4160"/>
      <c r="F4160"/>
      <c r="G4160"/>
      <c r="H4160"/>
      <c r="I4160"/>
      <c r="J4160"/>
      <c r="K4160"/>
    </row>
    <row r="4161" spans="1:11">
      <c r="A4161"/>
      <c r="B4161"/>
      <c r="C4161"/>
      <c r="D4161"/>
      <c r="E4161"/>
      <c r="F4161"/>
      <c r="G4161"/>
      <c r="H4161"/>
      <c r="I4161"/>
      <c r="J4161"/>
      <c r="K4161"/>
    </row>
    <row r="4162" spans="1:11">
      <c r="A4162"/>
      <c r="B4162"/>
      <c r="C4162"/>
      <c r="D4162"/>
      <c r="E4162"/>
      <c r="F4162"/>
      <c r="G4162"/>
      <c r="H4162"/>
      <c r="I4162"/>
      <c r="J4162"/>
      <c r="K4162"/>
    </row>
    <row r="4163" spans="1:11">
      <c r="A4163"/>
      <c r="B4163"/>
      <c r="C4163"/>
      <c r="D4163"/>
      <c r="E4163"/>
      <c r="F4163"/>
      <c r="G4163"/>
      <c r="H4163"/>
      <c r="I4163"/>
      <c r="J4163"/>
      <c r="K4163"/>
    </row>
    <row r="4164" spans="1:11">
      <c r="A4164"/>
      <c r="B4164"/>
      <c r="C4164"/>
      <c r="D4164"/>
      <c r="E4164"/>
      <c r="F4164"/>
      <c r="G4164"/>
      <c r="H4164"/>
      <c r="I4164"/>
      <c r="J4164"/>
      <c r="K4164"/>
    </row>
    <row r="4165" spans="1:11">
      <c r="A4165"/>
      <c r="B4165"/>
      <c r="C4165"/>
      <c r="D4165"/>
      <c r="E4165"/>
      <c r="F4165"/>
      <c r="G4165"/>
      <c r="H4165"/>
      <c r="I4165"/>
      <c r="J4165"/>
      <c r="K4165"/>
    </row>
    <row r="4166" spans="1:11">
      <c r="A4166"/>
      <c r="B4166"/>
      <c r="C4166"/>
      <c r="D4166"/>
      <c r="E4166"/>
      <c r="F4166"/>
      <c r="G4166"/>
      <c r="H4166"/>
      <c r="I4166"/>
      <c r="J4166"/>
      <c r="K4166"/>
    </row>
    <row r="4167" spans="1:11">
      <c r="A4167"/>
      <c r="B4167"/>
      <c r="C4167"/>
      <c r="D4167"/>
      <c r="E4167"/>
      <c r="F4167"/>
      <c r="G4167"/>
      <c r="H4167"/>
      <c r="I4167"/>
      <c r="J4167"/>
      <c r="K4167"/>
    </row>
    <row r="4168" spans="1:11">
      <c r="A4168"/>
      <c r="B4168"/>
      <c r="C4168"/>
      <c r="D4168"/>
      <c r="E4168"/>
      <c r="F4168"/>
      <c r="G4168"/>
      <c r="H4168"/>
      <c r="I4168"/>
      <c r="J4168"/>
      <c r="K4168"/>
    </row>
    <row r="4169" spans="1:11">
      <c r="A4169"/>
      <c r="B4169"/>
      <c r="C4169"/>
      <c r="D4169"/>
      <c r="E4169"/>
      <c r="F4169"/>
      <c r="G4169"/>
      <c r="H4169"/>
      <c r="I4169"/>
      <c r="J4169"/>
      <c r="K4169"/>
    </row>
    <row r="4170" spans="1:11">
      <c r="A4170"/>
      <c r="B4170"/>
      <c r="C4170"/>
      <c r="D4170"/>
      <c r="E4170"/>
      <c r="F4170"/>
      <c r="G4170"/>
      <c r="H4170"/>
      <c r="I4170"/>
      <c r="J4170"/>
      <c r="K4170"/>
    </row>
    <row r="4171" spans="1:11">
      <c r="A4171"/>
      <c r="B4171"/>
      <c r="C4171"/>
      <c r="D4171"/>
      <c r="E4171"/>
      <c r="F4171"/>
      <c r="G4171"/>
      <c r="H4171"/>
      <c r="I4171"/>
      <c r="J4171"/>
      <c r="K4171"/>
    </row>
    <row r="4172" spans="1:11">
      <c r="A4172"/>
      <c r="B4172"/>
      <c r="C4172"/>
      <c r="D4172"/>
      <c r="E4172"/>
      <c r="F4172"/>
      <c r="G4172"/>
      <c r="H4172"/>
      <c r="I4172"/>
      <c r="J4172"/>
      <c r="K4172"/>
    </row>
    <row r="4173" spans="1:11">
      <c r="A4173"/>
      <c r="B4173"/>
      <c r="C4173"/>
      <c r="D4173"/>
      <c r="E4173"/>
      <c r="F4173"/>
      <c r="G4173"/>
      <c r="H4173"/>
      <c r="I4173"/>
      <c r="J4173"/>
      <c r="K4173"/>
    </row>
    <row r="4174" spans="1:11">
      <c r="A4174"/>
      <c r="B4174"/>
      <c r="C4174"/>
      <c r="D4174"/>
      <c r="E4174"/>
      <c r="F4174"/>
      <c r="G4174"/>
      <c r="H4174"/>
      <c r="I4174"/>
      <c r="J4174"/>
      <c r="K4174"/>
    </row>
    <row r="4175" spans="1:11">
      <c r="A4175"/>
      <c r="B4175"/>
      <c r="C4175"/>
      <c r="D4175"/>
      <c r="E4175"/>
      <c r="F4175"/>
      <c r="G4175"/>
      <c r="H4175"/>
      <c r="I4175"/>
      <c r="J4175"/>
      <c r="K4175"/>
    </row>
    <row r="4176" spans="1:11">
      <c r="A4176"/>
      <c r="B4176"/>
      <c r="C4176"/>
      <c r="D4176"/>
      <c r="E4176"/>
      <c r="F4176"/>
      <c r="G4176"/>
      <c r="H4176"/>
      <c r="I4176"/>
      <c r="J4176"/>
      <c r="K4176"/>
    </row>
    <row r="4177" spans="1:11">
      <c r="A4177"/>
      <c r="B4177"/>
      <c r="C4177"/>
      <c r="D4177"/>
      <c r="E4177"/>
      <c r="F4177"/>
      <c r="G4177"/>
      <c r="H4177"/>
      <c r="I4177"/>
      <c r="J4177"/>
      <c r="K4177"/>
    </row>
    <row r="4178" spans="1:11">
      <c r="A4178"/>
      <c r="B4178"/>
      <c r="C4178"/>
      <c r="D4178"/>
      <c r="E4178"/>
      <c r="F4178"/>
      <c r="G4178"/>
      <c r="H4178"/>
      <c r="I4178"/>
      <c r="J4178"/>
      <c r="K4178"/>
    </row>
    <row r="4179" spans="1:11">
      <c r="A4179"/>
      <c r="B4179"/>
      <c r="C4179"/>
      <c r="D4179"/>
      <c r="E4179"/>
      <c r="F4179"/>
      <c r="G4179"/>
      <c r="H4179"/>
      <c r="I4179"/>
      <c r="J4179"/>
      <c r="K4179"/>
    </row>
    <row r="4180" spans="1:11">
      <c r="A4180"/>
      <c r="B4180"/>
      <c r="C4180"/>
      <c r="D4180"/>
      <c r="E4180"/>
      <c r="F4180"/>
      <c r="G4180"/>
      <c r="H4180"/>
      <c r="I4180"/>
      <c r="J4180"/>
      <c r="K4180"/>
    </row>
    <row r="4181" spans="1:11">
      <c r="A4181"/>
      <c r="B4181"/>
      <c r="C4181"/>
      <c r="D4181"/>
      <c r="E4181"/>
      <c r="F4181"/>
      <c r="G4181"/>
      <c r="H4181"/>
      <c r="I4181"/>
      <c r="J4181"/>
      <c r="K4181"/>
    </row>
    <row r="4182" spans="1:11">
      <c r="A4182"/>
      <c r="B4182"/>
      <c r="C4182"/>
      <c r="D4182"/>
      <c r="E4182"/>
      <c r="F4182"/>
      <c r="G4182"/>
      <c r="H4182"/>
      <c r="I4182"/>
      <c r="J4182"/>
      <c r="K4182"/>
    </row>
    <row r="4183" spans="1:11">
      <c r="A4183"/>
      <c r="B4183"/>
      <c r="C4183"/>
      <c r="D4183"/>
      <c r="E4183"/>
      <c r="F4183"/>
      <c r="G4183"/>
      <c r="H4183"/>
      <c r="I4183"/>
      <c r="J4183"/>
      <c r="K4183"/>
    </row>
    <row r="4184" spans="1:11">
      <c r="A4184"/>
      <c r="B4184"/>
      <c r="C4184"/>
      <c r="D4184"/>
      <c r="E4184"/>
      <c r="F4184"/>
      <c r="G4184"/>
      <c r="H4184"/>
      <c r="I4184"/>
      <c r="J4184"/>
      <c r="K4184"/>
    </row>
    <row r="4185" spans="1:11">
      <c r="A4185"/>
      <c r="B4185"/>
      <c r="C4185"/>
      <c r="D4185"/>
      <c r="E4185"/>
      <c r="F4185"/>
      <c r="G4185"/>
      <c r="H4185"/>
      <c r="I4185"/>
      <c r="J4185"/>
      <c r="K4185"/>
    </row>
    <row r="4186" spans="1:11">
      <c r="A4186"/>
      <c r="B4186"/>
      <c r="C4186"/>
      <c r="D4186"/>
      <c r="E4186"/>
      <c r="F4186"/>
      <c r="G4186"/>
      <c r="H4186"/>
      <c r="I4186"/>
      <c r="J4186"/>
      <c r="K4186"/>
    </row>
    <row r="4187" spans="1:11">
      <c r="A4187"/>
      <c r="B4187"/>
      <c r="C4187"/>
      <c r="D4187"/>
      <c r="E4187"/>
      <c r="F4187"/>
      <c r="G4187"/>
      <c r="H4187"/>
      <c r="I4187"/>
      <c r="J4187"/>
      <c r="K4187"/>
    </row>
    <row r="4188" spans="1:11">
      <c r="A4188"/>
      <c r="B4188"/>
      <c r="C4188"/>
      <c r="D4188"/>
      <c r="E4188"/>
      <c r="F4188"/>
      <c r="G4188"/>
      <c r="H4188"/>
      <c r="I4188"/>
      <c r="J4188"/>
      <c r="K4188"/>
    </row>
    <row r="4189" spans="1:11">
      <c r="A4189"/>
      <c r="B4189"/>
      <c r="C4189"/>
      <c r="D4189"/>
      <c r="E4189"/>
      <c r="F4189"/>
      <c r="G4189"/>
      <c r="H4189"/>
      <c r="I4189"/>
      <c r="J4189"/>
      <c r="K4189"/>
    </row>
    <row r="4190" spans="1:11">
      <c r="A4190"/>
      <c r="B4190"/>
      <c r="C4190"/>
      <c r="D4190"/>
      <c r="E4190"/>
      <c r="F4190"/>
      <c r="G4190"/>
      <c r="H4190"/>
      <c r="I4190"/>
      <c r="J4190"/>
      <c r="K4190"/>
    </row>
    <row r="4191" spans="1:11">
      <c r="A4191"/>
      <c r="B4191"/>
      <c r="C4191"/>
      <c r="D4191"/>
      <c r="E4191"/>
      <c r="F4191"/>
      <c r="G4191"/>
      <c r="H4191"/>
      <c r="I4191"/>
      <c r="J4191"/>
      <c r="K4191"/>
    </row>
    <row r="4192" spans="1:11">
      <c r="A4192"/>
      <c r="B4192"/>
      <c r="C4192"/>
      <c r="D4192"/>
      <c r="E4192"/>
      <c r="F4192"/>
      <c r="G4192"/>
      <c r="H4192"/>
      <c r="I4192"/>
      <c r="J4192"/>
      <c r="K4192"/>
    </row>
    <row r="4193" spans="1:11">
      <c r="A4193"/>
      <c r="B4193"/>
      <c r="C4193"/>
      <c r="D4193"/>
      <c r="E4193"/>
      <c r="F4193"/>
      <c r="G4193"/>
      <c r="H4193"/>
      <c r="I4193"/>
      <c r="J4193"/>
      <c r="K4193"/>
    </row>
    <row r="4194" spans="1:11">
      <c r="A4194"/>
      <c r="B4194"/>
      <c r="C4194"/>
      <c r="D4194"/>
      <c r="E4194"/>
      <c r="F4194"/>
      <c r="G4194"/>
      <c r="H4194"/>
      <c r="I4194"/>
      <c r="J4194"/>
      <c r="K4194"/>
    </row>
    <row r="4195" spans="1:11">
      <c r="A4195"/>
      <c r="B4195"/>
      <c r="C4195"/>
      <c r="D4195"/>
      <c r="E4195"/>
      <c r="F4195"/>
      <c r="G4195"/>
      <c r="H4195"/>
      <c r="I4195"/>
      <c r="J4195"/>
      <c r="K4195"/>
    </row>
    <row r="4196" spans="1:11">
      <c r="A4196"/>
      <c r="B4196"/>
      <c r="C4196"/>
      <c r="D4196"/>
      <c r="E4196"/>
      <c r="F4196"/>
      <c r="G4196"/>
      <c r="H4196"/>
      <c r="I4196"/>
      <c r="J4196"/>
      <c r="K4196"/>
    </row>
    <row r="4197" spans="1:11">
      <c r="A4197"/>
      <c r="B4197"/>
      <c r="C4197"/>
      <c r="D4197"/>
      <c r="E4197"/>
      <c r="F4197"/>
      <c r="G4197"/>
      <c r="H4197"/>
      <c r="I4197"/>
      <c r="J4197"/>
      <c r="K4197"/>
    </row>
    <row r="4198" spans="1:11">
      <c r="A4198"/>
      <c r="B4198"/>
      <c r="C4198"/>
      <c r="D4198"/>
      <c r="E4198"/>
      <c r="F4198"/>
      <c r="G4198"/>
      <c r="H4198"/>
      <c r="I4198"/>
      <c r="J4198"/>
      <c r="K4198"/>
    </row>
    <row r="4199" spans="1:11">
      <c r="A4199"/>
      <c r="B4199"/>
      <c r="C4199"/>
      <c r="D4199"/>
      <c r="E4199"/>
      <c r="F4199"/>
      <c r="G4199"/>
      <c r="H4199"/>
      <c r="I4199"/>
      <c r="J4199"/>
      <c r="K4199"/>
    </row>
    <row r="4200" spans="1:11">
      <c r="A4200"/>
      <c r="B4200"/>
      <c r="C4200"/>
      <c r="D4200"/>
      <c r="E4200"/>
      <c r="F4200"/>
      <c r="G4200"/>
      <c r="H4200"/>
      <c r="I4200"/>
      <c r="J4200"/>
      <c r="K4200"/>
    </row>
    <row r="4201" spans="1:11">
      <c r="A4201"/>
      <c r="B4201"/>
      <c r="C4201"/>
      <c r="D4201"/>
      <c r="E4201"/>
      <c r="F4201"/>
      <c r="G4201"/>
      <c r="H4201"/>
      <c r="I4201"/>
      <c r="J4201"/>
      <c r="K4201"/>
    </row>
    <row r="4202" spans="1:11">
      <c r="A4202"/>
      <c r="B4202"/>
      <c r="C4202"/>
      <c r="D4202"/>
      <c r="E4202"/>
      <c r="F4202"/>
      <c r="G4202"/>
      <c r="H4202"/>
      <c r="I4202"/>
      <c r="J4202"/>
      <c r="K4202"/>
    </row>
    <row r="4203" spans="1:11">
      <c r="A4203"/>
      <c r="B4203"/>
      <c r="C4203"/>
      <c r="D4203"/>
      <c r="E4203"/>
      <c r="F4203"/>
      <c r="G4203"/>
      <c r="H4203"/>
      <c r="I4203"/>
      <c r="J4203"/>
      <c r="K4203"/>
    </row>
    <row r="4204" spans="1:11">
      <c r="A4204"/>
      <c r="B4204"/>
      <c r="C4204"/>
      <c r="D4204"/>
      <c r="E4204"/>
      <c r="F4204"/>
      <c r="G4204"/>
      <c r="H4204"/>
      <c r="I4204"/>
      <c r="J4204"/>
      <c r="K4204"/>
    </row>
    <row r="4205" spans="1:11">
      <c r="A4205"/>
      <c r="B4205"/>
      <c r="C4205"/>
      <c r="D4205"/>
      <c r="E4205"/>
      <c r="F4205"/>
      <c r="G4205"/>
      <c r="H4205"/>
      <c r="I4205"/>
      <c r="J4205"/>
      <c r="K4205"/>
    </row>
    <row r="4206" spans="1:11">
      <c r="A4206"/>
      <c r="B4206"/>
      <c r="C4206"/>
      <c r="D4206"/>
      <c r="E4206"/>
      <c r="F4206"/>
      <c r="G4206"/>
      <c r="H4206"/>
      <c r="I4206"/>
      <c r="J4206"/>
      <c r="K4206"/>
    </row>
    <row r="4207" spans="1:11">
      <c r="A4207"/>
      <c r="B4207"/>
      <c r="C4207"/>
      <c r="D4207"/>
      <c r="E4207"/>
      <c r="F4207"/>
      <c r="G4207"/>
      <c r="H4207"/>
      <c r="I4207"/>
      <c r="J4207"/>
      <c r="K4207"/>
    </row>
    <row r="4208" spans="1:11">
      <c r="A4208"/>
      <c r="B4208"/>
      <c r="C4208"/>
      <c r="D4208"/>
      <c r="E4208"/>
      <c r="F4208"/>
      <c r="G4208"/>
      <c r="H4208"/>
      <c r="I4208"/>
      <c r="J4208"/>
      <c r="K4208"/>
    </row>
    <row r="4209" spans="1:11">
      <c r="A4209"/>
      <c r="B4209"/>
      <c r="C4209"/>
      <c r="D4209"/>
      <c r="E4209"/>
      <c r="F4209"/>
      <c r="G4209"/>
      <c r="H4209"/>
      <c r="I4209"/>
      <c r="J4209"/>
      <c r="K4209"/>
    </row>
    <row r="4210" spans="1:11">
      <c r="A4210"/>
      <c r="B4210"/>
      <c r="C4210"/>
      <c r="D4210"/>
      <c r="E4210"/>
      <c r="F4210"/>
      <c r="G4210"/>
      <c r="H4210"/>
      <c r="I4210"/>
      <c r="J4210"/>
      <c r="K4210"/>
    </row>
    <row r="4211" spans="1:11">
      <c r="A4211"/>
      <c r="B4211"/>
      <c r="C4211"/>
      <c r="D4211"/>
      <c r="E4211"/>
      <c r="F4211"/>
      <c r="G4211"/>
      <c r="H4211"/>
      <c r="I4211"/>
      <c r="J4211"/>
      <c r="K4211"/>
    </row>
    <row r="4212" spans="1:11">
      <c r="A4212"/>
      <c r="B4212"/>
      <c r="C4212"/>
      <c r="D4212"/>
      <c r="E4212"/>
      <c r="F4212"/>
      <c r="G4212"/>
      <c r="H4212"/>
      <c r="I4212"/>
      <c r="J4212"/>
      <c r="K4212"/>
    </row>
    <row r="4213" spans="1:11">
      <c r="A4213"/>
      <c r="B4213"/>
      <c r="C4213"/>
      <c r="D4213"/>
      <c r="E4213"/>
      <c r="F4213"/>
      <c r="G4213"/>
      <c r="H4213"/>
      <c r="I4213"/>
      <c r="J4213"/>
      <c r="K4213"/>
    </row>
    <row r="4214" spans="1:11">
      <c r="A4214"/>
      <c r="B4214"/>
      <c r="C4214"/>
      <c r="D4214"/>
      <c r="E4214"/>
      <c r="F4214"/>
      <c r="G4214"/>
      <c r="H4214"/>
      <c r="I4214"/>
      <c r="J4214"/>
      <c r="K4214"/>
    </row>
    <row r="4215" spans="1:11">
      <c r="A4215"/>
      <c r="B4215"/>
      <c r="C4215"/>
      <c r="D4215"/>
      <c r="E4215"/>
      <c r="F4215"/>
      <c r="G4215"/>
      <c r="H4215"/>
      <c r="I4215"/>
      <c r="J4215"/>
      <c r="K4215"/>
    </row>
    <row r="4216" spans="1:11">
      <c r="A4216"/>
      <c r="B4216"/>
      <c r="C4216"/>
      <c r="D4216"/>
      <c r="E4216"/>
      <c r="F4216"/>
      <c r="G4216"/>
      <c r="H4216"/>
      <c r="I4216"/>
      <c r="J4216"/>
      <c r="K4216"/>
    </row>
    <row r="4217" spans="1:11">
      <c r="A4217"/>
      <c r="B4217"/>
      <c r="C4217"/>
      <c r="D4217"/>
      <c r="E4217"/>
      <c r="F4217"/>
      <c r="G4217"/>
      <c r="H4217"/>
      <c r="I4217"/>
      <c r="J4217"/>
      <c r="K4217"/>
    </row>
    <row r="4218" spans="1:11">
      <c r="A4218"/>
      <c r="B4218"/>
      <c r="C4218"/>
      <c r="D4218"/>
      <c r="E4218"/>
      <c r="F4218"/>
      <c r="G4218"/>
      <c r="H4218"/>
      <c r="I4218"/>
      <c r="J4218"/>
      <c r="K4218"/>
    </row>
    <row r="4219" spans="1:11">
      <c r="A4219"/>
      <c r="B4219"/>
      <c r="C4219"/>
      <c r="D4219"/>
      <c r="E4219"/>
      <c r="F4219"/>
      <c r="G4219"/>
      <c r="H4219"/>
      <c r="I4219"/>
      <c r="J4219"/>
      <c r="K4219"/>
    </row>
    <row r="4220" spans="1:11">
      <c r="A4220"/>
      <c r="B4220"/>
      <c r="C4220"/>
      <c r="D4220"/>
      <c r="E4220"/>
      <c r="F4220"/>
      <c r="G4220"/>
      <c r="H4220"/>
      <c r="I4220"/>
      <c r="J4220"/>
      <c r="K4220"/>
    </row>
    <row r="4221" spans="1:11">
      <c r="A4221"/>
      <c r="B4221"/>
      <c r="C4221"/>
      <c r="D4221"/>
      <c r="E4221"/>
      <c r="F4221"/>
      <c r="G4221"/>
      <c r="H4221"/>
      <c r="I4221"/>
      <c r="J4221"/>
      <c r="K4221"/>
    </row>
    <row r="4222" spans="1:11">
      <c r="A4222"/>
      <c r="B4222"/>
      <c r="C4222"/>
      <c r="D4222"/>
      <c r="E4222"/>
      <c r="F4222"/>
      <c r="G4222"/>
      <c r="H4222"/>
      <c r="I4222"/>
      <c r="J4222"/>
      <c r="K4222"/>
    </row>
    <row r="4223" spans="1:11">
      <c r="A4223"/>
      <c r="B4223"/>
      <c r="C4223"/>
      <c r="D4223"/>
      <c r="E4223"/>
      <c r="F4223"/>
      <c r="G4223"/>
      <c r="H4223"/>
      <c r="I4223"/>
      <c r="J4223"/>
      <c r="K4223"/>
    </row>
    <row r="4224" spans="1:11">
      <c r="A4224"/>
      <c r="B4224"/>
      <c r="C4224"/>
      <c r="D4224"/>
      <c r="E4224"/>
      <c r="F4224"/>
      <c r="G4224"/>
      <c r="H4224"/>
      <c r="I4224"/>
      <c r="J4224"/>
      <c r="K4224"/>
    </row>
    <row r="4225" spans="1:11">
      <c r="A4225"/>
      <c r="B4225"/>
      <c r="C4225"/>
      <c r="D4225"/>
      <c r="E4225"/>
      <c r="F4225"/>
      <c r="G4225"/>
      <c r="H4225"/>
      <c r="I4225"/>
      <c r="J4225"/>
      <c r="K4225"/>
    </row>
    <row r="4226" spans="1:11">
      <c r="A4226"/>
      <c r="B4226"/>
      <c r="C4226"/>
      <c r="D4226"/>
      <c r="E4226"/>
      <c r="F4226"/>
      <c r="G4226"/>
      <c r="H4226"/>
      <c r="I4226"/>
      <c r="J4226"/>
      <c r="K4226"/>
    </row>
    <row r="4227" spans="1:11">
      <c r="A4227"/>
      <c r="B4227"/>
      <c r="C4227"/>
      <c r="D4227"/>
      <c r="E4227"/>
      <c r="F4227"/>
      <c r="G4227"/>
      <c r="H4227"/>
      <c r="I4227"/>
      <c r="J4227"/>
      <c r="K4227"/>
    </row>
    <row r="4228" spans="1:11">
      <c r="A4228"/>
      <c r="B4228"/>
      <c r="C4228"/>
      <c r="D4228"/>
      <c r="E4228"/>
      <c r="F4228"/>
      <c r="G4228"/>
      <c r="H4228"/>
      <c r="I4228"/>
      <c r="J4228"/>
      <c r="K4228"/>
    </row>
    <row r="4229" spans="1:11">
      <c r="A4229"/>
      <c r="B4229"/>
      <c r="C4229"/>
      <c r="D4229"/>
      <c r="E4229"/>
      <c r="F4229"/>
      <c r="G4229"/>
      <c r="H4229"/>
      <c r="I4229"/>
      <c r="J4229"/>
      <c r="K4229"/>
    </row>
    <row r="4230" spans="1:11">
      <c r="A4230"/>
      <c r="B4230"/>
      <c r="C4230"/>
      <c r="D4230"/>
      <c r="E4230"/>
      <c r="F4230"/>
      <c r="G4230"/>
      <c r="H4230"/>
      <c r="I4230"/>
      <c r="J4230"/>
      <c r="K4230"/>
    </row>
    <row r="4231" spans="1:11">
      <c r="A4231"/>
      <c r="B4231"/>
      <c r="C4231"/>
      <c r="D4231"/>
      <c r="E4231"/>
      <c r="F4231"/>
      <c r="G4231"/>
      <c r="H4231"/>
      <c r="I4231"/>
      <c r="J4231"/>
      <c r="K4231"/>
    </row>
    <row r="4232" spans="1:11">
      <c r="A4232"/>
      <c r="B4232"/>
      <c r="C4232"/>
      <c r="D4232"/>
      <c r="E4232"/>
      <c r="F4232"/>
      <c r="G4232"/>
      <c r="H4232"/>
      <c r="I4232"/>
      <c r="J4232"/>
      <c r="K4232"/>
    </row>
    <row r="4233" spans="1:11">
      <c r="A4233"/>
      <c r="B4233"/>
      <c r="C4233"/>
      <c r="D4233"/>
      <c r="E4233"/>
      <c r="F4233"/>
      <c r="G4233"/>
      <c r="H4233"/>
      <c r="I4233"/>
      <c r="J4233"/>
      <c r="K4233"/>
    </row>
    <row r="4234" spans="1:11">
      <c r="A4234"/>
      <c r="B4234"/>
      <c r="C4234"/>
      <c r="D4234"/>
      <c r="E4234"/>
      <c r="F4234"/>
      <c r="G4234"/>
      <c r="H4234"/>
      <c r="I4234"/>
      <c r="J4234"/>
      <c r="K4234"/>
    </row>
    <row r="4235" spans="1:11">
      <c r="A4235"/>
      <c r="B4235"/>
      <c r="C4235"/>
      <c r="D4235"/>
      <c r="E4235"/>
      <c r="F4235"/>
      <c r="G4235"/>
      <c r="H4235"/>
      <c r="I4235"/>
      <c r="J4235"/>
      <c r="K4235"/>
    </row>
    <row r="4236" spans="1:11">
      <c r="A4236"/>
      <c r="B4236"/>
      <c r="C4236"/>
      <c r="D4236"/>
      <c r="E4236"/>
      <c r="F4236"/>
      <c r="G4236"/>
      <c r="H4236"/>
      <c r="I4236"/>
      <c r="J4236"/>
      <c r="K4236"/>
    </row>
    <row r="4237" spans="1:11">
      <c r="A4237"/>
      <c r="B4237"/>
      <c r="C4237"/>
      <c r="D4237"/>
      <c r="E4237"/>
      <c r="F4237"/>
      <c r="G4237"/>
      <c r="H4237"/>
      <c r="I4237"/>
      <c r="J4237"/>
      <c r="K4237"/>
    </row>
    <row r="4238" spans="1:11">
      <c r="A4238"/>
      <c r="B4238"/>
      <c r="C4238"/>
      <c r="D4238"/>
      <c r="E4238"/>
      <c r="F4238"/>
      <c r="G4238"/>
      <c r="H4238"/>
      <c r="I4238"/>
      <c r="J4238"/>
      <c r="K4238"/>
    </row>
    <row r="4239" spans="1:11">
      <c r="A4239"/>
      <c r="B4239"/>
      <c r="C4239"/>
      <c r="D4239"/>
      <c r="E4239"/>
      <c r="F4239"/>
      <c r="G4239"/>
      <c r="H4239"/>
      <c r="I4239"/>
      <c r="J4239"/>
      <c r="K4239"/>
    </row>
    <row r="4240" spans="1:11">
      <c r="A4240"/>
      <c r="B4240"/>
      <c r="C4240"/>
      <c r="D4240"/>
      <c r="E4240"/>
      <c r="F4240"/>
      <c r="G4240"/>
      <c r="H4240"/>
      <c r="I4240"/>
      <c r="J4240"/>
      <c r="K4240"/>
    </row>
    <row r="4241" spans="1:11">
      <c r="A4241"/>
      <c r="B4241"/>
      <c r="C4241"/>
      <c r="D4241"/>
      <c r="E4241"/>
      <c r="F4241"/>
      <c r="G4241"/>
      <c r="H4241"/>
      <c r="I4241"/>
      <c r="J4241"/>
      <c r="K4241"/>
    </row>
    <row r="4242" spans="1:11">
      <c r="A4242"/>
      <c r="B4242"/>
      <c r="C4242"/>
      <c r="D4242"/>
      <c r="E4242"/>
      <c r="F4242"/>
      <c r="G4242"/>
      <c r="H4242"/>
      <c r="I4242"/>
      <c r="J4242"/>
      <c r="K4242"/>
    </row>
    <row r="4243" spans="1:11">
      <c r="A4243"/>
      <c r="B4243"/>
      <c r="C4243"/>
      <c r="D4243"/>
      <c r="E4243"/>
      <c r="F4243"/>
      <c r="G4243"/>
      <c r="H4243"/>
      <c r="I4243"/>
      <c r="J4243"/>
      <c r="K4243"/>
    </row>
    <row r="4244" spans="1:11">
      <c r="A4244"/>
      <c r="B4244"/>
      <c r="C4244"/>
      <c r="D4244"/>
      <c r="E4244"/>
      <c r="F4244"/>
      <c r="G4244"/>
      <c r="H4244"/>
      <c r="I4244"/>
      <c r="J4244"/>
      <c r="K4244"/>
    </row>
    <row r="4245" spans="1:11">
      <c r="A4245"/>
      <c r="B4245"/>
      <c r="C4245"/>
      <c r="D4245"/>
      <c r="E4245"/>
      <c r="F4245"/>
      <c r="G4245"/>
      <c r="H4245"/>
      <c r="I4245"/>
      <c r="J4245"/>
      <c r="K4245"/>
    </row>
    <row r="4246" spans="1:11">
      <c r="A4246"/>
      <c r="B4246"/>
      <c r="C4246"/>
      <c r="D4246"/>
      <c r="E4246"/>
      <c r="F4246"/>
      <c r="G4246"/>
      <c r="H4246"/>
      <c r="I4246"/>
      <c r="J4246"/>
      <c r="K4246"/>
    </row>
    <row r="4247" spans="1:11">
      <c r="A4247"/>
      <c r="B4247"/>
      <c r="C4247"/>
      <c r="D4247"/>
      <c r="E4247"/>
      <c r="F4247"/>
      <c r="G4247"/>
      <c r="H4247"/>
      <c r="I4247"/>
      <c r="J4247"/>
      <c r="K4247"/>
    </row>
    <row r="4248" spans="1:11">
      <c r="A4248"/>
      <c r="B4248"/>
      <c r="C4248"/>
      <c r="D4248"/>
      <c r="E4248"/>
      <c r="F4248"/>
      <c r="G4248"/>
      <c r="H4248"/>
      <c r="I4248"/>
      <c r="J4248"/>
      <c r="K4248"/>
    </row>
    <row r="4249" spans="1:11">
      <c r="A4249"/>
      <c r="B4249"/>
      <c r="C4249"/>
      <c r="D4249"/>
      <c r="E4249"/>
      <c r="F4249"/>
      <c r="G4249"/>
      <c r="H4249"/>
      <c r="I4249"/>
      <c r="J4249"/>
      <c r="K4249"/>
    </row>
    <row r="4250" spans="1:11">
      <c r="A4250"/>
      <c r="B4250"/>
      <c r="C4250"/>
      <c r="D4250"/>
      <c r="E4250"/>
      <c r="F4250"/>
      <c r="G4250"/>
      <c r="H4250"/>
      <c r="I4250"/>
      <c r="J4250"/>
      <c r="K4250"/>
    </row>
    <row r="4251" spans="1:11">
      <c r="A4251"/>
      <c r="B4251"/>
      <c r="C4251"/>
      <c r="D4251"/>
      <c r="E4251"/>
      <c r="F4251"/>
      <c r="G4251"/>
      <c r="H4251"/>
      <c r="I4251"/>
      <c r="J4251"/>
      <c r="K4251"/>
    </row>
    <row r="4252" spans="1:11">
      <c r="A4252"/>
      <c r="B4252"/>
      <c r="C4252"/>
      <c r="D4252"/>
      <c r="E4252"/>
      <c r="F4252"/>
      <c r="G4252"/>
      <c r="H4252"/>
      <c r="I4252"/>
      <c r="J4252"/>
      <c r="K4252"/>
    </row>
    <row r="4253" spans="1:11">
      <c r="A4253"/>
      <c r="B4253"/>
      <c r="C4253"/>
      <c r="D4253"/>
      <c r="E4253"/>
      <c r="F4253"/>
      <c r="G4253"/>
      <c r="H4253"/>
      <c r="I4253"/>
      <c r="J4253"/>
      <c r="K4253"/>
    </row>
    <row r="4254" spans="1:11">
      <c r="A4254"/>
      <c r="B4254"/>
      <c r="C4254"/>
      <c r="D4254"/>
      <c r="E4254"/>
      <c r="F4254"/>
      <c r="G4254"/>
      <c r="H4254"/>
      <c r="I4254"/>
      <c r="J4254"/>
      <c r="K4254"/>
    </row>
    <row r="4255" spans="1:11">
      <c r="A4255"/>
      <c r="B4255"/>
      <c r="C4255"/>
      <c r="D4255"/>
      <c r="E4255"/>
      <c r="F4255"/>
      <c r="G4255"/>
      <c r="H4255"/>
      <c r="I4255"/>
      <c r="J4255"/>
      <c r="K4255"/>
    </row>
    <row r="4256" spans="1:11">
      <c r="A4256"/>
      <c r="B4256"/>
      <c r="C4256"/>
      <c r="D4256"/>
      <c r="E4256"/>
      <c r="F4256"/>
      <c r="G4256"/>
      <c r="H4256"/>
      <c r="I4256"/>
      <c r="J4256"/>
      <c r="K4256"/>
    </row>
    <row r="4257" spans="1:11">
      <c r="A4257"/>
      <c r="B4257"/>
      <c r="C4257"/>
      <c r="D4257"/>
      <c r="E4257"/>
      <c r="F4257"/>
      <c r="G4257"/>
      <c r="H4257"/>
      <c r="I4257"/>
      <c r="J4257"/>
      <c r="K4257"/>
    </row>
    <row r="4258" spans="1:11">
      <c r="A4258"/>
      <c r="B4258"/>
      <c r="C4258"/>
      <c r="D4258"/>
      <c r="E4258"/>
      <c r="F4258"/>
      <c r="G4258"/>
      <c r="H4258"/>
      <c r="I4258"/>
      <c r="J4258"/>
      <c r="K4258"/>
    </row>
    <row r="4259" spans="1:11">
      <c r="A4259"/>
      <c r="B4259"/>
      <c r="C4259"/>
      <c r="D4259"/>
      <c r="E4259"/>
      <c r="F4259"/>
      <c r="G4259"/>
      <c r="H4259"/>
      <c r="I4259"/>
      <c r="J4259"/>
      <c r="K4259"/>
    </row>
    <row r="4260" spans="1:11">
      <c r="A4260"/>
      <c r="B4260"/>
      <c r="C4260"/>
      <c r="D4260"/>
      <c r="E4260"/>
      <c r="F4260"/>
      <c r="G4260"/>
      <c r="H4260"/>
      <c r="I4260"/>
      <c r="J4260"/>
      <c r="K4260"/>
    </row>
    <row r="4261" spans="1:11">
      <c r="A4261"/>
      <c r="B4261"/>
      <c r="C4261"/>
      <c r="D4261"/>
      <c r="E4261"/>
      <c r="F4261"/>
      <c r="G4261"/>
      <c r="H4261"/>
      <c r="I4261"/>
      <c r="J4261"/>
      <c r="K4261"/>
    </row>
    <row r="4262" spans="1:11">
      <c r="A4262"/>
      <c r="B4262"/>
      <c r="C4262"/>
      <c r="D4262"/>
      <c r="E4262"/>
      <c r="F4262"/>
      <c r="G4262"/>
      <c r="H4262"/>
      <c r="I4262"/>
      <c r="J4262"/>
      <c r="K4262"/>
    </row>
    <row r="4263" spans="1:11">
      <c r="A4263"/>
      <c r="B4263"/>
      <c r="C4263"/>
      <c r="D4263"/>
      <c r="E4263"/>
      <c r="F4263"/>
      <c r="G4263"/>
      <c r="H4263"/>
      <c r="I4263"/>
      <c r="J4263"/>
      <c r="K4263"/>
    </row>
    <row r="4264" spans="1:11">
      <c r="A4264"/>
      <c r="B4264"/>
      <c r="C4264"/>
      <c r="D4264"/>
      <c r="E4264"/>
      <c r="F4264"/>
      <c r="G4264"/>
      <c r="H4264"/>
      <c r="I4264"/>
      <c r="J4264"/>
      <c r="K4264"/>
    </row>
    <row r="4265" spans="1:11">
      <c r="A4265"/>
      <c r="B4265"/>
      <c r="C4265"/>
      <c r="D4265"/>
      <c r="E4265"/>
      <c r="F4265"/>
      <c r="G4265"/>
      <c r="H4265"/>
      <c r="I4265"/>
      <c r="J4265"/>
      <c r="K4265"/>
    </row>
    <row r="4266" spans="1:11">
      <c r="A4266"/>
      <c r="B4266"/>
      <c r="C4266"/>
      <c r="D4266"/>
      <c r="E4266"/>
      <c r="F4266"/>
      <c r="G4266"/>
      <c r="H4266"/>
      <c r="I4266"/>
      <c r="J4266"/>
      <c r="K4266"/>
    </row>
    <row r="4267" spans="1:11">
      <c r="A4267"/>
      <c r="B4267"/>
      <c r="C4267"/>
      <c r="D4267"/>
      <c r="E4267"/>
      <c r="F4267"/>
      <c r="G4267"/>
      <c r="H4267"/>
      <c r="I4267"/>
      <c r="J4267"/>
      <c r="K4267"/>
    </row>
    <row r="4268" spans="1:11">
      <c r="A4268"/>
      <c r="B4268"/>
      <c r="C4268"/>
      <c r="D4268"/>
      <c r="E4268"/>
      <c r="F4268"/>
      <c r="G4268"/>
      <c r="H4268"/>
      <c r="I4268"/>
      <c r="J4268"/>
      <c r="K4268"/>
    </row>
    <row r="4269" spans="1:11">
      <c r="A4269"/>
      <c r="B4269"/>
      <c r="C4269"/>
      <c r="D4269"/>
      <c r="E4269"/>
      <c r="F4269"/>
      <c r="G4269"/>
      <c r="H4269"/>
      <c r="I4269"/>
      <c r="J4269"/>
      <c r="K4269"/>
    </row>
    <row r="4270" spans="1:11">
      <c r="A4270"/>
      <c r="B4270"/>
      <c r="C4270"/>
      <c r="D4270"/>
      <c r="E4270"/>
      <c r="F4270"/>
      <c r="G4270"/>
      <c r="H4270"/>
      <c r="I4270"/>
      <c r="J4270"/>
      <c r="K4270"/>
    </row>
    <row r="4271" spans="1:11">
      <c r="A4271"/>
      <c r="B4271"/>
      <c r="C4271"/>
      <c r="D4271"/>
      <c r="E4271"/>
      <c r="F4271"/>
      <c r="G4271"/>
      <c r="H4271"/>
      <c r="I4271"/>
      <c r="J4271"/>
      <c r="K4271"/>
    </row>
    <row r="4272" spans="1:11">
      <c r="A4272"/>
      <c r="B4272"/>
      <c r="C4272"/>
      <c r="D4272"/>
      <c r="E4272"/>
      <c r="F4272"/>
      <c r="G4272"/>
      <c r="H4272"/>
      <c r="I4272"/>
      <c r="J4272"/>
      <c r="K4272"/>
    </row>
    <row r="4273" spans="1:11">
      <c r="A4273"/>
      <c r="B4273"/>
      <c r="C4273"/>
      <c r="D4273"/>
      <c r="E4273"/>
      <c r="F4273"/>
      <c r="G4273"/>
      <c r="H4273"/>
      <c r="I4273"/>
      <c r="J4273"/>
      <c r="K4273"/>
    </row>
    <row r="4274" spans="1:11">
      <c r="A4274"/>
      <c r="B4274"/>
      <c r="C4274"/>
      <c r="D4274"/>
      <c r="E4274"/>
      <c r="F4274"/>
      <c r="G4274"/>
      <c r="H4274"/>
      <c r="I4274"/>
      <c r="J4274"/>
      <c r="K4274"/>
    </row>
    <row r="4275" spans="1:11">
      <c r="A4275"/>
      <c r="B4275"/>
      <c r="C4275"/>
      <c r="D4275"/>
      <c r="E4275"/>
      <c r="F4275"/>
      <c r="G4275"/>
      <c r="H4275"/>
      <c r="I4275"/>
      <c r="J4275"/>
      <c r="K4275"/>
    </row>
    <row r="4276" spans="1:11">
      <c r="A4276"/>
      <c r="B4276"/>
      <c r="C4276"/>
      <c r="D4276"/>
      <c r="E4276"/>
      <c r="F4276"/>
      <c r="G4276"/>
      <c r="H4276"/>
      <c r="I4276"/>
      <c r="J4276"/>
      <c r="K4276"/>
    </row>
    <row r="4277" spans="1:11">
      <c r="A4277"/>
      <c r="B4277"/>
      <c r="C4277"/>
      <c r="D4277"/>
      <c r="E4277"/>
      <c r="F4277"/>
      <c r="G4277"/>
      <c r="H4277"/>
      <c r="I4277"/>
      <c r="J4277"/>
      <c r="K4277"/>
    </row>
    <row r="4278" spans="1:11">
      <c r="A4278"/>
      <c r="B4278"/>
      <c r="C4278"/>
      <c r="D4278"/>
      <c r="E4278"/>
      <c r="F4278"/>
      <c r="G4278"/>
      <c r="H4278"/>
      <c r="I4278"/>
      <c r="J4278"/>
      <c r="K4278"/>
    </row>
    <row r="4279" spans="1:11">
      <c r="A4279"/>
      <c r="B4279"/>
      <c r="C4279"/>
      <c r="D4279"/>
      <c r="E4279"/>
      <c r="F4279"/>
      <c r="G4279"/>
      <c r="H4279"/>
      <c r="I4279"/>
      <c r="J4279"/>
      <c r="K4279"/>
    </row>
    <row r="4280" spans="1:11">
      <c r="A4280"/>
      <c r="B4280"/>
      <c r="C4280"/>
      <c r="D4280"/>
      <c r="E4280"/>
      <c r="F4280"/>
      <c r="G4280"/>
      <c r="H4280"/>
      <c r="I4280"/>
      <c r="J4280"/>
      <c r="K4280"/>
    </row>
    <row r="4281" spans="1:11">
      <c r="A4281"/>
      <c r="B4281"/>
      <c r="C4281"/>
      <c r="D4281"/>
      <c r="E4281"/>
      <c r="F4281"/>
      <c r="G4281"/>
      <c r="H4281"/>
      <c r="I4281"/>
      <c r="J4281"/>
      <c r="K4281"/>
    </row>
    <row r="4282" spans="1:11">
      <c r="A4282"/>
      <c r="B4282"/>
      <c r="C4282"/>
      <c r="D4282"/>
      <c r="E4282"/>
      <c r="F4282"/>
      <c r="G4282"/>
      <c r="H4282"/>
      <c r="I4282"/>
      <c r="J4282"/>
      <c r="K4282"/>
    </row>
    <row r="4283" spans="1:11">
      <c r="A4283"/>
      <c r="B4283"/>
      <c r="C4283"/>
      <c r="D4283"/>
      <c r="E4283"/>
      <c r="F4283"/>
      <c r="G4283"/>
      <c r="H4283"/>
      <c r="I4283"/>
      <c r="J4283"/>
      <c r="K4283"/>
    </row>
    <row r="4284" spans="1:11">
      <c r="A4284"/>
      <c r="B4284"/>
      <c r="C4284"/>
      <c r="D4284"/>
      <c r="E4284"/>
      <c r="F4284"/>
      <c r="G4284"/>
      <c r="H4284"/>
      <c r="I4284"/>
      <c r="J4284"/>
      <c r="K4284"/>
    </row>
    <row r="4285" spans="1:11">
      <c r="A4285"/>
      <c r="B4285"/>
      <c r="C4285"/>
      <c r="D4285"/>
      <c r="E4285"/>
      <c r="F4285"/>
      <c r="G4285"/>
      <c r="H4285"/>
      <c r="I4285"/>
      <c r="J4285"/>
      <c r="K4285"/>
    </row>
    <row r="4286" spans="1:11">
      <c r="A4286"/>
      <c r="B4286"/>
      <c r="C4286"/>
      <c r="D4286"/>
      <c r="E4286"/>
      <c r="F4286"/>
      <c r="G4286"/>
      <c r="H4286"/>
      <c r="I4286"/>
      <c r="J4286"/>
      <c r="K4286"/>
    </row>
    <row r="4287" spans="1:11">
      <c r="A4287"/>
      <c r="B4287"/>
      <c r="C4287"/>
      <c r="D4287"/>
      <c r="E4287"/>
      <c r="F4287"/>
      <c r="G4287"/>
      <c r="H4287"/>
      <c r="I4287"/>
      <c r="J4287"/>
      <c r="K4287"/>
    </row>
    <row r="4288" spans="1:11">
      <c r="A4288"/>
      <c r="B4288"/>
      <c r="C4288"/>
      <c r="D4288"/>
      <c r="E4288"/>
      <c r="F4288"/>
      <c r="G4288"/>
      <c r="H4288"/>
      <c r="I4288"/>
      <c r="J4288"/>
      <c r="K4288"/>
    </row>
    <row r="4289" spans="1:11">
      <c r="A4289"/>
      <c r="B4289"/>
      <c r="C4289"/>
      <c r="D4289"/>
      <c r="E4289"/>
      <c r="F4289"/>
      <c r="G4289"/>
      <c r="H4289"/>
      <c r="I4289"/>
      <c r="J4289"/>
      <c r="K4289"/>
    </row>
    <row r="4290" spans="1:11">
      <c r="A4290"/>
      <c r="B4290"/>
      <c r="C4290"/>
      <c r="D4290"/>
      <c r="E4290"/>
      <c r="F4290"/>
      <c r="G4290"/>
      <c r="H4290"/>
      <c r="I4290"/>
      <c r="J4290"/>
      <c r="K4290"/>
    </row>
    <row r="4291" spans="1:11">
      <c r="A4291"/>
      <c r="B4291"/>
      <c r="C4291"/>
      <c r="D4291"/>
      <c r="E4291"/>
      <c r="F4291"/>
      <c r="G4291"/>
      <c r="H4291"/>
      <c r="I4291"/>
      <c r="J4291"/>
      <c r="K4291"/>
    </row>
    <row r="4292" spans="1:11">
      <c r="A4292"/>
      <c r="B4292"/>
      <c r="C4292"/>
      <c r="D4292"/>
      <c r="E4292"/>
      <c r="F4292"/>
      <c r="G4292"/>
      <c r="H4292"/>
      <c r="I4292"/>
      <c r="J4292"/>
      <c r="K4292"/>
    </row>
    <row r="4293" spans="1:11">
      <c r="A4293"/>
      <c r="B4293"/>
      <c r="C4293"/>
      <c r="D4293"/>
      <c r="E4293"/>
      <c r="F4293"/>
      <c r="G4293"/>
      <c r="H4293"/>
      <c r="I4293"/>
      <c r="J4293"/>
      <c r="K4293"/>
    </row>
    <row r="4294" spans="1:11">
      <c r="A4294"/>
      <c r="B4294"/>
      <c r="C4294"/>
      <c r="D4294"/>
      <c r="E4294"/>
      <c r="F4294"/>
      <c r="G4294"/>
      <c r="H4294"/>
      <c r="I4294"/>
      <c r="J4294"/>
      <c r="K4294"/>
    </row>
    <row r="4295" spans="1:11">
      <c r="A4295"/>
      <c r="B4295"/>
      <c r="C4295"/>
      <c r="D4295"/>
      <c r="E4295"/>
      <c r="F4295"/>
      <c r="G4295"/>
      <c r="H4295"/>
      <c r="I4295"/>
      <c r="J4295"/>
      <c r="K4295"/>
    </row>
    <row r="4296" spans="1:11">
      <c r="A4296"/>
      <c r="B4296"/>
      <c r="C4296"/>
      <c r="D4296"/>
      <c r="E4296"/>
      <c r="F4296"/>
      <c r="G4296"/>
      <c r="H4296"/>
      <c r="I4296"/>
      <c r="J4296"/>
      <c r="K4296"/>
    </row>
    <row r="4297" spans="1:11">
      <c r="A4297"/>
      <c r="B4297"/>
      <c r="C4297"/>
      <c r="D4297"/>
      <c r="E4297"/>
      <c r="F4297"/>
      <c r="G4297"/>
      <c r="H4297"/>
      <c r="I4297"/>
      <c r="J4297"/>
      <c r="K4297"/>
    </row>
    <row r="4298" spans="1:11">
      <c r="A4298"/>
      <c r="B4298"/>
      <c r="C4298"/>
      <c r="D4298"/>
      <c r="E4298"/>
      <c r="F4298"/>
      <c r="G4298"/>
      <c r="H4298"/>
      <c r="I4298"/>
      <c r="J4298"/>
      <c r="K4298"/>
    </row>
    <row r="4299" spans="1:11">
      <c r="A4299"/>
      <c r="B4299"/>
      <c r="C4299"/>
      <c r="D4299"/>
      <c r="E4299"/>
      <c r="F4299"/>
      <c r="G4299"/>
      <c r="H4299"/>
      <c r="I4299"/>
      <c r="J4299"/>
      <c r="K4299"/>
    </row>
    <row r="4300" spans="1:11">
      <c r="A4300"/>
      <c r="B4300"/>
      <c r="C4300"/>
      <c r="D4300"/>
      <c r="E4300"/>
      <c r="F4300"/>
      <c r="G4300"/>
      <c r="H4300"/>
      <c r="I4300"/>
      <c r="J4300"/>
      <c r="K4300"/>
    </row>
    <row r="4301" spans="1:11">
      <c r="A4301"/>
      <c r="B4301"/>
      <c r="C4301"/>
      <c r="D4301"/>
      <c r="E4301"/>
      <c r="F4301"/>
      <c r="G4301"/>
      <c r="H4301"/>
      <c r="I4301"/>
      <c r="J4301"/>
      <c r="K4301"/>
    </row>
    <row r="4302" spans="1:11">
      <c r="A4302"/>
      <c r="B4302"/>
      <c r="C4302"/>
      <c r="D4302"/>
      <c r="E4302"/>
      <c r="F4302"/>
      <c r="G4302"/>
      <c r="H4302"/>
      <c r="I4302"/>
      <c r="J4302"/>
      <c r="K4302"/>
    </row>
    <row r="4303" spans="1:11">
      <c r="A4303"/>
      <c r="B4303"/>
      <c r="C4303"/>
      <c r="D4303"/>
      <c r="E4303"/>
      <c r="F4303"/>
      <c r="G4303"/>
      <c r="H4303"/>
      <c r="I4303"/>
      <c r="J4303"/>
      <c r="K4303"/>
    </row>
    <row r="4304" spans="1:11">
      <c r="A4304"/>
      <c r="B4304"/>
      <c r="C4304"/>
      <c r="D4304"/>
      <c r="E4304"/>
      <c r="F4304"/>
      <c r="G4304"/>
      <c r="H4304"/>
      <c r="I4304"/>
      <c r="J4304"/>
      <c r="K4304"/>
    </row>
    <row r="4305" spans="1:11">
      <c r="A4305"/>
      <c r="B4305"/>
      <c r="C4305"/>
      <c r="D4305"/>
      <c r="E4305"/>
      <c r="F4305"/>
      <c r="G4305"/>
      <c r="H4305"/>
      <c r="I4305"/>
      <c r="J4305"/>
      <c r="K4305"/>
    </row>
    <row r="4306" spans="1:11">
      <c r="A4306"/>
      <c r="B4306"/>
      <c r="C4306"/>
      <c r="D4306"/>
      <c r="E4306"/>
      <c r="F4306"/>
      <c r="G4306"/>
      <c r="H4306"/>
      <c r="I4306"/>
      <c r="J4306"/>
      <c r="K4306"/>
    </row>
    <row r="4307" spans="1:11">
      <c r="A4307"/>
      <c r="B4307"/>
      <c r="C4307"/>
      <c r="D4307"/>
      <c r="E4307"/>
      <c r="F4307"/>
      <c r="G4307"/>
      <c r="H4307"/>
      <c r="I4307"/>
      <c r="J4307"/>
      <c r="K4307"/>
    </row>
    <row r="4308" spans="1:11">
      <c r="A4308"/>
      <c r="B4308"/>
      <c r="C4308"/>
      <c r="D4308"/>
      <c r="E4308"/>
      <c r="F4308"/>
      <c r="G4308"/>
      <c r="H4308"/>
      <c r="I4308"/>
      <c r="J4308"/>
      <c r="K4308"/>
    </row>
    <row r="4309" spans="1:11">
      <c r="A4309"/>
      <c r="B4309"/>
      <c r="C4309"/>
      <c r="D4309"/>
      <c r="E4309"/>
      <c r="F4309"/>
      <c r="G4309"/>
      <c r="H4309"/>
      <c r="I4309"/>
      <c r="J4309"/>
      <c r="K4309"/>
    </row>
    <row r="4310" spans="1:11">
      <c r="A4310"/>
      <c r="B4310"/>
      <c r="C4310"/>
      <c r="D4310"/>
      <c r="E4310"/>
      <c r="F4310"/>
      <c r="G4310"/>
      <c r="H4310"/>
      <c r="I4310"/>
      <c r="J4310"/>
      <c r="K4310"/>
    </row>
    <row r="4311" spans="1:11">
      <c r="A4311"/>
      <c r="B4311"/>
      <c r="C4311"/>
      <c r="D4311"/>
      <c r="E4311"/>
      <c r="F4311"/>
      <c r="G4311"/>
      <c r="H4311"/>
      <c r="I4311"/>
      <c r="J4311"/>
      <c r="K4311"/>
    </row>
    <row r="4312" spans="1:11">
      <c r="A4312"/>
      <c r="B4312"/>
      <c r="C4312"/>
      <c r="D4312"/>
      <c r="E4312"/>
      <c r="F4312"/>
      <c r="G4312"/>
      <c r="H4312"/>
      <c r="I4312"/>
      <c r="J4312"/>
      <c r="K4312"/>
    </row>
    <row r="4313" spans="1:11">
      <c r="A4313"/>
      <c r="B4313"/>
      <c r="C4313"/>
      <c r="D4313"/>
      <c r="E4313"/>
      <c r="F4313"/>
      <c r="G4313"/>
      <c r="H4313"/>
      <c r="I4313"/>
      <c r="J4313"/>
      <c r="K4313"/>
    </row>
    <row r="4314" spans="1:11">
      <c r="A4314"/>
      <c r="B4314"/>
      <c r="C4314"/>
      <c r="D4314"/>
      <c r="E4314"/>
      <c r="F4314"/>
      <c r="G4314"/>
      <c r="H4314"/>
      <c r="I4314"/>
      <c r="J4314"/>
      <c r="K4314"/>
    </row>
    <row r="4315" spans="1:11">
      <c r="A4315"/>
      <c r="B4315"/>
      <c r="C4315"/>
      <c r="D4315"/>
      <c r="E4315"/>
      <c r="F4315"/>
      <c r="G4315"/>
      <c r="H4315"/>
      <c r="I4315"/>
      <c r="J4315"/>
      <c r="K4315"/>
    </row>
    <row r="4316" spans="1:11">
      <c r="A4316"/>
      <c r="B4316"/>
      <c r="C4316"/>
      <c r="D4316"/>
      <c r="E4316"/>
      <c r="F4316"/>
      <c r="G4316"/>
      <c r="H4316"/>
      <c r="I4316"/>
      <c r="J4316"/>
      <c r="K4316"/>
    </row>
    <row r="4317" spans="1:11">
      <c r="A4317"/>
      <c r="B4317"/>
      <c r="C4317"/>
      <c r="D4317"/>
      <c r="E4317"/>
      <c r="F4317"/>
      <c r="G4317"/>
      <c r="H4317"/>
      <c r="I4317"/>
      <c r="J4317"/>
      <c r="K4317"/>
    </row>
    <row r="4318" spans="1:11">
      <c r="A4318"/>
      <c r="B4318"/>
      <c r="C4318"/>
      <c r="D4318"/>
      <c r="E4318"/>
      <c r="F4318"/>
      <c r="G4318"/>
      <c r="H4318"/>
      <c r="I4318"/>
      <c r="J4318"/>
      <c r="K4318"/>
    </row>
    <row r="4319" spans="1:11">
      <c r="A4319"/>
      <c r="B4319"/>
      <c r="C4319"/>
      <c r="D4319"/>
      <c r="E4319"/>
      <c r="F4319"/>
      <c r="G4319"/>
      <c r="H4319"/>
      <c r="I4319"/>
      <c r="J4319"/>
      <c r="K4319"/>
    </row>
    <row r="4320" spans="1:11">
      <c r="A4320"/>
      <c r="B4320"/>
      <c r="C4320"/>
      <c r="D4320"/>
      <c r="E4320"/>
      <c r="F4320"/>
      <c r="G4320"/>
      <c r="H4320"/>
      <c r="I4320"/>
      <c r="J4320"/>
      <c r="K4320"/>
    </row>
    <row r="4321" spans="1:11">
      <c r="A4321"/>
      <c r="B4321"/>
      <c r="C4321"/>
      <c r="D4321"/>
      <c r="E4321"/>
      <c r="F4321"/>
      <c r="G4321"/>
      <c r="H4321"/>
      <c r="I4321"/>
      <c r="J4321"/>
      <c r="K4321"/>
    </row>
    <row r="4322" spans="1:11">
      <c r="A4322"/>
      <c r="B4322"/>
      <c r="C4322"/>
      <c r="D4322"/>
      <c r="E4322"/>
      <c r="F4322"/>
      <c r="G4322"/>
      <c r="H4322"/>
      <c r="I4322"/>
      <c r="J4322"/>
      <c r="K4322"/>
    </row>
    <row r="4323" spans="1:11">
      <c r="A4323"/>
      <c r="B4323"/>
      <c r="C4323"/>
      <c r="D4323"/>
      <c r="E4323"/>
      <c r="F4323"/>
      <c r="G4323"/>
      <c r="H4323"/>
      <c r="I4323"/>
      <c r="J4323"/>
      <c r="K4323"/>
    </row>
    <row r="4324" spans="1:11">
      <c r="A4324"/>
      <c r="B4324"/>
      <c r="C4324"/>
      <c r="D4324"/>
      <c r="E4324"/>
      <c r="F4324"/>
      <c r="G4324"/>
      <c r="H4324"/>
      <c r="I4324"/>
      <c r="J4324"/>
      <c r="K4324"/>
    </row>
    <row r="4325" spans="1:11">
      <c r="A4325"/>
      <c r="B4325"/>
      <c r="C4325"/>
      <c r="D4325"/>
      <c r="E4325"/>
      <c r="F4325"/>
      <c r="G4325"/>
      <c r="H4325"/>
      <c r="I4325"/>
      <c r="J4325"/>
      <c r="K4325"/>
    </row>
    <row r="4326" spans="1:11">
      <c r="A4326"/>
      <c r="B4326"/>
      <c r="C4326"/>
      <c r="D4326"/>
      <c r="E4326"/>
      <c r="F4326"/>
      <c r="G4326"/>
      <c r="H4326"/>
      <c r="I4326"/>
      <c r="J4326"/>
      <c r="K4326"/>
    </row>
    <row r="4327" spans="1:11">
      <c r="A4327"/>
      <c r="B4327"/>
      <c r="C4327"/>
      <c r="D4327"/>
      <c r="E4327"/>
      <c r="F4327"/>
      <c r="G4327"/>
      <c r="H4327"/>
      <c r="I4327"/>
      <c r="J4327"/>
      <c r="K4327"/>
    </row>
    <row r="4328" spans="1:11">
      <c r="A4328"/>
      <c r="B4328"/>
      <c r="C4328"/>
      <c r="D4328"/>
      <c r="E4328"/>
      <c r="F4328"/>
      <c r="G4328"/>
      <c r="H4328"/>
      <c r="I4328"/>
      <c r="J4328"/>
      <c r="K4328"/>
    </row>
    <row r="4329" spans="1:11">
      <c r="A4329"/>
      <c r="B4329"/>
      <c r="C4329"/>
      <c r="D4329"/>
      <c r="E4329"/>
      <c r="F4329"/>
      <c r="G4329"/>
      <c r="H4329"/>
      <c r="I4329"/>
      <c r="J4329"/>
      <c r="K4329"/>
    </row>
    <row r="4330" spans="1:11">
      <c r="A4330"/>
      <c r="B4330"/>
      <c r="C4330"/>
      <c r="D4330"/>
      <c r="E4330"/>
      <c r="F4330"/>
      <c r="G4330"/>
      <c r="H4330"/>
      <c r="I4330"/>
      <c r="J4330"/>
      <c r="K4330"/>
    </row>
    <row r="4331" spans="1:11">
      <c r="A4331"/>
      <c r="B4331"/>
      <c r="C4331"/>
      <c r="D4331"/>
      <c r="E4331"/>
      <c r="F4331"/>
      <c r="G4331"/>
      <c r="H4331"/>
      <c r="I4331"/>
      <c r="J4331"/>
      <c r="K4331"/>
    </row>
    <row r="4332" spans="1:11">
      <c r="A4332"/>
      <c r="B4332"/>
      <c r="C4332"/>
      <c r="D4332"/>
      <c r="E4332"/>
      <c r="F4332"/>
      <c r="G4332"/>
      <c r="H4332"/>
      <c r="I4332"/>
      <c r="J4332"/>
      <c r="K4332"/>
    </row>
    <row r="4333" spans="1:11">
      <c r="A4333"/>
      <c r="B4333"/>
      <c r="C4333"/>
      <c r="D4333"/>
      <c r="E4333"/>
      <c r="F4333"/>
      <c r="G4333"/>
      <c r="H4333"/>
      <c r="I4333"/>
      <c r="J4333"/>
      <c r="K4333"/>
    </row>
    <row r="4334" spans="1:11">
      <c r="A4334"/>
      <c r="B4334"/>
      <c r="C4334"/>
      <c r="D4334"/>
      <c r="E4334"/>
      <c r="F4334"/>
      <c r="G4334"/>
      <c r="H4334"/>
      <c r="I4334"/>
      <c r="J4334"/>
      <c r="K4334"/>
    </row>
    <row r="4335" spans="1:11">
      <c r="A4335"/>
      <c r="B4335"/>
      <c r="C4335"/>
      <c r="D4335"/>
      <c r="E4335"/>
      <c r="F4335"/>
      <c r="G4335"/>
      <c r="H4335"/>
      <c r="I4335"/>
      <c r="J4335"/>
      <c r="K4335"/>
    </row>
    <row r="4336" spans="1:11">
      <c r="A4336"/>
      <c r="B4336"/>
      <c r="C4336"/>
      <c r="D4336"/>
      <c r="E4336"/>
      <c r="F4336"/>
      <c r="G4336"/>
      <c r="H4336"/>
      <c r="I4336"/>
      <c r="J4336"/>
      <c r="K4336"/>
    </row>
    <row r="4337" spans="1:11">
      <c r="A4337"/>
      <c r="B4337"/>
      <c r="C4337"/>
      <c r="D4337"/>
      <c r="E4337"/>
      <c r="F4337"/>
      <c r="G4337"/>
      <c r="H4337"/>
      <c r="I4337"/>
      <c r="J4337"/>
      <c r="K4337"/>
    </row>
    <row r="4338" spans="1:11">
      <c r="A4338"/>
      <c r="B4338"/>
      <c r="C4338"/>
      <c r="D4338"/>
      <c r="E4338"/>
      <c r="F4338"/>
      <c r="G4338"/>
      <c r="H4338"/>
      <c r="I4338"/>
      <c r="J4338"/>
      <c r="K4338"/>
    </row>
    <row r="4339" spans="1:11">
      <c r="A4339"/>
      <c r="B4339"/>
      <c r="C4339"/>
      <c r="D4339"/>
      <c r="E4339"/>
      <c r="F4339"/>
      <c r="G4339"/>
      <c r="H4339"/>
      <c r="I4339"/>
      <c r="J4339"/>
      <c r="K4339"/>
    </row>
    <row r="4340" spans="1:11">
      <c r="A4340"/>
      <c r="B4340"/>
      <c r="C4340"/>
      <c r="D4340"/>
      <c r="E4340"/>
      <c r="F4340"/>
      <c r="G4340"/>
      <c r="H4340"/>
      <c r="I4340"/>
      <c r="J4340"/>
      <c r="K4340"/>
    </row>
    <row r="4341" spans="1:11">
      <c r="A4341"/>
      <c r="B4341"/>
      <c r="C4341"/>
      <c r="D4341"/>
      <c r="E4341"/>
      <c r="F4341"/>
      <c r="G4341"/>
      <c r="H4341"/>
      <c r="I4341"/>
      <c r="J4341"/>
      <c r="K4341"/>
    </row>
    <row r="4342" spans="1:11">
      <c r="A4342"/>
      <c r="B4342"/>
      <c r="C4342"/>
      <c r="D4342"/>
      <c r="E4342"/>
      <c r="F4342"/>
      <c r="G4342"/>
      <c r="H4342"/>
      <c r="I4342"/>
      <c r="J4342"/>
      <c r="K4342"/>
    </row>
    <row r="4343" spans="1:11">
      <c r="A4343"/>
      <c r="B4343"/>
      <c r="C4343"/>
      <c r="D4343"/>
      <c r="E4343"/>
      <c r="F4343"/>
      <c r="G4343"/>
      <c r="H4343"/>
      <c r="I4343"/>
      <c r="J4343"/>
      <c r="K4343"/>
    </row>
    <row r="4344" spans="1:11">
      <c r="A4344"/>
      <c r="B4344"/>
      <c r="C4344"/>
      <c r="D4344"/>
      <c r="E4344"/>
      <c r="F4344"/>
      <c r="G4344"/>
      <c r="H4344"/>
      <c r="I4344"/>
      <c r="J4344"/>
      <c r="K4344"/>
    </row>
    <row r="4345" spans="1:11">
      <c r="A4345"/>
      <c r="B4345"/>
      <c r="C4345"/>
      <c r="D4345"/>
      <c r="E4345"/>
      <c r="F4345"/>
      <c r="G4345"/>
      <c r="H4345"/>
      <c r="I4345"/>
      <c r="J4345"/>
      <c r="K4345"/>
    </row>
    <row r="4346" spans="1:11">
      <c r="A4346"/>
      <c r="B4346"/>
      <c r="C4346"/>
      <c r="D4346"/>
      <c r="E4346"/>
      <c r="F4346"/>
      <c r="G4346"/>
      <c r="H4346"/>
      <c r="I4346"/>
      <c r="J4346"/>
      <c r="K4346"/>
    </row>
    <row r="4347" spans="1:11">
      <c r="A4347"/>
      <c r="B4347"/>
      <c r="C4347"/>
      <c r="D4347"/>
      <c r="E4347"/>
      <c r="F4347"/>
      <c r="G4347"/>
      <c r="H4347"/>
      <c r="I4347"/>
      <c r="J4347"/>
      <c r="K4347"/>
    </row>
    <row r="4348" spans="1:11">
      <c r="A4348"/>
      <c r="B4348"/>
      <c r="C4348"/>
      <c r="D4348"/>
      <c r="E4348"/>
      <c r="F4348"/>
      <c r="G4348"/>
      <c r="H4348"/>
      <c r="I4348"/>
      <c r="J4348"/>
      <c r="K4348"/>
    </row>
    <row r="4349" spans="1:11">
      <c r="A4349"/>
      <c r="B4349"/>
      <c r="C4349"/>
      <c r="D4349"/>
      <c r="E4349"/>
      <c r="F4349"/>
      <c r="G4349"/>
      <c r="H4349"/>
      <c r="I4349"/>
      <c r="J4349"/>
      <c r="K4349"/>
    </row>
    <row r="4350" spans="1:11">
      <c r="A4350"/>
      <c r="B4350"/>
      <c r="C4350"/>
      <c r="D4350"/>
      <c r="E4350"/>
      <c r="F4350"/>
      <c r="G4350"/>
      <c r="H4350"/>
      <c r="I4350"/>
      <c r="J4350"/>
      <c r="K4350"/>
    </row>
    <row r="4351" spans="1:11">
      <c r="A4351"/>
      <c r="B4351"/>
      <c r="C4351"/>
      <c r="D4351"/>
      <c r="E4351"/>
      <c r="F4351"/>
      <c r="G4351"/>
      <c r="H4351"/>
      <c r="I4351"/>
      <c r="J4351"/>
      <c r="K4351"/>
    </row>
    <row r="4352" spans="1:11">
      <c r="A4352"/>
      <c r="B4352"/>
      <c r="C4352"/>
      <c r="D4352"/>
      <c r="E4352"/>
      <c r="F4352"/>
      <c r="G4352"/>
      <c r="H4352"/>
      <c r="I4352"/>
      <c r="J4352"/>
      <c r="K4352"/>
    </row>
    <row r="4353" spans="1:11">
      <c r="A4353"/>
      <c r="B4353"/>
      <c r="C4353"/>
      <c r="D4353"/>
      <c r="E4353"/>
      <c r="F4353"/>
      <c r="G4353"/>
      <c r="H4353"/>
      <c r="I4353"/>
      <c r="J4353"/>
      <c r="K4353"/>
    </row>
    <row r="4354" spans="1:11">
      <c r="A4354"/>
      <c r="B4354"/>
      <c r="C4354"/>
      <c r="D4354"/>
      <c r="E4354"/>
      <c r="F4354"/>
      <c r="G4354"/>
      <c r="H4354"/>
      <c r="I4354"/>
      <c r="J4354"/>
      <c r="K4354"/>
    </row>
    <row r="4355" spans="1:11">
      <c r="A4355"/>
      <c r="B4355"/>
      <c r="C4355"/>
      <c r="D4355"/>
      <c r="E4355"/>
      <c r="F4355"/>
      <c r="G4355"/>
      <c r="H4355"/>
      <c r="I4355"/>
      <c r="J4355"/>
      <c r="K4355"/>
    </row>
    <row r="4356" spans="1:11">
      <c r="A4356"/>
      <c r="B4356"/>
      <c r="C4356"/>
      <c r="D4356"/>
      <c r="E4356"/>
      <c r="F4356"/>
      <c r="G4356"/>
      <c r="H4356"/>
      <c r="I4356"/>
      <c r="J4356"/>
      <c r="K4356"/>
    </row>
    <row r="4357" spans="1:11">
      <c r="A4357"/>
      <c r="B4357"/>
      <c r="C4357"/>
      <c r="D4357"/>
      <c r="E4357"/>
      <c r="F4357"/>
      <c r="G4357"/>
      <c r="H4357"/>
      <c r="I4357"/>
      <c r="J4357"/>
      <c r="K4357"/>
    </row>
    <row r="4358" spans="1:11">
      <c r="A4358"/>
      <c r="B4358"/>
      <c r="C4358"/>
      <c r="D4358"/>
      <c r="E4358"/>
      <c r="F4358"/>
      <c r="G4358"/>
      <c r="H4358"/>
      <c r="I4358"/>
      <c r="J4358"/>
      <c r="K4358"/>
    </row>
    <row r="4359" spans="1:11">
      <c r="A4359"/>
      <c r="B4359"/>
      <c r="C4359"/>
      <c r="D4359"/>
      <c r="E4359"/>
      <c r="F4359"/>
      <c r="G4359"/>
      <c r="H4359"/>
      <c r="I4359"/>
      <c r="J4359"/>
      <c r="K4359"/>
    </row>
    <row r="4360" spans="1:11">
      <c r="A4360"/>
      <c r="B4360"/>
      <c r="C4360"/>
      <c r="D4360"/>
      <c r="E4360"/>
      <c r="F4360"/>
      <c r="G4360"/>
      <c r="H4360"/>
      <c r="I4360"/>
      <c r="J4360"/>
      <c r="K4360"/>
    </row>
    <row r="4361" spans="1:11">
      <c r="A4361"/>
      <c r="B4361"/>
      <c r="C4361"/>
      <c r="D4361"/>
      <c r="E4361"/>
      <c r="F4361"/>
      <c r="G4361"/>
      <c r="H4361"/>
      <c r="I4361"/>
      <c r="J4361"/>
      <c r="K4361"/>
    </row>
    <row r="4362" spans="1:11">
      <c r="A4362"/>
      <c r="B4362"/>
      <c r="C4362"/>
      <c r="D4362"/>
      <c r="E4362"/>
      <c r="F4362"/>
      <c r="G4362"/>
      <c r="H4362"/>
      <c r="I4362"/>
      <c r="J4362"/>
      <c r="K4362"/>
    </row>
    <row r="4363" spans="1:11">
      <c r="A4363"/>
      <c r="B4363"/>
      <c r="C4363"/>
      <c r="D4363"/>
      <c r="E4363"/>
      <c r="F4363"/>
      <c r="G4363"/>
      <c r="H4363"/>
      <c r="I4363"/>
      <c r="J4363"/>
      <c r="K4363"/>
    </row>
    <row r="4364" spans="1:11">
      <c r="A4364"/>
      <c r="B4364"/>
      <c r="C4364"/>
      <c r="D4364"/>
      <c r="E4364"/>
      <c r="F4364"/>
      <c r="G4364"/>
      <c r="H4364"/>
      <c r="I4364"/>
      <c r="J4364"/>
      <c r="K4364"/>
    </row>
    <row r="4365" spans="1:11">
      <c r="A4365"/>
      <c r="B4365"/>
      <c r="C4365"/>
      <c r="D4365"/>
      <c r="E4365"/>
      <c r="F4365"/>
      <c r="G4365"/>
      <c r="H4365"/>
      <c r="I4365"/>
      <c r="J4365"/>
      <c r="K4365"/>
    </row>
    <row r="4366" spans="1:11">
      <c r="A4366"/>
      <c r="B4366"/>
      <c r="C4366"/>
      <c r="D4366"/>
      <c r="E4366"/>
      <c r="F4366"/>
      <c r="G4366"/>
      <c r="H4366"/>
      <c r="I4366"/>
      <c r="J4366"/>
      <c r="K4366"/>
    </row>
    <row r="4367" spans="1:11">
      <c r="A4367"/>
      <c r="B4367"/>
      <c r="C4367"/>
      <c r="D4367"/>
      <c r="E4367"/>
      <c r="F4367"/>
      <c r="G4367"/>
      <c r="H4367"/>
      <c r="I4367"/>
      <c r="J4367"/>
      <c r="K4367"/>
    </row>
    <row r="4368" spans="1:11">
      <c r="A4368"/>
      <c r="B4368"/>
      <c r="C4368"/>
      <c r="D4368"/>
      <c r="E4368"/>
      <c r="F4368"/>
      <c r="G4368"/>
      <c r="H4368"/>
      <c r="I4368"/>
      <c r="J4368"/>
      <c r="K4368"/>
    </row>
    <row r="4369" spans="1:11">
      <c r="A4369"/>
      <c r="B4369"/>
      <c r="C4369"/>
      <c r="D4369"/>
      <c r="E4369"/>
      <c r="F4369"/>
      <c r="G4369"/>
      <c r="H4369"/>
      <c r="I4369"/>
      <c r="J4369"/>
      <c r="K4369"/>
    </row>
    <row r="4370" spans="1:11">
      <c r="A4370"/>
      <c r="B4370"/>
      <c r="C4370"/>
      <c r="D4370"/>
      <c r="E4370"/>
      <c r="F4370"/>
      <c r="G4370"/>
      <c r="H4370"/>
      <c r="I4370"/>
      <c r="J4370"/>
      <c r="K4370"/>
    </row>
    <row r="4371" spans="1:11">
      <c r="A4371"/>
      <c r="B4371"/>
      <c r="C4371"/>
      <c r="D4371"/>
      <c r="E4371"/>
      <c r="F4371"/>
      <c r="G4371"/>
      <c r="H4371"/>
      <c r="I4371"/>
      <c r="J4371"/>
      <c r="K4371"/>
    </row>
    <row r="4372" spans="1:11">
      <c r="A4372"/>
      <c r="B4372"/>
      <c r="C4372"/>
      <c r="D4372"/>
      <c r="E4372"/>
      <c r="F4372"/>
      <c r="G4372"/>
      <c r="H4372"/>
      <c r="I4372"/>
      <c r="J4372"/>
      <c r="K4372"/>
    </row>
    <row r="4373" spans="1:11">
      <c r="A4373"/>
      <c r="B4373"/>
      <c r="C4373"/>
      <c r="D4373"/>
      <c r="E4373"/>
      <c r="F4373"/>
      <c r="G4373"/>
      <c r="H4373"/>
      <c r="I4373"/>
      <c r="J4373"/>
      <c r="K4373"/>
    </row>
    <row r="4374" spans="1:11">
      <c r="A4374"/>
      <c r="B4374"/>
      <c r="C4374"/>
      <c r="D4374"/>
      <c r="E4374"/>
      <c r="F4374"/>
      <c r="G4374"/>
      <c r="H4374"/>
      <c r="I4374"/>
      <c r="J4374"/>
      <c r="K4374"/>
    </row>
    <row r="4375" spans="1:11">
      <c r="A4375"/>
      <c r="B4375"/>
      <c r="C4375"/>
      <c r="D4375"/>
      <c r="E4375"/>
      <c r="F4375"/>
      <c r="G4375"/>
      <c r="H4375"/>
      <c r="I4375"/>
      <c r="J4375"/>
      <c r="K4375"/>
    </row>
    <row r="4376" spans="1:11">
      <c r="A4376"/>
      <c r="B4376"/>
      <c r="C4376"/>
      <c r="D4376"/>
      <c r="E4376"/>
      <c r="F4376"/>
      <c r="G4376"/>
      <c r="H4376"/>
      <c r="I4376"/>
      <c r="J4376"/>
      <c r="K4376"/>
    </row>
    <row r="4377" spans="1:11">
      <c r="A4377"/>
      <c r="B4377"/>
      <c r="C4377"/>
      <c r="D4377"/>
      <c r="E4377"/>
      <c r="F4377"/>
      <c r="G4377"/>
      <c r="H4377"/>
      <c r="I4377"/>
      <c r="J4377"/>
      <c r="K4377"/>
    </row>
    <row r="4378" spans="1:11">
      <c r="A4378"/>
      <c r="B4378"/>
      <c r="C4378"/>
      <c r="D4378"/>
      <c r="E4378"/>
      <c r="F4378"/>
      <c r="G4378"/>
      <c r="H4378"/>
      <c r="I4378"/>
      <c r="J4378"/>
      <c r="K4378"/>
    </row>
    <row r="4379" spans="1:11">
      <c r="A4379"/>
      <c r="B4379"/>
      <c r="C4379"/>
      <c r="D4379"/>
      <c r="E4379"/>
      <c r="F4379"/>
      <c r="G4379"/>
      <c r="H4379"/>
      <c r="I4379"/>
      <c r="J4379"/>
      <c r="K4379"/>
    </row>
    <row r="4380" spans="1:11">
      <c r="A4380"/>
      <c r="B4380"/>
      <c r="C4380"/>
      <c r="D4380"/>
      <c r="E4380"/>
      <c r="F4380"/>
      <c r="G4380"/>
      <c r="H4380"/>
      <c r="I4380"/>
      <c r="J4380"/>
      <c r="K4380"/>
    </row>
    <row r="4381" spans="1:11">
      <c r="A4381"/>
      <c r="B4381"/>
      <c r="C4381"/>
      <c r="D4381"/>
      <c r="E4381"/>
      <c r="F4381"/>
      <c r="G4381"/>
      <c r="H4381"/>
      <c r="I4381"/>
      <c r="J4381"/>
      <c r="K4381"/>
    </row>
    <row r="4382" spans="1:11">
      <c r="A4382"/>
      <c r="B4382"/>
      <c r="C4382"/>
      <c r="D4382"/>
      <c r="E4382"/>
      <c r="F4382"/>
      <c r="G4382"/>
      <c r="H4382"/>
      <c r="I4382"/>
      <c r="J4382"/>
      <c r="K4382"/>
    </row>
    <row r="4383" spans="1:11">
      <c r="A4383"/>
      <c r="B4383"/>
      <c r="C4383"/>
      <c r="D4383"/>
      <c r="E4383"/>
      <c r="F4383"/>
      <c r="G4383"/>
      <c r="H4383"/>
      <c r="I4383"/>
      <c r="J4383"/>
      <c r="K4383"/>
    </row>
    <row r="4384" spans="1:11">
      <c r="A4384"/>
      <c r="B4384"/>
      <c r="C4384"/>
      <c r="D4384"/>
      <c r="E4384"/>
      <c r="F4384"/>
      <c r="G4384"/>
      <c r="H4384"/>
      <c r="I4384"/>
      <c r="J4384"/>
      <c r="K4384"/>
    </row>
    <row r="4385" spans="1:11">
      <c r="A4385"/>
      <c r="B4385"/>
      <c r="C4385"/>
      <c r="D4385"/>
      <c r="E4385"/>
      <c r="F4385"/>
      <c r="G4385"/>
      <c r="H4385"/>
      <c r="I4385"/>
      <c r="J4385"/>
      <c r="K4385"/>
    </row>
    <row r="4386" spans="1:11">
      <c r="A4386"/>
      <c r="B4386"/>
      <c r="C4386"/>
      <c r="D4386"/>
      <c r="E4386"/>
      <c r="F4386"/>
      <c r="G4386"/>
      <c r="H4386"/>
      <c r="I4386"/>
      <c r="J4386"/>
      <c r="K4386"/>
    </row>
    <row r="4387" spans="1:11">
      <c r="A4387"/>
      <c r="B4387"/>
      <c r="C4387"/>
      <c r="D4387"/>
      <c r="E4387"/>
      <c r="F4387"/>
      <c r="G4387"/>
      <c r="H4387"/>
      <c r="I4387"/>
      <c r="J4387"/>
      <c r="K4387"/>
    </row>
    <row r="4388" spans="1:11">
      <c r="A4388"/>
      <c r="B4388"/>
      <c r="C4388"/>
      <c r="D4388"/>
      <c r="E4388"/>
      <c r="F4388"/>
      <c r="G4388"/>
      <c r="H4388"/>
      <c r="I4388"/>
      <c r="J4388"/>
      <c r="K4388"/>
    </row>
    <row r="4389" spans="1:11">
      <c r="A4389"/>
      <c r="B4389"/>
      <c r="C4389"/>
      <c r="D4389"/>
      <c r="E4389"/>
      <c r="F4389"/>
      <c r="G4389"/>
      <c r="H4389"/>
      <c r="I4389"/>
      <c r="J4389"/>
      <c r="K4389"/>
    </row>
    <row r="4390" spans="1:11">
      <c r="A4390"/>
      <c r="B4390"/>
      <c r="C4390"/>
      <c r="D4390"/>
      <c r="E4390"/>
      <c r="F4390"/>
      <c r="G4390"/>
      <c r="H4390"/>
      <c r="I4390"/>
      <c r="J4390"/>
      <c r="K4390"/>
    </row>
    <row r="4391" spans="1:11">
      <c r="A4391"/>
      <c r="B4391"/>
      <c r="C4391"/>
      <c r="D4391"/>
      <c r="E4391"/>
      <c r="F4391"/>
      <c r="G4391"/>
      <c r="H4391"/>
      <c r="I4391"/>
      <c r="J4391"/>
      <c r="K4391"/>
    </row>
    <row r="4392" spans="1:11">
      <c r="A4392"/>
      <c r="B4392"/>
      <c r="C4392"/>
      <c r="D4392"/>
      <c r="E4392"/>
      <c r="F4392"/>
      <c r="G4392"/>
      <c r="H4392"/>
      <c r="I4392"/>
      <c r="J4392"/>
      <c r="K4392"/>
    </row>
    <row r="4393" spans="1:11">
      <c r="A4393"/>
      <c r="B4393"/>
      <c r="C4393"/>
      <c r="D4393"/>
      <c r="E4393"/>
      <c r="F4393"/>
      <c r="G4393"/>
      <c r="H4393"/>
      <c r="I4393"/>
      <c r="J4393"/>
      <c r="K4393"/>
    </row>
    <row r="4394" spans="1:11">
      <c r="A4394"/>
      <c r="B4394"/>
      <c r="C4394"/>
      <c r="D4394"/>
      <c r="E4394"/>
      <c r="F4394"/>
      <c r="G4394"/>
      <c r="H4394"/>
      <c r="I4394"/>
      <c r="J4394"/>
      <c r="K4394"/>
    </row>
    <row r="4395" spans="1:11">
      <c r="A4395"/>
      <c r="B4395"/>
      <c r="C4395"/>
      <c r="D4395"/>
      <c r="E4395"/>
      <c r="F4395"/>
      <c r="G4395"/>
      <c r="H4395"/>
      <c r="I4395"/>
      <c r="J4395"/>
      <c r="K4395"/>
    </row>
    <row r="4396" spans="1:11">
      <c r="A4396"/>
      <c r="B4396"/>
      <c r="C4396"/>
      <c r="D4396"/>
      <c r="E4396"/>
      <c r="F4396"/>
      <c r="G4396"/>
      <c r="H4396"/>
      <c r="I4396"/>
      <c r="J4396"/>
      <c r="K4396"/>
    </row>
    <row r="4397" spans="1:11">
      <c r="A4397"/>
      <c r="B4397"/>
      <c r="C4397"/>
      <c r="D4397"/>
      <c r="E4397"/>
      <c r="F4397"/>
      <c r="G4397"/>
      <c r="H4397"/>
      <c r="I4397"/>
      <c r="J4397"/>
      <c r="K4397"/>
    </row>
    <row r="4398" spans="1:11">
      <c r="A4398"/>
      <c r="B4398"/>
      <c r="C4398"/>
      <c r="D4398"/>
      <c r="E4398"/>
      <c r="F4398"/>
      <c r="G4398"/>
      <c r="H4398"/>
      <c r="I4398"/>
      <c r="J4398"/>
      <c r="K4398"/>
    </row>
    <row r="4399" spans="1:11">
      <c r="A4399"/>
      <c r="B4399"/>
      <c r="C4399"/>
      <c r="D4399"/>
      <c r="E4399"/>
      <c r="F4399"/>
      <c r="G4399"/>
      <c r="H4399"/>
      <c r="I4399"/>
      <c r="J4399"/>
      <c r="K4399"/>
    </row>
    <row r="4400" spans="1:11">
      <c r="A4400"/>
      <c r="B4400"/>
      <c r="C4400"/>
      <c r="D4400"/>
      <c r="E4400"/>
      <c r="F4400"/>
      <c r="G4400"/>
      <c r="H4400"/>
      <c r="I4400"/>
      <c r="J4400"/>
      <c r="K4400"/>
    </row>
    <row r="4401" spans="1:11">
      <c r="A4401"/>
      <c r="B4401"/>
      <c r="C4401"/>
      <c r="D4401"/>
      <c r="E4401"/>
      <c r="F4401"/>
      <c r="G4401"/>
      <c r="H4401"/>
      <c r="I4401"/>
      <c r="J4401"/>
      <c r="K4401"/>
    </row>
    <row r="4402" spans="1:11">
      <c r="A4402"/>
      <c r="B4402"/>
      <c r="C4402"/>
      <c r="D4402"/>
      <c r="E4402"/>
      <c r="F4402"/>
      <c r="G4402"/>
      <c r="H4402"/>
      <c r="I4402"/>
      <c r="J4402"/>
      <c r="K4402"/>
    </row>
    <row r="4403" spans="1:11">
      <c r="A4403"/>
      <c r="B4403"/>
      <c r="C4403"/>
      <c r="D4403"/>
      <c r="E4403"/>
      <c r="F4403"/>
      <c r="G4403"/>
      <c r="H4403"/>
      <c r="I4403"/>
      <c r="J4403"/>
      <c r="K4403"/>
    </row>
    <row r="4404" spans="1:11">
      <c r="A4404"/>
      <c r="B4404"/>
      <c r="C4404"/>
      <c r="D4404"/>
      <c r="E4404"/>
      <c r="F4404"/>
      <c r="G4404"/>
      <c r="H4404"/>
      <c r="I4404"/>
      <c r="J4404"/>
      <c r="K4404"/>
    </row>
    <row r="4405" spans="1:11">
      <c r="A4405"/>
      <c r="B4405"/>
      <c r="C4405"/>
      <c r="D4405"/>
      <c r="E4405"/>
      <c r="F4405"/>
      <c r="G4405"/>
      <c r="H4405"/>
      <c r="I4405"/>
      <c r="J4405"/>
      <c r="K4405"/>
    </row>
    <row r="4406" spans="1:11">
      <c r="A4406"/>
      <c r="B4406"/>
      <c r="C4406"/>
      <c r="D4406"/>
      <c r="E4406"/>
      <c r="F4406"/>
      <c r="G4406"/>
      <c r="H4406"/>
      <c r="I4406"/>
      <c r="J4406"/>
      <c r="K4406"/>
    </row>
    <row r="4407" spans="1:11">
      <c r="A4407"/>
      <c r="B4407"/>
      <c r="C4407"/>
      <c r="D4407"/>
      <c r="E4407"/>
      <c r="F4407"/>
      <c r="G4407"/>
      <c r="H4407"/>
      <c r="I4407"/>
      <c r="J4407"/>
      <c r="K4407"/>
    </row>
    <row r="4408" spans="1:11">
      <c r="A4408"/>
      <c r="B4408"/>
      <c r="C4408"/>
      <c r="D4408"/>
      <c r="E4408"/>
      <c r="F4408"/>
      <c r="G4408"/>
      <c r="H4408"/>
      <c r="I4408"/>
      <c r="J4408"/>
      <c r="K4408"/>
    </row>
    <row r="4409" spans="1:11">
      <c r="A4409"/>
      <c r="B4409"/>
      <c r="C4409"/>
      <c r="D4409"/>
      <c r="E4409"/>
      <c r="F4409"/>
      <c r="G4409"/>
      <c r="H4409"/>
      <c r="I4409"/>
      <c r="J4409"/>
      <c r="K4409"/>
    </row>
    <row r="4410" spans="1:11">
      <c r="A4410"/>
      <c r="B4410"/>
      <c r="C4410"/>
      <c r="D4410"/>
      <c r="E4410"/>
      <c r="F4410"/>
      <c r="G4410"/>
      <c r="H4410"/>
      <c r="I4410"/>
      <c r="J4410"/>
      <c r="K4410"/>
    </row>
    <row r="4411" spans="1:11">
      <c r="A4411"/>
      <c r="B4411"/>
      <c r="C4411"/>
      <c r="D4411"/>
      <c r="E4411"/>
      <c r="F4411"/>
      <c r="G4411"/>
      <c r="H4411"/>
      <c r="I4411"/>
      <c r="J4411"/>
      <c r="K4411"/>
    </row>
    <row r="4412" spans="1:11">
      <c r="A4412"/>
      <c r="B4412"/>
      <c r="C4412"/>
      <c r="D4412"/>
      <c r="E4412"/>
      <c r="F4412"/>
      <c r="G4412"/>
      <c r="H4412"/>
      <c r="I4412"/>
      <c r="J4412"/>
      <c r="K4412"/>
    </row>
    <row r="4413" spans="1:11">
      <c r="A4413"/>
      <c r="B4413"/>
      <c r="C4413"/>
      <c r="D4413"/>
      <c r="E4413"/>
      <c r="F4413"/>
      <c r="G4413"/>
      <c r="H4413"/>
      <c r="I4413"/>
      <c r="J4413"/>
      <c r="K4413"/>
    </row>
    <row r="4414" spans="1:11">
      <c r="A4414"/>
      <c r="B4414"/>
      <c r="C4414"/>
      <c r="D4414"/>
      <c r="E4414"/>
      <c r="F4414"/>
      <c r="G4414"/>
      <c r="H4414"/>
      <c r="I4414"/>
      <c r="J4414"/>
      <c r="K4414"/>
    </row>
    <row r="4415" spans="1:11">
      <c r="A4415"/>
      <c r="B4415"/>
      <c r="C4415"/>
      <c r="D4415"/>
      <c r="E4415"/>
      <c r="F4415"/>
      <c r="G4415"/>
      <c r="H4415"/>
      <c r="I4415"/>
      <c r="J4415"/>
      <c r="K4415"/>
    </row>
    <row r="4416" spans="1:11">
      <c r="A4416"/>
      <c r="B4416"/>
      <c r="C4416"/>
      <c r="D4416"/>
      <c r="E4416"/>
      <c r="F4416"/>
      <c r="G4416"/>
      <c r="H4416"/>
      <c r="I4416"/>
      <c r="J4416"/>
      <c r="K4416"/>
    </row>
    <row r="4417" spans="1:11">
      <c r="A4417"/>
      <c r="B4417"/>
      <c r="C4417"/>
      <c r="D4417"/>
      <c r="E4417"/>
      <c r="F4417"/>
      <c r="G4417"/>
      <c r="H4417"/>
      <c r="I4417"/>
      <c r="J4417"/>
      <c r="K4417"/>
    </row>
    <row r="4418" spans="1:11">
      <c r="A4418"/>
      <c r="B4418"/>
      <c r="C4418"/>
      <c r="D4418"/>
      <c r="E4418"/>
      <c r="F4418"/>
      <c r="G4418"/>
      <c r="H4418"/>
      <c r="I4418"/>
      <c r="J4418"/>
      <c r="K4418"/>
    </row>
    <row r="4419" spans="1:11">
      <c r="A4419"/>
      <c r="B4419"/>
      <c r="C4419"/>
      <c r="D4419"/>
      <c r="E4419"/>
      <c r="F4419"/>
      <c r="G4419"/>
      <c r="H4419"/>
      <c r="I4419"/>
      <c r="J4419"/>
      <c r="K4419"/>
    </row>
    <row r="4420" spans="1:11">
      <c r="A4420"/>
      <c r="B4420"/>
      <c r="C4420"/>
      <c r="D4420"/>
      <c r="E4420"/>
      <c r="F4420"/>
      <c r="G4420"/>
      <c r="H4420"/>
      <c r="I4420"/>
      <c r="J4420"/>
      <c r="K4420"/>
    </row>
    <row r="4421" spans="1:11">
      <c r="A4421"/>
      <c r="B4421"/>
      <c r="C4421"/>
      <c r="D4421"/>
      <c r="E4421"/>
      <c r="F4421"/>
      <c r="G4421"/>
      <c r="H4421"/>
      <c r="I4421"/>
      <c r="J4421"/>
      <c r="K4421"/>
    </row>
    <row r="4422" spans="1:11">
      <c r="A4422"/>
      <c r="B4422"/>
      <c r="C4422"/>
      <c r="D4422"/>
      <c r="E4422"/>
      <c r="F4422"/>
      <c r="G4422"/>
      <c r="H4422"/>
      <c r="I4422"/>
      <c r="J4422"/>
      <c r="K4422"/>
    </row>
    <row r="4423" spans="1:11">
      <c r="A4423"/>
      <c r="B4423"/>
      <c r="C4423"/>
      <c r="D4423"/>
      <c r="E4423"/>
      <c r="F4423"/>
      <c r="G4423"/>
      <c r="H4423"/>
      <c r="I4423"/>
      <c r="J4423"/>
      <c r="K4423"/>
    </row>
    <row r="4424" spans="1:11">
      <c r="A4424"/>
      <c r="B4424"/>
      <c r="C4424"/>
      <c r="D4424"/>
      <c r="E4424"/>
      <c r="F4424"/>
      <c r="G4424"/>
      <c r="H4424"/>
      <c r="I4424"/>
      <c r="J4424"/>
      <c r="K4424"/>
    </row>
    <row r="4425" spans="1:11">
      <c r="A4425"/>
      <c r="B4425"/>
      <c r="C4425"/>
      <c r="D4425"/>
      <c r="E4425"/>
      <c r="F4425"/>
      <c r="G4425"/>
      <c r="H4425"/>
      <c r="I4425"/>
      <c r="J4425"/>
      <c r="K4425"/>
    </row>
    <row r="4426" spans="1:11">
      <c r="A4426"/>
      <c r="B4426"/>
      <c r="C4426"/>
      <c r="D4426"/>
      <c r="E4426"/>
      <c r="F4426"/>
      <c r="G4426"/>
      <c r="H4426"/>
      <c r="I4426"/>
      <c r="J4426"/>
      <c r="K4426"/>
    </row>
    <row r="4427" spans="1:11">
      <c r="A4427"/>
      <c r="B4427"/>
      <c r="C4427"/>
      <c r="D4427"/>
      <c r="E4427"/>
      <c r="F4427"/>
      <c r="G4427"/>
      <c r="H4427"/>
      <c r="I4427"/>
      <c r="J4427"/>
      <c r="K4427"/>
    </row>
    <row r="4428" spans="1:11">
      <c r="A4428"/>
      <c r="B4428"/>
      <c r="C4428"/>
      <c r="D4428"/>
      <c r="E4428"/>
      <c r="F4428"/>
      <c r="G4428"/>
      <c r="H4428"/>
      <c r="I4428"/>
      <c r="J4428"/>
      <c r="K4428"/>
    </row>
    <row r="4429" spans="1:11">
      <c r="A4429"/>
      <c r="B4429"/>
      <c r="C4429"/>
      <c r="D4429"/>
      <c r="E4429"/>
      <c r="F4429"/>
      <c r="G4429"/>
      <c r="H4429"/>
      <c r="I4429"/>
      <c r="J4429"/>
      <c r="K4429"/>
    </row>
    <row r="4430" spans="1:11">
      <c r="A4430"/>
      <c r="B4430"/>
      <c r="C4430"/>
      <c r="D4430"/>
      <c r="E4430"/>
      <c r="F4430"/>
      <c r="G4430"/>
      <c r="H4430"/>
      <c r="I4430"/>
      <c r="J4430"/>
      <c r="K4430"/>
    </row>
    <row r="4431" spans="1:11">
      <c r="A4431"/>
      <c r="B4431"/>
      <c r="C4431"/>
      <c r="D4431"/>
      <c r="E4431"/>
      <c r="F4431"/>
      <c r="G4431"/>
      <c r="H4431"/>
      <c r="I4431"/>
      <c r="J4431"/>
      <c r="K4431"/>
    </row>
    <row r="4432" spans="1:11">
      <c r="A4432"/>
      <c r="B4432"/>
      <c r="C4432"/>
      <c r="D4432"/>
      <c r="E4432"/>
      <c r="F4432"/>
      <c r="G4432"/>
      <c r="H4432"/>
      <c r="I4432"/>
      <c r="J4432"/>
      <c r="K4432"/>
    </row>
    <row r="4433" spans="1:11">
      <c r="A4433"/>
      <c r="B4433"/>
      <c r="C4433"/>
      <c r="D4433"/>
      <c r="E4433"/>
      <c r="F4433"/>
      <c r="G4433"/>
      <c r="H4433"/>
      <c r="I4433"/>
      <c r="J4433"/>
      <c r="K4433"/>
    </row>
    <row r="4434" spans="1:11">
      <c r="A4434"/>
      <c r="B4434"/>
      <c r="C4434"/>
      <c r="D4434"/>
      <c r="E4434"/>
      <c r="F4434"/>
      <c r="G4434"/>
      <c r="H4434"/>
      <c r="I4434"/>
      <c r="J4434"/>
      <c r="K4434"/>
    </row>
    <row r="4435" spans="1:11">
      <c r="A4435"/>
      <c r="B4435"/>
      <c r="C4435"/>
      <c r="D4435"/>
      <c r="E4435"/>
      <c r="F4435"/>
      <c r="G4435"/>
      <c r="H4435"/>
      <c r="I4435"/>
      <c r="J4435"/>
      <c r="K4435"/>
    </row>
    <row r="4436" spans="1:11">
      <c r="A4436"/>
      <c r="B4436"/>
      <c r="C4436"/>
      <c r="D4436"/>
      <c r="E4436"/>
      <c r="F4436"/>
      <c r="G4436"/>
      <c r="H4436"/>
      <c r="I4436"/>
      <c r="J4436"/>
      <c r="K4436"/>
    </row>
    <row r="4437" spans="1:11">
      <c r="A4437"/>
      <c r="B4437"/>
      <c r="C4437"/>
      <c r="D4437"/>
      <c r="E4437"/>
      <c r="F4437"/>
      <c r="G4437"/>
      <c r="H4437"/>
      <c r="I4437"/>
      <c r="J4437"/>
      <c r="K4437"/>
    </row>
    <row r="4438" spans="1:11">
      <c r="A4438"/>
      <c r="B4438"/>
      <c r="C4438"/>
      <c r="D4438"/>
      <c r="E4438"/>
      <c r="F4438"/>
      <c r="G4438"/>
      <c r="H4438"/>
      <c r="I4438"/>
      <c r="J4438"/>
      <c r="K4438"/>
    </row>
    <row r="4439" spans="1:11">
      <c r="A4439"/>
      <c r="B4439"/>
      <c r="C4439"/>
      <c r="D4439"/>
      <c r="E4439"/>
      <c r="F4439"/>
      <c r="G4439"/>
      <c r="H4439"/>
      <c r="I4439"/>
      <c r="J4439"/>
      <c r="K4439"/>
    </row>
    <row r="4440" spans="1:11">
      <c r="A4440"/>
      <c r="B4440"/>
      <c r="C4440"/>
      <c r="D4440"/>
      <c r="E4440"/>
      <c r="F4440"/>
      <c r="G4440"/>
      <c r="H4440"/>
      <c r="I4440"/>
      <c r="J4440"/>
      <c r="K4440"/>
    </row>
    <row r="4441" spans="1:11">
      <c r="A4441"/>
      <c r="B4441"/>
      <c r="C4441"/>
      <c r="D4441"/>
      <c r="E4441"/>
      <c r="F4441"/>
      <c r="G4441"/>
      <c r="H4441"/>
      <c r="I4441"/>
      <c r="J4441"/>
      <c r="K4441"/>
    </row>
    <row r="4442" spans="1:11">
      <c r="A4442"/>
      <c r="B4442"/>
      <c r="C4442"/>
      <c r="D4442"/>
      <c r="E4442"/>
      <c r="F4442"/>
      <c r="G4442"/>
      <c r="H4442"/>
      <c r="I4442"/>
      <c r="J4442"/>
      <c r="K4442"/>
    </row>
    <row r="4443" spans="1:11">
      <c r="A4443"/>
      <c r="B4443"/>
      <c r="C4443"/>
      <c r="D4443"/>
      <c r="E4443"/>
      <c r="F4443"/>
      <c r="G4443"/>
      <c r="H4443"/>
      <c r="I4443"/>
      <c r="J4443"/>
      <c r="K4443"/>
    </row>
    <row r="4444" spans="1:11">
      <c r="A4444"/>
      <c r="B4444"/>
      <c r="C4444"/>
      <c r="D4444"/>
      <c r="E4444"/>
      <c r="F4444"/>
      <c r="G4444"/>
      <c r="H4444"/>
      <c r="I4444"/>
      <c r="J4444"/>
      <c r="K4444"/>
    </row>
    <row r="4445" spans="1:11">
      <c r="A4445"/>
      <c r="B4445"/>
      <c r="C4445"/>
      <c r="D4445"/>
      <c r="E4445"/>
      <c r="F4445"/>
      <c r="G4445"/>
      <c r="H4445"/>
      <c r="I4445"/>
      <c r="J4445"/>
      <c r="K4445"/>
    </row>
    <row r="4446" spans="1:11">
      <c r="A4446"/>
      <c r="B4446"/>
      <c r="C4446"/>
      <c r="D4446"/>
      <c r="E4446"/>
      <c r="F4446"/>
      <c r="G4446"/>
      <c r="H4446"/>
      <c r="I4446"/>
      <c r="J4446"/>
      <c r="K4446"/>
    </row>
    <row r="4447" spans="1:11">
      <c r="A4447"/>
      <c r="B4447"/>
      <c r="C4447"/>
      <c r="D4447"/>
      <c r="E4447"/>
      <c r="F4447"/>
      <c r="G4447"/>
      <c r="H4447"/>
      <c r="I4447"/>
      <c r="J4447"/>
      <c r="K4447"/>
    </row>
    <row r="4448" spans="1:11">
      <c r="A4448"/>
      <c r="B4448"/>
      <c r="C4448"/>
      <c r="D4448"/>
      <c r="E4448"/>
      <c r="F4448"/>
      <c r="G4448"/>
      <c r="H4448"/>
      <c r="I4448"/>
      <c r="J4448"/>
      <c r="K4448"/>
    </row>
    <row r="4449" spans="1:11">
      <c r="A4449"/>
      <c r="B4449"/>
      <c r="C4449"/>
      <c r="D4449"/>
      <c r="E4449"/>
      <c r="F4449"/>
      <c r="G4449"/>
      <c r="H4449"/>
      <c r="I4449"/>
      <c r="J4449"/>
      <c r="K4449"/>
    </row>
    <row r="4450" spans="1:11">
      <c r="A4450"/>
      <c r="B4450"/>
      <c r="C4450"/>
      <c r="D4450"/>
      <c r="E4450"/>
      <c r="F4450"/>
      <c r="G4450"/>
      <c r="H4450"/>
      <c r="I4450"/>
      <c r="J4450"/>
      <c r="K4450"/>
    </row>
    <row r="4451" spans="1:11">
      <c r="A4451"/>
      <c r="B4451"/>
      <c r="C4451"/>
      <c r="D4451"/>
      <c r="E4451"/>
      <c r="F4451"/>
      <c r="G4451"/>
      <c r="H4451"/>
      <c r="I4451"/>
      <c r="J4451"/>
      <c r="K4451"/>
    </row>
    <row r="4452" spans="1:11">
      <c r="A4452"/>
      <c r="B4452"/>
      <c r="C4452"/>
      <c r="D4452"/>
      <c r="E4452"/>
      <c r="F4452"/>
      <c r="G4452"/>
      <c r="H4452"/>
      <c r="I4452"/>
      <c r="J4452"/>
      <c r="K4452"/>
    </row>
    <row r="4453" spans="1:11">
      <c r="A4453"/>
      <c r="B4453"/>
      <c r="C4453"/>
      <c r="D4453"/>
      <c r="E4453"/>
      <c r="F4453"/>
      <c r="G4453"/>
      <c r="H4453"/>
      <c r="I4453"/>
      <c r="J4453"/>
      <c r="K4453"/>
    </row>
    <row r="4454" spans="1:11">
      <c r="A4454"/>
      <c r="B4454"/>
      <c r="C4454"/>
      <c r="D4454"/>
      <c r="E4454"/>
      <c r="F4454"/>
      <c r="G4454"/>
      <c r="H4454"/>
      <c r="I4454"/>
      <c r="J4454"/>
      <c r="K4454"/>
    </row>
    <row r="4455" spans="1:11">
      <c r="A4455"/>
      <c r="B4455"/>
      <c r="C4455"/>
      <c r="D4455"/>
      <c r="E4455"/>
      <c r="F4455"/>
      <c r="G4455"/>
      <c r="H4455"/>
      <c r="I4455"/>
      <c r="J4455"/>
      <c r="K4455"/>
    </row>
    <row r="4456" spans="1:11">
      <c r="A4456"/>
      <c r="B4456"/>
      <c r="C4456"/>
      <c r="D4456"/>
      <c r="E4456"/>
      <c r="F4456"/>
      <c r="G4456"/>
      <c r="H4456"/>
      <c r="I4456"/>
      <c r="J4456"/>
      <c r="K4456"/>
    </row>
    <row r="4457" spans="1:11">
      <c r="A4457"/>
      <c r="B4457"/>
      <c r="C4457"/>
      <c r="D4457"/>
      <c r="E4457"/>
      <c r="F4457"/>
      <c r="G4457"/>
      <c r="H4457"/>
      <c r="I4457"/>
      <c r="J4457"/>
      <c r="K4457"/>
    </row>
    <row r="4458" spans="1:11">
      <c r="A4458"/>
      <c r="B4458"/>
      <c r="C4458"/>
      <c r="D4458"/>
      <c r="E4458"/>
      <c r="F4458"/>
      <c r="G4458"/>
      <c r="H4458"/>
      <c r="I4458"/>
      <c r="J4458"/>
      <c r="K4458"/>
    </row>
    <row r="4459" spans="1:11">
      <c r="A4459"/>
      <c r="B4459"/>
      <c r="C4459"/>
      <c r="D4459"/>
      <c r="E4459"/>
      <c r="F4459"/>
      <c r="G4459"/>
      <c r="H4459"/>
      <c r="I4459"/>
      <c r="J4459"/>
      <c r="K4459"/>
    </row>
    <row r="4460" spans="1:11">
      <c r="A4460"/>
      <c r="B4460"/>
      <c r="C4460"/>
      <c r="D4460"/>
      <c r="E4460"/>
      <c r="F4460"/>
      <c r="G4460"/>
      <c r="H4460"/>
      <c r="I4460"/>
      <c r="J4460"/>
      <c r="K4460"/>
    </row>
    <row r="4461" spans="1:11">
      <c r="A4461"/>
      <c r="B4461"/>
      <c r="C4461"/>
      <c r="D4461"/>
      <c r="E4461"/>
      <c r="F4461"/>
      <c r="G4461"/>
      <c r="H4461"/>
      <c r="I4461"/>
      <c r="J4461"/>
      <c r="K4461"/>
    </row>
    <row r="4462" spans="1:11">
      <c r="A4462"/>
      <c r="B4462"/>
      <c r="C4462"/>
      <c r="D4462"/>
      <c r="E4462"/>
      <c r="F4462"/>
      <c r="G4462"/>
      <c r="H4462"/>
      <c r="I4462"/>
      <c r="J4462"/>
      <c r="K4462"/>
    </row>
    <row r="4463" spans="1:11">
      <c r="A4463"/>
      <c r="B4463"/>
      <c r="C4463"/>
      <c r="D4463"/>
      <c r="E4463"/>
      <c r="F4463"/>
      <c r="G4463"/>
      <c r="H4463"/>
      <c r="I4463"/>
      <c r="J4463"/>
      <c r="K4463"/>
    </row>
    <row r="4464" spans="1:11">
      <c r="A4464"/>
      <c r="B4464"/>
      <c r="C4464"/>
      <c r="D4464"/>
      <c r="E4464"/>
      <c r="F4464"/>
      <c r="G4464"/>
      <c r="H4464"/>
      <c r="I4464"/>
      <c r="J4464"/>
      <c r="K4464"/>
    </row>
    <row r="4465" spans="1:11">
      <c r="A4465"/>
      <c r="B4465"/>
      <c r="C4465"/>
      <c r="D4465"/>
      <c r="E4465"/>
      <c r="F4465"/>
      <c r="G4465"/>
      <c r="H4465"/>
      <c r="I4465"/>
      <c r="J4465"/>
      <c r="K4465"/>
    </row>
    <row r="4466" spans="1:11">
      <c r="A4466"/>
      <c r="B4466"/>
      <c r="C4466"/>
      <c r="D4466"/>
      <c r="E4466"/>
      <c r="F4466"/>
      <c r="G4466"/>
      <c r="H4466"/>
      <c r="I4466"/>
      <c r="J4466"/>
      <c r="K4466"/>
    </row>
    <row r="4467" spans="1:11">
      <c r="A4467"/>
      <c r="B4467"/>
      <c r="C4467"/>
      <c r="D4467"/>
      <c r="E4467"/>
      <c r="F4467"/>
      <c r="G4467"/>
      <c r="H4467"/>
      <c r="I4467"/>
      <c r="J4467"/>
      <c r="K4467"/>
    </row>
    <row r="4468" spans="1:11">
      <c r="A4468"/>
      <c r="B4468"/>
      <c r="C4468"/>
      <c r="D4468"/>
      <c r="E4468"/>
      <c r="F4468"/>
      <c r="G4468"/>
      <c r="H4468"/>
      <c r="I4468"/>
      <c r="J4468"/>
      <c r="K4468"/>
    </row>
    <row r="4469" spans="1:11">
      <c r="A4469"/>
      <c r="B4469"/>
      <c r="C4469"/>
      <c r="D4469"/>
      <c r="E4469"/>
      <c r="F4469"/>
      <c r="G4469"/>
      <c r="H4469"/>
      <c r="I4469"/>
      <c r="J4469"/>
      <c r="K4469"/>
    </row>
    <row r="4470" spans="1:11">
      <c r="A4470"/>
      <c r="B4470"/>
      <c r="C4470"/>
      <c r="D4470"/>
      <c r="E4470"/>
      <c r="F4470"/>
      <c r="G4470"/>
      <c r="H4470"/>
      <c r="I4470"/>
      <c r="J4470"/>
      <c r="K4470"/>
    </row>
    <row r="4471" spans="1:11">
      <c r="A4471"/>
      <c r="B4471"/>
      <c r="C4471"/>
      <c r="D4471"/>
      <c r="E4471"/>
      <c r="F4471"/>
      <c r="G4471"/>
      <c r="H4471"/>
      <c r="I4471"/>
      <c r="J4471"/>
      <c r="K4471"/>
    </row>
    <row r="4472" spans="1:11">
      <c r="A4472"/>
      <c r="B4472"/>
      <c r="C4472"/>
      <c r="D4472"/>
      <c r="E4472"/>
      <c r="F4472"/>
      <c r="G4472"/>
      <c r="H4472"/>
      <c r="I4472"/>
      <c r="J4472"/>
      <c r="K4472"/>
    </row>
    <row r="4473" spans="1:11">
      <c r="A4473"/>
      <c r="B4473"/>
      <c r="C4473"/>
      <c r="D4473"/>
      <c r="E4473"/>
      <c r="F4473"/>
      <c r="G4473"/>
      <c r="H4473"/>
      <c r="I4473"/>
      <c r="J4473"/>
      <c r="K4473"/>
    </row>
    <row r="4474" spans="1:11">
      <c r="A4474"/>
      <c r="B4474"/>
      <c r="C4474"/>
      <c r="D4474"/>
      <c r="E4474"/>
      <c r="F4474"/>
      <c r="G4474"/>
      <c r="H4474"/>
      <c r="I4474"/>
      <c r="J4474"/>
      <c r="K4474"/>
    </row>
    <row r="4475" spans="1:11">
      <c r="A4475"/>
      <c r="B4475"/>
      <c r="C4475"/>
      <c r="D4475"/>
      <c r="E4475"/>
      <c r="F4475"/>
      <c r="G4475"/>
      <c r="H4475"/>
      <c r="I4475"/>
      <c r="J4475"/>
      <c r="K4475"/>
    </row>
    <row r="4476" spans="1:11">
      <c r="A4476"/>
      <c r="B4476"/>
      <c r="C4476"/>
      <c r="D4476"/>
      <c r="E4476"/>
      <c r="F4476"/>
      <c r="G4476"/>
      <c r="H4476"/>
      <c r="I4476"/>
      <c r="J4476"/>
      <c r="K4476"/>
    </row>
    <row r="4477" spans="1:11">
      <c r="A4477"/>
      <c r="B4477"/>
      <c r="C4477"/>
      <c r="D4477"/>
      <c r="E4477"/>
      <c r="F4477"/>
      <c r="G4477"/>
      <c r="H4477"/>
      <c r="I4477"/>
      <c r="J4477"/>
      <c r="K4477"/>
    </row>
    <row r="4478" spans="1:11">
      <c r="A4478"/>
      <c r="B4478"/>
      <c r="C4478"/>
      <c r="D4478"/>
      <c r="E4478"/>
      <c r="F4478"/>
      <c r="G4478"/>
      <c r="H4478"/>
      <c r="I4478"/>
      <c r="J4478"/>
      <c r="K4478"/>
    </row>
    <row r="4479" spans="1:11">
      <c r="A4479"/>
      <c r="B4479"/>
      <c r="C4479"/>
      <c r="D4479"/>
      <c r="E4479"/>
      <c r="F4479"/>
      <c r="G4479"/>
      <c r="H4479"/>
      <c r="I4479"/>
      <c r="J4479"/>
      <c r="K4479"/>
    </row>
    <row r="4480" spans="1:11">
      <c r="A4480"/>
      <c r="B4480"/>
      <c r="C4480"/>
      <c r="D4480"/>
      <c r="E4480"/>
      <c r="F4480"/>
      <c r="G4480"/>
      <c r="H4480"/>
      <c r="I4480"/>
      <c r="J4480"/>
      <c r="K4480"/>
    </row>
    <row r="4481" spans="1:11">
      <c r="A4481"/>
      <c r="B4481"/>
      <c r="C4481"/>
      <c r="D4481"/>
      <c r="E4481"/>
      <c r="F4481"/>
      <c r="G4481"/>
      <c r="H4481"/>
      <c r="I4481"/>
      <c r="J4481"/>
      <c r="K4481"/>
    </row>
    <row r="4482" spans="1:11">
      <c r="A4482"/>
      <c r="B4482"/>
      <c r="C4482"/>
      <c r="D4482"/>
      <c r="E4482"/>
      <c r="F4482"/>
      <c r="G4482"/>
      <c r="H4482"/>
      <c r="I4482"/>
      <c r="J4482"/>
      <c r="K4482"/>
    </row>
    <row r="4483" spans="1:11">
      <c r="A4483"/>
      <c r="B4483"/>
      <c r="C4483"/>
      <c r="D4483"/>
      <c r="E4483"/>
      <c r="F4483"/>
      <c r="G4483"/>
      <c r="H4483"/>
      <c r="I4483"/>
      <c r="J4483"/>
      <c r="K4483"/>
    </row>
    <row r="4484" spans="1:11">
      <c r="A4484"/>
      <c r="B4484"/>
      <c r="C4484"/>
      <c r="D4484"/>
      <c r="E4484"/>
      <c r="F4484"/>
      <c r="G4484"/>
      <c r="H4484"/>
      <c r="I4484"/>
      <c r="J4484"/>
      <c r="K4484"/>
    </row>
    <row r="4485" spans="1:11">
      <c r="A4485"/>
      <c r="B4485"/>
      <c r="C4485"/>
      <c r="D4485"/>
      <c r="E4485"/>
      <c r="F4485"/>
      <c r="G4485"/>
      <c r="H4485"/>
      <c r="I4485"/>
      <c r="J4485"/>
      <c r="K4485"/>
    </row>
    <row r="4486" spans="1:11">
      <c r="A4486"/>
      <c r="B4486"/>
      <c r="C4486"/>
      <c r="D4486"/>
      <c r="E4486"/>
      <c r="F4486"/>
      <c r="G4486"/>
      <c r="H4486"/>
      <c r="I4486"/>
      <c r="J4486"/>
      <c r="K4486"/>
    </row>
    <row r="4487" spans="1:11">
      <c r="A4487"/>
      <c r="B4487"/>
      <c r="C4487"/>
      <c r="D4487"/>
      <c r="E4487"/>
      <c r="F4487"/>
      <c r="G4487"/>
      <c r="H4487"/>
      <c r="I4487"/>
      <c r="J4487"/>
      <c r="K4487"/>
    </row>
    <row r="4488" spans="1:11">
      <c r="A4488"/>
      <c r="B4488"/>
      <c r="C4488"/>
      <c r="D4488"/>
      <c r="E4488"/>
      <c r="F4488"/>
      <c r="G4488"/>
      <c r="H4488"/>
      <c r="I4488"/>
      <c r="J4488"/>
      <c r="K4488"/>
    </row>
    <row r="4489" spans="1:11">
      <c r="A4489"/>
      <c r="B4489"/>
      <c r="C4489"/>
      <c r="D4489"/>
      <c r="E4489"/>
      <c r="F4489"/>
      <c r="G4489"/>
      <c r="H4489"/>
      <c r="I4489"/>
      <c r="J4489"/>
      <c r="K4489"/>
    </row>
    <row r="4490" spans="1:11">
      <c r="A4490"/>
      <c r="B4490"/>
      <c r="C4490"/>
      <c r="D4490"/>
      <c r="E4490"/>
      <c r="F4490"/>
      <c r="G4490"/>
      <c r="H4490"/>
      <c r="I4490"/>
      <c r="J4490"/>
      <c r="K4490"/>
    </row>
    <row r="4491" spans="1:11">
      <c r="A4491"/>
      <c r="B4491"/>
      <c r="C4491"/>
      <c r="D4491"/>
      <c r="E4491"/>
      <c r="F4491"/>
      <c r="G4491"/>
      <c r="H4491"/>
      <c r="I4491"/>
      <c r="J4491"/>
      <c r="K4491"/>
    </row>
    <row r="4492" spans="1:11">
      <c r="A4492"/>
      <c r="B4492"/>
      <c r="C4492"/>
      <c r="D4492"/>
      <c r="E4492"/>
      <c r="F4492"/>
      <c r="G4492"/>
      <c r="H4492"/>
      <c r="I4492"/>
      <c r="J4492"/>
      <c r="K4492"/>
    </row>
    <row r="4493" spans="1:11">
      <c r="A4493"/>
      <c r="B4493"/>
      <c r="C4493"/>
      <c r="D4493"/>
      <c r="E4493"/>
      <c r="F4493"/>
      <c r="G4493"/>
      <c r="H4493"/>
      <c r="I4493"/>
      <c r="J4493"/>
      <c r="K4493"/>
    </row>
    <row r="4494" spans="1:11">
      <c r="A4494"/>
      <c r="B4494"/>
      <c r="C4494"/>
      <c r="D4494"/>
      <c r="E4494"/>
      <c r="F4494"/>
      <c r="G4494"/>
      <c r="H4494"/>
      <c r="I4494"/>
      <c r="J4494"/>
      <c r="K4494"/>
    </row>
    <row r="4495" spans="1:11">
      <c r="A4495"/>
      <c r="B4495"/>
      <c r="C4495"/>
      <c r="D4495"/>
      <c r="E4495"/>
      <c r="F4495"/>
      <c r="G4495"/>
      <c r="H4495"/>
      <c r="I4495"/>
      <c r="J4495"/>
      <c r="K4495"/>
    </row>
    <row r="4496" spans="1:11">
      <c r="A4496"/>
      <c r="B4496"/>
      <c r="C4496"/>
      <c r="D4496"/>
      <c r="E4496"/>
      <c r="F4496"/>
      <c r="G4496"/>
      <c r="H4496"/>
      <c r="I4496"/>
      <c r="J4496"/>
      <c r="K4496"/>
    </row>
    <row r="4497" spans="1:11">
      <c r="A4497"/>
      <c r="B4497"/>
      <c r="C4497"/>
      <c r="D4497"/>
      <c r="E4497"/>
      <c r="F4497"/>
      <c r="G4497"/>
      <c r="H4497"/>
      <c r="I4497"/>
      <c r="J4497"/>
      <c r="K4497"/>
    </row>
    <row r="4498" spans="1:11">
      <c r="A4498"/>
      <c r="B4498"/>
      <c r="C4498"/>
      <c r="D4498"/>
      <c r="E4498"/>
      <c r="F4498"/>
      <c r="G4498"/>
      <c r="H4498"/>
      <c r="I4498"/>
      <c r="J4498"/>
      <c r="K4498"/>
    </row>
    <row r="4499" spans="1:11">
      <c r="A4499"/>
      <c r="B4499"/>
      <c r="C4499"/>
      <c r="D4499"/>
      <c r="E4499"/>
      <c r="F4499"/>
      <c r="G4499"/>
      <c r="H4499"/>
      <c r="I4499"/>
      <c r="J4499"/>
      <c r="K4499"/>
    </row>
    <row r="4500" spans="1:11">
      <c r="A4500"/>
      <c r="B4500"/>
      <c r="C4500"/>
      <c r="D4500"/>
      <c r="E4500"/>
      <c r="F4500"/>
      <c r="G4500"/>
      <c r="H4500"/>
      <c r="I4500"/>
      <c r="J4500"/>
      <c r="K4500"/>
    </row>
    <row r="4501" spans="1:11">
      <c r="A4501"/>
      <c r="B4501"/>
      <c r="C4501"/>
      <c r="D4501"/>
      <c r="E4501"/>
      <c r="F4501"/>
      <c r="G4501"/>
      <c r="H4501"/>
      <c r="I4501"/>
      <c r="J4501"/>
      <c r="K4501"/>
    </row>
    <row r="4502" spans="1:11">
      <c r="A4502"/>
      <c r="B4502"/>
      <c r="C4502"/>
      <c r="D4502"/>
      <c r="E4502"/>
      <c r="F4502"/>
      <c r="G4502"/>
      <c r="H4502"/>
      <c r="I4502"/>
      <c r="J4502"/>
      <c r="K4502"/>
    </row>
    <row r="4503" spans="1:11">
      <c r="A4503"/>
      <c r="B4503"/>
      <c r="C4503"/>
      <c r="D4503"/>
      <c r="E4503"/>
      <c r="F4503"/>
      <c r="G4503"/>
      <c r="H4503"/>
      <c r="I4503"/>
      <c r="J4503"/>
      <c r="K4503"/>
    </row>
    <row r="4504" spans="1:11">
      <c r="A4504"/>
      <c r="B4504"/>
      <c r="C4504"/>
      <c r="D4504"/>
      <c r="E4504"/>
      <c r="F4504"/>
      <c r="G4504"/>
      <c r="H4504"/>
      <c r="I4504"/>
      <c r="J4504"/>
      <c r="K4504"/>
    </row>
    <row r="4505" spans="1:11">
      <c r="A4505"/>
      <c r="B4505"/>
      <c r="C4505"/>
      <c r="D4505"/>
      <c r="E4505"/>
      <c r="F4505"/>
      <c r="G4505"/>
      <c r="H4505"/>
      <c r="I4505"/>
      <c r="J4505"/>
      <c r="K4505"/>
    </row>
    <row r="4506" spans="1:11">
      <c r="A4506"/>
      <c r="B4506"/>
      <c r="C4506"/>
      <c r="D4506"/>
      <c r="E4506"/>
      <c r="F4506"/>
      <c r="G4506"/>
      <c r="H4506"/>
      <c r="I4506"/>
      <c r="J4506"/>
      <c r="K4506"/>
    </row>
    <row r="4507" spans="1:11">
      <c r="A4507"/>
      <c r="B4507"/>
      <c r="C4507"/>
      <c r="D4507"/>
      <c r="E4507"/>
      <c r="F4507"/>
      <c r="G4507"/>
      <c r="H4507"/>
      <c r="I4507"/>
      <c r="J4507"/>
      <c r="K4507"/>
    </row>
    <row r="4508" spans="1:11">
      <c r="A4508"/>
      <c r="B4508"/>
      <c r="C4508"/>
      <c r="D4508"/>
      <c r="E4508"/>
      <c r="F4508"/>
      <c r="G4508"/>
      <c r="H4508"/>
      <c r="I4508"/>
      <c r="J4508"/>
      <c r="K4508"/>
    </row>
    <row r="4509" spans="1:11">
      <c r="A4509"/>
      <c r="B4509"/>
      <c r="C4509"/>
      <c r="D4509"/>
      <c r="E4509"/>
      <c r="F4509"/>
      <c r="G4509"/>
      <c r="H4509"/>
      <c r="I4509"/>
      <c r="J4509"/>
      <c r="K4509"/>
    </row>
    <row r="4510" spans="1:11">
      <c r="A4510"/>
      <c r="B4510"/>
      <c r="C4510"/>
      <c r="D4510"/>
      <c r="E4510"/>
      <c r="F4510"/>
      <c r="G4510"/>
      <c r="H4510"/>
      <c r="I4510"/>
      <c r="J4510"/>
      <c r="K4510"/>
    </row>
    <row r="4511" spans="1:11">
      <c r="A4511"/>
      <c r="B4511"/>
      <c r="C4511"/>
      <c r="D4511"/>
      <c r="E4511"/>
      <c r="F4511"/>
      <c r="G4511"/>
      <c r="H4511"/>
      <c r="I4511"/>
      <c r="J4511"/>
      <c r="K4511"/>
    </row>
    <row r="4512" spans="1:11">
      <c r="A4512"/>
      <c r="B4512"/>
      <c r="C4512"/>
      <c r="D4512"/>
      <c r="E4512"/>
      <c r="F4512"/>
      <c r="G4512"/>
      <c r="H4512"/>
      <c r="I4512"/>
      <c r="J4512"/>
      <c r="K4512"/>
    </row>
    <row r="4513" spans="1:11">
      <c r="A4513"/>
      <c r="B4513"/>
      <c r="C4513"/>
      <c r="D4513"/>
      <c r="E4513"/>
      <c r="F4513"/>
      <c r="G4513"/>
      <c r="H4513"/>
      <c r="I4513"/>
      <c r="J4513"/>
      <c r="K4513"/>
    </row>
    <row r="4514" spans="1:11">
      <c r="A4514"/>
      <c r="B4514"/>
      <c r="C4514"/>
      <c r="D4514"/>
      <c r="E4514"/>
      <c r="F4514"/>
      <c r="G4514"/>
      <c r="H4514"/>
      <c r="I4514"/>
      <c r="J4514"/>
      <c r="K4514"/>
    </row>
    <row r="4515" spans="1:11">
      <c r="A4515"/>
      <c r="B4515"/>
      <c r="C4515"/>
      <c r="D4515"/>
      <c r="E4515"/>
      <c r="F4515"/>
      <c r="G4515"/>
      <c r="H4515"/>
      <c r="I4515"/>
      <c r="J4515"/>
      <c r="K4515"/>
    </row>
    <row r="4516" spans="1:11">
      <c r="A4516"/>
      <c r="B4516"/>
      <c r="C4516"/>
      <c r="D4516"/>
      <c r="E4516"/>
      <c r="F4516"/>
      <c r="G4516"/>
      <c r="H4516"/>
      <c r="I4516"/>
      <c r="J4516"/>
      <c r="K4516"/>
    </row>
    <row r="4517" spans="1:11">
      <c r="A4517"/>
      <c r="B4517"/>
      <c r="C4517"/>
      <c r="D4517"/>
      <c r="E4517"/>
      <c r="F4517"/>
      <c r="G4517"/>
      <c r="H4517"/>
      <c r="I4517"/>
      <c r="J4517"/>
      <c r="K4517"/>
    </row>
    <row r="4518" spans="1:11">
      <c r="A4518"/>
      <c r="B4518"/>
      <c r="C4518"/>
      <c r="D4518"/>
      <c r="E4518"/>
      <c r="F4518"/>
      <c r="G4518"/>
      <c r="H4518"/>
      <c r="I4518"/>
      <c r="J4518"/>
      <c r="K4518"/>
    </row>
    <row r="4519" spans="1:11">
      <c r="A4519"/>
      <c r="B4519"/>
      <c r="C4519"/>
      <c r="D4519"/>
      <c r="E4519"/>
      <c r="F4519"/>
      <c r="G4519"/>
      <c r="H4519"/>
      <c r="I4519"/>
      <c r="J4519"/>
      <c r="K4519"/>
    </row>
    <row r="4520" spans="1:11">
      <c r="A4520"/>
      <c r="B4520"/>
      <c r="C4520"/>
      <c r="D4520"/>
      <c r="E4520"/>
      <c r="F4520"/>
      <c r="G4520"/>
      <c r="H4520"/>
      <c r="I4520"/>
      <c r="J4520"/>
      <c r="K4520"/>
    </row>
    <row r="4521" spans="1:11">
      <c r="A4521"/>
      <c r="B4521"/>
      <c r="C4521"/>
      <c r="D4521"/>
      <c r="E4521"/>
      <c r="F4521"/>
      <c r="G4521"/>
      <c r="H4521"/>
      <c r="I4521"/>
      <c r="J4521"/>
      <c r="K4521"/>
    </row>
    <row r="4522" spans="1:11">
      <c r="A4522"/>
      <c r="B4522"/>
      <c r="C4522"/>
      <c r="D4522"/>
      <c r="E4522"/>
      <c r="F4522"/>
      <c r="G4522"/>
      <c r="H4522"/>
      <c r="I4522"/>
      <c r="J4522"/>
      <c r="K4522"/>
    </row>
    <row r="4523" spans="1:11">
      <c r="A4523"/>
      <c r="B4523"/>
      <c r="C4523"/>
      <c r="D4523"/>
      <c r="E4523"/>
      <c r="F4523"/>
      <c r="G4523"/>
      <c r="H4523"/>
      <c r="I4523"/>
      <c r="J4523"/>
      <c r="K4523"/>
    </row>
    <row r="4524" spans="1:11">
      <c r="A4524"/>
      <c r="B4524"/>
      <c r="C4524"/>
      <c r="D4524"/>
      <c r="E4524"/>
      <c r="F4524"/>
      <c r="G4524"/>
      <c r="H4524"/>
      <c r="I4524"/>
      <c r="J4524"/>
      <c r="K4524"/>
    </row>
    <row r="4525" spans="1:11">
      <c r="A4525"/>
      <c r="B4525"/>
      <c r="C4525"/>
      <c r="D4525"/>
      <c r="E4525"/>
      <c r="F4525"/>
      <c r="G4525"/>
      <c r="H4525"/>
      <c r="I4525"/>
      <c r="J4525"/>
      <c r="K4525"/>
    </row>
    <row r="4526" spans="1:11">
      <c r="A4526"/>
      <c r="B4526"/>
      <c r="C4526"/>
      <c r="D4526"/>
      <c r="E4526"/>
      <c r="F4526"/>
      <c r="G4526"/>
      <c r="H4526"/>
      <c r="I4526"/>
      <c r="J4526"/>
      <c r="K4526"/>
    </row>
    <row r="4527" spans="1:11">
      <c r="A4527"/>
      <c r="B4527"/>
      <c r="C4527"/>
      <c r="D4527"/>
      <c r="E4527"/>
      <c r="F4527"/>
      <c r="G4527"/>
      <c r="H4527"/>
      <c r="I4527"/>
      <c r="J4527"/>
      <c r="K4527"/>
    </row>
    <row r="4528" spans="1:11">
      <c r="A4528"/>
      <c r="B4528"/>
      <c r="C4528"/>
      <c r="D4528"/>
      <c r="E4528"/>
      <c r="F4528"/>
      <c r="G4528"/>
      <c r="H4528"/>
      <c r="I4528"/>
      <c r="J4528"/>
      <c r="K4528"/>
    </row>
    <row r="4529" spans="1:11">
      <c r="A4529"/>
      <c r="B4529"/>
      <c r="C4529"/>
      <c r="D4529"/>
      <c r="E4529"/>
      <c r="F4529"/>
      <c r="G4529"/>
      <c r="H4529"/>
      <c r="I4529"/>
      <c r="J4529"/>
      <c r="K4529"/>
    </row>
    <row r="4530" spans="1:11">
      <c r="A4530"/>
      <c r="B4530"/>
      <c r="C4530"/>
      <c r="D4530"/>
      <c r="E4530"/>
      <c r="F4530"/>
      <c r="G4530"/>
      <c r="H4530"/>
      <c r="I4530"/>
      <c r="J4530"/>
      <c r="K4530"/>
    </row>
    <row r="4531" spans="1:11">
      <c r="A4531"/>
      <c r="B4531"/>
      <c r="C4531"/>
      <c r="D4531"/>
      <c r="E4531"/>
      <c r="F4531"/>
      <c r="G4531"/>
      <c r="H4531"/>
      <c r="I4531"/>
      <c r="J4531"/>
      <c r="K4531"/>
    </row>
    <row r="4532" spans="1:11">
      <c r="A4532"/>
      <c r="B4532"/>
      <c r="C4532"/>
      <c r="D4532"/>
      <c r="E4532"/>
      <c r="F4532"/>
      <c r="G4532"/>
      <c r="H4532"/>
      <c r="I4532"/>
      <c r="J4532"/>
      <c r="K4532"/>
    </row>
    <row r="4533" spans="1:11">
      <c r="A4533"/>
      <c r="B4533"/>
      <c r="C4533"/>
      <c r="D4533"/>
      <c r="E4533"/>
      <c r="F4533"/>
      <c r="G4533"/>
      <c r="H4533"/>
      <c r="I4533"/>
      <c r="J4533"/>
      <c r="K4533"/>
    </row>
    <row r="4534" spans="1:11">
      <c r="A4534"/>
      <c r="B4534"/>
      <c r="C4534"/>
      <c r="D4534"/>
      <c r="E4534"/>
      <c r="F4534"/>
      <c r="G4534"/>
      <c r="H4534"/>
      <c r="I4534"/>
      <c r="J4534"/>
      <c r="K4534"/>
    </row>
    <row r="4535" spans="1:11">
      <c r="A4535"/>
      <c r="B4535"/>
      <c r="C4535"/>
      <c r="D4535"/>
      <c r="E4535"/>
      <c r="F4535"/>
      <c r="G4535"/>
      <c r="H4535"/>
      <c r="I4535"/>
      <c r="J4535"/>
      <c r="K4535"/>
    </row>
    <row r="4536" spans="1:11">
      <c r="A4536"/>
      <c r="B4536"/>
      <c r="C4536"/>
      <c r="D4536"/>
      <c r="E4536"/>
      <c r="F4536"/>
      <c r="G4536"/>
      <c r="H4536"/>
      <c r="I4536"/>
      <c r="J4536"/>
      <c r="K4536"/>
    </row>
    <row r="4537" spans="1:11">
      <c r="A4537"/>
      <c r="B4537"/>
      <c r="C4537"/>
      <c r="D4537"/>
      <c r="E4537"/>
      <c r="F4537"/>
      <c r="G4537"/>
      <c r="H4537"/>
      <c r="I4537"/>
      <c r="J4537"/>
      <c r="K4537"/>
    </row>
    <row r="4538" spans="1:11">
      <c r="A4538"/>
      <c r="B4538"/>
      <c r="C4538"/>
      <c r="D4538"/>
      <c r="E4538"/>
      <c r="F4538"/>
      <c r="G4538"/>
      <c r="H4538"/>
      <c r="I4538"/>
      <c r="J4538"/>
      <c r="K4538"/>
    </row>
    <row r="4539" spans="1:11">
      <c r="A4539"/>
      <c r="B4539"/>
      <c r="C4539"/>
      <c r="D4539"/>
      <c r="E4539"/>
      <c r="F4539"/>
      <c r="G4539"/>
      <c r="H4539"/>
      <c r="I4539"/>
      <c r="J4539"/>
      <c r="K4539"/>
    </row>
    <row r="4540" spans="1:11">
      <c r="A4540"/>
      <c r="B4540"/>
      <c r="C4540"/>
      <c r="D4540"/>
      <c r="E4540"/>
      <c r="F4540"/>
      <c r="G4540"/>
      <c r="H4540"/>
      <c r="I4540"/>
      <c r="J4540"/>
      <c r="K4540"/>
    </row>
    <row r="4541" spans="1:11">
      <c r="A4541"/>
      <c r="B4541"/>
      <c r="C4541"/>
      <c r="D4541"/>
      <c r="E4541"/>
      <c r="F4541"/>
      <c r="G4541"/>
      <c r="H4541"/>
      <c r="I4541"/>
      <c r="J4541"/>
      <c r="K4541"/>
    </row>
    <row r="4542" spans="1:11">
      <c r="A4542"/>
      <c r="B4542"/>
      <c r="C4542"/>
      <c r="D4542"/>
      <c r="E4542"/>
      <c r="F4542"/>
      <c r="G4542"/>
      <c r="H4542"/>
      <c r="I4542"/>
      <c r="J4542"/>
      <c r="K4542"/>
    </row>
    <row r="4543" spans="1:11">
      <c r="A4543"/>
      <c r="B4543"/>
      <c r="C4543"/>
      <c r="D4543"/>
      <c r="E4543"/>
      <c r="F4543"/>
      <c r="G4543"/>
      <c r="H4543"/>
      <c r="I4543"/>
      <c r="J4543"/>
      <c r="K4543"/>
    </row>
    <row r="4544" spans="1:11">
      <c r="A4544"/>
      <c r="B4544"/>
      <c r="C4544"/>
      <c r="D4544"/>
      <c r="E4544"/>
      <c r="F4544"/>
      <c r="G4544"/>
      <c r="H4544"/>
      <c r="I4544"/>
      <c r="J4544"/>
      <c r="K4544"/>
    </row>
    <row r="4545" spans="1:11">
      <c r="A4545"/>
      <c r="B4545"/>
      <c r="C4545"/>
      <c r="D4545"/>
      <c r="E4545"/>
      <c r="F4545"/>
      <c r="G4545"/>
      <c r="H4545"/>
      <c r="I4545"/>
      <c r="J4545"/>
      <c r="K4545"/>
    </row>
    <row r="4546" spans="1:11">
      <c r="A4546"/>
      <c r="B4546"/>
      <c r="C4546"/>
      <c r="D4546"/>
      <c r="E4546"/>
      <c r="F4546"/>
      <c r="G4546"/>
      <c r="H4546"/>
      <c r="I4546"/>
      <c r="J4546"/>
      <c r="K4546"/>
    </row>
    <row r="4547" spans="1:11">
      <c r="A4547"/>
      <c r="B4547"/>
      <c r="C4547"/>
      <c r="D4547"/>
      <c r="E4547"/>
      <c r="F4547"/>
      <c r="G4547"/>
      <c r="H4547"/>
      <c r="I4547"/>
      <c r="J4547"/>
      <c r="K4547"/>
    </row>
    <row r="4548" spans="1:11">
      <c r="A4548"/>
      <c r="B4548"/>
      <c r="C4548"/>
      <c r="D4548"/>
      <c r="E4548"/>
      <c r="F4548"/>
      <c r="G4548"/>
      <c r="H4548"/>
      <c r="I4548"/>
      <c r="J4548"/>
      <c r="K4548"/>
    </row>
    <row r="4549" spans="1:11">
      <c r="A4549"/>
      <c r="B4549"/>
      <c r="C4549"/>
      <c r="D4549"/>
      <c r="E4549"/>
      <c r="F4549"/>
      <c r="G4549"/>
      <c r="H4549"/>
      <c r="I4549"/>
      <c r="J4549"/>
      <c r="K4549"/>
    </row>
    <row r="4550" spans="1:11">
      <c r="A4550"/>
      <c r="B4550"/>
      <c r="C4550"/>
      <c r="D4550"/>
      <c r="E4550"/>
      <c r="F4550"/>
      <c r="G4550"/>
      <c r="H4550"/>
      <c r="I4550"/>
      <c r="J4550"/>
      <c r="K4550"/>
    </row>
    <row r="4551" spans="1:11">
      <c r="A4551"/>
      <c r="B4551"/>
      <c r="C4551"/>
      <c r="D4551"/>
      <c r="E4551"/>
      <c r="F4551"/>
      <c r="G4551"/>
      <c r="H4551"/>
      <c r="I4551"/>
      <c r="J4551"/>
      <c r="K4551"/>
    </row>
    <row r="4552" spans="1:11">
      <c r="A4552"/>
      <c r="B4552"/>
      <c r="C4552"/>
      <c r="D4552"/>
      <c r="E4552"/>
      <c r="F4552"/>
      <c r="G4552"/>
      <c r="H4552"/>
      <c r="I4552"/>
      <c r="J4552"/>
      <c r="K4552"/>
    </row>
    <row r="4553" spans="1:11">
      <c r="A4553"/>
      <c r="B4553"/>
      <c r="C4553"/>
      <c r="D4553"/>
      <c r="E4553"/>
      <c r="F4553"/>
      <c r="G4553"/>
      <c r="H4553"/>
      <c r="I4553"/>
      <c r="J4553"/>
      <c r="K4553"/>
    </row>
    <row r="4554" spans="1:11">
      <c r="A4554"/>
      <c r="B4554"/>
      <c r="C4554"/>
      <c r="D4554"/>
      <c r="E4554"/>
      <c r="F4554"/>
      <c r="G4554"/>
      <c r="H4554"/>
      <c r="I4554"/>
      <c r="J4554"/>
      <c r="K4554"/>
    </row>
    <row r="4555" spans="1:11">
      <c r="A4555"/>
      <c r="B4555"/>
      <c r="C4555"/>
      <c r="D4555"/>
      <c r="E4555"/>
      <c r="F4555"/>
      <c r="G4555"/>
      <c r="H4555"/>
      <c r="I4555"/>
      <c r="J4555"/>
      <c r="K4555"/>
    </row>
    <row r="4556" spans="1:11">
      <c r="A4556"/>
      <c r="B4556"/>
      <c r="C4556"/>
      <c r="D4556"/>
      <c r="E4556"/>
      <c r="F4556"/>
      <c r="G4556"/>
      <c r="H4556"/>
      <c r="I4556"/>
      <c r="J4556"/>
      <c r="K4556"/>
    </row>
    <row r="4557" spans="1:11">
      <c r="A4557"/>
      <c r="B4557"/>
      <c r="C4557"/>
      <c r="D4557"/>
      <c r="E4557"/>
      <c r="F4557"/>
      <c r="G4557"/>
      <c r="H4557"/>
      <c r="I4557"/>
      <c r="J4557"/>
      <c r="K4557"/>
    </row>
    <row r="4558" spans="1:11">
      <c r="A4558"/>
      <c r="B4558"/>
      <c r="C4558"/>
      <c r="D4558"/>
      <c r="E4558"/>
      <c r="F4558"/>
      <c r="G4558"/>
      <c r="H4558"/>
      <c r="I4558"/>
      <c r="J4558"/>
      <c r="K4558"/>
    </row>
    <row r="4559" spans="1:11">
      <c r="A4559"/>
      <c r="B4559"/>
      <c r="C4559"/>
      <c r="D4559"/>
      <c r="E4559"/>
      <c r="F4559"/>
      <c r="G4559"/>
      <c r="H4559"/>
      <c r="I4559"/>
      <c r="J4559"/>
      <c r="K4559"/>
    </row>
    <row r="4560" spans="1:11">
      <c r="A4560"/>
      <c r="B4560"/>
      <c r="C4560"/>
      <c r="D4560"/>
      <c r="E4560"/>
      <c r="F4560"/>
      <c r="G4560"/>
      <c r="H4560"/>
      <c r="I4560"/>
      <c r="J4560"/>
      <c r="K4560"/>
    </row>
    <row r="4561" spans="1:11">
      <c r="A4561"/>
      <c r="B4561"/>
      <c r="C4561"/>
      <c r="D4561"/>
      <c r="E4561"/>
      <c r="F4561"/>
      <c r="G4561"/>
      <c r="H4561"/>
      <c r="I4561"/>
      <c r="J4561"/>
      <c r="K4561"/>
    </row>
    <row r="4562" spans="1:11">
      <c r="A4562"/>
      <c r="B4562"/>
      <c r="C4562"/>
      <c r="D4562"/>
      <c r="E4562"/>
      <c r="F4562"/>
      <c r="G4562"/>
      <c r="H4562"/>
      <c r="I4562"/>
      <c r="J4562"/>
      <c r="K4562"/>
    </row>
    <row r="4563" spans="1:11">
      <c r="A4563"/>
      <c r="B4563"/>
      <c r="C4563"/>
      <c r="D4563"/>
      <c r="E4563"/>
      <c r="F4563"/>
      <c r="G4563"/>
      <c r="H4563"/>
      <c r="I4563"/>
      <c r="J4563"/>
      <c r="K4563"/>
    </row>
    <row r="4564" spans="1:11">
      <c r="A4564"/>
      <c r="B4564"/>
      <c r="C4564"/>
      <c r="D4564"/>
      <c r="E4564"/>
      <c r="F4564"/>
      <c r="G4564"/>
      <c r="H4564"/>
      <c r="I4564"/>
      <c r="J4564"/>
      <c r="K4564"/>
    </row>
    <row r="4565" spans="1:11">
      <c r="A4565"/>
      <c r="B4565"/>
      <c r="C4565"/>
      <c r="D4565"/>
      <c r="E4565"/>
      <c r="F4565"/>
      <c r="G4565"/>
      <c r="H4565"/>
      <c r="I4565"/>
      <c r="J4565"/>
      <c r="K4565"/>
    </row>
    <row r="4566" spans="1:11">
      <c r="A4566"/>
      <c r="B4566"/>
      <c r="C4566"/>
      <c r="D4566"/>
      <c r="E4566"/>
      <c r="F4566"/>
      <c r="G4566"/>
      <c r="H4566"/>
      <c r="I4566"/>
      <c r="J4566"/>
      <c r="K4566"/>
    </row>
    <row r="4567" spans="1:11">
      <c r="A4567"/>
      <c r="B4567"/>
      <c r="C4567"/>
      <c r="D4567"/>
      <c r="E4567"/>
      <c r="F4567"/>
      <c r="G4567"/>
      <c r="H4567"/>
      <c r="I4567"/>
      <c r="J4567"/>
      <c r="K4567"/>
    </row>
    <row r="4568" spans="1:11">
      <c r="A4568"/>
      <c r="B4568"/>
      <c r="C4568"/>
      <c r="D4568"/>
      <c r="E4568"/>
      <c r="F4568"/>
      <c r="G4568"/>
      <c r="H4568"/>
      <c r="I4568"/>
      <c r="J4568"/>
      <c r="K4568"/>
    </row>
    <row r="4569" spans="1:11">
      <c r="A4569"/>
      <c r="B4569"/>
      <c r="C4569"/>
      <c r="D4569"/>
      <c r="E4569"/>
      <c r="F4569"/>
      <c r="G4569"/>
      <c r="H4569"/>
      <c r="I4569"/>
      <c r="J4569"/>
      <c r="K4569"/>
    </row>
    <row r="4570" spans="1:11">
      <c r="A4570"/>
      <c r="B4570"/>
      <c r="C4570"/>
      <c r="D4570"/>
      <c r="E4570"/>
      <c r="F4570"/>
      <c r="G4570"/>
      <c r="H4570"/>
      <c r="I4570"/>
      <c r="J4570"/>
      <c r="K4570"/>
    </row>
    <row r="4571" spans="1:11">
      <c r="A4571"/>
      <c r="B4571"/>
      <c r="C4571"/>
      <c r="D4571"/>
      <c r="E4571"/>
      <c r="F4571"/>
      <c r="G4571"/>
      <c r="H4571"/>
      <c r="I4571"/>
      <c r="J4571"/>
      <c r="K4571"/>
    </row>
    <row r="4572" spans="1:11">
      <c r="A4572"/>
      <c r="B4572"/>
      <c r="C4572"/>
      <c r="D4572"/>
      <c r="E4572"/>
      <c r="F4572"/>
      <c r="G4572"/>
      <c r="H4572"/>
      <c r="I4572"/>
      <c r="J4572"/>
      <c r="K4572"/>
    </row>
    <row r="4573" spans="1:11">
      <c r="A4573"/>
      <c r="B4573"/>
      <c r="C4573"/>
      <c r="D4573"/>
      <c r="E4573"/>
      <c r="F4573"/>
      <c r="G4573"/>
      <c r="H4573"/>
      <c r="I4573"/>
      <c r="J4573"/>
      <c r="K4573"/>
    </row>
    <row r="4574" spans="1:11">
      <c r="A4574"/>
      <c r="B4574"/>
      <c r="C4574"/>
      <c r="D4574"/>
      <c r="E4574"/>
      <c r="F4574"/>
      <c r="G4574"/>
      <c r="H4574"/>
      <c r="I4574"/>
      <c r="J4574"/>
      <c r="K4574"/>
    </row>
    <row r="4575" spans="1:11">
      <c r="A4575"/>
      <c r="B4575"/>
      <c r="C4575"/>
      <c r="D4575"/>
      <c r="E4575"/>
      <c r="F4575"/>
      <c r="G4575"/>
      <c r="H4575"/>
      <c r="I4575"/>
      <c r="J4575"/>
      <c r="K4575"/>
    </row>
    <row r="4576" spans="1:11">
      <c r="A4576"/>
      <c r="B4576"/>
      <c r="C4576"/>
      <c r="D4576"/>
      <c r="E4576"/>
      <c r="F4576"/>
      <c r="G4576"/>
      <c r="H4576"/>
      <c r="I4576"/>
      <c r="J4576"/>
      <c r="K4576"/>
    </row>
    <row r="4577" spans="1:11">
      <c r="A4577"/>
      <c r="B4577"/>
      <c r="C4577"/>
      <c r="D4577"/>
      <c r="E4577"/>
      <c r="F4577"/>
      <c r="G4577"/>
      <c r="H4577"/>
      <c r="I4577"/>
      <c r="J4577"/>
      <c r="K4577"/>
    </row>
    <row r="4578" spans="1:11">
      <c r="A4578"/>
      <c r="B4578"/>
      <c r="C4578"/>
      <c r="D4578"/>
      <c r="E4578"/>
      <c r="F4578"/>
      <c r="G4578"/>
      <c r="H4578"/>
      <c r="I4578"/>
      <c r="J4578"/>
      <c r="K4578"/>
    </row>
    <row r="4579" spans="1:11">
      <c r="A4579"/>
      <c r="B4579"/>
      <c r="C4579"/>
      <c r="D4579"/>
      <c r="E4579"/>
      <c r="F4579"/>
      <c r="G4579"/>
      <c r="H4579"/>
      <c r="I4579"/>
      <c r="J4579"/>
      <c r="K4579"/>
    </row>
    <row r="4580" spans="1:11">
      <c r="A4580"/>
      <c r="B4580"/>
      <c r="C4580"/>
      <c r="D4580"/>
      <c r="E4580"/>
      <c r="F4580"/>
      <c r="G4580"/>
      <c r="H4580"/>
      <c r="I4580"/>
      <c r="J4580"/>
      <c r="K4580"/>
    </row>
    <row r="4581" spans="1:11">
      <c r="A4581"/>
      <c r="B4581"/>
      <c r="C4581"/>
      <c r="D4581"/>
      <c r="E4581"/>
      <c r="F4581"/>
      <c r="G4581"/>
      <c r="H4581"/>
      <c r="I4581"/>
      <c r="J4581"/>
      <c r="K4581"/>
    </row>
    <row r="4582" spans="1:11">
      <c r="A4582"/>
      <c r="B4582"/>
      <c r="C4582"/>
      <c r="D4582"/>
      <c r="E4582"/>
      <c r="F4582"/>
      <c r="G4582"/>
      <c r="H4582"/>
      <c r="I4582"/>
      <c r="J4582"/>
      <c r="K4582"/>
    </row>
    <row r="4583" spans="1:11">
      <c r="A4583"/>
      <c r="B4583"/>
      <c r="C4583"/>
      <c r="D4583"/>
      <c r="E4583"/>
      <c r="F4583"/>
      <c r="G4583"/>
      <c r="H4583"/>
      <c r="I4583"/>
      <c r="J4583"/>
      <c r="K4583"/>
    </row>
    <row r="4584" spans="1:11">
      <c r="A4584"/>
      <c r="B4584"/>
      <c r="C4584"/>
      <c r="D4584"/>
      <c r="E4584"/>
      <c r="F4584"/>
      <c r="G4584"/>
      <c r="H4584"/>
      <c r="I4584"/>
      <c r="J4584"/>
      <c r="K4584"/>
    </row>
    <row r="4585" spans="1:11">
      <c r="A4585"/>
      <c r="B4585"/>
      <c r="C4585"/>
      <c r="D4585"/>
      <c r="E4585"/>
      <c r="F4585"/>
      <c r="G4585"/>
      <c r="H4585"/>
      <c r="I4585"/>
      <c r="J4585"/>
      <c r="K4585"/>
    </row>
    <row r="4586" spans="1:11">
      <c r="A4586"/>
      <c r="B4586"/>
      <c r="C4586"/>
      <c r="D4586"/>
      <c r="E4586"/>
      <c r="F4586"/>
      <c r="G4586"/>
      <c r="H4586"/>
      <c r="I4586"/>
      <c r="J4586"/>
      <c r="K4586"/>
    </row>
    <row r="4587" spans="1:11">
      <c r="A4587"/>
      <c r="B4587"/>
      <c r="C4587"/>
      <c r="D4587"/>
      <c r="E4587"/>
      <c r="F4587"/>
      <c r="G4587"/>
      <c r="H4587"/>
      <c r="I4587"/>
      <c r="J4587"/>
      <c r="K4587"/>
    </row>
    <row r="4588" spans="1:11">
      <c r="A4588"/>
      <c r="B4588"/>
      <c r="C4588"/>
      <c r="D4588"/>
      <c r="E4588"/>
      <c r="F4588"/>
      <c r="G4588"/>
      <c r="H4588"/>
      <c r="I4588"/>
      <c r="J4588"/>
      <c r="K4588"/>
    </row>
    <row r="4589" spans="1:11">
      <c r="A4589"/>
      <c r="B4589"/>
      <c r="C4589"/>
      <c r="D4589"/>
      <c r="E4589"/>
      <c r="F4589"/>
      <c r="G4589"/>
      <c r="H4589"/>
      <c r="I4589"/>
      <c r="J4589"/>
      <c r="K4589"/>
    </row>
    <row r="4590" spans="1:11">
      <c r="A4590"/>
      <c r="B4590"/>
      <c r="C4590"/>
      <c r="D4590"/>
      <c r="E4590"/>
      <c r="F4590"/>
      <c r="G4590"/>
      <c r="H4590"/>
      <c r="I4590"/>
      <c r="J4590"/>
      <c r="K4590"/>
    </row>
    <row r="4591" spans="1:11">
      <c r="A4591"/>
      <c r="B4591"/>
      <c r="C4591"/>
      <c r="D4591"/>
      <c r="E4591"/>
      <c r="F4591"/>
      <c r="G4591"/>
      <c r="H4591"/>
      <c r="I4591"/>
      <c r="J4591"/>
      <c r="K4591"/>
    </row>
    <row r="4592" spans="1:11">
      <c r="A4592"/>
      <c r="B4592"/>
      <c r="C4592"/>
      <c r="D4592"/>
      <c r="E4592"/>
      <c r="F4592"/>
      <c r="G4592"/>
      <c r="H4592"/>
      <c r="I4592"/>
      <c r="J4592"/>
      <c r="K4592"/>
    </row>
    <row r="4593" spans="1:11">
      <c r="A4593"/>
      <c r="B4593"/>
      <c r="C4593"/>
      <c r="D4593"/>
      <c r="E4593"/>
      <c r="F4593"/>
      <c r="G4593"/>
      <c r="H4593"/>
      <c r="I4593"/>
      <c r="J4593"/>
      <c r="K4593"/>
    </row>
    <row r="4594" spans="1:11">
      <c r="A4594"/>
      <c r="B4594"/>
      <c r="C4594"/>
      <c r="D4594"/>
      <c r="E4594"/>
      <c r="F4594"/>
      <c r="G4594"/>
      <c r="H4594"/>
      <c r="I4594"/>
      <c r="J4594"/>
      <c r="K4594"/>
    </row>
    <row r="4595" spans="1:11">
      <c r="A4595"/>
      <c r="B4595"/>
      <c r="C4595"/>
      <c r="D4595"/>
      <c r="E4595"/>
      <c r="F4595"/>
      <c r="G4595"/>
      <c r="H4595"/>
      <c r="I4595"/>
      <c r="J4595"/>
      <c r="K4595"/>
    </row>
    <row r="4596" spans="1:11">
      <c r="A4596"/>
      <c r="B4596"/>
      <c r="C4596"/>
      <c r="D4596"/>
      <c r="E4596"/>
      <c r="F4596"/>
      <c r="G4596"/>
      <c r="H4596"/>
      <c r="I4596"/>
      <c r="J4596"/>
      <c r="K4596"/>
    </row>
    <row r="4597" spans="1:11">
      <c r="A4597"/>
      <c r="B4597"/>
      <c r="C4597"/>
      <c r="D4597"/>
      <c r="E4597"/>
      <c r="F4597"/>
      <c r="G4597"/>
      <c r="H4597"/>
      <c r="I4597"/>
      <c r="J4597"/>
      <c r="K4597"/>
    </row>
    <row r="4598" spans="1:11">
      <c r="A4598"/>
      <c r="B4598"/>
      <c r="C4598"/>
      <c r="D4598"/>
      <c r="E4598"/>
      <c r="F4598"/>
      <c r="G4598"/>
      <c r="H4598"/>
      <c r="I4598"/>
      <c r="J4598"/>
      <c r="K4598"/>
    </row>
    <row r="4599" spans="1:11">
      <c r="A4599"/>
      <c r="B4599"/>
      <c r="C4599"/>
      <c r="D4599"/>
      <c r="E4599"/>
      <c r="F4599"/>
      <c r="G4599"/>
      <c r="H4599"/>
      <c r="I4599"/>
      <c r="J4599"/>
      <c r="K4599"/>
    </row>
    <row r="4600" spans="1:11">
      <c r="A4600"/>
      <c r="B4600"/>
      <c r="C4600"/>
      <c r="D4600"/>
      <c r="E4600"/>
      <c r="F4600"/>
      <c r="G4600"/>
      <c r="H4600"/>
      <c r="I4600"/>
      <c r="J4600"/>
      <c r="K4600"/>
    </row>
    <row r="4601" spans="1:11">
      <c r="A4601"/>
      <c r="B4601"/>
      <c r="C4601"/>
      <c r="D4601"/>
      <c r="E4601"/>
      <c r="F4601"/>
      <c r="G4601"/>
      <c r="H4601"/>
      <c r="I4601"/>
      <c r="J4601"/>
      <c r="K4601"/>
    </row>
    <row r="4602" spans="1:11">
      <c r="A4602"/>
      <c r="B4602"/>
      <c r="C4602"/>
      <c r="D4602"/>
      <c r="E4602"/>
      <c r="F4602"/>
      <c r="G4602"/>
      <c r="H4602"/>
      <c r="I4602"/>
      <c r="J4602"/>
      <c r="K4602"/>
    </row>
    <row r="4603" spans="1:11">
      <c r="A4603"/>
      <c r="B4603"/>
      <c r="C4603"/>
      <c r="D4603"/>
      <c r="E4603"/>
      <c r="F4603"/>
      <c r="G4603"/>
      <c r="H4603"/>
      <c r="I4603"/>
      <c r="J4603"/>
      <c r="K4603"/>
    </row>
    <row r="4604" spans="1:11">
      <c r="A4604"/>
      <c r="B4604"/>
      <c r="C4604"/>
      <c r="D4604"/>
      <c r="E4604"/>
      <c r="F4604"/>
      <c r="G4604"/>
      <c r="H4604"/>
      <c r="I4604"/>
      <c r="J4604"/>
      <c r="K4604"/>
    </row>
    <row r="4605" spans="1:11">
      <c r="A4605"/>
      <c r="B4605"/>
      <c r="C4605"/>
      <c r="D4605"/>
      <c r="E4605"/>
      <c r="F4605"/>
      <c r="G4605"/>
      <c r="H4605"/>
      <c r="I4605"/>
      <c r="J4605"/>
      <c r="K4605"/>
    </row>
    <row r="4606" spans="1:11">
      <c r="A4606"/>
      <c r="B4606"/>
      <c r="C4606"/>
      <c r="D4606"/>
      <c r="E4606"/>
      <c r="F4606"/>
      <c r="G4606"/>
      <c r="H4606"/>
      <c r="I4606"/>
      <c r="J4606"/>
      <c r="K4606"/>
    </row>
    <row r="4607" spans="1:11">
      <c r="A4607"/>
      <c r="B4607"/>
      <c r="C4607"/>
      <c r="D4607"/>
      <c r="E4607"/>
      <c r="F4607"/>
      <c r="G4607"/>
      <c r="H4607"/>
      <c r="I4607"/>
      <c r="J4607"/>
      <c r="K4607"/>
    </row>
    <row r="4608" spans="1:11">
      <c r="A4608"/>
      <c r="B4608"/>
      <c r="C4608"/>
      <c r="D4608"/>
      <c r="E4608"/>
      <c r="F4608"/>
      <c r="G4608"/>
      <c r="H4608"/>
      <c r="I4608"/>
      <c r="J4608"/>
      <c r="K4608"/>
    </row>
    <row r="4609" spans="1:11">
      <c r="A4609"/>
      <c r="B4609"/>
      <c r="C4609"/>
      <c r="D4609"/>
      <c r="E4609"/>
      <c r="F4609"/>
      <c r="G4609"/>
      <c r="H4609"/>
      <c r="I4609"/>
      <c r="J4609"/>
      <c r="K4609"/>
    </row>
    <row r="4610" spans="1:11">
      <c r="A4610"/>
      <c r="B4610"/>
      <c r="C4610"/>
      <c r="D4610"/>
      <c r="E4610"/>
      <c r="F4610"/>
      <c r="G4610"/>
      <c r="H4610"/>
      <c r="I4610"/>
      <c r="J4610"/>
      <c r="K4610"/>
    </row>
    <row r="4611" spans="1:11">
      <c r="A4611"/>
      <c r="B4611"/>
      <c r="C4611"/>
      <c r="D4611"/>
      <c r="E4611"/>
      <c r="F4611"/>
      <c r="G4611"/>
      <c r="H4611"/>
      <c r="I4611"/>
      <c r="J4611"/>
      <c r="K4611"/>
    </row>
    <row r="4612" spans="1:11">
      <c r="A4612"/>
      <c r="B4612"/>
      <c r="C4612"/>
      <c r="D4612"/>
      <c r="E4612"/>
      <c r="F4612"/>
      <c r="G4612"/>
      <c r="H4612"/>
      <c r="I4612"/>
      <c r="J4612"/>
      <c r="K4612"/>
    </row>
    <row r="4613" spans="1:11">
      <c r="A4613"/>
      <c r="B4613"/>
      <c r="C4613"/>
      <c r="D4613"/>
      <c r="E4613"/>
      <c r="F4613"/>
      <c r="G4613"/>
      <c r="H4613"/>
      <c r="I4613"/>
      <c r="J4613"/>
      <c r="K4613"/>
    </row>
    <row r="4614" spans="1:11">
      <c r="A4614"/>
      <c r="B4614"/>
      <c r="C4614"/>
      <c r="D4614"/>
      <c r="E4614"/>
      <c r="F4614"/>
      <c r="G4614"/>
      <c r="H4614"/>
      <c r="I4614"/>
      <c r="J4614"/>
      <c r="K4614"/>
    </row>
    <row r="4615" spans="1:11">
      <c r="A4615"/>
      <c r="B4615"/>
      <c r="C4615"/>
      <c r="D4615"/>
      <c r="E4615"/>
      <c r="F4615"/>
      <c r="G4615"/>
      <c r="H4615"/>
      <c r="I4615"/>
      <c r="J4615"/>
      <c r="K4615"/>
    </row>
    <row r="4616" spans="1:11">
      <c r="A4616"/>
      <c r="B4616"/>
      <c r="C4616"/>
      <c r="D4616"/>
      <c r="E4616"/>
      <c r="F4616"/>
      <c r="G4616"/>
      <c r="H4616"/>
      <c r="I4616"/>
      <c r="J4616"/>
      <c r="K4616"/>
    </row>
    <row r="4617" spans="1:11">
      <c r="A4617"/>
      <c r="B4617"/>
      <c r="C4617"/>
      <c r="D4617"/>
      <c r="E4617"/>
      <c r="F4617"/>
      <c r="G4617"/>
      <c r="H4617"/>
      <c r="I4617"/>
      <c r="J4617"/>
      <c r="K4617"/>
    </row>
    <row r="4618" spans="1:11">
      <c r="A4618"/>
      <c r="B4618"/>
      <c r="C4618"/>
      <c r="D4618"/>
      <c r="E4618"/>
      <c r="F4618"/>
      <c r="G4618"/>
      <c r="H4618"/>
      <c r="I4618"/>
      <c r="J4618"/>
      <c r="K4618"/>
    </row>
    <row r="4619" spans="1:11">
      <c r="A4619"/>
      <c r="B4619"/>
      <c r="C4619"/>
      <c r="D4619"/>
      <c r="E4619"/>
      <c r="F4619"/>
      <c r="G4619"/>
      <c r="H4619"/>
      <c r="I4619"/>
      <c r="J4619"/>
      <c r="K4619"/>
    </row>
    <row r="4620" spans="1:11">
      <c r="A4620"/>
      <c r="B4620"/>
      <c r="C4620"/>
      <c r="D4620"/>
      <c r="E4620"/>
      <c r="F4620"/>
      <c r="G4620"/>
      <c r="H4620"/>
      <c r="I4620"/>
      <c r="J4620"/>
      <c r="K4620"/>
    </row>
    <row r="4621" spans="1:11">
      <c r="A4621"/>
      <c r="B4621"/>
      <c r="C4621"/>
      <c r="D4621"/>
      <c r="E4621"/>
      <c r="F4621"/>
      <c r="G4621"/>
      <c r="H4621"/>
      <c r="I4621"/>
      <c r="J4621"/>
      <c r="K4621"/>
    </row>
    <row r="4622" spans="1:11">
      <c r="A4622"/>
      <c r="B4622"/>
      <c r="C4622"/>
      <c r="D4622"/>
      <c r="E4622"/>
      <c r="F4622"/>
      <c r="G4622"/>
      <c r="H4622"/>
      <c r="I4622"/>
      <c r="J4622"/>
      <c r="K4622"/>
    </row>
    <row r="4623" spans="1:11">
      <c r="A4623"/>
      <c r="B4623"/>
      <c r="C4623"/>
      <c r="D4623"/>
      <c r="E4623"/>
      <c r="F4623"/>
      <c r="G4623"/>
      <c r="H4623"/>
      <c r="I4623"/>
      <c r="J4623"/>
      <c r="K4623"/>
    </row>
    <row r="4624" spans="1:11">
      <c r="A4624"/>
      <c r="B4624"/>
      <c r="C4624"/>
      <c r="D4624"/>
      <c r="E4624"/>
      <c r="F4624"/>
      <c r="G4624"/>
      <c r="H4624"/>
      <c r="I4624"/>
      <c r="J4624"/>
      <c r="K4624"/>
    </row>
    <row r="4625" spans="1:11">
      <c r="A4625"/>
      <c r="B4625"/>
      <c r="C4625"/>
      <c r="D4625"/>
      <c r="E4625"/>
      <c r="F4625"/>
      <c r="G4625"/>
      <c r="H4625"/>
      <c r="I4625"/>
      <c r="J4625"/>
      <c r="K4625"/>
    </row>
    <row r="4626" spans="1:11">
      <c r="A4626"/>
      <c r="B4626"/>
      <c r="C4626"/>
      <c r="D4626"/>
      <c r="E4626"/>
      <c r="F4626"/>
      <c r="G4626"/>
      <c r="H4626"/>
      <c r="I4626"/>
      <c r="J4626"/>
      <c r="K4626"/>
    </row>
    <row r="4627" spans="1:11">
      <c r="A4627"/>
      <c r="B4627"/>
      <c r="C4627"/>
      <c r="D4627"/>
      <c r="E4627"/>
      <c r="F4627"/>
      <c r="G4627"/>
      <c r="H4627"/>
      <c r="I4627"/>
      <c r="J4627"/>
      <c r="K4627"/>
    </row>
    <row r="4628" spans="1:11">
      <c r="A4628"/>
      <c r="B4628"/>
      <c r="C4628"/>
      <c r="D4628"/>
      <c r="E4628"/>
      <c r="F4628"/>
      <c r="G4628"/>
      <c r="H4628"/>
      <c r="I4628"/>
      <c r="J4628"/>
      <c r="K4628"/>
    </row>
    <row r="4629" spans="1:11">
      <c r="A4629"/>
      <c r="B4629"/>
      <c r="C4629"/>
      <c r="D4629"/>
      <c r="E4629"/>
      <c r="F4629"/>
      <c r="G4629"/>
      <c r="H4629"/>
      <c r="I4629"/>
      <c r="J4629"/>
      <c r="K4629"/>
    </row>
    <row r="4630" spans="1:11">
      <c r="A4630"/>
      <c r="B4630"/>
      <c r="C4630"/>
      <c r="D4630"/>
      <c r="E4630"/>
      <c r="F4630"/>
      <c r="G4630"/>
      <c r="H4630"/>
      <c r="I4630"/>
      <c r="J4630"/>
      <c r="K4630"/>
    </row>
    <row r="4631" spans="1:11">
      <c r="A4631"/>
      <c r="B4631"/>
      <c r="C4631"/>
      <c r="D4631"/>
      <c r="E4631"/>
      <c r="F4631"/>
      <c r="G4631"/>
      <c r="H4631"/>
      <c r="I4631"/>
      <c r="J4631"/>
      <c r="K4631"/>
    </row>
    <row r="4632" spans="1:11">
      <c r="A4632"/>
      <c r="B4632"/>
      <c r="C4632"/>
      <c r="D4632"/>
      <c r="E4632"/>
      <c r="F4632"/>
      <c r="G4632"/>
      <c r="H4632"/>
      <c r="I4632"/>
      <c r="J4632"/>
      <c r="K4632"/>
    </row>
    <row r="4633" spans="1:11">
      <c r="A4633"/>
      <c r="B4633"/>
      <c r="C4633"/>
      <c r="D4633"/>
      <c r="E4633"/>
      <c r="F4633"/>
      <c r="G4633"/>
      <c r="H4633"/>
      <c r="I4633"/>
      <c r="J4633"/>
      <c r="K4633"/>
    </row>
    <row r="4634" spans="1:11">
      <c r="A4634"/>
      <c r="B4634"/>
      <c r="C4634"/>
      <c r="D4634"/>
      <c r="E4634"/>
      <c r="F4634"/>
      <c r="G4634"/>
      <c r="H4634"/>
      <c r="I4634"/>
      <c r="J4634"/>
      <c r="K4634"/>
    </row>
    <row r="4635" spans="1:11">
      <c r="A4635"/>
      <c r="B4635"/>
      <c r="C4635"/>
      <c r="D4635"/>
      <c r="E4635"/>
      <c r="F4635"/>
      <c r="G4635"/>
      <c r="H4635"/>
      <c r="I4635"/>
      <c r="J4635"/>
      <c r="K4635"/>
    </row>
    <row r="4636" spans="1:11">
      <c r="A4636"/>
      <c r="B4636"/>
      <c r="C4636"/>
      <c r="D4636"/>
      <c r="E4636"/>
      <c r="F4636"/>
      <c r="G4636"/>
      <c r="H4636"/>
      <c r="I4636"/>
      <c r="J4636"/>
      <c r="K4636"/>
    </row>
    <row r="4637" spans="1:11">
      <c r="A4637"/>
      <c r="B4637"/>
      <c r="C4637"/>
      <c r="D4637"/>
      <c r="E4637"/>
      <c r="F4637"/>
      <c r="G4637"/>
      <c r="H4637"/>
      <c r="I4637"/>
      <c r="J4637"/>
      <c r="K4637"/>
    </row>
    <row r="4638" spans="1:11">
      <c r="A4638"/>
      <c r="B4638"/>
      <c r="C4638"/>
      <c r="D4638"/>
      <c r="E4638"/>
      <c r="F4638"/>
      <c r="G4638"/>
      <c r="H4638"/>
      <c r="I4638"/>
      <c r="J4638"/>
      <c r="K4638"/>
    </row>
    <row r="4639" spans="1:11">
      <c r="A4639"/>
      <c r="B4639"/>
      <c r="C4639"/>
      <c r="D4639"/>
      <c r="E4639"/>
      <c r="F4639"/>
      <c r="G4639"/>
      <c r="H4639"/>
      <c r="I4639"/>
      <c r="J4639"/>
      <c r="K4639"/>
    </row>
    <row r="4640" spans="1:11">
      <c r="A4640"/>
      <c r="B4640"/>
      <c r="C4640"/>
      <c r="D4640"/>
      <c r="E4640"/>
      <c r="F4640"/>
      <c r="G4640"/>
      <c r="H4640"/>
      <c r="I4640"/>
      <c r="J4640"/>
      <c r="K4640"/>
    </row>
    <row r="4641" spans="1:11">
      <c r="A4641"/>
      <c r="B4641"/>
      <c r="C4641"/>
      <c r="D4641"/>
      <c r="E4641"/>
      <c r="F4641"/>
      <c r="G4641"/>
      <c r="H4641"/>
      <c r="I4641"/>
      <c r="J4641"/>
      <c r="K4641"/>
    </row>
    <row r="4642" spans="1:11">
      <c r="A4642"/>
      <c r="B4642"/>
      <c r="C4642"/>
      <c r="D4642"/>
      <c r="E4642"/>
      <c r="F4642"/>
      <c r="G4642"/>
      <c r="H4642"/>
      <c r="I4642"/>
      <c r="J4642"/>
      <c r="K4642"/>
    </row>
    <row r="4643" spans="1:11">
      <c r="A4643"/>
      <c r="B4643"/>
      <c r="C4643"/>
      <c r="D4643"/>
      <c r="E4643"/>
      <c r="F4643"/>
      <c r="G4643"/>
      <c r="H4643"/>
      <c r="I4643"/>
      <c r="J4643"/>
      <c r="K4643"/>
    </row>
    <row r="4644" spans="1:11">
      <c r="A4644"/>
      <c r="B4644"/>
      <c r="C4644"/>
      <c r="D4644"/>
      <c r="E4644"/>
      <c r="F4644"/>
      <c r="G4644"/>
      <c r="H4644"/>
      <c r="I4644"/>
      <c r="J4644"/>
      <c r="K4644"/>
    </row>
    <row r="4645" spans="1:11">
      <c r="A4645"/>
      <c r="B4645"/>
      <c r="C4645"/>
      <c r="D4645"/>
      <c r="E4645"/>
      <c r="F4645"/>
      <c r="G4645"/>
      <c r="H4645"/>
      <c r="I4645"/>
      <c r="J4645"/>
      <c r="K4645"/>
    </row>
    <row r="4646" spans="1:11">
      <c r="A4646"/>
      <c r="B4646"/>
      <c r="C4646"/>
      <c r="D4646"/>
      <c r="E4646"/>
      <c r="F4646"/>
      <c r="G4646"/>
      <c r="H4646"/>
      <c r="I4646"/>
      <c r="J4646"/>
      <c r="K4646"/>
    </row>
    <row r="4647" spans="1:11">
      <c r="A4647"/>
      <c r="B4647"/>
      <c r="C4647"/>
      <c r="D4647"/>
      <c r="E4647"/>
      <c r="F4647"/>
      <c r="G4647"/>
      <c r="H4647"/>
      <c r="I4647"/>
      <c r="J4647"/>
      <c r="K4647"/>
    </row>
    <row r="4648" spans="1:11">
      <c r="A4648"/>
      <c r="B4648"/>
      <c r="C4648"/>
      <c r="D4648"/>
      <c r="E4648"/>
      <c r="F4648"/>
      <c r="G4648"/>
      <c r="H4648"/>
      <c r="I4648"/>
      <c r="J4648"/>
      <c r="K4648"/>
    </row>
    <row r="4649" spans="1:11">
      <c r="A4649"/>
      <c r="B4649"/>
      <c r="C4649"/>
      <c r="D4649"/>
      <c r="E4649"/>
      <c r="F4649"/>
      <c r="G4649"/>
      <c r="H4649"/>
      <c r="I4649"/>
      <c r="J4649"/>
      <c r="K4649"/>
    </row>
    <row r="4650" spans="1:11">
      <c r="A4650"/>
      <c r="B4650"/>
      <c r="C4650"/>
      <c r="D4650"/>
      <c r="E4650"/>
      <c r="F4650"/>
      <c r="G4650"/>
      <c r="H4650"/>
      <c r="I4650"/>
      <c r="J4650"/>
      <c r="K4650"/>
    </row>
    <row r="4651" spans="1:11">
      <c r="A4651"/>
      <c r="B4651"/>
      <c r="C4651"/>
      <c r="D4651"/>
      <c r="E4651"/>
      <c r="F4651"/>
      <c r="G4651"/>
      <c r="H4651"/>
      <c r="I4651"/>
      <c r="J4651"/>
      <c r="K4651"/>
    </row>
    <row r="4652" spans="1:11">
      <c r="A4652"/>
      <c r="B4652"/>
      <c r="C4652"/>
      <c r="D4652"/>
      <c r="E4652"/>
      <c r="F4652"/>
      <c r="G4652"/>
      <c r="H4652"/>
      <c r="I4652"/>
      <c r="J4652"/>
      <c r="K4652"/>
    </row>
    <row r="4653" spans="1:11">
      <c r="A4653"/>
      <c r="B4653"/>
      <c r="C4653"/>
      <c r="D4653"/>
      <c r="E4653"/>
      <c r="F4653"/>
      <c r="G4653"/>
      <c r="H4653"/>
      <c r="I4653"/>
      <c r="J4653"/>
      <c r="K4653"/>
    </row>
    <row r="4654" spans="1:11">
      <c r="A4654"/>
      <c r="B4654"/>
      <c r="C4654"/>
      <c r="D4654"/>
      <c r="E4654"/>
      <c r="F4654"/>
      <c r="G4654"/>
      <c r="H4654"/>
      <c r="I4654"/>
      <c r="J4654"/>
      <c r="K4654"/>
    </row>
    <row r="4655" spans="1:11">
      <c r="A4655"/>
      <c r="B4655"/>
      <c r="C4655"/>
      <c r="D4655"/>
      <c r="E4655"/>
      <c r="F4655"/>
      <c r="G4655"/>
      <c r="H4655"/>
      <c r="I4655"/>
      <c r="J4655"/>
      <c r="K4655"/>
    </row>
    <row r="4656" spans="1:11">
      <c r="A4656"/>
      <c r="B4656"/>
      <c r="C4656"/>
      <c r="D4656"/>
      <c r="E4656"/>
      <c r="F4656"/>
      <c r="G4656"/>
      <c r="H4656"/>
      <c r="I4656"/>
      <c r="J4656"/>
      <c r="K4656"/>
    </row>
    <row r="4657" spans="1:11">
      <c r="A4657"/>
      <c r="B4657"/>
      <c r="C4657"/>
      <c r="D4657"/>
      <c r="E4657"/>
      <c r="F4657"/>
      <c r="G4657"/>
      <c r="H4657"/>
      <c r="I4657"/>
      <c r="J4657"/>
      <c r="K4657"/>
    </row>
    <row r="4658" spans="1:11">
      <c r="A4658"/>
      <c r="B4658"/>
      <c r="C4658"/>
      <c r="D4658"/>
      <c r="E4658"/>
      <c r="F4658"/>
      <c r="G4658"/>
      <c r="H4658"/>
      <c r="I4658"/>
      <c r="J4658"/>
      <c r="K4658"/>
    </row>
    <row r="4659" spans="1:11">
      <c r="A4659"/>
      <c r="B4659"/>
      <c r="C4659"/>
      <c r="D4659"/>
      <c r="E4659"/>
      <c r="F4659"/>
      <c r="G4659"/>
      <c r="H4659"/>
      <c r="I4659"/>
      <c r="J4659"/>
      <c r="K4659"/>
    </row>
    <row r="4660" spans="1:11">
      <c r="A4660"/>
      <c r="B4660"/>
      <c r="C4660"/>
      <c r="D4660"/>
      <c r="E4660"/>
      <c r="F4660"/>
      <c r="G4660"/>
      <c r="H4660"/>
      <c r="I4660"/>
      <c r="J4660"/>
      <c r="K4660"/>
    </row>
    <row r="4661" spans="1:11">
      <c r="A4661"/>
      <c r="B4661"/>
      <c r="C4661"/>
      <c r="D4661"/>
      <c r="E4661"/>
      <c r="F4661"/>
      <c r="G4661"/>
      <c r="H4661"/>
      <c r="I4661"/>
      <c r="J4661"/>
      <c r="K4661"/>
    </row>
    <row r="4662" spans="1:11">
      <c r="A4662"/>
      <c r="B4662"/>
      <c r="C4662"/>
      <c r="D4662"/>
      <c r="E4662"/>
      <c r="F4662"/>
      <c r="G4662"/>
      <c r="H4662"/>
      <c r="I4662"/>
      <c r="J4662"/>
      <c r="K4662"/>
    </row>
    <row r="4663" spans="1:11">
      <c r="A4663"/>
      <c r="B4663"/>
      <c r="C4663"/>
      <c r="D4663"/>
      <c r="E4663"/>
      <c r="F4663"/>
      <c r="G4663"/>
      <c r="H4663"/>
      <c r="I4663"/>
      <c r="J4663"/>
      <c r="K4663"/>
    </row>
    <row r="4664" spans="1:11">
      <c r="A4664"/>
      <c r="B4664"/>
      <c r="C4664"/>
      <c r="D4664"/>
      <c r="E4664"/>
      <c r="F4664"/>
      <c r="G4664"/>
      <c r="H4664"/>
      <c r="I4664"/>
      <c r="J4664"/>
      <c r="K4664"/>
    </row>
    <row r="4665" spans="1:11">
      <c r="A4665"/>
      <c r="B4665"/>
      <c r="C4665"/>
      <c r="D4665"/>
      <c r="E4665"/>
      <c r="F4665"/>
      <c r="G4665"/>
      <c r="H4665"/>
      <c r="I4665"/>
      <c r="J4665"/>
      <c r="K4665"/>
    </row>
    <row r="4666" spans="1:11">
      <c r="A4666"/>
      <c r="B4666"/>
      <c r="C4666"/>
      <c r="D4666"/>
      <c r="E4666"/>
      <c r="F4666"/>
      <c r="G4666"/>
      <c r="H4666"/>
      <c r="I4666"/>
      <c r="J4666"/>
      <c r="K4666"/>
    </row>
    <row r="4667" spans="1:11">
      <c r="A4667"/>
      <c r="B4667"/>
      <c r="C4667"/>
      <c r="D4667"/>
      <c r="E4667"/>
      <c r="F4667"/>
      <c r="G4667"/>
      <c r="H4667"/>
      <c r="I4667"/>
      <c r="J4667"/>
      <c r="K4667"/>
    </row>
    <row r="4668" spans="1:11">
      <c r="A4668"/>
      <c r="B4668"/>
      <c r="C4668"/>
      <c r="D4668"/>
      <c r="E4668"/>
      <c r="F4668"/>
      <c r="G4668"/>
      <c r="H4668"/>
      <c r="I4668"/>
      <c r="J4668"/>
      <c r="K4668"/>
    </row>
    <row r="4669" spans="1:11">
      <c r="A4669"/>
      <c r="B4669"/>
      <c r="C4669"/>
      <c r="D4669"/>
      <c r="E4669"/>
      <c r="F4669"/>
      <c r="G4669"/>
      <c r="H4669"/>
      <c r="I4669"/>
      <c r="J4669"/>
      <c r="K4669"/>
    </row>
    <row r="4670" spans="1:11">
      <c r="A4670"/>
      <c r="B4670"/>
      <c r="C4670"/>
      <c r="D4670"/>
      <c r="E4670"/>
      <c r="F4670"/>
      <c r="G4670"/>
      <c r="H4670"/>
      <c r="I4670"/>
      <c r="J4670"/>
      <c r="K4670"/>
    </row>
    <row r="4671" spans="1:11">
      <c r="A4671"/>
      <c r="B4671"/>
      <c r="C4671"/>
      <c r="D4671"/>
      <c r="E4671"/>
      <c r="F4671"/>
      <c r="G4671"/>
      <c r="H4671"/>
      <c r="I4671"/>
      <c r="J4671"/>
      <c r="K4671"/>
    </row>
    <row r="4672" spans="1:11">
      <c r="A4672"/>
      <c r="B4672"/>
      <c r="C4672"/>
      <c r="D4672"/>
      <c r="E4672"/>
      <c r="F4672"/>
      <c r="G4672"/>
      <c r="H4672"/>
      <c r="I4672"/>
      <c r="J4672"/>
      <c r="K4672"/>
    </row>
    <row r="4673" spans="1:11">
      <c r="A4673"/>
      <c r="B4673"/>
      <c r="C4673"/>
      <c r="D4673"/>
      <c r="E4673"/>
      <c r="F4673"/>
      <c r="G4673"/>
      <c r="H4673"/>
      <c r="I4673"/>
      <c r="J4673"/>
      <c r="K4673"/>
    </row>
    <row r="4674" spans="1:11">
      <c r="A4674"/>
      <c r="B4674"/>
      <c r="C4674"/>
      <c r="D4674"/>
      <c r="E4674"/>
      <c r="F4674"/>
      <c r="G4674"/>
      <c r="H4674"/>
      <c r="I4674"/>
      <c r="J4674"/>
      <c r="K4674"/>
    </row>
    <row r="4675" spans="1:11">
      <c r="A4675"/>
      <c r="B4675"/>
      <c r="C4675"/>
      <c r="D4675"/>
      <c r="E4675"/>
      <c r="F4675"/>
      <c r="G4675"/>
      <c r="H4675"/>
      <c r="I4675"/>
      <c r="J4675"/>
      <c r="K4675"/>
    </row>
    <row r="4676" spans="1:11">
      <c r="A4676"/>
      <c r="B4676"/>
      <c r="C4676"/>
      <c r="D4676"/>
      <c r="E4676"/>
      <c r="F4676"/>
      <c r="G4676"/>
      <c r="H4676"/>
      <c r="I4676"/>
      <c r="J4676"/>
      <c r="K4676"/>
    </row>
    <row r="4677" spans="1:11">
      <c r="A4677"/>
      <c r="B4677"/>
      <c r="C4677"/>
      <c r="D4677"/>
      <c r="E4677"/>
      <c r="F4677"/>
      <c r="G4677"/>
      <c r="H4677"/>
      <c r="I4677"/>
      <c r="J4677"/>
      <c r="K4677"/>
    </row>
    <row r="4678" spans="1:11">
      <c r="A4678"/>
      <c r="B4678"/>
      <c r="C4678"/>
      <c r="D4678"/>
      <c r="E4678"/>
      <c r="F4678"/>
      <c r="G4678"/>
      <c r="H4678"/>
      <c r="I4678"/>
      <c r="J4678"/>
      <c r="K4678"/>
    </row>
    <row r="4679" spans="1:11">
      <c r="A4679"/>
      <c r="B4679"/>
      <c r="C4679"/>
      <c r="D4679"/>
      <c r="E4679"/>
      <c r="F4679"/>
      <c r="G4679"/>
      <c r="H4679"/>
      <c r="I4679"/>
      <c r="J4679"/>
      <c r="K4679"/>
    </row>
    <row r="4680" spans="1:11">
      <c r="A4680"/>
      <c r="B4680"/>
      <c r="C4680"/>
      <c r="D4680"/>
      <c r="E4680"/>
      <c r="F4680"/>
      <c r="G4680"/>
      <c r="H4680"/>
      <c r="I4680"/>
      <c r="J4680"/>
      <c r="K4680"/>
    </row>
    <row r="4681" spans="1:11">
      <c r="A4681"/>
      <c r="B4681"/>
      <c r="C4681"/>
      <c r="D4681"/>
      <c r="E4681"/>
      <c r="F4681"/>
      <c r="G4681"/>
      <c r="H4681"/>
      <c r="I4681"/>
      <c r="J4681"/>
      <c r="K4681"/>
    </row>
    <row r="4682" spans="1:11">
      <c r="A4682"/>
      <c r="B4682"/>
      <c r="C4682"/>
      <c r="D4682"/>
      <c r="E4682"/>
      <c r="F4682"/>
      <c r="G4682"/>
      <c r="H4682"/>
      <c r="I4682"/>
      <c r="J4682"/>
      <c r="K4682"/>
    </row>
    <row r="4683" spans="1:11">
      <c r="A4683"/>
      <c r="B4683"/>
      <c r="C4683"/>
      <c r="D4683"/>
      <c r="E4683"/>
      <c r="F4683"/>
      <c r="G4683"/>
      <c r="H4683"/>
      <c r="I4683"/>
      <c r="J4683"/>
      <c r="K4683"/>
    </row>
    <row r="4684" spans="1:11">
      <c r="A4684"/>
      <c r="B4684"/>
      <c r="C4684"/>
      <c r="D4684"/>
      <c r="E4684"/>
      <c r="F4684"/>
      <c r="G4684"/>
      <c r="H4684"/>
      <c r="I4684"/>
      <c r="J4684"/>
      <c r="K4684"/>
    </row>
    <row r="4685" spans="1:11">
      <c r="A4685"/>
      <c r="B4685"/>
      <c r="C4685"/>
      <c r="D4685"/>
      <c r="E4685"/>
      <c r="F4685"/>
      <c r="G4685"/>
      <c r="H4685"/>
      <c r="I4685"/>
      <c r="J4685"/>
      <c r="K4685"/>
    </row>
    <row r="4686" spans="1:11">
      <c r="A4686"/>
      <c r="B4686"/>
      <c r="C4686"/>
      <c r="D4686"/>
      <c r="E4686"/>
      <c r="F4686"/>
      <c r="G4686"/>
      <c r="H4686"/>
      <c r="I4686"/>
      <c r="J4686"/>
      <c r="K4686"/>
    </row>
    <row r="4687" spans="1:11">
      <c r="A4687"/>
      <c r="B4687"/>
      <c r="C4687"/>
      <c r="D4687"/>
      <c r="E4687"/>
      <c r="F4687"/>
      <c r="G4687"/>
      <c r="H4687"/>
      <c r="I4687"/>
      <c r="J4687"/>
      <c r="K4687"/>
    </row>
    <row r="4688" spans="1:11">
      <c r="A4688"/>
      <c r="B4688"/>
      <c r="C4688"/>
      <c r="D4688"/>
      <c r="E4688"/>
      <c r="F4688"/>
      <c r="G4688"/>
      <c r="H4688"/>
      <c r="I4688"/>
      <c r="J4688"/>
      <c r="K4688"/>
    </row>
    <row r="4689" spans="1:11">
      <c r="A4689"/>
      <c r="B4689"/>
      <c r="C4689"/>
      <c r="D4689"/>
      <c r="E4689"/>
      <c r="F4689"/>
      <c r="G4689"/>
      <c r="H4689"/>
      <c r="I4689"/>
      <c r="J4689"/>
      <c r="K4689"/>
    </row>
    <row r="4690" spans="1:11">
      <c r="A4690"/>
      <c r="B4690"/>
      <c r="C4690"/>
      <c r="D4690"/>
      <c r="E4690"/>
      <c r="F4690"/>
      <c r="G4690"/>
      <c r="H4690"/>
      <c r="I4690"/>
      <c r="J4690"/>
      <c r="K4690"/>
    </row>
    <row r="4691" spans="1:11">
      <c r="A4691"/>
      <c r="B4691"/>
      <c r="C4691"/>
      <c r="D4691"/>
      <c r="E4691"/>
      <c r="F4691"/>
      <c r="G4691"/>
      <c r="H4691"/>
      <c r="I4691"/>
      <c r="J4691"/>
      <c r="K4691"/>
    </row>
    <row r="4692" spans="1:11">
      <c r="A4692"/>
      <c r="B4692"/>
      <c r="C4692"/>
      <c r="D4692"/>
      <c r="E4692"/>
      <c r="F4692"/>
      <c r="G4692"/>
      <c r="H4692"/>
      <c r="I4692"/>
      <c r="J4692"/>
      <c r="K4692"/>
    </row>
    <row r="4693" spans="1:11">
      <c r="A4693"/>
      <c r="B4693"/>
      <c r="C4693"/>
      <c r="D4693"/>
      <c r="E4693"/>
      <c r="F4693"/>
      <c r="G4693"/>
      <c r="H4693"/>
      <c r="I4693"/>
      <c r="J4693"/>
      <c r="K4693"/>
    </row>
    <row r="4694" spans="1:11">
      <c r="A4694"/>
      <c r="B4694"/>
      <c r="C4694"/>
      <c r="D4694"/>
      <c r="E4694"/>
      <c r="F4694"/>
      <c r="G4694"/>
      <c r="H4694"/>
      <c r="I4694"/>
      <c r="J4694"/>
      <c r="K4694"/>
    </row>
    <row r="4695" spans="1:11">
      <c r="A4695"/>
      <c r="B4695"/>
      <c r="C4695"/>
      <c r="D4695"/>
      <c r="E4695"/>
      <c r="F4695"/>
      <c r="G4695"/>
      <c r="H4695"/>
      <c r="I4695"/>
      <c r="J4695"/>
      <c r="K4695"/>
    </row>
    <row r="4696" spans="1:11">
      <c r="A4696"/>
      <c r="B4696"/>
      <c r="C4696"/>
      <c r="D4696"/>
      <c r="E4696"/>
      <c r="F4696"/>
      <c r="G4696"/>
      <c r="H4696"/>
      <c r="I4696"/>
      <c r="J4696"/>
      <c r="K4696"/>
    </row>
    <row r="4697" spans="1:11">
      <c r="A4697"/>
      <c r="B4697"/>
      <c r="C4697"/>
      <c r="D4697"/>
      <c r="E4697"/>
      <c r="F4697"/>
      <c r="G4697"/>
      <c r="H4697"/>
      <c r="I4697"/>
      <c r="J4697"/>
      <c r="K4697"/>
    </row>
    <row r="4698" spans="1:11">
      <c r="A4698"/>
      <c r="B4698"/>
      <c r="C4698"/>
      <c r="D4698"/>
      <c r="E4698"/>
      <c r="F4698"/>
      <c r="G4698"/>
      <c r="H4698"/>
      <c r="I4698"/>
      <c r="J4698"/>
      <c r="K4698"/>
    </row>
    <row r="4699" spans="1:11">
      <c r="A4699"/>
      <c r="B4699"/>
      <c r="C4699"/>
      <c r="D4699"/>
      <c r="E4699"/>
      <c r="F4699"/>
      <c r="G4699"/>
      <c r="H4699"/>
      <c r="I4699"/>
      <c r="J4699"/>
      <c r="K4699"/>
    </row>
    <row r="4700" spans="1:11">
      <c r="A4700"/>
      <c r="B4700"/>
      <c r="C4700"/>
      <c r="D4700"/>
      <c r="E4700"/>
      <c r="F4700"/>
      <c r="G4700"/>
      <c r="H4700"/>
      <c r="I4700"/>
      <c r="J4700"/>
      <c r="K4700"/>
    </row>
    <row r="4701" spans="1:11">
      <c r="A4701"/>
      <c r="B4701"/>
      <c r="C4701"/>
      <c r="D4701"/>
      <c r="E4701"/>
      <c r="F4701"/>
      <c r="G4701"/>
      <c r="H4701"/>
      <c r="I4701"/>
      <c r="J4701"/>
      <c r="K4701"/>
    </row>
    <row r="4702" spans="1:11">
      <c r="A4702"/>
      <c r="B4702"/>
      <c r="C4702"/>
      <c r="D4702"/>
      <c r="E4702"/>
      <c r="F4702"/>
      <c r="G4702"/>
      <c r="H4702"/>
      <c r="I4702"/>
      <c r="J4702"/>
      <c r="K4702"/>
    </row>
    <row r="4703" spans="1:11">
      <c r="A4703"/>
      <c r="B4703"/>
      <c r="C4703"/>
      <c r="D4703"/>
      <c r="E4703"/>
      <c r="F4703"/>
      <c r="G4703"/>
      <c r="H4703"/>
      <c r="I4703"/>
      <c r="J4703"/>
      <c r="K4703"/>
    </row>
    <row r="4704" spans="1:11">
      <c r="A4704"/>
      <c r="B4704"/>
      <c r="C4704"/>
      <c r="D4704"/>
      <c r="E4704"/>
      <c r="F4704"/>
      <c r="G4704"/>
      <c r="H4704"/>
      <c r="I4704"/>
      <c r="J4704"/>
      <c r="K4704"/>
    </row>
    <row r="4705" spans="1:11">
      <c r="A4705"/>
      <c r="B4705"/>
      <c r="C4705"/>
      <c r="D4705"/>
      <c r="E4705"/>
      <c r="F4705"/>
      <c r="G4705"/>
      <c r="H4705"/>
      <c r="I4705"/>
      <c r="J4705"/>
      <c r="K4705"/>
    </row>
    <row r="4706" spans="1:11">
      <c r="A4706"/>
      <c r="B4706"/>
      <c r="C4706"/>
      <c r="D4706"/>
      <c r="E4706"/>
      <c r="F4706"/>
      <c r="G4706"/>
      <c r="H4706"/>
      <c r="I4706"/>
      <c r="J4706"/>
      <c r="K4706"/>
    </row>
    <row r="4707" spans="1:11">
      <c r="A4707"/>
      <c r="B4707"/>
      <c r="C4707"/>
      <c r="D4707"/>
      <c r="E4707"/>
      <c r="F4707"/>
      <c r="G4707"/>
      <c r="H4707"/>
      <c r="I4707"/>
      <c r="J4707"/>
      <c r="K4707"/>
    </row>
    <row r="4708" spans="1:11">
      <c r="A4708"/>
      <c r="B4708"/>
      <c r="C4708"/>
      <c r="D4708"/>
      <c r="E4708"/>
      <c r="F4708"/>
      <c r="G4708"/>
      <c r="H4708"/>
      <c r="I4708"/>
      <c r="J4708"/>
      <c r="K4708"/>
    </row>
    <row r="4709" spans="1:11">
      <c r="A4709"/>
      <c r="B4709"/>
      <c r="C4709"/>
      <c r="D4709"/>
      <c r="E4709"/>
      <c r="F4709"/>
      <c r="G4709"/>
      <c r="H4709"/>
      <c r="I4709"/>
      <c r="J4709"/>
      <c r="K4709"/>
    </row>
    <row r="4710" spans="1:11">
      <c r="A4710"/>
      <c r="B4710"/>
      <c r="C4710"/>
      <c r="D4710"/>
      <c r="E4710"/>
      <c r="F4710"/>
      <c r="G4710"/>
      <c r="H4710"/>
      <c r="I4710"/>
      <c r="J4710"/>
      <c r="K4710"/>
    </row>
    <row r="4711" spans="1:11">
      <c r="A4711"/>
      <c r="B4711"/>
      <c r="C4711"/>
      <c r="D4711"/>
      <c r="E4711"/>
      <c r="F4711"/>
      <c r="G4711"/>
      <c r="H4711"/>
      <c r="I4711"/>
      <c r="J4711"/>
      <c r="K4711"/>
    </row>
    <row r="4712" spans="1:11">
      <c r="A4712"/>
      <c r="B4712"/>
      <c r="C4712"/>
      <c r="D4712"/>
      <c r="E4712"/>
      <c r="F4712"/>
      <c r="G4712"/>
      <c r="H4712"/>
      <c r="I4712"/>
      <c r="J4712"/>
      <c r="K4712"/>
    </row>
    <row r="4713" spans="1:11">
      <c r="A4713"/>
      <c r="B4713"/>
      <c r="C4713"/>
      <c r="D4713"/>
      <c r="E4713"/>
      <c r="F4713"/>
      <c r="G4713"/>
      <c r="H4713"/>
      <c r="I4713"/>
      <c r="J4713"/>
      <c r="K4713"/>
    </row>
    <row r="4714" spans="1:11">
      <c r="A4714"/>
      <c r="B4714"/>
      <c r="C4714"/>
      <c r="D4714"/>
      <c r="E4714"/>
      <c r="F4714"/>
      <c r="G4714"/>
      <c r="H4714"/>
      <c r="I4714"/>
      <c r="J4714"/>
      <c r="K4714"/>
    </row>
    <row r="4715" spans="1:11">
      <c r="A4715"/>
      <c r="B4715"/>
      <c r="C4715"/>
      <c r="D4715"/>
      <c r="E4715"/>
      <c r="F4715"/>
      <c r="G4715"/>
      <c r="H4715"/>
      <c r="I4715"/>
      <c r="J4715"/>
      <c r="K4715"/>
    </row>
    <row r="4716" spans="1:11">
      <c r="A4716"/>
      <c r="B4716"/>
      <c r="C4716"/>
      <c r="D4716"/>
      <c r="E4716"/>
      <c r="F4716"/>
      <c r="G4716"/>
      <c r="H4716"/>
      <c r="I4716"/>
      <c r="J4716"/>
      <c r="K4716"/>
    </row>
    <row r="4717" spans="1:11">
      <c r="A4717"/>
      <c r="B4717"/>
      <c r="C4717"/>
      <c r="D4717"/>
      <c r="E4717"/>
      <c r="F4717"/>
      <c r="G4717"/>
      <c r="H4717"/>
      <c r="I4717"/>
      <c r="J4717"/>
      <c r="K4717"/>
    </row>
    <row r="4718" spans="1:11">
      <c r="A4718"/>
      <c r="B4718"/>
      <c r="C4718"/>
      <c r="D4718"/>
      <c r="E4718"/>
      <c r="F4718"/>
      <c r="G4718"/>
      <c r="H4718"/>
      <c r="I4718"/>
      <c r="J4718"/>
      <c r="K4718"/>
    </row>
    <row r="4719" spans="1:11">
      <c r="A4719"/>
      <c r="B4719"/>
      <c r="C4719"/>
      <c r="D4719"/>
      <c r="E4719"/>
      <c r="F4719"/>
      <c r="G4719"/>
      <c r="H4719"/>
      <c r="I4719"/>
      <c r="J4719"/>
      <c r="K4719"/>
    </row>
    <row r="4720" spans="1:11">
      <c r="A4720"/>
      <c r="B4720"/>
      <c r="C4720"/>
      <c r="D4720"/>
      <c r="E4720"/>
      <c r="F4720"/>
      <c r="G4720"/>
      <c r="H4720"/>
      <c r="I4720"/>
      <c r="J4720"/>
      <c r="K4720"/>
    </row>
    <row r="4721" spans="1:11">
      <c r="A4721"/>
      <c r="B4721"/>
      <c r="C4721"/>
      <c r="D4721"/>
      <c r="E4721"/>
      <c r="F4721"/>
      <c r="G4721"/>
      <c r="H4721"/>
      <c r="I4721"/>
      <c r="J4721"/>
      <c r="K4721"/>
    </row>
    <row r="4722" spans="1:11">
      <c r="A4722"/>
      <c r="B4722"/>
      <c r="C4722"/>
      <c r="D4722"/>
      <c r="E4722"/>
      <c r="F4722"/>
      <c r="G4722"/>
      <c r="H4722"/>
      <c r="I4722"/>
      <c r="J4722"/>
      <c r="K4722"/>
    </row>
    <row r="4723" spans="1:11">
      <c r="A4723"/>
      <c r="B4723"/>
      <c r="C4723"/>
      <c r="D4723"/>
      <c r="E4723"/>
      <c r="F4723"/>
      <c r="G4723"/>
      <c r="H4723"/>
      <c r="I4723"/>
      <c r="J4723"/>
      <c r="K4723"/>
    </row>
    <row r="4724" spans="1:11">
      <c r="A4724"/>
      <c r="B4724"/>
      <c r="C4724"/>
      <c r="D4724"/>
      <c r="E4724"/>
      <c r="F4724"/>
      <c r="G4724"/>
      <c r="H4724"/>
      <c r="I4724"/>
      <c r="J4724"/>
      <c r="K4724"/>
    </row>
    <row r="4725" spans="1:11">
      <c r="A4725"/>
      <c r="B4725"/>
      <c r="C4725"/>
      <c r="D4725"/>
      <c r="E4725"/>
      <c r="F4725"/>
      <c r="G4725"/>
      <c r="H4725"/>
      <c r="I4725"/>
      <c r="J4725"/>
      <c r="K4725"/>
    </row>
    <row r="4726" spans="1:11">
      <c r="A4726"/>
      <c r="B4726"/>
      <c r="C4726"/>
      <c r="D4726"/>
      <c r="E4726"/>
      <c r="F4726"/>
      <c r="G4726"/>
      <c r="H4726"/>
      <c r="I4726"/>
      <c r="J4726"/>
      <c r="K4726"/>
    </row>
    <row r="4727" spans="1:11">
      <c r="A4727"/>
      <c r="B4727"/>
      <c r="C4727"/>
      <c r="D4727"/>
      <c r="E4727"/>
      <c r="F4727"/>
      <c r="G4727"/>
      <c r="H4727"/>
      <c r="I4727"/>
      <c r="J4727"/>
      <c r="K4727"/>
    </row>
    <row r="4728" spans="1:11">
      <c r="A4728"/>
      <c r="B4728"/>
      <c r="C4728"/>
      <c r="D4728"/>
      <c r="E4728"/>
      <c r="F4728"/>
      <c r="G4728"/>
      <c r="H4728"/>
      <c r="I4728"/>
      <c r="J4728"/>
      <c r="K4728"/>
    </row>
    <row r="4729" spans="1:11">
      <c r="A4729"/>
      <c r="B4729"/>
      <c r="C4729"/>
      <c r="D4729"/>
      <c r="E4729"/>
      <c r="F4729"/>
      <c r="G4729"/>
      <c r="H4729"/>
      <c r="I4729"/>
      <c r="J4729"/>
      <c r="K4729"/>
    </row>
    <row r="4730" spans="1:11">
      <c r="A4730"/>
      <c r="B4730"/>
      <c r="C4730"/>
      <c r="D4730"/>
      <c r="E4730"/>
      <c r="F4730"/>
      <c r="G4730"/>
      <c r="H4730"/>
      <c r="I4730"/>
      <c r="J4730"/>
      <c r="K4730"/>
    </row>
    <row r="4731" spans="1:11">
      <c r="A4731"/>
      <c r="B4731"/>
      <c r="C4731"/>
      <c r="D4731"/>
      <c r="E4731"/>
      <c r="F4731"/>
      <c r="G4731"/>
      <c r="H4731"/>
      <c r="I4731"/>
      <c r="J4731"/>
      <c r="K4731"/>
    </row>
    <row r="4732" spans="1:11">
      <c r="A4732"/>
      <c r="B4732"/>
      <c r="C4732"/>
      <c r="D4732"/>
      <c r="E4732"/>
      <c r="F4732"/>
      <c r="G4732"/>
      <c r="H4732"/>
      <c r="I4732"/>
      <c r="J4732"/>
      <c r="K4732"/>
    </row>
    <row r="4733" spans="1:11">
      <c r="A4733"/>
      <c r="B4733"/>
      <c r="C4733"/>
      <c r="D4733"/>
      <c r="E4733"/>
      <c r="F4733"/>
      <c r="G4733"/>
      <c r="H4733"/>
      <c r="I4733"/>
      <c r="J4733"/>
      <c r="K4733"/>
    </row>
    <row r="4734" spans="1:11">
      <c r="A4734"/>
      <c r="B4734"/>
      <c r="C4734"/>
      <c r="D4734"/>
      <c r="E4734"/>
      <c r="F4734"/>
      <c r="G4734"/>
      <c r="H4734"/>
      <c r="I4734"/>
      <c r="J4734"/>
      <c r="K4734"/>
    </row>
    <row r="4735" spans="1:11">
      <c r="A4735"/>
      <c r="B4735"/>
      <c r="C4735"/>
      <c r="D4735"/>
      <c r="E4735"/>
      <c r="F4735"/>
      <c r="G4735"/>
      <c r="H4735"/>
      <c r="I4735"/>
      <c r="J4735"/>
      <c r="K4735"/>
    </row>
    <row r="4736" spans="1:11">
      <c r="A4736"/>
      <c r="B4736"/>
      <c r="C4736"/>
      <c r="D4736"/>
      <c r="E4736"/>
      <c r="F4736"/>
      <c r="G4736"/>
      <c r="H4736"/>
      <c r="I4736"/>
      <c r="J4736"/>
      <c r="K4736"/>
    </row>
    <row r="4737" spans="1:11">
      <c r="A4737"/>
      <c r="B4737"/>
      <c r="C4737"/>
      <c r="D4737"/>
      <c r="E4737"/>
      <c r="F4737"/>
      <c r="G4737"/>
      <c r="H4737"/>
      <c r="I4737"/>
      <c r="J4737"/>
      <c r="K4737"/>
    </row>
    <row r="4738" spans="1:11">
      <c r="A4738"/>
      <c r="B4738"/>
      <c r="C4738"/>
      <c r="D4738"/>
      <c r="E4738"/>
      <c r="F4738"/>
      <c r="G4738"/>
      <c r="H4738"/>
      <c r="I4738"/>
      <c r="J4738"/>
      <c r="K4738"/>
    </row>
    <row r="4739" spans="1:11">
      <c r="A4739"/>
      <c r="B4739"/>
      <c r="C4739"/>
      <c r="D4739"/>
      <c r="E4739"/>
      <c r="F4739"/>
      <c r="G4739"/>
      <c r="H4739"/>
      <c r="I4739"/>
      <c r="J4739"/>
      <c r="K4739"/>
    </row>
    <row r="4740" spans="1:11">
      <c r="A4740"/>
      <c r="B4740"/>
      <c r="C4740"/>
      <c r="D4740"/>
      <c r="E4740"/>
      <c r="F4740"/>
      <c r="G4740"/>
      <c r="H4740"/>
      <c r="I4740"/>
      <c r="J4740"/>
      <c r="K4740"/>
    </row>
    <row r="4741" spans="1:11">
      <c r="A4741"/>
      <c r="B4741"/>
      <c r="C4741"/>
      <c r="D4741"/>
      <c r="E4741"/>
      <c r="F4741"/>
      <c r="G4741"/>
      <c r="H4741"/>
      <c r="I4741"/>
      <c r="J4741"/>
      <c r="K4741"/>
    </row>
    <row r="4742" spans="1:11">
      <c r="A4742"/>
      <c r="B4742"/>
      <c r="C4742"/>
      <c r="D4742"/>
      <c r="E4742"/>
      <c r="F4742"/>
      <c r="G4742"/>
      <c r="H4742"/>
      <c r="I4742"/>
      <c r="J4742"/>
      <c r="K4742"/>
    </row>
    <row r="4743" spans="1:11">
      <c r="A4743"/>
      <c r="B4743"/>
      <c r="C4743"/>
      <c r="D4743"/>
      <c r="E4743"/>
      <c r="F4743"/>
      <c r="G4743"/>
      <c r="H4743"/>
      <c r="I4743"/>
      <c r="J4743"/>
      <c r="K4743"/>
    </row>
    <row r="4744" spans="1:11">
      <c r="A4744"/>
      <c r="B4744"/>
      <c r="C4744"/>
      <c r="D4744"/>
      <c r="E4744"/>
      <c r="F4744"/>
      <c r="G4744"/>
      <c r="H4744"/>
      <c r="I4744"/>
      <c r="J4744"/>
      <c r="K4744"/>
    </row>
    <row r="4745" spans="1:11">
      <c r="A4745"/>
      <c r="B4745"/>
      <c r="C4745"/>
      <c r="D4745"/>
      <c r="E4745"/>
      <c r="F4745"/>
      <c r="G4745"/>
      <c r="H4745"/>
      <c r="I4745"/>
      <c r="J4745"/>
      <c r="K4745"/>
    </row>
    <row r="4746" spans="1:11">
      <c r="A4746"/>
      <c r="B4746"/>
      <c r="C4746"/>
      <c r="D4746"/>
      <c r="E4746"/>
      <c r="F4746"/>
      <c r="G4746"/>
      <c r="H4746"/>
      <c r="I4746"/>
      <c r="J4746"/>
      <c r="K4746"/>
    </row>
    <row r="4747" spans="1:11">
      <c r="A4747"/>
      <c r="B4747"/>
      <c r="C4747"/>
      <c r="D4747"/>
      <c r="E4747"/>
      <c r="F4747"/>
      <c r="G4747"/>
      <c r="H4747"/>
      <c r="I4747"/>
      <c r="J4747"/>
      <c r="K4747"/>
    </row>
    <row r="4748" spans="1:11">
      <c r="A4748"/>
      <c r="B4748"/>
      <c r="C4748"/>
      <c r="D4748"/>
      <c r="E4748"/>
      <c r="F4748"/>
      <c r="G4748"/>
      <c r="H4748"/>
      <c r="I4748"/>
      <c r="J4748"/>
      <c r="K4748"/>
    </row>
    <row r="4749" spans="1:11">
      <c r="A4749"/>
      <c r="B4749"/>
      <c r="C4749"/>
      <c r="D4749"/>
      <c r="E4749"/>
      <c r="F4749"/>
      <c r="G4749"/>
      <c r="H4749"/>
      <c r="I4749"/>
      <c r="J4749"/>
      <c r="K4749"/>
    </row>
    <row r="4750" spans="1:11">
      <c r="A4750"/>
      <c r="B4750"/>
      <c r="C4750"/>
      <c r="D4750"/>
      <c r="E4750"/>
      <c r="F4750"/>
      <c r="G4750"/>
      <c r="H4750"/>
      <c r="I4750"/>
      <c r="J4750"/>
      <c r="K4750"/>
    </row>
    <row r="4751" spans="1:11">
      <c r="A4751"/>
      <c r="B4751"/>
      <c r="C4751"/>
      <c r="D4751"/>
      <c r="E4751"/>
      <c r="F4751"/>
      <c r="G4751"/>
      <c r="H4751"/>
      <c r="I4751"/>
      <c r="J4751"/>
      <c r="K4751"/>
    </row>
    <row r="4752" spans="1:11">
      <c r="A4752"/>
      <c r="B4752"/>
      <c r="C4752"/>
      <c r="D4752"/>
      <c r="E4752"/>
      <c r="F4752"/>
      <c r="G4752"/>
      <c r="H4752"/>
      <c r="I4752"/>
      <c r="J4752"/>
      <c r="K4752"/>
    </row>
    <row r="4753" spans="1:11">
      <c r="A4753"/>
      <c r="B4753"/>
      <c r="C4753"/>
      <c r="D4753"/>
      <c r="E4753"/>
      <c r="F4753"/>
      <c r="G4753"/>
      <c r="H4753"/>
      <c r="I4753"/>
      <c r="J4753"/>
      <c r="K4753"/>
    </row>
    <row r="4754" spans="1:11">
      <c r="A4754"/>
      <c r="B4754"/>
      <c r="C4754"/>
      <c r="D4754"/>
      <c r="E4754"/>
      <c r="F4754"/>
      <c r="G4754"/>
      <c r="H4754"/>
      <c r="I4754"/>
      <c r="J4754"/>
      <c r="K4754"/>
    </row>
    <row r="4755" spans="1:11">
      <c r="A4755"/>
      <c r="B4755"/>
      <c r="C4755"/>
      <c r="D4755"/>
      <c r="E4755"/>
      <c r="F4755"/>
      <c r="G4755"/>
      <c r="H4755"/>
      <c r="I4755"/>
      <c r="J4755"/>
      <c r="K4755"/>
    </row>
    <row r="4756" spans="1:11">
      <c r="A4756"/>
      <c r="B4756"/>
      <c r="C4756"/>
      <c r="D4756"/>
      <c r="E4756"/>
      <c r="F4756"/>
      <c r="G4756"/>
      <c r="H4756"/>
      <c r="I4756"/>
      <c r="J4756"/>
      <c r="K4756"/>
    </row>
    <row r="4757" spans="1:11">
      <c r="A4757"/>
      <c r="B4757"/>
      <c r="C4757"/>
      <c r="D4757"/>
      <c r="E4757"/>
      <c r="F4757"/>
      <c r="G4757"/>
      <c r="H4757"/>
      <c r="I4757"/>
      <c r="J4757"/>
      <c r="K4757"/>
    </row>
    <row r="4758" spans="1:11">
      <c r="A4758"/>
      <c r="B4758"/>
      <c r="C4758"/>
      <c r="D4758"/>
      <c r="E4758"/>
      <c r="F4758"/>
      <c r="G4758"/>
      <c r="H4758"/>
      <c r="I4758"/>
      <c r="J4758"/>
      <c r="K4758"/>
    </row>
    <row r="4759" spans="1:11">
      <c r="A4759"/>
      <c r="B4759"/>
      <c r="C4759"/>
      <c r="D4759"/>
      <c r="E4759"/>
      <c r="F4759"/>
      <c r="G4759"/>
      <c r="H4759"/>
      <c r="I4759"/>
      <c r="J4759"/>
      <c r="K4759"/>
    </row>
    <row r="4760" spans="1:11">
      <c r="A4760"/>
      <c r="B4760"/>
      <c r="C4760"/>
      <c r="D4760"/>
      <c r="E4760"/>
      <c r="F4760"/>
      <c r="G4760"/>
      <c r="H4760"/>
      <c r="I4760"/>
      <c r="J4760"/>
      <c r="K4760"/>
    </row>
    <row r="4761" spans="1:11">
      <c r="A4761"/>
      <c r="B4761"/>
      <c r="C4761"/>
      <c r="D4761"/>
      <c r="E4761"/>
      <c r="F4761"/>
      <c r="G4761"/>
      <c r="H4761"/>
      <c r="I4761"/>
      <c r="J4761"/>
      <c r="K4761"/>
    </row>
    <row r="4762" spans="1:11">
      <c r="A4762"/>
      <c r="B4762"/>
      <c r="C4762"/>
      <c r="D4762"/>
      <c r="E4762"/>
      <c r="F4762"/>
      <c r="G4762"/>
      <c r="H4762"/>
      <c r="I4762"/>
      <c r="J4762"/>
      <c r="K4762"/>
    </row>
    <row r="4763" spans="1:11">
      <c r="A4763"/>
      <c r="B4763"/>
      <c r="C4763"/>
      <c r="D4763"/>
      <c r="E4763"/>
      <c r="F4763"/>
      <c r="G4763"/>
      <c r="H4763"/>
      <c r="I4763"/>
      <c r="J4763"/>
      <c r="K4763"/>
    </row>
    <row r="4764" spans="1:11">
      <c r="A4764"/>
      <c r="B4764"/>
      <c r="C4764"/>
      <c r="D4764"/>
      <c r="E4764"/>
      <c r="F4764"/>
      <c r="G4764"/>
      <c r="H4764"/>
      <c r="I4764"/>
      <c r="J4764"/>
      <c r="K4764"/>
    </row>
    <row r="4765" spans="1:11">
      <c r="A4765"/>
      <c r="B4765"/>
      <c r="C4765"/>
      <c r="D4765"/>
      <c r="E4765"/>
      <c r="F4765"/>
      <c r="G4765"/>
      <c r="H4765"/>
      <c r="I4765"/>
      <c r="J4765"/>
      <c r="K4765"/>
    </row>
    <row r="4766" spans="1:11">
      <c r="A4766"/>
      <c r="B4766"/>
      <c r="C4766"/>
      <c r="D4766"/>
      <c r="E4766"/>
      <c r="F4766"/>
      <c r="G4766"/>
      <c r="H4766"/>
      <c r="I4766"/>
      <c r="J4766"/>
      <c r="K4766"/>
    </row>
    <row r="4767" spans="1:11">
      <c r="A4767"/>
      <c r="B4767"/>
      <c r="C4767"/>
      <c r="D4767"/>
      <c r="E4767"/>
      <c r="F4767"/>
      <c r="G4767"/>
      <c r="H4767"/>
      <c r="I4767"/>
      <c r="J4767"/>
      <c r="K4767"/>
    </row>
    <row r="4768" spans="1:11">
      <c r="A4768"/>
      <c r="B4768"/>
      <c r="C4768"/>
      <c r="D4768"/>
      <c r="E4768"/>
      <c r="F4768"/>
      <c r="G4768"/>
      <c r="H4768"/>
      <c r="I4768"/>
      <c r="J4768"/>
      <c r="K4768"/>
    </row>
    <row r="4769" spans="1:11">
      <c r="A4769"/>
      <c r="B4769"/>
      <c r="C4769"/>
      <c r="D4769"/>
      <c r="E4769"/>
      <c r="F4769"/>
      <c r="G4769"/>
      <c r="H4769"/>
      <c r="I4769"/>
      <c r="J4769"/>
      <c r="K4769"/>
    </row>
    <row r="4770" spans="1:11">
      <c r="A4770"/>
      <c r="B4770"/>
      <c r="C4770"/>
      <c r="D4770"/>
      <c r="E4770"/>
      <c r="F4770"/>
      <c r="G4770"/>
      <c r="H4770"/>
      <c r="I4770"/>
      <c r="J4770"/>
      <c r="K4770"/>
    </row>
    <row r="4771" spans="1:11">
      <c r="A4771"/>
      <c r="B4771"/>
      <c r="C4771"/>
      <c r="D4771"/>
      <c r="E4771"/>
      <c r="F4771"/>
      <c r="G4771"/>
      <c r="H4771"/>
      <c r="I4771"/>
      <c r="J4771"/>
      <c r="K4771"/>
    </row>
    <row r="4772" spans="1:11">
      <c r="A4772"/>
      <c r="B4772"/>
      <c r="C4772"/>
      <c r="D4772"/>
      <c r="E4772"/>
      <c r="F4772"/>
      <c r="G4772"/>
      <c r="H4772"/>
      <c r="I4772"/>
      <c r="J4772"/>
      <c r="K4772"/>
    </row>
    <row r="4773" spans="1:11">
      <c r="A4773"/>
      <c r="B4773"/>
      <c r="C4773"/>
      <c r="D4773"/>
      <c r="E4773"/>
      <c r="F4773"/>
      <c r="G4773"/>
      <c r="H4773"/>
      <c r="I4773"/>
      <c r="J4773"/>
      <c r="K4773"/>
    </row>
    <row r="4774" spans="1:11">
      <c r="A4774"/>
      <c r="B4774"/>
      <c r="C4774"/>
      <c r="D4774"/>
      <c r="E4774"/>
      <c r="F4774"/>
      <c r="G4774"/>
      <c r="H4774"/>
      <c r="I4774"/>
      <c r="J4774"/>
      <c r="K4774"/>
    </row>
    <row r="4775" spans="1:11">
      <c r="A4775"/>
      <c r="B4775"/>
      <c r="C4775"/>
      <c r="D4775"/>
      <c r="E4775"/>
      <c r="F4775"/>
      <c r="G4775"/>
      <c r="H4775"/>
      <c r="I4775"/>
      <c r="J4775"/>
      <c r="K4775"/>
    </row>
    <row r="4776" spans="1:11">
      <c r="A4776"/>
      <c r="B4776"/>
      <c r="C4776"/>
      <c r="D4776"/>
      <c r="E4776"/>
      <c r="F4776"/>
      <c r="G4776"/>
      <c r="H4776"/>
      <c r="I4776"/>
      <c r="J4776"/>
      <c r="K4776"/>
    </row>
    <row r="4777" spans="1:11">
      <c r="A4777"/>
      <c r="B4777"/>
      <c r="C4777"/>
      <c r="D4777"/>
      <c r="E4777"/>
      <c r="F4777"/>
      <c r="G4777"/>
      <c r="H4777"/>
      <c r="I4777"/>
      <c r="J4777"/>
      <c r="K4777"/>
    </row>
    <row r="4778" spans="1:11">
      <c r="A4778"/>
      <c r="B4778"/>
      <c r="C4778"/>
      <c r="D4778"/>
      <c r="E4778"/>
      <c r="F4778"/>
      <c r="G4778"/>
      <c r="H4778"/>
      <c r="I4778"/>
      <c r="J4778"/>
      <c r="K4778"/>
    </row>
    <row r="4779" spans="1:11">
      <c r="A4779"/>
      <c r="B4779"/>
      <c r="C4779"/>
      <c r="D4779"/>
      <c r="E4779"/>
      <c r="F4779"/>
      <c r="G4779"/>
      <c r="H4779"/>
      <c r="I4779"/>
      <c r="J4779"/>
      <c r="K4779"/>
    </row>
    <row r="4780" spans="1:11">
      <c r="A4780"/>
      <c r="B4780"/>
      <c r="C4780"/>
      <c r="D4780"/>
      <c r="E4780"/>
      <c r="F4780"/>
      <c r="G4780"/>
      <c r="H4780"/>
      <c r="I4780"/>
      <c r="J4780"/>
      <c r="K4780"/>
    </row>
    <row r="4781" spans="1:11">
      <c r="A4781"/>
      <c r="B4781"/>
      <c r="C4781"/>
      <c r="D4781"/>
      <c r="E4781"/>
      <c r="F4781"/>
      <c r="G4781"/>
      <c r="H4781"/>
      <c r="I4781"/>
      <c r="J4781"/>
      <c r="K4781"/>
    </row>
    <row r="4782" spans="1:11">
      <c r="A4782"/>
      <c r="B4782"/>
      <c r="C4782"/>
      <c r="D4782"/>
      <c r="E4782"/>
      <c r="F4782"/>
      <c r="G4782"/>
      <c r="H4782"/>
      <c r="I4782"/>
      <c r="J4782"/>
      <c r="K4782"/>
    </row>
    <row r="4783" spans="1:11">
      <c r="A4783"/>
      <c r="B4783"/>
      <c r="C4783"/>
      <c r="D4783"/>
      <c r="E4783"/>
      <c r="F4783"/>
      <c r="G4783"/>
      <c r="H4783"/>
      <c r="I4783"/>
      <c r="J4783"/>
      <c r="K4783"/>
    </row>
    <row r="4784" spans="1:11">
      <c r="A4784"/>
      <c r="B4784"/>
      <c r="C4784"/>
      <c r="D4784"/>
      <c r="E4784"/>
      <c r="F4784"/>
      <c r="G4784"/>
      <c r="H4784"/>
      <c r="I4784"/>
      <c r="J4784"/>
      <c r="K4784"/>
    </row>
    <row r="4785" spans="1:11">
      <c r="A4785"/>
      <c r="B4785"/>
      <c r="C4785"/>
      <c r="D4785"/>
      <c r="E4785"/>
      <c r="F4785"/>
      <c r="G4785"/>
      <c r="H4785"/>
      <c r="I4785"/>
      <c r="J4785"/>
      <c r="K4785"/>
    </row>
    <row r="4786" spans="1:11">
      <c r="A4786"/>
      <c r="B4786"/>
      <c r="C4786"/>
      <c r="D4786"/>
      <c r="E4786"/>
      <c r="F4786"/>
      <c r="G4786"/>
      <c r="H4786"/>
      <c r="I4786"/>
      <c r="J4786"/>
      <c r="K4786"/>
    </row>
    <row r="4787" spans="1:11">
      <c r="A4787"/>
      <c r="B4787"/>
      <c r="C4787"/>
      <c r="D4787"/>
      <c r="E4787"/>
      <c r="F4787"/>
      <c r="G4787"/>
      <c r="H4787"/>
      <c r="I4787"/>
      <c r="J4787"/>
      <c r="K4787"/>
    </row>
    <row r="4788" spans="1:11">
      <c r="A4788"/>
      <c r="B4788"/>
      <c r="C4788"/>
      <c r="D4788"/>
      <c r="E4788"/>
      <c r="F4788"/>
      <c r="G4788"/>
      <c r="H4788"/>
      <c r="I4788"/>
      <c r="J4788"/>
      <c r="K4788"/>
    </row>
    <row r="4789" spans="1:11">
      <c r="A4789"/>
      <c r="B4789"/>
      <c r="C4789"/>
      <c r="D4789"/>
      <c r="E4789"/>
      <c r="F4789"/>
      <c r="G4789"/>
      <c r="H4789"/>
      <c r="I4789"/>
      <c r="J4789"/>
      <c r="K4789"/>
    </row>
    <row r="4790" spans="1:11">
      <c r="A4790"/>
      <c r="B4790"/>
      <c r="C4790"/>
      <c r="D4790"/>
      <c r="E4790"/>
      <c r="F4790"/>
      <c r="G4790"/>
      <c r="H4790"/>
      <c r="I4790"/>
      <c r="J4790"/>
      <c r="K4790"/>
    </row>
    <row r="4791" spans="1:11">
      <c r="A4791"/>
      <c r="B4791"/>
      <c r="C4791"/>
      <c r="D4791"/>
      <c r="E4791"/>
      <c r="F4791"/>
      <c r="G4791"/>
      <c r="H4791"/>
      <c r="I4791"/>
      <c r="J4791"/>
      <c r="K4791"/>
    </row>
    <row r="4792" spans="1:11">
      <c r="A4792"/>
      <c r="B4792"/>
      <c r="C4792"/>
      <c r="D4792"/>
      <c r="E4792"/>
      <c r="F4792"/>
      <c r="G4792"/>
      <c r="H4792"/>
      <c r="I4792"/>
      <c r="J4792"/>
      <c r="K4792"/>
    </row>
    <row r="4793" spans="1:11">
      <c r="A4793"/>
      <c r="B4793"/>
      <c r="C4793"/>
      <c r="D4793"/>
      <c r="E4793"/>
      <c r="F4793"/>
      <c r="G4793"/>
      <c r="H4793"/>
      <c r="I4793"/>
      <c r="J4793"/>
      <c r="K4793"/>
    </row>
    <row r="4794" spans="1:11">
      <c r="A4794"/>
      <c r="B4794"/>
      <c r="C4794"/>
      <c r="D4794"/>
      <c r="E4794"/>
      <c r="F4794"/>
      <c r="G4794"/>
      <c r="H4794"/>
      <c r="I4794"/>
      <c r="J4794"/>
      <c r="K4794"/>
    </row>
    <row r="4795" spans="1:11">
      <c r="A4795"/>
      <c r="B4795"/>
      <c r="C4795"/>
      <c r="D4795"/>
      <c r="E4795"/>
      <c r="F4795"/>
      <c r="G4795"/>
      <c r="H4795"/>
      <c r="I4795"/>
      <c r="J4795"/>
      <c r="K4795"/>
    </row>
    <row r="4796" spans="1:11">
      <c r="A4796"/>
      <c r="B4796"/>
      <c r="C4796"/>
      <c r="D4796"/>
      <c r="E4796"/>
      <c r="F4796"/>
      <c r="G4796"/>
      <c r="H4796"/>
      <c r="I4796"/>
      <c r="J4796"/>
      <c r="K4796"/>
    </row>
    <row r="4797" spans="1:11">
      <c r="A4797"/>
      <c r="B4797"/>
      <c r="C4797"/>
      <c r="D4797"/>
      <c r="E4797"/>
      <c r="F4797"/>
      <c r="G4797"/>
      <c r="H4797"/>
      <c r="I4797"/>
      <c r="J4797"/>
      <c r="K4797"/>
    </row>
    <row r="4798" spans="1:11">
      <c r="A4798"/>
      <c r="B4798"/>
      <c r="C4798"/>
      <c r="D4798"/>
      <c r="E4798"/>
      <c r="F4798"/>
      <c r="G4798"/>
      <c r="H4798"/>
      <c r="I4798"/>
      <c r="J4798"/>
      <c r="K4798"/>
    </row>
    <row r="4799" spans="1:11">
      <c r="A4799"/>
      <c r="B4799"/>
      <c r="C4799"/>
      <c r="D4799"/>
      <c r="E4799"/>
      <c r="F4799"/>
      <c r="G4799"/>
      <c r="H4799"/>
      <c r="I4799"/>
      <c r="J4799"/>
      <c r="K4799"/>
    </row>
    <row r="4800" spans="1:11">
      <c r="A4800"/>
      <c r="B4800"/>
      <c r="C4800"/>
      <c r="D4800"/>
      <c r="E4800"/>
      <c r="F4800"/>
      <c r="G4800"/>
      <c r="H4800"/>
      <c r="I4800"/>
      <c r="J4800"/>
      <c r="K4800"/>
    </row>
    <row r="4801" spans="1:11">
      <c r="A4801"/>
      <c r="B4801"/>
      <c r="C4801"/>
      <c r="D4801"/>
      <c r="E4801"/>
      <c r="F4801"/>
      <c r="G4801"/>
      <c r="H4801"/>
      <c r="I4801"/>
      <c r="J4801"/>
      <c r="K4801"/>
    </row>
    <row r="4802" spans="1:11">
      <c r="A4802"/>
      <c r="B4802"/>
      <c r="C4802"/>
      <c r="D4802"/>
      <c r="E4802"/>
      <c r="F4802"/>
      <c r="G4802"/>
      <c r="H4802"/>
      <c r="I4802"/>
      <c r="J4802"/>
      <c r="K4802"/>
    </row>
    <row r="4803" spans="1:11">
      <c r="A4803"/>
      <c r="B4803"/>
      <c r="C4803"/>
      <c r="D4803"/>
      <c r="E4803"/>
      <c r="F4803"/>
      <c r="G4803"/>
      <c r="H4803"/>
      <c r="I4803"/>
      <c r="J4803"/>
      <c r="K4803"/>
    </row>
    <row r="4804" spans="1:11">
      <c r="A4804"/>
      <c r="B4804"/>
      <c r="C4804"/>
      <c r="D4804"/>
      <c r="E4804"/>
      <c r="F4804"/>
      <c r="G4804"/>
      <c r="H4804"/>
      <c r="I4804"/>
      <c r="J4804"/>
      <c r="K4804"/>
    </row>
    <row r="4805" spans="1:11">
      <c r="A4805"/>
      <c r="B4805"/>
      <c r="C4805"/>
      <c r="D4805"/>
      <c r="E4805"/>
      <c r="F4805"/>
      <c r="G4805"/>
      <c r="H4805"/>
      <c r="I4805"/>
      <c r="J4805"/>
      <c r="K4805"/>
    </row>
    <row r="4806" spans="1:11">
      <c r="A4806"/>
      <c r="B4806"/>
      <c r="C4806"/>
      <c r="D4806"/>
      <c r="E4806"/>
      <c r="F4806"/>
      <c r="G4806"/>
      <c r="H4806"/>
      <c r="I4806"/>
      <c r="J4806"/>
      <c r="K4806"/>
    </row>
    <row r="4807" spans="1:11">
      <c r="A4807"/>
      <c r="B4807"/>
      <c r="C4807"/>
      <c r="D4807"/>
      <c r="E4807"/>
      <c r="F4807"/>
      <c r="G4807"/>
      <c r="H4807"/>
      <c r="I4807"/>
      <c r="J4807"/>
      <c r="K4807"/>
    </row>
    <row r="4808" spans="1:11">
      <c r="A4808"/>
      <c r="B4808"/>
      <c r="C4808"/>
      <c r="D4808"/>
      <c r="E4808"/>
      <c r="F4808"/>
      <c r="G4808"/>
      <c r="H4808"/>
      <c r="I4808"/>
      <c r="J4808"/>
      <c r="K4808"/>
    </row>
    <row r="4809" spans="1:11">
      <c r="A4809"/>
      <c r="B4809"/>
      <c r="C4809"/>
      <c r="D4809"/>
      <c r="E4809"/>
      <c r="F4809"/>
      <c r="G4809"/>
      <c r="H4809"/>
      <c r="I4809"/>
      <c r="J4809"/>
      <c r="K4809"/>
    </row>
    <row r="4810" spans="1:11">
      <c r="A4810"/>
      <c r="B4810"/>
      <c r="C4810"/>
      <c r="D4810"/>
      <c r="E4810"/>
      <c r="F4810"/>
      <c r="G4810"/>
      <c r="H4810"/>
      <c r="I4810"/>
      <c r="J4810"/>
      <c r="K4810"/>
    </row>
    <row r="4811" spans="1:11">
      <c r="A4811"/>
      <c r="B4811"/>
      <c r="C4811"/>
      <c r="D4811"/>
      <c r="E4811"/>
      <c r="F4811"/>
      <c r="G4811"/>
      <c r="H4811"/>
      <c r="I4811"/>
      <c r="J4811"/>
      <c r="K4811"/>
    </row>
    <row r="4812" spans="1:11">
      <c r="A4812"/>
      <c r="B4812"/>
      <c r="C4812"/>
      <c r="D4812"/>
      <c r="E4812"/>
      <c r="F4812"/>
      <c r="G4812"/>
      <c r="H4812"/>
      <c r="I4812"/>
      <c r="J4812"/>
      <c r="K4812"/>
    </row>
    <row r="4813" spans="1:11">
      <c r="A4813"/>
      <c r="B4813"/>
      <c r="C4813"/>
      <c r="D4813"/>
      <c r="E4813"/>
      <c r="F4813"/>
      <c r="G4813"/>
      <c r="H4813"/>
      <c r="I4813"/>
      <c r="J4813"/>
      <c r="K4813"/>
    </row>
    <row r="4814" spans="1:11">
      <c r="A4814"/>
      <c r="B4814"/>
      <c r="C4814"/>
      <c r="D4814"/>
      <c r="E4814"/>
      <c r="F4814"/>
      <c r="G4814"/>
      <c r="H4814"/>
      <c r="I4814"/>
      <c r="J4814"/>
      <c r="K4814"/>
    </row>
    <row r="4815" spans="1:11">
      <c r="A4815"/>
      <c r="B4815"/>
      <c r="C4815"/>
      <c r="D4815"/>
      <c r="E4815"/>
      <c r="F4815"/>
      <c r="G4815"/>
      <c r="H4815"/>
      <c r="I4815"/>
      <c r="J4815"/>
      <c r="K4815"/>
    </row>
    <row r="4816" spans="1:11">
      <c r="A4816"/>
      <c r="B4816"/>
      <c r="C4816"/>
      <c r="D4816"/>
      <c r="E4816"/>
      <c r="F4816"/>
      <c r="G4816"/>
      <c r="H4816"/>
      <c r="I4816"/>
      <c r="J4816"/>
      <c r="K4816"/>
    </row>
    <row r="4817" spans="1:11">
      <c r="A4817"/>
      <c r="B4817"/>
      <c r="C4817"/>
      <c r="D4817"/>
      <c r="E4817"/>
      <c r="F4817"/>
      <c r="G4817"/>
      <c r="H4817"/>
      <c r="I4817"/>
      <c r="J4817"/>
      <c r="K4817"/>
    </row>
    <row r="4818" spans="1:11">
      <c r="A4818"/>
      <c r="B4818"/>
      <c r="C4818"/>
      <c r="D4818"/>
      <c r="E4818"/>
      <c r="F4818"/>
      <c r="G4818"/>
      <c r="H4818"/>
      <c r="I4818"/>
      <c r="J4818"/>
      <c r="K4818"/>
    </row>
    <row r="4819" spans="1:11">
      <c r="A4819"/>
      <c r="B4819"/>
      <c r="C4819"/>
      <c r="D4819"/>
      <c r="E4819"/>
      <c r="F4819"/>
      <c r="G4819"/>
      <c r="H4819"/>
      <c r="I4819"/>
      <c r="J4819"/>
      <c r="K4819"/>
    </row>
    <row r="4820" spans="1:11">
      <c r="A4820"/>
      <c r="B4820"/>
      <c r="C4820"/>
      <c r="D4820"/>
      <c r="E4820"/>
      <c r="F4820"/>
      <c r="G4820"/>
      <c r="H4820"/>
      <c r="I4820"/>
      <c r="J4820"/>
      <c r="K4820"/>
    </row>
    <row r="4821" spans="1:11">
      <c r="A4821"/>
      <c r="B4821"/>
      <c r="C4821"/>
      <c r="D4821"/>
      <c r="E4821"/>
      <c r="F4821"/>
      <c r="G4821"/>
      <c r="H4821"/>
      <c r="I4821"/>
      <c r="J4821"/>
      <c r="K4821"/>
    </row>
    <row r="4822" spans="1:11">
      <c r="A4822"/>
      <c r="B4822"/>
      <c r="C4822"/>
      <c r="D4822"/>
      <c r="E4822"/>
      <c r="F4822"/>
      <c r="G4822"/>
      <c r="H4822"/>
      <c r="I4822"/>
      <c r="J4822"/>
      <c r="K4822"/>
    </row>
    <row r="4823" spans="1:11">
      <c r="A4823"/>
      <c r="B4823"/>
      <c r="C4823"/>
      <c r="D4823"/>
      <c r="E4823"/>
      <c r="F4823"/>
      <c r="G4823"/>
      <c r="H4823"/>
      <c r="I4823"/>
      <c r="J4823"/>
      <c r="K4823"/>
    </row>
    <row r="4824" spans="1:11">
      <c r="A4824"/>
      <c r="B4824"/>
      <c r="C4824"/>
      <c r="D4824"/>
      <c r="E4824"/>
      <c r="F4824"/>
      <c r="G4824"/>
      <c r="H4824"/>
      <c r="I4824"/>
      <c r="J4824"/>
      <c r="K4824"/>
    </row>
    <row r="4825" spans="1:11">
      <c r="A4825"/>
      <c r="B4825"/>
      <c r="C4825"/>
      <c r="D4825"/>
      <c r="E4825"/>
      <c r="F4825"/>
      <c r="G4825"/>
      <c r="H4825"/>
      <c r="I4825"/>
      <c r="J4825"/>
      <c r="K4825"/>
    </row>
    <row r="4826" spans="1:11">
      <c r="A4826"/>
      <c r="B4826"/>
      <c r="C4826"/>
      <c r="D4826"/>
      <c r="E4826"/>
      <c r="F4826"/>
      <c r="G4826"/>
      <c r="H4826"/>
      <c r="I4826"/>
      <c r="J4826"/>
      <c r="K4826"/>
    </row>
    <row r="4827" spans="1:11">
      <c r="A4827"/>
      <c r="B4827"/>
      <c r="C4827"/>
      <c r="D4827"/>
      <c r="E4827"/>
      <c r="F4827"/>
      <c r="G4827"/>
      <c r="H4827"/>
      <c r="I4827"/>
      <c r="J4827"/>
      <c r="K4827"/>
    </row>
    <row r="4828" spans="1:11">
      <c r="A4828"/>
      <c r="B4828"/>
      <c r="C4828"/>
      <c r="D4828"/>
      <c r="E4828"/>
      <c r="F4828"/>
      <c r="G4828"/>
      <c r="H4828"/>
      <c r="I4828"/>
      <c r="J4828"/>
      <c r="K4828"/>
    </row>
    <row r="4829" spans="1:11">
      <c r="A4829"/>
      <c r="B4829"/>
      <c r="C4829"/>
      <c r="D4829"/>
      <c r="E4829"/>
      <c r="F4829"/>
      <c r="G4829"/>
      <c r="H4829"/>
      <c r="I4829"/>
      <c r="J4829"/>
      <c r="K4829"/>
    </row>
    <row r="4830" spans="1:11">
      <c r="A4830"/>
      <c r="B4830"/>
      <c r="C4830"/>
      <c r="D4830"/>
      <c r="E4830"/>
      <c r="F4830"/>
      <c r="G4830"/>
      <c r="H4830"/>
      <c r="I4830"/>
      <c r="J4830"/>
      <c r="K4830"/>
    </row>
    <row r="4831" spans="1:11">
      <c r="A4831"/>
      <c r="B4831"/>
      <c r="C4831"/>
      <c r="D4831"/>
      <c r="E4831"/>
      <c r="F4831"/>
      <c r="G4831"/>
      <c r="H4831"/>
      <c r="I4831"/>
      <c r="J4831"/>
      <c r="K4831"/>
    </row>
    <row r="4832" spans="1:11">
      <c r="A4832"/>
      <c r="B4832"/>
      <c r="C4832"/>
      <c r="D4832"/>
      <c r="E4832"/>
      <c r="F4832"/>
      <c r="G4832"/>
      <c r="H4832"/>
      <c r="I4832"/>
      <c r="J4832"/>
      <c r="K4832"/>
    </row>
    <row r="4833" spans="1:11">
      <c r="A4833"/>
      <c r="B4833"/>
      <c r="C4833"/>
      <c r="D4833"/>
      <c r="E4833"/>
      <c r="F4833"/>
      <c r="G4833"/>
      <c r="H4833"/>
      <c r="I4833"/>
      <c r="J4833"/>
      <c r="K4833"/>
    </row>
    <row r="4834" spans="1:11">
      <c r="A4834"/>
      <c r="B4834"/>
      <c r="C4834"/>
      <c r="D4834"/>
      <c r="E4834"/>
      <c r="F4834"/>
      <c r="G4834"/>
      <c r="H4834"/>
      <c r="I4834"/>
      <c r="J4834"/>
      <c r="K4834"/>
    </row>
    <row r="4835" spans="1:11">
      <c r="A4835"/>
      <c r="B4835"/>
      <c r="C4835"/>
      <c r="D4835"/>
      <c r="E4835"/>
      <c r="F4835"/>
      <c r="G4835"/>
      <c r="H4835"/>
      <c r="I4835"/>
      <c r="J4835"/>
      <c r="K4835"/>
    </row>
    <row r="4836" spans="1:11">
      <c r="A4836"/>
      <c r="B4836"/>
      <c r="C4836"/>
      <c r="D4836"/>
      <c r="E4836"/>
      <c r="F4836"/>
      <c r="G4836"/>
      <c r="H4836"/>
      <c r="I4836"/>
      <c r="J4836"/>
      <c r="K4836"/>
    </row>
    <row r="4837" spans="1:11">
      <c r="A4837"/>
      <c r="B4837"/>
      <c r="C4837"/>
      <c r="D4837"/>
      <c r="E4837"/>
      <c r="F4837"/>
      <c r="G4837"/>
      <c r="H4837"/>
      <c r="I4837"/>
      <c r="J4837"/>
      <c r="K4837"/>
    </row>
    <row r="4838" spans="1:11">
      <c r="A4838"/>
      <c r="B4838"/>
      <c r="C4838"/>
      <c r="D4838"/>
      <c r="E4838"/>
      <c r="F4838"/>
      <c r="G4838"/>
      <c r="H4838"/>
      <c r="I4838"/>
      <c r="J4838"/>
      <c r="K4838"/>
    </row>
    <row r="4839" spans="1:11">
      <c r="A4839"/>
      <c r="B4839"/>
      <c r="C4839"/>
      <c r="D4839"/>
      <c r="E4839"/>
      <c r="F4839"/>
      <c r="G4839"/>
      <c r="H4839"/>
      <c r="I4839"/>
      <c r="J4839"/>
      <c r="K4839"/>
    </row>
    <row r="4840" spans="1:11">
      <c r="A4840"/>
      <c r="B4840"/>
      <c r="C4840"/>
      <c r="D4840"/>
      <c r="E4840"/>
      <c r="F4840"/>
      <c r="G4840"/>
      <c r="H4840"/>
      <c r="I4840"/>
      <c r="J4840"/>
      <c r="K4840"/>
    </row>
    <row r="4841" spans="1:11">
      <c r="A4841"/>
      <c r="B4841"/>
      <c r="C4841"/>
      <c r="D4841"/>
      <c r="E4841"/>
      <c r="F4841"/>
      <c r="G4841"/>
      <c r="H4841"/>
      <c r="I4841"/>
      <c r="J4841"/>
      <c r="K4841"/>
    </row>
    <row r="4842" spans="1:11">
      <c r="A4842"/>
      <c r="B4842"/>
      <c r="C4842"/>
      <c r="D4842"/>
      <c r="E4842"/>
      <c r="F4842"/>
      <c r="G4842"/>
      <c r="H4842"/>
      <c r="I4842"/>
      <c r="J4842"/>
      <c r="K4842"/>
    </row>
    <row r="4843" spans="1:11">
      <c r="A4843"/>
      <c r="B4843"/>
      <c r="C4843"/>
      <c r="D4843"/>
      <c r="E4843"/>
      <c r="F4843"/>
      <c r="G4843"/>
      <c r="H4843"/>
      <c r="I4843"/>
      <c r="J4843"/>
      <c r="K4843"/>
    </row>
    <row r="4844" spans="1:11">
      <c r="A4844"/>
      <c r="B4844"/>
      <c r="C4844"/>
      <c r="D4844"/>
      <c r="E4844"/>
      <c r="F4844"/>
      <c r="G4844"/>
      <c r="H4844"/>
      <c r="I4844"/>
      <c r="J4844"/>
      <c r="K4844"/>
    </row>
    <row r="4845" spans="1:11">
      <c r="A4845"/>
      <c r="B4845"/>
      <c r="C4845"/>
      <c r="D4845"/>
      <c r="E4845"/>
      <c r="F4845"/>
      <c r="G4845"/>
      <c r="H4845"/>
      <c r="I4845"/>
      <c r="J4845"/>
      <c r="K4845"/>
    </row>
    <row r="4846" spans="1:11">
      <c r="A4846"/>
      <c r="B4846"/>
      <c r="C4846"/>
      <c r="D4846"/>
      <c r="E4846"/>
      <c r="F4846"/>
      <c r="G4846"/>
      <c r="H4846"/>
      <c r="I4846"/>
      <c r="J4846"/>
      <c r="K4846"/>
    </row>
    <row r="4847" spans="1:11">
      <c r="A4847"/>
      <c r="B4847"/>
      <c r="C4847"/>
      <c r="D4847"/>
      <c r="E4847"/>
      <c r="F4847"/>
      <c r="G4847"/>
      <c r="H4847"/>
      <c r="I4847"/>
      <c r="J4847"/>
      <c r="K4847"/>
    </row>
    <row r="4848" spans="1:11">
      <c r="A4848"/>
      <c r="B4848"/>
      <c r="C4848"/>
      <c r="D4848"/>
      <c r="E4848"/>
      <c r="F4848"/>
      <c r="G4848"/>
      <c r="H4848"/>
      <c r="I4848"/>
      <c r="J4848"/>
      <c r="K4848"/>
    </row>
    <row r="4849" spans="1:11">
      <c r="A4849"/>
      <c r="B4849"/>
      <c r="C4849"/>
      <c r="D4849"/>
      <c r="E4849"/>
      <c r="F4849"/>
      <c r="G4849"/>
      <c r="H4849"/>
      <c r="I4849"/>
      <c r="J4849"/>
      <c r="K4849"/>
    </row>
    <row r="4850" spans="1:11">
      <c r="A4850"/>
      <c r="B4850"/>
      <c r="C4850"/>
      <c r="D4850"/>
      <c r="E4850"/>
      <c r="F4850"/>
      <c r="G4850"/>
      <c r="H4850"/>
      <c r="I4850"/>
      <c r="J4850"/>
      <c r="K4850"/>
    </row>
    <row r="4851" spans="1:11">
      <c r="A4851"/>
      <c r="B4851"/>
      <c r="C4851"/>
      <c r="D4851"/>
      <c r="E4851"/>
      <c r="F4851"/>
      <c r="G4851"/>
      <c r="H4851"/>
      <c r="I4851"/>
      <c r="J4851"/>
      <c r="K4851"/>
    </row>
    <row r="4852" spans="1:11">
      <c r="A4852"/>
      <c r="B4852"/>
      <c r="C4852"/>
      <c r="D4852"/>
      <c r="E4852"/>
      <c r="F4852"/>
      <c r="G4852"/>
      <c r="H4852"/>
      <c r="I4852"/>
      <c r="J4852"/>
      <c r="K4852"/>
    </row>
    <row r="4853" spans="1:11">
      <c r="A4853"/>
      <c r="B4853"/>
      <c r="C4853"/>
      <c r="D4853"/>
      <c r="E4853"/>
      <c r="F4853"/>
      <c r="G4853"/>
      <c r="H4853"/>
      <c r="I4853"/>
      <c r="J4853"/>
      <c r="K4853"/>
    </row>
    <row r="4854" spans="1:11">
      <c r="A4854"/>
      <c r="B4854"/>
      <c r="C4854"/>
      <c r="D4854"/>
      <c r="E4854"/>
      <c r="F4854"/>
      <c r="G4854"/>
      <c r="H4854"/>
      <c r="I4854"/>
      <c r="J4854"/>
      <c r="K4854"/>
    </row>
    <row r="4855" spans="1:11">
      <c r="A4855"/>
      <c r="B4855"/>
      <c r="C4855"/>
      <c r="D4855"/>
      <c r="E4855"/>
      <c r="F4855"/>
      <c r="G4855"/>
      <c r="H4855"/>
      <c r="I4855"/>
      <c r="J4855"/>
      <c r="K4855"/>
    </row>
    <row r="4856" spans="1:11">
      <c r="A4856"/>
      <c r="B4856"/>
      <c r="C4856"/>
      <c r="D4856"/>
      <c r="E4856"/>
      <c r="F4856"/>
      <c r="G4856"/>
      <c r="H4856"/>
      <c r="I4856"/>
      <c r="J4856"/>
      <c r="K4856"/>
    </row>
    <row r="4857" spans="1:11">
      <c r="A4857"/>
      <c r="B4857"/>
      <c r="C4857"/>
      <c r="D4857"/>
      <c r="E4857"/>
      <c r="F4857"/>
      <c r="G4857"/>
      <c r="H4857"/>
      <c r="I4857"/>
      <c r="J4857"/>
      <c r="K4857"/>
    </row>
    <row r="4858" spans="1:11">
      <c r="A4858"/>
      <c r="B4858"/>
      <c r="C4858"/>
      <c r="D4858"/>
      <c r="E4858"/>
      <c r="F4858"/>
      <c r="G4858"/>
      <c r="H4858"/>
      <c r="I4858"/>
      <c r="J4858"/>
      <c r="K4858"/>
    </row>
    <row r="4859" spans="1:11">
      <c r="A4859"/>
      <c r="B4859"/>
      <c r="C4859"/>
      <c r="D4859"/>
      <c r="E4859"/>
      <c r="F4859"/>
      <c r="G4859"/>
      <c r="H4859"/>
      <c r="I4859"/>
      <c r="J4859"/>
      <c r="K4859"/>
    </row>
    <row r="4860" spans="1:11">
      <c r="A4860"/>
      <c r="B4860"/>
      <c r="C4860"/>
      <c r="D4860"/>
      <c r="E4860"/>
      <c r="F4860"/>
      <c r="G4860"/>
      <c r="H4860"/>
      <c r="I4860"/>
      <c r="J4860"/>
      <c r="K4860"/>
    </row>
    <row r="4861" spans="1:11">
      <c r="A4861"/>
      <c r="B4861"/>
      <c r="C4861"/>
      <c r="D4861"/>
      <c r="E4861"/>
      <c r="F4861"/>
      <c r="G4861"/>
      <c r="H4861"/>
      <c r="I4861"/>
      <c r="J4861"/>
      <c r="K4861"/>
    </row>
    <row r="4862" spans="1:11">
      <c r="A4862"/>
      <c r="B4862"/>
      <c r="C4862"/>
      <c r="D4862"/>
      <c r="E4862"/>
      <c r="F4862"/>
      <c r="G4862"/>
      <c r="H4862"/>
      <c r="I4862"/>
      <c r="J4862"/>
      <c r="K4862"/>
    </row>
    <row r="4863" spans="1:11">
      <c r="A4863"/>
      <c r="B4863"/>
      <c r="C4863"/>
      <c r="D4863"/>
      <c r="E4863"/>
      <c r="F4863"/>
      <c r="G4863"/>
      <c r="H4863"/>
      <c r="I4863"/>
      <c r="J4863"/>
      <c r="K4863"/>
    </row>
    <row r="4864" spans="1:11">
      <c r="A4864"/>
      <c r="B4864"/>
      <c r="C4864"/>
      <c r="D4864"/>
      <c r="E4864"/>
      <c r="F4864"/>
      <c r="G4864"/>
      <c r="H4864"/>
      <c r="I4864"/>
      <c r="J4864"/>
      <c r="K4864"/>
    </row>
    <row r="4865" spans="1:11">
      <c r="A4865"/>
      <c r="B4865"/>
      <c r="C4865"/>
      <c r="D4865"/>
      <c r="E4865"/>
      <c r="F4865"/>
      <c r="G4865"/>
      <c r="H4865"/>
      <c r="I4865"/>
      <c r="J4865"/>
      <c r="K4865"/>
    </row>
    <row r="4866" spans="1:11">
      <c r="A4866"/>
      <c r="B4866"/>
      <c r="C4866"/>
      <c r="D4866"/>
      <c r="E4866"/>
      <c r="F4866"/>
      <c r="G4866"/>
      <c r="H4866"/>
      <c r="I4866"/>
      <c r="J4866"/>
      <c r="K4866"/>
    </row>
    <row r="4867" spans="1:11">
      <c r="A4867"/>
      <c r="B4867"/>
      <c r="C4867"/>
      <c r="D4867"/>
      <c r="E4867"/>
      <c r="F4867"/>
      <c r="G4867"/>
      <c r="H4867"/>
      <c r="I4867"/>
      <c r="J4867"/>
      <c r="K4867"/>
    </row>
    <row r="4868" spans="1:11">
      <c r="A4868"/>
      <c r="B4868"/>
      <c r="C4868"/>
      <c r="D4868"/>
      <c r="E4868"/>
      <c r="F4868"/>
      <c r="G4868"/>
      <c r="H4868"/>
      <c r="I4868"/>
      <c r="J4868"/>
      <c r="K4868"/>
    </row>
    <row r="4869" spans="1:11">
      <c r="A4869"/>
      <c r="B4869"/>
      <c r="C4869"/>
      <c r="D4869"/>
      <c r="E4869"/>
      <c r="F4869"/>
      <c r="G4869"/>
      <c r="H4869"/>
      <c r="I4869"/>
      <c r="J4869"/>
      <c r="K4869"/>
    </row>
    <row r="4870" spans="1:11">
      <c r="A4870"/>
      <c r="B4870"/>
      <c r="C4870"/>
      <c r="D4870"/>
      <c r="E4870"/>
      <c r="F4870"/>
      <c r="G4870"/>
      <c r="H4870"/>
      <c r="I4870"/>
      <c r="J4870"/>
      <c r="K4870"/>
    </row>
    <row r="4871" spans="1:11">
      <c r="A4871"/>
      <c r="B4871"/>
      <c r="C4871"/>
      <c r="D4871"/>
      <c r="E4871"/>
      <c r="F4871"/>
      <c r="G4871"/>
      <c r="H4871"/>
      <c r="I4871"/>
      <c r="J4871"/>
      <c r="K4871"/>
    </row>
    <row r="4872" spans="1:11">
      <c r="A4872"/>
      <c r="B4872"/>
      <c r="C4872"/>
      <c r="D4872"/>
      <c r="E4872"/>
      <c r="F4872"/>
      <c r="G4872"/>
      <c r="H4872"/>
      <c r="I4872"/>
      <c r="J4872"/>
      <c r="K4872"/>
    </row>
    <row r="4873" spans="1:11">
      <c r="A4873"/>
      <c r="B4873"/>
      <c r="C4873"/>
      <c r="D4873"/>
      <c r="E4873"/>
      <c r="F4873"/>
      <c r="G4873"/>
      <c r="H4873"/>
      <c r="I4873"/>
      <c r="J4873"/>
      <c r="K4873"/>
    </row>
    <row r="4874" spans="1:11">
      <c r="A4874"/>
      <c r="B4874"/>
      <c r="C4874"/>
      <c r="D4874"/>
      <c r="E4874"/>
      <c r="F4874"/>
      <c r="G4874"/>
      <c r="H4874"/>
      <c r="I4874"/>
      <c r="J4874"/>
      <c r="K4874"/>
    </row>
    <row r="4875" spans="1:11">
      <c r="A4875"/>
      <c r="B4875"/>
      <c r="C4875"/>
      <c r="D4875"/>
      <c r="E4875"/>
      <c r="F4875"/>
      <c r="G4875"/>
      <c r="H4875"/>
      <c r="I4875"/>
      <c r="J4875"/>
      <c r="K4875"/>
    </row>
    <row r="4876" spans="1:11">
      <c r="A4876"/>
      <c r="B4876"/>
      <c r="C4876"/>
      <c r="D4876"/>
      <c r="E4876"/>
      <c r="F4876"/>
      <c r="G4876"/>
      <c r="H4876"/>
      <c r="I4876"/>
      <c r="J4876"/>
      <c r="K4876"/>
    </row>
    <row r="4877" spans="1:11">
      <c r="A4877"/>
      <c r="B4877"/>
      <c r="C4877"/>
      <c r="D4877"/>
      <c r="E4877"/>
      <c r="F4877"/>
      <c r="G4877"/>
      <c r="H4877"/>
      <c r="I4877"/>
      <c r="J4877"/>
      <c r="K4877"/>
    </row>
    <row r="4878" spans="1:11">
      <c r="A4878"/>
      <c r="B4878"/>
      <c r="C4878"/>
      <c r="D4878"/>
      <c r="E4878"/>
      <c r="F4878"/>
      <c r="G4878"/>
      <c r="H4878"/>
      <c r="I4878"/>
      <c r="J4878"/>
      <c r="K4878"/>
    </row>
    <row r="4879" spans="1:11">
      <c r="A4879"/>
      <c r="B4879"/>
      <c r="C4879"/>
      <c r="D4879"/>
      <c r="E4879"/>
      <c r="F4879"/>
      <c r="G4879"/>
      <c r="H4879"/>
      <c r="I4879"/>
      <c r="J4879"/>
      <c r="K4879"/>
    </row>
    <row r="4880" spans="1:11">
      <c r="A4880"/>
      <c r="B4880"/>
      <c r="C4880"/>
      <c r="D4880"/>
      <c r="E4880"/>
      <c r="F4880"/>
      <c r="G4880"/>
      <c r="H4880"/>
      <c r="I4880"/>
      <c r="J4880"/>
      <c r="K4880"/>
    </row>
    <row r="4881" spans="1:11">
      <c r="A4881"/>
      <c r="B4881"/>
      <c r="C4881"/>
      <c r="D4881"/>
      <c r="E4881"/>
      <c r="F4881"/>
      <c r="G4881"/>
      <c r="H4881"/>
      <c r="I4881"/>
      <c r="J4881"/>
      <c r="K4881"/>
    </row>
    <row r="4882" spans="1:11">
      <c r="A4882"/>
      <c r="B4882"/>
      <c r="C4882"/>
      <c r="D4882"/>
      <c r="E4882"/>
      <c r="F4882"/>
      <c r="G4882"/>
      <c r="H4882"/>
      <c r="I4882"/>
      <c r="J4882"/>
      <c r="K4882"/>
    </row>
    <row r="4883" spans="1:11">
      <c r="A4883"/>
      <c r="B4883"/>
      <c r="C4883"/>
      <c r="D4883"/>
      <c r="E4883"/>
      <c r="F4883"/>
      <c r="G4883"/>
      <c r="H4883"/>
      <c r="I4883"/>
      <c r="J4883"/>
      <c r="K4883"/>
    </row>
    <row r="4884" spans="1:11">
      <c r="A4884"/>
      <c r="B4884"/>
      <c r="C4884"/>
      <c r="D4884"/>
      <c r="E4884"/>
      <c r="F4884"/>
      <c r="G4884"/>
      <c r="H4884"/>
      <c r="I4884"/>
      <c r="J4884"/>
      <c r="K4884"/>
    </row>
    <row r="4885" spans="1:11">
      <c r="A4885"/>
      <c r="B4885"/>
      <c r="C4885"/>
      <c r="D4885"/>
      <c r="E4885"/>
      <c r="F4885"/>
      <c r="G4885"/>
      <c r="H4885"/>
      <c r="I4885"/>
      <c r="J4885"/>
      <c r="K4885"/>
    </row>
    <row r="4886" spans="1:11">
      <c r="A4886"/>
      <c r="B4886"/>
      <c r="C4886"/>
      <c r="D4886"/>
      <c r="E4886"/>
      <c r="F4886"/>
      <c r="G4886"/>
      <c r="H4886"/>
      <c r="I4886"/>
      <c r="J4886"/>
      <c r="K4886"/>
    </row>
    <row r="4887" spans="1:11">
      <c r="A4887"/>
      <c r="B4887"/>
      <c r="C4887"/>
      <c r="D4887"/>
      <c r="E4887"/>
      <c r="F4887"/>
      <c r="G4887"/>
      <c r="H4887"/>
      <c r="I4887"/>
      <c r="J4887"/>
      <c r="K4887"/>
    </row>
    <row r="4888" spans="1:11">
      <c r="A4888"/>
      <c r="B4888"/>
      <c r="C4888"/>
      <c r="D4888"/>
      <c r="E4888"/>
      <c r="F4888"/>
      <c r="G4888"/>
      <c r="H4888"/>
      <c r="I4888"/>
      <c r="J4888"/>
      <c r="K4888"/>
    </row>
    <row r="4889" spans="1:11">
      <c r="A4889"/>
      <c r="B4889"/>
      <c r="C4889"/>
      <c r="D4889"/>
      <c r="E4889"/>
      <c r="F4889"/>
      <c r="G4889"/>
      <c r="H4889"/>
      <c r="I4889"/>
      <c r="J4889"/>
      <c r="K4889"/>
    </row>
    <row r="4890" spans="1:11">
      <c r="A4890"/>
      <c r="B4890"/>
      <c r="C4890"/>
      <c r="D4890"/>
      <c r="E4890"/>
      <c r="F4890"/>
      <c r="G4890"/>
      <c r="H4890"/>
      <c r="I4890"/>
      <c r="J4890"/>
      <c r="K4890"/>
    </row>
    <row r="4891" spans="1:11">
      <c r="A4891"/>
      <c r="B4891"/>
      <c r="C4891"/>
      <c r="D4891"/>
      <c r="E4891"/>
      <c r="F4891"/>
      <c r="G4891"/>
      <c r="H4891"/>
      <c r="I4891"/>
      <c r="J4891"/>
      <c r="K4891"/>
    </row>
    <row r="4892" spans="1:11">
      <c r="A4892"/>
      <c r="B4892"/>
      <c r="C4892"/>
      <c r="D4892"/>
      <c r="E4892"/>
      <c r="F4892"/>
      <c r="G4892"/>
      <c r="H4892"/>
      <c r="I4892"/>
      <c r="J4892"/>
      <c r="K4892"/>
    </row>
    <row r="4893" spans="1:11">
      <c r="A4893"/>
      <c r="B4893"/>
      <c r="C4893"/>
      <c r="D4893"/>
      <c r="E4893"/>
      <c r="F4893"/>
      <c r="G4893"/>
      <c r="H4893"/>
      <c r="I4893"/>
      <c r="J4893"/>
      <c r="K4893"/>
    </row>
    <row r="4894" spans="1:11">
      <c r="A4894"/>
      <c r="B4894"/>
      <c r="C4894"/>
      <c r="D4894"/>
      <c r="E4894"/>
      <c r="F4894"/>
      <c r="G4894"/>
      <c r="H4894"/>
      <c r="I4894"/>
      <c r="J4894"/>
      <c r="K4894"/>
    </row>
    <row r="4895" spans="1:11">
      <c r="A4895"/>
      <c r="B4895"/>
      <c r="C4895"/>
      <c r="D4895"/>
      <c r="E4895"/>
      <c r="F4895"/>
      <c r="G4895"/>
      <c r="H4895"/>
      <c r="I4895"/>
      <c r="J4895"/>
      <c r="K4895"/>
    </row>
    <row r="4896" spans="1:11">
      <c r="A4896"/>
      <c r="B4896"/>
      <c r="C4896"/>
      <c r="D4896"/>
      <c r="E4896"/>
      <c r="F4896"/>
      <c r="G4896"/>
      <c r="H4896"/>
      <c r="I4896"/>
      <c r="J4896"/>
      <c r="K4896"/>
    </row>
    <row r="4897" spans="1:11">
      <c r="A4897"/>
      <c r="B4897"/>
      <c r="C4897"/>
      <c r="D4897"/>
      <c r="E4897"/>
      <c r="F4897"/>
      <c r="G4897"/>
      <c r="H4897"/>
      <c r="I4897"/>
      <c r="J4897"/>
      <c r="K4897"/>
    </row>
    <row r="4898" spans="1:11">
      <c r="A4898"/>
      <c r="B4898"/>
      <c r="C4898"/>
      <c r="D4898"/>
      <c r="E4898"/>
      <c r="F4898"/>
      <c r="G4898"/>
      <c r="H4898"/>
      <c r="I4898"/>
      <c r="J4898"/>
      <c r="K4898"/>
    </row>
    <row r="4899" spans="1:11">
      <c r="A4899"/>
      <c r="B4899"/>
      <c r="C4899"/>
      <c r="D4899"/>
      <c r="E4899"/>
      <c r="F4899"/>
      <c r="G4899"/>
      <c r="H4899"/>
      <c r="I4899"/>
      <c r="J4899"/>
      <c r="K4899"/>
    </row>
    <row r="4900" spans="1:11">
      <c r="A4900"/>
      <c r="B4900"/>
      <c r="C4900"/>
      <c r="D4900"/>
      <c r="E4900"/>
      <c r="F4900"/>
      <c r="G4900"/>
      <c r="H4900"/>
      <c r="I4900"/>
      <c r="J4900"/>
      <c r="K4900"/>
    </row>
    <row r="4901" spans="1:11">
      <c r="A4901"/>
      <c r="B4901"/>
      <c r="C4901"/>
      <c r="D4901"/>
      <c r="E4901"/>
      <c r="F4901"/>
      <c r="G4901"/>
      <c r="H4901"/>
      <c r="I4901"/>
      <c r="J4901"/>
      <c r="K4901"/>
    </row>
    <row r="4902" spans="1:11">
      <c r="A4902"/>
      <c r="B4902"/>
      <c r="C4902"/>
      <c r="D4902"/>
      <c r="E4902"/>
      <c r="F4902"/>
      <c r="G4902"/>
      <c r="H4902"/>
      <c r="I4902"/>
      <c r="J4902"/>
      <c r="K4902"/>
    </row>
    <row r="4903" spans="1:11">
      <c r="A4903"/>
      <c r="B4903"/>
      <c r="C4903"/>
      <c r="D4903"/>
      <c r="E4903"/>
      <c r="F4903"/>
      <c r="G4903"/>
      <c r="H4903"/>
      <c r="I4903"/>
      <c r="J4903"/>
      <c r="K4903"/>
    </row>
    <row r="4904" spans="1:11">
      <c r="A4904"/>
      <c r="B4904"/>
      <c r="C4904"/>
      <c r="D4904"/>
      <c r="E4904"/>
      <c r="F4904"/>
      <c r="G4904"/>
      <c r="H4904"/>
      <c r="I4904"/>
      <c r="J4904"/>
      <c r="K4904"/>
    </row>
    <row r="4905" spans="1:11">
      <c r="A4905"/>
      <c r="B4905"/>
      <c r="C4905"/>
      <c r="D4905"/>
      <c r="E4905"/>
      <c r="F4905"/>
      <c r="G4905"/>
      <c r="H4905"/>
      <c r="I4905"/>
      <c r="J4905"/>
      <c r="K4905"/>
    </row>
    <row r="4906" spans="1:11">
      <c r="A4906"/>
      <c r="B4906"/>
      <c r="C4906"/>
      <c r="D4906"/>
      <c r="E4906"/>
      <c r="F4906"/>
      <c r="G4906"/>
      <c r="H4906"/>
      <c r="I4906"/>
      <c r="J4906"/>
      <c r="K4906"/>
    </row>
    <row r="4907" spans="1:11">
      <c r="A4907"/>
      <c r="B4907"/>
      <c r="C4907"/>
      <c r="D4907"/>
      <c r="E4907"/>
      <c r="F4907"/>
      <c r="G4907"/>
      <c r="H4907"/>
      <c r="I4907"/>
      <c r="J4907"/>
      <c r="K4907"/>
    </row>
    <row r="4908" spans="1:11">
      <c r="A4908"/>
      <c r="B4908"/>
      <c r="C4908"/>
      <c r="D4908"/>
      <c r="E4908"/>
      <c r="F4908"/>
      <c r="G4908"/>
      <c r="H4908"/>
      <c r="I4908"/>
      <c r="J4908"/>
      <c r="K4908"/>
    </row>
    <row r="4909" spans="1:11">
      <c r="A4909"/>
      <c r="B4909"/>
      <c r="C4909"/>
      <c r="D4909"/>
      <c r="E4909"/>
      <c r="F4909"/>
      <c r="G4909"/>
      <c r="H4909"/>
      <c r="I4909"/>
      <c r="J4909"/>
      <c r="K4909"/>
    </row>
    <row r="4910" spans="1:11">
      <c r="A4910"/>
      <c r="B4910"/>
      <c r="C4910"/>
      <c r="D4910"/>
      <c r="E4910"/>
      <c r="F4910"/>
      <c r="G4910"/>
      <c r="H4910"/>
      <c r="I4910"/>
      <c r="J4910"/>
      <c r="K4910"/>
    </row>
    <row r="4911" spans="1:11">
      <c r="A4911"/>
      <c r="B4911"/>
      <c r="C4911"/>
      <c r="D4911"/>
      <c r="E4911"/>
      <c r="F4911"/>
      <c r="G4911"/>
      <c r="H4911"/>
      <c r="I4911"/>
      <c r="J4911"/>
      <c r="K4911"/>
    </row>
    <row r="4912" spans="1:11">
      <c r="A4912"/>
      <c r="B4912"/>
      <c r="C4912"/>
      <c r="D4912"/>
      <c r="E4912"/>
      <c r="F4912"/>
      <c r="G4912"/>
      <c r="H4912"/>
      <c r="I4912"/>
      <c r="J4912"/>
      <c r="K4912"/>
    </row>
    <row r="4913" spans="1:11">
      <c r="A4913"/>
      <c r="B4913"/>
      <c r="C4913"/>
      <c r="D4913"/>
      <c r="E4913"/>
      <c r="F4913"/>
      <c r="G4913"/>
      <c r="H4913"/>
      <c r="I4913"/>
      <c r="J4913"/>
      <c r="K4913"/>
    </row>
    <row r="4914" spans="1:11">
      <c r="A4914"/>
      <c r="B4914"/>
      <c r="C4914"/>
      <c r="D4914"/>
      <c r="E4914"/>
      <c r="F4914"/>
      <c r="G4914"/>
      <c r="H4914"/>
      <c r="I4914"/>
      <c r="J4914"/>
      <c r="K4914"/>
    </row>
    <row r="4915" spans="1:11">
      <c r="A4915"/>
      <c r="B4915"/>
      <c r="C4915"/>
      <c r="D4915"/>
      <c r="E4915"/>
      <c r="F4915"/>
      <c r="G4915"/>
      <c r="H4915"/>
      <c r="I4915"/>
      <c r="J4915"/>
      <c r="K4915"/>
    </row>
    <row r="4916" spans="1:11">
      <c r="A4916"/>
      <c r="B4916"/>
      <c r="C4916"/>
      <c r="D4916"/>
      <c r="E4916"/>
      <c r="F4916"/>
      <c r="G4916"/>
      <c r="H4916"/>
      <c r="I4916"/>
      <c r="J4916"/>
      <c r="K4916"/>
    </row>
    <row r="4917" spans="1:11">
      <c r="A4917"/>
      <c r="B4917"/>
      <c r="C4917"/>
      <c r="D4917"/>
      <c r="E4917"/>
      <c r="F4917"/>
      <c r="G4917"/>
      <c r="H4917"/>
      <c r="I4917"/>
      <c r="J4917"/>
      <c r="K4917"/>
    </row>
    <row r="4918" spans="1:11">
      <c r="A4918"/>
      <c r="B4918"/>
      <c r="C4918"/>
      <c r="D4918"/>
      <c r="E4918"/>
      <c r="F4918"/>
      <c r="G4918"/>
      <c r="H4918"/>
      <c r="I4918"/>
      <c r="J4918"/>
      <c r="K4918"/>
    </row>
    <row r="4919" spans="1:11">
      <c r="A4919"/>
      <c r="B4919"/>
      <c r="C4919"/>
      <c r="D4919"/>
      <c r="E4919"/>
      <c r="F4919"/>
      <c r="G4919"/>
      <c r="H4919"/>
      <c r="I4919"/>
      <c r="J4919"/>
      <c r="K4919"/>
    </row>
    <row r="4920" spans="1:11">
      <c r="A4920"/>
      <c r="B4920"/>
      <c r="C4920"/>
      <c r="D4920"/>
      <c r="E4920"/>
      <c r="F4920"/>
      <c r="G4920"/>
      <c r="H4920"/>
      <c r="I4920"/>
      <c r="J4920"/>
      <c r="K4920"/>
    </row>
    <row r="4921" spans="1:11">
      <c r="A4921"/>
      <c r="B4921"/>
      <c r="C4921"/>
      <c r="D4921"/>
      <c r="E4921"/>
      <c r="F4921"/>
      <c r="G4921"/>
      <c r="H4921"/>
      <c r="I4921"/>
      <c r="J4921"/>
      <c r="K4921"/>
    </row>
    <row r="4922" spans="1:11">
      <c r="A4922"/>
      <c r="B4922"/>
      <c r="C4922"/>
      <c r="D4922"/>
      <c r="E4922"/>
      <c r="F4922"/>
      <c r="G4922"/>
      <c r="H4922"/>
      <c r="I4922"/>
      <c r="J4922"/>
      <c r="K4922"/>
    </row>
    <row r="4923" spans="1:11">
      <c r="A4923"/>
      <c r="B4923"/>
      <c r="C4923"/>
      <c r="D4923"/>
      <c r="E4923"/>
      <c r="F4923"/>
      <c r="G4923"/>
      <c r="H4923"/>
      <c r="I4923"/>
      <c r="J4923"/>
      <c r="K4923"/>
    </row>
    <row r="4924" spans="1:11">
      <c r="A4924"/>
      <c r="B4924"/>
      <c r="C4924"/>
      <c r="D4924"/>
      <c r="E4924"/>
      <c r="F4924"/>
      <c r="G4924"/>
      <c r="H4924"/>
      <c r="I4924"/>
      <c r="J4924"/>
      <c r="K4924"/>
    </row>
    <row r="4925" spans="1:11">
      <c r="A4925"/>
      <c r="B4925"/>
      <c r="C4925"/>
      <c r="D4925"/>
      <c r="E4925"/>
      <c r="F4925"/>
      <c r="G4925"/>
      <c r="H4925"/>
      <c r="I4925"/>
      <c r="J4925"/>
      <c r="K4925"/>
    </row>
    <row r="4926" spans="1:11">
      <c r="A4926"/>
      <c r="B4926"/>
      <c r="C4926"/>
      <c r="D4926"/>
      <c r="E4926"/>
      <c r="F4926"/>
      <c r="G4926"/>
      <c r="H4926"/>
      <c r="I4926"/>
      <c r="J4926"/>
      <c r="K4926"/>
    </row>
    <row r="4927" spans="1:11">
      <c r="A4927"/>
      <c r="B4927"/>
      <c r="C4927"/>
      <c r="D4927"/>
      <c r="E4927"/>
      <c r="F4927"/>
      <c r="G4927"/>
      <c r="H4927"/>
      <c r="I4927"/>
      <c r="J4927"/>
      <c r="K4927"/>
    </row>
    <row r="4928" spans="1:11">
      <c r="A4928"/>
      <c r="B4928"/>
      <c r="C4928"/>
      <c r="D4928"/>
      <c r="E4928"/>
      <c r="F4928"/>
      <c r="G4928"/>
      <c r="H4928"/>
      <c r="I4928"/>
      <c r="J4928"/>
      <c r="K4928"/>
    </row>
    <row r="4929" spans="1:11">
      <c r="A4929"/>
      <c r="B4929"/>
      <c r="C4929"/>
      <c r="D4929"/>
      <c r="E4929"/>
      <c r="F4929"/>
      <c r="G4929"/>
      <c r="H4929"/>
      <c r="I4929"/>
      <c r="J4929"/>
      <c r="K4929"/>
    </row>
    <row r="4930" spans="1:11">
      <c r="A4930"/>
      <c r="B4930"/>
      <c r="C4930"/>
      <c r="D4930"/>
      <c r="E4930"/>
      <c r="F4930"/>
      <c r="G4930"/>
      <c r="H4930"/>
      <c r="I4930"/>
      <c r="J4930"/>
      <c r="K4930"/>
    </row>
    <row r="4931" spans="1:11">
      <c r="A4931"/>
      <c r="B4931"/>
      <c r="C4931"/>
      <c r="D4931"/>
      <c r="E4931"/>
      <c r="F4931"/>
      <c r="G4931"/>
      <c r="H4931"/>
      <c r="I4931"/>
      <c r="J4931"/>
      <c r="K4931"/>
    </row>
    <row r="4932" spans="1:11">
      <c r="A4932"/>
      <c r="B4932"/>
      <c r="C4932"/>
      <c r="D4932"/>
      <c r="E4932"/>
      <c r="F4932"/>
      <c r="G4932"/>
      <c r="H4932"/>
      <c r="I4932"/>
      <c r="J4932"/>
      <c r="K4932"/>
    </row>
    <row r="4933" spans="1:11">
      <c r="A4933"/>
      <c r="B4933"/>
      <c r="C4933"/>
      <c r="D4933"/>
      <c r="E4933"/>
      <c r="F4933"/>
      <c r="G4933"/>
      <c r="H4933"/>
      <c r="I4933"/>
      <c r="J4933"/>
      <c r="K4933"/>
    </row>
    <row r="4934" spans="1:11">
      <c r="A4934"/>
      <c r="B4934"/>
      <c r="C4934"/>
      <c r="D4934"/>
      <c r="E4934"/>
      <c r="F4934"/>
      <c r="G4934"/>
      <c r="H4934"/>
      <c r="I4934"/>
      <c r="J4934"/>
      <c r="K4934"/>
    </row>
    <row r="4935" spans="1:11">
      <c r="A4935"/>
      <c r="B4935"/>
      <c r="C4935"/>
      <c r="D4935"/>
      <c r="E4935"/>
      <c r="F4935"/>
      <c r="G4935"/>
      <c r="H4935"/>
      <c r="I4935"/>
      <c r="J4935"/>
      <c r="K4935"/>
    </row>
    <row r="4936" spans="1:11">
      <c r="A4936"/>
      <c r="B4936"/>
      <c r="C4936"/>
      <c r="D4936"/>
      <c r="E4936"/>
      <c r="F4936"/>
      <c r="G4936"/>
      <c r="H4936"/>
      <c r="I4936"/>
      <c r="J4936"/>
      <c r="K4936"/>
    </row>
    <row r="4937" spans="1:11">
      <c r="A4937"/>
      <c r="B4937"/>
      <c r="C4937"/>
      <c r="D4937"/>
      <c r="E4937"/>
      <c r="F4937"/>
      <c r="G4937"/>
      <c r="H4937"/>
      <c r="I4937"/>
      <c r="J4937"/>
      <c r="K4937"/>
    </row>
    <row r="4938" spans="1:11">
      <c r="A4938"/>
      <c r="B4938"/>
      <c r="C4938"/>
      <c r="D4938"/>
      <c r="E4938"/>
      <c r="F4938"/>
      <c r="G4938"/>
      <c r="H4938"/>
      <c r="I4938"/>
      <c r="J4938"/>
      <c r="K4938"/>
    </row>
    <row r="4939" spans="1:11">
      <c r="A4939"/>
      <c r="B4939"/>
      <c r="C4939"/>
      <c r="D4939"/>
      <c r="E4939"/>
      <c r="F4939"/>
      <c r="G4939"/>
      <c r="H4939"/>
      <c r="I4939"/>
      <c r="J4939"/>
      <c r="K4939"/>
    </row>
    <row r="4940" spans="1:11">
      <c r="A4940"/>
      <c r="B4940"/>
      <c r="C4940"/>
      <c r="D4940"/>
      <c r="E4940"/>
      <c r="F4940"/>
      <c r="G4940"/>
      <c r="H4940"/>
      <c r="I4940"/>
      <c r="J4940"/>
      <c r="K4940"/>
    </row>
    <row r="4941" spans="1:11">
      <c r="A4941"/>
      <c r="B4941"/>
      <c r="C4941"/>
      <c r="D4941"/>
      <c r="E4941"/>
      <c r="F4941"/>
      <c r="G4941"/>
      <c r="H4941"/>
      <c r="I4941"/>
      <c r="J4941"/>
      <c r="K4941"/>
    </row>
    <row r="4942" spans="1:11">
      <c r="A4942"/>
      <c r="B4942"/>
      <c r="C4942"/>
      <c r="D4942"/>
      <c r="E4942"/>
      <c r="F4942"/>
      <c r="G4942"/>
      <c r="H4942"/>
      <c r="I4942"/>
      <c r="J4942"/>
      <c r="K4942"/>
    </row>
    <row r="4943" spans="1:11">
      <c r="A4943"/>
      <c r="B4943"/>
      <c r="C4943"/>
      <c r="D4943"/>
      <c r="E4943"/>
      <c r="F4943"/>
      <c r="G4943"/>
      <c r="H4943"/>
      <c r="I4943"/>
      <c r="J4943"/>
      <c r="K4943"/>
    </row>
    <row r="4944" spans="1:11">
      <c r="A4944"/>
      <c r="B4944"/>
      <c r="C4944"/>
      <c r="D4944"/>
      <c r="E4944"/>
      <c r="F4944"/>
      <c r="G4944"/>
      <c r="H4944"/>
      <c r="I4944"/>
      <c r="J4944"/>
      <c r="K4944"/>
    </row>
    <row r="4945" spans="1:11">
      <c r="A4945"/>
      <c r="B4945"/>
      <c r="C4945"/>
      <c r="D4945"/>
      <c r="E4945"/>
      <c r="F4945"/>
      <c r="G4945"/>
      <c r="H4945"/>
      <c r="I4945"/>
      <c r="J4945"/>
      <c r="K4945"/>
    </row>
    <row r="4946" spans="1:11">
      <c r="A4946"/>
      <c r="B4946"/>
      <c r="C4946"/>
      <c r="D4946"/>
      <c r="E4946"/>
      <c r="F4946"/>
      <c r="G4946"/>
      <c r="H4946"/>
      <c r="I4946"/>
      <c r="J4946"/>
      <c r="K4946"/>
    </row>
    <row r="4947" spans="1:11">
      <c r="A4947"/>
      <c r="B4947"/>
      <c r="C4947"/>
      <c r="D4947"/>
      <c r="E4947"/>
      <c r="F4947"/>
      <c r="G4947"/>
      <c r="H4947"/>
      <c r="I4947"/>
      <c r="J4947"/>
      <c r="K4947"/>
    </row>
    <row r="4948" spans="1:11">
      <c r="A4948"/>
      <c r="B4948"/>
      <c r="C4948"/>
      <c r="D4948"/>
      <c r="E4948"/>
      <c r="F4948"/>
      <c r="G4948"/>
      <c r="H4948"/>
      <c r="I4948"/>
      <c r="J4948"/>
      <c r="K4948"/>
    </row>
    <row r="4949" spans="1:11">
      <c r="A4949"/>
      <c r="B4949"/>
      <c r="C4949"/>
      <c r="D4949"/>
      <c r="E4949"/>
      <c r="F4949"/>
      <c r="G4949"/>
      <c r="H4949"/>
      <c r="I4949"/>
      <c r="J4949"/>
      <c r="K4949"/>
    </row>
    <row r="4950" spans="1:11">
      <c r="A4950"/>
      <c r="B4950"/>
      <c r="C4950"/>
      <c r="D4950"/>
      <c r="E4950"/>
      <c r="F4950"/>
      <c r="G4950"/>
      <c r="H4950"/>
      <c r="I4950"/>
      <c r="J4950"/>
      <c r="K4950"/>
    </row>
    <row r="4951" spans="1:11">
      <c r="A4951"/>
      <c r="B4951"/>
      <c r="C4951"/>
      <c r="D4951"/>
      <c r="E4951"/>
      <c r="F4951"/>
      <c r="G4951"/>
      <c r="H4951"/>
      <c r="I4951"/>
      <c r="J4951"/>
      <c r="K4951"/>
    </row>
    <row r="4952" spans="1:11">
      <c r="A4952"/>
      <c r="B4952"/>
      <c r="C4952"/>
      <c r="D4952"/>
      <c r="E4952"/>
      <c r="F4952"/>
      <c r="G4952"/>
      <c r="H4952"/>
      <c r="I4952"/>
      <c r="J4952"/>
      <c r="K4952"/>
    </row>
    <row r="4953" spans="1:11">
      <c r="A4953"/>
      <c r="B4953"/>
      <c r="C4953"/>
      <c r="D4953"/>
      <c r="E4953"/>
      <c r="F4953"/>
      <c r="G4953"/>
      <c r="H4953"/>
      <c r="I4953"/>
      <c r="J4953"/>
      <c r="K4953"/>
    </row>
    <row r="4954" spans="1:11">
      <c r="A4954"/>
      <c r="B4954"/>
      <c r="C4954"/>
      <c r="D4954"/>
      <c r="E4954"/>
      <c r="F4954"/>
      <c r="G4954"/>
      <c r="H4954"/>
      <c r="I4954"/>
      <c r="J4954"/>
      <c r="K4954"/>
    </row>
    <row r="4955" spans="1:11">
      <c r="A4955"/>
      <c r="B4955"/>
      <c r="C4955"/>
      <c r="D4955"/>
      <c r="E4955"/>
      <c r="F4955"/>
      <c r="G4955"/>
      <c r="H4955"/>
      <c r="I4955"/>
      <c r="J4955"/>
      <c r="K4955"/>
    </row>
    <row r="4956" spans="1:11">
      <c r="A4956"/>
      <c r="B4956"/>
      <c r="C4956"/>
      <c r="D4956"/>
      <c r="E4956"/>
      <c r="F4956"/>
      <c r="G4956"/>
      <c r="H4956"/>
      <c r="I4956"/>
      <c r="J4956"/>
      <c r="K4956"/>
    </row>
    <row r="4957" spans="1:11">
      <c r="A4957"/>
      <c r="B4957"/>
      <c r="C4957"/>
      <c r="D4957"/>
      <c r="E4957"/>
      <c r="F4957"/>
      <c r="G4957"/>
      <c r="H4957"/>
      <c r="I4957"/>
      <c r="J4957"/>
      <c r="K4957"/>
    </row>
    <row r="4958" spans="1:11">
      <c r="A4958"/>
      <c r="B4958"/>
      <c r="C4958"/>
      <c r="D4958"/>
      <c r="E4958"/>
      <c r="F4958"/>
      <c r="G4958"/>
      <c r="H4958"/>
      <c r="I4958"/>
      <c r="J4958"/>
      <c r="K4958"/>
    </row>
    <row r="4959" spans="1:11">
      <c r="A4959"/>
      <c r="B4959"/>
      <c r="C4959"/>
      <c r="D4959"/>
      <c r="E4959"/>
      <c r="F4959"/>
      <c r="G4959"/>
      <c r="H4959"/>
      <c r="I4959"/>
      <c r="J4959"/>
      <c r="K4959"/>
    </row>
    <row r="4960" spans="1:11">
      <c r="A4960"/>
      <c r="B4960"/>
      <c r="C4960"/>
      <c r="D4960"/>
      <c r="E4960"/>
      <c r="F4960"/>
      <c r="G4960"/>
      <c r="H4960"/>
      <c r="I4960"/>
      <c r="J4960"/>
      <c r="K4960"/>
    </row>
    <row r="4961" spans="1:11">
      <c r="A4961"/>
      <c r="B4961"/>
      <c r="C4961"/>
      <c r="D4961"/>
      <c r="E4961"/>
      <c r="F4961"/>
      <c r="G4961"/>
      <c r="H4961"/>
      <c r="I4961"/>
      <c r="J4961"/>
      <c r="K4961"/>
    </row>
    <row r="4962" spans="1:11">
      <c r="A4962"/>
      <c r="B4962"/>
      <c r="C4962"/>
      <c r="D4962"/>
      <c r="E4962"/>
      <c r="F4962"/>
      <c r="G4962"/>
      <c r="H4962"/>
      <c r="I4962"/>
      <c r="J4962"/>
      <c r="K4962"/>
    </row>
    <row r="4963" spans="1:11">
      <c r="A4963"/>
      <c r="B4963"/>
      <c r="C4963"/>
      <c r="D4963"/>
      <c r="E4963"/>
      <c r="F4963"/>
      <c r="G4963"/>
      <c r="H4963"/>
      <c r="I4963"/>
      <c r="J4963"/>
      <c r="K4963"/>
    </row>
    <row r="4964" spans="1:11">
      <c r="A4964"/>
      <c r="B4964"/>
      <c r="C4964"/>
      <c r="D4964"/>
      <c r="E4964"/>
      <c r="F4964"/>
      <c r="G4964"/>
      <c r="H4964"/>
      <c r="I4964"/>
      <c r="J4964"/>
      <c r="K4964"/>
    </row>
    <row r="4965" spans="1:11">
      <c r="A4965"/>
      <c r="B4965"/>
      <c r="C4965"/>
      <c r="D4965"/>
      <c r="E4965"/>
      <c r="F4965"/>
      <c r="G4965"/>
      <c r="H4965"/>
      <c r="I4965"/>
      <c r="J4965"/>
      <c r="K4965"/>
    </row>
    <row r="4966" spans="1:11">
      <c r="A4966"/>
      <c r="B4966"/>
      <c r="C4966"/>
      <c r="D4966"/>
      <c r="E4966"/>
      <c r="F4966"/>
      <c r="G4966"/>
      <c r="H4966"/>
      <c r="I4966"/>
      <c r="J4966"/>
      <c r="K4966"/>
    </row>
    <row r="4967" spans="1:11">
      <c r="A4967"/>
      <c r="B4967"/>
      <c r="C4967"/>
      <c r="D4967"/>
      <c r="E4967"/>
      <c r="F4967"/>
      <c r="G4967"/>
      <c r="H4967"/>
      <c r="I4967"/>
      <c r="J4967"/>
      <c r="K4967"/>
    </row>
    <row r="4968" spans="1:11">
      <c r="A4968"/>
      <c r="B4968"/>
      <c r="C4968"/>
      <c r="D4968"/>
      <c r="E4968"/>
      <c r="F4968"/>
      <c r="G4968"/>
      <c r="H4968"/>
      <c r="I4968"/>
      <c r="J4968"/>
      <c r="K4968"/>
    </row>
    <row r="4969" spans="1:11">
      <c r="A4969"/>
      <c r="B4969"/>
      <c r="C4969"/>
      <c r="D4969"/>
      <c r="E4969"/>
      <c r="F4969"/>
      <c r="G4969"/>
      <c r="H4969"/>
      <c r="I4969"/>
      <c r="J4969"/>
      <c r="K4969"/>
    </row>
    <row r="4970" spans="1:11">
      <c r="A4970"/>
      <c r="B4970"/>
      <c r="C4970"/>
      <c r="D4970"/>
      <c r="E4970"/>
      <c r="F4970"/>
      <c r="G4970"/>
      <c r="H4970"/>
      <c r="I4970"/>
      <c r="J4970"/>
      <c r="K4970"/>
    </row>
    <row r="4971" spans="1:11">
      <c r="A4971"/>
      <c r="B4971"/>
      <c r="C4971"/>
      <c r="D4971"/>
      <c r="E4971"/>
      <c r="F4971"/>
      <c r="G4971"/>
      <c r="H4971"/>
      <c r="I4971"/>
      <c r="J4971"/>
      <c r="K4971"/>
    </row>
    <row r="4972" spans="1:11">
      <c r="A4972"/>
      <c r="B4972"/>
      <c r="C4972"/>
      <c r="D4972"/>
      <c r="E4972"/>
      <c r="F4972"/>
      <c r="G4972"/>
      <c r="H4972"/>
      <c r="I4972"/>
      <c r="J4972"/>
      <c r="K4972"/>
    </row>
    <row r="4973" spans="1:11">
      <c r="A4973"/>
      <c r="B4973"/>
      <c r="C4973"/>
      <c r="D4973"/>
      <c r="E4973"/>
      <c r="F4973"/>
      <c r="G4973"/>
      <c r="H4973"/>
      <c r="I4973"/>
      <c r="J4973"/>
      <c r="K4973"/>
    </row>
    <row r="4974" spans="1:11">
      <c r="A4974"/>
      <c r="B4974"/>
      <c r="C4974"/>
      <c r="D4974"/>
      <c r="E4974"/>
      <c r="F4974"/>
      <c r="G4974"/>
      <c r="H4974"/>
      <c r="I4974"/>
      <c r="J4974"/>
      <c r="K4974"/>
    </row>
    <row r="4975" spans="1:11">
      <c r="A4975"/>
      <c r="B4975"/>
      <c r="C4975"/>
      <c r="D4975"/>
      <c r="E4975"/>
      <c r="F4975"/>
      <c r="G4975"/>
      <c r="H4975"/>
      <c r="I4975"/>
      <c r="J4975"/>
      <c r="K4975"/>
    </row>
    <row r="4976" spans="1:11">
      <c r="A4976"/>
      <c r="B4976"/>
      <c r="C4976"/>
      <c r="D4976"/>
      <c r="E4976"/>
      <c r="F4976"/>
      <c r="G4976"/>
      <c r="H4976"/>
      <c r="I4976"/>
      <c r="J4976"/>
      <c r="K4976"/>
    </row>
    <row r="4977" spans="1:11">
      <c r="A4977"/>
      <c r="B4977"/>
      <c r="C4977"/>
      <c r="D4977"/>
      <c r="E4977"/>
      <c r="F4977"/>
      <c r="G4977"/>
      <c r="H4977"/>
      <c r="I4977"/>
      <c r="J4977"/>
      <c r="K4977"/>
    </row>
    <row r="4978" spans="1:11">
      <c r="A4978"/>
      <c r="B4978"/>
      <c r="C4978"/>
      <c r="D4978"/>
      <c r="E4978"/>
      <c r="F4978"/>
      <c r="G4978"/>
      <c r="H4978"/>
      <c r="I4978"/>
      <c r="J4978"/>
      <c r="K4978"/>
    </row>
    <row r="4979" spans="1:11">
      <c r="A4979"/>
      <c r="B4979"/>
      <c r="C4979"/>
      <c r="D4979"/>
      <c r="E4979"/>
      <c r="F4979"/>
      <c r="G4979"/>
      <c r="H4979"/>
      <c r="I4979"/>
      <c r="J4979"/>
      <c r="K4979"/>
    </row>
    <row r="4980" spans="1:11">
      <c r="A4980"/>
      <c r="B4980"/>
      <c r="C4980"/>
      <c r="D4980"/>
      <c r="E4980"/>
      <c r="F4980"/>
      <c r="G4980"/>
      <c r="H4980"/>
      <c r="I4980"/>
      <c r="J4980"/>
      <c r="K4980"/>
    </row>
    <row r="4981" spans="1:11">
      <c r="A4981"/>
      <c r="B4981"/>
      <c r="C4981"/>
      <c r="D4981"/>
      <c r="E4981"/>
      <c r="F4981"/>
      <c r="G4981"/>
      <c r="H4981"/>
      <c r="I4981"/>
      <c r="J4981"/>
      <c r="K4981"/>
    </row>
    <row r="4982" spans="1:11">
      <c r="A4982"/>
      <c r="B4982"/>
      <c r="C4982"/>
      <c r="D4982"/>
      <c r="E4982"/>
      <c r="F4982"/>
      <c r="G4982"/>
      <c r="H4982"/>
      <c r="I4982"/>
      <c r="J4982"/>
      <c r="K4982"/>
    </row>
    <row r="4983" spans="1:11">
      <c r="A4983"/>
      <c r="B4983"/>
      <c r="C4983"/>
      <c r="D4983"/>
      <c r="E4983"/>
      <c r="F4983"/>
      <c r="G4983"/>
      <c r="H4983"/>
      <c r="I4983"/>
      <c r="J4983"/>
      <c r="K4983"/>
    </row>
    <row r="4984" spans="1:11">
      <c r="A4984"/>
      <c r="B4984"/>
      <c r="C4984"/>
      <c r="D4984"/>
      <c r="E4984"/>
      <c r="F4984"/>
      <c r="G4984"/>
      <c r="H4984"/>
      <c r="I4984"/>
      <c r="J4984"/>
      <c r="K4984"/>
    </row>
    <row r="4985" spans="1:11">
      <c r="A4985"/>
      <c r="B4985"/>
      <c r="C4985"/>
      <c r="D4985"/>
      <c r="E4985"/>
      <c r="F4985"/>
      <c r="G4985"/>
      <c r="H4985"/>
      <c r="I4985"/>
      <c r="J4985"/>
      <c r="K4985"/>
    </row>
    <row r="4986" spans="1:11">
      <c r="A4986"/>
      <c r="B4986"/>
      <c r="C4986"/>
      <c r="D4986"/>
      <c r="E4986"/>
      <c r="F4986"/>
      <c r="G4986"/>
      <c r="H4986"/>
      <c r="I4986"/>
      <c r="J4986"/>
      <c r="K4986"/>
    </row>
    <row r="4987" spans="1:11">
      <c r="A4987"/>
      <c r="B4987"/>
      <c r="C4987"/>
      <c r="D4987"/>
      <c r="E4987"/>
      <c r="F4987"/>
      <c r="G4987"/>
      <c r="H4987"/>
      <c r="I4987"/>
      <c r="J4987"/>
      <c r="K4987"/>
    </row>
    <row r="4988" spans="1:11">
      <c r="A4988"/>
      <c r="B4988"/>
      <c r="C4988"/>
      <c r="D4988"/>
      <c r="E4988"/>
      <c r="F4988"/>
      <c r="G4988"/>
      <c r="H4988"/>
      <c r="I4988"/>
      <c r="J4988"/>
      <c r="K4988"/>
    </row>
    <row r="4989" spans="1:11">
      <c r="A4989"/>
      <c r="B4989"/>
      <c r="C4989"/>
      <c r="D4989"/>
      <c r="E4989"/>
      <c r="F4989"/>
      <c r="G4989"/>
      <c r="H4989"/>
      <c r="I4989"/>
      <c r="J4989"/>
      <c r="K4989"/>
    </row>
    <row r="4990" spans="1:11">
      <c r="A4990"/>
      <c r="B4990"/>
      <c r="C4990"/>
      <c r="D4990"/>
      <c r="E4990"/>
      <c r="F4990"/>
      <c r="G4990"/>
      <c r="H4990"/>
      <c r="I4990"/>
      <c r="J4990"/>
      <c r="K4990"/>
    </row>
    <row r="4991" spans="1:11">
      <c r="A4991"/>
      <c r="B4991"/>
      <c r="C4991"/>
      <c r="D4991"/>
      <c r="E4991"/>
      <c r="F4991"/>
      <c r="G4991"/>
      <c r="H4991"/>
      <c r="I4991"/>
      <c r="J4991"/>
      <c r="K4991"/>
    </row>
    <row r="4992" spans="1:11">
      <c r="A4992"/>
      <c r="B4992"/>
      <c r="C4992"/>
      <c r="D4992"/>
      <c r="E4992"/>
      <c r="F4992"/>
      <c r="G4992"/>
      <c r="H4992"/>
      <c r="I4992"/>
      <c r="J4992"/>
      <c r="K4992"/>
    </row>
    <row r="4993" spans="1:11">
      <c r="A4993"/>
      <c r="B4993"/>
      <c r="C4993"/>
      <c r="D4993"/>
      <c r="E4993"/>
      <c r="F4993"/>
      <c r="G4993"/>
      <c r="H4993"/>
      <c r="I4993"/>
      <c r="J4993"/>
      <c r="K4993"/>
    </row>
    <row r="4994" spans="1:11">
      <c r="A4994"/>
      <c r="B4994"/>
      <c r="C4994"/>
      <c r="D4994"/>
      <c r="E4994"/>
      <c r="F4994"/>
      <c r="G4994"/>
      <c r="H4994"/>
      <c r="I4994"/>
      <c r="J4994"/>
      <c r="K4994"/>
    </row>
    <row r="4995" spans="1:11">
      <c r="A4995"/>
      <c r="B4995"/>
      <c r="C4995"/>
      <c r="D4995"/>
      <c r="E4995"/>
      <c r="F4995"/>
      <c r="G4995"/>
      <c r="H4995"/>
      <c r="I4995"/>
      <c r="J4995"/>
      <c r="K4995"/>
    </row>
    <row r="4996" spans="1:11">
      <c r="A4996"/>
      <c r="B4996"/>
      <c r="C4996"/>
      <c r="D4996"/>
      <c r="E4996"/>
      <c r="F4996"/>
      <c r="G4996"/>
      <c r="H4996"/>
      <c r="I4996"/>
      <c r="J4996"/>
      <c r="K4996"/>
    </row>
    <row r="4997" spans="1:11">
      <c r="A4997"/>
      <c r="B4997"/>
      <c r="C4997"/>
      <c r="D4997"/>
      <c r="E4997"/>
      <c r="F4997"/>
      <c r="G4997"/>
      <c r="H4997"/>
      <c r="I4997"/>
      <c r="J4997"/>
      <c r="K4997"/>
    </row>
    <row r="4998" spans="1:11">
      <c r="A4998"/>
      <c r="B4998"/>
      <c r="C4998"/>
      <c r="D4998"/>
      <c r="E4998"/>
      <c r="F4998"/>
      <c r="G4998"/>
      <c r="H4998"/>
      <c r="I4998"/>
      <c r="J4998"/>
      <c r="K4998"/>
    </row>
    <row r="4999" spans="1:11">
      <c r="A4999"/>
      <c r="B4999"/>
      <c r="C4999"/>
      <c r="D4999"/>
      <c r="E4999"/>
      <c r="F4999"/>
      <c r="G4999"/>
      <c r="H4999"/>
      <c r="I4999"/>
      <c r="J4999"/>
      <c r="K4999"/>
    </row>
    <row r="5000" spans="1:11">
      <c r="A5000"/>
      <c r="B5000"/>
      <c r="C5000"/>
      <c r="D5000"/>
      <c r="E5000"/>
      <c r="F5000"/>
      <c r="G5000"/>
      <c r="H5000"/>
      <c r="I5000"/>
      <c r="J5000"/>
      <c r="K5000"/>
    </row>
    <row r="5001" spans="1:11">
      <c r="A5001"/>
      <c r="B5001"/>
      <c r="C5001"/>
      <c r="D5001"/>
      <c r="E5001"/>
      <c r="F5001"/>
      <c r="G5001"/>
      <c r="H5001"/>
      <c r="I5001"/>
      <c r="J5001"/>
      <c r="K5001"/>
    </row>
    <row r="5002" spans="1:11">
      <c r="A5002"/>
      <c r="B5002"/>
      <c r="C5002"/>
      <c r="D5002"/>
      <c r="E5002"/>
      <c r="F5002"/>
      <c r="G5002"/>
      <c r="H5002"/>
      <c r="I5002"/>
      <c r="J5002"/>
      <c r="K5002"/>
    </row>
    <row r="5003" spans="1:11">
      <c r="A5003"/>
      <c r="B5003"/>
      <c r="C5003"/>
      <c r="D5003"/>
      <c r="E5003"/>
      <c r="F5003"/>
      <c r="G5003"/>
      <c r="H5003"/>
      <c r="I5003"/>
      <c r="J5003"/>
      <c r="K5003"/>
    </row>
    <row r="5004" spans="1:11">
      <c r="A5004"/>
      <c r="B5004"/>
      <c r="C5004"/>
      <c r="D5004"/>
      <c r="E5004"/>
      <c r="F5004"/>
      <c r="G5004"/>
      <c r="H5004"/>
      <c r="I5004"/>
      <c r="J5004"/>
      <c r="K5004"/>
    </row>
    <row r="5005" spans="1:11">
      <c r="A5005"/>
      <c r="B5005"/>
      <c r="C5005"/>
      <c r="D5005"/>
      <c r="E5005"/>
      <c r="F5005"/>
      <c r="G5005"/>
      <c r="H5005"/>
      <c r="I5005"/>
      <c r="J5005"/>
      <c r="K5005"/>
    </row>
    <row r="5006" spans="1:11">
      <c r="A5006"/>
      <c r="B5006"/>
      <c r="C5006"/>
      <c r="D5006"/>
      <c r="E5006"/>
      <c r="F5006"/>
      <c r="G5006"/>
      <c r="H5006"/>
      <c r="I5006"/>
      <c r="J5006"/>
      <c r="K5006"/>
    </row>
    <row r="5007" spans="1:11">
      <c r="A5007"/>
      <c r="B5007"/>
      <c r="C5007"/>
      <c r="D5007"/>
      <c r="E5007"/>
      <c r="F5007"/>
      <c r="G5007"/>
      <c r="H5007"/>
      <c r="I5007"/>
      <c r="J5007"/>
      <c r="K5007"/>
    </row>
    <row r="5008" spans="1:11">
      <c r="A5008"/>
      <c r="B5008"/>
      <c r="C5008"/>
      <c r="D5008"/>
      <c r="E5008"/>
      <c r="F5008"/>
      <c r="G5008"/>
      <c r="H5008"/>
      <c r="I5008"/>
      <c r="J5008"/>
      <c r="K5008"/>
    </row>
    <row r="5009" spans="1:11">
      <c r="A5009"/>
      <c r="B5009"/>
      <c r="C5009"/>
      <c r="D5009"/>
      <c r="E5009"/>
      <c r="F5009"/>
      <c r="G5009"/>
      <c r="H5009"/>
      <c r="I5009"/>
      <c r="J5009"/>
      <c r="K5009"/>
    </row>
    <row r="5010" spans="1:11">
      <c r="A5010"/>
      <c r="B5010"/>
      <c r="C5010"/>
      <c r="D5010"/>
      <c r="E5010"/>
      <c r="F5010"/>
      <c r="G5010"/>
      <c r="H5010"/>
      <c r="I5010"/>
      <c r="J5010"/>
      <c r="K5010"/>
    </row>
    <row r="5011" spans="1:11">
      <c r="A5011"/>
      <c r="B5011"/>
      <c r="C5011"/>
      <c r="D5011"/>
      <c r="E5011"/>
      <c r="F5011"/>
      <c r="G5011"/>
      <c r="H5011"/>
      <c r="I5011"/>
      <c r="J5011"/>
      <c r="K5011"/>
    </row>
    <row r="5012" spans="1:11">
      <c r="A5012"/>
      <c r="B5012"/>
      <c r="C5012"/>
      <c r="D5012"/>
      <c r="E5012"/>
      <c r="F5012"/>
      <c r="G5012"/>
      <c r="H5012"/>
      <c r="I5012"/>
      <c r="J5012"/>
      <c r="K5012"/>
    </row>
    <row r="5013" spans="1:11">
      <c r="A5013"/>
      <c r="B5013"/>
      <c r="C5013"/>
      <c r="D5013"/>
      <c r="E5013"/>
      <c r="F5013"/>
      <c r="G5013"/>
      <c r="H5013"/>
      <c r="I5013"/>
      <c r="J5013"/>
      <c r="K5013"/>
    </row>
    <row r="5014" spans="1:11">
      <c r="A5014"/>
      <c r="B5014"/>
      <c r="C5014"/>
      <c r="D5014"/>
      <c r="E5014"/>
      <c r="F5014"/>
      <c r="G5014"/>
      <c r="H5014"/>
      <c r="I5014"/>
      <c r="J5014"/>
      <c r="K5014"/>
    </row>
    <row r="5015" spans="1:11">
      <c r="A5015"/>
      <c r="B5015"/>
      <c r="C5015"/>
      <c r="D5015"/>
      <c r="E5015"/>
      <c r="F5015"/>
      <c r="G5015"/>
      <c r="H5015"/>
      <c r="I5015"/>
      <c r="J5015"/>
      <c r="K5015"/>
    </row>
    <row r="5016" spans="1:11">
      <c r="A5016"/>
      <c r="B5016"/>
      <c r="C5016"/>
      <c r="D5016"/>
      <c r="E5016"/>
      <c r="F5016"/>
      <c r="G5016"/>
      <c r="H5016"/>
      <c r="I5016"/>
      <c r="J5016"/>
      <c r="K5016"/>
    </row>
    <row r="5017" spans="1:11">
      <c r="A5017"/>
      <c r="B5017"/>
      <c r="C5017"/>
      <c r="D5017"/>
      <c r="E5017"/>
      <c r="F5017"/>
      <c r="G5017"/>
      <c r="H5017"/>
      <c r="I5017"/>
      <c r="J5017"/>
      <c r="K5017"/>
    </row>
    <row r="5018" spans="1:11">
      <c r="A5018"/>
      <c r="B5018"/>
      <c r="C5018"/>
      <c r="D5018"/>
      <c r="E5018"/>
      <c r="F5018"/>
      <c r="G5018"/>
      <c r="H5018"/>
      <c r="I5018"/>
      <c r="J5018"/>
      <c r="K5018"/>
    </row>
    <row r="5019" spans="1:11">
      <c r="A5019"/>
      <c r="B5019"/>
      <c r="C5019"/>
      <c r="D5019"/>
      <c r="E5019"/>
      <c r="F5019"/>
      <c r="G5019"/>
      <c r="H5019"/>
      <c r="I5019"/>
      <c r="J5019"/>
      <c r="K5019"/>
    </row>
    <row r="5020" spans="1:11">
      <c r="A5020"/>
      <c r="B5020"/>
      <c r="C5020"/>
      <c r="D5020"/>
      <c r="E5020"/>
      <c r="F5020"/>
      <c r="G5020"/>
      <c r="H5020"/>
      <c r="I5020"/>
      <c r="J5020"/>
      <c r="K5020"/>
    </row>
    <row r="5021" spans="1:11">
      <c r="A5021"/>
      <c r="B5021"/>
      <c r="C5021"/>
      <c r="D5021"/>
      <c r="E5021"/>
      <c r="F5021"/>
      <c r="G5021"/>
      <c r="H5021"/>
      <c r="I5021"/>
      <c r="J5021"/>
      <c r="K5021"/>
    </row>
    <row r="5022" spans="1:11">
      <c r="A5022"/>
      <c r="B5022"/>
      <c r="C5022"/>
      <c r="D5022"/>
      <c r="E5022"/>
      <c r="F5022"/>
      <c r="G5022"/>
      <c r="H5022"/>
      <c r="I5022"/>
      <c r="J5022"/>
      <c r="K5022"/>
    </row>
    <row r="5023" spans="1:11">
      <c r="A5023"/>
      <c r="B5023"/>
      <c r="C5023"/>
      <c r="D5023"/>
      <c r="E5023"/>
      <c r="F5023"/>
      <c r="G5023"/>
      <c r="H5023"/>
      <c r="I5023"/>
      <c r="J5023"/>
      <c r="K5023"/>
    </row>
    <row r="5024" spans="1:11">
      <c r="A5024"/>
      <c r="B5024"/>
      <c r="C5024"/>
      <c r="D5024"/>
      <c r="E5024"/>
      <c r="F5024"/>
      <c r="G5024"/>
      <c r="H5024"/>
      <c r="I5024"/>
      <c r="J5024"/>
      <c r="K5024"/>
    </row>
    <row r="5025" spans="1:11">
      <c r="A5025"/>
      <c r="B5025"/>
      <c r="C5025"/>
      <c r="D5025"/>
      <c r="E5025"/>
      <c r="F5025"/>
      <c r="G5025"/>
      <c r="H5025"/>
      <c r="I5025"/>
      <c r="J5025"/>
      <c r="K5025"/>
    </row>
    <row r="5026" spans="1:11">
      <c r="A5026"/>
      <c r="B5026"/>
      <c r="C5026"/>
      <c r="D5026"/>
      <c r="E5026"/>
      <c r="F5026"/>
      <c r="G5026"/>
      <c r="H5026"/>
      <c r="I5026"/>
      <c r="J5026"/>
      <c r="K5026"/>
    </row>
    <row r="5027" spans="1:11">
      <c r="A5027"/>
      <c r="B5027"/>
      <c r="C5027"/>
      <c r="D5027"/>
      <c r="E5027"/>
      <c r="F5027"/>
      <c r="G5027"/>
      <c r="H5027"/>
      <c r="I5027"/>
      <c r="J5027"/>
      <c r="K5027"/>
    </row>
    <row r="5028" spans="1:11">
      <c r="A5028"/>
      <c r="B5028"/>
      <c r="C5028"/>
      <c r="D5028"/>
      <c r="E5028"/>
      <c r="F5028"/>
      <c r="G5028"/>
      <c r="H5028"/>
      <c r="I5028"/>
      <c r="J5028"/>
      <c r="K5028"/>
    </row>
    <row r="5029" spans="1:11">
      <c r="A5029"/>
      <c r="B5029"/>
      <c r="C5029"/>
      <c r="D5029"/>
      <c r="E5029"/>
      <c r="F5029"/>
      <c r="G5029"/>
      <c r="H5029"/>
      <c r="I5029"/>
      <c r="J5029"/>
      <c r="K5029"/>
    </row>
    <row r="5030" spans="1:11">
      <c r="A5030"/>
      <c r="B5030"/>
      <c r="C5030"/>
      <c r="D5030"/>
      <c r="E5030"/>
      <c r="F5030"/>
      <c r="G5030"/>
      <c r="H5030"/>
      <c r="I5030"/>
      <c r="J5030"/>
      <c r="K5030"/>
    </row>
    <row r="5031" spans="1:11">
      <c r="A5031"/>
      <c r="B5031"/>
      <c r="C5031"/>
      <c r="D5031"/>
      <c r="E5031"/>
      <c r="F5031"/>
      <c r="G5031"/>
      <c r="H5031"/>
      <c r="I5031"/>
      <c r="J5031"/>
      <c r="K5031"/>
    </row>
    <row r="5032" spans="1:11">
      <c r="A5032"/>
      <c r="B5032"/>
      <c r="C5032"/>
      <c r="D5032"/>
      <c r="E5032"/>
      <c r="F5032"/>
      <c r="G5032"/>
      <c r="H5032"/>
      <c r="I5032"/>
      <c r="J5032"/>
      <c r="K5032"/>
    </row>
    <row r="5033" spans="1:11">
      <c r="A5033"/>
      <c r="B5033"/>
      <c r="C5033"/>
      <c r="D5033"/>
      <c r="E5033"/>
      <c r="F5033"/>
      <c r="G5033"/>
      <c r="H5033"/>
      <c r="I5033"/>
      <c r="J5033"/>
      <c r="K5033"/>
    </row>
    <row r="5034" spans="1:11">
      <c r="A5034"/>
      <c r="B5034"/>
      <c r="C5034"/>
      <c r="D5034"/>
      <c r="E5034"/>
      <c r="F5034"/>
      <c r="G5034"/>
      <c r="H5034"/>
      <c r="I5034"/>
      <c r="J5034"/>
      <c r="K5034"/>
    </row>
    <row r="5035" spans="1:11">
      <c r="A5035"/>
      <c r="B5035"/>
      <c r="C5035"/>
      <c r="D5035"/>
      <c r="E5035"/>
      <c r="F5035"/>
      <c r="G5035"/>
      <c r="H5035"/>
      <c r="I5035"/>
      <c r="J5035"/>
      <c r="K5035"/>
    </row>
    <row r="5036" spans="1:11">
      <c r="A5036"/>
      <c r="B5036"/>
      <c r="C5036"/>
      <c r="D5036"/>
      <c r="E5036"/>
      <c r="F5036"/>
      <c r="G5036"/>
      <c r="H5036"/>
      <c r="I5036"/>
      <c r="J5036"/>
      <c r="K5036"/>
    </row>
    <row r="5037" spans="1:11">
      <c r="A5037"/>
      <c r="B5037"/>
      <c r="C5037"/>
      <c r="D5037"/>
      <c r="E5037"/>
      <c r="F5037"/>
      <c r="G5037"/>
      <c r="H5037"/>
      <c r="I5037"/>
      <c r="J5037"/>
      <c r="K5037"/>
    </row>
    <row r="5038" spans="1:11">
      <c r="A5038"/>
      <c r="B5038"/>
      <c r="C5038"/>
      <c r="D5038"/>
      <c r="E5038"/>
      <c r="F5038"/>
      <c r="G5038"/>
      <c r="H5038"/>
      <c r="I5038"/>
      <c r="J5038"/>
      <c r="K5038"/>
    </row>
    <row r="5039" spans="1:11">
      <c r="A5039"/>
      <c r="B5039"/>
      <c r="C5039"/>
      <c r="D5039"/>
      <c r="E5039"/>
      <c r="F5039"/>
      <c r="G5039"/>
      <c r="H5039"/>
      <c r="I5039"/>
      <c r="J5039"/>
      <c r="K5039"/>
    </row>
    <row r="5040" spans="1:11">
      <c r="A5040"/>
      <c r="B5040"/>
      <c r="C5040"/>
      <c r="D5040"/>
      <c r="E5040"/>
      <c r="F5040"/>
      <c r="G5040"/>
      <c r="H5040"/>
      <c r="I5040"/>
      <c r="J5040"/>
      <c r="K5040"/>
    </row>
    <row r="5041" spans="1:11">
      <c r="A5041"/>
      <c r="B5041"/>
      <c r="C5041"/>
      <c r="D5041"/>
      <c r="E5041"/>
      <c r="F5041"/>
      <c r="G5041"/>
      <c r="H5041"/>
      <c r="I5041"/>
      <c r="J5041"/>
      <c r="K5041"/>
    </row>
    <row r="5042" spans="1:11">
      <c r="A5042"/>
      <c r="B5042"/>
      <c r="C5042"/>
      <c r="D5042"/>
      <c r="E5042"/>
      <c r="F5042"/>
      <c r="G5042"/>
      <c r="H5042"/>
      <c r="I5042"/>
      <c r="J5042"/>
      <c r="K5042"/>
    </row>
    <row r="5043" spans="1:11">
      <c r="A5043"/>
      <c r="B5043"/>
      <c r="C5043"/>
      <c r="D5043"/>
      <c r="E5043"/>
      <c r="F5043"/>
      <c r="G5043"/>
      <c r="H5043"/>
      <c r="I5043"/>
      <c r="J5043"/>
      <c r="K5043"/>
    </row>
    <row r="5044" spans="1:11">
      <c r="A5044"/>
      <c r="B5044"/>
      <c r="C5044"/>
      <c r="D5044"/>
      <c r="E5044"/>
      <c r="F5044"/>
      <c r="G5044"/>
      <c r="H5044"/>
      <c r="I5044"/>
      <c r="J5044"/>
      <c r="K5044"/>
    </row>
    <row r="5045" spans="1:11">
      <c r="A5045"/>
      <c r="B5045"/>
      <c r="C5045"/>
      <c r="D5045"/>
      <c r="E5045"/>
      <c r="F5045"/>
      <c r="G5045"/>
      <c r="H5045"/>
      <c r="I5045"/>
      <c r="J5045"/>
      <c r="K5045"/>
    </row>
    <row r="5046" spans="1:11">
      <c r="A5046"/>
      <c r="B5046"/>
      <c r="C5046"/>
      <c r="D5046"/>
      <c r="E5046"/>
      <c r="F5046"/>
      <c r="G5046"/>
      <c r="H5046"/>
      <c r="I5046"/>
      <c r="J5046"/>
      <c r="K5046"/>
    </row>
    <row r="5047" spans="1:11">
      <c r="A5047"/>
      <c r="B5047"/>
      <c r="C5047"/>
      <c r="D5047"/>
      <c r="E5047"/>
      <c r="F5047"/>
      <c r="G5047"/>
      <c r="H5047"/>
      <c r="I5047"/>
      <c r="J5047"/>
      <c r="K5047"/>
    </row>
    <row r="5048" spans="1:11">
      <c r="A5048"/>
      <c r="B5048"/>
      <c r="C5048"/>
      <c r="D5048"/>
      <c r="E5048"/>
      <c r="F5048"/>
      <c r="G5048"/>
      <c r="H5048"/>
      <c r="I5048"/>
      <c r="J5048"/>
      <c r="K5048"/>
    </row>
    <row r="5049" spans="1:11">
      <c r="A5049"/>
      <c r="B5049"/>
      <c r="C5049"/>
      <c r="D5049"/>
      <c r="E5049"/>
      <c r="F5049"/>
      <c r="G5049"/>
      <c r="H5049"/>
      <c r="I5049"/>
      <c r="J5049"/>
      <c r="K5049"/>
    </row>
    <row r="5050" spans="1:11">
      <c r="A5050"/>
      <c r="B5050"/>
      <c r="C5050"/>
      <c r="D5050"/>
      <c r="E5050"/>
      <c r="F5050"/>
      <c r="G5050"/>
      <c r="H5050"/>
      <c r="I5050"/>
      <c r="J5050"/>
      <c r="K5050"/>
    </row>
    <row r="5051" spans="1:11">
      <c r="A5051"/>
      <c r="B5051"/>
      <c r="C5051"/>
      <c r="D5051"/>
      <c r="E5051"/>
      <c r="F5051"/>
      <c r="G5051"/>
      <c r="H5051"/>
      <c r="I5051"/>
      <c r="J5051"/>
      <c r="K5051"/>
    </row>
    <row r="5052" spans="1:11">
      <c r="A5052"/>
      <c r="B5052"/>
      <c r="C5052"/>
      <c r="D5052"/>
      <c r="E5052"/>
      <c r="F5052"/>
      <c r="G5052"/>
      <c r="H5052"/>
      <c r="I5052"/>
      <c r="J5052"/>
      <c r="K5052"/>
    </row>
    <row r="5053" spans="1:11">
      <c r="A5053"/>
      <c r="B5053"/>
      <c r="C5053"/>
      <c r="D5053"/>
      <c r="E5053"/>
      <c r="F5053"/>
      <c r="G5053"/>
      <c r="H5053"/>
      <c r="I5053"/>
      <c r="J5053"/>
      <c r="K5053"/>
    </row>
    <row r="5054" spans="1:11">
      <c r="A5054"/>
      <c r="B5054"/>
      <c r="C5054"/>
      <c r="D5054"/>
      <c r="E5054"/>
      <c r="F5054"/>
      <c r="G5054"/>
      <c r="H5054"/>
      <c r="I5054"/>
      <c r="J5054"/>
      <c r="K5054"/>
    </row>
    <row r="5055" spans="1:11">
      <c r="A5055"/>
      <c r="B5055"/>
      <c r="C5055"/>
      <c r="D5055"/>
      <c r="E5055"/>
      <c r="F5055"/>
      <c r="G5055"/>
      <c r="H5055"/>
      <c r="I5055"/>
      <c r="J5055"/>
      <c r="K5055"/>
    </row>
    <row r="5056" spans="1:11">
      <c r="A5056"/>
      <c r="B5056"/>
      <c r="C5056"/>
      <c r="D5056"/>
      <c r="E5056"/>
      <c r="F5056"/>
      <c r="G5056"/>
      <c r="H5056"/>
      <c r="I5056"/>
      <c r="J5056"/>
      <c r="K5056"/>
    </row>
    <row r="5057" spans="1:11">
      <c r="A5057"/>
      <c r="B5057"/>
      <c r="C5057"/>
      <c r="D5057"/>
      <c r="E5057"/>
      <c r="F5057"/>
      <c r="G5057"/>
      <c r="H5057"/>
      <c r="I5057"/>
      <c r="J5057"/>
      <c r="K5057"/>
    </row>
    <row r="5058" spans="1:11">
      <c r="A5058"/>
      <c r="B5058"/>
      <c r="C5058"/>
      <c r="D5058"/>
      <c r="E5058"/>
      <c r="F5058"/>
      <c r="G5058"/>
      <c r="H5058"/>
      <c r="I5058"/>
      <c r="J5058"/>
      <c r="K5058"/>
    </row>
    <row r="5059" spans="1:11">
      <c r="A5059"/>
      <c r="B5059"/>
      <c r="C5059"/>
      <c r="D5059"/>
      <c r="E5059"/>
      <c r="F5059"/>
      <c r="G5059"/>
      <c r="H5059"/>
      <c r="I5059"/>
      <c r="J5059"/>
      <c r="K5059"/>
    </row>
    <row r="5060" spans="1:11">
      <c r="A5060"/>
      <c r="B5060"/>
      <c r="C5060"/>
      <c r="D5060"/>
      <c r="E5060"/>
      <c r="F5060"/>
      <c r="G5060"/>
      <c r="H5060"/>
      <c r="I5060"/>
      <c r="J5060"/>
      <c r="K5060"/>
    </row>
    <row r="5061" spans="1:11">
      <c r="A5061"/>
      <c r="B5061"/>
      <c r="C5061"/>
      <c r="D5061"/>
      <c r="E5061"/>
      <c r="F5061"/>
      <c r="G5061"/>
      <c r="H5061"/>
      <c r="I5061"/>
      <c r="J5061"/>
      <c r="K5061"/>
    </row>
    <row r="5062" spans="1:11">
      <c r="A5062"/>
      <c r="B5062"/>
      <c r="C5062"/>
      <c r="D5062"/>
      <c r="E5062"/>
      <c r="F5062"/>
      <c r="G5062"/>
      <c r="H5062"/>
      <c r="I5062"/>
      <c r="J5062"/>
      <c r="K5062"/>
    </row>
    <row r="5063" spans="1:11">
      <c r="A5063"/>
      <c r="B5063"/>
      <c r="C5063"/>
      <c r="D5063"/>
      <c r="E5063"/>
      <c r="F5063"/>
      <c r="G5063"/>
      <c r="H5063"/>
      <c r="I5063"/>
      <c r="J5063"/>
      <c r="K5063"/>
    </row>
    <row r="5064" spans="1:11">
      <c r="A5064"/>
      <c r="B5064"/>
      <c r="C5064"/>
      <c r="D5064"/>
      <c r="E5064"/>
      <c r="F5064"/>
      <c r="G5064"/>
      <c r="H5064"/>
      <c r="I5064"/>
      <c r="J5064"/>
      <c r="K5064"/>
    </row>
    <row r="5065" spans="1:11">
      <c r="A5065"/>
      <c r="B5065"/>
      <c r="C5065"/>
      <c r="D5065"/>
      <c r="E5065"/>
      <c r="F5065"/>
      <c r="G5065"/>
      <c r="H5065"/>
      <c r="I5065"/>
      <c r="J5065"/>
      <c r="K5065"/>
    </row>
    <row r="5066" spans="1:11">
      <c r="A5066"/>
      <c r="B5066"/>
      <c r="C5066"/>
      <c r="D5066"/>
      <c r="E5066"/>
      <c r="F5066"/>
      <c r="G5066"/>
      <c r="H5066"/>
      <c r="I5066"/>
      <c r="J5066"/>
      <c r="K5066"/>
    </row>
    <row r="5067" spans="1:11">
      <c r="A5067"/>
      <c r="B5067"/>
      <c r="C5067"/>
      <c r="D5067"/>
      <c r="E5067"/>
      <c r="F5067"/>
      <c r="G5067"/>
      <c r="H5067"/>
      <c r="I5067"/>
      <c r="J5067"/>
      <c r="K5067"/>
    </row>
    <row r="5068" spans="1:11">
      <c r="A5068"/>
      <c r="B5068"/>
      <c r="C5068"/>
      <c r="D5068"/>
      <c r="E5068"/>
      <c r="F5068"/>
      <c r="G5068"/>
      <c r="H5068"/>
      <c r="I5068"/>
      <c r="J5068"/>
      <c r="K5068"/>
    </row>
    <row r="5069" spans="1:11">
      <c r="A5069"/>
      <c r="B5069"/>
      <c r="C5069"/>
      <c r="D5069"/>
      <c r="E5069"/>
      <c r="F5069"/>
      <c r="G5069"/>
      <c r="H5069"/>
      <c r="I5069"/>
      <c r="J5069"/>
      <c r="K5069"/>
    </row>
    <row r="5070" spans="1:11">
      <c r="A5070"/>
      <c r="B5070"/>
      <c r="C5070"/>
      <c r="D5070"/>
      <c r="E5070"/>
      <c r="F5070"/>
      <c r="G5070"/>
      <c r="H5070"/>
      <c r="I5070"/>
      <c r="J5070"/>
      <c r="K5070"/>
    </row>
    <row r="5071" spans="1:11">
      <c r="A5071"/>
      <c r="B5071"/>
      <c r="C5071"/>
      <c r="D5071"/>
      <c r="E5071"/>
      <c r="F5071"/>
      <c r="G5071"/>
      <c r="H5071"/>
      <c r="I5071"/>
      <c r="J5071"/>
      <c r="K5071"/>
    </row>
    <row r="5072" spans="1:11">
      <c r="A5072"/>
      <c r="B5072"/>
      <c r="C5072"/>
      <c r="D5072"/>
      <c r="E5072"/>
      <c r="F5072"/>
      <c r="G5072"/>
      <c r="H5072"/>
      <c r="I5072"/>
      <c r="J5072"/>
      <c r="K5072"/>
    </row>
    <row r="5073" spans="1:11">
      <c r="A5073"/>
      <c r="B5073"/>
      <c r="C5073"/>
      <c r="D5073"/>
      <c r="E5073"/>
      <c r="F5073"/>
      <c r="G5073"/>
      <c r="H5073"/>
      <c r="I5073"/>
      <c r="J5073"/>
      <c r="K5073"/>
    </row>
    <row r="5074" spans="1:11">
      <c r="A5074"/>
      <c r="B5074"/>
      <c r="C5074"/>
      <c r="D5074"/>
      <c r="E5074"/>
      <c r="F5074"/>
      <c r="G5074"/>
      <c r="H5074"/>
      <c r="I5074"/>
      <c r="J5074"/>
      <c r="K5074"/>
    </row>
    <row r="5075" spans="1:11">
      <c r="A5075"/>
      <c r="B5075"/>
      <c r="C5075"/>
      <c r="D5075"/>
      <c r="E5075"/>
      <c r="F5075"/>
      <c r="G5075"/>
      <c r="H5075"/>
      <c r="I5075"/>
      <c r="J5075"/>
      <c r="K5075"/>
    </row>
    <row r="5076" spans="1:11">
      <c r="A5076"/>
      <c r="B5076"/>
      <c r="C5076"/>
      <c r="D5076"/>
      <c r="E5076"/>
      <c r="F5076"/>
      <c r="G5076"/>
      <c r="H5076"/>
      <c r="I5076"/>
      <c r="J5076"/>
      <c r="K5076"/>
    </row>
    <row r="5077" spans="1:11">
      <c r="A5077"/>
      <c r="B5077"/>
      <c r="C5077"/>
      <c r="D5077"/>
      <c r="E5077"/>
      <c r="F5077"/>
      <c r="G5077"/>
      <c r="H5077"/>
      <c r="I5077"/>
      <c r="J5077"/>
      <c r="K5077"/>
    </row>
    <row r="5078" spans="1:11">
      <c r="A5078"/>
      <c r="B5078"/>
      <c r="C5078"/>
      <c r="D5078"/>
      <c r="E5078"/>
      <c r="F5078"/>
      <c r="G5078"/>
      <c r="H5078"/>
      <c r="I5078"/>
      <c r="J5078"/>
      <c r="K5078"/>
    </row>
    <row r="5079" spans="1:11">
      <c r="A5079"/>
      <c r="B5079"/>
      <c r="C5079"/>
      <c r="D5079"/>
      <c r="E5079"/>
      <c r="F5079"/>
      <c r="G5079"/>
      <c r="H5079"/>
      <c r="I5079"/>
      <c r="J5079"/>
      <c r="K5079"/>
    </row>
    <row r="5080" spans="1:11">
      <c r="A5080"/>
      <c r="B5080"/>
      <c r="C5080"/>
      <c r="D5080"/>
      <c r="E5080"/>
      <c r="F5080"/>
      <c r="G5080"/>
      <c r="H5080"/>
      <c r="I5080"/>
      <c r="J5080"/>
      <c r="K5080"/>
    </row>
    <row r="5081" spans="1:11">
      <c r="A5081"/>
      <c r="B5081"/>
      <c r="C5081"/>
      <c r="D5081"/>
      <c r="E5081"/>
      <c r="F5081"/>
      <c r="G5081"/>
      <c r="H5081"/>
      <c r="I5081"/>
      <c r="J5081"/>
      <c r="K5081"/>
    </row>
    <row r="5082" spans="1:11">
      <c r="A5082"/>
      <c r="B5082"/>
      <c r="C5082"/>
      <c r="D5082"/>
      <c r="E5082"/>
      <c r="F5082"/>
      <c r="G5082"/>
      <c r="H5082"/>
      <c r="I5082"/>
      <c r="J5082"/>
      <c r="K5082"/>
    </row>
    <row r="5083" spans="1:11">
      <c r="A5083"/>
      <c r="B5083"/>
      <c r="C5083"/>
      <c r="D5083"/>
      <c r="E5083"/>
      <c r="F5083"/>
      <c r="G5083"/>
      <c r="H5083"/>
      <c r="I5083"/>
      <c r="J5083"/>
      <c r="K5083"/>
    </row>
    <row r="5084" spans="1:11">
      <c r="A5084"/>
      <c r="B5084"/>
      <c r="C5084"/>
      <c r="D5084"/>
      <c r="E5084"/>
      <c r="F5084"/>
      <c r="G5084"/>
      <c r="H5084"/>
      <c r="I5084"/>
      <c r="J5084"/>
      <c r="K5084"/>
    </row>
    <row r="5085" spans="1:11">
      <c r="A5085"/>
      <c r="B5085"/>
      <c r="C5085"/>
      <c r="D5085"/>
      <c r="E5085"/>
      <c r="F5085"/>
      <c r="G5085"/>
      <c r="H5085"/>
      <c r="I5085"/>
      <c r="J5085"/>
      <c r="K5085"/>
    </row>
    <row r="5086" spans="1:11">
      <c r="A5086"/>
      <c r="B5086"/>
      <c r="C5086"/>
      <c r="D5086"/>
      <c r="E5086"/>
      <c r="F5086"/>
      <c r="G5086"/>
      <c r="H5086"/>
      <c r="I5086"/>
      <c r="J5086"/>
      <c r="K5086"/>
    </row>
    <row r="5087" spans="1:11">
      <c r="A5087"/>
      <c r="B5087"/>
      <c r="C5087"/>
      <c r="D5087"/>
      <c r="E5087"/>
      <c r="F5087"/>
      <c r="G5087"/>
      <c r="H5087"/>
      <c r="I5087"/>
      <c r="J5087"/>
      <c r="K5087"/>
    </row>
    <row r="5088" spans="1:11">
      <c r="A5088"/>
      <c r="B5088"/>
      <c r="C5088"/>
      <c r="D5088"/>
      <c r="E5088"/>
      <c r="F5088"/>
      <c r="G5088"/>
      <c r="H5088"/>
      <c r="I5088"/>
      <c r="J5088"/>
      <c r="K5088"/>
    </row>
    <row r="5089" spans="1:11">
      <c r="A5089"/>
      <c r="B5089"/>
      <c r="C5089"/>
      <c r="D5089"/>
      <c r="E5089"/>
      <c r="F5089"/>
      <c r="G5089"/>
      <c r="H5089"/>
      <c r="I5089"/>
      <c r="J5089"/>
      <c r="K5089"/>
    </row>
    <row r="5090" spans="1:11">
      <c r="A5090"/>
      <c r="B5090"/>
      <c r="C5090"/>
      <c r="D5090"/>
      <c r="E5090"/>
      <c r="F5090"/>
      <c r="G5090"/>
      <c r="H5090"/>
      <c r="I5090"/>
      <c r="J5090"/>
      <c r="K5090"/>
    </row>
    <row r="5091" spans="1:11">
      <c r="A5091"/>
      <c r="B5091"/>
      <c r="C5091"/>
      <c r="D5091"/>
      <c r="E5091"/>
      <c r="F5091"/>
      <c r="G5091"/>
      <c r="H5091"/>
      <c r="I5091"/>
      <c r="J5091"/>
      <c r="K5091"/>
    </row>
    <row r="5092" spans="1:11">
      <c r="A5092"/>
      <c r="B5092"/>
      <c r="C5092"/>
      <c r="D5092"/>
      <c r="E5092"/>
      <c r="F5092"/>
      <c r="G5092"/>
      <c r="H5092"/>
      <c r="I5092"/>
      <c r="J5092"/>
      <c r="K5092"/>
    </row>
    <row r="5093" spans="1:11">
      <c r="A5093"/>
      <c r="B5093"/>
      <c r="C5093"/>
      <c r="D5093"/>
      <c r="E5093"/>
      <c r="F5093"/>
      <c r="G5093"/>
      <c r="H5093"/>
      <c r="I5093"/>
      <c r="J5093"/>
      <c r="K5093"/>
    </row>
    <row r="5094" spans="1:11">
      <c r="A5094"/>
      <c r="B5094"/>
      <c r="C5094"/>
      <c r="D5094"/>
      <c r="E5094"/>
      <c r="F5094"/>
      <c r="G5094"/>
      <c r="H5094"/>
      <c r="I5094"/>
      <c r="J5094"/>
      <c r="K5094"/>
    </row>
    <row r="5095" spans="1:11">
      <c r="A5095"/>
      <c r="B5095"/>
      <c r="C5095"/>
      <c r="D5095"/>
      <c r="E5095"/>
      <c r="F5095"/>
      <c r="G5095"/>
      <c r="H5095"/>
      <c r="I5095"/>
      <c r="J5095"/>
      <c r="K5095"/>
    </row>
    <row r="5096" spans="1:11">
      <c r="A5096"/>
      <c r="B5096"/>
      <c r="C5096"/>
      <c r="D5096"/>
      <c r="E5096"/>
      <c r="F5096"/>
      <c r="G5096"/>
      <c r="H5096"/>
      <c r="I5096"/>
      <c r="J5096"/>
      <c r="K5096"/>
    </row>
    <row r="5097" spans="1:11">
      <c r="A5097"/>
      <c r="B5097"/>
      <c r="C5097"/>
      <c r="D5097"/>
      <c r="E5097"/>
      <c r="F5097"/>
      <c r="G5097"/>
      <c r="H5097"/>
      <c r="I5097"/>
      <c r="J5097"/>
      <c r="K5097"/>
    </row>
    <row r="5098" spans="1:11">
      <c r="A5098"/>
      <c r="B5098"/>
      <c r="C5098"/>
      <c r="D5098"/>
      <c r="E5098"/>
      <c r="F5098"/>
      <c r="G5098"/>
      <c r="H5098"/>
      <c r="I5098"/>
      <c r="J5098"/>
      <c r="K5098"/>
    </row>
    <row r="5099" spans="1:11">
      <c r="A5099"/>
      <c r="B5099"/>
      <c r="C5099"/>
      <c r="D5099"/>
      <c r="E5099"/>
      <c r="F5099"/>
      <c r="G5099"/>
      <c r="H5099"/>
      <c r="I5099"/>
      <c r="J5099"/>
      <c r="K5099"/>
    </row>
    <row r="5100" spans="1:11">
      <c r="A5100"/>
      <c r="B5100"/>
      <c r="C5100"/>
      <c r="D5100"/>
      <c r="E5100"/>
      <c r="F5100"/>
      <c r="G5100"/>
      <c r="H5100"/>
      <c r="I5100"/>
      <c r="J5100"/>
      <c r="K5100"/>
    </row>
    <row r="5101" spans="1:11">
      <c r="A5101"/>
      <c r="B5101"/>
      <c r="C5101"/>
      <c r="D5101"/>
      <c r="E5101"/>
      <c r="F5101"/>
      <c r="G5101"/>
      <c r="H5101"/>
      <c r="I5101"/>
      <c r="J5101"/>
      <c r="K5101"/>
    </row>
    <row r="5102" spans="1:11">
      <c r="A5102"/>
      <c r="B5102"/>
      <c r="C5102"/>
      <c r="D5102"/>
      <c r="E5102"/>
      <c r="F5102"/>
      <c r="G5102"/>
      <c r="H5102"/>
      <c r="I5102"/>
      <c r="J5102"/>
      <c r="K5102"/>
    </row>
    <row r="5103" spans="1:11">
      <c r="A5103"/>
      <c r="B5103"/>
      <c r="C5103"/>
      <c r="D5103"/>
      <c r="E5103"/>
      <c r="F5103"/>
      <c r="G5103"/>
      <c r="H5103"/>
      <c r="I5103"/>
      <c r="J5103"/>
      <c r="K5103"/>
    </row>
    <row r="5104" spans="1:11">
      <c r="A5104"/>
      <c r="B5104"/>
      <c r="C5104"/>
      <c r="D5104"/>
      <c r="E5104"/>
      <c r="F5104"/>
      <c r="G5104"/>
      <c r="H5104"/>
      <c r="I5104"/>
      <c r="J5104"/>
      <c r="K5104"/>
    </row>
    <row r="5105" spans="1:11">
      <c r="A5105"/>
      <c r="B5105"/>
      <c r="C5105"/>
      <c r="D5105"/>
      <c r="E5105"/>
      <c r="F5105"/>
      <c r="G5105"/>
      <c r="H5105"/>
      <c r="I5105"/>
      <c r="J5105"/>
      <c r="K5105"/>
    </row>
    <row r="5106" spans="1:11">
      <c r="A5106"/>
      <c r="B5106"/>
      <c r="C5106"/>
      <c r="D5106"/>
      <c r="E5106"/>
      <c r="F5106"/>
      <c r="G5106"/>
      <c r="H5106"/>
      <c r="I5106"/>
      <c r="J5106"/>
      <c r="K5106"/>
    </row>
    <row r="5107" spans="1:11">
      <c r="A5107"/>
      <c r="B5107"/>
      <c r="C5107"/>
      <c r="D5107"/>
      <c r="E5107"/>
      <c r="F5107"/>
      <c r="G5107"/>
      <c r="H5107"/>
      <c r="I5107"/>
      <c r="J5107"/>
      <c r="K5107"/>
    </row>
    <row r="5108" spans="1:11">
      <c r="A5108"/>
      <c r="B5108"/>
      <c r="C5108"/>
      <c r="D5108"/>
      <c r="E5108"/>
      <c r="F5108"/>
      <c r="G5108"/>
      <c r="H5108"/>
      <c r="I5108"/>
      <c r="J5108"/>
      <c r="K5108"/>
    </row>
    <row r="5109" spans="1:11">
      <c r="A5109"/>
      <c r="B5109"/>
      <c r="C5109"/>
      <c r="D5109"/>
      <c r="E5109"/>
      <c r="F5109"/>
      <c r="G5109"/>
      <c r="H5109"/>
      <c r="I5109"/>
      <c r="J5109"/>
      <c r="K5109"/>
    </row>
    <row r="5110" spans="1:11">
      <c r="A5110"/>
      <c r="B5110"/>
      <c r="C5110"/>
      <c r="D5110"/>
      <c r="E5110"/>
      <c r="F5110"/>
      <c r="G5110"/>
      <c r="H5110"/>
      <c r="I5110"/>
      <c r="J5110"/>
      <c r="K5110"/>
    </row>
    <row r="5111" spans="1:11">
      <c r="A5111"/>
      <c r="B5111"/>
      <c r="C5111"/>
      <c r="D5111"/>
      <c r="E5111"/>
      <c r="F5111"/>
      <c r="G5111"/>
      <c r="H5111"/>
      <c r="I5111"/>
      <c r="J5111"/>
      <c r="K5111"/>
    </row>
    <row r="5112" spans="1:11">
      <c r="A5112"/>
      <c r="B5112"/>
      <c r="C5112"/>
      <c r="D5112"/>
      <c r="E5112"/>
      <c r="F5112"/>
      <c r="G5112"/>
      <c r="H5112"/>
      <c r="I5112"/>
      <c r="J5112"/>
      <c r="K5112"/>
    </row>
    <row r="5113" spans="1:11">
      <c r="A5113"/>
      <c r="B5113"/>
      <c r="C5113"/>
      <c r="D5113"/>
      <c r="E5113"/>
      <c r="F5113"/>
      <c r="G5113"/>
      <c r="H5113"/>
      <c r="I5113"/>
      <c r="J5113"/>
      <c r="K5113"/>
    </row>
    <row r="5114" spans="1:11">
      <c r="A5114"/>
      <c r="B5114"/>
      <c r="C5114"/>
      <c r="D5114"/>
      <c r="E5114"/>
      <c r="F5114"/>
      <c r="G5114"/>
      <c r="H5114"/>
      <c r="I5114"/>
      <c r="J5114"/>
      <c r="K5114"/>
    </row>
    <row r="5115" spans="1:11">
      <c r="A5115"/>
      <c r="B5115"/>
      <c r="C5115"/>
      <c r="D5115"/>
      <c r="E5115"/>
      <c r="F5115"/>
      <c r="G5115"/>
      <c r="H5115"/>
      <c r="I5115"/>
      <c r="J5115"/>
      <c r="K5115"/>
    </row>
    <row r="5116" spans="1:11">
      <c r="A5116"/>
      <c r="B5116"/>
      <c r="C5116"/>
      <c r="D5116"/>
      <c r="E5116"/>
      <c r="F5116"/>
      <c r="G5116"/>
      <c r="H5116"/>
      <c r="I5116"/>
      <c r="J5116"/>
      <c r="K5116"/>
    </row>
    <row r="5117" spans="1:11">
      <c r="A5117"/>
      <c r="B5117"/>
      <c r="C5117"/>
      <c r="D5117"/>
      <c r="E5117"/>
      <c r="F5117"/>
      <c r="G5117"/>
      <c r="H5117"/>
      <c r="I5117"/>
      <c r="J5117"/>
      <c r="K5117"/>
    </row>
    <row r="5118" spans="1:11">
      <c r="A5118"/>
      <c r="B5118"/>
      <c r="C5118"/>
      <c r="D5118"/>
      <c r="E5118"/>
      <c r="F5118"/>
      <c r="G5118"/>
      <c r="H5118"/>
      <c r="I5118"/>
      <c r="J5118"/>
      <c r="K5118"/>
    </row>
    <row r="5119" spans="1:11">
      <c r="A5119"/>
      <c r="B5119"/>
      <c r="C5119"/>
      <c r="D5119"/>
      <c r="E5119"/>
      <c r="F5119"/>
      <c r="G5119"/>
      <c r="H5119"/>
      <c r="I5119"/>
      <c r="J5119"/>
      <c r="K5119"/>
    </row>
    <row r="5120" spans="1:11">
      <c r="A5120"/>
      <c r="B5120"/>
      <c r="C5120"/>
      <c r="D5120"/>
      <c r="E5120"/>
      <c r="F5120"/>
      <c r="G5120"/>
      <c r="H5120"/>
      <c r="I5120"/>
      <c r="J5120"/>
      <c r="K5120"/>
    </row>
    <row r="5121" spans="1:11">
      <c r="A5121"/>
      <c r="B5121"/>
      <c r="C5121"/>
      <c r="D5121"/>
      <c r="E5121"/>
      <c r="F5121"/>
      <c r="G5121"/>
      <c r="H5121"/>
      <c r="I5121"/>
      <c r="J5121"/>
      <c r="K5121"/>
    </row>
    <row r="5122" spans="1:11">
      <c r="A5122"/>
      <c r="B5122"/>
      <c r="C5122"/>
      <c r="D5122"/>
      <c r="E5122"/>
      <c r="F5122"/>
      <c r="G5122"/>
      <c r="H5122"/>
      <c r="I5122"/>
      <c r="J5122"/>
      <c r="K5122"/>
    </row>
    <row r="5123" spans="1:11">
      <c r="A5123"/>
      <c r="B5123"/>
      <c r="C5123"/>
      <c r="D5123"/>
      <c r="E5123"/>
      <c r="F5123"/>
      <c r="G5123"/>
      <c r="H5123"/>
      <c r="I5123"/>
      <c r="J5123"/>
      <c r="K5123"/>
    </row>
    <row r="5124" spans="1:11">
      <c r="A5124"/>
      <c r="B5124"/>
      <c r="C5124"/>
      <c r="D5124"/>
      <c r="E5124"/>
      <c r="F5124"/>
      <c r="G5124"/>
      <c r="H5124"/>
      <c r="I5124"/>
      <c r="J5124"/>
      <c r="K5124"/>
    </row>
    <row r="5125" spans="1:11">
      <c r="A5125"/>
      <c r="B5125"/>
      <c r="C5125"/>
      <c r="D5125"/>
      <c r="E5125"/>
      <c r="F5125"/>
      <c r="G5125"/>
      <c r="H5125"/>
      <c r="I5125"/>
      <c r="J5125"/>
      <c r="K5125"/>
    </row>
    <row r="5126" spans="1:11">
      <c r="A5126"/>
      <c r="B5126"/>
      <c r="C5126"/>
      <c r="D5126"/>
      <c r="E5126"/>
      <c r="F5126"/>
      <c r="G5126"/>
      <c r="H5126"/>
      <c r="I5126"/>
      <c r="J5126"/>
      <c r="K5126"/>
    </row>
    <row r="5127" spans="1:11">
      <c r="A5127"/>
      <c r="B5127"/>
      <c r="C5127"/>
      <c r="D5127"/>
      <c r="E5127"/>
      <c r="F5127"/>
      <c r="G5127"/>
      <c r="H5127"/>
      <c r="I5127"/>
      <c r="J5127"/>
      <c r="K5127"/>
    </row>
    <row r="5128" spans="1:11">
      <c r="A5128"/>
      <c r="B5128"/>
      <c r="C5128"/>
      <c r="D5128"/>
      <c r="E5128"/>
      <c r="F5128"/>
      <c r="G5128"/>
      <c r="H5128"/>
      <c r="I5128"/>
      <c r="J5128"/>
      <c r="K5128"/>
    </row>
    <row r="5129" spans="1:11">
      <c r="A5129"/>
      <c r="B5129"/>
      <c r="C5129"/>
      <c r="D5129"/>
      <c r="E5129"/>
      <c r="F5129"/>
      <c r="G5129"/>
      <c r="H5129"/>
      <c r="I5129"/>
      <c r="J5129"/>
      <c r="K5129"/>
    </row>
    <row r="5130" spans="1:11">
      <c r="A5130"/>
      <c r="B5130"/>
      <c r="C5130"/>
      <c r="D5130"/>
      <c r="E5130"/>
      <c r="F5130"/>
      <c r="G5130"/>
      <c r="H5130"/>
      <c r="I5130"/>
      <c r="J5130"/>
      <c r="K5130"/>
    </row>
    <row r="5131" spans="1:11">
      <c r="A5131"/>
      <c r="B5131"/>
      <c r="C5131"/>
      <c r="D5131"/>
      <c r="E5131"/>
      <c r="F5131"/>
      <c r="G5131"/>
      <c r="H5131"/>
      <c r="I5131"/>
      <c r="J5131"/>
      <c r="K5131"/>
    </row>
    <row r="5132" spans="1:11">
      <c r="A5132"/>
      <c r="B5132"/>
      <c r="C5132"/>
      <c r="D5132"/>
      <c r="E5132"/>
      <c r="F5132"/>
      <c r="G5132"/>
      <c r="H5132"/>
      <c r="I5132"/>
      <c r="J5132"/>
      <c r="K5132"/>
    </row>
    <row r="5133" spans="1:11">
      <c r="A5133"/>
      <c r="B5133"/>
      <c r="C5133"/>
      <c r="D5133"/>
      <c r="E5133"/>
      <c r="F5133"/>
      <c r="G5133"/>
      <c r="H5133"/>
      <c r="I5133"/>
      <c r="J5133"/>
      <c r="K5133"/>
    </row>
    <row r="5134" spans="1:11">
      <c r="A5134"/>
      <c r="B5134"/>
      <c r="C5134"/>
      <c r="D5134"/>
      <c r="E5134"/>
      <c r="F5134"/>
      <c r="G5134"/>
      <c r="H5134"/>
      <c r="I5134"/>
      <c r="J5134"/>
      <c r="K5134"/>
    </row>
    <row r="5135" spans="1:11">
      <c r="A5135"/>
      <c r="B5135"/>
      <c r="C5135"/>
      <c r="D5135"/>
      <c r="E5135"/>
      <c r="F5135"/>
      <c r="G5135"/>
      <c r="H5135"/>
      <c r="I5135"/>
      <c r="J5135"/>
      <c r="K5135"/>
    </row>
    <row r="5136" spans="1:11">
      <c r="A5136"/>
      <c r="B5136"/>
      <c r="C5136"/>
      <c r="D5136"/>
      <c r="E5136"/>
      <c r="F5136"/>
      <c r="G5136"/>
      <c r="H5136"/>
      <c r="I5136"/>
      <c r="J5136"/>
      <c r="K5136"/>
    </row>
    <row r="5137" spans="1:11">
      <c r="A5137"/>
      <c r="B5137"/>
      <c r="C5137"/>
      <c r="D5137"/>
      <c r="E5137"/>
      <c r="F5137"/>
      <c r="G5137"/>
      <c r="H5137"/>
      <c r="I5137"/>
      <c r="J5137"/>
      <c r="K5137"/>
    </row>
    <row r="5138" spans="1:11">
      <c r="A5138"/>
      <c r="B5138"/>
      <c r="C5138"/>
      <c r="D5138"/>
      <c r="E5138"/>
      <c r="F5138"/>
      <c r="G5138"/>
      <c r="H5138"/>
      <c r="I5138"/>
      <c r="J5138"/>
      <c r="K5138"/>
    </row>
    <row r="5139" spans="1:11">
      <c r="A5139"/>
      <c r="B5139"/>
      <c r="C5139"/>
      <c r="D5139"/>
      <c r="E5139"/>
      <c r="F5139"/>
      <c r="G5139"/>
      <c r="H5139"/>
      <c r="I5139"/>
      <c r="J5139"/>
      <c r="K5139"/>
    </row>
    <row r="5140" spans="1:11">
      <c r="A5140"/>
      <c r="B5140"/>
      <c r="C5140"/>
      <c r="D5140"/>
      <c r="E5140"/>
      <c r="F5140"/>
      <c r="G5140"/>
      <c r="H5140"/>
      <c r="I5140"/>
      <c r="J5140"/>
      <c r="K5140"/>
    </row>
    <row r="5141" spans="1:11">
      <c r="A5141"/>
      <c r="B5141"/>
      <c r="C5141"/>
      <c r="D5141"/>
      <c r="E5141"/>
      <c r="F5141"/>
      <c r="G5141"/>
      <c r="H5141"/>
      <c r="I5141"/>
      <c r="J5141"/>
      <c r="K5141"/>
    </row>
    <row r="5142" spans="1:11">
      <c r="A5142"/>
      <c r="B5142"/>
      <c r="C5142"/>
      <c r="D5142"/>
      <c r="E5142"/>
      <c r="F5142"/>
      <c r="G5142"/>
      <c r="H5142"/>
      <c r="I5142"/>
      <c r="J5142"/>
      <c r="K5142"/>
    </row>
    <row r="5143" spans="1:11">
      <c r="A5143"/>
      <c r="B5143"/>
      <c r="C5143"/>
      <c r="D5143"/>
      <c r="E5143"/>
      <c r="F5143"/>
      <c r="G5143"/>
      <c r="H5143"/>
      <c r="I5143"/>
      <c r="J5143"/>
      <c r="K5143"/>
    </row>
    <row r="5144" spans="1:11">
      <c r="A5144"/>
      <c r="B5144"/>
      <c r="C5144"/>
      <c r="D5144"/>
      <c r="E5144"/>
      <c r="F5144"/>
      <c r="G5144"/>
      <c r="H5144"/>
      <c r="I5144"/>
      <c r="J5144"/>
      <c r="K5144"/>
    </row>
    <row r="5145" spans="1:11">
      <c r="A5145"/>
      <c r="B5145"/>
      <c r="C5145"/>
      <c r="D5145"/>
      <c r="E5145"/>
      <c r="F5145"/>
      <c r="G5145"/>
      <c r="H5145"/>
      <c r="I5145"/>
      <c r="J5145"/>
      <c r="K5145"/>
    </row>
    <row r="5146" spans="1:11">
      <c r="A5146"/>
      <c r="B5146"/>
      <c r="C5146"/>
      <c r="D5146"/>
      <c r="E5146"/>
      <c r="F5146"/>
      <c r="G5146"/>
      <c r="H5146"/>
      <c r="I5146"/>
      <c r="J5146"/>
      <c r="K5146"/>
    </row>
    <row r="5147" spans="1:11">
      <c r="A5147"/>
      <c r="B5147"/>
      <c r="C5147"/>
      <c r="D5147"/>
      <c r="E5147"/>
      <c r="F5147"/>
      <c r="G5147"/>
      <c r="H5147"/>
      <c r="I5147"/>
      <c r="J5147"/>
      <c r="K5147"/>
    </row>
    <row r="5148" spans="1:11">
      <c r="A5148"/>
      <c r="B5148"/>
      <c r="C5148"/>
      <c r="D5148"/>
      <c r="E5148"/>
      <c r="F5148"/>
      <c r="G5148"/>
      <c r="H5148"/>
      <c r="I5148"/>
      <c r="J5148"/>
      <c r="K5148"/>
    </row>
    <row r="5149" spans="1:11">
      <c r="A5149"/>
      <c r="B5149"/>
      <c r="C5149"/>
      <c r="D5149"/>
      <c r="E5149"/>
      <c r="F5149"/>
      <c r="G5149"/>
      <c r="H5149"/>
      <c r="I5149"/>
      <c r="J5149"/>
      <c r="K5149"/>
    </row>
    <row r="5150" spans="1:11">
      <c r="A5150"/>
      <c r="B5150"/>
      <c r="C5150"/>
      <c r="D5150"/>
      <c r="E5150"/>
      <c r="F5150"/>
      <c r="G5150"/>
      <c r="H5150"/>
      <c r="I5150"/>
      <c r="J5150"/>
      <c r="K5150"/>
    </row>
    <row r="5151" spans="1:11">
      <c r="A5151"/>
      <c r="B5151"/>
      <c r="C5151"/>
      <c r="D5151"/>
      <c r="E5151"/>
      <c r="F5151"/>
      <c r="G5151"/>
      <c r="H5151"/>
      <c r="I5151"/>
      <c r="J5151"/>
      <c r="K5151"/>
    </row>
    <row r="5152" spans="1:11">
      <c r="A5152"/>
      <c r="B5152"/>
      <c r="C5152"/>
      <c r="D5152"/>
      <c r="E5152"/>
      <c r="F5152"/>
      <c r="G5152"/>
      <c r="H5152"/>
      <c r="I5152"/>
      <c r="J5152"/>
      <c r="K5152"/>
    </row>
    <row r="5153" spans="1:11">
      <c r="A5153"/>
      <c r="B5153"/>
      <c r="C5153"/>
      <c r="D5153"/>
      <c r="E5153"/>
      <c r="F5153"/>
      <c r="G5153"/>
      <c r="H5153"/>
      <c r="I5153"/>
      <c r="J5153"/>
      <c r="K5153"/>
    </row>
    <row r="5154" spans="1:11">
      <c r="A5154"/>
      <c r="B5154"/>
      <c r="C5154"/>
      <c r="D5154"/>
      <c r="E5154"/>
      <c r="F5154"/>
      <c r="G5154"/>
      <c r="H5154"/>
      <c r="I5154"/>
      <c r="J5154"/>
      <c r="K5154"/>
    </row>
    <row r="5155" spans="1:11">
      <c r="A5155"/>
      <c r="B5155"/>
      <c r="C5155"/>
      <c r="D5155"/>
      <c r="E5155"/>
      <c r="F5155"/>
      <c r="G5155"/>
      <c r="H5155"/>
      <c r="I5155"/>
      <c r="J5155"/>
      <c r="K5155"/>
    </row>
    <row r="5156" spans="1:11">
      <c r="A5156"/>
      <c r="B5156"/>
      <c r="C5156"/>
      <c r="D5156"/>
      <c r="E5156"/>
      <c r="F5156"/>
      <c r="G5156"/>
      <c r="H5156"/>
      <c r="I5156"/>
      <c r="J5156"/>
      <c r="K5156"/>
    </row>
    <row r="5157" spans="1:11">
      <c r="A5157"/>
      <c r="B5157"/>
      <c r="C5157"/>
      <c r="D5157"/>
      <c r="E5157"/>
      <c r="F5157"/>
      <c r="G5157"/>
      <c r="H5157"/>
      <c r="I5157"/>
      <c r="J5157"/>
      <c r="K5157"/>
    </row>
    <row r="5158" spans="1:11">
      <c r="A5158"/>
      <c r="B5158"/>
      <c r="C5158"/>
      <c r="D5158"/>
      <c r="E5158"/>
      <c r="F5158"/>
      <c r="G5158"/>
      <c r="H5158"/>
      <c r="I5158"/>
      <c r="J5158"/>
      <c r="K5158"/>
    </row>
    <row r="5159" spans="1:11">
      <c r="A5159"/>
      <c r="B5159"/>
      <c r="C5159"/>
      <c r="D5159"/>
      <c r="E5159"/>
      <c r="F5159"/>
      <c r="G5159"/>
      <c r="H5159"/>
      <c r="I5159"/>
      <c r="J5159"/>
      <c r="K5159"/>
    </row>
    <row r="5160" spans="1:11">
      <c r="A5160"/>
      <c r="B5160"/>
      <c r="C5160"/>
      <c r="D5160"/>
      <c r="E5160"/>
      <c r="F5160"/>
      <c r="G5160"/>
      <c r="H5160"/>
      <c r="I5160"/>
      <c r="J5160"/>
      <c r="K5160"/>
    </row>
    <row r="5161" spans="1:11">
      <c r="A5161"/>
      <c r="B5161"/>
      <c r="C5161"/>
      <c r="D5161"/>
      <c r="E5161"/>
      <c r="F5161"/>
      <c r="G5161"/>
      <c r="H5161"/>
      <c r="I5161"/>
      <c r="J5161"/>
      <c r="K5161"/>
    </row>
    <row r="5162" spans="1:11">
      <c r="A5162"/>
      <c r="B5162"/>
      <c r="C5162"/>
      <c r="D5162"/>
      <c r="E5162"/>
      <c r="F5162"/>
      <c r="G5162"/>
      <c r="H5162"/>
      <c r="I5162"/>
      <c r="J5162"/>
      <c r="K5162"/>
    </row>
    <row r="5163" spans="1:11">
      <c r="A5163"/>
      <c r="B5163"/>
      <c r="C5163"/>
      <c r="D5163"/>
      <c r="E5163"/>
      <c r="F5163"/>
      <c r="G5163"/>
      <c r="H5163"/>
      <c r="I5163"/>
      <c r="J5163"/>
      <c r="K5163"/>
    </row>
    <row r="5164" spans="1:11">
      <c r="A5164"/>
      <c r="B5164"/>
      <c r="C5164"/>
      <c r="D5164"/>
      <c r="E5164"/>
      <c r="F5164"/>
      <c r="G5164"/>
      <c r="H5164"/>
      <c r="I5164"/>
      <c r="J5164"/>
      <c r="K5164"/>
    </row>
    <row r="5165" spans="1:11">
      <c r="A5165"/>
      <c r="B5165"/>
      <c r="C5165"/>
      <c r="D5165"/>
      <c r="E5165"/>
      <c r="F5165"/>
      <c r="G5165"/>
      <c r="H5165"/>
      <c r="I5165"/>
      <c r="J5165"/>
      <c r="K5165"/>
    </row>
    <row r="5166" spans="1:11">
      <c r="A5166"/>
      <c r="B5166"/>
      <c r="C5166"/>
      <c r="D5166"/>
      <c r="E5166"/>
      <c r="F5166"/>
      <c r="G5166"/>
      <c r="H5166"/>
      <c r="I5166"/>
      <c r="J5166"/>
      <c r="K5166"/>
    </row>
    <row r="5167" spans="1:11">
      <c r="A5167"/>
      <c r="B5167"/>
      <c r="C5167"/>
      <c r="D5167"/>
      <c r="E5167"/>
      <c r="F5167"/>
      <c r="G5167"/>
      <c r="H5167"/>
      <c r="I5167"/>
      <c r="J5167"/>
      <c r="K5167"/>
    </row>
    <row r="5168" spans="1:11">
      <c r="A5168"/>
      <c r="B5168"/>
      <c r="C5168"/>
      <c r="D5168"/>
      <c r="E5168"/>
      <c r="F5168"/>
      <c r="G5168"/>
      <c r="H5168"/>
      <c r="I5168"/>
      <c r="J5168"/>
      <c r="K5168"/>
    </row>
    <row r="5169" spans="1:11">
      <c r="A5169"/>
      <c r="B5169"/>
      <c r="C5169"/>
      <c r="D5169"/>
      <c r="E5169"/>
      <c r="F5169"/>
      <c r="G5169"/>
      <c r="H5169"/>
      <c r="I5169"/>
      <c r="J5169"/>
      <c r="K5169"/>
    </row>
    <row r="5170" spans="1:11">
      <c r="A5170"/>
      <c r="B5170"/>
      <c r="C5170"/>
      <c r="D5170"/>
      <c r="E5170"/>
      <c r="F5170"/>
      <c r="G5170"/>
      <c r="H5170"/>
      <c r="I5170"/>
      <c r="J5170"/>
      <c r="K5170"/>
    </row>
    <row r="5171" spans="1:11">
      <c r="A5171"/>
      <c r="B5171"/>
      <c r="C5171"/>
      <c r="D5171"/>
      <c r="E5171"/>
      <c r="F5171"/>
      <c r="G5171"/>
      <c r="H5171"/>
      <c r="I5171"/>
      <c r="J5171"/>
      <c r="K5171"/>
    </row>
    <row r="5172" spans="1:11">
      <c r="A5172"/>
      <c r="B5172"/>
      <c r="C5172"/>
      <c r="D5172"/>
      <c r="E5172"/>
      <c r="F5172"/>
      <c r="G5172"/>
      <c r="H5172"/>
      <c r="I5172"/>
      <c r="J5172"/>
      <c r="K5172"/>
    </row>
    <row r="5173" spans="1:11">
      <c r="A5173"/>
      <c r="B5173"/>
      <c r="C5173"/>
      <c r="D5173"/>
      <c r="E5173"/>
      <c r="F5173"/>
      <c r="G5173"/>
      <c r="H5173"/>
      <c r="I5173"/>
      <c r="J5173"/>
      <c r="K5173"/>
    </row>
    <row r="5174" spans="1:11">
      <c r="A5174"/>
      <c r="B5174"/>
      <c r="C5174"/>
      <c r="D5174"/>
      <c r="E5174"/>
      <c r="F5174"/>
      <c r="G5174"/>
      <c r="H5174"/>
      <c r="I5174"/>
      <c r="J5174"/>
      <c r="K5174"/>
    </row>
    <row r="5175" spans="1:11">
      <c r="A5175"/>
      <c r="B5175"/>
      <c r="C5175"/>
      <c r="D5175"/>
      <c r="E5175"/>
      <c r="F5175"/>
      <c r="G5175"/>
      <c r="H5175"/>
      <c r="I5175"/>
      <c r="J5175"/>
      <c r="K5175"/>
    </row>
    <row r="5176" spans="1:11">
      <c r="A5176"/>
      <c r="B5176"/>
      <c r="C5176"/>
      <c r="D5176"/>
      <c r="E5176"/>
      <c r="F5176"/>
      <c r="G5176"/>
      <c r="H5176"/>
      <c r="I5176"/>
      <c r="J5176"/>
      <c r="K5176"/>
    </row>
    <row r="5177" spans="1:11">
      <c r="A5177"/>
      <c r="B5177"/>
      <c r="C5177"/>
      <c r="D5177"/>
      <c r="E5177"/>
      <c r="F5177"/>
      <c r="G5177"/>
      <c r="H5177"/>
      <c r="I5177"/>
      <c r="J5177"/>
      <c r="K5177"/>
    </row>
    <row r="5178" spans="1:11">
      <c r="A5178"/>
      <c r="B5178"/>
      <c r="C5178"/>
      <c r="D5178"/>
      <c r="E5178"/>
      <c r="F5178"/>
      <c r="G5178"/>
      <c r="H5178"/>
      <c r="I5178"/>
      <c r="J5178"/>
      <c r="K5178"/>
    </row>
    <row r="5179" spans="1:11">
      <c r="A5179"/>
      <c r="B5179"/>
      <c r="C5179"/>
      <c r="D5179"/>
      <c r="E5179"/>
      <c r="F5179"/>
      <c r="G5179"/>
      <c r="H5179"/>
      <c r="I5179"/>
      <c r="J5179"/>
      <c r="K5179"/>
    </row>
    <row r="5180" spans="1:11">
      <c r="A5180"/>
      <c r="B5180"/>
      <c r="C5180"/>
      <c r="D5180"/>
      <c r="E5180"/>
      <c r="F5180"/>
      <c r="G5180"/>
      <c r="H5180"/>
      <c r="I5180"/>
      <c r="J5180"/>
      <c r="K5180"/>
    </row>
    <row r="5181" spans="1:11">
      <c r="A5181"/>
      <c r="B5181"/>
      <c r="C5181"/>
      <c r="D5181"/>
      <c r="E5181"/>
      <c r="F5181"/>
      <c r="G5181"/>
      <c r="H5181"/>
      <c r="I5181"/>
      <c r="J5181"/>
      <c r="K5181"/>
    </row>
    <row r="5182" spans="1:11">
      <c r="A5182"/>
      <c r="B5182"/>
      <c r="C5182"/>
      <c r="D5182"/>
      <c r="E5182"/>
      <c r="F5182"/>
      <c r="G5182"/>
      <c r="H5182"/>
      <c r="I5182"/>
      <c r="J5182"/>
      <c r="K5182"/>
    </row>
    <row r="5183" spans="1:11">
      <c r="A5183"/>
      <c r="B5183"/>
      <c r="C5183"/>
      <c r="D5183"/>
      <c r="E5183"/>
      <c r="F5183"/>
      <c r="G5183"/>
      <c r="H5183"/>
      <c r="I5183"/>
      <c r="J5183"/>
      <c r="K5183"/>
    </row>
    <row r="5184" spans="1:11">
      <c r="A5184"/>
      <c r="B5184"/>
      <c r="C5184"/>
      <c r="D5184"/>
      <c r="E5184"/>
      <c r="F5184"/>
      <c r="G5184"/>
      <c r="H5184"/>
      <c r="I5184"/>
      <c r="J5184"/>
      <c r="K5184"/>
    </row>
    <row r="5185" spans="1:11">
      <c r="A5185"/>
      <c r="B5185"/>
      <c r="C5185"/>
      <c r="D5185"/>
      <c r="E5185"/>
      <c r="F5185"/>
      <c r="G5185"/>
      <c r="H5185"/>
      <c r="I5185"/>
      <c r="J5185"/>
      <c r="K5185"/>
    </row>
    <row r="5186" spans="1:11">
      <c r="A5186"/>
      <c r="B5186"/>
      <c r="C5186"/>
      <c r="D5186"/>
      <c r="E5186"/>
      <c r="F5186"/>
      <c r="G5186"/>
      <c r="H5186"/>
      <c r="I5186"/>
      <c r="J5186"/>
      <c r="K5186"/>
    </row>
    <row r="5187" spans="1:11">
      <c r="A5187"/>
      <c r="B5187"/>
      <c r="C5187"/>
      <c r="D5187"/>
      <c r="E5187"/>
      <c r="F5187"/>
      <c r="G5187"/>
      <c r="H5187"/>
      <c r="I5187"/>
      <c r="J5187"/>
      <c r="K5187"/>
    </row>
    <row r="5188" spans="1:11">
      <c r="A5188"/>
      <c r="B5188"/>
      <c r="C5188"/>
      <c r="D5188"/>
      <c r="E5188"/>
      <c r="F5188"/>
      <c r="G5188"/>
      <c r="H5188"/>
      <c r="I5188"/>
      <c r="J5188"/>
      <c r="K5188"/>
    </row>
    <row r="5189" spans="1:11">
      <c r="A5189"/>
      <c r="B5189"/>
      <c r="C5189"/>
      <c r="D5189"/>
      <c r="E5189"/>
      <c r="F5189"/>
      <c r="G5189"/>
      <c r="H5189"/>
      <c r="I5189"/>
      <c r="J5189"/>
      <c r="K5189"/>
    </row>
    <row r="5190" spans="1:11">
      <c r="A5190"/>
      <c r="B5190"/>
      <c r="C5190"/>
      <c r="D5190"/>
      <c r="E5190"/>
      <c r="F5190"/>
      <c r="G5190"/>
      <c r="H5190"/>
      <c r="I5190"/>
      <c r="J5190"/>
      <c r="K5190"/>
    </row>
    <row r="5191" spans="1:11">
      <c r="A5191"/>
      <c r="B5191"/>
      <c r="C5191"/>
      <c r="D5191"/>
      <c r="E5191"/>
      <c r="F5191"/>
      <c r="G5191"/>
      <c r="H5191"/>
      <c r="I5191"/>
      <c r="J5191"/>
      <c r="K5191"/>
    </row>
    <row r="5192" spans="1:11">
      <c r="A5192"/>
      <c r="B5192"/>
      <c r="C5192"/>
      <c r="D5192"/>
      <c r="E5192"/>
      <c r="F5192"/>
      <c r="G5192"/>
      <c r="H5192"/>
      <c r="I5192"/>
      <c r="J5192"/>
      <c r="K5192"/>
    </row>
    <row r="5193" spans="1:11">
      <c r="A5193"/>
      <c r="B5193"/>
      <c r="C5193"/>
      <c r="D5193"/>
      <c r="E5193"/>
      <c r="F5193"/>
      <c r="G5193"/>
      <c r="H5193"/>
      <c r="I5193"/>
      <c r="J5193"/>
      <c r="K5193"/>
    </row>
    <row r="5194" spans="1:11">
      <c r="A5194"/>
      <c r="B5194"/>
      <c r="C5194"/>
      <c r="D5194"/>
      <c r="E5194"/>
      <c r="F5194"/>
      <c r="G5194"/>
      <c r="H5194"/>
      <c r="I5194"/>
      <c r="J5194"/>
      <c r="K5194"/>
    </row>
    <row r="5195" spans="1:11">
      <c r="A5195"/>
      <c r="B5195"/>
      <c r="C5195"/>
      <c r="D5195"/>
      <c r="E5195"/>
      <c r="F5195"/>
      <c r="G5195"/>
      <c r="H5195"/>
      <c r="I5195"/>
      <c r="J5195"/>
      <c r="K5195"/>
    </row>
    <row r="5196" spans="1:11">
      <c r="A5196"/>
      <c r="B5196"/>
      <c r="C5196"/>
      <c r="D5196"/>
      <c r="E5196"/>
      <c r="F5196"/>
      <c r="G5196"/>
      <c r="H5196"/>
      <c r="I5196"/>
      <c r="J5196"/>
      <c r="K5196"/>
    </row>
    <row r="5197" spans="1:11">
      <c r="A5197"/>
      <c r="B5197"/>
      <c r="C5197"/>
      <c r="D5197"/>
      <c r="E5197"/>
      <c r="F5197"/>
      <c r="G5197"/>
      <c r="H5197"/>
      <c r="I5197"/>
      <c r="J5197"/>
      <c r="K5197"/>
    </row>
    <row r="5198" spans="1:11">
      <c r="A5198"/>
      <c r="B5198"/>
      <c r="C5198"/>
      <c r="D5198"/>
      <c r="E5198"/>
      <c r="F5198"/>
      <c r="G5198"/>
      <c r="H5198"/>
      <c r="I5198"/>
      <c r="J5198"/>
      <c r="K5198"/>
    </row>
    <row r="5199" spans="1:11">
      <c r="A5199"/>
      <c r="B5199"/>
      <c r="C5199"/>
      <c r="D5199"/>
      <c r="E5199"/>
      <c r="F5199"/>
      <c r="G5199"/>
      <c r="H5199"/>
      <c r="I5199"/>
      <c r="J5199"/>
      <c r="K5199"/>
    </row>
    <row r="5200" spans="1:11">
      <c r="A5200"/>
      <c r="B5200"/>
      <c r="C5200"/>
      <c r="D5200"/>
      <c r="E5200"/>
      <c r="F5200"/>
      <c r="G5200"/>
      <c r="H5200"/>
      <c r="I5200"/>
      <c r="J5200"/>
      <c r="K5200"/>
    </row>
    <row r="5201" spans="1:11">
      <c r="A5201"/>
      <c r="B5201"/>
      <c r="C5201"/>
      <c r="D5201"/>
      <c r="E5201"/>
      <c r="F5201"/>
      <c r="G5201"/>
      <c r="H5201"/>
      <c r="I5201"/>
      <c r="J5201"/>
      <c r="K5201"/>
    </row>
    <row r="5202" spans="1:11">
      <c r="A5202"/>
      <c r="B5202"/>
      <c r="C5202"/>
      <c r="D5202"/>
      <c r="E5202"/>
      <c r="F5202"/>
      <c r="G5202"/>
      <c r="H5202"/>
      <c r="I5202"/>
      <c r="J5202"/>
      <c r="K5202"/>
    </row>
    <row r="5203" spans="1:11">
      <c r="A5203"/>
      <c r="B5203"/>
      <c r="C5203"/>
      <c r="D5203"/>
      <c r="E5203"/>
      <c r="F5203"/>
      <c r="G5203"/>
      <c r="H5203"/>
      <c r="I5203"/>
      <c r="J5203"/>
      <c r="K5203"/>
    </row>
    <row r="5204" spans="1:11">
      <c r="A5204"/>
      <c r="B5204"/>
      <c r="C5204"/>
      <c r="D5204"/>
      <c r="E5204"/>
      <c r="F5204"/>
      <c r="G5204"/>
      <c r="H5204"/>
      <c r="I5204"/>
      <c r="J5204"/>
      <c r="K5204"/>
    </row>
    <row r="5205" spans="1:11">
      <c r="A5205"/>
      <c r="B5205"/>
      <c r="C5205"/>
      <c r="D5205"/>
      <c r="E5205"/>
      <c r="F5205"/>
      <c r="G5205"/>
      <c r="H5205"/>
      <c r="I5205"/>
      <c r="J5205"/>
      <c r="K5205"/>
    </row>
    <row r="5206" spans="1:11">
      <c r="A5206"/>
      <c r="B5206"/>
      <c r="C5206"/>
      <c r="D5206"/>
      <c r="E5206"/>
      <c r="F5206"/>
      <c r="G5206"/>
      <c r="H5206"/>
      <c r="I5206"/>
      <c r="J5206"/>
      <c r="K5206"/>
    </row>
    <row r="5207" spans="1:11">
      <c r="A5207"/>
      <c r="B5207"/>
      <c r="C5207"/>
      <c r="D5207"/>
      <c r="E5207"/>
      <c r="F5207"/>
      <c r="G5207"/>
      <c r="H5207"/>
      <c r="I5207"/>
      <c r="J5207"/>
      <c r="K5207"/>
    </row>
    <row r="5208" spans="1:11">
      <c r="A5208"/>
      <c r="B5208"/>
      <c r="C5208"/>
      <c r="D5208"/>
      <c r="E5208"/>
      <c r="F5208"/>
      <c r="G5208"/>
      <c r="H5208"/>
      <c r="I5208"/>
      <c r="J5208"/>
      <c r="K5208"/>
    </row>
    <row r="5209" spans="1:11">
      <c r="A5209"/>
      <c r="B5209"/>
      <c r="C5209"/>
      <c r="D5209"/>
      <c r="E5209"/>
      <c r="F5209"/>
      <c r="G5209"/>
      <c r="H5209"/>
      <c r="I5209"/>
      <c r="J5209"/>
      <c r="K5209"/>
    </row>
    <row r="5210" spans="1:11">
      <c r="A5210"/>
      <c r="B5210"/>
      <c r="C5210"/>
      <c r="D5210"/>
      <c r="E5210"/>
      <c r="F5210"/>
      <c r="G5210"/>
      <c r="H5210"/>
      <c r="I5210"/>
      <c r="J5210"/>
      <c r="K5210"/>
    </row>
    <row r="5211" spans="1:11">
      <c r="A5211"/>
      <c r="B5211"/>
      <c r="C5211"/>
      <c r="D5211"/>
      <c r="E5211"/>
      <c r="F5211"/>
      <c r="G5211"/>
      <c r="H5211"/>
      <c r="I5211"/>
      <c r="J5211"/>
      <c r="K5211"/>
    </row>
    <row r="5212" spans="1:11">
      <c r="A5212"/>
      <c r="B5212"/>
      <c r="C5212"/>
      <c r="D5212"/>
      <c r="E5212"/>
      <c r="F5212"/>
      <c r="G5212"/>
      <c r="H5212"/>
      <c r="I5212"/>
      <c r="J5212"/>
      <c r="K5212"/>
    </row>
    <row r="5213" spans="1:11">
      <c r="A5213"/>
      <c r="B5213"/>
      <c r="C5213"/>
      <c r="D5213"/>
      <c r="E5213"/>
      <c r="F5213"/>
      <c r="G5213"/>
      <c r="H5213"/>
      <c r="I5213"/>
      <c r="J5213"/>
      <c r="K5213"/>
    </row>
    <row r="5214" spans="1:11">
      <c r="A5214"/>
      <c r="B5214"/>
      <c r="C5214"/>
      <c r="D5214"/>
      <c r="E5214"/>
      <c r="F5214"/>
      <c r="G5214"/>
      <c r="H5214"/>
      <c r="I5214"/>
      <c r="J5214"/>
      <c r="K5214"/>
    </row>
    <row r="5215" spans="1:11">
      <c r="A5215"/>
      <c r="B5215"/>
      <c r="C5215"/>
      <c r="D5215"/>
      <c r="E5215"/>
      <c r="F5215"/>
      <c r="G5215"/>
      <c r="H5215"/>
      <c r="I5215"/>
      <c r="J5215"/>
      <c r="K5215"/>
    </row>
    <row r="5216" spans="1:11">
      <c r="A5216"/>
      <c r="B5216"/>
      <c r="C5216"/>
      <c r="D5216"/>
      <c r="E5216"/>
      <c r="F5216"/>
      <c r="G5216"/>
      <c r="H5216"/>
      <c r="I5216"/>
      <c r="J5216"/>
      <c r="K5216"/>
    </row>
    <row r="5217" spans="1:11">
      <c r="A5217"/>
      <c r="B5217"/>
      <c r="C5217"/>
      <c r="D5217"/>
      <c r="E5217"/>
      <c r="F5217"/>
      <c r="G5217"/>
      <c r="H5217"/>
      <c r="I5217"/>
      <c r="J5217"/>
      <c r="K5217"/>
    </row>
    <row r="5218" spans="1:11">
      <c r="A5218"/>
      <c r="B5218"/>
      <c r="C5218"/>
      <c r="D5218"/>
      <c r="E5218"/>
      <c r="F5218"/>
      <c r="G5218"/>
      <c r="H5218"/>
      <c r="I5218"/>
      <c r="J5218"/>
      <c r="K5218"/>
    </row>
    <row r="5219" spans="1:11">
      <c r="A5219"/>
      <c r="B5219"/>
      <c r="C5219"/>
      <c r="D5219"/>
      <c r="E5219"/>
      <c r="F5219"/>
      <c r="G5219"/>
      <c r="H5219"/>
      <c r="I5219"/>
      <c r="J5219"/>
      <c r="K5219"/>
    </row>
    <row r="5220" spans="1:11">
      <c r="A5220"/>
      <c r="B5220"/>
      <c r="C5220"/>
      <c r="D5220"/>
      <c r="E5220"/>
      <c r="F5220"/>
      <c r="G5220"/>
      <c r="H5220"/>
      <c r="I5220"/>
      <c r="J5220"/>
      <c r="K5220"/>
    </row>
    <row r="5221" spans="1:11">
      <c r="A5221"/>
      <c r="B5221"/>
      <c r="C5221"/>
      <c r="D5221"/>
      <c r="E5221"/>
      <c r="F5221"/>
      <c r="G5221"/>
      <c r="H5221"/>
      <c r="I5221"/>
      <c r="J5221"/>
      <c r="K5221"/>
    </row>
    <row r="5222" spans="1:11">
      <c r="A5222"/>
      <c r="B5222"/>
      <c r="C5222"/>
      <c r="D5222"/>
      <c r="E5222"/>
      <c r="F5222"/>
      <c r="G5222"/>
      <c r="H5222"/>
      <c r="I5222"/>
      <c r="J5222"/>
      <c r="K5222"/>
    </row>
    <row r="5223" spans="1:11">
      <c r="A5223"/>
      <c r="B5223"/>
      <c r="C5223"/>
      <c r="D5223"/>
      <c r="E5223"/>
      <c r="F5223"/>
      <c r="G5223"/>
      <c r="H5223"/>
      <c r="I5223"/>
      <c r="J5223"/>
      <c r="K5223"/>
    </row>
    <row r="5224" spans="1:11">
      <c r="A5224"/>
      <c r="B5224"/>
      <c r="C5224"/>
      <c r="D5224"/>
      <c r="E5224"/>
      <c r="F5224"/>
      <c r="G5224"/>
      <c r="H5224"/>
      <c r="I5224"/>
      <c r="J5224"/>
      <c r="K5224"/>
    </row>
    <row r="5225" spans="1:11">
      <c r="A5225"/>
      <c r="B5225"/>
      <c r="C5225"/>
      <c r="D5225"/>
      <c r="E5225"/>
      <c r="F5225"/>
      <c r="G5225"/>
      <c r="H5225"/>
      <c r="I5225"/>
      <c r="J5225"/>
      <c r="K5225"/>
    </row>
    <row r="5226" spans="1:11">
      <c r="A5226"/>
      <c r="B5226"/>
      <c r="C5226"/>
      <c r="D5226"/>
      <c r="E5226"/>
      <c r="F5226"/>
      <c r="G5226"/>
      <c r="H5226"/>
      <c r="I5226"/>
      <c r="J5226"/>
      <c r="K5226"/>
    </row>
    <row r="5227" spans="1:11">
      <c r="A5227"/>
      <c r="B5227"/>
      <c r="C5227"/>
      <c r="D5227"/>
      <c r="E5227"/>
      <c r="F5227"/>
      <c r="G5227"/>
      <c r="H5227"/>
      <c r="I5227"/>
      <c r="J5227"/>
      <c r="K5227"/>
    </row>
    <row r="5228" spans="1:11">
      <c r="A5228"/>
      <c r="B5228"/>
      <c r="C5228"/>
      <c r="D5228"/>
      <c r="E5228"/>
      <c r="F5228"/>
      <c r="G5228"/>
      <c r="H5228"/>
      <c r="I5228"/>
      <c r="J5228"/>
      <c r="K5228"/>
    </row>
    <row r="5229" spans="1:11">
      <c r="A5229"/>
      <c r="B5229"/>
      <c r="C5229"/>
      <c r="D5229"/>
      <c r="E5229"/>
      <c r="F5229"/>
      <c r="G5229"/>
      <c r="H5229"/>
      <c r="I5229"/>
      <c r="J5229"/>
      <c r="K5229"/>
    </row>
    <row r="5230" spans="1:11">
      <c r="A5230"/>
      <c r="B5230"/>
      <c r="C5230"/>
      <c r="D5230"/>
      <c r="E5230"/>
      <c r="F5230"/>
      <c r="G5230"/>
      <c r="H5230"/>
      <c r="I5230"/>
      <c r="J5230"/>
      <c r="K5230"/>
    </row>
    <row r="5231" spans="1:11">
      <c r="A5231"/>
      <c r="B5231"/>
      <c r="C5231"/>
      <c r="D5231"/>
      <c r="E5231"/>
      <c r="F5231"/>
      <c r="G5231"/>
      <c r="H5231"/>
      <c r="I5231"/>
      <c r="J5231"/>
      <c r="K5231"/>
    </row>
    <row r="5232" spans="1:11">
      <c r="A5232"/>
      <c r="B5232"/>
      <c r="C5232"/>
      <c r="D5232"/>
      <c r="E5232"/>
      <c r="F5232"/>
      <c r="G5232"/>
      <c r="H5232"/>
      <c r="I5232"/>
      <c r="J5232"/>
      <c r="K5232"/>
    </row>
    <row r="5233" spans="1:11">
      <c r="A5233"/>
      <c r="B5233"/>
      <c r="C5233"/>
      <c r="D5233"/>
      <c r="E5233"/>
      <c r="F5233"/>
      <c r="G5233"/>
      <c r="H5233"/>
      <c r="I5233"/>
      <c r="J5233"/>
      <c r="K5233"/>
    </row>
    <row r="5234" spans="1:11">
      <c r="A5234"/>
      <c r="B5234"/>
      <c r="C5234"/>
      <c r="D5234"/>
      <c r="E5234"/>
      <c r="F5234"/>
      <c r="G5234"/>
      <c r="H5234"/>
      <c r="I5234"/>
      <c r="J5234"/>
      <c r="K5234"/>
    </row>
    <row r="5235" spans="1:11">
      <c r="A5235"/>
      <c r="B5235"/>
      <c r="C5235"/>
      <c r="D5235"/>
      <c r="E5235"/>
      <c r="F5235"/>
      <c r="G5235"/>
      <c r="H5235"/>
      <c r="I5235"/>
      <c r="J5235"/>
      <c r="K5235"/>
    </row>
    <row r="5236" spans="1:11">
      <c r="A5236"/>
      <c r="B5236"/>
      <c r="C5236"/>
      <c r="D5236"/>
      <c r="E5236"/>
      <c r="F5236"/>
      <c r="G5236"/>
      <c r="H5236"/>
      <c r="I5236"/>
      <c r="J5236"/>
      <c r="K5236"/>
    </row>
    <row r="5237" spans="1:11">
      <c r="A5237"/>
      <c r="B5237"/>
      <c r="C5237"/>
      <c r="D5237"/>
      <c r="E5237"/>
      <c r="F5237"/>
      <c r="G5237"/>
      <c r="H5237"/>
      <c r="I5237"/>
      <c r="J5237"/>
      <c r="K5237"/>
    </row>
    <row r="5238" spans="1:11">
      <c r="A5238"/>
      <c r="B5238"/>
      <c r="C5238"/>
      <c r="D5238"/>
      <c r="E5238"/>
      <c r="F5238"/>
      <c r="G5238"/>
      <c r="H5238"/>
      <c r="I5238"/>
      <c r="J5238"/>
      <c r="K5238"/>
    </row>
    <row r="5239" spans="1:11">
      <c r="A5239"/>
      <c r="B5239"/>
      <c r="C5239"/>
      <c r="D5239"/>
      <c r="E5239"/>
      <c r="F5239"/>
      <c r="G5239"/>
      <c r="H5239"/>
      <c r="I5239"/>
      <c r="J5239"/>
      <c r="K5239"/>
    </row>
    <row r="5240" spans="1:11">
      <c r="A5240"/>
      <c r="B5240"/>
      <c r="C5240"/>
      <c r="D5240"/>
      <c r="E5240"/>
      <c r="F5240"/>
      <c r="G5240"/>
      <c r="H5240"/>
      <c r="I5240"/>
      <c r="J5240"/>
      <c r="K5240"/>
    </row>
    <row r="5241" spans="1:11">
      <c r="A5241"/>
      <c r="B5241"/>
      <c r="C5241"/>
      <c r="D5241"/>
      <c r="E5241"/>
      <c r="F5241"/>
      <c r="G5241"/>
      <c r="H5241"/>
      <c r="I5241"/>
      <c r="J5241"/>
      <c r="K5241"/>
    </row>
    <row r="5242" spans="1:11">
      <c r="A5242"/>
      <c r="B5242"/>
      <c r="C5242"/>
      <c r="D5242"/>
      <c r="E5242"/>
      <c r="F5242"/>
      <c r="G5242"/>
      <c r="H5242"/>
      <c r="I5242"/>
      <c r="J5242"/>
      <c r="K5242"/>
    </row>
    <row r="5243" spans="1:11">
      <c r="A5243"/>
      <c r="B5243"/>
      <c r="C5243"/>
      <c r="D5243"/>
      <c r="E5243"/>
      <c r="F5243"/>
      <c r="G5243"/>
      <c r="H5243"/>
      <c r="I5243"/>
      <c r="J5243"/>
      <c r="K5243"/>
    </row>
    <row r="5244" spans="1:11">
      <c r="A5244"/>
      <c r="B5244"/>
      <c r="C5244"/>
      <c r="D5244"/>
      <c r="E5244"/>
      <c r="F5244"/>
      <c r="G5244"/>
      <c r="H5244"/>
      <c r="I5244"/>
      <c r="J5244"/>
      <c r="K5244"/>
    </row>
    <row r="5245" spans="1:11">
      <c r="A5245"/>
      <c r="B5245"/>
      <c r="C5245"/>
      <c r="D5245"/>
      <c r="E5245"/>
      <c r="F5245"/>
      <c r="G5245"/>
      <c r="H5245"/>
      <c r="I5245"/>
      <c r="J5245"/>
      <c r="K5245"/>
    </row>
    <row r="5246" spans="1:11">
      <c r="A5246"/>
      <c r="B5246"/>
      <c r="C5246"/>
      <c r="D5246"/>
      <c r="E5246"/>
      <c r="F5246"/>
      <c r="G5246"/>
      <c r="H5246"/>
      <c r="I5246"/>
      <c r="J5246"/>
      <c r="K5246"/>
    </row>
    <row r="5247" spans="1:11">
      <c r="A5247"/>
      <c r="B5247"/>
      <c r="C5247"/>
      <c r="D5247"/>
      <c r="E5247"/>
      <c r="F5247"/>
      <c r="G5247"/>
      <c r="H5247"/>
      <c r="I5247"/>
      <c r="J5247"/>
      <c r="K5247"/>
    </row>
    <row r="5248" spans="1:11">
      <c r="A5248"/>
      <c r="B5248"/>
      <c r="C5248"/>
      <c r="D5248"/>
      <c r="E5248"/>
      <c r="F5248"/>
      <c r="G5248"/>
      <c r="H5248"/>
      <c r="I5248"/>
      <c r="J5248"/>
      <c r="K5248"/>
    </row>
    <row r="5249" spans="1:11">
      <c r="A5249"/>
      <c r="B5249"/>
      <c r="C5249"/>
      <c r="D5249"/>
      <c r="E5249"/>
      <c r="F5249"/>
      <c r="G5249"/>
      <c r="H5249"/>
      <c r="I5249"/>
      <c r="J5249"/>
      <c r="K5249"/>
    </row>
    <row r="5250" spans="1:11">
      <c r="A5250"/>
      <c r="B5250"/>
      <c r="C5250"/>
      <c r="D5250"/>
      <c r="E5250"/>
      <c r="F5250"/>
      <c r="G5250"/>
      <c r="H5250"/>
      <c r="I5250"/>
      <c r="J5250"/>
      <c r="K5250"/>
    </row>
    <row r="5251" spans="1:11">
      <c r="A5251"/>
      <c r="B5251"/>
      <c r="C5251"/>
      <c r="D5251"/>
      <c r="E5251"/>
      <c r="F5251"/>
      <c r="G5251"/>
      <c r="H5251"/>
      <c r="I5251"/>
      <c r="J5251"/>
      <c r="K5251"/>
    </row>
    <row r="5252" spans="1:11">
      <c r="A5252"/>
      <c r="B5252"/>
      <c r="C5252"/>
      <c r="D5252"/>
      <c r="E5252"/>
      <c r="F5252"/>
      <c r="G5252"/>
      <c r="H5252"/>
      <c r="I5252"/>
      <c r="J5252"/>
      <c r="K5252"/>
    </row>
    <row r="5253" spans="1:11">
      <c r="A5253"/>
      <c r="B5253"/>
      <c r="C5253"/>
      <c r="D5253"/>
      <c r="E5253"/>
      <c r="F5253"/>
      <c r="G5253"/>
      <c r="H5253"/>
      <c r="I5253"/>
      <c r="J5253"/>
      <c r="K5253"/>
    </row>
    <row r="5254" spans="1:11">
      <c r="A5254"/>
      <c r="B5254"/>
      <c r="C5254"/>
      <c r="D5254"/>
      <c r="E5254"/>
      <c r="F5254"/>
      <c r="G5254"/>
      <c r="H5254"/>
      <c r="I5254"/>
      <c r="J5254"/>
      <c r="K5254"/>
    </row>
    <row r="5255" spans="1:11">
      <c r="A5255"/>
      <c r="B5255"/>
      <c r="C5255"/>
      <c r="D5255"/>
      <c r="E5255"/>
      <c r="F5255"/>
      <c r="G5255"/>
      <c r="H5255"/>
      <c r="I5255"/>
      <c r="J5255"/>
      <c r="K5255"/>
    </row>
    <row r="5256" spans="1:11">
      <c r="A5256"/>
      <c r="B5256"/>
      <c r="C5256"/>
      <c r="D5256"/>
      <c r="E5256"/>
      <c r="F5256"/>
      <c r="G5256"/>
      <c r="H5256"/>
      <c r="I5256"/>
      <c r="J5256"/>
      <c r="K5256"/>
    </row>
    <row r="5257" spans="1:11">
      <c r="A5257"/>
      <c r="B5257"/>
      <c r="C5257"/>
      <c r="D5257"/>
      <c r="E5257"/>
      <c r="F5257"/>
      <c r="G5257"/>
      <c r="H5257"/>
      <c r="I5257"/>
      <c r="J5257"/>
      <c r="K5257"/>
    </row>
    <row r="5258" spans="1:11">
      <c r="A5258"/>
      <c r="B5258"/>
      <c r="C5258"/>
      <c r="D5258"/>
      <c r="E5258"/>
      <c r="F5258"/>
      <c r="G5258"/>
      <c r="H5258"/>
      <c r="I5258"/>
      <c r="J5258"/>
      <c r="K5258"/>
    </row>
    <row r="5259" spans="1:11">
      <c r="A5259"/>
      <c r="B5259"/>
      <c r="C5259"/>
      <c r="D5259"/>
      <c r="E5259"/>
      <c r="F5259"/>
      <c r="G5259"/>
      <c r="H5259"/>
      <c r="I5259"/>
      <c r="J5259"/>
      <c r="K5259"/>
    </row>
    <row r="5260" spans="1:11">
      <c r="A5260"/>
      <c r="B5260"/>
      <c r="C5260"/>
      <c r="D5260"/>
      <c r="E5260"/>
      <c r="F5260"/>
      <c r="G5260"/>
      <c r="H5260"/>
      <c r="I5260"/>
      <c r="J5260"/>
      <c r="K5260"/>
    </row>
    <row r="5261" spans="1:11">
      <c r="A5261"/>
      <c r="B5261"/>
      <c r="C5261"/>
      <c r="D5261"/>
      <c r="E5261"/>
      <c r="F5261"/>
      <c r="G5261"/>
      <c r="H5261"/>
      <c r="I5261"/>
      <c r="J5261"/>
      <c r="K5261"/>
    </row>
    <row r="5262" spans="1:11">
      <c r="A5262"/>
      <c r="B5262"/>
      <c r="C5262"/>
      <c r="D5262"/>
      <c r="E5262"/>
      <c r="F5262"/>
      <c r="G5262"/>
      <c r="H5262"/>
      <c r="I5262"/>
      <c r="J5262"/>
      <c r="K5262"/>
    </row>
    <row r="5263" spans="1:11">
      <c r="A5263"/>
      <c r="B5263"/>
      <c r="C5263"/>
      <c r="D5263"/>
      <c r="E5263"/>
      <c r="F5263"/>
      <c r="G5263"/>
      <c r="H5263"/>
      <c r="I5263"/>
      <c r="J5263"/>
      <c r="K5263"/>
    </row>
    <row r="5264" spans="1:11">
      <c r="A5264"/>
      <c r="B5264"/>
      <c r="C5264"/>
      <c r="D5264"/>
      <c r="E5264"/>
      <c r="F5264"/>
      <c r="G5264"/>
      <c r="H5264"/>
      <c r="I5264"/>
      <c r="J5264"/>
      <c r="K5264"/>
    </row>
    <row r="5265" spans="1:11">
      <c r="A5265"/>
      <c r="B5265"/>
      <c r="C5265"/>
      <c r="D5265"/>
      <c r="E5265"/>
      <c r="F5265"/>
      <c r="G5265"/>
      <c r="H5265"/>
      <c r="I5265"/>
      <c r="J5265"/>
      <c r="K5265"/>
    </row>
    <row r="5266" spans="1:11">
      <c r="A5266"/>
      <c r="B5266"/>
      <c r="C5266"/>
      <c r="D5266"/>
      <c r="E5266"/>
      <c r="F5266"/>
      <c r="G5266"/>
      <c r="H5266"/>
      <c r="I5266"/>
      <c r="J5266"/>
      <c r="K5266"/>
    </row>
    <row r="5267" spans="1:11">
      <c r="A5267"/>
      <c r="B5267"/>
      <c r="C5267"/>
      <c r="D5267"/>
      <c r="E5267"/>
      <c r="F5267"/>
      <c r="G5267"/>
      <c r="H5267"/>
      <c r="I5267"/>
      <c r="J5267"/>
      <c r="K5267"/>
    </row>
    <row r="5268" spans="1:11">
      <c r="A5268"/>
      <c r="B5268"/>
      <c r="C5268"/>
      <c r="D5268"/>
      <c r="E5268"/>
      <c r="F5268"/>
      <c r="G5268"/>
      <c r="H5268"/>
      <c r="I5268"/>
      <c r="J5268"/>
      <c r="K5268"/>
    </row>
    <row r="5269" spans="1:11">
      <c r="A5269"/>
      <c r="B5269"/>
      <c r="C5269"/>
      <c r="D5269"/>
      <c r="E5269"/>
      <c r="F5269"/>
      <c r="G5269"/>
      <c r="H5269"/>
      <c r="I5269"/>
      <c r="J5269"/>
      <c r="K5269"/>
    </row>
    <row r="5270" spans="1:11">
      <c r="A5270"/>
      <c r="B5270"/>
      <c r="C5270"/>
      <c r="D5270"/>
      <c r="E5270"/>
      <c r="F5270"/>
      <c r="G5270"/>
      <c r="H5270"/>
      <c r="I5270"/>
      <c r="J5270"/>
      <c r="K5270"/>
    </row>
    <row r="5271" spans="1:11">
      <c r="A5271"/>
      <c r="B5271"/>
      <c r="C5271"/>
      <c r="D5271"/>
      <c r="E5271"/>
      <c r="F5271"/>
      <c r="G5271"/>
      <c r="H5271"/>
      <c r="I5271"/>
      <c r="J5271"/>
      <c r="K5271"/>
    </row>
    <row r="5272" spans="1:11">
      <c r="A5272"/>
      <c r="B5272"/>
      <c r="C5272"/>
      <c r="D5272"/>
      <c r="E5272"/>
      <c r="F5272"/>
      <c r="G5272"/>
      <c r="H5272"/>
      <c r="I5272"/>
      <c r="J5272"/>
      <c r="K5272"/>
    </row>
    <row r="5273" spans="1:11">
      <c r="A5273"/>
      <c r="B5273"/>
      <c r="C5273"/>
      <c r="D5273"/>
      <c r="E5273"/>
      <c r="F5273"/>
      <c r="G5273"/>
      <c r="H5273"/>
      <c r="I5273"/>
      <c r="J5273"/>
      <c r="K5273"/>
    </row>
    <row r="5274" spans="1:11">
      <c r="A5274"/>
      <c r="B5274"/>
      <c r="C5274"/>
      <c r="D5274"/>
      <c r="E5274"/>
      <c r="F5274"/>
      <c r="G5274"/>
      <c r="H5274"/>
      <c r="I5274"/>
      <c r="J5274"/>
      <c r="K5274"/>
    </row>
    <row r="5275" spans="1:11">
      <c r="A5275"/>
      <c r="B5275"/>
      <c r="C5275"/>
      <c r="D5275"/>
      <c r="E5275"/>
      <c r="F5275"/>
      <c r="G5275"/>
      <c r="H5275"/>
      <c r="I5275"/>
      <c r="J5275"/>
      <c r="K5275"/>
    </row>
    <row r="5276" spans="1:11">
      <c r="A5276"/>
      <c r="B5276"/>
      <c r="C5276"/>
      <c r="D5276"/>
      <c r="E5276"/>
      <c r="F5276"/>
      <c r="G5276"/>
      <c r="H5276"/>
      <c r="I5276"/>
      <c r="J5276"/>
      <c r="K5276"/>
    </row>
    <row r="5277" spans="1:11">
      <c r="A5277"/>
      <c r="B5277"/>
      <c r="C5277"/>
      <c r="D5277"/>
      <c r="E5277"/>
      <c r="F5277"/>
      <c r="G5277"/>
      <c r="H5277"/>
      <c r="I5277"/>
      <c r="J5277"/>
      <c r="K5277"/>
    </row>
    <row r="5278" spans="1:11">
      <c r="A5278"/>
      <c r="B5278"/>
      <c r="C5278"/>
      <c r="D5278"/>
      <c r="E5278"/>
      <c r="F5278"/>
      <c r="G5278"/>
      <c r="H5278"/>
      <c r="I5278"/>
      <c r="J5278"/>
      <c r="K5278"/>
    </row>
    <row r="5279" spans="1:11">
      <c r="A5279"/>
      <c r="B5279"/>
      <c r="C5279"/>
      <c r="D5279"/>
      <c r="E5279"/>
      <c r="F5279"/>
      <c r="G5279"/>
      <c r="H5279"/>
      <c r="I5279"/>
      <c r="J5279"/>
      <c r="K5279"/>
    </row>
    <row r="5280" spans="1:11">
      <c r="A5280"/>
      <c r="B5280"/>
      <c r="C5280"/>
      <c r="D5280"/>
      <c r="E5280"/>
      <c r="F5280"/>
      <c r="G5280"/>
      <c r="H5280"/>
      <c r="I5280"/>
      <c r="J5280"/>
      <c r="K5280"/>
    </row>
    <row r="5281" spans="1:11">
      <c r="A5281"/>
      <c r="B5281"/>
      <c r="C5281"/>
      <c r="D5281"/>
      <c r="E5281"/>
      <c r="F5281"/>
      <c r="G5281"/>
      <c r="H5281"/>
      <c r="I5281"/>
      <c r="J5281"/>
      <c r="K5281"/>
    </row>
    <row r="5282" spans="1:11">
      <c r="A5282"/>
      <c r="B5282"/>
      <c r="C5282"/>
      <c r="D5282"/>
      <c r="E5282"/>
      <c r="F5282"/>
      <c r="G5282"/>
      <c r="H5282"/>
      <c r="I5282"/>
      <c r="J5282"/>
      <c r="K5282"/>
    </row>
    <row r="5283" spans="1:11">
      <c r="A5283"/>
      <c r="B5283"/>
      <c r="C5283"/>
      <c r="D5283"/>
      <c r="E5283"/>
      <c r="F5283"/>
      <c r="G5283"/>
      <c r="H5283"/>
      <c r="I5283"/>
      <c r="J5283"/>
      <c r="K5283"/>
    </row>
    <row r="5284" spans="1:11">
      <c r="A5284"/>
      <c r="B5284"/>
      <c r="C5284"/>
      <c r="D5284"/>
      <c r="E5284"/>
      <c r="F5284"/>
      <c r="G5284"/>
      <c r="H5284"/>
      <c r="I5284"/>
      <c r="J5284"/>
      <c r="K5284"/>
    </row>
    <row r="5285" spans="1:11">
      <c r="A5285"/>
      <c r="B5285"/>
      <c r="C5285"/>
      <c r="D5285"/>
      <c r="E5285"/>
      <c r="F5285"/>
      <c r="G5285"/>
      <c r="H5285"/>
      <c r="I5285"/>
      <c r="J5285"/>
      <c r="K5285"/>
    </row>
    <row r="5286" spans="1:11">
      <c r="A5286"/>
      <c r="B5286"/>
      <c r="C5286"/>
      <c r="D5286"/>
      <c r="E5286"/>
      <c r="F5286"/>
      <c r="G5286"/>
      <c r="H5286"/>
      <c r="I5286"/>
      <c r="J5286"/>
      <c r="K5286"/>
    </row>
    <row r="5287" spans="1:11">
      <c r="A5287"/>
      <c r="B5287"/>
      <c r="C5287"/>
      <c r="D5287"/>
      <c r="E5287"/>
      <c r="F5287"/>
      <c r="G5287"/>
      <c r="H5287"/>
      <c r="I5287"/>
      <c r="J5287"/>
      <c r="K5287"/>
    </row>
    <row r="5288" spans="1:11">
      <c r="A5288"/>
      <c r="B5288"/>
      <c r="C5288"/>
      <c r="D5288"/>
      <c r="E5288"/>
      <c r="F5288"/>
      <c r="G5288"/>
      <c r="H5288"/>
      <c r="I5288"/>
      <c r="J5288"/>
      <c r="K5288"/>
    </row>
    <row r="5289" spans="1:11">
      <c r="A5289"/>
      <c r="B5289"/>
      <c r="C5289"/>
      <c r="D5289"/>
      <c r="E5289"/>
      <c r="F5289"/>
      <c r="G5289"/>
      <c r="H5289"/>
      <c r="I5289"/>
      <c r="J5289"/>
      <c r="K5289"/>
    </row>
    <row r="5290" spans="1:11">
      <c r="A5290"/>
      <c r="B5290"/>
      <c r="C5290"/>
      <c r="D5290"/>
      <c r="E5290"/>
      <c r="F5290"/>
      <c r="G5290"/>
      <c r="H5290"/>
      <c r="I5290"/>
      <c r="J5290"/>
      <c r="K5290"/>
    </row>
    <row r="5291" spans="1:11">
      <c r="A5291"/>
      <c r="B5291"/>
      <c r="C5291"/>
      <c r="D5291"/>
      <c r="E5291"/>
      <c r="F5291"/>
      <c r="G5291"/>
      <c r="H5291"/>
      <c r="I5291"/>
      <c r="J5291"/>
      <c r="K5291"/>
    </row>
    <row r="5292" spans="1:11">
      <c r="A5292"/>
      <c r="B5292"/>
      <c r="C5292"/>
      <c r="D5292"/>
      <c r="E5292"/>
      <c r="F5292"/>
      <c r="G5292"/>
      <c r="H5292"/>
      <c r="I5292"/>
      <c r="J5292"/>
      <c r="K5292"/>
    </row>
    <row r="5293" spans="1:11">
      <c r="A5293"/>
      <c r="B5293"/>
      <c r="C5293"/>
      <c r="D5293"/>
      <c r="E5293"/>
      <c r="F5293"/>
      <c r="G5293"/>
      <c r="H5293"/>
      <c r="I5293"/>
      <c r="J5293"/>
      <c r="K5293"/>
    </row>
    <row r="5294" spans="1:11">
      <c r="A5294"/>
      <c r="B5294"/>
      <c r="C5294"/>
      <c r="D5294"/>
      <c r="E5294"/>
      <c r="F5294"/>
      <c r="G5294"/>
      <c r="H5294"/>
      <c r="I5294"/>
      <c r="J5294"/>
      <c r="K5294"/>
    </row>
    <row r="5295" spans="1:11">
      <c r="A5295"/>
      <c r="B5295"/>
      <c r="C5295"/>
      <c r="D5295"/>
      <c r="E5295"/>
      <c r="F5295"/>
      <c r="G5295"/>
      <c r="H5295"/>
      <c r="I5295"/>
      <c r="J5295"/>
      <c r="K5295"/>
    </row>
    <row r="5296" spans="1:11">
      <c r="A5296"/>
      <c r="B5296"/>
      <c r="C5296"/>
      <c r="D5296"/>
      <c r="E5296"/>
      <c r="F5296"/>
      <c r="G5296"/>
      <c r="H5296"/>
      <c r="I5296"/>
      <c r="J5296"/>
      <c r="K5296"/>
    </row>
    <row r="5297" spans="1:11">
      <c r="A5297"/>
      <c r="B5297"/>
      <c r="C5297"/>
      <c r="D5297"/>
      <c r="E5297"/>
      <c r="F5297"/>
      <c r="G5297"/>
      <c r="H5297"/>
      <c r="I5297"/>
      <c r="J5297"/>
      <c r="K5297"/>
    </row>
    <row r="5298" spans="1:11">
      <c r="A5298"/>
      <c r="B5298"/>
      <c r="C5298"/>
      <c r="D5298"/>
      <c r="E5298"/>
      <c r="F5298"/>
      <c r="G5298"/>
      <c r="H5298"/>
      <c r="I5298"/>
      <c r="J5298"/>
      <c r="K5298"/>
    </row>
    <row r="5299" spans="1:11">
      <c r="A5299"/>
      <c r="B5299"/>
      <c r="C5299"/>
      <c r="D5299"/>
      <c r="E5299"/>
      <c r="F5299"/>
      <c r="G5299"/>
      <c r="H5299"/>
      <c r="I5299"/>
      <c r="J5299"/>
      <c r="K5299"/>
    </row>
    <row r="5300" spans="1:11">
      <c r="A5300"/>
      <c r="B5300"/>
      <c r="C5300"/>
      <c r="D5300"/>
      <c r="E5300"/>
      <c r="F5300"/>
      <c r="G5300"/>
      <c r="H5300"/>
      <c r="I5300"/>
      <c r="J5300"/>
      <c r="K5300"/>
    </row>
    <row r="5301" spans="1:11">
      <c r="A5301"/>
      <c r="B5301"/>
      <c r="C5301"/>
      <c r="D5301"/>
      <c r="E5301"/>
      <c r="F5301"/>
      <c r="G5301"/>
      <c r="H5301"/>
      <c r="I5301"/>
      <c r="J5301"/>
      <c r="K5301"/>
    </row>
    <row r="5302" spans="1:11">
      <c r="A5302"/>
      <c r="B5302"/>
      <c r="C5302"/>
      <c r="D5302"/>
      <c r="E5302"/>
      <c r="F5302"/>
      <c r="G5302"/>
      <c r="H5302"/>
      <c r="I5302"/>
      <c r="J5302"/>
      <c r="K5302"/>
    </row>
    <row r="5303" spans="1:11">
      <c r="A5303"/>
      <c r="B5303"/>
      <c r="C5303"/>
      <c r="D5303"/>
      <c r="E5303"/>
      <c r="F5303"/>
      <c r="G5303"/>
      <c r="H5303"/>
      <c r="I5303"/>
      <c r="J5303"/>
      <c r="K5303"/>
    </row>
    <row r="5304" spans="1:11">
      <c r="A5304"/>
      <c r="B5304"/>
      <c r="C5304"/>
      <c r="D5304"/>
      <c r="E5304"/>
      <c r="F5304"/>
      <c r="G5304"/>
      <c r="H5304"/>
      <c r="I5304"/>
      <c r="J5304"/>
      <c r="K5304"/>
    </row>
    <row r="5305" spans="1:11">
      <c r="A5305"/>
      <c r="B5305"/>
      <c r="C5305"/>
      <c r="D5305"/>
      <c r="E5305"/>
      <c r="F5305"/>
      <c r="G5305"/>
      <c r="H5305"/>
      <c r="I5305"/>
      <c r="J5305"/>
      <c r="K5305"/>
    </row>
    <row r="5306" spans="1:11">
      <c r="A5306"/>
      <c r="B5306"/>
      <c r="C5306"/>
      <c r="D5306"/>
      <c r="E5306"/>
      <c r="F5306"/>
      <c r="G5306"/>
      <c r="H5306"/>
      <c r="I5306"/>
      <c r="J5306"/>
      <c r="K5306"/>
    </row>
    <row r="5307" spans="1:11">
      <c r="A5307"/>
      <c r="B5307"/>
      <c r="C5307"/>
      <c r="D5307"/>
      <c r="E5307"/>
      <c r="F5307"/>
      <c r="G5307"/>
      <c r="H5307"/>
      <c r="I5307"/>
      <c r="J5307"/>
      <c r="K5307"/>
    </row>
    <row r="5308" spans="1:11">
      <c r="A5308"/>
      <c r="B5308"/>
      <c r="C5308"/>
      <c r="D5308"/>
      <c r="E5308"/>
      <c r="F5308"/>
      <c r="G5308"/>
      <c r="H5308"/>
      <c r="I5308"/>
      <c r="J5308"/>
      <c r="K5308"/>
    </row>
    <row r="5309" spans="1:11">
      <c r="A5309"/>
      <c r="B5309"/>
      <c r="C5309"/>
      <c r="D5309"/>
      <c r="E5309"/>
      <c r="F5309"/>
      <c r="G5309"/>
      <c r="H5309"/>
      <c r="I5309"/>
      <c r="J5309"/>
      <c r="K5309"/>
    </row>
    <row r="5310" spans="1:11">
      <c r="A5310"/>
      <c r="B5310"/>
      <c r="C5310"/>
      <c r="D5310"/>
      <c r="E5310"/>
      <c r="F5310"/>
      <c r="G5310"/>
      <c r="H5310"/>
      <c r="I5310"/>
      <c r="J5310"/>
      <c r="K5310"/>
    </row>
    <row r="5311" spans="1:11">
      <c r="A5311"/>
      <c r="B5311"/>
      <c r="C5311"/>
      <c r="D5311"/>
      <c r="E5311"/>
      <c r="F5311"/>
      <c r="G5311"/>
      <c r="H5311"/>
      <c r="I5311"/>
      <c r="J5311"/>
      <c r="K5311"/>
    </row>
    <row r="5312" spans="1:11">
      <c r="A5312"/>
      <c r="B5312"/>
      <c r="C5312"/>
      <c r="D5312"/>
      <c r="E5312"/>
      <c r="F5312"/>
      <c r="G5312"/>
      <c r="H5312"/>
      <c r="I5312"/>
      <c r="J5312"/>
      <c r="K5312"/>
    </row>
    <row r="5313" spans="1:11">
      <c r="A5313"/>
      <c r="B5313"/>
      <c r="C5313"/>
      <c r="D5313"/>
      <c r="E5313"/>
      <c r="F5313"/>
      <c r="G5313"/>
      <c r="H5313"/>
      <c r="I5313"/>
      <c r="J5313"/>
      <c r="K5313"/>
    </row>
    <row r="5314" spans="1:11">
      <c r="A5314"/>
      <c r="B5314"/>
      <c r="C5314"/>
      <c r="D5314"/>
      <c r="E5314"/>
      <c r="F5314"/>
      <c r="G5314"/>
      <c r="H5314"/>
      <c r="I5314"/>
      <c r="J5314"/>
      <c r="K5314"/>
    </row>
    <row r="5315" spans="1:11">
      <c r="A5315"/>
      <c r="B5315"/>
      <c r="C5315"/>
      <c r="D5315"/>
      <c r="E5315"/>
      <c r="F5315"/>
      <c r="G5315"/>
      <c r="H5315"/>
      <c r="I5315"/>
      <c r="J5315"/>
      <c r="K5315"/>
    </row>
    <row r="5316" spans="1:11">
      <c r="A5316"/>
      <c r="B5316"/>
      <c r="C5316"/>
      <c r="D5316"/>
      <c r="E5316"/>
      <c r="F5316"/>
      <c r="G5316"/>
      <c r="H5316"/>
      <c r="I5316"/>
      <c r="J5316"/>
      <c r="K5316"/>
    </row>
    <row r="5317" spans="1:11">
      <c r="A5317"/>
      <c r="B5317"/>
      <c r="C5317"/>
      <c r="D5317"/>
      <c r="E5317"/>
      <c r="F5317"/>
      <c r="G5317"/>
      <c r="H5317"/>
      <c r="I5317"/>
      <c r="J5317"/>
      <c r="K5317"/>
    </row>
    <row r="5318" spans="1:11">
      <c r="A5318"/>
      <c r="B5318"/>
      <c r="C5318"/>
      <c r="D5318"/>
      <c r="E5318"/>
      <c r="F5318"/>
      <c r="G5318"/>
      <c r="H5318"/>
      <c r="I5318"/>
      <c r="J5318"/>
      <c r="K5318"/>
    </row>
    <row r="5319" spans="1:11">
      <c r="A5319"/>
      <c r="B5319"/>
      <c r="C5319"/>
      <c r="D5319"/>
      <c r="E5319"/>
      <c r="F5319"/>
      <c r="G5319"/>
      <c r="H5319"/>
      <c r="I5319"/>
      <c r="J5319"/>
      <c r="K5319"/>
    </row>
    <row r="5320" spans="1:11">
      <c r="A5320"/>
      <c r="B5320"/>
      <c r="C5320"/>
      <c r="D5320"/>
      <c r="E5320"/>
      <c r="F5320"/>
      <c r="G5320"/>
      <c r="H5320"/>
      <c r="I5320"/>
      <c r="J5320"/>
      <c r="K5320"/>
    </row>
    <row r="5321" spans="1:11">
      <c r="A5321"/>
      <c r="B5321"/>
      <c r="C5321"/>
      <c r="D5321"/>
      <c r="E5321"/>
      <c r="F5321"/>
      <c r="G5321"/>
      <c r="H5321"/>
      <c r="I5321"/>
      <c r="J5321"/>
      <c r="K5321"/>
    </row>
    <row r="5322" spans="1:11">
      <c r="A5322"/>
      <c r="B5322"/>
      <c r="C5322"/>
      <c r="D5322"/>
      <c r="E5322"/>
      <c r="F5322"/>
      <c r="G5322"/>
      <c r="H5322"/>
      <c r="I5322"/>
      <c r="J5322"/>
      <c r="K5322"/>
    </row>
    <row r="5323" spans="1:11">
      <c r="A5323"/>
      <c r="B5323"/>
      <c r="C5323"/>
      <c r="D5323"/>
      <c r="E5323"/>
      <c r="F5323"/>
      <c r="G5323"/>
      <c r="H5323"/>
      <c r="I5323"/>
      <c r="J5323"/>
      <c r="K5323"/>
    </row>
    <row r="5324" spans="1:11">
      <c r="A5324"/>
      <c r="B5324"/>
      <c r="C5324"/>
      <c r="D5324"/>
      <c r="E5324"/>
      <c r="F5324"/>
      <c r="G5324"/>
      <c r="H5324"/>
      <c r="I5324"/>
      <c r="J5324"/>
      <c r="K5324"/>
    </row>
    <row r="5325" spans="1:11">
      <c r="A5325"/>
      <c r="B5325"/>
      <c r="C5325"/>
      <c r="D5325"/>
      <c r="E5325"/>
      <c r="F5325"/>
      <c r="G5325"/>
      <c r="H5325"/>
      <c r="I5325"/>
      <c r="J5325"/>
      <c r="K5325"/>
    </row>
    <row r="5326" spans="1:11">
      <c r="A5326"/>
      <c r="B5326"/>
      <c r="C5326"/>
      <c r="D5326"/>
      <c r="E5326"/>
      <c r="F5326"/>
      <c r="G5326"/>
      <c r="H5326"/>
      <c r="I5326"/>
      <c r="J5326"/>
      <c r="K5326"/>
    </row>
    <row r="5327" spans="1:11">
      <c r="A5327"/>
      <c r="B5327"/>
      <c r="C5327"/>
      <c r="D5327"/>
      <c r="E5327"/>
      <c r="F5327"/>
      <c r="G5327"/>
      <c r="H5327"/>
      <c r="I5327"/>
      <c r="J5327"/>
      <c r="K5327"/>
    </row>
    <row r="5328" spans="1:11">
      <c r="A5328"/>
      <c r="B5328"/>
      <c r="C5328"/>
      <c r="D5328"/>
      <c r="E5328"/>
      <c r="F5328"/>
      <c r="G5328"/>
      <c r="H5328"/>
      <c r="I5328"/>
      <c r="J5328"/>
      <c r="K5328"/>
    </row>
    <row r="5329" spans="1:11">
      <c r="A5329"/>
      <c r="B5329"/>
      <c r="C5329"/>
      <c r="D5329"/>
      <c r="E5329"/>
      <c r="F5329"/>
      <c r="G5329"/>
      <c r="H5329"/>
      <c r="I5329"/>
      <c r="J5329"/>
      <c r="K5329"/>
    </row>
    <row r="5330" spans="1:11">
      <c r="A5330"/>
      <c r="B5330"/>
      <c r="C5330"/>
      <c r="D5330"/>
      <c r="E5330"/>
      <c r="F5330"/>
      <c r="G5330"/>
      <c r="H5330"/>
      <c r="I5330"/>
      <c r="J5330"/>
      <c r="K5330"/>
    </row>
    <row r="5331" spans="1:11">
      <c r="A5331"/>
      <c r="B5331"/>
      <c r="C5331"/>
      <c r="D5331"/>
      <c r="E5331"/>
      <c r="F5331"/>
      <c r="G5331"/>
      <c r="H5331"/>
      <c r="I5331"/>
      <c r="J5331"/>
      <c r="K5331"/>
    </row>
    <row r="5332" spans="1:11">
      <c r="A5332"/>
      <c r="B5332"/>
      <c r="C5332"/>
      <c r="D5332"/>
      <c r="E5332"/>
      <c r="F5332"/>
      <c r="G5332"/>
      <c r="H5332"/>
      <c r="I5332"/>
      <c r="J5332"/>
      <c r="K5332"/>
    </row>
    <row r="5333" spans="1:11">
      <c r="A5333"/>
      <c r="B5333"/>
      <c r="C5333"/>
      <c r="D5333"/>
      <c r="E5333"/>
      <c r="F5333"/>
      <c r="G5333"/>
      <c r="H5333"/>
      <c r="I5333"/>
      <c r="J5333"/>
      <c r="K5333"/>
    </row>
    <row r="5334" spans="1:11">
      <c r="A5334"/>
      <c r="B5334"/>
      <c r="C5334"/>
      <c r="D5334"/>
      <c r="E5334"/>
      <c r="F5334"/>
      <c r="G5334"/>
      <c r="H5334"/>
      <c r="I5334"/>
      <c r="J5334"/>
      <c r="K5334"/>
    </row>
    <row r="5335" spans="1:11">
      <c r="A5335"/>
      <c r="B5335"/>
      <c r="C5335"/>
      <c r="D5335"/>
      <c r="E5335"/>
      <c r="F5335"/>
      <c r="G5335"/>
      <c r="H5335"/>
      <c r="I5335"/>
      <c r="J5335"/>
      <c r="K5335"/>
    </row>
    <row r="5336" spans="1:11">
      <c r="A5336"/>
      <c r="B5336"/>
      <c r="C5336"/>
      <c r="D5336"/>
      <c r="E5336"/>
      <c r="F5336"/>
      <c r="G5336"/>
      <c r="H5336"/>
      <c r="I5336"/>
      <c r="J5336"/>
      <c r="K5336"/>
    </row>
    <row r="5337" spans="1:11">
      <c r="A5337"/>
      <c r="B5337"/>
      <c r="C5337"/>
      <c r="D5337"/>
      <c r="E5337"/>
      <c r="F5337"/>
      <c r="G5337"/>
      <c r="H5337"/>
      <c r="I5337"/>
      <c r="J5337"/>
      <c r="K5337"/>
    </row>
    <row r="5338" spans="1:11">
      <c r="A5338"/>
      <c r="B5338"/>
      <c r="C5338"/>
      <c r="D5338"/>
      <c r="E5338"/>
      <c r="F5338"/>
      <c r="G5338"/>
      <c r="H5338"/>
      <c r="I5338"/>
      <c r="J5338"/>
      <c r="K5338"/>
    </row>
    <row r="5339" spans="1:11">
      <c r="A5339"/>
      <c r="B5339"/>
      <c r="C5339"/>
      <c r="D5339"/>
      <c r="E5339"/>
      <c r="F5339"/>
      <c r="G5339"/>
      <c r="H5339"/>
      <c r="I5339"/>
      <c r="J5339"/>
      <c r="K5339"/>
    </row>
    <row r="5340" spans="1:11">
      <c r="A5340"/>
      <c r="B5340"/>
      <c r="C5340"/>
      <c r="D5340"/>
      <c r="E5340"/>
      <c r="F5340"/>
      <c r="G5340"/>
      <c r="H5340"/>
      <c r="I5340"/>
      <c r="J5340"/>
      <c r="K5340"/>
    </row>
    <row r="5341" spans="1:11">
      <c r="A5341"/>
      <c r="B5341"/>
      <c r="C5341"/>
      <c r="D5341"/>
      <c r="E5341"/>
      <c r="F5341"/>
      <c r="G5341"/>
      <c r="H5341"/>
      <c r="I5341"/>
      <c r="J5341"/>
      <c r="K5341"/>
    </row>
    <row r="5342" spans="1:11">
      <c r="A5342"/>
      <c r="B5342"/>
      <c r="C5342"/>
      <c r="D5342"/>
      <c r="E5342"/>
      <c r="F5342"/>
      <c r="G5342"/>
      <c r="H5342"/>
      <c r="I5342"/>
      <c r="J5342"/>
      <c r="K5342"/>
    </row>
    <row r="5343" spans="1:11">
      <c r="A5343"/>
      <c r="B5343"/>
      <c r="C5343"/>
      <c r="D5343"/>
      <c r="E5343"/>
      <c r="F5343"/>
      <c r="G5343"/>
      <c r="H5343"/>
      <c r="I5343"/>
      <c r="J5343"/>
      <c r="K5343"/>
    </row>
    <row r="5344" spans="1:11">
      <c r="A5344"/>
      <c r="B5344"/>
      <c r="C5344"/>
      <c r="D5344"/>
      <c r="E5344"/>
      <c r="F5344"/>
      <c r="G5344"/>
      <c r="H5344"/>
      <c r="I5344"/>
      <c r="J5344"/>
      <c r="K5344"/>
    </row>
    <row r="5345" spans="1:11">
      <c r="A5345"/>
      <c r="B5345"/>
      <c r="C5345"/>
      <c r="D5345"/>
      <c r="E5345"/>
      <c r="F5345"/>
      <c r="G5345"/>
      <c r="H5345"/>
      <c r="I5345"/>
      <c r="J5345"/>
      <c r="K5345"/>
    </row>
    <row r="5346" spans="1:11">
      <c r="A5346"/>
      <c r="B5346"/>
      <c r="C5346"/>
      <c r="D5346"/>
      <c r="E5346"/>
      <c r="F5346"/>
      <c r="G5346"/>
      <c r="H5346"/>
      <c r="I5346"/>
      <c r="J5346"/>
      <c r="K5346"/>
    </row>
    <row r="5347" spans="1:11">
      <c r="A5347"/>
      <c r="B5347"/>
      <c r="C5347"/>
      <c r="D5347"/>
      <c r="E5347"/>
      <c r="F5347"/>
      <c r="G5347"/>
      <c r="H5347"/>
      <c r="I5347"/>
      <c r="J5347"/>
      <c r="K5347"/>
    </row>
    <row r="5348" spans="1:11">
      <c r="A5348"/>
      <c r="B5348"/>
      <c r="C5348"/>
      <c r="D5348"/>
      <c r="E5348"/>
      <c r="F5348"/>
      <c r="G5348"/>
      <c r="H5348"/>
      <c r="I5348"/>
      <c r="J5348"/>
      <c r="K5348"/>
    </row>
    <row r="5349" spans="1:11">
      <c r="A5349"/>
      <c r="B5349"/>
      <c r="C5349"/>
      <c r="D5349"/>
      <c r="E5349"/>
      <c r="F5349"/>
      <c r="G5349"/>
      <c r="H5349"/>
      <c r="I5349"/>
      <c r="J5349"/>
      <c r="K5349"/>
    </row>
    <row r="5350" spans="1:11">
      <c r="A5350"/>
      <c r="B5350"/>
      <c r="C5350"/>
      <c r="D5350"/>
      <c r="E5350"/>
      <c r="F5350"/>
      <c r="G5350"/>
      <c r="H5350"/>
      <c r="I5350"/>
      <c r="J5350"/>
      <c r="K5350"/>
    </row>
    <row r="5351" spans="1:11">
      <c r="A5351"/>
      <c r="B5351"/>
      <c r="C5351"/>
      <c r="D5351"/>
      <c r="E5351"/>
      <c r="F5351"/>
      <c r="G5351"/>
      <c r="H5351"/>
      <c r="I5351"/>
      <c r="J5351"/>
      <c r="K5351"/>
    </row>
    <row r="5352" spans="1:11">
      <c r="A5352"/>
      <c r="B5352"/>
      <c r="C5352"/>
      <c r="D5352"/>
      <c r="E5352"/>
      <c r="F5352"/>
      <c r="G5352"/>
      <c r="H5352"/>
      <c r="I5352"/>
      <c r="J5352"/>
      <c r="K5352"/>
    </row>
    <row r="5353" spans="1:11">
      <c r="A5353"/>
      <c r="B5353"/>
      <c r="C5353"/>
      <c r="D5353"/>
      <c r="E5353"/>
      <c r="F5353"/>
      <c r="G5353"/>
      <c r="H5353"/>
      <c r="I5353"/>
      <c r="J5353"/>
      <c r="K5353"/>
    </row>
    <row r="5354" spans="1:11">
      <c r="A5354"/>
      <c r="B5354"/>
      <c r="C5354"/>
      <c r="D5354"/>
      <c r="E5354"/>
      <c r="F5354"/>
      <c r="G5354"/>
      <c r="H5354"/>
      <c r="I5354"/>
      <c r="J5354"/>
      <c r="K5354"/>
    </row>
    <row r="5355" spans="1:11">
      <c r="A5355"/>
      <c r="B5355"/>
      <c r="C5355"/>
      <c r="D5355"/>
      <c r="E5355"/>
      <c r="F5355"/>
      <c r="G5355"/>
      <c r="H5355"/>
      <c r="I5355"/>
      <c r="J5355"/>
      <c r="K5355"/>
    </row>
    <row r="5356" spans="1:11">
      <c r="A5356"/>
      <c r="B5356"/>
      <c r="C5356"/>
      <c r="D5356"/>
      <c r="E5356"/>
      <c r="F5356"/>
      <c r="G5356"/>
      <c r="H5356"/>
      <c r="I5356"/>
      <c r="J5356"/>
      <c r="K5356"/>
    </row>
    <row r="5357" spans="1:11">
      <c r="A5357"/>
      <c r="B5357"/>
      <c r="C5357"/>
      <c r="D5357"/>
      <c r="E5357"/>
      <c r="F5357"/>
      <c r="G5357"/>
      <c r="H5357"/>
      <c r="I5357"/>
      <c r="J5357"/>
      <c r="K5357"/>
    </row>
    <row r="5358" spans="1:11">
      <c r="A5358"/>
      <c r="B5358"/>
      <c r="C5358"/>
      <c r="D5358"/>
      <c r="E5358"/>
      <c r="F5358"/>
      <c r="G5358"/>
      <c r="H5358"/>
      <c r="I5358"/>
      <c r="J5358"/>
      <c r="K5358"/>
    </row>
    <row r="5359" spans="1:11">
      <c r="A5359"/>
      <c r="B5359"/>
      <c r="C5359"/>
      <c r="D5359"/>
      <c r="E5359"/>
      <c r="F5359"/>
      <c r="G5359"/>
      <c r="H5359"/>
      <c r="I5359"/>
      <c r="J5359"/>
      <c r="K5359"/>
    </row>
    <row r="5360" spans="1:11">
      <c r="A5360"/>
      <c r="B5360"/>
      <c r="C5360"/>
      <c r="D5360"/>
      <c r="E5360"/>
      <c r="F5360"/>
      <c r="G5360"/>
      <c r="H5360"/>
      <c r="I5360"/>
      <c r="J5360"/>
      <c r="K5360"/>
    </row>
    <row r="5361" spans="1:11">
      <c r="A5361"/>
      <c r="B5361"/>
      <c r="C5361"/>
      <c r="D5361"/>
      <c r="E5361"/>
      <c r="F5361"/>
      <c r="G5361"/>
      <c r="H5361"/>
      <c r="I5361"/>
      <c r="J5361"/>
      <c r="K5361"/>
    </row>
    <row r="5362" spans="1:11">
      <c r="A5362"/>
      <c r="B5362"/>
      <c r="C5362"/>
      <c r="D5362"/>
      <c r="E5362"/>
      <c r="F5362"/>
      <c r="G5362"/>
      <c r="H5362"/>
      <c r="I5362"/>
      <c r="J5362"/>
      <c r="K5362"/>
    </row>
    <row r="5363" spans="1:11">
      <c r="A5363"/>
      <c r="B5363"/>
      <c r="C5363"/>
      <c r="D5363"/>
      <c r="E5363"/>
      <c r="F5363"/>
      <c r="G5363"/>
      <c r="H5363"/>
      <c r="I5363"/>
      <c r="J5363"/>
      <c r="K5363"/>
    </row>
    <row r="5364" spans="1:11">
      <c r="A5364"/>
      <c r="B5364"/>
      <c r="C5364"/>
      <c r="D5364"/>
      <c r="E5364"/>
      <c r="F5364"/>
      <c r="G5364"/>
      <c r="H5364"/>
      <c r="I5364"/>
      <c r="J5364"/>
      <c r="K5364"/>
    </row>
    <row r="5365" spans="1:11">
      <c r="A5365"/>
      <c r="B5365"/>
      <c r="C5365"/>
      <c r="D5365"/>
      <c r="E5365"/>
      <c r="F5365"/>
      <c r="G5365"/>
      <c r="H5365"/>
      <c r="I5365"/>
      <c r="J5365"/>
      <c r="K5365"/>
    </row>
    <row r="5366" spans="1:11">
      <c r="A5366"/>
      <c r="B5366"/>
      <c r="C5366"/>
      <c r="D5366"/>
      <c r="E5366"/>
      <c r="F5366"/>
      <c r="G5366"/>
      <c r="H5366"/>
      <c r="I5366"/>
      <c r="J5366"/>
      <c r="K5366"/>
    </row>
    <row r="5367" spans="1:11">
      <c r="A5367"/>
      <c r="B5367"/>
      <c r="C5367"/>
      <c r="D5367"/>
      <c r="E5367"/>
      <c r="F5367"/>
      <c r="G5367"/>
      <c r="H5367"/>
      <c r="I5367"/>
      <c r="J5367"/>
      <c r="K5367"/>
    </row>
    <row r="5368" spans="1:11">
      <c r="A5368"/>
      <c r="B5368"/>
      <c r="C5368"/>
      <c r="D5368"/>
      <c r="E5368"/>
      <c r="F5368"/>
      <c r="G5368"/>
      <c r="H5368"/>
      <c r="I5368"/>
      <c r="J5368"/>
      <c r="K5368"/>
    </row>
    <row r="5369" spans="1:11">
      <c r="A5369"/>
      <c r="B5369"/>
      <c r="C5369"/>
      <c r="D5369"/>
      <c r="E5369"/>
      <c r="F5369"/>
      <c r="G5369"/>
      <c r="H5369"/>
      <c r="I5369"/>
      <c r="J5369"/>
      <c r="K5369"/>
    </row>
    <row r="5370" spans="1:11">
      <c r="A5370"/>
      <c r="B5370"/>
      <c r="C5370"/>
      <c r="D5370"/>
      <c r="E5370"/>
      <c r="F5370"/>
      <c r="G5370"/>
      <c r="H5370"/>
      <c r="I5370"/>
      <c r="J5370"/>
      <c r="K5370"/>
    </row>
    <row r="5371" spans="1:11">
      <c r="A5371"/>
      <c r="B5371"/>
      <c r="C5371"/>
      <c r="D5371"/>
      <c r="E5371"/>
      <c r="F5371"/>
      <c r="G5371"/>
      <c r="H5371"/>
      <c r="I5371"/>
      <c r="J5371"/>
      <c r="K5371"/>
    </row>
    <row r="5372" spans="1:11">
      <c r="A5372"/>
      <c r="B5372"/>
      <c r="C5372"/>
      <c r="D5372"/>
      <c r="E5372"/>
      <c r="F5372"/>
      <c r="G5372"/>
      <c r="H5372"/>
      <c r="I5372"/>
      <c r="J5372"/>
      <c r="K5372"/>
    </row>
    <row r="5373" spans="1:11">
      <c r="A5373"/>
      <c r="B5373"/>
      <c r="C5373"/>
      <c r="D5373"/>
      <c r="E5373"/>
      <c r="F5373"/>
      <c r="G5373"/>
      <c r="H5373"/>
      <c r="I5373"/>
      <c r="J5373"/>
      <c r="K5373"/>
    </row>
    <row r="5374" spans="1:11">
      <c r="A5374"/>
      <c r="B5374"/>
      <c r="C5374"/>
      <c r="D5374"/>
      <c r="E5374"/>
      <c r="F5374"/>
      <c r="G5374"/>
      <c r="H5374"/>
      <c r="I5374"/>
      <c r="J5374"/>
      <c r="K5374"/>
    </row>
    <row r="5375" spans="1:11">
      <c r="A5375"/>
      <c r="B5375"/>
      <c r="C5375"/>
      <c r="D5375"/>
      <c r="E5375"/>
      <c r="F5375"/>
      <c r="G5375"/>
      <c r="H5375"/>
      <c r="I5375"/>
      <c r="J5375"/>
      <c r="K5375"/>
    </row>
    <row r="5376" spans="1:11">
      <c r="A5376"/>
      <c r="B5376"/>
      <c r="C5376"/>
      <c r="D5376"/>
      <c r="E5376"/>
      <c r="F5376"/>
      <c r="G5376"/>
      <c r="H5376"/>
      <c r="I5376"/>
      <c r="J5376"/>
      <c r="K5376"/>
    </row>
    <row r="5377" spans="1:11">
      <c r="A5377"/>
      <c r="B5377"/>
      <c r="C5377"/>
      <c r="D5377"/>
      <c r="E5377"/>
      <c r="F5377"/>
      <c r="G5377"/>
      <c r="H5377"/>
      <c r="I5377"/>
      <c r="J5377"/>
      <c r="K5377"/>
    </row>
    <row r="5378" spans="1:11">
      <c r="A5378"/>
      <c r="B5378"/>
      <c r="C5378"/>
      <c r="D5378"/>
      <c r="E5378"/>
      <c r="F5378"/>
      <c r="G5378"/>
      <c r="H5378"/>
      <c r="I5378"/>
      <c r="J5378"/>
      <c r="K5378"/>
    </row>
    <row r="5379" spans="1:11">
      <c r="A5379"/>
      <c r="B5379"/>
      <c r="C5379"/>
      <c r="D5379"/>
      <c r="E5379"/>
      <c r="F5379"/>
      <c r="G5379"/>
      <c r="H5379"/>
      <c r="I5379"/>
      <c r="J5379"/>
      <c r="K5379"/>
    </row>
    <row r="5380" spans="1:11">
      <c r="A5380"/>
      <c r="B5380"/>
      <c r="C5380"/>
      <c r="D5380"/>
      <c r="E5380"/>
      <c r="F5380"/>
      <c r="G5380"/>
      <c r="H5380"/>
      <c r="I5380"/>
      <c r="J5380"/>
      <c r="K5380"/>
    </row>
    <row r="5381" spans="1:11">
      <c r="A5381"/>
      <c r="B5381"/>
      <c r="C5381"/>
      <c r="D5381"/>
      <c r="E5381"/>
      <c r="F5381"/>
      <c r="G5381"/>
      <c r="H5381"/>
      <c r="I5381"/>
      <c r="J5381"/>
      <c r="K5381"/>
    </row>
    <row r="5382" spans="1:11">
      <c r="A5382"/>
      <c r="B5382"/>
      <c r="C5382"/>
      <c r="D5382"/>
      <c r="E5382"/>
      <c r="F5382"/>
      <c r="G5382"/>
      <c r="H5382"/>
      <c r="I5382"/>
      <c r="J5382"/>
      <c r="K5382"/>
    </row>
    <row r="5383" spans="1:11">
      <c r="A5383"/>
      <c r="B5383"/>
      <c r="C5383"/>
      <c r="D5383"/>
      <c r="E5383"/>
      <c r="F5383"/>
      <c r="G5383"/>
      <c r="H5383"/>
      <c r="I5383"/>
      <c r="J5383"/>
      <c r="K5383"/>
    </row>
    <row r="5384" spans="1:11">
      <c r="A5384"/>
      <c r="B5384"/>
      <c r="C5384"/>
      <c r="D5384"/>
      <c r="E5384"/>
      <c r="F5384"/>
      <c r="G5384"/>
      <c r="H5384"/>
      <c r="I5384"/>
      <c r="J5384"/>
      <c r="K5384"/>
    </row>
    <row r="5385" spans="1:11">
      <c r="A5385"/>
      <c r="B5385"/>
      <c r="C5385"/>
      <c r="D5385"/>
      <c r="E5385"/>
      <c r="F5385"/>
      <c r="G5385"/>
      <c r="H5385"/>
      <c r="I5385"/>
      <c r="J5385"/>
      <c r="K5385"/>
    </row>
    <row r="5386" spans="1:11">
      <c r="A5386"/>
      <c r="B5386"/>
      <c r="C5386"/>
      <c r="D5386"/>
      <c r="E5386"/>
      <c r="F5386"/>
      <c r="G5386"/>
      <c r="H5386"/>
      <c r="I5386"/>
      <c r="J5386"/>
      <c r="K5386"/>
    </row>
    <row r="5387" spans="1:11">
      <c r="A5387"/>
      <c r="B5387"/>
      <c r="C5387"/>
      <c r="D5387"/>
      <c r="E5387"/>
      <c r="F5387"/>
      <c r="G5387"/>
      <c r="H5387"/>
      <c r="I5387"/>
      <c r="J5387"/>
      <c r="K5387"/>
    </row>
    <row r="5388" spans="1:11">
      <c r="A5388"/>
      <c r="B5388"/>
      <c r="C5388"/>
      <c r="D5388"/>
      <c r="E5388"/>
      <c r="F5388"/>
      <c r="G5388"/>
      <c r="H5388"/>
      <c r="I5388"/>
      <c r="J5388"/>
      <c r="K5388"/>
    </row>
    <row r="5389" spans="1:11">
      <c r="A5389"/>
      <c r="B5389"/>
      <c r="C5389"/>
      <c r="D5389"/>
      <c r="E5389"/>
      <c r="F5389"/>
      <c r="G5389"/>
      <c r="H5389"/>
      <c r="I5389"/>
      <c r="J5389"/>
      <c r="K5389"/>
    </row>
    <row r="5390" spans="1:11">
      <c r="A5390"/>
      <c r="B5390"/>
      <c r="C5390"/>
      <c r="D5390"/>
      <c r="E5390"/>
      <c r="F5390"/>
      <c r="G5390"/>
      <c r="H5390"/>
      <c r="I5390"/>
      <c r="J5390"/>
      <c r="K5390"/>
    </row>
    <row r="5391" spans="1:11">
      <c r="A5391"/>
      <c r="B5391"/>
      <c r="C5391"/>
      <c r="D5391"/>
      <c r="E5391"/>
      <c r="F5391"/>
      <c r="G5391"/>
      <c r="H5391"/>
      <c r="I5391"/>
      <c r="J5391"/>
      <c r="K5391"/>
    </row>
    <row r="5392" spans="1:11">
      <c r="A5392"/>
      <c r="B5392"/>
      <c r="C5392"/>
      <c r="D5392"/>
      <c r="E5392"/>
      <c r="F5392"/>
      <c r="G5392"/>
      <c r="H5392"/>
      <c r="I5392"/>
      <c r="J5392"/>
      <c r="K5392"/>
    </row>
    <row r="5393" spans="1:11">
      <c r="A5393"/>
      <c r="B5393"/>
      <c r="C5393"/>
      <c r="D5393"/>
      <c r="E5393"/>
      <c r="F5393"/>
      <c r="G5393"/>
      <c r="H5393"/>
      <c r="I5393"/>
      <c r="J5393"/>
      <c r="K5393"/>
    </row>
    <row r="5394" spans="1:11">
      <c r="A5394"/>
      <c r="B5394"/>
      <c r="C5394"/>
      <c r="D5394"/>
      <c r="E5394"/>
      <c r="F5394"/>
      <c r="G5394"/>
      <c r="H5394"/>
      <c r="I5394"/>
      <c r="J5394"/>
      <c r="K5394"/>
    </row>
    <row r="5395" spans="1:11">
      <c r="A5395"/>
      <c r="B5395"/>
      <c r="C5395"/>
      <c r="D5395"/>
      <c r="E5395"/>
      <c r="F5395"/>
      <c r="G5395"/>
      <c r="H5395"/>
      <c r="I5395"/>
      <c r="J5395"/>
      <c r="K5395"/>
    </row>
    <row r="5396" spans="1:11">
      <c r="A5396"/>
      <c r="B5396"/>
      <c r="C5396"/>
      <c r="D5396"/>
      <c r="E5396"/>
      <c r="F5396"/>
      <c r="G5396"/>
      <c r="H5396"/>
      <c r="I5396"/>
      <c r="J5396"/>
      <c r="K5396"/>
    </row>
    <row r="5397" spans="1:11">
      <c r="A5397"/>
      <c r="B5397"/>
      <c r="C5397"/>
      <c r="D5397"/>
      <c r="E5397"/>
      <c r="F5397"/>
      <c r="G5397"/>
      <c r="H5397"/>
      <c r="I5397"/>
      <c r="J5397"/>
      <c r="K5397"/>
    </row>
    <row r="5398" spans="1:11">
      <c r="A5398"/>
      <c r="B5398"/>
      <c r="C5398"/>
      <c r="D5398"/>
      <c r="E5398"/>
      <c r="F5398"/>
      <c r="G5398"/>
      <c r="H5398"/>
      <c r="I5398"/>
      <c r="J5398"/>
      <c r="K5398"/>
    </row>
    <row r="5399" spans="1:11">
      <c r="A5399"/>
      <c r="B5399"/>
      <c r="C5399"/>
      <c r="D5399"/>
      <c r="E5399"/>
      <c r="F5399"/>
      <c r="G5399"/>
      <c r="H5399"/>
      <c r="I5399"/>
      <c r="J5399"/>
      <c r="K5399"/>
    </row>
    <row r="5400" spans="1:11">
      <c r="A5400"/>
      <c r="B5400"/>
      <c r="C5400"/>
      <c r="D5400"/>
      <c r="E5400"/>
      <c r="F5400"/>
      <c r="G5400"/>
      <c r="H5400"/>
      <c r="I5400"/>
      <c r="J5400"/>
      <c r="K5400"/>
    </row>
    <row r="5401" spans="1:11">
      <c r="A5401"/>
      <c r="B5401"/>
      <c r="C5401"/>
      <c r="D5401"/>
      <c r="E5401"/>
      <c r="F5401"/>
      <c r="G5401"/>
      <c r="H5401"/>
      <c r="I5401"/>
      <c r="J5401"/>
      <c r="K5401"/>
    </row>
    <row r="5402" spans="1:11">
      <c r="A5402"/>
      <c r="B5402"/>
      <c r="C5402"/>
      <c r="D5402"/>
      <c r="E5402"/>
      <c r="F5402"/>
      <c r="G5402"/>
      <c r="H5402"/>
      <c r="I5402"/>
      <c r="J5402"/>
      <c r="K5402"/>
    </row>
    <row r="5403" spans="1:11">
      <c r="A5403"/>
      <c r="B5403"/>
      <c r="C5403"/>
      <c r="D5403"/>
      <c r="E5403"/>
      <c r="F5403"/>
      <c r="G5403"/>
      <c r="H5403"/>
      <c r="I5403"/>
      <c r="J5403"/>
      <c r="K5403"/>
    </row>
    <row r="5404" spans="1:11">
      <c r="A5404"/>
      <c r="B5404"/>
      <c r="C5404"/>
      <c r="D5404"/>
      <c r="E5404"/>
      <c r="F5404"/>
      <c r="G5404"/>
      <c r="H5404"/>
      <c r="I5404"/>
      <c r="J5404"/>
      <c r="K5404"/>
    </row>
    <row r="5405" spans="1:11">
      <c r="A5405"/>
      <c r="B5405"/>
      <c r="C5405"/>
      <c r="D5405"/>
      <c r="E5405"/>
      <c r="F5405"/>
      <c r="G5405"/>
      <c r="H5405"/>
      <c r="I5405"/>
      <c r="J5405"/>
      <c r="K5405"/>
    </row>
    <row r="5406" spans="1:11">
      <c r="A5406"/>
      <c r="B5406"/>
      <c r="C5406"/>
      <c r="D5406"/>
      <c r="E5406"/>
      <c r="F5406"/>
      <c r="G5406"/>
      <c r="H5406"/>
      <c r="I5406"/>
      <c r="J5406"/>
      <c r="K5406"/>
    </row>
    <row r="5407" spans="1:11">
      <c r="A5407"/>
      <c r="B5407"/>
      <c r="C5407"/>
      <c r="D5407"/>
      <c r="E5407"/>
      <c r="F5407"/>
      <c r="G5407"/>
      <c r="H5407"/>
      <c r="I5407"/>
      <c r="J5407"/>
      <c r="K5407"/>
    </row>
    <row r="5408" spans="1:11">
      <c r="A5408"/>
      <c r="B5408"/>
      <c r="C5408"/>
      <c r="D5408"/>
      <c r="E5408"/>
      <c r="F5408"/>
      <c r="G5408"/>
      <c r="H5408"/>
      <c r="I5408"/>
      <c r="J5408"/>
      <c r="K5408"/>
    </row>
    <row r="5409" spans="1:11">
      <c r="A5409"/>
      <c r="B5409"/>
      <c r="C5409"/>
      <c r="D5409"/>
      <c r="E5409"/>
      <c r="F5409"/>
      <c r="G5409"/>
      <c r="H5409"/>
      <c r="I5409"/>
      <c r="J5409"/>
      <c r="K5409"/>
    </row>
    <row r="5410" spans="1:11">
      <c r="A5410"/>
      <c r="B5410"/>
      <c r="C5410"/>
      <c r="D5410"/>
      <c r="E5410"/>
      <c r="F5410"/>
      <c r="G5410"/>
      <c r="H5410"/>
      <c r="I5410"/>
      <c r="J5410"/>
      <c r="K5410"/>
    </row>
    <row r="5411" spans="1:11">
      <c r="A5411"/>
      <c r="B5411"/>
      <c r="C5411"/>
      <c r="D5411"/>
      <c r="E5411"/>
      <c r="F5411"/>
      <c r="G5411"/>
      <c r="H5411"/>
      <c r="I5411"/>
      <c r="J5411"/>
      <c r="K5411"/>
    </row>
    <row r="5412" spans="1:11">
      <c r="A5412"/>
      <c r="B5412"/>
      <c r="C5412"/>
      <c r="D5412"/>
      <c r="E5412"/>
      <c r="F5412"/>
      <c r="G5412"/>
      <c r="H5412"/>
      <c r="I5412"/>
      <c r="J5412"/>
      <c r="K5412"/>
    </row>
    <row r="5413" spans="1:11">
      <c r="A5413"/>
      <c r="B5413"/>
      <c r="C5413"/>
      <c r="D5413"/>
      <c r="E5413"/>
      <c r="F5413"/>
      <c r="G5413"/>
      <c r="H5413"/>
      <c r="I5413"/>
      <c r="J5413"/>
      <c r="K5413"/>
    </row>
    <row r="5414" spans="1:11">
      <c r="A5414"/>
      <c r="B5414"/>
      <c r="C5414"/>
      <c r="D5414"/>
      <c r="E5414"/>
      <c r="F5414"/>
      <c r="G5414"/>
      <c r="H5414"/>
      <c r="I5414"/>
      <c r="J5414"/>
      <c r="K5414"/>
    </row>
    <row r="5415" spans="1:11">
      <c r="A5415"/>
      <c r="B5415"/>
      <c r="C5415"/>
      <c r="D5415"/>
      <c r="E5415"/>
      <c r="F5415"/>
      <c r="G5415"/>
      <c r="H5415"/>
      <c r="I5415"/>
      <c r="J5415"/>
      <c r="K5415"/>
    </row>
    <row r="5416" spans="1:11">
      <c r="A5416"/>
      <c r="B5416"/>
      <c r="C5416"/>
      <c r="D5416"/>
      <c r="E5416"/>
      <c r="F5416"/>
      <c r="G5416"/>
      <c r="H5416"/>
      <c r="I5416"/>
      <c r="J5416"/>
      <c r="K5416"/>
    </row>
    <row r="5417" spans="1:11">
      <c r="A5417"/>
      <c r="B5417"/>
      <c r="C5417"/>
      <c r="D5417"/>
      <c r="E5417"/>
      <c r="F5417"/>
      <c r="G5417"/>
      <c r="H5417"/>
      <c r="I5417"/>
      <c r="J5417"/>
      <c r="K5417"/>
    </row>
    <row r="5418" spans="1:11">
      <c r="A5418"/>
      <c r="B5418"/>
      <c r="C5418"/>
      <c r="D5418"/>
      <c r="E5418"/>
      <c r="F5418"/>
      <c r="G5418"/>
      <c r="H5418"/>
      <c r="I5418"/>
      <c r="J5418"/>
      <c r="K5418"/>
    </row>
    <row r="5419" spans="1:11">
      <c r="A5419"/>
      <c r="B5419"/>
      <c r="C5419"/>
      <c r="D5419"/>
      <c r="E5419"/>
      <c r="F5419"/>
      <c r="G5419"/>
      <c r="H5419"/>
      <c r="I5419"/>
      <c r="J5419"/>
      <c r="K5419"/>
    </row>
    <row r="5420" spans="1:11">
      <c r="A5420"/>
      <c r="B5420"/>
      <c r="C5420"/>
      <c r="D5420"/>
      <c r="E5420"/>
      <c r="F5420"/>
      <c r="G5420"/>
      <c r="H5420"/>
      <c r="I5420"/>
      <c r="J5420"/>
      <c r="K5420"/>
    </row>
    <row r="5421" spans="1:11">
      <c r="A5421"/>
      <c r="B5421"/>
      <c r="C5421"/>
      <c r="D5421"/>
      <c r="E5421"/>
      <c r="F5421"/>
      <c r="G5421"/>
      <c r="H5421"/>
      <c r="I5421"/>
      <c r="J5421"/>
      <c r="K5421"/>
    </row>
    <row r="5422" spans="1:11">
      <c r="A5422"/>
      <c r="B5422"/>
      <c r="C5422"/>
      <c r="D5422"/>
      <c r="E5422"/>
      <c r="F5422"/>
      <c r="G5422"/>
      <c r="H5422"/>
      <c r="I5422"/>
      <c r="J5422"/>
      <c r="K5422"/>
    </row>
    <row r="5423" spans="1:11">
      <c r="A5423"/>
      <c r="B5423"/>
      <c r="C5423"/>
      <c r="D5423"/>
      <c r="E5423"/>
      <c r="F5423"/>
      <c r="G5423"/>
      <c r="H5423"/>
      <c r="I5423"/>
      <c r="J5423"/>
      <c r="K5423"/>
    </row>
    <row r="5424" spans="1:11">
      <c r="A5424"/>
      <c r="B5424"/>
      <c r="C5424"/>
      <c r="D5424"/>
      <c r="E5424"/>
      <c r="F5424"/>
      <c r="G5424"/>
      <c r="H5424"/>
      <c r="I5424"/>
      <c r="J5424"/>
      <c r="K5424"/>
    </row>
    <row r="5425" spans="1:11">
      <c r="A5425"/>
      <c r="B5425"/>
      <c r="C5425"/>
      <c r="D5425"/>
      <c r="E5425"/>
      <c r="F5425"/>
      <c r="G5425"/>
      <c r="H5425"/>
      <c r="I5425"/>
      <c r="J5425"/>
      <c r="K5425"/>
    </row>
    <row r="5426" spans="1:11">
      <c r="A5426"/>
      <c r="B5426"/>
      <c r="C5426"/>
      <c r="D5426"/>
      <c r="E5426"/>
      <c r="F5426"/>
      <c r="G5426"/>
      <c r="H5426"/>
      <c r="I5426"/>
      <c r="J5426"/>
      <c r="K5426"/>
    </row>
    <row r="5427" spans="1:11">
      <c r="A5427"/>
      <c r="B5427"/>
      <c r="C5427"/>
      <c r="D5427"/>
      <c r="E5427"/>
      <c r="F5427"/>
      <c r="G5427"/>
      <c r="H5427"/>
      <c r="I5427"/>
      <c r="J5427"/>
      <c r="K5427"/>
    </row>
    <row r="5428" spans="1:11">
      <c r="A5428"/>
      <c r="B5428"/>
      <c r="C5428"/>
      <c r="D5428"/>
      <c r="E5428"/>
      <c r="F5428"/>
      <c r="G5428"/>
      <c r="H5428"/>
      <c r="I5428"/>
      <c r="J5428"/>
      <c r="K5428"/>
    </row>
    <row r="5429" spans="1:11">
      <c r="A5429"/>
      <c r="B5429"/>
      <c r="C5429"/>
      <c r="D5429"/>
      <c r="E5429"/>
      <c r="F5429"/>
      <c r="G5429"/>
      <c r="H5429"/>
      <c r="I5429"/>
      <c r="J5429"/>
      <c r="K5429"/>
    </row>
    <row r="5430" spans="1:11">
      <c r="A5430"/>
      <c r="B5430"/>
      <c r="C5430"/>
      <c r="D5430"/>
      <c r="E5430"/>
      <c r="F5430"/>
      <c r="G5430"/>
      <c r="H5430"/>
      <c r="I5430"/>
      <c r="J5430"/>
      <c r="K5430"/>
    </row>
    <row r="5431" spans="1:11">
      <c r="A5431"/>
      <c r="B5431"/>
      <c r="C5431"/>
      <c r="D5431"/>
      <c r="E5431"/>
      <c r="F5431"/>
      <c r="G5431"/>
      <c r="H5431"/>
      <c r="I5431"/>
      <c r="J5431"/>
      <c r="K5431"/>
    </row>
    <row r="5432" spans="1:11">
      <c r="A5432"/>
      <c r="B5432"/>
      <c r="C5432"/>
      <c r="D5432"/>
      <c r="E5432"/>
      <c r="F5432"/>
      <c r="G5432"/>
      <c r="H5432"/>
      <c r="I5432"/>
      <c r="J5432"/>
      <c r="K5432"/>
    </row>
    <row r="5433" spans="1:11">
      <c r="A5433"/>
      <c r="B5433"/>
      <c r="C5433"/>
      <c r="D5433"/>
      <c r="E5433"/>
      <c r="F5433"/>
      <c r="G5433"/>
      <c r="H5433"/>
      <c r="I5433"/>
      <c r="J5433"/>
      <c r="K5433"/>
    </row>
    <row r="5434" spans="1:11">
      <c r="A5434"/>
      <c r="B5434"/>
      <c r="C5434"/>
      <c r="D5434"/>
      <c r="E5434"/>
      <c r="F5434"/>
      <c r="G5434"/>
      <c r="H5434"/>
      <c r="I5434"/>
      <c r="J5434"/>
      <c r="K5434"/>
    </row>
    <row r="5435" spans="1:11">
      <c r="A5435"/>
      <c r="B5435"/>
      <c r="C5435"/>
      <c r="D5435"/>
      <c r="E5435"/>
      <c r="F5435"/>
      <c r="G5435"/>
      <c r="H5435"/>
      <c r="I5435"/>
      <c r="J5435"/>
      <c r="K5435"/>
    </row>
    <row r="5436" spans="1:11">
      <c r="A5436"/>
      <c r="B5436"/>
      <c r="C5436"/>
      <c r="D5436"/>
      <c r="E5436"/>
      <c r="F5436"/>
      <c r="G5436"/>
      <c r="H5436"/>
      <c r="I5436"/>
      <c r="J5436"/>
      <c r="K5436"/>
    </row>
    <row r="5437" spans="1:11">
      <c r="A5437"/>
      <c r="B5437"/>
      <c r="C5437"/>
      <c r="D5437"/>
      <c r="E5437"/>
      <c r="F5437"/>
      <c r="G5437"/>
      <c r="H5437"/>
      <c r="I5437"/>
      <c r="J5437"/>
      <c r="K5437"/>
    </row>
    <row r="5438" spans="1:11">
      <c r="A5438"/>
      <c r="B5438"/>
      <c r="C5438"/>
      <c r="D5438"/>
      <c r="E5438"/>
      <c r="F5438"/>
      <c r="G5438"/>
      <c r="H5438"/>
      <c r="I5438"/>
      <c r="J5438"/>
      <c r="K5438"/>
    </row>
    <row r="5439" spans="1:11">
      <c r="A5439"/>
      <c r="B5439"/>
      <c r="C5439"/>
      <c r="D5439"/>
      <c r="E5439"/>
      <c r="F5439"/>
      <c r="G5439"/>
      <c r="H5439"/>
      <c r="I5439"/>
      <c r="J5439"/>
      <c r="K5439"/>
    </row>
    <row r="5440" spans="1:11">
      <c r="A5440"/>
      <c r="B5440"/>
      <c r="C5440"/>
      <c r="D5440"/>
      <c r="E5440"/>
      <c r="F5440"/>
      <c r="G5440"/>
      <c r="H5440"/>
      <c r="I5440"/>
      <c r="J5440"/>
      <c r="K5440"/>
    </row>
    <row r="5441" spans="1:11">
      <c r="A5441"/>
      <c r="B5441"/>
      <c r="C5441"/>
      <c r="D5441"/>
      <c r="E5441"/>
      <c r="F5441"/>
      <c r="G5441"/>
      <c r="H5441"/>
      <c r="I5441"/>
      <c r="J5441"/>
      <c r="K5441"/>
    </row>
    <row r="5442" spans="1:11">
      <c r="A5442"/>
      <c r="B5442"/>
      <c r="C5442"/>
      <c r="D5442"/>
      <c r="E5442"/>
      <c r="F5442"/>
      <c r="G5442"/>
      <c r="H5442"/>
      <c r="I5442"/>
      <c r="J5442"/>
      <c r="K5442"/>
    </row>
    <row r="5443" spans="1:11">
      <c r="A5443"/>
      <c r="B5443"/>
      <c r="C5443"/>
      <c r="D5443"/>
      <c r="E5443"/>
      <c r="F5443"/>
      <c r="G5443"/>
      <c r="H5443"/>
      <c r="I5443"/>
      <c r="J5443"/>
      <c r="K5443"/>
    </row>
    <row r="5444" spans="1:11">
      <c r="A5444"/>
      <c r="B5444"/>
      <c r="C5444"/>
      <c r="D5444"/>
      <c r="E5444"/>
      <c r="F5444"/>
      <c r="G5444"/>
      <c r="H5444"/>
      <c r="I5444"/>
      <c r="J5444"/>
      <c r="K5444"/>
    </row>
    <row r="5445" spans="1:11">
      <c r="A5445"/>
      <c r="B5445"/>
      <c r="C5445"/>
      <c r="D5445"/>
      <c r="E5445"/>
      <c r="F5445"/>
      <c r="G5445"/>
      <c r="H5445"/>
      <c r="I5445"/>
      <c r="J5445"/>
      <c r="K5445"/>
    </row>
    <row r="5446" spans="1:11">
      <c r="A5446"/>
      <c r="B5446"/>
      <c r="C5446"/>
      <c r="D5446"/>
      <c r="E5446"/>
      <c r="F5446"/>
      <c r="G5446"/>
      <c r="H5446"/>
      <c r="I5446"/>
      <c r="J5446"/>
      <c r="K5446"/>
    </row>
    <row r="5447" spans="1:11">
      <c r="A5447"/>
      <c r="B5447"/>
      <c r="C5447"/>
      <c r="D5447"/>
      <c r="E5447"/>
      <c r="F5447"/>
      <c r="G5447"/>
      <c r="H5447"/>
      <c r="I5447"/>
      <c r="J5447"/>
      <c r="K5447"/>
    </row>
    <row r="5448" spans="1:11">
      <c r="A5448"/>
      <c r="B5448"/>
      <c r="C5448"/>
      <c r="D5448"/>
      <c r="E5448"/>
      <c r="F5448"/>
      <c r="G5448"/>
      <c r="H5448"/>
      <c r="I5448"/>
      <c r="J5448"/>
      <c r="K5448"/>
    </row>
    <row r="5449" spans="1:11">
      <c r="A5449"/>
      <c r="B5449"/>
      <c r="C5449"/>
      <c r="D5449"/>
      <c r="E5449"/>
      <c r="F5449"/>
      <c r="G5449"/>
      <c r="H5449"/>
      <c r="I5449"/>
      <c r="J5449"/>
      <c r="K5449"/>
    </row>
    <row r="5450" spans="1:11">
      <c r="A5450"/>
      <c r="B5450"/>
      <c r="C5450"/>
      <c r="D5450"/>
      <c r="E5450"/>
      <c r="F5450"/>
      <c r="G5450"/>
      <c r="H5450"/>
      <c r="I5450"/>
      <c r="J5450"/>
      <c r="K5450"/>
    </row>
    <row r="5451" spans="1:11">
      <c r="A5451"/>
      <c r="B5451"/>
      <c r="C5451"/>
      <c r="D5451"/>
      <c r="E5451"/>
      <c r="F5451"/>
      <c r="G5451"/>
      <c r="H5451"/>
      <c r="I5451"/>
      <c r="J5451"/>
      <c r="K5451"/>
    </row>
    <row r="5452" spans="1:11">
      <c r="A5452"/>
      <c r="B5452"/>
      <c r="C5452"/>
      <c r="D5452"/>
      <c r="E5452"/>
      <c r="F5452"/>
      <c r="G5452"/>
      <c r="H5452"/>
      <c r="I5452"/>
      <c r="J5452"/>
      <c r="K5452"/>
    </row>
    <row r="5453" spans="1:11">
      <c r="A5453"/>
      <c r="B5453"/>
      <c r="C5453"/>
      <c r="D5453"/>
      <c r="E5453"/>
      <c r="F5453"/>
      <c r="G5453"/>
      <c r="H5453"/>
      <c r="I5453"/>
      <c r="J5453"/>
      <c r="K5453"/>
    </row>
    <row r="5454" spans="1:11">
      <c r="A5454"/>
      <c r="B5454"/>
      <c r="C5454"/>
      <c r="D5454"/>
      <c r="E5454"/>
      <c r="F5454"/>
      <c r="G5454"/>
      <c r="H5454"/>
      <c r="I5454"/>
      <c r="J5454"/>
      <c r="K5454"/>
    </row>
    <row r="5455" spans="1:11">
      <c r="A5455"/>
      <c r="B5455"/>
      <c r="C5455"/>
      <c r="D5455"/>
      <c r="E5455"/>
      <c r="F5455"/>
      <c r="G5455"/>
      <c r="H5455"/>
      <c r="I5455"/>
      <c r="J5455"/>
      <c r="K5455"/>
    </row>
    <row r="5456" spans="1:11">
      <c r="A5456"/>
      <c r="B5456"/>
      <c r="C5456"/>
      <c r="D5456"/>
      <c r="E5456"/>
      <c r="F5456"/>
      <c r="G5456"/>
      <c r="H5456"/>
      <c r="I5456"/>
      <c r="J5456"/>
      <c r="K5456"/>
    </row>
    <row r="5457" spans="1:11">
      <c r="A5457"/>
      <c r="B5457"/>
      <c r="C5457"/>
      <c r="D5457"/>
      <c r="E5457"/>
      <c r="F5457"/>
      <c r="G5457"/>
      <c r="H5457"/>
      <c r="I5457"/>
      <c r="J5457"/>
      <c r="K5457"/>
    </row>
    <row r="5458" spans="1:11">
      <c r="A5458"/>
      <c r="B5458"/>
      <c r="C5458"/>
      <c r="D5458"/>
      <c r="E5458"/>
      <c r="F5458"/>
      <c r="G5458"/>
      <c r="H5458"/>
      <c r="I5458"/>
      <c r="J5458"/>
      <c r="K5458"/>
    </row>
    <row r="5459" spans="1:11">
      <c r="A5459"/>
      <c r="B5459"/>
      <c r="C5459"/>
      <c r="D5459"/>
      <c r="E5459"/>
      <c r="F5459"/>
      <c r="G5459"/>
      <c r="H5459"/>
      <c r="I5459"/>
      <c r="J5459"/>
      <c r="K5459"/>
    </row>
    <row r="5460" spans="1:11">
      <c r="A5460"/>
      <c r="B5460"/>
      <c r="C5460"/>
      <c r="D5460"/>
      <c r="E5460"/>
      <c r="F5460"/>
      <c r="G5460"/>
      <c r="H5460"/>
      <c r="I5460"/>
      <c r="J5460"/>
      <c r="K5460"/>
    </row>
    <row r="5461" spans="1:11">
      <c r="A5461"/>
      <c r="B5461"/>
      <c r="C5461"/>
      <c r="D5461"/>
      <c r="E5461"/>
      <c r="F5461"/>
      <c r="G5461"/>
      <c r="H5461"/>
      <c r="I5461"/>
      <c r="J5461"/>
      <c r="K5461"/>
    </row>
    <row r="5462" spans="1:11">
      <c r="A5462"/>
      <c r="B5462"/>
      <c r="C5462"/>
      <c r="D5462"/>
      <c r="E5462"/>
      <c r="F5462"/>
      <c r="G5462"/>
      <c r="H5462"/>
      <c r="I5462"/>
      <c r="J5462"/>
      <c r="K5462"/>
    </row>
    <row r="5463" spans="1:11">
      <c r="A5463"/>
      <c r="B5463"/>
      <c r="C5463"/>
      <c r="D5463"/>
      <c r="E5463"/>
      <c r="F5463"/>
      <c r="G5463"/>
      <c r="H5463"/>
      <c r="I5463"/>
      <c r="J5463"/>
      <c r="K5463"/>
    </row>
    <row r="5464" spans="1:11">
      <c r="A5464"/>
      <c r="B5464"/>
      <c r="C5464"/>
      <c r="D5464"/>
      <c r="E5464"/>
      <c r="F5464"/>
      <c r="G5464"/>
      <c r="H5464"/>
      <c r="I5464"/>
      <c r="J5464"/>
      <c r="K5464"/>
    </row>
    <row r="5465" spans="1:11">
      <c r="A5465"/>
      <c r="B5465"/>
      <c r="C5465"/>
      <c r="D5465"/>
      <c r="E5465"/>
      <c r="F5465"/>
      <c r="G5465"/>
      <c r="H5465"/>
      <c r="I5465"/>
      <c r="J5465"/>
      <c r="K5465"/>
    </row>
    <row r="5466" spans="1:11">
      <c r="A5466"/>
      <c r="B5466"/>
      <c r="C5466"/>
      <c r="D5466"/>
      <c r="E5466"/>
      <c r="F5466"/>
      <c r="G5466"/>
      <c r="H5466"/>
      <c r="I5466"/>
      <c r="J5466"/>
      <c r="K5466"/>
    </row>
    <row r="5467" spans="1:11">
      <c r="A5467"/>
      <c r="B5467"/>
      <c r="C5467"/>
      <c r="D5467"/>
      <c r="E5467"/>
      <c r="F5467"/>
      <c r="G5467"/>
      <c r="H5467"/>
      <c r="I5467"/>
      <c r="J5467"/>
      <c r="K5467"/>
    </row>
    <row r="5468" spans="1:11">
      <c r="A5468"/>
      <c r="B5468"/>
      <c r="C5468"/>
      <c r="D5468"/>
      <c r="E5468"/>
      <c r="F5468"/>
      <c r="G5468"/>
      <c r="H5468"/>
      <c r="I5468"/>
      <c r="J5468"/>
      <c r="K5468"/>
    </row>
    <row r="5469" spans="1:11">
      <c r="A5469"/>
      <c r="B5469"/>
      <c r="C5469"/>
      <c r="D5469"/>
      <c r="E5469"/>
      <c r="F5469"/>
      <c r="G5469"/>
      <c r="H5469"/>
      <c r="I5469"/>
      <c r="J5469"/>
      <c r="K5469"/>
    </row>
    <row r="5470" spans="1:11">
      <c r="A5470"/>
      <c r="B5470"/>
      <c r="C5470"/>
      <c r="D5470"/>
      <c r="E5470"/>
      <c r="F5470"/>
      <c r="G5470"/>
      <c r="H5470"/>
      <c r="I5470"/>
      <c r="J5470"/>
      <c r="K5470"/>
    </row>
    <row r="5471" spans="1:11">
      <c r="A5471"/>
      <c r="B5471"/>
      <c r="C5471"/>
      <c r="D5471"/>
      <c r="E5471"/>
      <c r="F5471"/>
      <c r="G5471"/>
      <c r="H5471"/>
      <c r="I5471"/>
      <c r="J5471"/>
      <c r="K5471"/>
    </row>
    <row r="5472" spans="1:11">
      <c r="A5472"/>
      <c r="B5472"/>
      <c r="C5472"/>
      <c r="D5472"/>
      <c r="E5472"/>
      <c r="F5472"/>
      <c r="G5472"/>
      <c r="H5472"/>
      <c r="I5472"/>
      <c r="J5472"/>
      <c r="K5472"/>
    </row>
    <row r="5473" spans="1:11">
      <c r="A5473"/>
      <c r="B5473"/>
      <c r="C5473"/>
      <c r="D5473"/>
      <c r="E5473"/>
      <c r="F5473"/>
      <c r="G5473"/>
      <c r="H5473"/>
      <c r="I5473"/>
      <c r="J5473"/>
      <c r="K5473"/>
    </row>
    <row r="5474" spans="1:11">
      <c r="A5474"/>
      <c r="B5474"/>
      <c r="C5474"/>
      <c r="D5474"/>
      <c r="E5474"/>
      <c r="F5474"/>
      <c r="G5474"/>
      <c r="H5474"/>
      <c r="I5474"/>
      <c r="J5474"/>
      <c r="K5474"/>
    </row>
    <row r="5475" spans="1:11">
      <c r="A5475"/>
      <c r="B5475"/>
      <c r="C5475"/>
      <c r="D5475"/>
      <c r="E5475"/>
      <c r="F5475"/>
      <c r="G5475"/>
      <c r="H5475"/>
      <c r="I5475"/>
      <c r="J5475"/>
      <c r="K5475"/>
    </row>
    <row r="5476" spans="1:11">
      <c r="A5476"/>
      <c r="B5476"/>
      <c r="C5476"/>
      <c r="D5476"/>
      <c r="E5476"/>
      <c r="F5476"/>
      <c r="G5476"/>
      <c r="H5476"/>
      <c r="I5476"/>
      <c r="J5476"/>
      <c r="K5476"/>
    </row>
    <row r="5477" spans="1:11">
      <c r="A5477"/>
      <c r="B5477"/>
      <c r="C5477"/>
      <c r="D5477"/>
      <c r="E5477"/>
      <c r="F5477"/>
      <c r="G5477"/>
      <c r="H5477"/>
      <c r="I5477"/>
      <c r="J5477"/>
      <c r="K5477"/>
    </row>
    <row r="5478" spans="1:11">
      <c r="A5478"/>
      <c r="B5478"/>
      <c r="C5478"/>
      <c r="D5478"/>
      <c r="E5478"/>
      <c r="F5478"/>
      <c r="G5478"/>
      <c r="H5478"/>
      <c r="I5478"/>
      <c r="J5478"/>
      <c r="K5478"/>
    </row>
    <row r="5479" spans="1:11">
      <c r="A5479"/>
      <c r="B5479"/>
      <c r="C5479"/>
      <c r="D5479"/>
      <c r="E5479"/>
      <c r="F5479"/>
      <c r="G5479"/>
      <c r="H5479"/>
      <c r="I5479"/>
      <c r="J5479"/>
      <c r="K5479"/>
    </row>
    <row r="5480" spans="1:11">
      <c r="A5480"/>
      <c r="B5480"/>
      <c r="C5480"/>
      <c r="D5480"/>
      <c r="E5480"/>
      <c r="F5480"/>
      <c r="G5480"/>
      <c r="H5480"/>
      <c r="I5480"/>
      <c r="J5480"/>
      <c r="K5480"/>
    </row>
    <row r="5481" spans="1:11">
      <c r="A5481"/>
      <c r="B5481"/>
      <c r="C5481"/>
      <c r="D5481"/>
      <c r="E5481"/>
      <c r="F5481"/>
      <c r="G5481"/>
      <c r="H5481"/>
      <c r="I5481"/>
      <c r="J5481"/>
      <c r="K5481"/>
    </row>
    <row r="5482" spans="1:11">
      <c r="A5482"/>
      <c r="B5482"/>
      <c r="C5482"/>
      <c r="D5482"/>
      <c r="E5482"/>
      <c r="F5482"/>
      <c r="G5482"/>
      <c r="H5482"/>
      <c r="I5482"/>
      <c r="J5482"/>
      <c r="K5482"/>
    </row>
    <row r="5483" spans="1:11">
      <c r="A5483"/>
      <c r="B5483"/>
      <c r="C5483"/>
      <c r="D5483"/>
      <c r="E5483"/>
      <c r="F5483"/>
      <c r="G5483"/>
      <c r="H5483"/>
      <c r="I5483"/>
      <c r="J5483"/>
      <c r="K5483"/>
    </row>
    <row r="5484" spans="1:11">
      <c r="A5484"/>
      <c r="B5484"/>
      <c r="C5484"/>
      <c r="D5484"/>
      <c r="E5484"/>
      <c r="F5484"/>
      <c r="G5484"/>
      <c r="H5484"/>
      <c r="I5484"/>
      <c r="J5484"/>
      <c r="K5484"/>
    </row>
    <row r="5485" spans="1:11">
      <c r="A5485"/>
      <c r="B5485"/>
      <c r="C5485"/>
      <c r="D5485"/>
      <c r="E5485"/>
      <c r="F5485"/>
      <c r="G5485"/>
      <c r="H5485"/>
      <c r="I5485"/>
      <c r="J5485"/>
      <c r="K5485"/>
    </row>
    <row r="5486" spans="1:11">
      <c r="A5486"/>
      <c r="B5486"/>
      <c r="C5486"/>
      <c r="D5486"/>
      <c r="E5486"/>
      <c r="F5486"/>
      <c r="G5486"/>
      <c r="H5486"/>
      <c r="I5486"/>
      <c r="J5486"/>
      <c r="K5486"/>
    </row>
    <row r="5487" spans="1:11">
      <c r="A5487"/>
      <c r="B5487"/>
      <c r="C5487"/>
      <c r="D5487"/>
      <c r="E5487"/>
      <c r="F5487"/>
      <c r="G5487"/>
      <c r="H5487"/>
      <c r="I5487"/>
      <c r="J5487"/>
      <c r="K5487"/>
    </row>
    <row r="5488" spans="1:11">
      <c r="A5488"/>
      <c r="B5488"/>
      <c r="C5488"/>
      <c r="D5488"/>
      <c r="E5488"/>
      <c r="F5488"/>
      <c r="G5488"/>
      <c r="H5488"/>
      <c r="I5488"/>
      <c r="J5488"/>
      <c r="K5488"/>
    </row>
    <row r="5489" spans="1:11">
      <c r="A5489"/>
      <c r="B5489"/>
      <c r="C5489"/>
      <c r="D5489"/>
      <c r="E5489"/>
      <c r="F5489"/>
      <c r="G5489"/>
      <c r="H5489"/>
      <c r="I5489"/>
      <c r="J5489"/>
      <c r="K5489"/>
    </row>
    <row r="5490" spans="1:11">
      <c r="A5490"/>
      <c r="B5490"/>
      <c r="C5490"/>
      <c r="D5490"/>
      <c r="E5490"/>
      <c r="F5490"/>
      <c r="G5490"/>
      <c r="H5490"/>
      <c r="I5490"/>
      <c r="J5490"/>
      <c r="K5490"/>
    </row>
    <row r="5491" spans="1:11">
      <c r="A5491"/>
      <c r="B5491"/>
      <c r="C5491"/>
      <c r="D5491"/>
      <c r="E5491"/>
      <c r="F5491"/>
      <c r="G5491"/>
      <c r="H5491"/>
      <c r="I5491"/>
      <c r="J5491"/>
      <c r="K5491"/>
    </row>
    <row r="5492" spans="1:11">
      <c r="A5492"/>
      <c r="B5492"/>
      <c r="C5492"/>
      <c r="D5492"/>
      <c r="E5492"/>
      <c r="F5492"/>
      <c r="G5492"/>
      <c r="H5492"/>
      <c r="I5492"/>
      <c r="J5492"/>
      <c r="K5492"/>
    </row>
    <row r="5493" spans="1:11">
      <c r="A5493"/>
      <c r="B5493"/>
      <c r="C5493"/>
      <c r="D5493"/>
      <c r="E5493"/>
      <c r="F5493"/>
      <c r="G5493"/>
      <c r="H5493"/>
      <c r="I5493"/>
      <c r="J5493"/>
      <c r="K5493"/>
    </row>
    <row r="5494" spans="1:11">
      <c r="A5494"/>
      <c r="B5494"/>
      <c r="C5494"/>
      <c r="D5494"/>
      <c r="E5494"/>
      <c r="F5494"/>
      <c r="G5494"/>
      <c r="H5494"/>
      <c r="I5494"/>
      <c r="J5494"/>
      <c r="K5494"/>
    </row>
    <row r="5495" spans="1:11">
      <c r="A5495"/>
      <c r="B5495"/>
      <c r="C5495"/>
      <c r="D5495"/>
      <c r="E5495"/>
      <c r="F5495"/>
      <c r="G5495"/>
      <c r="H5495"/>
      <c r="I5495"/>
      <c r="J5495"/>
      <c r="K5495"/>
    </row>
    <row r="5496" spans="1:11">
      <c r="A5496"/>
      <c r="B5496"/>
      <c r="C5496"/>
      <c r="D5496"/>
      <c r="E5496"/>
      <c r="F5496"/>
      <c r="G5496"/>
      <c r="H5496"/>
      <c r="I5496"/>
      <c r="J5496"/>
      <c r="K5496"/>
    </row>
    <row r="5497" spans="1:11">
      <c r="A5497"/>
      <c r="B5497"/>
      <c r="C5497"/>
      <c r="D5497"/>
      <c r="E5497"/>
      <c r="F5497"/>
      <c r="G5497"/>
      <c r="H5497"/>
      <c r="I5497"/>
      <c r="J5497"/>
      <c r="K5497"/>
    </row>
    <row r="5498" spans="1:11">
      <c r="A5498"/>
      <c r="B5498"/>
      <c r="C5498"/>
      <c r="D5498"/>
      <c r="E5498"/>
      <c r="F5498"/>
      <c r="G5498"/>
      <c r="H5498"/>
      <c r="I5498"/>
      <c r="J5498"/>
      <c r="K5498"/>
    </row>
    <row r="5499" spans="1:11">
      <c r="A5499"/>
      <c r="B5499"/>
      <c r="C5499"/>
      <c r="D5499"/>
      <c r="E5499"/>
      <c r="F5499"/>
      <c r="G5499"/>
      <c r="H5499"/>
      <c r="I5499"/>
      <c r="J5499"/>
      <c r="K5499"/>
    </row>
    <row r="5500" spans="1:11">
      <c r="A5500"/>
      <c r="B5500"/>
      <c r="C5500"/>
      <c r="D5500"/>
      <c r="E5500"/>
      <c r="F5500"/>
      <c r="G5500"/>
      <c r="H5500"/>
      <c r="I5500"/>
      <c r="J5500"/>
      <c r="K5500"/>
    </row>
    <row r="5501" spans="1:11">
      <c r="A5501"/>
      <c r="B5501"/>
      <c r="C5501"/>
      <c r="D5501"/>
      <c r="E5501"/>
      <c r="F5501"/>
      <c r="G5501"/>
      <c r="H5501"/>
      <c r="I5501"/>
      <c r="J5501"/>
      <c r="K5501"/>
    </row>
    <row r="5502" spans="1:11">
      <c r="A5502"/>
      <c r="B5502"/>
      <c r="C5502"/>
      <c r="D5502"/>
      <c r="E5502"/>
      <c r="F5502"/>
      <c r="G5502"/>
      <c r="H5502"/>
      <c r="I5502"/>
      <c r="J5502"/>
      <c r="K5502"/>
    </row>
    <row r="5503" spans="1:11">
      <c r="A5503"/>
      <c r="B5503"/>
      <c r="C5503"/>
      <c r="D5503"/>
      <c r="E5503"/>
      <c r="F5503"/>
      <c r="G5503"/>
      <c r="H5503"/>
      <c r="I5503"/>
      <c r="J5503"/>
      <c r="K5503"/>
    </row>
    <row r="5504" spans="1:11">
      <c r="A5504"/>
      <c r="B5504"/>
      <c r="C5504"/>
      <c r="D5504"/>
      <c r="E5504"/>
      <c r="F5504"/>
      <c r="G5504"/>
      <c r="H5504"/>
      <c r="I5504"/>
      <c r="J5504"/>
      <c r="K5504"/>
    </row>
    <row r="5505" spans="1:11">
      <c r="A5505"/>
      <c r="B5505"/>
      <c r="C5505"/>
      <c r="D5505"/>
      <c r="E5505"/>
      <c r="F5505"/>
      <c r="G5505"/>
      <c r="H5505"/>
      <c r="I5505"/>
      <c r="J5505"/>
      <c r="K5505"/>
    </row>
    <row r="5506" spans="1:11">
      <c r="A5506"/>
      <c r="B5506"/>
      <c r="C5506"/>
      <c r="D5506"/>
      <c r="E5506"/>
      <c r="F5506"/>
      <c r="G5506"/>
      <c r="H5506"/>
      <c r="I5506"/>
      <c r="J5506"/>
      <c r="K5506"/>
    </row>
    <row r="5507" spans="1:11">
      <c r="A5507"/>
      <c r="B5507"/>
      <c r="C5507"/>
      <c r="D5507"/>
      <c r="E5507"/>
      <c r="F5507"/>
      <c r="G5507"/>
      <c r="H5507"/>
      <c r="I5507"/>
      <c r="J5507"/>
      <c r="K5507"/>
    </row>
    <row r="5508" spans="1:11">
      <c r="A5508"/>
      <c r="B5508"/>
      <c r="C5508"/>
      <c r="D5508"/>
      <c r="E5508"/>
      <c r="F5508"/>
      <c r="G5508"/>
      <c r="H5508"/>
      <c r="I5508"/>
      <c r="J5508"/>
      <c r="K5508"/>
    </row>
    <row r="5509" spans="1:11">
      <c r="A5509"/>
      <c r="B5509"/>
      <c r="C5509"/>
      <c r="D5509"/>
      <c r="E5509"/>
      <c r="F5509"/>
      <c r="G5509"/>
      <c r="H5509"/>
      <c r="I5509"/>
      <c r="J5509"/>
      <c r="K5509"/>
    </row>
    <row r="5510" spans="1:11">
      <c r="A5510"/>
      <c r="B5510"/>
      <c r="C5510"/>
      <c r="D5510"/>
      <c r="E5510"/>
      <c r="F5510"/>
      <c r="G5510"/>
      <c r="H5510"/>
      <c r="I5510"/>
      <c r="J5510"/>
      <c r="K5510"/>
    </row>
    <row r="5511" spans="1:11">
      <c r="A5511"/>
      <c r="B5511"/>
      <c r="C5511"/>
      <c r="D5511"/>
      <c r="E5511"/>
      <c r="F5511"/>
      <c r="G5511"/>
      <c r="H5511"/>
      <c r="I5511"/>
      <c r="J5511"/>
      <c r="K5511"/>
    </row>
    <row r="5512" spans="1:11">
      <c r="A5512"/>
      <c r="B5512"/>
      <c r="C5512"/>
      <c r="D5512"/>
      <c r="E5512"/>
      <c r="F5512"/>
      <c r="G5512"/>
      <c r="H5512"/>
      <c r="I5512"/>
      <c r="J5512"/>
      <c r="K5512"/>
    </row>
    <row r="5513" spans="1:11">
      <c r="A5513"/>
      <c r="B5513"/>
      <c r="C5513"/>
      <c r="D5513"/>
      <c r="E5513"/>
      <c r="F5513"/>
      <c r="G5513"/>
      <c r="H5513"/>
      <c r="I5513"/>
      <c r="J5513"/>
      <c r="K5513"/>
    </row>
    <row r="5514" spans="1:11">
      <c r="A5514"/>
      <c r="B5514"/>
      <c r="C5514"/>
      <c r="D5514"/>
      <c r="E5514"/>
      <c r="F5514"/>
      <c r="G5514"/>
      <c r="H5514"/>
      <c r="I5514"/>
      <c r="J5514"/>
      <c r="K5514"/>
    </row>
    <row r="5515" spans="1:11">
      <c r="A5515"/>
      <c r="B5515"/>
      <c r="C5515"/>
      <c r="D5515"/>
      <c r="E5515"/>
      <c r="F5515"/>
      <c r="G5515"/>
      <c r="H5515"/>
      <c r="I5515"/>
      <c r="J5515"/>
      <c r="K5515"/>
    </row>
    <row r="5516" spans="1:11">
      <c r="A5516"/>
      <c r="B5516"/>
      <c r="C5516"/>
      <c r="D5516"/>
      <c r="E5516"/>
      <c r="F5516"/>
      <c r="G5516"/>
      <c r="H5516"/>
      <c r="I5516"/>
      <c r="J5516"/>
      <c r="K5516"/>
    </row>
    <row r="5517" spans="1:11">
      <c r="A5517"/>
      <c r="B5517"/>
      <c r="C5517"/>
      <c r="D5517"/>
      <c r="E5517"/>
      <c r="F5517"/>
      <c r="G5517"/>
      <c r="H5517"/>
      <c r="I5517"/>
      <c r="J5517"/>
      <c r="K5517"/>
    </row>
    <row r="5518" spans="1:11">
      <c r="A5518"/>
      <c r="B5518"/>
      <c r="C5518"/>
      <c r="D5518"/>
      <c r="E5518"/>
      <c r="F5518"/>
      <c r="G5518"/>
      <c r="H5518"/>
      <c r="I5518"/>
      <c r="J5518"/>
      <c r="K5518"/>
    </row>
    <row r="5519" spans="1:11">
      <c r="A5519"/>
      <c r="B5519"/>
      <c r="C5519"/>
      <c r="D5519"/>
      <c r="E5519"/>
      <c r="F5519"/>
      <c r="G5519"/>
      <c r="H5519"/>
      <c r="I5519"/>
      <c r="J5519"/>
      <c r="K5519"/>
    </row>
    <row r="5520" spans="1:11">
      <c r="A5520"/>
      <c r="B5520"/>
      <c r="C5520"/>
      <c r="D5520"/>
      <c r="E5520"/>
      <c r="F5520"/>
      <c r="G5520"/>
      <c r="H5520"/>
      <c r="I5520"/>
      <c r="J5520"/>
      <c r="K5520"/>
    </row>
    <row r="5521" spans="1:11">
      <c r="A5521"/>
      <c r="B5521"/>
      <c r="C5521"/>
      <c r="D5521"/>
      <c r="E5521"/>
      <c r="F5521"/>
      <c r="G5521"/>
      <c r="H5521"/>
      <c r="I5521"/>
      <c r="J5521"/>
      <c r="K5521"/>
    </row>
    <row r="5522" spans="1:11">
      <c r="A5522"/>
      <c r="B5522"/>
      <c r="C5522"/>
      <c r="D5522"/>
      <c r="E5522"/>
      <c r="F5522"/>
      <c r="G5522"/>
      <c r="H5522"/>
      <c r="I5522"/>
      <c r="J5522"/>
      <c r="K5522"/>
    </row>
    <row r="5523" spans="1:11">
      <c r="A5523"/>
      <c r="B5523"/>
      <c r="C5523"/>
      <c r="D5523"/>
      <c r="E5523"/>
      <c r="F5523"/>
      <c r="G5523"/>
      <c r="H5523"/>
      <c r="I5523"/>
      <c r="J5523"/>
      <c r="K5523"/>
    </row>
    <row r="5524" spans="1:11">
      <c r="A5524"/>
      <c r="B5524"/>
      <c r="C5524"/>
      <c r="D5524"/>
      <c r="E5524"/>
      <c r="F5524"/>
      <c r="G5524"/>
      <c r="H5524"/>
      <c r="I5524"/>
      <c r="J5524"/>
      <c r="K5524"/>
    </row>
    <row r="5525" spans="1:11">
      <c r="A5525"/>
      <c r="B5525"/>
      <c r="C5525"/>
      <c r="D5525"/>
      <c r="E5525"/>
      <c r="F5525"/>
      <c r="G5525"/>
      <c r="H5525"/>
      <c r="I5525"/>
      <c r="J5525"/>
      <c r="K5525"/>
    </row>
    <row r="5526" spans="1:11">
      <c r="A5526"/>
      <c r="B5526"/>
      <c r="C5526"/>
      <c r="D5526"/>
      <c r="E5526"/>
      <c r="F5526"/>
      <c r="G5526"/>
      <c r="H5526"/>
      <c r="I5526"/>
      <c r="J5526"/>
      <c r="K5526"/>
    </row>
    <row r="5527" spans="1:11">
      <c r="A5527"/>
      <c r="B5527"/>
      <c r="C5527"/>
      <c r="D5527"/>
      <c r="E5527"/>
      <c r="F5527"/>
      <c r="G5527"/>
      <c r="H5527"/>
      <c r="I5527"/>
      <c r="J5527"/>
      <c r="K5527"/>
    </row>
    <row r="5528" spans="1:11">
      <c r="A5528"/>
      <c r="B5528"/>
      <c r="C5528"/>
      <c r="D5528"/>
      <c r="E5528"/>
      <c r="F5528"/>
      <c r="G5528"/>
      <c r="H5528"/>
      <c r="I5528"/>
      <c r="J5528"/>
      <c r="K5528"/>
    </row>
    <row r="5529" spans="1:11">
      <c r="A5529"/>
      <c r="B5529"/>
      <c r="C5529"/>
      <c r="D5529"/>
      <c r="E5529"/>
      <c r="F5529"/>
      <c r="G5529"/>
      <c r="H5529"/>
      <c r="I5529"/>
      <c r="J5529"/>
      <c r="K5529"/>
    </row>
    <row r="5530" spans="1:11">
      <c r="A5530"/>
      <c r="B5530"/>
      <c r="C5530"/>
      <c r="D5530"/>
      <c r="E5530"/>
      <c r="F5530"/>
      <c r="G5530"/>
      <c r="H5530"/>
      <c r="I5530"/>
      <c r="J5530"/>
      <c r="K5530"/>
    </row>
    <row r="5531" spans="1:11">
      <c r="A5531"/>
      <c r="B5531"/>
      <c r="C5531"/>
      <c r="D5531"/>
      <c r="E5531"/>
      <c r="F5531"/>
      <c r="G5531"/>
      <c r="H5531"/>
      <c r="I5531"/>
      <c r="J5531"/>
      <c r="K5531"/>
    </row>
    <row r="5532" spans="1:11">
      <c r="A5532"/>
      <c r="B5532"/>
      <c r="C5532"/>
      <c r="D5532"/>
      <c r="E5532"/>
      <c r="F5532"/>
      <c r="G5532"/>
      <c r="H5532"/>
      <c r="I5532"/>
      <c r="J5532"/>
      <c r="K5532"/>
    </row>
    <row r="5533" spans="1:11">
      <c r="A5533"/>
      <c r="B5533"/>
      <c r="C5533"/>
      <c r="D5533"/>
      <c r="E5533"/>
      <c r="F5533"/>
      <c r="G5533"/>
      <c r="H5533"/>
      <c r="I5533"/>
      <c r="J5533"/>
      <c r="K5533"/>
    </row>
    <row r="5534" spans="1:11">
      <c r="A5534"/>
      <c r="B5534"/>
      <c r="C5534"/>
      <c r="D5534"/>
      <c r="E5534"/>
      <c r="F5534"/>
      <c r="G5534"/>
      <c r="H5534"/>
      <c r="I5534"/>
      <c r="J5534"/>
      <c r="K5534"/>
    </row>
    <row r="5535" spans="1:11">
      <c r="A5535"/>
      <c r="B5535"/>
      <c r="C5535"/>
      <c r="D5535"/>
      <c r="E5535"/>
      <c r="F5535"/>
      <c r="G5535"/>
      <c r="H5535"/>
      <c r="I5535"/>
      <c r="J5535"/>
      <c r="K5535"/>
    </row>
    <row r="5536" spans="1:11">
      <c r="A5536"/>
      <c r="B5536"/>
      <c r="C5536"/>
      <c r="D5536"/>
      <c r="E5536"/>
      <c r="F5536"/>
      <c r="G5536"/>
      <c r="H5536"/>
      <c r="I5536"/>
      <c r="J5536"/>
      <c r="K5536"/>
    </row>
    <row r="5537" spans="1:11">
      <c r="A5537"/>
      <c r="B5537"/>
      <c r="C5537"/>
      <c r="D5537"/>
      <c r="E5537"/>
      <c r="F5537"/>
      <c r="G5537"/>
      <c r="H5537"/>
      <c r="I5537"/>
      <c r="J5537"/>
      <c r="K5537"/>
    </row>
    <row r="5538" spans="1:11">
      <c r="A5538"/>
      <c r="B5538"/>
      <c r="C5538"/>
      <c r="D5538"/>
      <c r="E5538"/>
      <c r="F5538"/>
      <c r="G5538"/>
      <c r="H5538"/>
      <c r="I5538"/>
      <c r="J5538"/>
      <c r="K5538"/>
    </row>
    <row r="5539" spans="1:11">
      <c r="A5539"/>
      <c r="B5539"/>
      <c r="C5539"/>
      <c r="D5539"/>
      <c r="E5539"/>
      <c r="F5539"/>
      <c r="G5539"/>
      <c r="H5539"/>
      <c r="I5539"/>
      <c r="J5539"/>
      <c r="K5539"/>
    </row>
    <row r="5540" spans="1:11">
      <c r="A5540"/>
      <c r="B5540"/>
      <c r="C5540"/>
      <c r="D5540"/>
      <c r="E5540"/>
      <c r="F5540"/>
      <c r="G5540"/>
      <c r="H5540"/>
      <c r="I5540"/>
      <c r="J5540"/>
      <c r="K5540"/>
    </row>
    <row r="5541" spans="1:11">
      <c r="A5541"/>
      <c r="B5541"/>
      <c r="C5541"/>
      <c r="D5541"/>
      <c r="E5541"/>
      <c r="F5541"/>
      <c r="G5541"/>
      <c r="H5541"/>
      <c r="I5541"/>
      <c r="J5541"/>
      <c r="K5541"/>
    </row>
    <row r="5542" spans="1:11">
      <c r="A5542"/>
      <c r="B5542"/>
      <c r="C5542"/>
      <c r="D5542"/>
      <c r="E5542"/>
      <c r="F5542"/>
      <c r="G5542"/>
      <c r="H5542"/>
      <c r="I5542"/>
      <c r="J5542"/>
      <c r="K5542"/>
    </row>
    <row r="5543" spans="1:11">
      <c r="A5543"/>
      <c r="B5543"/>
      <c r="C5543"/>
      <c r="D5543"/>
      <c r="E5543"/>
      <c r="F5543"/>
      <c r="G5543"/>
      <c r="H5543"/>
      <c r="I5543"/>
      <c r="J5543"/>
      <c r="K5543"/>
    </row>
    <row r="5544" spans="1:11">
      <c r="A5544"/>
      <c r="B5544"/>
      <c r="C5544"/>
      <c r="D5544"/>
      <c r="E5544"/>
      <c r="F5544"/>
      <c r="G5544"/>
      <c r="H5544"/>
      <c r="I5544"/>
      <c r="J5544"/>
      <c r="K5544"/>
    </row>
    <row r="5545" spans="1:11">
      <c r="A5545"/>
      <c r="B5545"/>
      <c r="C5545"/>
      <c r="D5545"/>
      <c r="E5545"/>
      <c r="F5545"/>
      <c r="G5545"/>
      <c r="H5545"/>
      <c r="I5545"/>
      <c r="J5545"/>
      <c r="K5545"/>
    </row>
    <row r="5546" spans="1:11">
      <c r="A5546"/>
      <c r="B5546"/>
      <c r="C5546"/>
      <c r="D5546"/>
      <c r="E5546"/>
      <c r="F5546"/>
      <c r="G5546"/>
      <c r="H5546"/>
      <c r="I5546"/>
      <c r="J5546"/>
      <c r="K5546"/>
    </row>
    <row r="5547" spans="1:11">
      <c r="A5547"/>
      <c r="B5547"/>
      <c r="C5547"/>
      <c r="D5547"/>
      <c r="E5547"/>
      <c r="F5547"/>
      <c r="G5547"/>
      <c r="H5547"/>
      <c r="I5547"/>
      <c r="J5547"/>
      <c r="K5547"/>
    </row>
    <row r="5548" spans="1:11">
      <c r="A5548"/>
      <c r="B5548"/>
      <c r="C5548"/>
      <c r="D5548"/>
      <c r="E5548"/>
      <c r="F5548"/>
      <c r="G5548"/>
      <c r="H5548"/>
      <c r="I5548"/>
      <c r="J5548"/>
      <c r="K5548"/>
    </row>
    <row r="5549" spans="1:11">
      <c r="A5549"/>
      <c r="B5549"/>
      <c r="C5549"/>
      <c r="D5549"/>
      <c r="E5549"/>
      <c r="F5549"/>
      <c r="G5549"/>
      <c r="H5549"/>
      <c r="I5549"/>
      <c r="J5549"/>
      <c r="K5549"/>
    </row>
    <row r="5550" spans="1:11">
      <c r="A5550"/>
      <c r="B5550"/>
      <c r="C5550"/>
      <c r="D5550"/>
      <c r="E5550"/>
      <c r="F5550"/>
      <c r="G5550"/>
      <c r="H5550"/>
      <c r="I5550"/>
      <c r="J5550"/>
      <c r="K5550"/>
    </row>
    <row r="5551" spans="1:11">
      <c r="A5551"/>
      <c r="B5551"/>
      <c r="C5551"/>
      <c r="D5551"/>
      <c r="E5551"/>
      <c r="F5551"/>
      <c r="G5551"/>
      <c r="H5551"/>
      <c r="I5551"/>
      <c r="J5551"/>
      <c r="K5551"/>
    </row>
    <row r="5552" spans="1:11">
      <c r="A5552"/>
      <c r="B5552"/>
      <c r="C5552"/>
      <c r="D5552"/>
      <c r="E5552"/>
      <c r="F5552"/>
      <c r="G5552"/>
      <c r="H5552"/>
      <c r="I5552"/>
      <c r="J5552"/>
      <c r="K5552"/>
    </row>
    <row r="5553" spans="1:11">
      <c r="A5553"/>
      <c r="B5553"/>
      <c r="C5553"/>
      <c r="D5553"/>
      <c r="E5553"/>
      <c r="F5553"/>
      <c r="G5553"/>
      <c r="H5553"/>
      <c r="I5553"/>
      <c r="J5553"/>
      <c r="K5553"/>
    </row>
    <row r="5554" spans="1:11">
      <c r="A5554"/>
      <c r="B5554"/>
      <c r="C5554"/>
      <c r="D5554"/>
      <c r="E5554"/>
      <c r="F5554"/>
      <c r="G5554"/>
      <c r="H5554"/>
      <c r="I5554"/>
      <c r="J5554"/>
      <c r="K5554"/>
    </row>
    <row r="5555" spans="1:11">
      <c r="A5555"/>
      <c r="B5555"/>
      <c r="C5555"/>
      <c r="D5555"/>
      <c r="E5555"/>
      <c r="F5555"/>
      <c r="G5555"/>
      <c r="H5555"/>
      <c r="I5555"/>
      <c r="J5555"/>
      <c r="K5555"/>
    </row>
    <row r="5556" spans="1:11">
      <c r="A5556"/>
      <c r="B5556"/>
      <c r="C5556"/>
      <c r="D5556"/>
      <c r="E5556"/>
      <c r="F5556"/>
      <c r="G5556"/>
      <c r="H5556"/>
      <c r="I5556"/>
      <c r="J5556"/>
      <c r="K5556"/>
    </row>
    <row r="5557" spans="1:11">
      <c r="A5557"/>
      <c r="B5557"/>
      <c r="C5557"/>
      <c r="D5557"/>
      <c r="E5557"/>
      <c r="F5557"/>
      <c r="G5557"/>
      <c r="H5557"/>
      <c r="I5557"/>
      <c r="J5557"/>
      <c r="K5557"/>
    </row>
    <row r="5558" spans="1:11">
      <c r="A5558"/>
      <c r="B5558"/>
      <c r="C5558"/>
      <c r="D5558"/>
      <c r="E5558"/>
      <c r="F5558"/>
      <c r="G5558"/>
      <c r="H5558"/>
      <c r="I5558"/>
      <c r="J5558"/>
      <c r="K5558"/>
    </row>
    <row r="5559" spans="1:11">
      <c r="A5559"/>
      <c r="B5559"/>
      <c r="C5559"/>
      <c r="D5559"/>
      <c r="E5559"/>
      <c r="F5559"/>
      <c r="G5559"/>
      <c r="H5559"/>
      <c r="I5559"/>
      <c r="J5559"/>
      <c r="K5559"/>
    </row>
    <row r="5560" spans="1:11">
      <c r="A5560"/>
      <c r="B5560"/>
      <c r="C5560"/>
      <c r="D5560"/>
      <c r="E5560"/>
      <c r="F5560"/>
      <c r="G5560"/>
      <c r="H5560"/>
      <c r="I5560"/>
      <c r="J5560"/>
      <c r="K5560"/>
    </row>
    <row r="5561" spans="1:11">
      <c r="A5561"/>
      <c r="B5561"/>
      <c r="C5561"/>
      <c r="D5561"/>
      <c r="E5561"/>
      <c r="F5561"/>
      <c r="G5561"/>
      <c r="H5561"/>
      <c r="I5561"/>
      <c r="J5561"/>
      <c r="K5561"/>
    </row>
    <row r="5562" spans="1:11">
      <c r="A5562"/>
      <c r="B5562"/>
      <c r="C5562"/>
      <c r="D5562"/>
      <c r="E5562"/>
      <c r="F5562"/>
      <c r="G5562"/>
      <c r="H5562"/>
      <c r="I5562"/>
      <c r="J5562"/>
      <c r="K5562"/>
    </row>
    <row r="5563" spans="1:11">
      <c r="A5563"/>
      <c r="B5563"/>
      <c r="C5563"/>
      <c r="D5563"/>
      <c r="E5563"/>
      <c r="F5563"/>
      <c r="G5563"/>
      <c r="H5563"/>
      <c r="I5563"/>
      <c r="J5563"/>
      <c r="K5563"/>
    </row>
    <row r="5564" spans="1:11">
      <c r="A5564"/>
      <c r="B5564"/>
      <c r="C5564"/>
      <c r="D5564"/>
      <c r="E5564"/>
      <c r="F5564"/>
      <c r="G5564"/>
      <c r="H5564"/>
      <c r="I5564"/>
      <c r="J5564"/>
      <c r="K5564"/>
    </row>
    <row r="5565" spans="1:11">
      <c r="A5565"/>
      <c r="B5565"/>
      <c r="C5565"/>
      <c r="D5565"/>
      <c r="E5565"/>
      <c r="F5565"/>
      <c r="G5565"/>
      <c r="H5565"/>
      <c r="I5565"/>
      <c r="J5565"/>
      <c r="K5565"/>
    </row>
    <row r="5566" spans="1:11">
      <c r="A5566"/>
      <c r="B5566"/>
      <c r="C5566"/>
      <c r="D5566"/>
      <c r="E5566"/>
      <c r="F5566"/>
      <c r="G5566"/>
      <c r="H5566"/>
      <c r="I5566"/>
      <c r="J5566"/>
      <c r="K5566"/>
    </row>
    <row r="5567" spans="1:11">
      <c r="A5567"/>
      <c r="B5567"/>
      <c r="C5567"/>
      <c r="D5567"/>
      <c r="E5567"/>
      <c r="F5567"/>
      <c r="G5567"/>
      <c r="H5567"/>
      <c r="I5567"/>
      <c r="J5567"/>
      <c r="K5567"/>
    </row>
    <row r="5568" spans="1:11">
      <c r="A5568"/>
      <c r="B5568"/>
      <c r="C5568"/>
      <c r="D5568"/>
      <c r="E5568"/>
      <c r="F5568"/>
      <c r="G5568"/>
      <c r="H5568"/>
      <c r="I5568"/>
      <c r="J5568"/>
      <c r="K5568"/>
    </row>
    <row r="5569" spans="1:11">
      <c r="A5569"/>
      <c r="B5569"/>
      <c r="C5569"/>
      <c r="D5569"/>
      <c r="E5569"/>
      <c r="F5569"/>
      <c r="G5569"/>
      <c r="H5569"/>
      <c r="I5569"/>
      <c r="J5569"/>
      <c r="K5569"/>
    </row>
    <row r="5570" spans="1:11">
      <c r="A5570"/>
      <c r="B5570"/>
      <c r="C5570"/>
      <c r="D5570"/>
      <c r="E5570"/>
      <c r="F5570"/>
      <c r="G5570"/>
      <c r="H5570"/>
      <c r="I5570"/>
      <c r="J5570"/>
      <c r="K5570"/>
    </row>
    <row r="5571" spans="1:11">
      <c r="A5571"/>
      <c r="B5571"/>
      <c r="C5571"/>
      <c r="D5571"/>
      <c r="E5571"/>
      <c r="F5571"/>
      <c r="G5571"/>
      <c r="H5571"/>
      <c r="I5571"/>
      <c r="J5571"/>
      <c r="K5571"/>
    </row>
    <row r="5572" spans="1:11">
      <c r="A5572"/>
      <c r="B5572"/>
      <c r="C5572"/>
      <c r="D5572"/>
      <c r="E5572"/>
      <c r="F5572"/>
      <c r="G5572"/>
      <c r="H5572"/>
      <c r="I5572"/>
      <c r="J5572"/>
      <c r="K5572"/>
    </row>
    <row r="5573" spans="1:11">
      <c r="A5573"/>
      <c r="B5573"/>
      <c r="C5573"/>
      <c r="D5573"/>
      <c r="E5573"/>
      <c r="F5573"/>
      <c r="G5573"/>
      <c r="H5573"/>
      <c r="I5573"/>
      <c r="J5573"/>
      <c r="K5573"/>
    </row>
    <row r="5574" spans="1:11">
      <c r="A5574"/>
      <c r="B5574"/>
      <c r="C5574"/>
      <c r="D5574"/>
      <c r="E5574"/>
      <c r="F5574"/>
      <c r="G5574"/>
      <c r="H5574"/>
      <c r="I5574"/>
      <c r="J5574"/>
      <c r="K5574"/>
    </row>
    <row r="5575" spans="1:11">
      <c r="A5575"/>
      <c r="B5575"/>
      <c r="C5575"/>
      <c r="D5575"/>
      <c r="E5575"/>
      <c r="F5575"/>
      <c r="G5575"/>
      <c r="H5575"/>
      <c r="I5575"/>
      <c r="J5575"/>
      <c r="K5575"/>
    </row>
    <row r="5576" spans="1:11">
      <c r="A5576"/>
      <c r="B5576"/>
      <c r="C5576"/>
      <c r="D5576"/>
      <c r="E5576"/>
      <c r="F5576"/>
      <c r="G5576"/>
      <c r="H5576"/>
      <c r="I5576"/>
      <c r="J5576"/>
      <c r="K5576"/>
    </row>
    <row r="5577" spans="1:11">
      <c r="A5577"/>
      <c r="B5577"/>
      <c r="C5577"/>
      <c r="D5577"/>
      <c r="E5577"/>
      <c r="F5577"/>
      <c r="G5577"/>
      <c r="H5577"/>
      <c r="I5577"/>
      <c r="J5577"/>
      <c r="K5577"/>
    </row>
    <row r="5578" spans="1:11">
      <c r="A5578"/>
      <c r="B5578"/>
      <c r="C5578"/>
      <c r="D5578"/>
      <c r="E5578"/>
      <c r="F5578"/>
      <c r="G5578"/>
      <c r="H5578"/>
      <c r="I5578"/>
      <c r="J5578"/>
      <c r="K5578"/>
    </row>
    <row r="5579" spans="1:11">
      <c r="A5579"/>
      <c r="B5579"/>
      <c r="C5579"/>
      <c r="D5579"/>
      <c r="E5579"/>
      <c r="F5579"/>
      <c r="G5579"/>
      <c r="H5579"/>
      <c r="I5579"/>
      <c r="J5579"/>
      <c r="K5579"/>
    </row>
    <row r="5580" spans="1:11">
      <c r="A5580"/>
      <c r="B5580"/>
      <c r="C5580"/>
      <c r="D5580"/>
      <c r="E5580"/>
      <c r="F5580"/>
      <c r="G5580"/>
      <c r="H5580"/>
      <c r="I5580"/>
      <c r="J5580"/>
      <c r="K5580"/>
    </row>
    <row r="5581" spans="1:11">
      <c r="A5581"/>
      <c r="B5581"/>
      <c r="C5581"/>
      <c r="D5581"/>
      <c r="E5581"/>
      <c r="F5581"/>
      <c r="G5581"/>
      <c r="H5581"/>
      <c r="I5581"/>
      <c r="J5581"/>
      <c r="K5581"/>
    </row>
    <row r="5582" spans="1:11">
      <c r="A5582"/>
      <c r="B5582"/>
      <c r="C5582"/>
      <c r="D5582"/>
      <c r="E5582"/>
      <c r="F5582"/>
      <c r="G5582"/>
      <c r="H5582"/>
      <c r="I5582"/>
      <c r="J5582"/>
      <c r="K5582"/>
    </row>
    <row r="5583" spans="1:11">
      <c r="A5583"/>
      <c r="B5583"/>
      <c r="C5583"/>
      <c r="D5583"/>
      <c r="E5583"/>
      <c r="F5583"/>
      <c r="G5583"/>
      <c r="H5583"/>
      <c r="I5583"/>
      <c r="J5583"/>
      <c r="K5583"/>
    </row>
    <row r="5584" spans="1:11">
      <c r="A5584"/>
      <c r="B5584"/>
      <c r="C5584"/>
      <c r="D5584"/>
      <c r="E5584"/>
      <c r="F5584"/>
      <c r="G5584"/>
      <c r="H5584"/>
      <c r="I5584"/>
      <c r="J5584"/>
      <c r="K5584"/>
    </row>
    <row r="5585" spans="1:11">
      <c r="A5585"/>
      <c r="B5585"/>
      <c r="C5585"/>
      <c r="D5585"/>
      <c r="E5585"/>
      <c r="F5585"/>
      <c r="G5585"/>
      <c r="H5585"/>
      <c r="I5585"/>
      <c r="J5585"/>
      <c r="K5585"/>
    </row>
    <row r="5586" spans="1:11">
      <c r="A5586"/>
      <c r="B5586"/>
      <c r="C5586"/>
      <c r="D5586"/>
      <c r="E5586"/>
      <c r="F5586"/>
      <c r="G5586"/>
      <c r="H5586"/>
      <c r="I5586"/>
      <c r="J5586"/>
      <c r="K5586"/>
    </row>
    <row r="5587" spans="1:11">
      <c r="A5587"/>
      <c r="B5587"/>
      <c r="C5587"/>
      <c r="D5587"/>
      <c r="E5587"/>
      <c r="F5587"/>
      <c r="G5587"/>
      <c r="H5587"/>
      <c r="I5587"/>
      <c r="J5587"/>
      <c r="K5587"/>
    </row>
    <row r="5588" spans="1:11">
      <c r="A5588"/>
      <c r="B5588"/>
      <c r="C5588"/>
      <c r="D5588"/>
      <c r="E5588"/>
      <c r="F5588"/>
      <c r="G5588"/>
      <c r="H5588"/>
      <c r="I5588"/>
      <c r="J5588"/>
      <c r="K5588"/>
    </row>
    <row r="5589" spans="1:11">
      <c r="A5589"/>
      <c r="B5589"/>
      <c r="C5589"/>
      <c r="D5589"/>
      <c r="E5589"/>
      <c r="F5589"/>
      <c r="G5589"/>
      <c r="H5589"/>
      <c r="I5589"/>
      <c r="J5589"/>
      <c r="K5589"/>
    </row>
    <row r="5590" spans="1:11">
      <c r="A5590"/>
      <c r="B5590"/>
      <c r="C5590"/>
      <c r="D5590"/>
      <c r="E5590"/>
      <c r="F5590"/>
      <c r="G5590"/>
      <c r="H5590"/>
      <c r="I5590"/>
      <c r="J5590"/>
      <c r="K5590"/>
    </row>
    <row r="5591" spans="1:11">
      <c r="A5591"/>
      <c r="B5591"/>
      <c r="C5591"/>
      <c r="D5591"/>
      <c r="E5591"/>
      <c r="F5591"/>
      <c r="G5591"/>
      <c r="H5591"/>
      <c r="I5591"/>
      <c r="J5591"/>
      <c r="K5591"/>
    </row>
    <row r="5592" spans="1:11">
      <c r="A5592"/>
      <c r="B5592"/>
      <c r="C5592"/>
      <c r="D5592"/>
      <c r="E5592"/>
      <c r="F5592"/>
      <c r="G5592"/>
      <c r="H5592"/>
      <c r="I5592"/>
      <c r="J5592"/>
      <c r="K5592"/>
    </row>
    <row r="5593" spans="1:11">
      <c r="A5593"/>
      <c r="B5593"/>
      <c r="C5593"/>
      <c r="D5593"/>
      <c r="E5593"/>
      <c r="F5593"/>
      <c r="G5593"/>
      <c r="H5593"/>
      <c r="I5593"/>
      <c r="J5593"/>
      <c r="K5593"/>
    </row>
    <row r="5594" spans="1:11">
      <c r="A5594"/>
      <c r="B5594"/>
      <c r="C5594"/>
      <c r="D5594"/>
      <c r="E5594"/>
      <c r="F5594"/>
      <c r="G5594"/>
      <c r="H5594"/>
      <c r="I5594"/>
      <c r="J5594"/>
      <c r="K5594"/>
    </row>
    <row r="5595" spans="1:11">
      <c r="A5595"/>
      <c r="B5595"/>
      <c r="C5595"/>
      <c r="D5595"/>
      <c r="E5595"/>
      <c r="F5595"/>
      <c r="G5595"/>
      <c r="H5595"/>
      <c r="I5595"/>
      <c r="J5595"/>
      <c r="K5595"/>
    </row>
    <row r="5596" spans="1:11">
      <c r="A5596"/>
      <c r="B5596"/>
      <c r="C5596"/>
      <c r="D5596"/>
      <c r="E5596"/>
      <c r="F5596"/>
      <c r="G5596"/>
      <c r="H5596"/>
      <c r="I5596"/>
      <c r="J5596"/>
      <c r="K5596"/>
    </row>
    <row r="5597" spans="1:11">
      <c r="A5597"/>
      <c r="B5597"/>
      <c r="C5597"/>
      <c r="D5597"/>
      <c r="E5597"/>
      <c r="F5597"/>
      <c r="G5597"/>
      <c r="H5597"/>
      <c r="I5597"/>
      <c r="J5597"/>
      <c r="K5597"/>
    </row>
    <row r="5598" spans="1:11">
      <c r="A5598"/>
      <c r="B5598"/>
      <c r="C5598"/>
      <c r="D5598"/>
      <c r="E5598"/>
      <c r="F5598"/>
      <c r="G5598"/>
      <c r="H5598"/>
      <c r="I5598"/>
      <c r="J5598"/>
      <c r="K5598"/>
    </row>
    <row r="5599" spans="1:11">
      <c r="A5599"/>
      <c r="B5599"/>
      <c r="C5599"/>
      <c r="D5599"/>
      <c r="E5599"/>
      <c r="F5599"/>
      <c r="G5599"/>
      <c r="H5599"/>
      <c r="I5599"/>
      <c r="J5599"/>
      <c r="K5599"/>
    </row>
    <row r="5600" spans="1:11">
      <c r="A5600"/>
      <c r="B5600"/>
      <c r="C5600"/>
      <c r="D5600"/>
      <c r="E5600"/>
      <c r="F5600"/>
      <c r="G5600"/>
      <c r="H5600"/>
      <c r="I5600"/>
      <c r="J5600"/>
      <c r="K5600"/>
    </row>
    <row r="5601" spans="1:11">
      <c r="A5601"/>
      <c r="B5601"/>
      <c r="C5601"/>
      <c r="D5601"/>
      <c r="E5601"/>
      <c r="F5601"/>
      <c r="G5601"/>
      <c r="H5601"/>
      <c r="I5601"/>
      <c r="J5601"/>
      <c r="K5601"/>
    </row>
    <row r="5602" spans="1:11">
      <c r="A5602"/>
      <c r="B5602"/>
      <c r="C5602"/>
      <c r="D5602"/>
      <c r="E5602"/>
      <c r="F5602"/>
      <c r="G5602"/>
      <c r="H5602"/>
      <c r="I5602"/>
      <c r="J5602"/>
      <c r="K5602"/>
    </row>
    <row r="5603" spans="1:11">
      <c r="A5603"/>
      <c r="B5603"/>
      <c r="C5603"/>
      <c r="D5603"/>
      <c r="E5603"/>
      <c r="F5603"/>
      <c r="G5603"/>
      <c r="H5603"/>
      <c r="I5603"/>
      <c r="J5603"/>
      <c r="K5603"/>
    </row>
    <row r="5604" spans="1:11">
      <c r="A5604"/>
      <c r="B5604"/>
      <c r="C5604"/>
      <c r="D5604"/>
      <c r="E5604"/>
      <c r="F5604"/>
      <c r="G5604"/>
      <c r="H5604"/>
      <c r="I5604"/>
      <c r="J5604"/>
      <c r="K5604"/>
    </row>
    <row r="5605" spans="1:11">
      <c r="A5605"/>
      <c r="B5605"/>
      <c r="C5605"/>
      <c r="D5605"/>
      <c r="E5605"/>
      <c r="F5605"/>
      <c r="G5605"/>
      <c r="H5605"/>
      <c r="I5605"/>
      <c r="J5605"/>
      <c r="K5605"/>
    </row>
    <row r="5606" spans="1:11">
      <c r="A5606"/>
      <c r="B5606"/>
      <c r="C5606"/>
      <c r="D5606"/>
      <c r="E5606"/>
      <c r="F5606"/>
      <c r="G5606"/>
      <c r="H5606"/>
      <c r="I5606"/>
      <c r="J5606"/>
      <c r="K5606"/>
    </row>
    <row r="5607" spans="1:11">
      <c r="A5607"/>
      <c r="B5607"/>
      <c r="C5607"/>
      <c r="D5607"/>
      <c r="E5607"/>
      <c r="F5607"/>
      <c r="G5607"/>
      <c r="H5607"/>
      <c r="I5607"/>
      <c r="J5607"/>
      <c r="K5607"/>
    </row>
    <row r="5608" spans="1:11">
      <c r="A5608"/>
      <c r="B5608"/>
      <c r="C5608"/>
      <c r="D5608"/>
      <c r="E5608"/>
      <c r="F5608"/>
      <c r="G5608"/>
      <c r="H5608"/>
      <c r="I5608"/>
      <c r="J5608"/>
      <c r="K5608"/>
    </row>
    <row r="5609" spans="1:11">
      <c r="A5609"/>
      <c r="B5609"/>
      <c r="C5609"/>
      <c r="D5609"/>
      <c r="E5609"/>
      <c r="F5609"/>
      <c r="G5609"/>
      <c r="H5609"/>
      <c r="I5609"/>
      <c r="J5609"/>
      <c r="K5609"/>
    </row>
    <row r="5610" spans="1:11">
      <c r="A5610"/>
      <c r="B5610"/>
      <c r="C5610"/>
      <c r="D5610"/>
      <c r="E5610"/>
      <c r="F5610"/>
      <c r="G5610"/>
      <c r="H5610"/>
      <c r="I5610"/>
      <c r="J5610"/>
      <c r="K5610"/>
    </row>
    <row r="5611" spans="1:11">
      <c r="A5611"/>
      <c r="B5611"/>
      <c r="C5611"/>
      <c r="D5611"/>
      <c r="E5611"/>
      <c r="F5611"/>
      <c r="G5611"/>
      <c r="H5611"/>
      <c r="I5611"/>
      <c r="J5611"/>
      <c r="K5611"/>
    </row>
    <row r="5612" spans="1:11">
      <c r="A5612"/>
      <c r="B5612"/>
      <c r="C5612"/>
      <c r="D5612"/>
      <c r="E5612"/>
      <c r="F5612"/>
      <c r="G5612"/>
      <c r="H5612"/>
      <c r="I5612"/>
      <c r="J5612"/>
      <c r="K5612"/>
    </row>
    <row r="5613" spans="1:11">
      <c r="A5613"/>
      <c r="B5613"/>
      <c r="C5613"/>
      <c r="D5613"/>
      <c r="E5613"/>
      <c r="F5613"/>
      <c r="G5613"/>
      <c r="H5613"/>
      <c r="I5613"/>
      <c r="J5613"/>
      <c r="K5613"/>
    </row>
    <row r="5614" spans="1:11">
      <c r="A5614"/>
      <c r="B5614"/>
      <c r="C5614"/>
      <c r="D5614"/>
      <c r="E5614"/>
      <c r="F5614"/>
      <c r="G5614"/>
      <c r="H5614"/>
      <c r="I5614"/>
      <c r="J5614"/>
      <c r="K5614"/>
    </row>
    <row r="5615" spans="1:11">
      <c r="A5615"/>
      <c r="B5615"/>
      <c r="C5615"/>
      <c r="D5615"/>
      <c r="E5615"/>
      <c r="F5615"/>
      <c r="G5615"/>
      <c r="H5615"/>
      <c r="I5615"/>
      <c r="J5615"/>
      <c r="K5615"/>
    </row>
    <row r="5616" spans="1:11">
      <c r="A5616"/>
      <c r="B5616"/>
      <c r="C5616"/>
      <c r="D5616"/>
      <c r="E5616"/>
      <c r="F5616"/>
      <c r="G5616"/>
      <c r="H5616"/>
      <c r="I5616"/>
      <c r="J5616"/>
      <c r="K5616"/>
    </row>
    <row r="5617" spans="1:11">
      <c r="A5617"/>
      <c r="B5617"/>
      <c r="C5617"/>
      <c r="D5617"/>
      <c r="E5617"/>
      <c r="F5617"/>
      <c r="G5617"/>
      <c r="H5617"/>
      <c r="I5617"/>
      <c r="J5617"/>
      <c r="K5617"/>
    </row>
    <row r="5618" spans="1:11">
      <c r="A5618"/>
      <c r="B5618"/>
      <c r="C5618"/>
      <c r="D5618"/>
      <c r="E5618"/>
      <c r="F5618"/>
      <c r="G5618"/>
      <c r="H5618"/>
      <c r="I5618"/>
      <c r="J5618"/>
      <c r="K5618"/>
    </row>
    <row r="5619" spans="1:11">
      <c r="A5619"/>
      <c r="B5619"/>
      <c r="C5619"/>
      <c r="D5619"/>
      <c r="E5619"/>
      <c r="F5619"/>
      <c r="G5619"/>
      <c r="H5619"/>
      <c r="I5619"/>
      <c r="J5619"/>
      <c r="K5619"/>
    </row>
    <row r="5620" spans="1:11">
      <c r="A5620"/>
      <c r="B5620"/>
      <c r="C5620"/>
      <c r="D5620"/>
      <c r="E5620"/>
      <c r="F5620"/>
      <c r="G5620"/>
      <c r="H5620"/>
      <c r="I5620"/>
      <c r="J5620"/>
      <c r="K5620"/>
    </row>
    <row r="5621" spans="1:11">
      <c r="A5621"/>
      <c r="B5621"/>
      <c r="C5621"/>
      <c r="D5621"/>
      <c r="E5621"/>
      <c r="F5621"/>
      <c r="G5621"/>
      <c r="H5621"/>
      <c r="I5621"/>
      <c r="J5621"/>
      <c r="K5621"/>
    </row>
    <row r="5622" spans="1:11">
      <c r="A5622"/>
      <c r="B5622"/>
      <c r="C5622"/>
      <c r="D5622"/>
      <c r="E5622"/>
      <c r="F5622"/>
      <c r="G5622"/>
      <c r="H5622"/>
      <c r="I5622"/>
      <c r="J5622"/>
      <c r="K5622"/>
    </row>
    <row r="5623" spans="1:11">
      <c r="A5623"/>
      <c r="B5623"/>
      <c r="C5623"/>
      <c r="D5623"/>
      <c r="E5623"/>
      <c r="F5623"/>
      <c r="G5623"/>
      <c r="H5623"/>
      <c r="I5623"/>
      <c r="J5623"/>
      <c r="K5623"/>
    </row>
    <row r="5624" spans="1:11">
      <c r="A5624"/>
      <c r="B5624"/>
      <c r="C5624"/>
      <c r="D5624"/>
      <c r="E5624"/>
      <c r="F5624"/>
      <c r="G5624"/>
      <c r="H5624"/>
      <c r="I5624"/>
      <c r="J5624"/>
      <c r="K5624"/>
    </row>
    <row r="5625" spans="1:11">
      <c r="A5625"/>
      <c r="B5625"/>
      <c r="C5625"/>
      <c r="D5625"/>
      <c r="E5625"/>
      <c r="F5625"/>
      <c r="G5625"/>
      <c r="H5625"/>
      <c r="I5625"/>
      <c r="J5625"/>
      <c r="K5625"/>
    </row>
    <row r="5626" spans="1:11">
      <c r="A5626"/>
      <c r="B5626"/>
      <c r="C5626"/>
      <c r="D5626"/>
      <c r="E5626"/>
      <c r="F5626"/>
      <c r="G5626"/>
      <c r="H5626"/>
      <c r="I5626"/>
      <c r="J5626"/>
      <c r="K5626"/>
    </row>
    <row r="5627" spans="1:11">
      <c r="A5627"/>
      <c r="B5627"/>
      <c r="C5627"/>
      <c r="D5627"/>
      <c r="E5627"/>
      <c r="F5627"/>
      <c r="G5627"/>
      <c r="H5627"/>
      <c r="I5627"/>
      <c r="J5627"/>
      <c r="K5627"/>
    </row>
    <row r="5628" spans="1:11">
      <c r="A5628"/>
      <c r="B5628"/>
      <c r="C5628"/>
      <c r="D5628"/>
      <c r="E5628"/>
      <c r="F5628"/>
      <c r="G5628"/>
      <c r="H5628"/>
      <c r="I5628"/>
      <c r="J5628"/>
      <c r="K5628"/>
    </row>
    <row r="5629" spans="1:11">
      <c r="A5629"/>
      <c r="B5629"/>
      <c r="C5629"/>
      <c r="D5629"/>
      <c r="E5629"/>
      <c r="F5629"/>
      <c r="G5629"/>
      <c r="H5629"/>
      <c r="I5629"/>
      <c r="J5629"/>
      <c r="K5629"/>
    </row>
    <row r="5630" spans="1:11">
      <c r="A5630"/>
      <c r="B5630"/>
      <c r="C5630"/>
      <c r="D5630"/>
      <c r="E5630"/>
      <c r="F5630"/>
      <c r="G5630"/>
      <c r="H5630"/>
      <c r="I5630"/>
      <c r="J5630"/>
      <c r="K5630"/>
    </row>
    <row r="5631" spans="1:11">
      <c r="A5631"/>
      <c r="B5631"/>
      <c r="C5631"/>
      <c r="D5631"/>
      <c r="E5631"/>
      <c r="F5631"/>
      <c r="G5631"/>
      <c r="H5631"/>
      <c r="I5631"/>
      <c r="J5631"/>
      <c r="K5631"/>
    </row>
    <row r="5632" spans="1:11">
      <c r="A5632"/>
      <c r="B5632"/>
      <c r="C5632"/>
      <c r="D5632"/>
      <c r="E5632"/>
      <c r="F5632"/>
      <c r="G5632"/>
      <c r="H5632"/>
      <c r="I5632"/>
      <c r="J5632"/>
      <c r="K5632"/>
    </row>
    <row r="5633" spans="1:11">
      <c r="A5633"/>
      <c r="B5633"/>
      <c r="C5633"/>
      <c r="D5633"/>
      <c r="E5633"/>
      <c r="F5633"/>
      <c r="G5633"/>
      <c r="H5633"/>
      <c r="I5633"/>
      <c r="J5633"/>
      <c r="K5633"/>
    </row>
    <row r="5634" spans="1:11">
      <c r="A5634"/>
      <c r="B5634"/>
      <c r="C5634"/>
      <c r="D5634"/>
      <c r="E5634"/>
      <c r="F5634"/>
      <c r="G5634"/>
      <c r="H5634"/>
      <c r="I5634"/>
      <c r="J5634"/>
      <c r="K5634"/>
    </row>
    <row r="5635" spans="1:11">
      <c r="A5635"/>
      <c r="B5635"/>
      <c r="C5635"/>
      <c r="D5635"/>
      <c r="E5635"/>
      <c r="F5635"/>
      <c r="G5635"/>
      <c r="H5635"/>
      <c r="I5635"/>
      <c r="J5635"/>
      <c r="K5635"/>
    </row>
    <row r="5636" spans="1:11">
      <c r="A5636"/>
      <c r="B5636"/>
      <c r="C5636"/>
      <c r="D5636"/>
      <c r="E5636"/>
      <c r="F5636"/>
      <c r="G5636"/>
      <c r="H5636"/>
      <c r="I5636"/>
      <c r="J5636"/>
      <c r="K5636"/>
    </row>
    <row r="5637" spans="1:11">
      <c r="A5637"/>
      <c r="B5637"/>
      <c r="C5637"/>
      <c r="D5637"/>
      <c r="E5637"/>
      <c r="F5637"/>
      <c r="G5637"/>
      <c r="H5637"/>
      <c r="I5637"/>
      <c r="J5637"/>
      <c r="K5637"/>
    </row>
    <row r="5638" spans="1:11">
      <c r="A5638"/>
      <c r="B5638"/>
      <c r="C5638"/>
      <c r="D5638"/>
      <c r="E5638"/>
      <c r="F5638"/>
      <c r="G5638"/>
      <c r="H5638"/>
      <c r="I5638"/>
      <c r="J5638"/>
      <c r="K5638"/>
    </row>
    <row r="5639" spans="1:11">
      <c r="A5639"/>
      <c r="B5639"/>
      <c r="C5639"/>
      <c r="D5639"/>
      <c r="E5639"/>
      <c r="F5639"/>
      <c r="G5639"/>
      <c r="H5639"/>
      <c r="I5639"/>
      <c r="J5639"/>
      <c r="K5639"/>
    </row>
    <row r="5640" spans="1:11">
      <c r="A5640"/>
      <c r="B5640"/>
      <c r="C5640"/>
      <c r="D5640"/>
      <c r="E5640"/>
      <c r="F5640"/>
      <c r="G5640"/>
      <c r="H5640"/>
      <c r="I5640"/>
      <c r="J5640"/>
      <c r="K5640"/>
    </row>
    <row r="5641" spans="1:11">
      <c r="A5641"/>
      <c r="B5641"/>
      <c r="C5641"/>
      <c r="D5641"/>
      <c r="E5641"/>
      <c r="F5641"/>
      <c r="G5641"/>
      <c r="H5641"/>
      <c r="I5641"/>
      <c r="J5641"/>
      <c r="K5641"/>
    </row>
    <row r="5642" spans="1:11">
      <c r="A5642"/>
      <c r="B5642"/>
      <c r="C5642"/>
      <c r="D5642"/>
      <c r="E5642"/>
      <c r="F5642"/>
      <c r="G5642"/>
      <c r="H5642"/>
      <c r="I5642"/>
      <c r="J5642"/>
      <c r="K5642"/>
    </row>
    <row r="5643" spans="1:11">
      <c r="A5643"/>
      <c r="B5643"/>
      <c r="C5643"/>
      <c r="D5643"/>
      <c r="E5643"/>
      <c r="F5643"/>
      <c r="G5643"/>
      <c r="H5643"/>
      <c r="I5643"/>
      <c r="J5643"/>
      <c r="K5643"/>
    </row>
    <row r="5644" spans="1:11">
      <c r="A5644"/>
      <c r="B5644"/>
      <c r="C5644"/>
      <c r="D5644"/>
      <c r="E5644"/>
      <c r="F5644"/>
      <c r="G5644"/>
      <c r="H5644"/>
      <c r="I5644"/>
      <c r="J5644"/>
      <c r="K5644"/>
    </row>
    <row r="5645" spans="1:11">
      <c r="A5645"/>
      <c r="B5645"/>
      <c r="C5645"/>
      <c r="D5645"/>
      <c r="E5645"/>
      <c r="F5645"/>
      <c r="G5645"/>
      <c r="H5645"/>
      <c r="I5645"/>
      <c r="J5645"/>
      <c r="K5645"/>
    </row>
    <row r="5646" spans="1:11">
      <c r="A5646"/>
      <c r="B5646"/>
      <c r="C5646"/>
      <c r="D5646"/>
      <c r="E5646"/>
      <c r="F5646"/>
      <c r="G5646"/>
      <c r="H5646"/>
      <c r="I5646"/>
      <c r="J5646"/>
      <c r="K5646"/>
    </row>
    <row r="5647" spans="1:11">
      <c r="A5647"/>
      <c r="B5647"/>
      <c r="C5647"/>
      <c r="D5647"/>
      <c r="E5647"/>
      <c r="F5647"/>
      <c r="G5647"/>
      <c r="H5647"/>
      <c r="I5647"/>
      <c r="J5647"/>
      <c r="K5647"/>
    </row>
    <row r="5648" spans="1:11">
      <c r="A5648"/>
      <c r="B5648"/>
      <c r="C5648"/>
      <c r="D5648"/>
      <c r="E5648"/>
      <c r="F5648"/>
      <c r="G5648"/>
      <c r="H5648"/>
      <c r="I5648"/>
      <c r="J5648"/>
      <c r="K5648"/>
    </row>
    <row r="5649" spans="1:11">
      <c r="A5649"/>
      <c r="B5649"/>
      <c r="C5649"/>
      <c r="D5649"/>
      <c r="E5649"/>
      <c r="F5649"/>
      <c r="G5649"/>
      <c r="H5649"/>
      <c r="I5649"/>
      <c r="J5649"/>
      <c r="K5649"/>
    </row>
    <row r="5650" spans="1:11">
      <c r="A5650"/>
      <c r="B5650"/>
      <c r="C5650"/>
      <c r="D5650"/>
      <c r="E5650"/>
      <c r="F5650"/>
      <c r="G5650"/>
      <c r="H5650"/>
      <c r="I5650"/>
      <c r="J5650"/>
      <c r="K5650"/>
    </row>
    <row r="5651" spans="1:11">
      <c r="A5651"/>
      <c r="B5651"/>
      <c r="C5651"/>
      <c r="D5651"/>
      <c r="E5651"/>
      <c r="F5651"/>
      <c r="G5651"/>
      <c r="H5651"/>
      <c r="I5651"/>
      <c r="J5651"/>
      <c r="K5651"/>
    </row>
    <row r="5652" spans="1:11">
      <c r="A5652"/>
      <c r="B5652"/>
      <c r="C5652"/>
      <c r="D5652"/>
      <c r="E5652"/>
      <c r="F5652"/>
      <c r="G5652"/>
      <c r="H5652"/>
      <c r="I5652"/>
      <c r="J5652"/>
      <c r="K5652"/>
    </row>
    <row r="5653" spans="1:11">
      <c r="A5653"/>
      <c r="B5653"/>
      <c r="C5653"/>
      <c r="D5653"/>
      <c r="E5653"/>
      <c r="F5653"/>
      <c r="G5653"/>
      <c r="H5653"/>
      <c r="I5653"/>
      <c r="J5653"/>
      <c r="K5653"/>
    </row>
    <row r="5654" spans="1:11">
      <c r="A5654"/>
      <c r="B5654"/>
      <c r="C5654"/>
      <c r="D5654"/>
      <c r="E5654"/>
      <c r="F5654"/>
      <c r="G5654"/>
      <c r="H5654"/>
      <c r="I5654"/>
      <c r="J5654"/>
      <c r="K5654"/>
    </row>
    <row r="5655" spans="1:11">
      <c r="A5655"/>
      <c r="B5655"/>
      <c r="C5655"/>
      <c r="D5655"/>
      <c r="E5655"/>
      <c r="F5655"/>
      <c r="G5655"/>
      <c r="H5655"/>
      <c r="I5655"/>
      <c r="J5655"/>
      <c r="K5655"/>
    </row>
    <row r="5656" spans="1:11">
      <c r="A5656"/>
      <c r="B5656"/>
      <c r="C5656"/>
      <c r="D5656"/>
      <c r="E5656"/>
      <c r="F5656"/>
      <c r="G5656"/>
      <c r="H5656"/>
      <c r="I5656"/>
      <c r="J5656"/>
      <c r="K5656"/>
    </row>
    <row r="5657" spans="1:11">
      <c r="A5657"/>
      <c r="B5657"/>
      <c r="C5657"/>
      <c r="D5657"/>
      <c r="E5657"/>
      <c r="F5657"/>
      <c r="G5657"/>
      <c r="H5657"/>
      <c r="I5657"/>
      <c r="J5657"/>
      <c r="K5657"/>
    </row>
    <row r="5658" spans="1:11">
      <c r="A5658"/>
      <c r="B5658"/>
      <c r="C5658"/>
      <c r="D5658"/>
      <c r="E5658"/>
      <c r="F5658"/>
      <c r="G5658"/>
      <c r="H5658"/>
      <c r="I5658"/>
      <c r="J5658"/>
      <c r="K5658"/>
    </row>
    <row r="5659" spans="1:11">
      <c r="A5659"/>
      <c r="B5659"/>
      <c r="C5659"/>
      <c r="D5659"/>
      <c r="E5659"/>
      <c r="F5659"/>
      <c r="G5659"/>
      <c r="H5659"/>
      <c r="I5659"/>
      <c r="J5659"/>
      <c r="K5659"/>
    </row>
    <row r="5660" spans="1:11">
      <c r="A5660"/>
      <c r="B5660"/>
      <c r="C5660"/>
      <c r="D5660"/>
      <c r="E5660"/>
      <c r="F5660"/>
      <c r="G5660"/>
      <c r="H5660"/>
      <c r="I5660"/>
      <c r="J5660"/>
      <c r="K5660"/>
    </row>
    <row r="5661" spans="1:11">
      <c r="A5661"/>
      <c r="B5661"/>
      <c r="C5661"/>
      <c r="D5661"/>
      <c r="E5661"/>
      <c r="F5661"/>
      <c r="G5661"/>
      <c r="H5661"/>
      <c r="I5661"/>
      <c r="J5661"/>
      <c r="K5661"/>
    </row>
    <row r="5662" spans="1:11">
      <c r="A5662"/>
      <c r="B5662"/>
      <c r="C5662"/>
      <c r="D5662"/>
      <c r="E5662"/>
      <c r="F5662"/>
      <c r="G5662"/>
      <c r="H5662"/>
      <c r="I5662"/>
      <c r="J5662"/>
      <c r="K5662"/>
    </row>
    <row r="5663" spans="1:11">
      <c r="A5663"/>
      <c r="B5663"/>
      <c r="C5663"/>
      <c r="D5663"/>
      <c r="E5663"/>
      <c r="F5663"/>
      <c r="G5663"/>
      <c r="H5663"/>
      <c r="I5663"/>
      <c r="J5663"/>
      <c r="K5663"/>
    </row>
    <row r="5664" spans="1:11">
      <c r="A5664"/>
      <c r="B5664"/>
      <c r="C5664"/>
      <c r="D5664"/>
      <c r="E5664"/>
      <c r="F5664"/>
      <c r="G5664"/>
      <c r="H5664"/>
      <c r="I5664"/>
      <c r="J5664"/>
      <c r="K5664"/>
    </row>
    <row r="5665" spans="1:11">
      <c r="A5665"/>
      <c r="B5665"/>
      <c r="C5665"/>
      <c r="D5665"/>
      <c r="E5665"/>
      <c r="F5665"/>
      <c r="G5665"/>
      <c r="H5665"/>
      <c r="I5665"/>
      <c r="J5665"/>
      <c r="K5665"/>
    </row>
    <row r="5666" spans="1:11">
      <c r="A5666"/>
      <c r="B5666"/>
      <c r="C5666"/>
      <c r="D5666"/>
      <c r="E5666"/>
      <c r="F5666"/>
      <c r="G5666"/>
      <c r="H5666"/>
      <c r="I5666"/>
      <c r="J5666"/>
      <c r="K5666"/>
    </row>
    <row r="5667" spans="1:11">
      <c r="A5667"/>
      <c r="B5667"/>
      <c r="C5667"/>
      <c r="D5667"/>
      <c r="E5667"/>
      <c r="F5667"/>
      <c r="G5667"/>
      <c r="H5667"/>
      <c r="I5667"/>
      <c r="J5667"/>
      <c r="K5667"/>
    </row>
    <row r="5668" spans="1:11">
      <c r="A5668"/>
      <c r="B5668"/>
      <c r="C5668"/>
      <c r="D5668"/>
      <c r="E5668"/>
      <c r="F5668"/>
      <c r="G5668"/>
      <c r="H5668"/>
      <c r="I5668"/>
      <c r="J5668"/>
      <c r="K5668"/>
    </row>
    <row r="5669" spans="1:11">
      <c r="A5669"/>
      <c r="B5669"/>
      <c r="C5669"/>
      <c r="D5669"/>
      <c r="E5669"/>
      <c r="F5669"/>
      <c r="G5669"/>
      <c r="H5669"/>
      <c r="I5669"/>
      <c r="J5669"/>
      <c r="K5669"/>
    </row>
    <row r="5670" spans="1:11">
      <c r="A5670"/>
      <c r="B5670"/>
      <c r="C5670"/>
      <c r="D5670"/>
      <c r="E5670"/>
      <c r="F5670"/>
      <c r="G5670"/>
      <c r="H5670"/>
      <c r="I5670"/>
      <c r="J5670"/>
      <c r="K5670"/>
    </row>
    <row r="5671" spans="1:11">
      <c r="A5671"/>
      <c r="B5671"/>
      <c r="C5671"/>
      <c r="D5671"/>
      <c r="E5671"/>
      <c r="F5671"/>
      <c r="G5671"/>
      <c r="H5671"/>
      <c r="I5671"/>
      <c r="J5671"/>
      <c r="K5671"/>
    </row>
    <row r="5672" spans="1:11">
      <c r="A5672"/>
      <c r="B5672"/>
      <c r="C5672"/>
      <c r="D5672"/>
      <c r="E5672"/>
      <c r="F5672"/>
      <c r="G5672"/>
      <c r="H5672"/>
      <c r="I5672"/>
      <c r="J5672"/>
      <c r="K5672"/>
    </row>
    <row r="5673" spans="1:11">
      <c r="A5673"/>
      <c r="B5673"/>
      <c r="C5673"/>
      <c r="D5673"/>
      <c r="E5673"/>
      <c r="F5673"/>
      <c r="G5673"/>
      <c r="H5673"/>
      <c r="I5673"/>
      <c r="J5673"/>
      <c r="K5673"/>
    </row>
    <row r="5674" spans="1:11">
      <c r="A5674"/>
      <c r="B5674"/>
      <c r="C5674"/>
      <c r="D5674"/>
      <c r="E5674"/>
      <c r="F5674"/>
      <c r="G5674"/>
      <c r="H5674"/>
      <c r="I5674"/>
      <c r="J5674"/>
      <c r="K5674"/>
    </row>
    <row r="5675" spans="1:11">
      <c r="A5675"/>
      <c r="B5675"/>
      <c r="C5675"/>
      <c r="D5675"/>
      <c r="E5675"/>
      <c r="F5675"/>
      <c r="G5675"/>
      <c r="H5675"/>
      <c r="I5675"/>
      <c r="J5675"/>
      <c r="K5675"/>
    </row>
    <row r="5676" spans="1:11">
      <c r="A5676"/>
      <c r="B5676"/>
      <c r="C5676"/>
      <c r="D5676"/>
      <c r="E5676"/>
      <c r="F5676"/>
      <c r="G5676"/>
      <c r="H5676"/>
      <c r="I5676"/>
      <c r="J5676"/>
      <c r="K5676"/>
    </row>
    <row r="5677" spans="1:11">
      <c r="A5677"/>
      <c r="B5677"/>
      <c r="C5677"/>
      <c r="D5677"/>
      <c r="E5677"/>
      <c r="F5677"/>
      <c r="G5677"/>
      <c r="H5677"/>
      <c r="I5677"/>
      <c r="J5677"/>
      <c r="K5677"/>
    </row>
    <row r="5678" spans="1:11">
      <c r="A5678"/>
      <c r="B5678"/>
      <c r="C5678"/>
      <c r="D5678"/>
      <c r="E5678"/>
      <c r="F5678"/>
      <c r="G5678"/>
      <c r="H5678"/>
      <c r="I5678"/>
      <c r="J5678"/>
      <c r="K5678"/>
    </row>
    <row r="5679" spans="1:11">
      <c r="A5679"/>
      <c r="B5679"/>
      <c r="C5679"/>
      <c r="D5679"/>
      <c r="E5679"/>
      <c r="F5679"/>
      <c r="G5679"/>
      <c r="H5679"/>
      <c r="I5679"/>
      <c r="J5679"/>
      <c r="K5679"/>
    </row>
    <row r="5680" spans="1:11">
      <c r="A5680"/>
      <c r="B5680"/>
      <c r="C5680"/>
      <c r="D5680"/>
      <c r="E5680"/>
      <c r="F5680"/>
      <c r="G5680"/>
      <c r="H5680"/>
      <c r="I5680"/>
      <c r="J5680"/>
      <c r="K5680"/>
    </row>
    <row r="5681" spans="1:11">
      <c r="A5681"/>
      <c r="B5681"/>
      <c r="C5681"/>
      <c r="D5681"/>
      <c r="E5681"/>
      <c r="F5681"/>
      <c r="G5681"/>
      <c r="H5681"/>
      <c r="I5681"/>
      <c r="J5681"/>
      <c r="K5681"/>
    </row>
    <row r="5682" spans="1:11">
      <c r="A5682"/>
      <c r="B5682"/>
      <c r="C5682"/>
      <c r="D5682"/>
      <c r="E5682"/>
      <c r="F5682"/>
      <c r="G5682"/>
      <c r="H5682"/>
      <c r="I5682"/>
      <c r="J5682"/>
      <c r="K5682"/>
    </row>
    <row r="5683" spans="1:11">
      <c r="A5683"/>
      <c r="B5683"/>
      <c r="C5683"/>
      <c r="D5683"/>
      <c r="E5683"/>
      <c r="F5683"/>
      <c r="G5683"/>
      <c r="H5683"/>
      <c r="I5683"/>
      <c r="J5683"/>
      <c r="K5683"/>
    </row>
    <row r="5684" spans="1:11">
      <c r="A5684"/>
      <c r="B5684"/>
      <c r="C5684"/>
      <c r="D5684"/>
      <c r="E5684"/>
      <c r="F5684"/>
      <c r="G5684"/>
      <c r="H5684"/>
      <c r="I5684"/>
      <c r="J5684"/>
      <c r="K5684"/>
    </row>
    <row r="5685" spans="1:11">
      <c r="A5685"/>
      <c r="B5685"/>
      <c r="C5685"/>
      <c r="D5685"/>
      <c r="E5685"/>
      <c r="F5685"/>
      <c r="G5685"/>
      <c r="H5685"/>
      <c r="I5685"/>
      <c r="J5685"/>
      <c r="K5685"/>
    </row>
    <row r="5686" spans="1:11">
      <c r="A5686"/>
      <c r="B5686"/>
      <c r="C5686"/>
      <c r="D5686"/>
      <c r="E5686"/>
      <c r="F5686"/>
      <c r="G5686"/>
      <c r="H5686"/>
      <c r="I5686"/>
      <c r="J5686"/>
      <c r="K5686"/>
    </row>
    <row r="5687" spans="1:11">
      <c r="A5687"/>
      <c r="B5687"/>
      <c r="C5687"/>
      <c r="D5687"/>
      <c r="E5687"/>
      <c r="F5687"/>
      <c r="G5687"/>
      <c r="H5687"/>
      <c r="I5687"/>
      <c r="J5687"/>
      <c r="K5687"/>
    </row>
    <row r="5688" spans="1:11">
      <c r="A5688"/>
      <c r="B5688"/>
      <c r="C5688"/>
      <c r="D5688"/>
      <c r="E5688"/>
      <c r="F5688"/>
      <c r="G5688"/>
      <c r="H5688"/>
      <c r="I5688"/>
      <c r="J5688"/>
      <c r="K5688"/>
    </row>
    <row r="5689" spans="1:11">
      <c r="A5689"/>
      <c r="B5689"/>
      <c r="C5689"/>
      <c r="D5689"/>
      <c r="E5689"/>
      <c r="F5689"/>
      <c r="G5689"/>
      <c r="H5689"/>
      <c r="I5689"/>
      <c r="J5689"/>
      <c r="K5689"/>
    </row>
    <row r="5690" spans="1:11">
      <c r="A5690"/>
      <c r="B5690"/>
      <c r="C5690"/>
      <c r="D5690"/>
      <c r="E5690"/>
      <c r="F5690"/>
      <c r="G5690"/>
      <c r="H5690"/>
      <c r="I5690"/>
      <c r="J5690"/>
      <c r="K5690"/>
    </row>
    <row r="5691" spans="1:11">
      <c r="A5691"/>
      <c r="B5691"/>
      <c r="C5691"/>
      <c r="D5691"/>
      <c r="E5691"/>
      <c r="F5691"/>
      <c r="G5691"/>
      <c r="H5691"/>
      <c r="I5691"/>
      <c r="J5691"/>
      <c r="K5691"/>
    </row>
    <row r="5692" spans="1:11">
      <c r="A5692"/>
      <c r="B5692"/>
      <c r="C5692"/>
      <c r="D5692"/>
      <c r="E5692"/>
      <c r="F5692"/>
      <c r="G5692"/>
      <c r="H5692"/>
      <c r="I5692"/>
      <c r="J5692"/>
      <c r="K5692"/>
    </row>
    <row r="5693" spans="1:11">
      <c r="A5693"/>
      <c r="B5693"/>
      <c r="C5693"/>
      <c r="D5693"/>
      <c r="E5693"/>
      <c r="F5693"/>
      <c r="G5693"/>
      <c r="H5693"/>
      <c r="I5693"/>
      <c r="J5693"/>
      <c r="K5693"/>
    </row>
    <row r="5694" spans="1:11">
      <c r="A5694"/>
      <c r="B5694"/>
      <c r="C5694"/>
      <c r="D5694"/>
      <c r="E5694"/>
      <c r="F5694"/>
      <c r="G5694"/>
      <c r="H5694"/>
      <c r="I5694"/>
      <c r="J5694"/>
      <c r="K5694"/>
    </row>
    <row r="5695" spans="1:11">
      <c r="A5695"/>
      <c r="B5695"/>
      <c r="C5695"/>
      <c r="D5695"/>
      <c r="E5695"/>
      <c r="F5695"/>
      <c r="G5695"/>
      <c r="H5695"/>
      <c r="I5695"/>
      <c r="J5695"/>
      <c r="K5695"/>
    </row>
    <row r="5696" spans="1:11">
      <c r="A5696"/>
      <c r="B5696"/>
      <c r="C5696"/>
      <c r="D5696"/>
      <c r="E5696"/>
      <c r="F5696"/>
      <c r="G5696"/>
      <c r="H5696"/>
      <c r="I5696"/>
      <c r="J5696"/>
      <c r="K5696"/>
    </row>
    <row r="5697" spans="1:11">
      <c r="A5697"/>
      <c r="B5697"/>
      <c r="C5697"/>
      <c r="D5697"/>
      <c r="E5697"/>
      <c r="F5697"/>
      <c r="G5697"/>
      <c r="H5697"/>
      <c r="I5697"/>
      <c r="J5697"/>
      <c r="K5697"/>
    </row>
    <row r="5698" spans="1:11">
      <c r="A5698"/>
      <c r="B5698"/>
      <c r="C5698"/>
      <c r="D5698"/>
      <c r="E5698"/>
      <c r="F5698"/>
      <c r="G5698"/>
      <c r="H5698"/>
      <c r="I5698"/>
      <c r="J5698"/>
      <c r="K5698"/>
    </row>
    <row r="5699" spans="1:11">
      <c r="A5699"/>
      <c r="B5699"/>
      <c r="C5699"/>
      <c r="D5699"/>
      <c r="E5699"/>
      <c r="F5699"/>
      <c r="G5699"/>
      <c r="H5699"/>
      <c r="I5699"/>
      <c r="J5699"/>
      <c r="K5699"/>
    </row>
    <row r="5700" spans="1:11">
      <c r="A5700"/>
      <c r="B5700"/>
      <c r="C5700"/>
      <c r="D5700"/>
      <c r="E5700"/>
      <c r="F5700"/>
      <c r="G5700"/>
      <c r="H5700"/>
      <c r="I5700"/>
      <c r="J5700"/>
      <c r="K5700"/>
    </row>
    <row r="5701" spans="1:11">
      <c r="A5701"/>
      <c r="B5701"/>
      <c r="C5701"/>
      <c r="D5701"/>
      <c r="E5701"/>
      <c r="F5701"/>
      <c r="G5701"/>
      <c r="H5701"/>
      <c r="I5701"/>
      <c r="J5701"/>
      <c r="K5701"/>
    </row>
    <row r="5702" spans="1:11">
      <c r="A5702"/>
      <c r="B5702"/>
      <c r="C5702"/>
      <c r="D5702"/>
      <c r="E5702"/>
      <c r="F5702"/>
      <c r="G5702"/>
      <c r="H5702"/>
      <c r="I5702"/>
      <c r="J5702"/>
      <c r="K5702"/>
    </row>
    <row r="5703" spans="1:11">
      <c r="A5703"/>
      <c r="B5703"/>
      <c r="C5703"/>
      <c r="D5703"/>
      <c r="E5703"/>
      <c r="F5703"/>
      <c r="G5703"/>
      <c r="H5703"/>
      <c r="I5703"/>
      <c r="J5703"/>
      <c r="K5703"/>
    </row>
    <row r="5704" spans="1:11">
      <c r="A5704"/>
      <c r="B5704"/>
      <c r="C5704"/>
      <c r="D5704"/>
      <c r="E5704"/>
      <c r="F5704"/>
      <c r="G5704"/>
      <c r="H5704"/>
      <c r="I5704"/>
      <c r="J5704"/>
      <c r="K5704"/>
    </row>
    <row r="5705" spans="1:11">
      <c r="A5705"/>
      <c r="B5705"/>
      <c r="C5705"/>
      <c r="D5705"/>
      <c r="E5705"/>
      <c r="F5705"/>
      <c r="G5705"/>
      <c r="H5705"/>
      <c r="I5705"/>
      <c r="J5705"/>
      <c r="K5705"/>
    </row>
    <row r="5706" spans="1:11">
      <c r="A5706"/>
      <c r="B5706"/>
      <c r="C5706"/>
      <c r="D5706"/>
      <c r="E5706"/>
      <c r="F5706"/>
      <c r="G5706"/>
      <c r="H5706"/>
      <c r="I5706"/>
      <c r="J5706"/>
      <c r="K5706"/>
    </row>
    <row r="5707" spans="1:11">
      <c r="A5707"/>
      <c r="B5707"/>
      <c r="C5707"/>
      <c r="D5707"/>
      <c r="E5707"/>
      <c r="F5707"/>
      <c r="G5707"/>
      <c r="H5707"/>
      <c r="I5707"/>
      <c r="J5707"/>
      <c r="K5707"/>
    </row>
    <row r="5708" spans="1:11">
      <c r="A5708"/>
      <c r="B5708"/>
      <c r="C5708"/>
      <c r="D5708"/>
      <c r="E5708"/>
      <c r="F5708"/>
      <c r="G5708"/>
      <c r="H5708"/>
      <c r="I5708"/>
      <c r="J5708"/>
      <c r="K5708"/>
    </row>
    <row r="5709" spans="1:11">
      <c r="A5709"/>
      <c r="B5709"/>
      <c r="C5709"/>
      <c r="D5709"/>
      <c r="E5709"/>
      <c r="F5709"/>
      <c r="G5709"/>
      <c r="H5709"/>
      <c r="I5709"/>
      <c r="J5709"/>
      <c r="K5709"/>
    </row>
    <row r="5710" spans="1:11">
      <c r="A5710"/>
      <c r="B5710"/>
      <c r="C5710"/>
      <c r="D5710"/>
      <c r="E5710"/>
      <c r="F5710"/>
      <c r="G5710"/>
      <c r="H5710"/>
      <c r="I5710"/>
      <c r="J5710"/>
      <c r="K5710"/>
    </row>
    <row r="5711" spans="1:11">
      <c r="A5711"/>
      <c r="B5711"/>
      <c r="C5711"/>
      <c r="D5711"/>
      <c r="E5711"/>
      <c r="F5711"/>
      <c r="G5711"/>
      <c r="H5711"/>
      <c r="I5711"/>
      <c r="J5711"/>
      <c r="K5711"/>
    </row>
    <row r="5712" spans="1:11">
      <c r="A5712"/>
      <c r="B5712"/>
      <c r="C5712"/>
      <c r="D5712"/>
      <c r="E5712"/>
      <c r="F5712"/>
      <c r="G5712"/>
      <c r="H5712"/>
      <c r="I5712"/>
      <c r="J5712"/>
      <c r="K5712"/>
    </row>
    <row r="5713" spans="1:11">
      <c r="A5713"/>
      <c r="B5713"/>
      <c r="C5713"/>
      <c r="D5713"/>
      <c r="E5713"/>
      <c r="F5713"/>
      <c r="G5713"/>
      <c r="H5713"/>
      <c r="I5713"/>
      <c r="J5713"/>
      <c r="K5713"/>
    </row>
    <row r="5714" spans="1:11">
      <c r="A5714"/>
      <c r="B5714"/>
      <c r="C5714"/>
      <c r="D5714"/>
      <c r="E5714"/>
      <c r="F5714"/>
      <c r="G5714"/>
      <c r="H5714"/>
      <c r="I5714"/>
      <c r="J5714"/>
      <c r="K5714"/>
    </row>
    <row r="5715" spans="1:11">
      <c r="A5715"/>
      <c r="B5715"/>
      <c r="C5715"/>
      <c r="D5715"/>
      <c r="E5715"/>
      <c r="F5715"/>
      <c r="G5715"/>
      <c r="H5715"/>
      <c r="I5715"/>
      <c r="J5715"/>
      <c r="K5715"/>
    </row>
    <row r="5716" spans="1:11">
      <c r="A5716"/>
      <c r="B5716"/>
      <c r="C5716"/>
      <c r="D5716"/>
      <c r="E5716"/>
      <c r="F5716"/>
      <c r="G5716"/>
      <c r="H5716"/>
      <c r="I5716"/>
      <c r="J5716"/>
      <c r="K5716"/>
    </row>
    <row r="5717" spans="1:11">
      <c r="A5717"/>
      <c r="B5717"/>
      <c r="C5717"/>
      <c r="D5717"/>
      <c r="E5717"/>
      <c r="F5717"/>
      <c r="G5717"/>
      <c r="H5717"/>
      <c r="I5717"/>
      <c r="J5717"/>
      <c r="K5717"/>
    </row>
    <row r="5718" spans="1:11">
      <c r="A5718"/>
      <c r="B5718"/>
      <c r="C5718"/>
      <c r="D5718"/>
      <c r="E5718"/>
      <c r="F5718"/>
      <c r="G5718"/>
      <c r="H5718"/>
      <c r="I5718"/>
      <c r="J5718"/>
      <c r="K5718"/>
    </row>
    <row r="5719" spans="1:11">
      <c r="A5719"/>
      <c r="B5719"/>
      <c r="C5719"/>
      <c r="D5719"/>
      <c r="E5719"/>
      <c r="F5719"/>
      <c r="G5719"/>
      <c r="H5719"/>
      <c r="I5719"/>
      <c r="J5719"/>
      <c r="K5719"/>
    </row>
    <row r="5720" spans="1:11">
      <c r="A5720"/>
      <c r="B5720"/>
      <c r="C5720"/>
      <c r="D5720"/>
      <c r="E5720"/>
      <c r="F5720"/>
      <c r="G5720"/>
      <c r="H5720"/>
      <c r="I5720"/>
      <c r="J5720"/>
      <c r="K5720"/>
    </row>
    <row r="5721" spans="1:11">
      <c r="A5721"/>
      <c r="B5721"/>
      <c r="C5721"/>
      <c r="D5721"/>
      <c r="E5721"/>
      <c r="F5721"/>
      <c r="G5721"/>
      <c r="H5721"/>
      <c r="I5721"/>
      <c r="J5721"/>
      <c r="K5721"/>
    </row>
    <row r="5722" spans="1:11">
      <c r="A5722"/>
      <c r="B5722"/>
      <c r="C5722"/>
      <c r="D5722"/>
      <c r="E5722"/>
      <c r="F5722"/>
      <c r="G5722"/>
      <c r="H5722"/>
      <c r="I5722"/>
      <c r="J5722"/>
      <c r="K5722"/>
    </row>
    <row r="5723" spans="1:11">
      <c r="A5723"/>
      <c r="B5723"/>
      <c r="C5723"/>
      <c r="D5723"/>
      <c r="E5723"/>
      <c r="F5723"/>
      <c r="G5723"/>
      <c r="H5723"/>
      <c r="I5723"/>
      <c r="J5723"/>
      <c r="K5723"/>
    </row>
    <row r="5724" spans="1:11">
      <c r="A5724"/>
      <c r="B5724"/>
      <c r="C5724"/>
      <c r="D5724"/>
      <c r="E5724"/>
      <c r="F5724"/>
      <c r="G5724"/>
      <c r="H5724"/>
      <c r="I5724"/>
      <c r="J5724"/>
      <c r="K5724"/>
    </row>
    <row r="5725" spans="1:11">
      <c r="A5725"/>
      <c r="B5725"/>
      <c r="C5725"/>
      <c r="D5725"/>
      <c r="E5725"/>
      <c r="F5725"/>
      <c r="G5725"/>
      <c r="H5725"/>
      <c r="I5725"/>
      <c r="J5725"/>
      <c r="K5725"/>
    </row>
    <row r="5726" spans="1:11">
      <c r="A5726"/>
      <c r="B5726"/>
      <c r="C5726"/>
      <c r="D5726"/>
      <c r="E5726"/>
      <c r="F5726"/>
      <c r="G5726"/>
      <c r="H5726"/>
      <c r="I5726"/>
      <c r="J5726"/>
      <c r="K5726"/>
    </row>
    <row r="5727" spans="1:11">
      <c r="A5727"/>
      <c r="B5727"/>
      <c r="C5727"/>
      <c r="D5727"/>
      <c r="E5727"/>
      <c r="F5727"/>
      <c r="G5727"/>
      <c r="H5727"/>
      <c r="I5727"/>
      <c r="J5727"/>
      <c r="K5727"/>
    </row>
    <row r="5728" spans="1:11">
      <c r="A5728"/>
      <c r="B5728"/>
      <c r="C5728"/>
      <c r="D5728"/>
      <c r="E5728"/>
      <c r="F5728"/>
      <c r="G5728"/>
      <c r="H5728"/>
      <c r="I5728"/>
      <c r="J5728"/>
      <c r="K5728"/>
    </row>
    <row r="5729" spans="1:11">
      <c r="A5729"/>
      <c r="B5729"/>
      <c r="C5729"/>
      <c r="D5729"/>
      <c r="E5729"/>
      <c r="F5729"/>
      <c r="G5729"/>
      <c r="H5729"/>
      <c r="I5729"/>
      <c r="J5729"/>
      <c r="K5729"/>
    </row>
    <row r="5730" spans="1:11">
      <c r="A5730"/>
      <c r="B5730"/>
      <c r="C5730"/>
      <c r="D5730"/>
      <c r="E5730"/>
      <c r="F5730"/>
      <c r="G5730"/>
      <c r="H5730"/>
      <c r="I5730"/>
      <c r="J5730"/>
      <c r="K5730"/>
    </row>
    <row r="5731" spans="1:11">
      <c r="A5731"/>
      <c r="B5731"/>
      <c r="C5731"/>
      <c r="D5731"/>
      <c r="E5731"/>
      <c r="F5731"/>
      <c r="G5731"/>
      <c r="H5731"/>
      <c r="I5731"/>
      <c r="J5731"/>
      <c r="K5731"/>
    </row>
    <row r="5732" spans="1:11">
      <c r="A5732"/>
      <c r="B5732"/>
      <c r="C5732"/>
      <c r="D5732"/>
      <c r="E5732"/>
      <c r="F5732"/>
      <c r="G5732"/>
      <c r="H5732"/>
      <c r="I5732"/>
      <c r="J5732"/>
      <c r="K5732"/>
    </row>
    <row r="5733" spans="1:11">
      <c r="A5733"/>
      <c r="B5733"/>
      <c r="C5733"/>
      <c r="D5733"/>
      <c r="E5733"/>
      <c r="F5733"/>
      <c r="G5733"/>
      <c r="H5733"/>
      <c r="I5733"/>
      <c r="J5733"/>
      <c r="K5733"/>
    </row>
    <row r="5734" spans="1:11">
      <c r="A5734"/>
      <c r="B5734"/>
      <c r="C5734"/>
      <c r="D5734"/>
      <c r="E5734"/>
      <c r="F5734"/>
      <c r="G5734"/>
      <c r="H5734"/>
      <c r="I5734"/>
      <c r="J5734"/>
      <c r="K5734"/>
    </row>
    <row r="5735" spans="1:11">
      <c r="A5735"/>
      <c r="B5735"/>
      <c r="C5735"/>
      <c r="D5735"/>
      <c r="E5735"/>
      <c r="F5735"/>
      <c r="G5735"/>
      <c r="H5735"/>
      <c r="I5735"/>
      <c r="J5735"/>
      <c r="K5735"/>
    </row>
    <row r="5736" spans="1:11">
      <c r="A5736"/>
      <c r="B5736"/>
      <c r="C5736"/>
      <c r="D5736"/>
      <c r="E5736"/>
      <c r="F5736"/>
      <c r="G5736"/>
      <c r="H5736"/>
      <c r="I5736"/>
      <c r="J5736"/>
      <c r="K5736"/>
    </row>
    <row r="5737" spans="1:11">
      <c r="A5737"/>
      <c r="B5737"/>
      <c r="C5737"/>
      <c r="D5737"/>
      <c r="E5737"/>
      <c r="F5737"/>
      <c r="G5737"/>
      <c r="H5737"/>
      <c r="I5737"/>
      <c r="J5737"/>
      <c r="K5737"/>
    </row>
    <row r="5738" spans="1:11">
      <c r="A5738"/>
      <c r="B5738"/>
      <c r="C5738"/>
      <c r="D5738"/>
      <c r="E5738"/>
      <c r="F5738"/>
      <c r="G5738"/>
      <c r="H5738"/>
      <c r="I5738"/>
      <c r="J5738"/>
      <c r="K5738"/>
    </row>
    <row r="5739" spans="1:11">
      <c r="A5739"/>
      <c r="B5739"/>
      <c r="C5739"/>
      <c r="D5739"/>
      <c r="E5739"/>
      <c r="F5739"/>
      <c r="G5739"/>
      <c r="H5739"/>
      <c r="I5739"/>
      <c r="J5739"/>
      <c r="K5739"/>
    </row>
    <row r="5740" spans="1:11">
      <c r="A5740"/>
      <c r="B5740"/>
      <c r="C5740"/>
      <c r="D5740"/>
      <c r="E5740"/>
      <c r="F5740"/>
      <c r="G5740"/>
      <c r="H5740"/>
      <c r="I5740"/>
      <c r="J5740"/>
      <c r="K5740"/>
    </row>
    <row r="5741" spans="1:11">
      <c r="A5741"/>
      <c r="B5741"/>
      <c r="C5741"/>
      <c r="D5741"/>
      <c r="E5741"/>
      <c r="F5741"/>
      <c r="G5741"/>
      <c r="H5741"/>
      <c r="I5741"/>
      <c r="J5741"/>
      <c r="K5741"/>
    </row>
    <row r="5742" spans="1:11">
      <c r="A5742"/>
      <c r="B5742"/>
      <c r="C5742"/>
      <c r="D5742"/>
      <c r="E5742"/>
      <c r="F5742"/>
      <c r="G5742"/>
      <c r="H5742"/>
      <c r="I5742"/>
      <c r="J5742"/>
      <c r="K5742"/>
    </row>
    <row r="5743" spans="1:11">
      <c r="A5743"/>
      <c r="B5743"/>
      <c r="C5743"/>
      <c r="D5743"/>
      <c r="E5743"/>
      <c r="F5743"/>
      <c r="G5743"/>
      <c r="H5743"/>
      <c r="I5743"/>
      <c r="J5743"/>
      <c r="K5743"/>
    </row>
    <row r="5744" spans="1:11">
      <c r="A5744"/>
      <c r="B5744"/>
      <c r="C5744"/>
      <c r="D5744"/>
      <c r="E5744"/>
      <c r="F5744"/>
      <c r="G5744"/>
      <c r="H5744"/>
      <c r="I5744"/>
      <c r="J5744"/>
      <c r="K5744"/>
    </row>
    <row r="5745" spans="1:11">
      <c r="A5745"/>
      <c r="B5745"/>
      <c r="C5745"/>
      <c r="D5745"/>
      <c r="E5745"/>
      <c r="F5745"/>
      <c r="G5745"/>
      <c r="H5745"/>
      <c r="I5745"/>
      <c r="J5745"/>
      <c r="K5745"/>
    </row>
    <row r="5746" spans="1:11">
      <c r="A5746"/>
      <c r="B5746"/>
      <c r="C5746"/>
      <c r="D5746"/>
      <c r="E5746"/>
      <c r="F5746"/>
      <c r="G5746"/>
      <c r="H5746"/>
      <c r="I5746"/>
      <c r="J5746"/>
      <c r="K5746"/>
    </row>
    <row r="5747" spans="1:11">
      <c r="A5747"/>
      <c r="B5747"/>
      <c r="C5747"/>
      <c r="D5747"/>
      <c r="E5747"/>
      <c r="F5747"/>
      <c r="G5747"/>
      <c r="H5747"/>
      <c r="I5747"/>
      <c r="J5747"/>
      <c r="K5747"/>
    </row>
    <row r="5748" spans="1:11">
      <c r="A5748"/>
      <c r="B5748"/>
      <c r="C5748"/>
      <c r="D5748"/>
      <c r="E5748"/>
      <c r="F5748"/>
      <c r="G5748"/>
      <c r="H5748"/>
      <c r="I5748"/>
      <c r="J5748"/>
      <c r="K5748"/>
    </row>
    <row r="5749" spans="1:11">
      <c r="A5749"/>
      <c r="B5749"/>
      <c r="C5749"/>
      <c r="D5749"/>
      <c r="E5749"/>
      <c r="F5749"/>
      <c r="G5749"/>
      <c r="H5749"/>
      <c r="I5749"/>
      <c r="J5749"/>
      <c r="K5749"/>
    </row>
    <row r="5750" spans="1:11">
      <c r="A5750"/>
      <c r="B5750"/>
      <c r="C5750"/>
      <c r="D5750"/>
      <c r="E5750"/>
      <c r="F5750"/>
      <c r="G5750"/>
      <c r="H5750"/>
      <c r="I5750"/>
      <c r="J5750"/>
      <c r="K5750"/>
    </row>
    <row r="5751" spans="1:11">
      <c r="A5751"/>
      <c r="B5751"/>
      <c r="C5751"/>
      <c r="D5751"/>
      <c r="E5751"/>
      <c r="F5751"/>
      <c r="G5751"/>
      <c r="H5751"/>
      <c r="I5751"/>
      <c r="J5751"/>
      <c r="K5751"/>
    </row>
    <row r="5752" spans="1:11">
      <c r="A5752"/>
      <c r="B5752"/>
      <c r="C5752"/>
      <c r="D5752"/>
      <c r="E5752"/>
      <c r="F5752"/>
      <c r="G5752"/>
      <c r="H5752"/>
      <c r="I5752"/>
      <c r="J5752"/>
      <c r="K5752"/>
    </row>
    <row r="5753" spans="1:11">
      <c r="A5753"/>
      <c r="B5753"/>
      <c r="C5753"/>
      <c r="D5753"/>
      <c r="E5753"/>
      <c r="F5753"/>
      <c r="G5753"/>
      <c r="H5753"/>
      <c r="I5753"/>
      <c r="J5753"/>
      <c r="K5753"/>
    </row>
    <row r="5754" spans="1:11">
      <c r="A5754"/>
      <c r="B5754"/>
      <c r="C5754"/>
      <c r="D5754"/>
      <c r="E5754"/>
      <c r="F5754"/>
      <c r="G5754"/>
      <c r="H5754"/>
      <c r="I5754"/>
      <c r="J5754"/>
      <c r="K5754"/>
    </row>
    <row r="5755" spans="1:11">
      <c r="A5755"/>
      <c r="B5755"/>
      <c r="C5755"/>
      <c r="D5755"/>
      <c r="E5755"/>
      <c r="F5755"/>
      <c r="G5755"/>
      <c r="H5755"/>
      <c r="I5755"/>
      <c r="J5755"/>
      <c r="K5755"/>
    </row>
    <row r="5756" spans="1:11">
      <c r="A5756"/>
      <c r="B5756"/>
      <c r="C5756"/>
      <c r="D5756"/>
      <c r="E5756"/>
      <c r="F5756"/>
      <c r="G5756"/>
      <c r="H5756"/>
      <c r="I5756"/>
      <c r="J5756"/>
      <c r="K5756"/>
    </row>
    <row r="5757" spans="1:11">
      <c r="A5757"/>
      <c r="B5757"/>
      <c r="C5757"/>
      <c r="D5757"/>
      <c r="E5757"/>
      <c r="F5757"/>
      <c r="G5757"/>
      <c r="H5757"/>
      <c r="I5757"/>
      <c r="J5757"/>
      <c r="K5757"/>
    </row>
    <row r="5758" spans="1:11">
      <c r="A5758"/>
      <c r="B5758"/>
      <c r="C5758"/>
      <c r="D5758"/>
      <c r="E5758"/>
      <c r="F5758"/>
      <c r="G5758"/>
      <c r="H5758"/>
      <c r="I5758"/>
      <c r="J5758"/>
      <c r="K5758"/>
    </row>
    <row r="5759" spans="1:11">
      <c r="A5759"/>
      <c r="B5759"/>
      <c r="C5759"/>
      <c r="D5759"/>
      <c r="E5759"/>
      <c r="F5759"/>
      <c r="G5759"/>
      <c r="H5759"/>
      <c r="I5759"/>
      <c r="J5759"/>
      <c r="K5759"/>
    </row>
    <row r="5760" spans="1:11">
      <c r="A5760"/>
      <c r="B5760"/>
      <c r="C5760"/>
      <c r="D5760"/>
      <c r="E5760"/>
      <c r="F5760"/>
      <c r="G5760"/>
      <c r="H5760"/>
      <c r="I5760"/>
      <c r="J5760"/>
      <c r="K5760"/>
    </row>
    <row r="5761" spans="1:11">
      <c r="A5761"/>
      <c r="B5761"/>
      <c r="C5761"/>
      <c r="D5761"/>
      <c r="E5761"/>
      <c r="F5761"/>
      <c r="G5761"/>
      <c r="H5761"/>
      <c r="I5761"/>
      <c r="J5761"/>
      <c r="K5761"/>
    </row>
    <row r="5762" spans="1:11">
      <c r="A5762"/>
      <c r="B5762"/>
      <c r="C5762"/>
      <c r="D5762"/>
      <c r="E5762"/>
      <c r="F5762"/>
      <c r="G5762"/>
      <c r="H5762"/>
      <c r="I5762"/>
      <c r="J5762"/>
      <c r="K5762"/>
    </row>
    <row r="5763" spans="1:11">
      <c r="A5763"/>
      <c r="B5763"/>
      <c r="C5763"/>
      <c r="D5763"/>
      <c r="E5763"/>
      <c r="F5763"/>
      <c r="G5763"/>
      <c r="H5763"/>
      <c r="I5763"/>
      <c r="J5763"/>
      <c r="K5763"/>
    </row>
    <row r="5764" spans="1:11">
      <c r="A5764"/>
      <c r="B5764"/>
      <c r="C5764"/>
      <c r="D5764"/>
      <c r="E5764"/>
      <c r="F5764"/>
      <c r="G5764"/>
      <c r="H5764"/>
      <c r="I5764"/>
      <c r="J5764"/>
      <c r="K5764"/>
    </row>
    <row r="5765" spans="1:11">
      <c r="A5765"/>
      <c r="B5765"/>
      <c r="C5765"/>
      <c r="D5765"/>
      <c r="E5765"/>
      <c r="F5765"/>
      <c r="G5765"/>
      <c r="H5765"/>
      <c r="I5765"/>
      <c r="J5765"/>
      <c r="K5765"/>
    </row>
    <row r="5766" spans="1:11">
      <c r="A5766"/>
      <c r="B5766"/>
      <c r="C5766"/>
      <c r="D5766"/>
      <c r="E5766"/>
      <c r="F5766"/>
      <c r="G5766"/>
      <c r="H5766"/>
      <c r="I5766"/>
      <c r="J5766"/>
      <c r="K5766"/>
    </row>
    <row r="5767" spans="1:11">
      <c r="A5767"/>
      <c r="B5767"/>
      <c r="C5767"/>
      <c r="D5767"/>
      <c r="E5767"/>
      <c r="F5767"/>
      <c r="G5767"/>
      <c r="H5767"/>
      <c r="I5767"/>
      <c r="J5767"/>
      <c r="K5767"/>
    </row>
    <row r="5768" spans="1:11">
      <c r="A5768"/>
      <c r="B5768"/>
      <c r="C5768"/>
      <c r="D5768"/>
      <c r="E5768"/>
      <c r="F5768"/>
      <c r="G5768"/>
      <c r="H5768"/>
      <c r="I5768"/>
      <c r="J5768"/>
      <c r="K5768"/>
    </row>
    <row r="5769" spans="1:11">
      <c r="A5769"/>
      <c r="B5769"/>
      <c r="C5769"/>
      <c r="D5769"/>
      <c r="E5769"/>
      <c r="F5769"/>
      <c r="G5769"/>
      <c r="H5769"/>
      <c r="I5769"/>
      <c r="J5769"/>
      <c r="K5769"/>
    </row>
    <row r="5770" spans="1:11">
      <c r="A5770"/>
      <c r="B5770"/>
      <c r="C5770"/>
      <c r="D5770"/>
      <c r="E5770"/>
      <c r="F5770"/>
      <c r="G5770"/>
      <c r="H5770"/>
      <c r="I5770"/>
      <c r="J5770"/>
      <c r="K5770"/>
    </row>
    <row r="5771" spans="1:11">
      <c r="A5771"/>
      <c r="B5771"/>
      <c r="C5771"/>
      <c r="D5771"/>
      <c r="E5771"/>
      <c r="F5771"/>
      <c r="G5771"/>
      <c r="H5771"/>
      <c r="I5771"/>
      <c r="J5771"/>
      <c r="K5771"/>
    </row>
    <row r="5772" spans="1:11">
      <c r="A5772"/>
      <c r="B5772"/>
      <c r="C5772"/>
      <c r="D5772"/>
      <c r="E5772"/>
      <c r="F5772"/>
      <c r="G5772"/>
      <c r="H5772"/>
      <c r="I5772"/>
      <c r="J5772"/>
      <c r="K5772"/>
    </row>
    <row r="5773" spans="1:11">
      <c r="A5773"/>
      <c r="B5773"/>
      <c r="C5773"/>
      <c r="D5773"/>
      <c r="E5773"/>
      <c r="F5773"/>
      <c r="G5773"/>
      <c r="H5773"/>
      <c r="I5773"/>
      <c r="J5773"/>
      <c r="K5773"/>
    </row>
    <row r="5774" spans="1:11">
      <c r="A5774"/>
      <c r="B5774"/>
      <c r="C5774"/>
      <c r="D5774"/>
      <c r="E5774"/>
      <c r="F5774"/>
      <c r="G5774"/>
      <c r="H5774"/>
      <c r="I5774"/>
      <c r="J5774"/>
      <c r="K5774"/>
    </row>
    <row r="5775" spans="1:11">
      <c r="A5775"/>
      <c r="B5775"/>
      <c r="C5775"/>
      <c r="D5775"/>
      <c r="E5775"/>
      <c r="F5775"/>
      <c r="G5775"/>
      <c r="H5775"/>
      <c r="I5775"/>
      <c r="J5775"/>
      <c r="K5775"/>
    </row>
    <row r="5776" spans="1:11">
      <c r="A5776"/>
      <c r="B5776"/>
      <c r="C5776"/>
      <c r="D5776"/>
      <c r="E5776"/>
      <c r="F5776"/>
      <c r="G5776"/>
      <c r="H5776"/>
      <c r="I5776"/>
      <c r="J5776"/>
      <c r="K5776"/>
    </row>
    <row r="5777" spans="1:11">
      <c r="A5777"/>
      <c r="B5777"/>
      <c r="C5777"/>
      <c r="D5777"/>
      <c r="E5777"/>
      <c r="F5777"/>
      <c r="G5777"/>
      <c r="H5777"/>
      <c r="I5777"/>
      <c r="J5777"/>
      <c r="K5777"/>
    </row>
    <row r="5778" spans="1:11">
      <c r="A5778"/>
      <c r="B5778"/>
      <c r="C5778"/>
      <c r="D5778"/>
      <c r="E5778"/>
      <c r="F5778"/>
      <c r="G5778"/>
      <c r="H5778"/>
      <c r="I5778"/>
      <c r="J5778"/>
      <c r="K5778"/>
    </row>
    <row r="5779" spans="1:11">
      <c r="A5779"/>
      <c r="B5779"/>
      <c r="C5779"/>
      <c r="D5779"/>
      <c r="E5779"/>
      <c r="F5779"/>
      <c r="G5779"/>
      <c r="H5779"/>
      <c r="I5779"/>
      <c r="J5779"/>
      <c r="K5779"/>
    </row>
    <row r="5780" spans="1:11">
      <c r="A5780"/>
      <c r="B5780"/>
      <c r="C5780"/>
      <c r="D5780"/>
      <c r="E5780"/>
      <c r="F5780"/>
      <c r="G5780"/>
      <c r="H5780"/>
      <c r="I5780"/>
      <c r="J5780"/>
      <c r="K5780"/>
    </row>
    <row r="5781" spans="1:11">
      <c r="A5781"/>
      <c r="B5781"/>
      <c r="C5781"/>
      <c r="D5781"/>
      <c r="E5781"/>
      <c r="F5781"/>
      <c r="G5781"/>
      <c r="H5781"/>
      <c r="I5781"/>
      <c r="J5781"/>
      <c r="K5781"/>
    </row>
    <row r="5782" spans="1:11">
      <c r="A5782"/>
      <c r="B5782"/>
      <c r="C5782"/>
      <c r="D5782"/>
      <c r="E5782"/>
      <c r="F5782"/>
      <c r="G5782"/>
      <c r="H5782"/>
      <c r="I5782"/>
      <c r="J5782"/>
      <c r="K5782"/>
    </row>
    <row r="5783" spans="1:11">
      <c r="A5783"/>
      <c r="B5783"/>
      <c r="C5783"/>
      <c r="D5783"/>
      <c r="E5783"/>
      <c r="F5783"/>
      <c r="G5783"/>
      <c r="H5783"/>
      <c r="I5783"/>
      <c r="J5783"/>
      <c r="K5783"/>
    </row>
    <row r="5784" spans="1:11">
      <c r="A5784"/>
      <c r="B5784"/>
      <c r="C5784"/>
      <c r="D5784"/>
      <c r="E5784"/>
      <c r="F5784"/>
      <c r="G5784"/>
      <c r="H5784"/>
      <c r="I5784"/>
      <c r="J5784"/>
      <c r="K5784"/>
    </row>
    <row r="5785" spans="1:11">
      <c r="A5785"/>
      <c r="B5785"/>
      <c r="C5785"/>
      <c r="D5785"/>
      <c r="E5785"/>
      <c r="F5785"/>
      <c r="G5785"/>
      <c r="H5785"/>
      <c r="I5785"/>
      <c r="J5785"/>
      <c r="K5785"/>
    </row>
    <row r="5786" spans="1:11">
      <c r="A5786"/>
      <c r="B5786"/>
      <c r="C5786"/>
      <c r="D5786"/>
      <c r="E5786"/>
      <c r="F5786"/>
      <c r="G5786"/>
      <c r="H5786"/>
      <c r="I5786"/>
      <c r="J5786"/>
      <c r="K5786"/>
    </row>
    <row r="5787" spans="1:11">
      <c r="A5787"/>
      <c r="B5787"/>
      <c r="C5787"/>
      <c r="D5787"/>
      <c r="E5787"/>
      <c r="F5787"/>
      <c r="G5787"/>
      <c r="H5787"/>
      <c r="I5787"/>
      <c r="J5787"/>
      <c r="K5787"/>
    </row>
    <row r="5788" spans="1:11">
      <c r="A5788"/>
      <c r="B5788"/>
      <c r="C5788"/>
      <c r="D5788"/>
      <c r="E5788"/>
      <c r="F5788"/>
      <c r="G5788"/>
      <c r="H5788"/>
      <c r="I5788"/>
      <c r="J5788"/>
      <c r="K5788"/>
    </row>
    <row r="5789" spans="1:11">
      <c r="A5789"/>
      <c r="B5789"/>
      <c r="C5789"/>
      <c r="D5789"/>
      <c r="E5789"/>
      <c r="F5789"/>
      <c r="G5789"/>
      <c r="H5789"/>
      <c r="I5789"/>
      <c r="J5789"/>
      <c r="K5789"/>
    </row>
    <row r="5790" spans="1:11">
      <c r="A5790"/>
      <c r="B5790"/>
      <c r="C5790"/>
      <c r="D5790"/>
      <c r="E5790"/>
      <c r="F5790"/>
      <c r="G5790"/>
      <c r="H5790"/>
      <c r="I5790"/>
      <c r="J5790"/>
      <c r="K5790"/>
    </row>
    <row r="5791" spans="1:11">
      <c r="A5791"/>
      <c r="B5791"/>
      <c r="C5791"/>
      <c r="D5791"/>
      <c r="E5791"/>
      <c r="F5791"/>
      <c r="G5791"/>
      <c r="H5791"/>
      <c r="I5791"/>
      <c r="J5791"/>
      <c r="K5791"/>
    </row>
    <row r="5792" spans="1:11">
      <c r="A5792"/>
      <c r="B5792"/>
      <c r="C5792"/>
      <c r="D5792"/>
      <c r="E5792"/>
      <c r="F5792"/>
      <c r="G5792"/>
      <c r="H5792"/>
      <c r="I5792"/>
      <c r="J5792"/>
      <c r="K5792"/>
    </row>
    <row r="5793" spans="1:11">
      <c r="A5793"/>
      <c r="B5793"/>
      <c r="C5793"/>
      <c r="D5793"/>
      <c r="E5793"/>
      <c r="F5793"/>
      <c r="G5793"/>
      <c r="H5793"/>
      <c r="I5793"/>
      <c r="J5793"/>
      <c r="K5793"/>
    </row>
    <row r="5794" spans="1:11">
      <c r="A5794"/>
      <c r="B5794"/>
      <c r="C5794"/>
      <c r="D5794"/>
      <c r="E5794"/>
      <c r="F5794"/>
      <c r="G5794"/>
      <c r="H5794"/>
      <c r="I5794"/>
      <c r="J5794"/>
      <c r="K5794"/>
    </row>
    <row r="5795" spans="1:11">
      <c r="A5795"/>
      <c r="B5795"/>
      <c r="C5795"/>
      <c r="D5795"/>
      <c r="E5795"/>
      <c r="F5795"/>
      <c r="G5795"/>
      <c r="H5795"/>
      <c r="I5795"/>
      <c r="J5795"/>
      <c r="K5795"/>
    </row>
    <row r="5796" spans="1:11">
      <c r="A5796"/>
      <c r="B5796"/>
      <c r="C5796"/>
      <c r="D5796"/>
      <c r="E5796"/>
      <c r="F5796"/>
      <c r="G5796"/>
      <c r="H5796"/>
      <c r="I5796"/>
      <c r="J5796"/>
      <c r="K5796"/>
    </row>
    <row r="5797" spans="1:11">
      <c r="A5797"/>
      <c r="B5797"/>
      <c r="C5797"/>
      <c r="D5797"/>
      <c r="E5797"/>
      <c r="F5797"/>
      <c r="G5797"/>
      <c r="H5797"/>
      <c r="I5797"/>
      <c r="J5797"/>
      <c r="K5797"/>
    </row>
    <row r="5798" spans="1:11">
      <c r="A5798"/>
      <c r="B5798"/>
      <c r="C5798"/>
      <c r="D5798"/>
      <c r="E5798"/>
      <c r="F5798"/>
      <c r="G5798"/>
      <c r="H5798"/>
      <c r="I5798"/>
      <c r="J5798"/>
      <c r="K5798"/>
    </row>
    <row r="5799" spans="1:11">
      <c r="A5799"/>
      <c r="B5799"/>
      <c r="C5799"/>
      <c r="D5799"/>
      <c r="E5799"/>
      <c r="F5799"/>
      <c r="G5799"/>
      <c r="H5799"/>
      <c r="I5799"/>
      <c r="J5799"/>
      <c r="K5799"/>
    </row>
    <row r="5800" spans="1:11">
      <c r="A5800"/>
      <c r="B5800"/>
      <c r="C5800"/>
      <c r="D5800"/>
      <c r="E5800"/>
      <c r="F5800"/>
      <c r="G5800"/>
      <c r="H5800"/>
      <c r="I5800"/>
      <c r="J5800"/>
      <c r="K5800"/>
    </row>
    <row r="5801" spans="1:11">
      <c r="A5801"/>
      <c r="B5801"/>
      <c r="C5801"/>
      <c r="D5801"/>
      <c r="E5801"/>
      <c r="F5801"/>
      <c r="G5801"/>
      <c r="H5801"/>
      <c r="I5801"/>
      <c r="J5801"/>
      <c r="K5801"/>
    </row>
    <row r="5802" spans="1:11">
      <c r="A5802"/>
      <c r="B5802"/>
      <c r="C5802"/>
      <c r="D5802"/>
      <c r="E5802"/>
      <c r="F5802"/>
      <c r="G5802"/>
      <c r="H5802"/>
      <c r="I5802"/>
      <c r="J5802"/>
      <c r="K5802"/>
    </row>
    <row r="5803" spans="1:11">
      <c r="A5803"/>
      <c r="B5803"/>
      <c r="C5803"/>
      <c r="D5803"/>
      <c r="E5803"/>
      <c r="F5803"/>
      <c r="G5803"/>
      <c r="H5803"/>
      <c r="I5803"/>
      <c r="J5803"/>
      <c r="K5803"/>
    </row>
    <row r="5804" spans="1:11">
      <c r="A5804"/>
      <c r="B5804"/>
      <c r="C5804"/>
      <c r="D5804"/>
      <c r="E5804"/>
      <c r="F5804"/>
      <c r="G5804"/>
      <c r="H5804"/>
      <c r="I5804"/>
      <c r="J5804"/>
      <c r="K5804"/>
    </row>
    <row r="5805" spans="1:11">
      <c r="A5805"/>
      <c r="B5805"/>
      <c r="C5805"/>
      <c r="D5805"/>
      <c r="E5805"/>
      <c r="F5805"/>
      <c r="G5805"/>
      <c r="H5805"/>
      <c r="I5805"/>
      <c r="J5805"/>
      <c r="K5805"/>
    </row>
    <row r="5806" spans="1:11">
      <c r="A5806"/>
      <c r="B5806"/>
      <c r="C5806"/>
      <c r="D5806"/>
      <c r="E5806"/>
      <c r="F5806"/>
      <c r="G5806"/>
      <c r="H5806"/>
      <c r="I5806"/>
      <c r="J5806"/>
      <c r="K5806"/>
    </row>
    <row r="5807" spans="1:11">
      <c r="A5807"/>
      <c r="B5807"/>
      <c r="C5807"/>
      <c r="D5807"/>
      <c r="E5807"/>
      <c r="F5807"/>
      <c r="G5807"/>
      <c r="H5807"/>
      <c r="I5807"/>
      <c r="J5807"/>
      <c r="K5807"/>
    </row>
    <row r="5808" spans="1:11">
      <c r="A5808"/>
      <c r="B5808"/>
      <c r="C5808"/>
      <c r="D5808"/>
      <c r="E5808"/>
      <c r="F5808"/>
      <c r="G5808"/>
      <c r="H5808"/>
      <c r="I5808"/>
      <c r="J5808"/>
      <c r="K5808"/>
    </row>
    <row r="5809" spans="1:11">
      <c r="A5809"/>
      <c r="B5809"/>
      <c r="C5809"/>
      <c r="D5809"/>
      <c r="E5809"/>
      <c r="F5809"/>
      <c r="G5809"/>
      <c r="H5809"/>
      <c r="I5809"/>
      <c r="J5809"/>
      <c r="K5809"/>
    </row>
    <row r="5810" spans="1:11">
      <c r="A5810"/>
      <c r="B5810"/>
      <c r="C5810"/>
      <c r="D5810"/>
      <c r="E5810"/>
      <c r="F5810"/>
      <c r="G5810"/>
      <c r="H5810"/>
      <c r="I5810"/>
      <c r="J5810"/>
      <c r="K5810"/>
    </row>
    <row r="5811" spans="1:11">
      <c r="A5811"/>
      <c r="B5811"/>
      <c r="C5811"/>
      <c r="D5811"/>
      <c r="E5811"/>
      <c r="F5811"/>
      <c r="G5811"/>
      <c r="H5811"/>
      <c r="I5811"/>
      <c r="J5811"/>
      <c r="K5811"/>
    </row>
    <row r="5812" spans="1:11">
      <c r="A5812"/>
      <c r="B5812"/>
      <c r="C5812"/>
      <c r="D5812"/>
      <c r="E5812"/>
      <c r="F5812"/>
      <c r="G5812"/>
      <c r="H5812"/>
      <c r="I5812"/>
      <c r="J5812"/>
      <c r="K5812"/>
    </row>
    <row r="5813" spans="1:11">
      <c r="A5813"/>
      <c r="B5813"/>
      <c r="C5813"/>
      <c r="D5813"/>
      <c r="E5813"/>
      <c r="F5813"/>
      <c r="G5813"/>
      <c r="H5813"/>
      <c r="I5813"/>
      <c r="J5813"/>
      <c r="K5813"/>
    </row>
    <row r="5814" spans="1:11">
      <c r="A5814"/>
      <c r="B5814"/>
      <c r="C5814"/>
      <c r="D5814"/>
      <c r="E5814"/>
      <c r="F5814"/>
      <c r="G5814"/>
      <c r="H5814"/>
      <c r="I5814"/>
      <c r="J5814"/>
      <c r="K5814"/>
    </row>
    <row r="5815" spans="1:11">
      <c r="A5815"/>
      <c r="B5815"/>
      <c r="C5815"/>
      <c r="D5815"/>
      <c r="E5815"/>
      <c r="F5815"/>
      <c r="G5815"/>
      <c r="H5815"/>
      <c r="I5815"/>
      <c r="J5815"/>
      <c r="K5815"/>
    </row>
    <row r="5816" spans="1:11">
      <c r="A5816"/>
      <c r="B5816"/>
      <c r="C5816"/>
      <c r="D5816"/>
      <c r="E5816"/>
      <c r="F5816"/>
      <c r="G5816"/>
      <c r="H5816"/>
      <c r="I5816"/>
      <c r="J5816"/>
      <c r="K5816"/>
    </row>
    <row r="5817" spans="1:11">
      <c r="A5817"/>
      <c r="B5817"/>
      <c r="C5817"/>
      <c r="D5817"/>
      <c r="E5817"/>
      <c r="F5817"/>
      <c r="G5817"/>
      <c r="H5817"/>
      <c r="I5817"/>
      <c r="J5817"/>
      <c r="K5817"/>
    </row>
    <row r="5818" spans="1:11">
      <c r="A5818"/>
      <c r="B5818"/>
      <c r="C5818"/>
      <c r="D5818"/>
      <c r="E5818"/>
      <c r="F5818"/>
      <c r="G5818"/>
      <c r="H5818"/>
      <c r="I5818"/>
      <c r="J5818"/>
      <c r="K5818"/>
    </row>
    <row r="5819" spans="1:11">
      <c r="A5819"/>
      <c r="B5819"/>
      <c r="C5819"/>
      <c r="D5819"/>
      <c r="E5819"/>
      <c r="F5819"/>
      <c r="G5819"/>
      <c r="H5819"/>
      <c r="I5819"/>
      <c r="J5819"/>
      <c r="K5819"/>
    </row>
    <row r="5820" spans="1:11">
      <c r="A5820"/>
      <c r="B5820"/>
      <c r="C5820"/>
      <c r="D5820"/>
      <c r="E5820"/>
      <c r="F5820"/>
      <c r="G5820"/>
      <c r="H5820"/>
      <c r="I5820"/>
      <c r="J5820"/>
      <c r="K5820"/>
    </row>
    <row r="5821" spans="1:11">
      <c r="A5821"/>
      <c r="B5821"/>
      <c r="C5821"/>
      <c r="D5821"/>
      <c r="E5821"/>
      <c r="F5821"/>
      <c r="G5821"/>
      <c r="H5821"/>
      <c r="I5821"/>
      <c r="J5821"/>
      <c r="K5821"/>
    </row>
    <row r="5822" spans="1:11">
      <c r="A5822"/>
      <c r="B5822"/>
      <c r="C5822"/>
      <c r="D5822"/>
      <c r="E5822"/>
      <c r="F5822"/>
      <c r="G5822"/>
      <c r="H5822"/>
      <c r="I5822"/>
      <c r="J5822"/>
      <c r="K5822"/>
    </row>
    <row r="5823" spans="1:11">
      <c r="A5823"/>
      <c r="B5823"/>
      <c r="C5823"/>
      <c r="D5823"/>
      <c r="E5823"/>
      <c r="F5823"/>
      <c r="G5823"/>
      <c r="H5823"/>
      <c r="I5823"/>
      <c r="J5823"/>
      <c r="K5823"/>
    </row>
    <row r="5824" spans="1:11">
      <c r="A5824"/>
      <c r="B5824"/>
      <c r="C5824"/>
      <c r="D5824"/>
      <c r="E5824"/>
      <c r="F5824"/>
      <c r="G5824"/>
      <c r="H5824"/>
      <c r="I5824"/>
      <c r="J5824"/>
      <c r="K5824"/>
    </row>
    <row r="5825" spans="1:11">
      <c r="A5825"/>
      <c r="B5825"/>
      <c r="C5825"/>
      <c r="D5825"/>
      <c r="E5825"/>
      <c r="F5825"/>
      <c r="G5825"/>
      <c r="H5825"/>
      <c r="I5825"/>
      <c r="J5825"/>
      <c r="K5825"/>
    </row>
    <row r="5826" spans="1:11">
      <c r="A5826"/>
      <c r="B5826"/>
      <c r="C5826"/>
      <c r="D5826"/>
      <c r="E5826"/>
      <c r="F5826"/>
      <c r="G5826"/>
      <c r="H5826"/>
      <c r="I5826"/>
      <c r="J5826"/>
      <c r="K5826"/>
    </row>
    <row r="5827" spans="1:11">
      <c r="A5827"/>
      <c r="B5827"/>
      <c r="C5827"/>
      <c r="D5827"/>
      <c r="E5827"/>
      <c r="F5827"/>
      <c r="G5827"/>
      <c r="H5827"/>
      <c r="I5827"/>
      <c r="J5827"/>
      <c r="K5827"/>
    </row>
    <row r="5828" spans="1:11">
      <c r="A5828"/>
      <c r="B5828"/>
      <c r="C5828"/>
      <c r="D5828"/>
      <c r="E5828"/>
      <c r="F5828"/>
      <c r="G5828"/>
      <c r="H5828"/>
      <c r="I5828"/>
      <c r="J5828"/>
      <c r="K5828"/>
    </row>
    <row r="5829" spans="1:11">
      <c r="A5829"/>
      <c r="B5829"/>
      <c r="C5829"/>
      <c r="D5829"/>
      <c r="E5829"/>
      <c r="F5829"/>
      <c r="G5829"/>
      <c r="H5829"/>
      <c r="I5829"/>
      <c r="J5829"/>
      <c r="K5829"/>
    </row>
    <row r="5830" spans="1:11">
      <c r="A5830"/>
      <c r="B5830"/>
      <c r="C5830"/>
      <c r="D5830"/>
      <c r="E5830"/>
      <c r="F5830"/>
      <c r="G5830"/>
      <c r="H5830"/>
      <c r="I5830"/>
      <c r="J5830"/>
      <c r="K5830"/>
    </row>
    <row r="5831" spans="1:11">
      <c r="A5831"/>
      <c r="B5831"/>
      <c r="C5831"/>
      <c r="D5831"/>
      <c r="E5831"/>
      <c r="F5831"/>
      <c r="G5831"/>
      <c r="H5831"/>
      <c r="I5831"/>
      <c r="J5831"/>
      <c r="K5831"/>
    </row>
    <row r="5832" spans="1:11">
      <c r="A5832"/>
      <c r="B5832"/>
      <c r="C5832"/>
      <c r="D5832"/>
      <c r="E5832"/>
      <c r="F5832"/>
      <c r="G5832"/>
      <c r="H5832"/>
      <c r="I5832"/>
      <c r="J5832"/>
      <c r="K5832"/>
    </row>
    <row r="5833" spans="1:11">
      <c r="A5833"/>
      <c r="B5833"/>
      <c r="C5833"/>
      <c r="D5833"/>
      <c r="E5833"/>
      <c r="F5833"/>
      <c r="G5833"/>
      <c r="H5833"/>
      <c r="I5833"/>
      <c r="J5833"/>
      <c r="K5833"/>
    </row>
    <row r="5834" spans="1:11">
      <c r="A5834"/>
      <c r="B5834"/>
      <c r="C5834"/>
      <c r="D5834"/>
      <c r="E5834"/>
      <c r="F5834"/>
      <c r="G5834"/>
      <c r="H5834"/>
      <c r="I5834"/>
      <c r="J5834"/>
      <c r="K5834"/>
    </row>
    <row r="5835" spans="1:11">
      <c r="A5835"/>
      <c r="B5835"/>
      <c r="C5835"/>
      <c r="D5835"/>
      <c r="E5835"/>
      <c r="F5835"/>
      <c r="G5835"/>
      <c r="H5835"/>
      <c r="I5835"/>
      <c r="J5835"/>
      <c r="K5835"/>
    </row>
    <row r="5836" spans="1:11">
      <c r="A5836"/>
      <c r="B5836"/>
      <c r="C5836"/>
      <c r="D5836"/>
      <c r="E5836"/>
      <c r="F5836"/>
      <c r="G5836"/>
      <c r="H5836"/>
      <c r="I5836"/>
      <c r="J5836"/>
      <c r="K5836"/>
    </row>
    <row r="5837" spans="1:11">
      <c r="A5837"/>
      <c r="B5837"/>
      <c r="C5837"/>
      <c r="D5837"/>
      <c r="E5837"/>
      <c r="F5837"/>
      <c r="G5837"/>
      <c r="H5837"/>
      <c r="I5837"/>
      <c r="J5837"/>
      <c r="K5837"/>
    </row>
    <row r="5838" spans="1:11">
      <c r="A5838"/>
      <c r="B5838"/>
      <c r="C5838"/>
      <c r="D5838"/>
      <c r="E5838"/>
      <c r="F5838"/>
      <c r="G5838"/>
      <c r="H5838"/>
      <c r="I5838"/>
      <c r="J5838"/>
      <c r="K5838"/>
    </row>
    <row r="5839" spans="1:11">
      <c r="A5839"/>
      <c r="B5839"/>
      <c r="C5839"/>
      <c r="D5839"/>
      <c r="E5839"/>
      <c r="F5839"/>
      <c r="G5839"/>
      <c r="H5839"/>
      <c r="I5839"/>
      <c r="J5839"/>
      <c r="K5839"/>
    </row>
    <row r="5840" spans="1:11">
      <c r="A5840"/>
      <c r="B5840"/>
      <c r="C5840"/>
      <c r="D5840"/>
      <c r="E5840"/>
      <c r="F5840"/>
      <c r="G5840"/>
      <c r="H5840"/>
      <c r="I5840"/>
      <c r="J5840"/>
      <c r="K5840"/>
    </row>
    <row r="5841" spans="1:11">
      <c r="A5841"/>
      <c r="B5841"/>
      <c r="C5841"/>
      <c r="D5841"/>
      <c r="E5841"/>
      <c r="F5841"/>
      <c r="G5841"/>
      <c r="H5841"/>
      <c r="I5841"/>
      <c r="J5841"/>
      <c r="K5841"/>
    </row>
    <row r="5842" spans="1:11">
      <c r="A5842"/>
      <c r="B5842"/>
      <c r="C5842"/>
      <c r="D5842"/>
      <c r="E5842"/>
      <c r="F5842"/>
      <c r="G5842"/>
      <c r="H5842"/>
      <c r="I5842"/>
      <c r="J5842"/>
      <c r="K5842"/>
    </row>
    <row r="5843" spans="1:11">
      <c r="A5843"/>
      <c r="B5843"/>
      <c r="C5843"/>
      <c r="D5843"/>
      <c r="E5843"/>
      <c r="F5843"/>
      <c r="G5843"/>
      <c r="H5843"/>
      <c r="I5843"/>
      <c r="J5843"/>
      <c r="K5843"/>
    </row>
    <row r="5844" spans="1:11">
      <c r="A5844"/>
      <c r="B5844"/>
      <c r="C5844"/>
      <c r="D5844"/>
      <c r="E5844"/>
      <c r="F5844"/>
      <c r="G5844"/>
      <c r="H5844"/>
      <c r="I5844"/>
      <c r="J5844"/>
      <c r="K5844"/>
    </row>
    <row r="5845" spans="1:11">
      <c r="A5845"/>
      <c r="B5845"/>
      <c r="C5845"/>
      <c r="D5845"/>
      <c r="E5845"/>
      <c r="F5845"/>
      <c r="G5845"/>
      <c r="H5845"/>
      <c r="I5845"/>
      <c r="J5845"/>
      <c r="K5845"/>
    </row>
    <row r="5846" spans="1:11">
      <c r="A5846"/>
      <c r="B5846"/>
      <c r="C5846"/>
      <c r="D5846"/>
      <c r="E5846"/>
      <c r="F5846"/>
      <c r="G5846"/>
      <c r="H5846"/>
      <c r="I5846"/>
      <c r="J5846"/>
      <c r="K5846"/>
    </row>
    <row r="5847" spans="1:11">
      <c r="A5847"/>
      <c r="B5847"/>
      <c r="C5847"/>
      <c r="D5847"/>
      <c r="E5847"/>
      <c r="F5847"/>
      <c r="G5847"/>
      <c r="H5847"/>
      <c r="I5847"/>
      <c r="J5847"/>
      <c r="K5847"/>
    </row>
    <row r="5848" spans="1:11">
      <c r="A5848"/>
      <c r="B5848"/>
      <c r="C5848"/>
      <c r="D5848"/>
      <c r="E5848"/>
      <c r="F5848"/>
      <c r="G5848"/>
      <c r="H5848"/>
      <c r="I5848"/>
      <c r="J5848"/>
      <c r="K5848"/>
    </row>
    <row r="5849" spans="1:11">
      <c r="A5849"/>
      <c r="B5849"/>
      <c r="C5849"/>
      <c r="D5849"/>
      <c r="E5849"/>
      <c r="F5849"/>
      <c r="G5849"/>
      <c r="H5849"/>
      <c r="I5849"/>
      <c r="J5849"/>
      <c r="K5849"/>
    </row>
    <row r="5850" spans="1:11">
      <c r="A5850"/>
      <c r="B5850"/>
      <c r="C5850"/>
      <c r="D5850"/>
      <c r="E5850"/>
      <c r="F5850"/>
      <c r="G5850"/>
      <c r="H5850"/>
      <c r="I5850"/>
      <c r="J5850"/>
      <c r="K5850"/>
    </row>
    <row r="5851" spans="1:11">
      <c r="A5851"/>
      <c r="B5851"/>
      <c r="C5851"/>
      <c r="D5851"/>
      <c r="E5851"/>
      <c r="F5851"/>
      <c r="G5851"/>
      <c r="H5851"/>
      <c r="I5851"/>
      <c r="J5851"/>
      <c r="K5851"/>
    </row>
    <row r="5852" spans="1:11">
      <c r="A5852"/>
      <c r="B5852"/>
      <c r="C5852"/>
      <c r="D5852"/>
      <c r="E5852"/>
      <c r="F5852"/>
      <c r="G5852"/>
      <c r="H5852"/>
      <c r="I5852"/>
      <c r="J5852"/>
      <c r="K5852"/>
    </row>
    <row r="5853" spans="1:11">
      <c r="A5853"/>
      <c r="B5853"/>
      <c r="C5853"/>
      <c r="D5853"/>
      <c r="E5853"/>
      <c r="F5853"/>
      <c r="G5853"/>
      <c r="H5853"/>
      <c r="I5853"/>
      <c r="J5853"/>
      <c r="K5853"/>
    </row>
    <row r="5854" spans="1:11">
      <c r="A5854"/>
      <c r="B5854"/>
      <c r="C5854"/>
      <c r="D5854"/>
      <c r="E5854"/>
      <c r="F5854"/>
      <c r="G5854"/>
      <c r="H5854"/>
      <c r="I5854"/>
      <c r="J5854"/>
      <c r="K5854"/>
    </row>
    <row r="5855" spans="1:11">
      <c r="A5855"/>
      <c r="B5855"/>
      <c r="C5855"/>
      <c r="D5855"/>
      <c r="E5855"/>
      <c r="F5855"/>
      <c r="G5855"/>
      <c r="H5855"/>
      <c r="I5855"/>
      <c r="J5855"/>
      <c r="K5855"/>
    </row>
    <row r="5856" spans="1:11">
      <c r="A5856"/>
      <c r="B5856"/>
      <c r="C5856"/>
      <c r="D5856"/>
      <c r="E5856"/>
      <c r="F5856"/>
      <c r="G5856"/>
      <c r="H5856"/>
      <c r="I5856"/>
      <c r="J5856"/>
      <c r="K5856"/>
    </row>
    <row r="5857" spans="1:11">
      <c r="A5857"/>
      <c r="B5857"/>
      <c r="C5857"/>
      <c r="D5857"/>
      <c r="E5857"/>
      <c r="F5857"/>
      <c r="G5857"/>
      <c r="H5857"/>
      <c r="I5857"/>
      <c r="J5857"/>
      <c r="K5857"/>
    </row>
    <row r="5858" spans="1:11">
      <c r="A5858"/>
      <c r="B5858"/>
      <c r="C5858"/>
      <c r="D5858"/>
      <c r="E5858"/>
      <c r="F5858"/>
      <c r="G5858"/>
      <c r="H5858"/>
      <c r="I5858"/>
      <c r="J5858"/>
      <c r="K5858"/>
    </row>
    <row r="5859" spans="1:11">
      <c r="A5859"/>
      <c r="B5859"/>
      <c r="C5859"/>
      <c r="D5859"/>
      <c r="E5859"/>
      <c r="F5859"/>
      <c r="G5859"/>
      <c r="H5859"/>
      <c r="I5859"/>
      <c r="J5859"/>
      <c r="K5859"/>
    </row>
    <row r="5860" spans="1:11">
      <c r="A5860"/>
      <c r="B5860"/>
      <c r="C5860"/>
      <c r="D5860"/>
      <c r="E5860"/>
      <c r="F5860"/>
      <c r="G5860"/>
      <c r="H5860"/>
      <c r="I5860"/>
      <c r="J5860"/>
      <c r="K5860"/>
    </row>
    <row r="5861" spans="1:11">
      <c r="A5861"/>
      <c r="B5861"/>
      <c r="C5861"/>
      <c r="D5861"/>
      <c r="E5861"/>
      <c r="F5861"/>
      <c r="G5861"/>
      <c r="H5861"/>
      <c r="I5861"/>
      <c r="J5861"/>
      <c r="K5861"/>
    </row>
    <row r="5862" spans="1:11">
      <c r="A5862"/>
      <c r="B5862"/>
      <c r="C5862"/>
      <c r="D5862"/>
      <c r="E5862"/>
      <c r="F5862"/>
      <c r="G5862"/>
      <c r="H5862"/>
      <c r="I5862"/>
      <c r="J5862"/>
      <c r="K5862"/>
    </row>
    <row r="5863" spans="1:11">
      <c r="A5863"/>
      <c r="B5863"/>
      <c r="C5863"/>
      <c r="D5863"/>
      <c r="E5863"/>
      <c r="F5863"/>
      <c r="G5863"/>
      <c r="H5863"/>
      <c r="I5863"/>
      <c r="J5863"/>
      <c r="K5863"/>
    </row>
    <row r="5864" spans="1:11">
      <c r="A5864"/>
      <c r="B5864"/>
      <c r="C5864"/>
      <c r="D5864"/>
      <c r="E5864"/>
      <c r="F5864"/>
      <c r="G5864"/>
      <c r="H5864"/>
      <c r="I5864"/>
      <c r="J5864"/>
      <c r="K5864"/>
    </row>
    <row r="5865" spans="1:11">
      <c r="A5865"/>
      <c r="B5865"/>
      <c r="C5865"/>
      <c r="D5865"/>
      <c r="E5865"/>
      <c r="F5865"/>
      <c r="G5865"/>
      <c r="H5865"/>
      <c r="I5865"/>
      <c r="J5865"/>
      <c r="K5865"/>
    </row>
    <row r="5866" spans="1:11">
      <c r="A5866"/>
      <c r="B5866"/>
      <c r="C5866"/>
      <c r="D5866"/>
      <c r="E5866"/>
      <c r="F5866"/>
      <c r="G5866"/>
      <c r="H5866"/>
      <c r="I5866"/>
      <c r="J5866"/>
      <c r="K5866"/>
    </row>
    <row r="5867" spans="1:11">
      <c r="A5867"/>
      <c r="B5867"/>
      <c r="C5867"/>
      <c r="D5867"/>
      <c r="E5867"/>
      <c r="F5867"/>
      <c r="G5867"/>
      <c r="H5867"/>
      <c r="I5867"/>
      <c r="J5867"/>
      <c r="K5867"/>
    </row>
    <row r="5868" spans="1:11">
      <c r="A5868"/>
      <c r="B5868"/>
      <c r="C5868"/>
      <c r="D5868"/>
      <c r="E5868"/>
      <c r="F5868"/>
      <c r="G5868"/>
      <c r="H5868"/>
      <c r="I5868"/>
      <c r="J5868"/>
      <c r="K5868"/>
    </row>
    <row r="5869" spans="1:11">
      <c r="A5869"/>
      <c r="B5869"/>
      <c r="C5869"/>
      <c r="D5869"/>
      <c r="E5869"/>
      <c r="F5869"/>
      <c r="G5869"/>
      <c r="H5869"/>
      <c r="I5869"/>
      <c r="J5869"/>
      <c r="K5869"/>
    </row>
    <row r="5870" spans="1:11">
      <c r="A5870"/>
      <c r="B5870"/>
      <c r="C5870"/>
      <c r="D5870"/>
      <c r="E5870"/>
      <c r="F5870"/>
      <c r="G5870"/>
      <c r="H5870"/>
      <c r="I5870"/>
      <c r="J5870"/>
      <c r="K5870"/>
    </row>
    <row r="5871" spans="1:11">
      <c r="A5871"/>
      <c r="B5871"/>
      <c r="C5871"/>
      <c r="D5871"/>
      <c r="E5871"/>
      <c r="F5871"/>
      <c r="G5871"/>
      <c r="H5871"/>
      <c r="I5871"/>
      <c r="J5871"/>
      <c r="K5871"/>
    </row>
    <row r="5872" spans="1:11">
      <c r="A5872"/>
      <c r="B5872"/>
      <c r="C5872"/>
      <c r="D5872"/>
      <c r="E5872"/>
      <c r="F5872"/>
      <c r="G5872"/>
      <c r="H5872"/>
      <c r="I5872"/>
      <c r="J5872"/>
      <c r="K5872"/>
    </row>
    <row r="5873" spans="1:11">
      <c r="A5873"/>
      <c r="B5873"/>
      <c r="C5873"/>
      <c r="D5873"/>
      <c r="E5873"/>
      <c r="F5873"/>
      <c r="G5873"/>
      <c r="H5873"/>
      <c r="I5873"/>
      <c r="J5873"/>
      <c r="K5873"/>
    </row>
    <row r="5874" spans="1:11">
      <c r="A5874"/>
      <c r="B5874"/>
      <c r="C5874"/>
      <c r="D5874"/>
      <c r="E5874"/>
      <c r="F5874"/>
      <c r="G5874"/>
      <c r="H5874"/>
      <c r="I5874"/>
      <c r="J5874"/>
      <c r="K5874"/>
    </row>
    <row r="5875" spans="1:11">
      <c r="A5875"/>
      <c r="B5875"/>
      <c r="C5875"/>
      <c r="D5875"/>
      <c r="E5875"/>
      <c r="F5875"/>
      <c r="G5875"/>
      <c r="H5875"/>
      <c r="I5875"/>
      <c r="J5875"/>
      <c r="K5875"/>
    </row>
    <row r="5876" spans="1:11">
      <c r="A5876"/>
      <c r="B5876"/>
      <c r="C5876"/>
      <c r="D5876"/>
      <c r="E5876"/>
      <c r="F5876"/>
      <c r="G5876"/>
      <c r="H5876"/>
      <c r="I5876"/>
      <c r="J5876"/>
      <c r="K5876"/>
    </row>
    <row r="5877" spans="1:11">
      <c r="A5877"/>
      <c r="B5877"/>
      <c r="C5877"/>
      <c r="D5877"/>
      <c r="E5877"/>
      <c r="F5877"/>
      <c r="G5877"/>
      <c r="H5877"/>
      <c r="I5877"/>
      <c r="J5877"/>
      <c r="K5877"/>
    </row>
    <row r="5878" spans="1:11">
      <c r="A5878"/>
      <c r="B5878"/>
      <c r="C5878"/>
      <c r="D5878"/>
      <c r="E5878"/>
      <c r="F5878"/>
      <c r="G5878"/>
      <c r="H5878"/>
      <c r="I5878"/>
      <c r="J5878"/>
      <c r="K5878"/>
    </row>
    <row r="5879" spans="1:11">
      <c r="A5879"/>
      <c r="B5879"/>
      <c r="C5879"/>
      <c r="D5879"/>
      <c r="E5879"/>
      <c r="F5879"/>
      <c r="G5879"/>
      <c r="H5879"/>
      <c r="I5879"/>
      <c r="J5879"/>
      <c r="K5879"/>
    </row>
    <row r="5880" spans="1:11">
      <c r="A5880"/>
      <c r="B5880"/>
      <c r="C5880"/>
      <c r="D5880"/>
      <c r="E5880"/>
      <c r="F5880"/>
      <c r="G5880"/>
      <c r="H5880"/>
      <c r="I5880"/>
      <c r="J5880"/>
      <c r="K5880"/>
    </row>
    <row r="5881" spans="1:11">
      <c r="A5881"/>
      <c r="B5881"/>
      <c r="C5881"/>
      <c r="D5881"/>
      <c r="E5881"/>
      <c r="F5881"/>
      <c r="G5881"/>
      <c r="H5881"/>
      <c r="I5881"/>
      <c r="J5881"/>
      <c r="K5881"/>
    </row>
    <row r="5882" spans="1:11">
      <c r="A5882"/>
      <c r="B5882"/>
      <c r="C5882"/>
      <c r="D5882"/>
      <c r="E5882"/>
      <c r="F5882"/>
      <c r="G5882"/>
      <c r="H5882"/>
      <c r="I5882"/>
      <c r="J5882"/>
      <c r="K5882"/>
    </row>
    <row r="5883" spans="1:11">
      <c r="A5883"/>
      <c r="B5883"/>
      <c r="C5883"/>
      <c r="D5883"/>
      <c r="E5883"/>
      <c r="F5883"/>
      <c r="G5883"/>
      <c r="H5883"/>
      <c r="I5883"/>
      <c r="J5883"/>
      <c r="K5883"/>
    </row>
    <row r="5884" spans="1:11">
      <c r="A5884"/>
      <c r="B5884"/>
      <c r="C5884"/>
      <c r="D5884"/>
      <c r="E5884"/>
      <c r="F5884"/>
      <c r="G5884"/>
      <c r="H5884"/>
      <c r="I5884"/>
      <c r="J5884"/>
      <c r="K5884"/>
    </row>
    <row r="5885" spans="1:11">
      <c r="A5885"/>
      <c r="B5885"/>
      <c r="C5885"/>
      <c r="D5885"/>
      <c r="E5885"/>
      <c r="F5885"/>
      <c r="G5885"/>
      <c r="H5885"/>
      <c r="I5885"/>
      <c r="J5885"/>
      <c r="K5885"/>
    </row>
    <row r="5886" spans="1:11">
      <c r="A5886"/>
      <c r="B5886"/>
      <c r="C5886"/>
      <c r="D5886"/>
      <c r="E5886"/>
      <c r="F5886"/>
      <c r="G5886"/>
      <c r="H5886"/>
      <c r="I5886"/>
      <c r="J5886"/>
      <c r="K5886"/>
    </row>
    <row r="5887" spans="1:11">
      <c r="A5887"/>
      <c r="B5887"/>
      <c r="C5887"/>
      <c r="D5887"/>
      <c r="E5887"/>
      <c r="F5887"/>
      <c r="G5887"/>
      <c r="H5887"/>
      <c r="I5887"/>
      <c r="J5887"/>
      <c r="K5887"/>
    </row>
    <row r="5888" spans="1:11">
      <c r="A5888"/>
      <c r="B5888"/>
      <c r="C5888"/>
      <c r="D5888"/>
      <c r="E5888"/>
      <c r="F5888"/>
      <c r="G5888"/>
      <c r="H5888"/>
      <c r="I5888"/>
      <c r="J5888"/>
      <c r="K5888"/>
    </row>
    <row r="5889" spans="1:11">
      <c r="A5889"/>
      <c r="B5889"/>
      <c r="C5889"/>
      <c r="D5889"/>
      <c r="E5889"/>
      <c r="F5889"/>
      <c r="G5889"/>
      <c r="H5889"/>
      <c r="I5889"/>
      <c r="J5889"/>
      <c r="K5889"/>
    </row>
    <row r="5890" spans="1:11">
      <c r="A5890"/>
      <c r="B5890"/>
      <c r="C5890"/>
      <c r="D5890"/>
      <c r="E5890"/>
      <c r="F5890"/>
      <c r="G5890"/>
      <c r="H5890"/>
      <c r="I5890"/>
      <c r="J5890"/>
      <c r="K5890"/>
    </row>
    <row r="5891" spans="1:11">
      <c r="A5891"/>
      <c r="B5891"/>
      <c r="C5891"/>
      <c r="D5891"/>
      <c r="E5891"/>
      <c r="F5891"/>
      <c r="G5891"/>
      <c r="H5891"/>
      <c r="I5891"/>
      <c r="J5891"/>
      <c r="K5891"/>
    </row>
    <row r="5892" spans="1:11">
      <c r="A5892"/>
      <c r="B5892"/>
      <c r="C5892"/>
      <c r="D5892"/>
      <c r="E5892"/>
      <c r="F5892"/>
      <c r="G5892"/>
      <c r="H5892"/>
      <c r="I5892"/>
      <c r="J5892"/>
      <c r="K5892"/>
    </row>
    <row r="5893" spans="1:11">
      <c r="A5893"/>
      <c r="B5893"/>
      <c r="C5893"/>
      <c r="D5893"/>
      <c r="E5893"/>
      <c r="F5893"/>
      <c r="G5893"/>
      <c r="H5893"/>
      <c r="I5893"/>
      <c r="J5893"/>
      <c r="K5893"/>
    </row>
    <row r="5894" spans="1:11">
      <c r="A5894"/>
      <c r="B5894"/>
      <c r="C5894"/>
      <c r="D5894"/>
      <c r="E5894"/>
      <c r="F5894"/>
      <c r="G5894"/>
      <c r="H5894"/>
      <c r="I5894"/>
      <c r="J5894"/>
      <c r="K5894"/>
    </row>
    <row r="5895" spans="1:11">
      <c r="A5895"/>
      <c r="B5895"/>
      <c r="C5895"/>
      <c r="D5895"/>
      <c r="E5895"/>
      <c r="F5895"/>
      <c r="G5895"/>
      <c r="H5895"/>
      <c r="I5895"/>
      <c r="J5895"/>
      <c r="K5895"/>
    </row>
    <row r="5896" spans="1:11">
      <c r="A5896"/>
      <c r="B5896"/>
      <c r="C5896"/>
      <c r="D5896"/>
      <c r="E5896"/>
      <c r="F5896"/>
      <c r="G5896"/>
      <c r="H5896"/>
      <c r="I5896"/>
      <c r="J5896"/>
      <c r="K5896"/>
    </row>
    <row r="5897" spans="1:11">
      <c r="A5897"/>
      <c r="B5897"/>
      <c r="C5897"/>
      <c r="D5897"/>
      <c r="E5897"/>
      <c r="F5897"/>
      <c r="G5897"/>
      <c r="H5897"/>
      <c r="I5897"/>
      <c r="J5897"/>
      <c r="K5897"/>
    </row>
    <row r="5898" spans="1:11">
      <c r="A5898"/>
      <c r="B5898"/>
      <c r="C5898"/>
      <c r="D5898"/>
      <c r="E5898"/>
      <c r="F5898"/>
      <c r="G5898"/>
      <c r="H5898"/>
      <c r="I5898"/>
      <c r="J5898"/>
      <c r="K5898"/>
    </row>
    <row r="5899" spans="1:11">
      <c r="A5899"/>
      <c r="B5899"/>
      <c r="C5899"/>
      <c r="D5899"/>
      <c r="E5899"/>
      <c r="F5899"/>
      <c r="G5899"/>
      <c r="H5899"/>
      <c r="I5899"/>
      <c r="J5899"/>
      <c r="K5899"/>
    </row>
    <row r="5900" spans="1:11">
      <c r="A5900"/>
      <c r="B5900"/>
      <c r="C5900"/>
      <c r="D5900"/>
      <c r="E5900"/>
      <c r="F5900"/>
      <c r="G5900"/>
      <c r="H5900"/>
      <c r="I5900"/>
      <c r="J5900"/>
      <c r="K5900"/>
    </row>
    <row r="5901" spans="1:11">
      <c r="A5901"/>
      <c r="B5901"/>
      <c r="C5901"/>
      <c r="D5901"/>
      <c r="E5901"/>
      <c r="F5901"/>
      <c r="G5901"/>
      <c r="H5901"/>
      <c r="I5901"/>
      <c r="J5901"/>
      <c r="K5901"/>
    </row>
    <row r="5902" spans="1:11">
      <c r="A5902"/>
      <c r="B5902"/>
      <c r="C5902"/>
      <c r="D5902"/>
      <c r="E5902"/>
      <c r="F5902"/>
      <c r="G5902"/>
      <c r="H5902"/>
      <c r="I5902"/>
      <c r="J5902"/>
      <c r="K5902"/>
    </row>
    <row r="5903" spans="1:11">
      <c r="A5903"/>
      <c r="B5903"/>
      <c r="C5903"/>
      <c r="D5903"/>
      <c r="E5903"/>
      <c r="F5903"/>
      <c r="G5903"/>
      <c r="H5903"/>
      <c r="I5903"/>
      <c r="J5903"/>
      <c r="K5903"/>
    </row>
    <row r="5904" spans="1:11">
      <c r="A5904"/>
      <c r="B5904"/>
      <c r="C5904"/>
      <c r="D5904"/>
      <c r="E5904"/>
      <c r="F5904"/>
      <c r="G5904"/>
      <c r="H5904"/>
      <c r="I5904"/>
      <c r="J5904"/>
      <c r="K5904"/>
    </row>
    <row r="5905" spans="1:11">
      <c r="A5905"/>
      <c r="B5905"/>
      <c r="C5905"/>
      <c r="D5905"/>
      <c r="E5905"/>
      <c r="F5905"/>
      <c r="G5905"/>
      <c r="H5905"/>
      <c r="I5905"/>
      <c r="J5905"/>
      <c r="K5905"/>
    </row>
    <row r="5906" spans="1:11">
      <c r="A5906"/>
      <c r="B5906"/>
      <c r="C5906"/>
      <c r="D5906"/>
      <c r="E5906"/>
      <c r="F5906"/>
      <c r="G5906"/>
      <c r="H5906"/>
      <c r="I5906"/>
      <c r="J5906"/>
      <c r="K5906"/>
    </row>
    <row r="5907" spans="1:11">
      <c r="A5907"/>
      <c r="B5907"/>
      <c r="C5907"/>
      <c r="D5907"/>
      <c r="E5907"/>
      <c r="F5907"/>
      <c r="G5907"/>
      <c r="H5907"/>
      <c r="I5907"/>
      <c r="J5907"/>
      <c r="K5907"/>
    </row>
    <row r="5908" spans="1:11">
      <c r="A5908"/>
      <c r="B5908"/>
      <c r="C5908"/>
      <c r="D5908"/>
      <c r="E5908"/>
      <c r="F5908"/>
      <c r="G5908"/>
      <c r="H5908"/>
      <c r="I5908"/>
      <c r="J5908"/>
      <c r="K5908"/>
    </row>
    <row r="5909" spans="1:11">
      <c r="A5909"/>
      <c r="B5909"/>
      <c r="C5909"/>
      <c r="D5909"/>
      <c r="E5909"/>
      <c r="F5909"/>
      <c r="G5909"/>
      <c r="H5909"/>
      <c r="I5909"/>
      <c r="J5909"/>
      <c r="K5909"/>
    </row>
    <row r="5910" spans="1:11">
      <c r="A5910"/>
      <c r="B5910"/>
      <c r="C5910"/>
      <c r="D5910"/>
      <c r="E5910"/>
      <c r="F5910"/>
      <c r="G5910"/>
      <c r="H5910"/>
      <c r="I5910"/>
      <c r="J5910"/>
      <c r="K5910"/>
    </row>
    <row r="5911" spans="1:11">
      <c r="A5911"/>
      <c r="B5911"/>
      <c r="C5911"/>
      <c r="D5911"/>
      <c r="E5911"/>
      <c r="F5911"/>
      <c r="G5911"/>
      <c r="H5911"/>
      <c r="I5911"/>
      <c r="J5911"/>
      <c r="K5911"/>
    </row>
    <row r="5912" spans="1:11">
      <c r="A5912"/>
      <c r="B5912"/>
      <c r="C5912"/>
      <c r="D5912"/>
      <c r="E5912"/>
      <c r="F5912"/>
      <c r="G5912"/>
      <c r="H5912"/>
      <c r="I5912"/>
      <c r="J5912"/>
      <c r="K5912"/>
    </row>
    <row r="5913" spans="1:11">
      <c r="A5913"/>
      <c r="B5913"/>
      <c r="C5913"/>
      <c r="D5913"/>
      <c r="E5913"/>
      <c r="F5913"/>
      <c r="G5913"/>
      <c r="H5913"/>
      <c r="I5913"/>
      <c r="J5913"/>
      <c r="K5913"/>
    </row>
    <row r="5914" spans="1:11">
      <c r="A5914"/>
      <c r="B5914"/>
      <c r="C5914"/>
      <c r="D5914"/>
      <c r="E5914"/>
      <c r="F5914"/>
      <c r="G5914"/>
      <c r="H5914"/>
      <c r="I5914"/>
      <c r="J5914"/>
      <c r="K5914"/>
    </row>
    <row r="5915" spans="1:11">
      <c r="A5915"/>
      <c r="B5915"/>
      <c r="C5915"/>
      <c r="D5915"/>
      <c r="E5915"/>
      <c r="F5915"/>
      <c r="G5915"/>
      <c r="H5915"/>
      <c r="I5915"/>
      <c r="J5915"/>
      <c r="K5915"/>
    </row>
    <row r="5916" spans="1:11">
      <c r="A5916"/>
      <c r="B5916"/>
      <c r="C5916"/>
      <c r="D5916"/>
      <c r="E5916"/>
      <c r="F5916"/>
      <c r="G5916"/>
      <c r="H5916"/>
      <c r="I5916"/>
      <c r="J5916"/>
      <c r="K5916"/>
    </row>
    <row r="5917" spans="1:11">
      <c r="A5917"/>
      <c r="B5917"/>
      <c r="C5917"/>
      <c r="D5917"/>
      <c r="E5917"/>
      <c r="F5917"/>
      <c r="G5917"/>
      <c r="H5917"/>
      <c r="I5917"/>
      <c r="J5917"/>
      <c r="K5917"/>
    </row>
    <row r="5918" spans="1:11">
      <c r="A5918"/>
      <c r="B5918"/>
      <c r="C5918"/>
      <c r="D5918"/>
      <c r="E5918"/>
      <c r="F5918"/>
      <c r="G5918"/>
      <c r="H5918"/>
      <c r="I5918"/>
      <c r="J5918"/>
      <c r="K5918"/>
    </row>
    <row r="5919" spans="1:11">
      <c r="A5919"/>
      <c r="B5919"/>
      <c r="C5919"/>
      <c r="D5919"/>
      <c r="E5919"/>
      <c r="F5919"/>
      <c r="G5919"/>
      <c r="H5919"/>
      <c r="I5919"/>
      <c r="J5919"/>
      <c r="K5919"/>
    </row>
    <row r="5920" spans="1:11">
      <c r="A5920"/>
      <c r="B5920"/>
      <c r="C5920"/>
      <c r="D5920"/>
      <c r="E5920"/>
      <c r="F5920"/>
      <c r="G5920"/>
      <c r="H5920"/>
      <c r="I5920"/>
      <c r="J5920"/>
      <c r="K5920"/>
    </row>
    <row r="5921" spans="1:11">
      <c r="A5921"/>
      <c r="B5921"/>
      <c r="C5921"/>
      <c r="D5921"/>
      <c r="E5921"/>
      <c r="F5921"/>
      <c r="G5921"/>
      <c r="H5921"/>
      <c r="I5921"/>
      <c r="J5921"/>
      <c r="K5921"/>
    </row>
    <row r="5922" spans="1:11">
      <c r="A5922"/>
      <c r="B5922"/>
      <c r="C5922"/>
      <c r="D5922"/>
      <c r="E5922"/>
      <c r="F5922"/>
      <c r="G5922"/>
      <c r="H5922"/>
      <c r="I5922"/>
      <c r="J5922"/>
      <c r="K5922"/>
    </row>
    <row r="5923" spans="1:11">
      <c r="A5923"/>
      <c r="B5923"/>
      <c r="C5923"/>
      <c r="D5923"/>
      <c r="E5923"/>
      <c r="F5923"/>
      <c r="G5923"/>
      <c r="H5923"/>
      <c r="I5923"/>
      <c r="J5923"/>
      <c r="K5923"/>
    </row>
    <row r="5924" spans="1:11">
      <c r="A5924"/>
      <c r="B5924"/>
      <c r="C5924"/>
      <c r="D5924"/>
      <c r="E5924"/>
      <c r="F5924"/>
      <c r="G5924"/>
      <c r="H5924"/>
      <c r="I5924"/>
      <c r="J5924"/>
      <c r="K5924"/>
    </row>
    <row r="5925" spans="1:11">
      <c r="A5925"/>
      <c r="B5925"/>
      <c r="C5925"/>
      <c r="D5925"/>
      <c r="E5925"/>
      <c r="F5925"/>
      <c r="G5925"/>
      <c r="H5925"/>
      <c r="I5925"/>
      <c r="J5925"/>
      <c r="K5925"/>
    </row>
    <row r="5926" spans="1:11">
      <c r="A5926"/>
      <c r="B5926"/>
      <c r="C5926"/>
      <c r="D5926"/>
      <c r="E5926"/>
      <c r="F5926"/>
      <c r="G5926"/>
      <c r="H5926"/>
      <c r="I5926"/>
      <c r="J5926"/>
      <c r="K5926"/>
    </row>
    <row r="5927" spans="1:11">
      <c r="A5927"/>
      <c r="B5927"/>
      <c r="C5927"/>
      <c r="D5927"/>
      <c r="E5927"/>
      <c r="F5927"/>
      <c r="G5927"/>
      <c r="H5927"/>
      <c r="I5927"/>
      <c r="J5927"/>
      <c r="K5927"/>
    </row>
    <row r="5928" spans="1:11">
      <c r="A5928"/>
      <c r="B5928"/>
      <c r="C5928"/>
      <c r="D5928"/>
      <c r="E5928"/>
      <c r="F5928"/>
      <c r="G5928"/>
      <c r="H5928"/>
      <c r="I5928"/>
      <c r="J5928"/>
      <c r="K5928"/>
    </row>
    <row r="5929" spans="1:11">
      <c r="A5929"/>
      <c r="B5929"/>
      <c r="C5929"/>
      <c r="D5929"/>
      <c r="E5929"/>
      <c r="F5929"/>
      <c r="G5929"/>
      <c r="H5929"/>
      <c r="I5929"/>
      <c r="J5929"/>
      <c r="K5929"/>
    </row>
    <row r="5930" spans="1:11">
      <c r="A5930"/>
      <c r="B5930"/>
      <c r="C5930"/>
      <c r="D5930"/>
      <c r="E5930"/>
      <c r="F5930"/>
      <c r="G5930"/>
      <c r="H5930"/>
      <c r="I5930"/>
      <c r="J5930"/>
      <c r="K5930"/>
    </row>
    <row r="5931" spans="1:11">
      <c r="A5931"/>
      <c r="B5931"/>
      <c r="C5931"/>
      <c r="D5931"/>
      <c r="E5931"/>
      <c r="F5931"/>
      <c r="G5931"/>
      <c r="H5931"/>
      <c r="I5931"/>
      <c r="J5931"/>
      <c r="K5931"/>
    </row>
    <row r="5932" spans="1:11">
      <c r="A5932"/>
      <c r="B5932"/>
      <c r="C5932"/>
      <c r="D5932"/>
      <c r="E5932"/>
      <c r="F5932"/>
      <c r="G5932"/>
      <c r="H5932"/>
      <c r="I5932"/>
      <c r="J5932"/>
      <c r="K5932"/>
    </row>
    <row r="5933" spans="1:11">
      <c r="A5933"/>
      <c r="B5933"/>
      <c r="C5933"/>
      <c r="D5933"/>
      <c r="E5933"/>
      <c r="F5933"/>
      <c r="G5933"/>
      <c r="H5933"/>
      <c r="I5933"/>
      <c r="J5933"/>
      <c r="K5933"/>
    </row>
    <row r="5934" spans="1:11">
      <c r="A5934"/>
      <c r="B5934"/>
      <c r="C5934"/>
      <c r="D5934"/>
      <c r="E5934"/>
      <c r="F5934"/>
      <c r="G5934"/>
      <c r="H5934"/>
      <c r="I5934"/>
      <c r="J5934"/>
      <c r="K5934"/>
    </row>
    <row r="5935" spans="1:11">
      <c r="A5935"/>
      <c r="B5935"/>
      <c r="C5935"/>
      <c r="D5935"/>
      <c r="E5935"/>
      <c r="F5935"/>
      <c r="G5935"/>
      <c r="H5935"/>
      <c r="I5935"/>
      <c r="J5935"/>
      <c r="K5935"/>
    </row>
    <row r="5936" spans="1:11">
      <c r="A5936"/>
      <c r="B5936"/>
      <c r="C5936"/>
      <c r="D5936"/>
      <c r="E5936"/>
      <c r="F5936"/>
      <c r="G5936"/>
      <c r="H5936"/>
      <c r="I5936"/>
      <c r="J5936"/>
      <c r="K5936"/>
    </row>
    <row r="5937" spans="1:11">
      <c r="A5937"/>
      <c r="B5937"/>
      <c r="C5937"/>
      <c r="D5937"/>
      <c r="E5937"/>
      <c r="F5937"/>
      <c r="G5937"/>
      <c r="H5937"/>
      <c r="I5937"/>
      <c r="J5937"/>
      <c r="K5937"/>
    </row>
    <row r="5938" spans="1:11">
      <c r="A5938"/>
      <c r="B5938"/>
      <c r="C5938"/>
      <c r="D5938"/>
      <c r="E5938"/>
      <c r="F5938"/>
      <c r="G5938"/>
      <c r="H5938"/>
      <c r="I5938"/>
      <c r="J5938"/>
      <c r="K5938"/>
    </row>
    <row r="5939" spans="1:11">
      <c r="A5939"/>
      <c r="B5939"/>
      <c r="C5939"/>
      <c r="D5939"/>
      <c r="E5939"/>
      <c r="F5939"/>
      <c r="G5939"/>
      <c r="H5939"/>
      <c r="I5939"/>
      <c r="J5939"/>
      <c r="K5939"/>
    </row>
    <row r="5940" spans="1:11">
      <c r="A5940"/>
      <c r="B5940"/>
      <c r="C5940"/>
      <c r="D5940"/>
      <c r="E5940"/>
      <c r="F5940"/>
      <c r="G5940"/>
      <c r="H5940"/>
      <c r="I5940"/>
      <c r="J5940"/>
      <c r="K5940"/>
    </row>
    <row r="5941" spans="1:11">
      <c r="A5941"/>
      <c r="B5941"/>
      <c r="C5941"/>
      <c r="D5941"/>
      <c r="E5941"/>
      <c r="F5941"/>
      <c r="G5941"/>
      <c r="H5941"/>
      <c r="I5941"/>
      <c r="J5941"/>
      <c r="K5941"/>
    </row>
    <row r="5942" spans="1:11">
      <c r="A5942"/>
      <c r="B5942"/>
      <c r="C5942"/>
      <c r="D5942"/>
      <c r="E5942"/>
      <c r="F5942"/>
      <c r="G5942"/>
      <c r="H5942"/>
      <c r="I5942"/>
      <c r="J5942"/>
      <c r="K5942"/>
    </row>
    <row r="5943" spans="1:11">
      <c r="A5943"/>
      <c r="B5943"/>
      <c r="C5943"/>
      <c r="D5943"/>
      <c r="E5943"/>
      <c r="F5943"/>
      <c r="G5943"/>
      <c r="H5943"/>
      <c r="I5943"/>
      <c r="J5943"/>
      <c r="K5943"/>
    </row>
    <row r="5944" spans="1:11">
      <c r="A5944"/>
      <c r="B5944"/>
      <c r="C5944"/>
      <c r="D5944"/>
      <c r="E5944"/>
      <c r="F5944"/>
      <c r="G5944"/>
      <c r="H5944"/>
      <c r="I5944"/>
      <c r="J5944"/>
      <c r="K5944"/>
    </row>
    <row r="5945" spans="1:11">
      <c r="A5945"/>
      <c r="B5945"/>
      <c r="C5945"/>
      <c r="D5945"/>
      <c r="E5945"/>
      <c r="F5945"/>
      <c r="G5945"/>
      <c r="H5945"/>
      <c r="I5945"/>
      <c r="J5945"/>
      <c r="K5945"/>
    </row>
    <row r="5946" spans="1:11">
      <c r="A5946"/>
      <c r="B5946"/>
      <c r="C5946"/>
      <c r="D5946"/>
      <c r="E5946"/>
      <c r="F5946"/>
      <c r="G5946"/>
      <c r="H5946"/>
      <c r="I5946"/>
      <c r="J5946"/>
      <c r="K5946"/>
    </row>
    <row r="5947" spans="1:11">
      <c r="A5947"/>
      <c r="B5947"/>
      <c r="C5947"/>
      <c r="D5947"/>
      <c r="E5947"/>
      <c r="F5947"/>
      <c r="G5947"/>
      <c r="H5947"/>
      <c r="I5947"/>
      <c r="J5947"/>
      <c r="K5947"/>
    </row>
    <row r="5948" spans="1:11">
      <c r="A5948"/>
      <c r="B5948"/>
      <c r="C5948"/>
      <c r="D5948"/>
      <c r="E5948"/>
      <c r="F5948"/>
      <c r="G5948"/>
      <c r="H5948"/>
      <c r="I5948"/>
      <c r="J5948"/>
      <c r="K5948"/>
    </row>
    <row r="5949" spans="1:11">
      <c r="A5949"/>
      <c r="B5949"/>
      <c r="C5949"/>
      <c r="D5949"/>
      <c r="E5949"/>
      <c r="F5949"/>
      <c r="G5949"/>
      <c r="H5949"/>
      <c r="I5949"/>
      <c r="J5949"/>
      <c r="K5949"/>
    </row>
    <row r="5950" spans="1:11">
      <c r="A5950"/>
      <c r="B5950"/>
      <c r="C5950"/>
      <c r="D5950"/>
      <c r="E5950"/>
      <c r="F5950"/>
      <c r="G5950"/>
      <c r="H5950"/>
      <c r="I5950"/>
      <c r="J5950"/>
      <c r="K5950"/>
    </row>
    <row r="5951" spans="1:11">
      <c r="A5951"/>
      <c r="B5951"/>
      <c r="C5951"/>
      <c r="D5951"/>
      <c r="E5951"/>
      <c r="F5951"/>
      <c r="G5951"/>
      <c r="H5951"/>
      <c r="I5951"/>
      <c r="J5951"/>
      <c r="K5951"/>
    </row>
    <row r="5952" spans="1:11">
      <c r="A5952"/>
      <c r="B5952"/>
      <c r="C5952"/>
      <c r="D5952"/>
      <c r="E5952"/>
      <c r="F5952"/>
      <c r="G5952"/>
      <c r="H5952"/>
      <c r="I5952"/>
      <c r="J5952"/>
      <c r="K5952"/>
    </row>
    <row r="5953" spans="1:11">
      <c r="A5953"/>
      <c r="B5953"/>
      <c r="C5953"/>
      <c r="D5953"/>
      <c r="E5953"/>
      <c r="F5953"/>
      <c r="G5953"/>
      <c r="H5953"/>
      <c r="I5953"/>
      <c r="J5953"/>
      <c r="K5953"/>
    </row>
    <row r="5954" spans="1:11">
      <c r="A5954"/>
      <c r="B5954"/>
      <c r="C5954"/>
      <c r="D5954"/>
      <c r="E5954"/>
      <c r="F5954"/>
      <c r="G5954"/>
      <c r="H5954"/>
      <c r="I5954"/>
      <c r="J5954"/>
      <c r="K5954"/>
    </row>
    <row r="5955" spans="1:11">
      <c r="A5955"/>
      <c r="B5955"/>
      <c r="C5955"/>
      <c r="D5955"/>
      <c r="E5955"/>
      <c r="F5955"/>
      <c r="G5955"/>
      <c r="H5955"/>
      <c r="I5955"/>
      <c r="J5955"/>
      <c r="K5955"/>
    </row>
    <row r="5956" spans="1:11">
      <c r="A5956"/>
      <c r="B5956"/>
      <c r="C5956"/>
      <c r="D5956"/>
      <c r="E5956"/>
      <c r="F5956"/>
      <c r="G5956"/>
      <c r="H5956"/>
      <c r="I5956"/>
      <c r="J5956"/>
      <c r="K5956"/>
    </row>
    <row r="5957" spans="1:11">
      <c r="A5957"/>
      <c r="B5957"/>
      <c r="C5957"/>
      <c r="D5957"/>
      <c r="E5957"/>
      <c r="F5957"/>
      <c r="G5957"/>
      <c r="H5957"/>
      <c r="I5957"/>
      <c r="J5957"/>
      <c r="K5957"/>
    </row>
    <row r="5958" spans="1:11">
      <c r="A5958"/>
      <c r="B5958"/>
      <c r="C5958"/>
      <c r="D5958"/>
      <c r="E5958"/>
      <c r="F5958"/>
      <c r="G5958"/>
      <c r="H5958"/>
      <c r="I5958"/>
      <c r="J5958"/>
      <c r="K5958"/>
    </row>
    <row r="5959" spans="1:11">
      <c r="A5959"/>
      <c r="B5959"/>
      <c r="C5959"/>
      <c r="D5959"/>
      <c r="E5959"/>
      <c r="F5959"/>
      <c r="G5959"/>
      <c r="H5959"/>
      <c r="I5959"/>
      <c r="J5959"/>
      <c r="K5959"/>
    </row>
    <row r="5960" spans="1:11">
      <c r="A5960"/>
      <c r="B5960"/>
      <c r="C5960"/>
      <c r="D5960"/>
      <c r="E5960"/>
      <c r="F5960"/>
      <c r="G5960"/>
      <c r="H5960"/>
      <c r="I5960"/>
      <c r="J5960"/>
      <c r="K5960"/>
    </row>
    <row r="5961" spans="1:11">
      <c r="A5961"/>
      <c r="B5961"/>
      <c r="C5961"/>
      <c r="D5961"/>
      <c r="E5961"/>
      <c r="F5961"/>
      <c r="G5961"/>
      <c r="H5961"/>
      <c r="I5961"/>
      <c r="J5961"/>
      <c r="K5961"/>
    </row>
    <row r="5962" spans="1:11">
      <c r="A5962"/>
      <c r="B5962"/>
      <c r="C5962"/>
      <c r="D5962"/>
      <c r="E5962"/>
      <c r="F5962"/>
      <c r="G5962"/>
      <c r="H5962"/>
      <c r="I5962"/>
      <c r="J5962"/>
      <c r="K5962"/>
    </row>
    <row r="5963" spans="1:11">
      <c r="A5963"/>
      <c r="B5963"/>
      <c r="C5963"/>
      <c r="D5963"/>
      <c r="E5963"/>
      <c r="F5963"/>
      <c r="G5963"/>
      <c r="H5963"/>
      <c r="I5963"/>
      <c r="J5963"/>
      <c r="K5963"/>
    </row>
    <row r="5964" spans="1:11">
      <c r="A5964"/>
      <c r="B5964"/>
      <c r="C5964"/>
      <c r="D5964"/>
      <c r="E5964"/>
      <c r="F5964"/>
      <c r="G5964"/>
      <c r="H5964"/>
      <c r="I5964"/>
      <c r="J5964"/>
      <c r="K5964"/>
    </row>
    <row r="5965" spans="1:11">
      <c r="A5965"/>
      <c r="B5965"/>
      <c r="C5965"/>
      <c r="D5965"/>
      <c r="E5965"/>
      <c r="F5965"/>
      <c r="G5965"/>
      <c r="H5965"/>
      <c r="I5965"/>
      <c r="J5965"/>
      <c r="K5965"/>
    </row>
    <row r="5966" spans="1:11">
      <c r="A5966"/>
      <c r="B5966"/>
      <c r="C5966"/>
      <c r="D5966"/>
      <c r="E5966"/>
      <c r="F5966"/>
      <c r="G5966"/>
      <c r="H5966"/>
      <c r="I5966"/>
      <c r="J5966"/>
      <c r="K5966"/>
    </row>
    <row r="5967" spans="1:11">
      <c r="A5967"/>
      <c r="B5967"/>
      <c r="C5967"/>
      <c r="D5967"/>
      <c r="E5967"/>
      <c r="F5967"/>
      <c r="G5967"/>
      <c r="H5967"/>
      <c r="I5967"/>
      <c r="J5967"/>
      <c r="K5967"/>
    </row>
    <row r="5968" spans="1:11">
      <c r="A5968"/>
      <c r="B5968"/>
      <c r="C5968"/>
      <c r="D5968"/>
      <c r="E5968"/>
      <c r="F5968"/>
      <c r="G5968"/>
      <c r="H5968"/>
      <c r="I5968"/>
      <c r="J5968"/>
      <c r="K5968"/>
    </row>
    <row r="5969" spans="1:11">
      <c r="A5969"/>
      <c r="B5969"/>
      <c r="C5969"/>
      <c r="D5969"/>
      <c r="E5969"/>
      <c r="F5969"/>
      <c r="G5969"/>
      <c r="H5969"/>
      <c r="I5969"/>
      <c r="J5969"/>
      <c r="K5969"/>
    </row>
    <row r="5970" spans="1:11">
      <c r="A5970"/>
      <c r="B5970"/>
      <c r="C5970"/>
      <c r="D5970"/>
      <c r="E5970"/>
      <c r="F5970"/>
      <c r="G5970"/>
      <c r="H5970"/>
      <c r="I5970"/>
      <c r="J5970"/>
      <c r="K5970"/>
    </row>
    <row r="5971" spans="1:11">
      <c r="A5971"/>
      <c r="B5971"/>
      <c r="C5971"/>
      <c r="D5971"/>
      <c r="E5971"/>
      <c r="F5971"/>
      <c r="G5971"/>
      <c r="H5971"/>
      <c r="I5971"/>
      <c r="J5971"/>
      <c r="K5971"/>
    </row>
    <row r="5972" spans="1:11">
      <c r="A5972"/>
      <c r="B5972"/>
      <c r="C5972"/>
      <c r="D5972"/>
      <c r="E5972"/>
      <c r="F5972"/>
      <c r="G5972"/>
      <c r="H5972"/>
      <c r="I5972"/>
      <c r="J5972"/>
      <c r="K5972"/>
    </row>
    <row r="5973" spans="1:11">
      <c r="A5973"/>
      <c r="B5973"/>
      <c r="C5973"/>
      <c r="D5973"/>
      <c r="E5973"/>
      <c r="F5973"/>
      <c r="G5973"/>
      <c r="H5973"/>
      <c r="I5973"/>
      <c r="J5973"/>
      <c r="K5973"/>
    </row>
    <row r="5974" spans="1:11">
      <c r="A5974"/>
      <c r="B5974"/>
      <c r="C5974"/>
      <c r="D5974"/>
      <c r="E5974"/>
      <c r="F5974"/>
      <c r="G5974"/>
      <c r="H5974"/>
      <c r="I5974"/>
      <c r="J5974"/>
      <c r="K5974"/>
    </row>
    <row r="5975" spans="1:11">
      <c r="A5975"/>
      <c r="B5975"/>
      <c r="C5975"/>
      <c r="D5975"/>
      <c r="E5975"/>
      <c r="F5975"/>
      <c r="G5975"/>
      <c r="H5975"/>
      <c r="I5975"/>
      <c r="J5975"/>
      <c r="K5975"/>
    </row>
    <row r="5976" spans="1:11">
      <c r="A5976"/>
      <c r="B5976"/>
      <c r="C5976"/>
      <c r="D5976"/>
      <c r="E5976"/>
      <c r="F5976"/>
      <c r="G5976"/>
      <c r="H5976"/>
      <c r="I5976"/>
      <c r="J5976"/>
      <c r="K5976"/>
    </row>
    <row r="5977" spans="1:11">
      <c r="A5977"/>
      <c r="B5977"/>
      <c r="C5977"/>
      <c r="D5977"/>
      <c r="E5977"/>
      <c r="F5977"/>
      <c r="G5977"/>
      <c r="H5977"/>
      <c r="I5977"/>
      <c r="J5977"/>
      <c r="K5977"/>
    </row>
    <row r="5978" spans="1:11">
      <c r="A5978"/>
      <c r="B5978"/>
      <c r="C5978"/>
      <c r="D5978"/>
      <c r="E5978"/>
      <c r="F5978"/>
      <c r="G5978"/>
      <c r="H5978"/>
      <c r="I5978"/>
      <c r="J5978"/>
      <c r="K5978"/>
    </row>
    <row r="5979" spans="1:11">
      <c r="A5979"/>
      <c r="B5979"/>
      <c r="C5979"/>
      <c r="D5979"/>
      <c r="E5979"/>
      <c r="F5979"/>
      <c r="G5979"/>
      <c r="H5979"/>
      <c r="I5979"/>
      <c r="J5979"/>
      <c r="K5979"/>
    </row>
    <row r="5980" spans="1:11">
      <c r="A5980"/>
      <c r="B5980"/>
      <c r="C5980"/>
      <c r="D5980"/>
      <c r="E5980"/>
      <c r="F5980"/>
      <c r="G5980"/>
      <c r="H5980"/>
      <c r="I5980"/>
      <c r="J5980"/>
      <c r="K5980"/>
    </row>
    <row r="5981" spans="1:11">
      <c r="A5981"/>
      <c r="B5981"/>
      <c r="C5981"/>
      <c r="D5981"/>
      <c r="E5981"/>
      <c r="F5981"/>
      <c r="G5981"/>
      <c r="H5981"/>
      <c r="I5981"/>
      <c r="J5981"/>
      <c r="K5981"/>
    </row>
    <row r="5982" spans="1:11">
      <c r="A5982"/>
      <c r="B5982"/>
      <c r="C5982"/>
      <c r="D5982"/>
      <c r="E5982"/>
      <c r="F5982"/>
      <c r="G5982"/>
      <c r="H5982"/>
      <c r="I5982"/>
      <c r="J5982"/>
      <c r="K5982"/>
    </row>
    <row r="5983" spans="1:11">
      <c r="A5983"/>
      <c r="B5983"/>
      <c r="C5983"/>
      <c r="D5983"/>
      <c r="E5983"/>
      <c r="F5983"/>
      <c r="G5983"/>
      <c r="H5983"/>
      <c r="I5983"/>
      <c r="J5983"/>
      <c r="K5983"/>
    </row>
    <row r="5984" spans="1:11">
      <c r="A5984"/>
      <c r="B5984"/>
      <c r="C5984"/>
      <c r="D5984"/>
      <c r="E5984"/>
      <c r="F5984"/>
      <c r="G5984"/>
      <c r="H5984"/>
      <c r="I5984"/>
      <c r="J5984"/>
      <c r="K5984"/>
    </row>
    <row r="5985" spans="1:11">
      <c r="A5985"/>
      <c r="B5985"/>
      <c r="C5985"/>
      <c r="D5985"/>
      <c r="E5985"/>
      <c r="F5985"/>
      <c r="G5985"/>
      <c r="H5985"/>
      <c r="I5985"/>
      <c r="J5985"/>
      <c r="K5985"/>
    </row>
    <row r="5986" spans="1:11">
      <c r="A5986"/>
      <c r="B5986"/>
      <c r="C5986"/>
      <c r="D5986"/>
      <c r="E5986"/>
      <c r="F5986"/>
      <c r="G5986"/>
      <c r="H5986"/>
      <c r="I5986"/>
      <c r="J5986"/>
      <c r="K5986"/>
    </row>
    <row r="5987" spans="1:11">
      <c r="A5987"/>
      <c r="B5987"/>
      <c r="C5987"/>
      <c r="D5987"/>
      <c r="E5987"/>
      <c r="F5987"/>
      <c r="G5987"/>
      <c r="H5987"/>
      <c r="I5987"/>
      <c r="J5987"/>
      <c r="K5987"/>
    </row>
    <row r="5988" spans="1:11">
      <c r="A5988"/>
      <c r="B5988"/>
      <c r="C5988"/>
      <c r="D5988"/>
      <c r="E5988"/>
      <c r="F5988"/>
      <c r="G5988"/>
      <c r="H5988"/>
      <c r="I5988"/>
      <c r="J5988"/>
      <c r="K5988"/>
    </row>
    <row r="5989" spans="1:11">
      <c r="A5989"/>
      <c r="B5989"/>
      <c r="C5989"/>
      <c r="D5989"/>
      <c r="E5989"/>
      <c r="F5989"/>
      <c r="G5989"/>
      <c r="H5989"/>
      <c r="I5989"/>
      <c r="J5989"/>
      <c r="K5989"/>
    </row>
    <row r="5990" spans="1:11">
      <c r="A5990"/>
      <c r="B5990"/>
      <c r="C5990"/>
      <c r="D5990"/>
      <c r="E5990"/>
      <c r="F5990"/>
      <c r="G5990"/>
      <c r="H5990"/>
      <c r="I5990"/>
      <c r="J5990"/>
      <c r="K5990"/>
    </row>
    <row r="5991" spans="1:11">
      <c r="A5991"/>
      <c r="B5991"/>
      <c r="C5991"/>
      <c r="D5991"/>
      <c r="E5991"/>
      <c r="F5991"/>
      <c r="G5991"/>
      <c r="H5991"/>
      <c r="I5991"/>
      <c r="J5991"/>
      <c r="K5991"/>
    </row>
    <row r="5992" spans="1:11">
      <c r="A5992"/>
      <c r="B5992"/>
      <c r="C5992"/>
      <c r="D5992"/>
      <c r="E5992"/>
      <c r="F5992"/>
      <c r="G5992"/>
      <c r="H5992"/>
      <c r="I5992"/>
      <c r="J5992"/>
      <c r="K5992"/>
    </row>
    <row r="5993" spans="1:11">
      <c r="A5993"/>
      <c r="B5993"/>
      <c r="C5993"/>
      <c r="D5993"/>
      <c r="E5993"/>
      <c r="F5993"/>
      <c r="G5993"/>
      <c r="H5993"/>
      <c r="I5993"/>
      <c r="J5993"/>
      <c r="K5993"/>
    </row>
    <row r="5994" spans="1:11">
      <c r="A5994"/>
      <c r="B5994"/>
      <c r="C5994"/>
      <c r="D5994"/>
      <c r="E5994"/>
      <c r="F5994"/>
      <c r="G5994"/>
      <c r="H5994"/>
      <c r="I5994"/>
      <c r="J5994"/>
      <c r="K5994"/>
    </row>
    <row r="5995" spans="1:11">
      <c r="A5995"/>
      <c r="B5995"/>
      <c r="C5995"/>
      <c r="D5995"/>
      <c r="E5995"/>
      <c r="F5995"/>
      <c r="G5995"/>
      <c r="H5995"/>
      <c r="I5995"/>
      <c r="J5995"/>
      <c r="K5995"/>
    </row>
    <row r="5996" spans="1:11">
      <c r="A5996"/>
      <c r="B5996"/>
      <c r="C5996"/>
      <c r="D5996"/>
      <c r="E5996"/>
      <c r="F5996"/>
      <c r="G5996"/>
      <c r="H5996"/>
      <c r="I5996"/>
      <c r="J5996"/>
      <c r="K5996"/>
    </row>
    <row r="5997" spans="1:11">
      <c r="A5997"/>
      <c r="B5997"/>
      <c r="C5997"/>
      <c r="D5997"/>
      <c r="E5997"/>
      <c r="F5997"/>
      <c r="G5997"/>
      <c r="H5997"/>
      <c r="I5997"/>
      <c r="J5997"/>
      <c r="K5997"/>
    </row>
    <row r="5998" spans="1:11">
      <c r="A5998"/>
      <c r="B5998"/>
      <c r="C5998"/>
      <c r="D5998"/>
      <c r="E5998"/>
      <c r="F5998"/>
      <c r="G5998"/>
      <c r="H5998"/>
      <c r="I5998"/>
      <c r="J5998"/>
      <c r="K5998"/>
    </row>
    <row r="5999" spans="1:11">
      <c r="A5999"/>
      <c r="B5999"/>
      <c r="C5999"/>
      <c r="D5999"/>
      <c r="E5999"/>
      <c r="F5999"/>
      <c r="G5999"/>
      <c r="H5999"/>
      <c r="I5999"/>
      <c r="J5999"/>
      <c r="K5999"/>
    </row>
    <row r="6000" spans="1:11">
      <c r="A6000"/>
      <c r="B6000"/>
      <c r="C6000"/>
      <c r="D6000"/>
      <c r="E6000"/>
      <c r="F6000"/>
      <c r="G6000"/>
      <c r="H6000"/>
      <c r="I6000"/>
      <c r="J6000"/>
      <c r="K6000"/>
    </row>
    <row r="6001" spans="1:11">
      <c r="A6001"/>
      <c r="B6001"/>
      <c r="C6001"/>
      <c r="D6001"/>
      <c r="E6001"/>
      <c r="F6001"/>
      <c r="G6001"/>
      <c r="H6001"/>
      <c r="I6001"/>
      <c r="J6001"/>
      <c r="K6001"/>
    </row>
    <row r="6002" spans="1:11">
      <c r="A6002"/>
      <c r="B6002"/>
      <c r="C6002"/>
      <c r="D6002"/>
      <c r="E6002"/>
      <c r="F6002"/>
      <c r="G6002"/>
      <c r="H6002"/>
      <c r="I6002"/>
      <c r="J6002"/>
      <c r="K6002"/>
    </row>
    <row r="6003" spans="1:11">
      <c r="A6003"/>
      <c r="B6003"/>
      <c r="C6003"/>
      <c r="D6003"/>
      <c r="E6003"/>
      <c r="F6003"/>
      <c r="G6003"/>
      <c r="H6003"/>
      <c r="I6003"/>
      <c r="J6003"/>
      <c r="K6003"/>
    </row>
    <row r="6004" spans="1:11">
      <c r="A6004"/>
      <c r="B6004"/>
      <c r="C6004"/>
      <c r="D6004"/>
      <c r="E6004"/>
      <c r="F6004"/>
      <c r="G6004"/>
      <c r="H6004"/>
      <c r="I6004"/>
      <c r="J6004"/>
      <c r="K6004"/>
    </row>
    <row r="6005" spans="1:11">
      <c r="A6005"/>
      <c r="B6005"/>
      <c r="C6005"/>
      <c r="D6005"/>
      <c r="E6005"/>
      <c r="F6005"/>
      <c r="G6005"/>
      <c r="H6005"/>
      <c r="I6005"/>
      <c r="J6005"/>
      <c r="K6005"/>
    </row>
    <row r="6006" spans="1:11">
      <c r="A6006"/>
      <c r="B6006"/>
      <c r="C6006"/>
      <c r="D6006"/>
      <c r="E6006"/>
      <c r="F6006"/>
      <c r="G6006"/>
      <c r="H6006"/>
      <c r="I6006"/>
      <c r="J6006"/>
      <c r="K6006"/>
    </row>
    <row r="6007" spans="1:11">
      <c r="A6007"/>
      <c r="B6007"/>
      <c r="C6007"/>
      <c r="D6007"/>
      <c r="E6007"/>
      <c r="F6007"/>
      <c r="G6007"/>
      <c r="H6007"/>
      <c r="I6007"/>
      <c r="J6007"/>
      <c r="K6007"/>
    </row>
    <row r="6008" spans="1:11">
      <c r="A6008"/>
      <c r="B6008"/>
      <c r="C6008"/>
      <c r="D6008"/>
      <c r="E6008"/>
      <c r="F6008"/>
      <c r="G6008"/>
      <c r="H6008"/>
      <c r="I6008"/>
      <c r="J6008"/>
      <c r="K6008"/>
    </row>
    <row r="6009" spans="1:11">
      <c r="A6009"/>
      <c r="B6009"/>
      <c r="C6009"/>
      <c r="D6009"/>
      <c r="E6009"/>
      <c r="F6009"/>
      <c r="G6009"/>
      <c r="H6009"/>
      <c r="I6009"/>
      <c r="J6009"/>
      <c r="K6009"/>
    </row>
    <row r="6010" spans="1:11">
      <c r="A6010"/>
      <c r="B6010"/>
      <c r="C6010"/>
      <c r="D6010"/>
      <c r="E6010"/>
      <c r="F6010"/>
      <c r="G6010"/>
      <c r="H6010"/>
      <c r="I6010"/>
      <c r="J6010"/>
      <c r="K6010"/>
    </row>
    <row r="6011" spans="1:11">
      <c r="A6011"/>
      <c r="B6011"/>
      <c r="C6011"/>
      <c r="D6011"/>
      <c r="E6011"/>
      <c r="F6011"/>
      <c r="G6011"/>
      <c r="H6011"/>
      <c r="I6011"/>
      <c r="J6011"/>
      <c r="K6011"/>
    </row>
    <row r="6012" spans="1:11">
      <c r="A6012"/>
      <c r="B6012"/>
      <c r="C6012"/>
      <c r="D6012"/>
      <c r="E6012"/>
      <c r="F6012"/>
      <c r="G6012"/>
      <c r="H6012"/>
      <c r="I6012"/>
      <c r="J6012"/>
      <c r="K6012"/>
    </row>
    <row r="6013" spans="1:11">
      <c r="A6013"/>
      <c r="B6013"/>
      <c r="C6013"/>
      <c r="D6013"/>
      <c r="E6013"/>
      <c r="F6013"/>
      <c r="G6013"/>
      <c r="H6013"/>
      <c r="I6013"/>
      <c r="J6013"/>
      <c r="K6013"/>
    </row>
    <row r="6014" spans="1:11">
      <c r="A6014"/>
      <c r="B6014"/>
      <c r="C6014"/>
      <c r="D6014"/>
      <c r="E6014"/>
      <c r="F6014"/>
      <c r="G6014"/>
      <c r="H6014"/>
      <c r="I6014"/>
      <c r="J6014"/>
      <c r="K6014"/>
    </row>
    <row r="6015" spans="1:11">
      <c r="A6015"/>
      <c r="B6015"/>
      <c r="C6015"/>
      <c r="D6015"/>
      <c r="E6015"/>
      <c r="F6015"/>
      <c r="G6015"/>
      <c r="H6015"/>
      <c r="I6015"/>
      <c r="J6015"/>
      <c r="K6015"/>
    </row>
    <row r="6016" spans="1:11">
      <c r="A6016"/>
      <c r="B6016"/>
      <c r="C6016"/>
      <c r="D6016"/>
      <c r="E6016"/>
      <c r="F6016"/>
      <c r="G6016"/>
      <c r="H6016"/>
      <c r="I6016"/>
      <c r="J6016"/>
      <c r="K6016"/>
    </row>
    <row r="6017" spans="1:11">
      <c r="A6017"/>
      <c r="B6017"/>
      <c r="C6017"/>
      <c r="D6017"/>
      <c r="E6017"/>
      <c r="F6017"/>
      <c r="G6017"/>
      <c r="H6017"/>
      <c r="I6017"/>
      <c r="J6017"/>
      <c r="K6017"/>
    </row>
    <row r="6018" spans="1:11">
      <c r="A6018"/>
      <c r="B6018"/>
      <c r="C6018"/>
      <c r="D6018"/>
      <c r="E6018"/>
      <c r="F6018"/>
      <c r="G6018"/>
      <c r="H6018"/>
      <c r="I6018"/>
      <c r="J6018"/>
      <c r="K6018"/>
    </row>
    <row r="6019" spans="1:11">
      <c r="A6019"/>
      <c r="B6019"/>
      <c r="C6019"/>
      <c r="D6019"/>
      <c r="E6019"/>
      <c r="F6019"/>
      <c r="G6019"/>
      <c r="H6019"/>
      <c r="I6019"/>
      <c r="J6019"/>
      <c r="K6019"/>
    </row>
    <row r="6020" spans="1:11">
      <c r="A6020"/>
      <c r="B6020"/>
      <c r="C6020"/>
      <c r="D6020"/>
      <c r="E6020"/>
      <c r="F6020"/>
      <c r="G6020"/>
      <c r="H6020"/>
      <c r="I6020"/>
      <c r="J6020"/>
      <c r="K6020"/>
    </row>
    <row r="6021" spans="1:11">
      <c r="A6021"/>
      <c r="B6021"/>
      <c r="C6021"/>
      <c r="D6021"/>
      <c r="E6021"/>
      <c r="F6021"/>
      <c r="G6021"/>
      <c r="H6021"/>
      <c r="I6021"/>
      <c r="J6021"/>
      <c r="K6021"/>
    </row>
    <row r="6022" spans="1:11">
      <c r="A6022"/>
      <c r="B6022"/>
      <c r="C6022"/>
      <c r="D6022"/>
      <c r="E6022"/>
      <c r="F6022"/>
      <c r="G6022"/>
      <c r="H6022"/>
      <c r="I6022"/>
      <c r="J6022"/>
      <c r="K6022"/>
    </row>
    <row r="6023" spans="1:11">
      <c r="A6023"/>
      <c r="B6023"/>
      <c r="C6023"/>
      <c r="D6023"/>
      <c r="E6023"/>
      <c r="F6023"/>
      <c r="G6023"/>
      <c r="H6023"/>
      <c r="I6023"/>
      <c r="J6023"/>
      <c r="K6023"/>
    </row>
    <row r="6024" spans="1:11">
      <c r="A6024"/>
      <c r="B6024"/>
      <c r="C6024"/>
      <c r="D6024"/>
      <c r="E6024"/>
      <c r="F6024"/>
      <c r="G6024"/>
      <c r="H6024"/>
      <c r="I6024"/>
      <c r="J6024"/>
      <c r="K6024"/>
    </row>
    <row r="6025" spans="1:11">
      <c r="A6025"/>
      <c r="B6025"/>
      <c r="C6025"/>
      <c r="D6025"/>
      <c r="E6025"/>
      <c r="F6025"/>
      <c r="G6025"/>
      <c r="H6025"/>
      <c r="I6025"/>
      <c r="J6025"/>
      <c r="K6025"/>
    </row>
    <row r="6026" spans="1:11">
      <c r="A6026"/>
      <c r="B6026"/>
      <c r="C6026"/>
      <c r="D6026"/>
      <c r="E6026"/>
      <c r="F6026"/>
      <c r="G6026"/>
      <c r="H6026"/>
      <c r="I6026"/>
      <c r="J6026"/>
      <c r="K6026"/>
    </row>
    <row r="6027" spans="1:11">
      <c r="A6027"/>
      <c r="B6027"/>
      <c r="C6027"/>
      <c r="D6027"/>
      <c r="E6027"/>
      <c r="F6027"/>
      <c r="G6027"/>
      <c r="H6027"/>
      <c r="I6027"/>
      <c r="J6027"/>
      <c r="K6027"/>
    </row>
    <row r="6028" spans="1:11">
      <c r="A6028"/>
      <c r="B6028"/>
      <c r="C6028"/>
      <c r="D6028"/>
      <c r="E6028"/>
      <c r="F6028"/>
      <c r="G6028"/>
      <c r="H6028"/>
      <c r="I6028"/>
      <c r="J6028"/>
      <c r="K6028"/>
    </row>
    <row r="6029" spans="1:11">
      <c r="A6029"/>
      <c r="B6029"/>
      <c r="C6029"/>
      <c r="D6029"/>
      <c r="E6029"/>
      <c r="F6029"/>
      <c r="G6029"/>
      <c r="H6029"/>
      <c r="I6029"/>
      <c r="J6029"/>
      <c r="K6029"/>
    </row>
    <row r="6030" spans="1:11">
      <c r="A6030"/>
      <c r="B6030"/>
      <c r="C6030"/>
      <c r="D6030"/>
      <c r="E6030"/>
      <c r="F6030"/>
      <c r="G6030"/>
      <c r="H6030"/>
      <c r="I6030"/>
      <c r="J6030"/>
      <c r="K6030"/>
    </row>
    <row r="6031" spans="1:11">
      <c r="A6031"/>
      <c r="B6031"/>
      <c r="C6031"/>
      <c r="D6031"/>
      <c r="E6031"/>
      <c r="F6031"/>
      <c r="G6031"/>
      <c r="H6031"/>
      <c r="I6031"/>
      <c r="J6031"/>
      <c r="K6031"/>
    </row>
    <row r="6032" spans="1:11">
      <c r="A6032"/>
      <c r="B6032"/>
      <c r="C6032"/>
      <c r="D6032"/>
      <c r="E6032"/>
      <c r="F6032"/>
      <c r="G6032"/>
      <c r="H6032"/>
      <c r="I6032"/>
      <c r="J6032"/>
      <c r="K6032"/>
    </row>
    <row r="6033" spans="1:11">
      <c r="A6033"/>
      <c r="B6033"/>
      <c r="C6033"/>
      <c r="D6033"/>
      <c r="E6033"/>
      <c r="F6033"/>
      <c r="G6033"/>
      <c r="H6033"/>
      <c r="I6033"/>
      <c r="J6033"/>
      <c r="K6033"/>
    </row>
    <row r="6034" spans="1:11">
      <c r="A6034"/>
      <c r="B6034"/>
      <c r="C6034"/>
      <c r="D6034"/>
      <c r="E6034"/>
      <c r="F6034"/>
      <c r="G6034"/>
      <c r="H6034"/>
      <c r="I6034"/>
      <c r="J6034"/>
      <c r="K6034"/>
    </row>
    <row r="6035" spans="1:11">
      <c r="A6035"/>
      <c r="B6035"/>
      <c r="C6035"/>
      <c r="D6035"/>
      <c r="E6035"/>
      <c r="F6035"/>
      <c r="G6035"/>
      <c r="H6035"/>
      <c r="I6035"/>
      <c r="J6035"/>
      <c r="K6035"/>
    </row>
    <row r="6036" spans="1:11">
      <c r="A6036"/>
      <c r="B6036"/>
      <c r="C6036"/>
      <c r="D6036"/>
      <c r="E6036"/>
      <c r="F6036"/>
      <c r="G6036"/>
      <c r="H6036"/>
      <c r="I6036"/>
      <c r="J6036"/>
      <c r="K6036"/>
    </row>
    <row r="6037" spans="1:11">
      <c r="A6037"/>
      <c r="B6037"/>
      <c r="C6037"/>
      <c r="D6037"/>
      <c r="E6037"/>
      <c r="F6037"/>
      <c r="G6037"/>
      <c r="H6037"/>
      <c r="I6037"/>
      <c r="J6037"/>
      <c r="K6037"/>
    </row>
    <row r="6038" spans="1:11">
      <c r="A6038"/>
      <c r="B6038"/>
      <c r="C6038"/>
      <c r="D6038"/>
      <c r="E6038"/>
      <c r="F6038"/>
      <c r="G6038"/>
      <c r="H6038"/>
      <c r="I6038"/>
      <c r="J6038"/>
      <c r="K6038"/>
    </row>
    <row r="6039" spans="1:11">
      <c r="A6039"/>
      <c r="B6039"/>
      <c r="C6039"/>
      <c r="D6039"/>
      <c r="E6039"/>
      <c r="F6039"/>
      <c r="G6039"/>
      <c r="H6039"/>
      <c r="I6039"/>
      <c r="J6039"/>
      <c r="K6039"/>
    </row>
    <row r="6040" spans="1:11">
      <c r="A6040"/>
      <c r="B6040"/>
      <c r="C6040"/>
      <c r="D6040"/>
      <c r="E6040"/>
      <c r="F6040"/>
      <c r="G6040"/>
      <c r="H6040"/>
      <c r="I6040"/>
      <c r="J6040"/>
      <c r="K6040"/>
    </row>
    <row r="6041" spans="1:11">
      <c r="A6041"/>
      <c r="B6041"/>
      <c r="C6041"/>
      <c r="D6041"/>
      <c r="E6041"/>
      <c r="F6041"/>
      <c r="G6041"/>
      <c r="H6041"/>
      <c r="I6041"/>
      <c r="J6041"/>
      <c r="K6041"/>
    </row>
    <row r="6042" spans="1:11">
      <c r="A6042"/>
      <c r="B6042"/>
      <c r="C6042"/>
      <c r="D6042"/>
      <c r="E6042"/>
      <c r="F6042"/>
      <c r="G6042"/>
      <c r="H6042"/>
      <c r="I6042"/>
      <c r="J6042"/>
      <c r="K6042"/>
    </row>
    <row r="6043" spans="1:11">
      <c r="A6043"/>
      <c r="B6043"/>
      <c r="C6043"/>
      <c r="D6043"/>
      <c r="E6043"/>
      <c r="F6043"/>
      <c r="G6043"/>
      <c r="H6043"/>
      <c r="I6043"/>
      <c r="J6043"/>
      <c r="K6043"/>
    </row>
    <row r="6044" spans="1:11">
      <c r="A6044"/>
      <c r="B6044"/>
      <c r="C6044"/>
      <c r="D6044"/>
      <c r="E6044"/>
      <c r="F6044"/>
      <c r="G6044"/>
      <c r="H6044"/>
      <c r="I6044"/>
      <c r="J6044"/>
      <c r="K6044"/>
    </row>
    <row r="6045" spans="1:11">
      <c r="A6045"/>
      <c r="B6045"/>
      <c r="C6045"/>
      <c r="D6045"/>
      <c r="E6045"/>
      <c r="F6045"/>
      <c r="G6045"/>
      <c r="H6045"/>
      <c r="I6045"/>
      <c r="J6045"/>
      <c r="K6045"/>
    </row>
    <row r="6046" spans="1:11">
      <c r="A6046"/>
      <c r="B6046"/>
      <c r="C6046"/>
      <c r="D6046"/>
      <c r="E6046"/>
      <c r="F6046"/>
      <c r="G6046"/>
      <c r="H6046"/>
      <c r="I6046"/>
      <c r="J6046"/>
      <c r="K6046"/>
    </row>
    <row r="6047" spans="1:11">
      <c r="A6047"/>
      <c r="B6047"/>
      <c r="C6047"/>
      <c r="D6047"/>
      <c r="E6047"/>
      <c r="F6047"/>
      <c r="G6047"/>
      <c r="H6047"/>
      <c r="I6047"/>
      <c r="J6047"/>
      <c r="K6047"/>
    </row>
    <row r="6048" spans="1:11">
      <c r="A6048"/>
      <c r="B6048"/>
      <c r="C6048"/>
      <c r="D6048"/>
      <c r="E6048"/>
      <c r="F6048"/>
      <c r="G6048"/>
      <c r="H6048"/>
      <c r="I6048"/>
      <c r="J6048"/>
      <c r="K6048"/>
    </row>
    <row r="6049" spans="1:11">
      <c r="A6049"/>
      <c r="B6049"/>
      <c r="C6049"/>
      <c r="D6049"/>
      <c r="E6049"/>
      <c r="F6049"/>
      <c r="G6049"/>
      <c r="H6049"/>
      <c r="I6049"/>
      <c r="J6049"/>
      <c r="K6049"/>
    </row>
    <row r="6050" spans="1:11">
      <c r="A6050"/>
      <c r="B6050"/>
      <c r="C6050"/>
      <c r="D6050"/>
      <c r="E6050"/>
      <c r="F6050"/>
      <c r="G6050"/>
      <c r="H6050"/>
      <c r="I6050"/>
      <c r="J6050"/>
      <c r="K6050"/>
    </row>
    <row r="6051" spans="1:11">
      <c r="A6051"/>
      <c r="B6051"/>
      <c r="C6051"/>
      <c r="D6051"/>
      <c r="E6051"/>
      <c r="F6051"/>
      <c r="G6051"/>
      <c r="H6051"/>
      <c r="I6051"/>
      <c r="J6051"/>
      <c r="K6051"/>
    </row>
    <row r="6052" spans="1:11">
      <c r="A6052"/>
      <c r="B6052"/>
      <c r="C6052"/>
      <c r="D6052"/>
      <c r="E6052"/>
      <c r="F6052"/>
      <c r="G6052"/>
      <c r="H6052"/>
      <c r="I6052"/>
      <c r="J6052"/>
      <c r="K6052"/>
    </row>
    <row r="6053" spans="1:11">
      <c r="A6053"/>
      <c r="B6053"/>
      <c r="C6053"/>
      <c r="D6053"/>
      <c r="E6053"/>
      <c r="F6053"/>
      <c r="G6053"/>
      <c r="H6053"/>
      <c r="I6053"/>
      <c r="J6053"/>
      <c r="K6053"/>
    </row>
    <row r="6054" spans="1:11">
      <c r="A6054"/>
      <c r="B6054"/>
      <c r="C6054"/>
      <c r="D6054"/>
      <c r="E6054"/>
      <c r="F6054"/>
      <c r="G6054"/>
      <c r="H6054"/>
      <c r="I6054"/>
      <c r="J6054"/>
      <c r="K6054"/>
    </row>
    <row r="6055" spans="1:11">
      <c r="A6055"/>
      <c r="B6055"/>
      <c r="C6055"/>
      <c r="D6055"/>
      <c r="E6055"/>
      <c r="F6055"/>
      <c r="G6055"/>
      <c r="H6055"/>
      <c r="I6055"/>
      <c r="J6055"/>
      <c r="K6055"/>
    </row>
    <row r="6056" spans="1:11">
      <c r="A6056"/>
      <c r="B6056"/>
      <c r="C6056"/>
      <c r="D6056"/>
      <c r="E6056"/>
      <c r="F6056"/>
      <c r="G6056"/>
      <c r="H6056"/>
      <c r="I6056"/>
      <c r="J6056"/>
      <c r="K6056"/>
    </row>
    <row r="6057" spans="1:11">
      <c r="A6057"/>
      <c r="B6057"/>
      <c r="C6057"/>
      <c r="D6057"/>
      <c r="E6057"/>
      <c r="F6057"/>
      <c r="G6057"/>
      <c r="H6057"/>
      <c r="I6057"/>
      <c r="J6057"/>
      <c r="K6057"/>
    </row>
    <row r="6058" spans="1:11">
      <c r="A6058"/>
      <c r="B6058"/>
      <c r="C6058"/>
      <c r="D6058"/>
      <c r="E6058"/>
      <c r="F6058"/>
      <c r="G6058"/>
      <c r="H6058"/>
      <c r="I6058"/>
      <c r="J6058"/>
      <c r="K6058"/>
    </row>
    <row r="6059" spans="1:11">
      <c r="A6059"/>
      <c r="B6059"/>
      <c r="C6059"/>
      <c r="D6059"/>
      <c r="E6059"/>
      <c r="F6059"/>
      <c r="G6059"/>
      <c r="H6059"/>
      <c r="I6059"/>
      <c r="J6059"/>
      <c r="K6059"/>
    </row>
    <row r="6060" spans="1:11">
      <c r="A6060"/>
      <c r="B6060"/>
      <c r="C6060"/>
      <c r="D6060"/>
      <c r="E6060"/>
      <c r="F6060"/>
      <c r="G6060"/>
      <c r="H6060"/>
      <c r="I6060"/>
      <c r="J6060"/>
      <c r="K6060"/>
    </row>
    <row r="6061" spans="1:11">
      <c r="A6061"/>
      <c r="B6061"/>
      <c r="C6061"/>
      <c r="D6061"/>
      <c r="E6061"/>
      <c r="F6061"/>
      <c r="G6061"/>
      <c r="H6061"/>
      <c r="I6061"/>
      <c r="J6061"/>
      <c r="K6061"/>
    </row>
    <row r="6062" spans="1:11">
      <c r="A6062"/>
      <c r="B6062"/>
      <c r="C6062"/>
      <c r="D6062"/>
      <c r="E6062"/>
      <c r="F6062"/>
      <c r="G6062"/>
      <c r="H6062"/>
      <c r="I6062"/>
      <c r="J6062"/>
      <c r="K6062"/>
    </row>
    <row r="6063" spans="1:11">
      <c r="A6063"/>
      <c r="B6063"/>
      <c r="C6063"/>
      <c r="D6063"/>
      <c r="E6063"/>
      <c r="F6063"/>
      <c r="G6063"/>
      <c r="H6063"/>
      <c r="I6063"/>
      <c r="J6063"/>
      <c r="K6063"/>
    </row>
    <row r="6064" spans="1:11">
      <c r="A6064"/>
      <c r="B6064"/>
      <c r="C6064"/>
      <c r="D6064"/>
      <c r="E6064"/>
      <c r="F6064"/>
      <c r="G6064"/>
      <c r="H6064"/>
      <c r="I6064"/>
      <c r="J6064"/>
      <c r="K6064"/>
    </row>
    <row r="6065" spans="1:11">
      <c r="A6065"/>
      <c r="B6065"/>
      <c r="C6065"/>
      <c r="D6065"/>
      <c r="E6065"/>
      <c r="F6065"/>
      <c r="G6065"/>
      <c r="H6065"/>
      <c r="I6065"/>
      <c r="J6065"/>
      <c r="K6065"/>
    </row>
    <row r="6066" spans="1:11">
      <c r="A6066"/>
      <c r="B6066"/>
      <c r="C6066"/>
      <c r="D6066"/>
      <c r="E6066"/>
      <c r="F6066"/>
      <c r="G6066"/>
      <c r="H6066"/>
      <c r="I6066"/>
      <c r="J6066"/>
      <c r="K6066"/>
    </row>
    <row r="6067" spans="1:11">
      <c r="A6067"/>
      <c r="B6067"/>
      <c r="C6067"/>
      <c r="D6067"/>
      <c r="E6067"/>
      <c r="F6067"/>
      <c r="G6067"/>
      <c r="H6067"/>
      <c r="I6067"/>
      <c r="J6067"/>
      <c r="K6067"/>
    </row>
    <row r="6068" spans="1:11">
      <c r="A6068"/>
      <c r="B6068"/>
      <c r="C6068"/>
      <c r="D6068"/>
      <c r="E6068"/>
      <c r="F6068"/>
      <c r="G6068"/>
      <c r="H6068"/>
      <c r="I6068"/>
      <c r="J6068"/>
      <c r="K6068"/>
    </row>
    <row r="6069" spans="1:11">
      <c r="A6069"/>
      <c r="B6069"/>
      <c r="C6069"/>
      <c r="D6069"/>
      <c r="E6069"/>
      <c r="F6069"/>
      <c r="G6069"/>
      <c r="H6069"/>
      <c r="I6069"/>
      <c r="J6069"/>
      <c r="K6069"/>
    </row>
    <row r="6070" spans="1:11">
      <c r="A6070"/>
      <c r="B6070"/>
      <c r="C6070"/>
      <c r="D6070"/>
      <c r="E6070"/>
      <c r="F6070"/>
      <c r="G6070"/>
      <c r="H6070"/>
      <c r="I6070"/>
      <c r="J6070"/>
      <c r="K6070"/>
    </row>
    <row r="6071" spans="1:11">
      <c r="A6071"/>
      <c r="B6071"/>
      <c r="C6071"/>
      <c r="D6071"/>
      <c r="E6071"/>
      <c r="F6071"/>
      <c r="G6071"/>
      <c r="H6071"/>
      <c r="I6071"/>
      <c r="J6071"/>
      <c r="K6071"/>
    </row>
    <row r="6072" spans="1:11">
      <c r="A6072"/>
      <c r="B6072"/>
      <c r="C6072"/>
      <c r="D6072"/>
      <c r="E6072"/>
      <c r="F6072"/>
      <c r="G6072"/>
      <c r="H6072"/>
      <c r="I6072"/>
      <c r="J6072"/>
      <c r="K6072"/>
    </row>
    <row r="6073" spans="1:11">
      <c r="A6073"/>
      <c r="B6073"/>
      <c r="C6073"/>
      <c r="D6073"/>
      <c r="E6073"/>
      <c r="F6073"/>
      <c r="G6073"/>
      <c r="H6073"/>
      <c r="I6073"/>
      <c r="J6073"/>
      <c r="K6073"/>
    </row>
    <row r="6074" spans="1:11">
      <c r="A6074"/>
      <c r="B6074"/>
      <c r="C6074"/>
      <c r="D6074"/>
      <c r="E6074"/>
      <c r="F6074"/>
      <c r="G6074"/>
      <c r="H6074"/>
      <c r="I6074"/>
      <c r="J6074"/>
      <c r="K6074"/>
    </row>
    <row r="6075" spans="1:11">
      <c r="A6075"/>
      <c r="B6075"/>
      <c r="C6075"/>
      <c r="D6075"/>
      <c r="E6075"/>
      <c r="F6075"/>
      <c r="G6075"/>
      <c r="H6075"/>
      <c r="I6075"/>
      <c r="J6075"/>
      <c r="K6075"/>
    </row>
    <row r="6076" spans="1:11">
      <c r="A6076"/>
      <c r="B6076"/>
      <c r="C6076"/>
      <c r="D6076"/>
      <c r="E6076"/>
      <c r="F6076"/>
      <c r="G6076"/>
      <c r="H6076"/>
      <c r="I6076"/>
      <c r="J6076"/>
      <c r="K6076"/>
    </row>
    <row r="6077" spans="1:11">
      <c r="A6077"/>
      <c r="B6077"/>
      <c r="C6077"/>
      <c r="D6077"/>
      <c r="E6077"/>
      <c r="F6077"/>
      <c r="G6077"/>
      <c r="H6077"/>
      <c r="I6077"/>
      <c r="J6077"/>
      <c r="K6077"/>
    </row>
    <row r="6078" spans="1:11">
      <c r="A6078"/>
      <c r="B6078"/>
      <c r="C6078"/>
      <c r="D6078"/>
      <c r="E6078"/>
      <c r="F6078"/>
      <c r="G6078"/>
      <c r="H6078"/>
      <c r="I6078"/>
      <c r="J6078"/>
      <c r="K6078"/>
    </row>
    <row r="6079" spans="1:11">
      <c r="A6079"/>
      <c r="B6079"/>
      <c r="C6079"/>
      <c r="D6079"/>
      <c r="E6079"/>
      <c r="F6079"/>
      <c r="G6079"/>
      <c r="H6079"/>
      <c r="I6079"/>
      <c r="J6079"/>
      <c r="K6079"/>
    </row>
    <row r="6080" spans="1:11">
      <c r="A6080"/>
      <c r="B6080"/>
      <c r="C6080"/>
      <c r="D6080"/>
      <c r="E6080"/>
      <c r="F6080"/>
      <c r="G6080"/>
      <c r="H6080"/>
      <c r="I6080"/>
      <c r="J6080"/>
      <c r="K6080"/>
    </row>
    <row r="6081" spans="1:11">
      <c r="A6081"/>
      <c r="B6081"/>
      <c r="C6081"/>
      <c r="D6081"/>
      <c r="E6081"/>
      <c r="F6081"/>
      <c r="G6081"/>
      <c r="H6081"/>
      <c r="I6081"/>
      <c r="J6081"/>
      <c r="K6081"/>
    </row>
    <row r="6082" spans="1:11">
      <c r="A6082"/>
      <c r="B6082"/>
      <c r="C6082"/>
      <c r="D6082"/>
      <c r="E6082"/>
      <c r="F6082"/>
      <c r="G6082"/>
      <c r="H6082"/>
      <c r="I6082"/>
      <c r="J6082"/>
      <c r="K6082"/>
    </row>
    <row r="6083" spans="1:11">
      <c r="A6083"/>
      <c r="B6083"/>
      <c r="C6083"/>
      <c r="D6083"/>
      <c r="E6083"/>
      <c r="F6083"/>
      <c r="G6083"/>
      <c r="H6083"/>
      <c r="I6083"/>
      <c r="J6083"/>
      <c r="K6083"/>
    </row>
    <row r="6084" spans="1:11">
      <c r="A6084"/>
      <c r="B6084"/>
      <c r="C6084"/>
      <c r="D6084"/>
      <c r="E6084"/>
      <c r="F6084"/>
      <c r="G6084"/>
      <c r="H6084"/>
      <c r="I6084"/>
      <c r="J6084"/>
      <c r="K6084"/>
    </row>
    <row r="6085" spans="1:11">
      <c r="A6085"/>
      <c r="B6085"/>
      <c r="C6085"/>
      <c r="D6085"/>
      <c r="E6085"/>
      <c r="F6085"/>
      <c r="G6085"/>
      <c r="H6085"/>
      <c r="I6085"/>
      <c r="J6085"/>
      <c r="K6085"/>
    </row>
    <row r="6086" spans="1:11">
      <c r="A6086"/>
      <c r="B6086"/>
      <c r="C6086"/>
      <c r="D6086"/>
      <c r="E6086"/>
      <c r="F6086"/>
      <c r="G6086"/>
      <c r="H6086"/>
      <c r="I6086"/>
      <c r="J6086"/>
      <c r="K6086"/>
    </row>
    <row r="6087" spans="1:11">
      <c r="A6087"/>
      <c r="B6087"/>
      <c r="C6087"/>
      <c r="D6087"/>
      <c r="E6087"/>
      <c r="F6087"/>
      <c r="G6087"/>
      <c r="H6087"/>
      <c r="I6087"/>
      <c r="J6087"/>
      <c r="K6087"/>
    </row>
    <row r="6088" spans="1:11">
      <c r="A6088"/>
      <c r="B6088"/>
      <c r="C6088"/>
      <c r="D6088"/>
      <c r="E6088"/>
      <c r="F6088"/>
      <c r="G6088"/>
      <c r="H6088"/>
      <c r="I6088"/>
      <c r="J6088"/>
      <c r="K6088"/>
    </row>
    <row r="6089" spans="1:11">
      <c r="A6089"/>
      <c r="B6089"/>
      <c r="C6089"/>
      <c r="D6089"/>
      <c r="E6089"/>
      <c r="F6089"/>
      <c r="G6089"/>
      <c r="H6089"/>
      <c r="I6089"/>
      <c r="J6089"/>
      <c r="K6089"/>
    </row>
    <row r="6090" spans="1:11">
      <c r="A6090"/>
      <c r="B6090"/>
      <c r="C6090"/>
      <c r="D6090"/>
      <c r="E6090"/>
      <c r="F6090"/>
      <c r="G6090"/>
      <c r="H6090"/>
      <c r="I6090"/>
      <c r="J6090"/>
      <c r="K6090"/>
    </row>
    <row r="6091" spans="1:11">
      <c r="A6091"/>
      <c r="B6091"/>
      <c r="C6091"/>
      <c r="D6091"/>
      <c r="E6091"/>
      <c r="F6091"/>
      <c r="G6091"/>
      <c r="H6091"/>
      <c r="I6091"/>
      <c r="J6091"/>
      <c r="K6091"/>
    </row>
    <row r="6092" spans="1:11">
      <c r="A6092"/>
      <c r="B6092"/>
      <c r="C6092"/>
      <c r="D6092"/>
      <c r="E6092"/>
      <c r="F6092"/>
      <c r="G6092"/>
      <c r="H6092"/>
      <c r="I6092"/>
      <c r="J6092"/>
      <c r="K6092"/>
    </row>
    <row r="6093" spans="1:11">
      <c r="A6093"/>
      <c r="B6093"/>
      <c r="C6093"/>
      <c r="D6093"/>
      <c r="E6093"/>
      <c r="F6093"/>
      <c r="G6093"/>
      <c r="H6093"/>
      <c r="I6093"/>
      <c r="J6093"/>
      <c r="K6093"/>
    </row>
    <row r="6094" spans="1:11">
      <c r="A6094"/>
      <c r="B6094"/>
      <c r="C6094"/>
      <c r="D6094"/>
      <c r="E6094"/>
      <c r="F6094"/>
      <c r="G6094"/>
      <c r="H6094"/>
      <c r="I6094"/>
      <c r="J6094"/>
      <c r="K6094"/>
    </row>
    <row r="6095" spans="1:11">
      <c r="A6095"/>
      <c r="B6095"/>
      <c r="C6095"/>
      <c r="D6095"/>
      <c r="E6095"/>
      <c r="F6095"/>
      <c r="G6095"/>
      <c r="H6095"/>
      <c r="I6095"/>
      <c r="J6095"/>
      <c r="K6095"/>
    </row>
    <row r="6096" spans="1:11">
      <c r="A6096"/>
      <c r="B6096"/>
      <c r="C6096"/>
      <c r="D6096"/>
      <c r="E6096"/>
      <c r="F6096"/>
      <c r="G6096"/>
      <c r="H6096"/>
      <c r="I6096"/>
      <c r="J6096"/>
      <c r="K6096"/>
    </row>
    <row r="6097" spans="1:11">
      <c r="A6097"/>
      <c r="B6097"/>
      <c r="C6097"/>
      <c r="D6097"/>
      <c r="E6097"/>
      <c r="F6097"/>
      <c r="G6097"/>
      <c r="H6097"/>
      <c r="I6097"/>
      <c r="J6097"/>
      <c r="K6097"/>
    </row>
    <row r="6098" spans="1:11">
      <c r="A6098"/>
      <c r="B6098"/>
      <c r="C6098"/>
      <c r="D6098"/>
      <c r="E6098"/>
      <c r="F6098"/>
      <c r="G6098"/>
      <c r="H6098"/>
      <c r="I6098"/>
      <c r="J6098"/>
      <c r="K6098"/>
    </row>
    <row r="6099" spans="1:11">
      <c r="A6099"/>
      <c r="B6099"/>
      <c r="C6099"/>
      <c r="D6099"/>
      <c r="E6099"/>
      <c r="F6099"/>
      <c r="G6099"/>
      <c r="H6099"/>
      <c r="I6099"/>
      <c r="J6099"/>
      <c r="K6099"/>
    </row>
    <row r="6100" spans="1:11">
      <c r="A6100"/>
      <c r="B6100"/>
      <c r="C6100"/>
      <c r="D6100"/>
      <c r="E6100"/>
      <c r="F6100"/>
      <c r="G6100"/>
      <c r="H6100"/>
      <c r="I6100"/>
      <c r="J6100"/>
      <c r="K6100"/>
    </row>
    <row r="6101" spans="1:11">
      <c r="A6101"/>
      <c r="B6101"/>
      <c r="C6101"/>
      <c r="D6101"/>
      <c r="E6101"/>
      <c r="F6101"/>
      <c r="G6101"/>
      <c r="H6101"/>
      <c r="I6101"/>
      <c r="J6101"/>
      <c r="K6101"/>
    </row>
    <row r="6102" spans="1:11">
      <c r="A6102"/>
      <c r="B6102"/>
      <c r="C6102"/>
      <c r="D6102"/>
      <c r="E6102"/>
      <c r="F6102"/>
      <c r="G6102"/>
      <c r="H6102"/>
      <c r="I6102"/>
      <c r="J6102"/>
      <c r="K6102"/>
    </row>
    <row r="6103" spans="1:11">
      <c r="A6103"/>
      <c r="B6103"/>
      <c r="C6103"/>
      <c r="D6103"/>
      <c r="E6103"/>
      <c r="F6103"/>
      <c r="G6103"/>
      <c r="H6103"/>
      <c r="I6103"/>
      <c r="J6103"/>
      <c r="K6103"/>
    </row>
    <row r="6104" spans="1:11">
      <c r="A6104"/>
      <c r="B6104"/>
      <c r="C6104"/>
      <c r="D6104"/>
      <c r="E6104"/>
      <c r="F6104"/>
      <c r="G6104"/>
      <c r="H6104"/>
      <c r="I6104"/>
      <c r="J6104"/>
      <c r="K6104"/>
    </row>
    <row r="6105" spans="1:11">
      <c r="A6105"/>
      <c r="B6105"/>
      <c r="C6105"/>
      <c r="D6105"/>
      <c r="E6105"/>
      <c r="F6105"/>
      <c r="G6105"/>
      <c r="H6105"/>
      <c r="I6105"/>
      <c r="J6105"/>
      <c r="K6105"/>
    </row>
    <row r="6106" spans="1:11">
      <c r="A6106"/>
      <c r="B6106"/>
      <c r="C6106"/>
      <c r="D6106"/>
      <c r="E6106"/>
      <c r="F6106"/>
      <c r="G6106"/>
      <c r="H6106"/>
      <c r="I6106"/>
      <c r="J6106"/>
      <c r="K6106"/>
    </row>
    <row r="6107" spans="1:11">
      <c r="A6107"/>
      <c r="B6107"/>
      <c r="C6107"/>
      <c r="D6107"/>
      <c r="E6107"/>
      <c r="F6107"/>
      <c r="G6107"/>
      <c r="H6107"/>
      <c r="I6107"/>
      <c r="J6107"/>
      <c r="K6107"/>
    </row>
    <row r="6108" spans="1:11">
      <c r="A6108"/>
      <c r="B6108"/>
      <c r="C6108"/>
      <c r="D6108"/>
      <c r="E6108"/>
      <c r="F6108"/>
      <c r="G6108"/>
      <c r="H6108"/>
      <c r="I6108"/>
      <c r="J6108"/>
      <c r="K6108"/>
    </row>
    <row r="6109" spans="1:11">
      <c r="A6109"/>
      <c r="B6109"/>
      <c r="C6109"/>
      <c r="D6109"/>
      <c r="E6109"/>
      <c r="F6109"/>
      <c r="G6109"/>
      <c r="H6109"/>
      <c r="I6109"/>
      <c r="J6109"/>
      <c r="K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I210"/>
  <sheetViews>
    <sheetView tabSelected="1" workbookViewId="0">
      <selection activeCell="G27" sqref="G27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2" max="14" width="10.140625" customWidth="1"/>
  </cols>
  <sheetData>
    <row r="1" spans="1:9">
      <c r="A1" s="11" t="s">
        <v>3768</v>
      </c>
    </row>
    <row r="2" spans="1:9">
      <c r="A2" s="12" t="s">
        <v>3332</v>
      </c>
      <c r="B2" s="13"/>
      <c r="C2" s="8" t="s">
        <v>3769</v>
      </c>
    </row>
    <row r="3" spans="1:9">
      <c r="A3" s="15" t="str" cm="1">
        <f t="array" ref="A3:A10">_xlfn.UNIQUE(_xlfn._xlws.FILTER([1]___2022___!$D$1:$D$65536,[1]___2022___!$K$1:$K$65536=A2))</f>
        <v>SSDSC2KB960GZ01</v>
      </c>
      <c r="B3" s="15">
        <f t="shared" ref="B3:B7" si="0">LEN(C3)-LEN(SUBSTITUTE(C3,",",""))+1</f>
        <v>8</v>
      </c>
      <c r="C3" s="7" t="str" cm="1">
        <f t="array" ref="C3">_xlfn.TEXTJOIN(", ",,_xlfn._xlws.FILTER([1]___2022___!$E$1:$E$65536,(([1]___2022___!$D$1:$D$65536=$A3)*([1]___2022___!$K$1:$K$65536=$A$2)),"----------"))</f>
        <v>BTYI201305SL960CGN, BTYI201305T5960CGN, BTYI201305SK960CGN, BTYI204307SZ960CGN, BTYI204307TP960CGN, BTYI204307SX960CGN, BTYI204400KS960CGN, BTYI204307SY960CGN</v>
      </c>
    </row>
    <row r="4" spans="1:9">
      <c r="A4" s="15" t="str">
        <v>M393A4K40EB3-CWE</v>
      </c>
      <c r="B4" s="15">
        <f t="shared" si="0"/>
        <v>4</v>
      </c>
      <c r="C4" s="7" t="str" cm="1">
        <f t="array" ref="C4">_xlfn.TEXTJOIN(", ",,_xlfn._xlws.FILTER([1]___2022___!$E$1:$E$65536,(([1]___2022___!$D$1:$D$65536=$A4)*([1]___2022___!$K$1:$K$65536=$A$2)),"----------"))</f>
        <v>SNL824, SNL825, SNL826, SNL827</v>
      </c>
    </row>
    <row r="5" spans="1:9">
      <c r="A5" s="15" t="str">
        <v>RSC-RR1U-E16</v>
      </c>
      <c r="B5" s="15">
        <f t="shared" si="0"/>
        <v>1</v>
      </c>
      <c r="C5" s="7" t="str" cm="1">
        <f t="array" ref="C5">_xlfn.TEXTJOIN(", ",,_xlfn._xlws.FILTER([1]___2022___!$E$1:$E$65536,(([1]___2022___!$D$1:$D$65536=$A5)*([1]___2022___!$K$1:$K$65536=$A$2)),"----------"))</f>
        <v>VR221S000661</v>
      </c>
    </row>
    <row r="6" spans="1:9">
      <c r="A6" s="15" t="str">
        <v>PSE-ROM740P-0048</v>
      </c>
      <c r="B6" s="15">
        <f t="shared" si="0"/>
        <v>1</v>
      </c>
      <c r="C6" s="7" t="str" cm="1">
        <f t="array" ref="C6">_xlfn.TEXTJOIN(", ",,_xlfn._xlws.FILTER([1]___2022___!$E$1:$E$65536,(([1]___2022___!$D$1:$D$65536=$A6)*([1]___2022___!$K$1:$K$65536=$A$2)),"----------"))</f>
        <v>9KI3196P20036</v>
      </c>
    </row>
    <row r="7" spans="1:9">
      <c r="A7" s="15" t="str">
        <v>MBD-H12SSL-C-O</v>
      </c>
      <c r="B7" s="15">
        <f t="shared" si="0"/>
        <v>1</v>
      </c>
      <c r="C7" s="7" t="str" cm="1">
        <f t="array" ref="C7">_xlfn.TEXTJOIN(", ",,_xlfn._xlws.FILTER([1]___2022___!$E$1:$E$65536,(([1]___2022___!$D$1:$D$65536=$A7)*([1]___2022___!$K$1:$K$65536=$A$2)),"----------"))</f>
        <v>WM214S604468</v>
      </c>
    </row>
    <row r="8" spans="1:9">
      <c r="A8" s="15" t="str">
        <v>CSE-113MFAC2-R606CB</v>
      </c>
      <c r="B8" s="15">
        <f>LEN(C8)-LEN(SUBSTITUTE(C8,",",""))+1</f>
        <v>1</v>
      </c>
      <c r="C8" s="7" t="str" cm="1">
        <f t="array" ref="C8">_xlfn.TEXTJOIN(", ",,_xlfn._xlws.FILTER([1]___2022___!$E$1:$E$65536,(([1]___2022___!$D$1:$D$65536=$A8)*([1]___2022___!$K$1:$K$65536=$A$2)),"----------"))</f>
        <v>C113MLK51P40189</v>
      </c>
    </row>
    <row r="9" spans="1:9">
      <c r="A9" s="15" t="str">
        <v>PWS-606P-1R</v>
      </c>
      <c r="B9" s="15">
        <f>LEN(C9)-LEN(SUBSTITUTE(C9,",",""))+1</f>
        <v>2</v>
      </c>
      <c r="C9" s="7" t="str" cm="1">
        <f t="array" ref="C9">_xlfn.TEXTJOIN(", ",,_xlfn._xlws.FILTER([1]___2022___!$E$1:$E$65536,(([1]___2022___!$D$1:$D$65536=$A9)*([1]___2022___!$K$1:$K$65536=$A$2)),"----------"))</f>
        <v>P606PCL46PB1332, P606PCL46PB1111</v>
      </c>
    </row>
    <row r="10" spans="1:9">
      <c r="A10" s="15" t="str">
        <v>BPN-SAS3-113A-N2</v>
      </c>
      <c r="B10" s="15">
        <f t="shared" ref="B10:B16" si="1">LEN(C10)-LEN(SUBSTITUTE(C10,",",""))+1</f>
        <v>1</v>
      </c>
      <c r="C10" s="7" t="str" cm="1">
        <f t="array" ref="C10">_xlfn.TEXTJOIN(", ",,_xlfn._xlws.FILTER([1]___2022___!$E$1:$E$65536,(([1]___2022___!$D$1:$D$65536=$A10)*([1]___2022___!$K$1:$K$65536=$A$2)),"----------"))</f>
        <v>PB21BS006291</v>
      </c>
    </row>
    <row r="11" spans="1:9">
      <c r="A11" s="15"/>
      <c r="B11" s="15">
        <f t="shared" si="1"/>
        <v>1</v>
      </c>
      <c r="C11" s="7" t="str" cm="1">
        <f t="array" ref="C11">_xlfn.TEXTJOIN(", ",,_xlfn._xlws.FILTER([1]___2022___!$E$1:$E$65536,(([1]___2022___!$D$1:$D$65536=$A11)*([1]___2022___!$K$1:$K$65536=$A$2)),"----------"))</f>
        <v>----------</v>
      </c>
    </row>
    <row r="12" spans="1:9">
      <c r="A12" s="15"/>
      <c r="B12" s="15">
        <f t="shared" si="1"/>
        <v>1</v>
      </c>
      <c r="C12" s="7" t="str" cm="1">
        <f t="array" ref="C12">_xlfn.TEXTJOIN(", ",,_xlfn._xlws.FILTER([1]___2022___!$E$1:$E$65536,(([1]___2022___!$D$1:$D$65536=$A12)*([1]___2022___!$K$1:$K$65536=$A$2)),"----------"))</f>
        <v>----------</v>
      </c>
    </row>
    <row r="13" spans="1:9">
      <c r="A13" s="15"/>
      <c r="B13" s="15">
        <f t="shared" si="1"/>
        <v>1</v>
      </c>
      <c r="C13" s="7" t="str" cm="1">
        <f t="array" ref="C13">_xlfn.TEXTJOIN(", ",,_xlfn._xlws.FILTER([1]___2022___!$E$1:$E$65536,(([1]___2022___!$D$1:$D$65536=$A13)*([1]___2022___!$K$1:$K$65536=$A$2)),"----------"))</f>
        <v>----------</v>
      </c>
    </row>
    <row r="14" spans="1:9">
      <c r="A14" s="15"/>
      <c r="B14" s="15">
        <f t="shared" si="1"/>
        <v>1</v>
      </c>
      <c r="C14" s="7" t="str" cm="1">
        <f t="array" ref="C14">_xlfn.TEXTJOIN(", ",,_xlfn._xlws.FILTER([1]___2022___!$E$1:$E$65536,(([1]___2022___!$D$1:$D$65536=$A14)*([1]___2022___!$K$1:$K$65536=$A$2)),"----------"))</f>
        <v>----------</v>
      </c>
      <c r="I14" s="50"/>
    </row>
    <row r="15" spans="1:9">
      <c r="A15" s="15"/>
      <c r="B15" s="15">
        <f t="shared" si="1"/>
        <v>1</v>
      </c>
      <c r="C15" s="7" t="str" cm="1">
        <f t="array" ref="C15">_xlfn.TEXTJOIN(", ",,_xlfn._xlws.FILTER([1]___2022___!$E$1:$E$65536,(([1]___2022___!$D$1:$D$65536=$A15)*([1]___2022___!$K$1:$K$65536=$A$2)),"----------"))</f>
        <v>----------</v>
      </c>
    </row>
    <row r="16" spans="1:9">
      <c r="A16" s="15"/>
      <c r="B16" s="15">
        <f t="shared" si="1"/>
        <v>1</v>
      </c>
      <c r="C16" s="7" t="str" cm="1">
        <f t="array" ref="C16">_xlfn.TEXTJOIN(", ",,_xlfn._xlws.FILTER([1]___2022___!$E$1:$E$65536,(([1]___2022___!$D$1:$D$65536=$A16)*([1]___2022___!$K$1:$K$65536=$A$2)),"----------"))</f>
        <v>----------</v>
      </c>
    </row>
    <row r="17" spans="1:9" ht="18.75">
      <c r="A17" s="16"/>
      <c r="B17" s="16"/>
      <c r="C17" s="10"/>
      <c r="I17" t="s">
        <v>3352</v>
      </c>
    </row>
    <row r="18" spans="1:9">
      <c r="A18" s="12"/>
      <c r="B18" s="13"/>
      <c r="C18" s="8"/>
      <c r="I18" s="7" t="str" cm="1">
        <f t="array" ref="I18">_xlfn.TEXTJOIN(", ",,_xlfn._xlws.FILTER(Tabela1[[#All],[NUMER SERYJNY]],((Tabela1[[#All],[NAZWA]]=$A18)*(Tabela1[[#All],[KOMENTARZ]]=$A15)),"----------"))</f>
        <v/>
      </c>
    </row>
    <row r="19" spans="1:9">
      <c r="A19" s="14"/>
      <c r="B19" s="14"/>
      <c r="C19" s="9"/>
    </row>
    <row r="20" spans="1:9">
      <c r="A20" s="15"/>
      <c r="B20" s="15"/>
      <c r="C20" s="7"/>
    </row>
    <row r="22" spans="1:9">
      <c r="A22" s="12"/>
      <c r="B22" s="13"/>
      <c r="C22" s="8"/>
    </row>
    <row r="23" spans="1:9">
      <c r="A23" s="14"/>
      <c r="B23" s="14"/>
      <c r="C23" s="9"/>
    </row>
    <row r="24" spans="1:9">
      <c r="A24" s="15"/>
      <c r="B24" s="15"/>
      <c r="C24" s="7"/>
    </row>
    <row r="25" spans="1:9">
      <c r="A25" s="15"/>
      <c r="B25" s="15"/>
      <c r="C25" s="7"/>
    </row>
    <row r="26" spans="1:9">
      <c r="A26" s="15"/>
      <c r="B26" s="15"/>
      <c r="C26" s="7"/>
    </row>
    <row r="27" spans="1:9">
      <c r="A27" s="15"/>
      <c r="B27" s="15"/>
      <c r="C27" s="7"/>
    </row>
    <row r="28" spans="1:9">
      <c r="A28" s="15"/>
      <c r="B28" s="15"/>
      <c r="C28" s="7"/>
    </row>
    <row r="29" spans="1:9">
      <c r="A29" s="15"/>
      <c r="B29" s="15"/>
      <c r="C29" s="7"/>
    </row>
    <row r="30" spans="1:9">
      <c r="A30" s="15"/>
      <c r="B30" s="15"/>
      <c r="C30" s="7"/>
    </row>
    <row r="31" spans="1:9">
      <c r="A31" s="15"/>
      <c r="B31" s="15"/>
      <c r="C31" s="7"/>
    </row>
    <row r="32" spans="1:9">
      <c r="A32" s="15"/>
      <c r="B32" s="15"/>
      <c r="C32" s="7"/>
    </row>
    <row r="33" spans="1:3">
      <c r="A33" s="15"/>
      <c r="B33" s="15"/>
      <c r="C33" s="7"/>
    </row>
    <row r="34" spans="1:3">
      <c r="A34" s="15"/>
      <c r="B34" s="15"/>
      <c r="C34" s="7"/>
    </row>
    <row r="35" spans="1:3">
      <c r="A35" s="15"/>
      <c r="B35" s="15"/>
      <c r="C35" s="7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605" priority="35"/>
  </conditionalFormatting>
  <conditionalFormatting sqref="C114 C130 C146 C162 C178:C179 C195 C211:C1048576 C1:C17">
    <cfRule type="duplicateValues" dxfId="604" priority="34"/>
  </conditionalFormatting>
  <conditionalFormatting sqref="C49">
    <cfRule type="duplicateValues" dxfId="603" priority="33"/>
  </conditionalFormatting>
  <conditionalFormatting sqref="C65">
    <cfRule type="duplicateValues" dxfId="602" priority="32"/>
  </conditionalFormatting>
  <conditionalFormatting sqref="C81">
    <cfRule type="duplicateValues" dxfId="601" priority="31"/>
  </conditionalFormatting>
  <conditionalFormatting sqref="C97:C98">
    <cfRule type="duplicateValues" dxfId="600" priority="30"/>
  </conditionalFormatting>
  <conditionalFormatting sqref="C18">
    <cfRule type="duplicateValues" dxfId="599" priority="29"/>
  </conditionalFormatting>
  <conditionalFormatting sqref="C46:C48">
    <cfRule type="duplicateValues" dxfId="598" priority="28"/>
  </conditionalFormatting>
  <conditionalFormatting sqref="C50 C62:C64">
    <cfRule type="duplicateValues" dxfId="597" priority="27"/>
  </conditionalFormatting>
  <conditionalFormatting sqref="C66 C78:C80">
    <cfRule type="duplicateValues" dxfId="596" priority="26"/>
  </conditionalFormatting>
  <conditionalFormatting sqref="C82 C94:C96">
    <cfRule type="duplicateValues" dxfId="595" priority="25"/>
  </conditionalFormatting>
  <conditionalFormatting sqref="C99">
    <cfRule type="duplicateValues" dxfId="594" priority="24"/>
  </conditionalFormatting>
  <conditionalFormatting sqref="C115">
    <cfRule type="duplicateValues" dxfId="593" priority="23"/>
  </conditionalFormatting>
  <conditionalFormatting sqref="C131">
    <cfRule type="duplicateValues" dxfId="592" priority="22"/>
  </conditionalFormatting>
  <conditionalFormatting sqref="C147 C158:C161">
    <cfRule type="duplicateValues" dxfId="591" priority="21"/>
  </conditionalFormatting>
  <conditionalFormatting sqref="C163 C174:C177">
    <cfRule type="duplicateValues" dxfId="590" priority="20"/>
  </conditionalFormatting>
  <conditionalFormatting sqref="C180 C191:C194">
    <cfRule type="duplicateValues" dxfId="589" priority="19"/>
  </conditionalFormatting>
  <conditionalFormatting sqref="C196 C207:C210">
    <cfRule type="duplicateValues" dxfId="588" priority="18"/>
  </conditionalFormatting>
  <conditionalFormatting sqref="C19:C20">
    <cfRule type="duplicateValues" dxfId="587" priority="17"/>
  </conditionalFormatting>
  <conditionalFormatting sqref="C37:C45">
    <cfRule type="duplicateValues" dxfId="586" priority="16"/>
  </conditionalFormatting>
  <conditionalFormatting sqref="C51:C61">
    <cfRule type="duplicateValues" dxfId="585" priority="15"/>
  </conditionalFormatting>
  <conditionalFormatting sqref="C67:C77">
    <cfRule type="duplicateValues" dxfId="584" priority="14"/>
  </conditionalFormatting>
  <conditionalFormatting sqref="C83:C93">
    <cfRule type="duplicateValues" dxfId="583" priority="13"/>
  </conditionalFormatting>
  <conditionalFormatting sqref="C100:C109">
    <cfRule type="duplicateValues" dxfId="582" priority="12"/>
  </conditionalFormatting>
  <conditionalFormatting sqref="C116:C125">
    <cfRule type="duplicateValues" dxfId="581" priority="11"/>
  </conditionalFormatting>
  <conditionalFormatting sqref="C132:C141">
    <cfRule type="duplicateValues" dxfId="580" priority="10"/>
  </conditionalFormatting>
  <conditionalFormatting sqref="C148:C157">
    <cfRule type="duplicateValues" dxfId="579" priority="9"/>
  </conditionalFormatting>
  <conditionalFormatting sqref="C164:C173">
    <cfRule type="duplicateValues" dxfId="578" priority="8"/>
  </conditionalFormatting>
  <conditionalFormatting sqref="C181:C190">
    <cfRule type="duplicateValues" dxfId="577" priority="7"/>
  </conditionalFormatting>
  <conditionalFormatting sqref="C197:C206">
    <cfRule type="duplicateValues" dxfId="576" priority="6"/>
  </conditionalFormatting>
  <conditionalFormatting sqref="C142:C145">
    <cfRule type="duplicateValues" dxfId="575" priority="5"/>
  </conditionalFormatting>
  <conditionalFormatting sqref="C126:C129">
    <cfRule type="duplicateValues" dxfId="574" priority="4"/>
  </conditionalFormatting>
  <conditionalFormatting sqref="C110:C113">
    <cfRule type="duplicateValues" dxfId="573" priority="3"/>
  </conditionalFormatting>
  <conditionalFormatting sqref="C21:C36">
    <cfRule type="duplicateValues" dxfId="572" priority="2"/>
  </conditionalFormatting>
  <conditionalFormatting sqref="I18">
    <cfRule type="duplicateValues" dxfId="57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wartosc">
                <anchor moveWithCells="1" sizeWithCells="1">
                  <from>
                    <xdr:col>8</xdr:col>
                    <xdr:colOff>28575</xdr:colOff>
                    <xdr:row>2</xdr:row>
                    <xdr:rowOff>28575</xdr:rowOff>
                  </from>
                  <to>
                    <xdr:col>8</xdr:col>
                    <xdr:colOff>1876425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topLeftCell="B1" workbookViewId="0">
      <selection activeCell="E13" sqref="E13"/>
    </sheetView>
  </sheetViews>
  <sheetFormatPr defaultRowHeight="21.75"/>
  <cols>
    <col min="1" max="1" width="1.42578125" customWidth="1"/>
    <col min="2" max="2" width="14.28515625" style="58" customWidth="1"/>
    <col min="3" max="3" width="32.85546875" style="61" customWidth="1"/>
    <col min="4" max="4" width="30.85546875" customWidth="1"/>
    <col min="5" max="5" width="32.85546875" customWidth="1"/>
    <col min="6" max="6" width="34" customWidth="1"/>
    <col min="7" max="7" width="40.140625" style="58" customWidth="1"/>
    <col min="8" max="8" width="29.7109375" style="58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0" t="s">
        <v>3770</v>
      </c>
      <c r="B1" s="71"/>
      <c r="C1" s="51" t="s">
        <v>3771</v>
      </c>
    </row>
    <row r="2" spans="1:10" ht="15" customHeight="1">
      <c r="A2" s="72" t="s">
        <v>3772</v>
      </c>
      <c r="B2" s="73"/>
      <c r="C2" s="52" t="str">
        <f>"COMETA "&amp;F4</f>
        <v>COMETA RS1102V6</v>
      </c>
      <c r="D2" s="8"/>
    </row>
    <row r="3" spans="1:10" ht="15" customHeight="1" thickBot="1">
      <c r="A3" s="74"/>
      <c r="B3" s="75"/>
      <c r="C3" s="53" t="str">
        <f>"("&amp;F4&amp;")"</f>
        <v>(RS1102V6)</v>
      </c>
      <c r="D3" s="8"/>
    </row>
    <row r="4" spans="1:10" ht="48.75" customHeight="1" thickBot="1">
      <c r="A4" s="76" t="str">
        <f>"("&amp;F6&amp;")"</f>
        <v>(C113MLK51P40189)</v>
      </c>
      <c r="B4" s="77"/>
      <c r="C4" s="78"/>
      <c r="D4" s="9"/>
      <c r="E4" t="s">
        <v>3773</v>
      </c>
      <c r="F4" t="s">
        <v>3774</v>
      </c>
    </row>
    <row r="5" spans="1:10" ht="3.75" customHeight="1">
      <c r="A5" s="54"/>
      <c r="B5" s="54"/>
      <c r="C5" s="55"/>
      <c r="D5" s="9"/>
    </row>
    <row r="6" spans="1:10" ht="17.25" customHeight="1">
      <c r="B6" s="56" t="str" cm="1">
        <f t="array" ref="B6:C24">_xlfn._xlws.FILTER([1]___2022___!$D$1:$E$65536,[1]___2022___!$K$1:$K$65536=TEST!A2)</f>
        <v>SSDSC2KB960GZ01</v>
      </c>
      <c r="C6" s="57" t="str">
        <v>BTYI201305SL960CGN</v>
      </c>
      <c r="D6" s="7"/>
      <c r="E6" t="s">
        <v>3775</v>
      </c>
      <c r="F6" s="63" t="s">
        <v>3352</v>
      </c>
    </row>
    <row r="7" spans="1:10" ht="17.25" customHeight="1">
      <c r="B7" s="56" t="str">
        <v>SSDSC2KB960GZ01</v>
      </c>
      <c r="C7" s="57" t="str">
        <v>BTYI201305T5960CGN</v>
      </c>
      <c r="D7" s="7"/>
    </row>
    <row r="8" spans="1:10" ht="17.25" customHeight="1">
      <c r="B8" s="56" t="str">
        <v>SSDSC2KB960GZ01</v>
      </c>
      <c r="C8" s="57" t="str">
        <v>BTYI201305SK960CGN</v>
      </c>
      <c r="D8" s="7"/>
      <c r="G8" s="58" t="s">
        <v>3776</v>
      </c>
      <c r="H8" s="58" t="s">
        <v>3777</v>
      </c>
    </row>
    <row r="9" spans="1:10" ht="17.25" customHeight="1">
      <c r="B9" s="56" t="str">
        <v>SSDSC2KB960GZ01</v>
      </c>
      <c r="C9" s="57" t="str">
        <v>BTYI204307SZ960CGN</v>
      </c>
      <c r="D9" s="7"/>
      <c r="G9" s="58" t="str" cm="1">
        <f t="array" ref="G9:H27">_xlfn._xlws.FILTER([1]___2022___!$D$1:$E$65536,[1]___2022___!$K$1:$K$65536=TEST!A2)</f>
        <v>SSDSC2KB960GZ01</v>
      </c>
      <c r="H9" s="58" t="str">
        <v>BTYI201305SL960CGN</v>
      </c>
    </row>
    <row r="10" spans="1:10" ht="17.25" customHeight="1">
      <c r="B10" s="56" t="str">
        <v>SSDSC2KB960GZ01</v>
      </c>
      <c r="C10" s="57" t="str">
        <v>BTYI204307TP960CGN</v>
      </c>
      <c r="D10" s="7"/>
      <c r="G10" s="58" t="str">
        <v>SSDSC2KB960GZ01</v>
      </c>
      <c r="H10" s="58" t="str">
        <v>BTYI201305T5960CGN</v>
      </c>
    </row>
    <row r="11" spans="1:10" ht="17.25" customHeight="1">
      <c r="B11" s="56" t="str">
        <v>SSDSC2KB960GZ01</v>
      </c>
      <c r="C11" s="57" t="str">
        <v>BTYI204307SX960CGN</v>
      </c>
      <c r="D11" s="7"/>
      <c r="G11" s="58" t="str">
        <v>SSDSC2KB960GZ01</v>
      </c>
      <c r="H11" s="58" t="str">
        <v>BTYI201305SK960CGN</v>
      </c>
      <c r="I11" s="58"/>
      <c r="J11" s="58"/>
    </row>
    <row r="12" spans="1:10" ht="17.25" customHeight="1">
      <c r="B12" s="56" t="str">
        <v>SSDSC2KB960GZ01</v>
      </c>
      <c r="C12" s="57" t="str">
        <v>BTYI204400KS960CGN</v>
      </c>
      <c r="D12" s="7"/>
      <c r="G12" s="58" t="str">
        <v>SSDSC2KB960GZ01</v>
      </c>
      <c r="H12" s="58" t="str">
        <v>BTYI204307SZ960CGN</v>
      </c>
    </row>
    <row r="13" spans="1:10" ht="17.25" customHeight="1">
      <c r="B13" s="56" t="str">
        <v>SSDSC2KB960GZ01</v>
      </c>
      <c r="C13" s="57" t="str">
        <v>BTYI204307SY960CGN</v>
      </c>
      <c r="D13" s="7"/>
      <c r="G13" s="58" t="str">
        <v>SSDSC2KB960GZ01</v>
      </c>
      <c r="H13" s="58" t="str">
        <v>BTYI204307TP960CGN</v>
      </c>
      <c r="I13" s="58"/>
      <c r="J13" s="64"/>
    </row>
    <row r="14" spans="1:10" ht="17.25" customHeight="1">
      <c r="B14" s="56" t="str">
        <v>M393A4K40EB3-CWE</v>
      </c>
      <c r="C14" s="57" t="str">
        <v>SNL824</v>
      </c>
      <c r="D14" s="7"/>
      <c r="G14" s="58" t="str">
        <v>SSDSC2KB960GZ01</v>
      </c>
      <c r="H14" s="58" t="str">
        <v>BTYI204307SX960CGN</v>
      </c>
      <c r="I14" s="58"/>
      <c r="J14" s="64"/>
    </row>
    <row r="15" spans="1:10" ht="17.25" customHeight="1">
      <c r="B15" s="56" t="str">
        <v>M393A4K40EB3-CWE</v>
      </c>
      <c r="C15" s="57" t="str">
        <v>SNL825</v>
      </c>
      <c r="D15" s="7"/>
      <c r="G15" s="58" t="str">
        <v>SSDSC2KB960GZ01</v>
      </c>
      <c r="H15" s="58" t="str">
        <v>BTYI204400KS960CGN</v>
      </c>
      <c r="I15" s="58"/>
      <c r="J15" s="64"/>
    </row>
    <row r="16" spans="1:10" ht="17.25" customHeight="1">
      <c r="B16" s="56" t="str">
        <v>M393A4K40EB3-CWE</v>
      </c>
      <c r="C16" s="57" t="str">
        <v>SNL826</v>
      </c>
      <c r="D16" s="7"/>
      <c r="F16" s="65"/>
      <c r="G16" s="58" t="str">
        <v>SSDSC2KB960GZ01</v>
      </c>
      <c r="H16" s="58" t="str">
        <v>BTYI204307SY960CGN</v>
      </c>
      <c r="I16" s="58"/>
      <c r="J16" s="64"/>
    </row>
    <row r="17" spans="2:10" ht="17.25" customHeight="1">
      <c r="B17" s="56" t="str">
        <v>M393A4K40EB3-CWE</v>
      </c>
      <c r="C17" s="57" t="str">
        <v>SNL827</v>
      </c>
      <c r="D17" s="7"/>
      <c r="F17" s="65"/>
      <c r="G17" s="58" t="str">
        <v>M393A4K40EB3-CWE</v>
      </c>
      <c r="H17" s="58" t="str">
        <v>SNL824</v>
      </c>
      <c r="I17" s="58"/>
      <c r="J17" s="64"/>
    </row>
    <row r="18" spans="2:10" ht="17.25" customHeight="1">
      <c r="B18" s="56" t="str">
        <v>RSC-RR1U-E16</v>
      </c>
      <c r="C18" s="57" t="str">
        <v>VR221S000661</v>
      </c>
      <c r="D18" s="7"/>
      <c r="F18" s="65"/>
      <c r="G18" s="58" t="str">
        <v>M393A4K40EB3-CWE</v>
      </c>
      <c r="H18" s="58" t="str">
        <v>SNL825</v>
      </c>
      <c r="I18" s="58"/>
      <c r="J18" s="64"/>
    </row>
    <row r="19" spans="2:10" ht="17.25" customHeight="1">
      <c r="B19" s="56" t="str">
        <v>PSE-ROM740P-0048</v>
      </c>
      <c r="C19" s="57" t="str">
        <v>9KI3196P20036</v>
      </c>
      <c r="D19" s="10"/>
      <c r="E19" s="66"/>
      <c r="F19" s="65"/>
      <c r="G19" s="58" t="str">
        <v>M393A4K40EB3-CWE</v>
      </c>
      <c r="H19" s="58" t="str">
        <v>SNL826</v>
      </c>
      <c r="I19" s="58"/>
      <c r="J19" s="64"/>
    </row>
    <row r="20" spans="2:10" ht="17.25" customHeight="1">
      <c r="B20" s="56" t="str">
        <v>MBD-H12SSL-C-O</v>
      </c>
      <c r="C20" s="57" t="str">
        <v>WM214S604468</v>
      </c>
      <c r="D20" s="10"/>
      <c r="E20" s="66"/>
      <c r="F20" s="65"/>
      <c r="G20" s="58" t="str">
        <v>M393A4K40EB3-CWE</v>
      </c>
      <c r="H20" s="58" t="str">
        <v>SNL827</v>
      </c>
      <c r="I20" s="58"/>
      <c r="J20" s="64"/>
    </row>
    <row r="21" spans="2:10" ht="17.25" customHeight="1">
      <c r="B21" s="56" t="str">
        <v>CSE-113MFAC2-R606CB</v>
      </c>
      <c r="C21" s="57" t="str">
        <v>C113MLK51P40189</v>
      </c>
      <c r="D21" s="10"/>
      <c r="E21" s="66"/>
      <c r="F21" s="65"/>
      <c r="G21" s="58" t="str">
        <v>RSC-RR1U-E16</v>
      </c>
      <c r="H21" s="58" t="str">
        <v>VR221S000661</v>
      </c>
      <c r="I21" s="58"/>
      <c r="J21" s="64"/>
    </row>
    <row r="22" spans="2:10" ht="17.25" customHeight="1">
      <c r="B22" s="56" t="str">
        <v>PWS-606P-1R</v>
      </c>
      <c r="C22" s="57" t="str">
        <v>P606PCL46PB1332</v>
      </c>
      <c r="D22" s="67"/>
      <c r="E22" s="66"/>
      <c r="F22" s="65"/>
      <c r="G22" s="58" t="str">
        <v>PSE-ROM740P-0048</v>
      </c>
      <c r="H22" s="58" t="str">
        <v>9KI3196P20036</v>
      </c>
      <c r="I22" s="58"/>
      <c r="J22" s="64"/>
    </row>
    <row r="23" spans="2:10" ht="17.25" customHeight="1">
      <c r="B23" s="56" t="str">
        <v>PWS-606P-1R</v>
      </c>
      <c r="C23" s="57" t="str">
        <v>P606PCL46PB1111</v>
      </c>
      <c r="D23" s="67"/>
      <c r="E23" s="66"/>
      <c r="F23" s="65"/>
      <c r="G23" s="58" t="str">
        <v>MBD-H12SSL-C-O</v>
      </c>
      <c r="H23" s="58" t="str">
        <v>WM214S604468</v>
      </c>
      <c r="I23" s="58"/>
      <c r="J23" s="58"/>
    </row>
    <row r="24" spans="2:10" ht="17.25" customHeight="1">
      <c r="B24" s="56" t="str">
        <v>BPN-SAS3-113A-N2</v>
      </c>
      <c r="C24" s="57" t="str">
        <v>PB21BS006291</v>
      </c>
      <c r="D24" s="67"/>
      <c r="E24" s="66"/>
      <c r="F24" s="65"/>
      <c r="G24" s="58" t="str">
        <v>CSE-113MFAC2-R606CB</v>
      </c>
      <c r="H24" s="58" t="str">
        <v>C113MLK51P40189</v>
      </c>
      <c r="I24" s="58"/>
      <c r="J24" s="58"/>
    </row>
    <row r="25" spans="2:10" ht="17.25" customHeight="1">
      <c r="B25" s="56"/>
      <c r="C25" s="57"/>
      <c r="D25" s="67"/>
      <c r="E25" s="66"/>
      <c r="F25" s="65"/>
      <c r="G25" s="58" t="str">
        <v>PWS-606P-1R</v>
      </c>
      <c r="H25" s="58" t="str">
        <v>P606PCL46PB1332</v>
      </c>
      <c r="I25" s="58"/>
      <c r="J25" s="58"/>
    </row>
    <row r="26" spans="2:10" ht="17.25" customHeight="1">
      <c r="B26" s="56"/>
      <c r="C26" s="57"/>
      <c r="D26" s="10"/>
      <c r="E26" s="66"/>
      <c r="F26" s="65"/>
      <c r="G26" s="58" t="str">
        <v>PWS-606P-1R</v>
      </c>
      <c r="H26" s="58" t="str">
        <v>P606PCL46PB1111</v>
      </c>
      <c r="I26" s="58"/>
      <c r="J26" s="58"/>
    </row>
    <row r="27" spans="2:10" ht="17.25" customHeight="1">
      <c r="B27" s="56"/>
      <c r="C27" s="57"/>
      <c r="D27" s="10"/>
      <c r="E27" s="66"/>
      <c r="F27" s="65"/>
      <c r="G27" s="58" t="str">
        <v>BPN-SAS3-113A-N2</v>
      </c>
      <c r="H27" s="58" t="str">
        <v>PB21BS006291</v>
      </c>
      <c r="I27" s="58"/>
      <c r="J27" s="58"/>
    </row>
    <row r="28" spans="2:10" ht="17.25" customHeight="1">
      <c r="B28" s="56"/>
      <c r="C28" s="57"/>
      <c r="D28" s="10"/>
      <c r="E28" s="66"/>
      <c r="F28" s="65"/>
    </row>
    <row r="29" spans="2:10" ht="17.25" customHeight="1">
      <c r="B29" s="56"/>
      <c r="C29" s="57"/>
      <c r="D29" s="10"/>
      <c r="E29" s="66"/>
      <c r="F29" s="65"/>
    </row>
    <row r="30" spans="2:10" ht="17.25" customHeight="1">
      <c r="B30" s="56"/>
      <c r="C30" s="57"/>
      <c r="D30" s="10"/>
      <c r="E30" s="66"/>
    </row>
    <row r="31" spans="2:10" ht="17.25" customHeight="1">
      <c r="B31" s="56"/>
      <c r="C31" s="57"/>
      <c r="D31" s="10"/>
      <c r="E31" s="66"/>
    </row>
    <row r="32" spans="2:10" ht="17.25" customHeight="1">
      <c r="B32" s="56"/>
      <c r="C32" s="57"/>
      <c r="D32" s="7"/>
      <c r="E32" s="68"/>
    </row>
    <row r="33" spans="2:5" ht="17.25" customHeight="1">
      <c r="B33" s="56"/>
      <c r="C33" s="57"/>
      <c r="D33" s="7"/>
      <c r="E33" s="68"/>
    </row>
    <row r="34" spans="2:5" ht="17.25" customHeight="1">
      <c r="B34" s="56"/>
      <c r="C34" s="57"/>
      <c r="D34" s="7"/>
      <c r="E34" s="68"/>
    </row>
    <row r="35" spans="2:5" ht="17.25" customHeight="1">
      <c r="B35" s="56"/>
      <c r="C35" s="60"/>
      <c r="D35" s="9"/>
      <c r="E35" s="68"/>
    </row>
    <row r="36" spans="2:5" ht="17.25" customHeight="1">
      <c r="B36" s="56"/>
      <c r="C36" s="60"/>
      <c r="D36" s="8"/>
      <c r="E36" s="68"/>
    </row>
    <row r="37" spans="2:5" ht="17.25" customHeight="1">
      <c r="B37" s="56"/>
      <c r="C37" s="60"/>
      <c r="D37" s="9"/>
      <c r="E37" s="68"/>
    </row>
    <row r="38" spans="2:5" ht="17.25" customHeight="1">
      <c r="B38" s="56"/>
      <c r="C38" s="57"/>
      <c r="D38" s="7"/>
      <c r="E38" s="68"/>
    </row>
    <row r="39" spans="2:5" ht="17.25" customHeight="1">
      <c r="B39" s="56"/>
      <c r="C39" s="57"/>
      <c r="D39" s="7"/>
      <c r="E39" s="68"/>
    </row>
    <row r="40" spans="2:5" ht="17.25" customHeight="1">
      <c r="B40" s="56"/>
      <c r="C40" s="57"/>
      <c r="D40" s="7"/>
      <c r="E40" s="68"/>
    </row>
    <row r="41" spans="2:5" ht="17.25" customHeight="1">
      <c r="B41" s="56"/>
      <c r="C41" s="57"/>
      <c r="D41" s="7"/>
      <c r="E41" s="68"/>
    </row>
    <row r="42" spans="2:5" ht="17.25" customHeight="1">
      <c r="B42" s="56"/>
      <c r="C42" s="57"/>
      <c r="D42" s="7"/>
      <c r="E42" s="68"/>
    </row>
    <row r="43" spans="2:5" ht="17.25" customHeight="1">
      <c r="B43" s="56"/>
      <c r="C43" s="57"/>
      <c r="D43" s="7"/>
      <c r="E43" s="68"/>
    </row>
    <row r="44" spans="2:5" ht="17.25" customHeight="1">
      <c r="B44" s="56"/>
      <c r="C44" s="57"/>
      <c r="D44" s="7"/>
      <c r="E44" s="68"/>
    </row>
    <row r="45" spans="2:5" ht="17.25" customHeight="1">
      <c r="B45" s="56"/>
      <c r="C45" s="57"/>
      <c r="D45" s="7"/>
      <c r="E45" s="68"/>
    </row>
    <row r="46" spans="2:5" ht="17.25" customHeight="1">
      <c r="B46" s="56"/>
      <c r="C46" s="57"/>
      <c r="D46" s="7"/>
      <c r="E46" s="68"/>
    </row>
    <row r="47" spans="2:5" ht="17.25" customHeight="1">
      <c r="B47" s="56"/>
      <c r="C47" s="57"/>
      <c r="D47" s="7"/>
      <c r="E47" s="68"/>
    </row>
    <row r="48" spans="2:5" ht="17.25" customHeight="1">
      <c r="B48" s="56"/>
      <c r="C48" s="57"/>
      <c r="D48" s="7"/>
      <c r="E48" s="68"/>
    </row>
    <row r="49" spans="2:5" ht="17.25" customHeight="1">
      <c r="C49" s="57"/>
      <c r="D49" s="7"/>
      <c r="E49" s="68"/>
    </row>
    <row r="50" spans="2:5" ht="17.25" customHeight="1">
      <c r="C50" s="57"/>
      <c r="D50" s="7"/>
      <c r="E50" s="68"/>
    </row>
    <row r="51" spans="2:5" ht="17.25" customHeight="1">
      <c r="C51" s="57"/>
      <c r="D51" s="7"/>
      <c r="E51" s="68"/>
    </row>
    <row r="52" spans="2:5" ht="17.25" customHeight="1">
      <c r="B52" s="59"/>
      <c r="C52" s="60"/>
      <c r="D52" s="8"/>
      <c r="E52" s="68"/>
    </row>
    <row r="53" spans="2:5" ht="17.25" customHeight="1">
      <c r="B53" s="59"/>
      <c r="C53" s="60"/>
      <c r="D53" s="9"/>
      <c r="E53" s="68"/>
    </row>
    <row r="54" spans="2:5" ht="17.25" customHeight="1">
      <c r="C54" s="57"/>
      <c r="D54" s="7"/>
      <c r="E54" s="68"/>
    </row>
    <row r="55" spans="2:5" ht="17.25" customHeight="1">
      <c r="C55" s="57"/>
      <c r="D55" s="7"/>
      <c r="E55" s="68"/>
    </row>
    <row r="56" spans="2:5" ht="17.25" customHeight="1">
      <c r="C56" s="57"/>
      <c r="D56" s="7"/>
      <c r="E56" s="68"/>
    </row>
    <row r="57" spans="2:5" ht="17.25" customHeight="1">
      <c r="C57" s="57"/>
      <c r="D57" s="7"/>
      <c r="E57" s="68"/>
    </row>
    <row r="58" spans="2:5" ht="17.25" customHeight="1">
      <c r="C58" s="57"/>
      <c r="D58" s="7"/>
      <c r="E58" s="68"/>
    </row>
    <row r="59" spans="2:5" ht="17.25" customHeight="1">
      <c r="C59" s="57"/>
      <c r="D59" s="7"/>
      <c r="E59" s="68"/>
    </row>
    <row r="60" spans="2:5" ht="17.25" customHeight="1">
      <c r="C60" s="57"/>
      <c r="D60" s="7"/>
      <c r="E60" s="68"/>
    </row>
    <row r="61" spans="2:5" ht="17.25" customHeight="1">
      <c r="C61" s="57"/>
      <c r="D61" s="7"/>
      <c r="E61" s="68"/>
    </row>
    <row r="62" spans="2:5" ht="17.25" customHeight="1">
      <c r="C62" s="57"/>
      <c r="D62" s="7"/>
      <c r="E62" s="68"/>
    </row>
    <row r="63" spans="2:5" ht="17.25" customHeight="1">
      <c r="C63" s="57"/>
      <c r="D63" s="7"/>
      <c r="E63" s="68"/>
    </row>
    <row r="64" spans="2:5" ht="17.25" customHeight="1">
      <c r="C64" s="57"/>
      <c r="D64" s="7"/>
      <c r="E64" s="68"/>
    </row>
    <row r="65" spans="2:5" ht="17.25" customHeight="1">
      <c r="C65" s="57"/>
      <c r="D65" s="7"/>
      <c r="E65" s="68"/>
    </row>
    <row r="66" spans="2:5" ht="48">
      <c r="C66" s="57"/>
      <c r="D66" s="7"/>
      <c r="E66" s="68"/>
    </row>
    <row r="67" spans="2:5" ht="48">
      <c r="C67" s="57"/>
      <c r="D67" s="7"/>
      <c r="E67" s="68"/>
    </row>
    <row r="68" spans="2:5" ht="48">
      <c r="B68" s="59"/>
      <c r="C68" s="60"/>
      <c r="D68" s="8"/>
      <c r="E68" s="68"/>
    </row>
    <row r="69" spans="2:5" ht="48">
      <c r="B69" s="59"/>
      <c r="C69" s="60"/>
      <c r="D69" s="9"/>
      <c r="E69" s="68"/>
    </row>
    <row r="70" spans="2:5" ht="48">
      <c r="C70" s="57"/>
      <c r="D70" s="7"/>
      <c r="E70" s="68"/>
    </row>
    <row r="71" spans="2:5" ht="48">
      <c r="C71" s="57"/>
      <c r="D71" s="7"/>
      <c r="E71" s="68"/>
    </row>
    <row r="72" spans="2:5" ht="48">
      <c r="C72" s="57"/>
      <c r="D72" s="7"/>
      <c r="E72" s="68"/>
    </row>
    <row r="73" spans="2:5">
      <c r="D73" s="7"/>
    </row>
    <row r="74" spans="2:5">
      <c r="D74" s="7"/>
    </row>
    <row r="75" spans="2:5">
      <c r="D75" s="7"/>
    </row>
    <row r="76" spans="2:5">
      <c r="D76" s="7"/>
    </row>
    <row r="77" spans="2:5">
      <c r="D77" s="7"/>
    </row>
    <row r="78" spans="2:5">
      <c r="D78" s="7"/>
    </row>
    <row r="79" spans="2:5">
      <c r="D79" s="7"/>
    </row>
    <row r="80" spans="2:5">
      <c r="D80" s="7"/>
    </row>
    <row r="81" spans="2:4">
      <c r="D81" s="7"/>
    </row>
    <row r="82" spans="2:4">
      <c r="D82" s="7"/>
    </row>
    <row r="83" spans="2:4">
      <c r="D83" s="7"/>
    </row>
    <row r="84" spans="2:4">
      <c r="B84" s="59"/>
      <c r="C84" s="62"/>
      <c r="D84" s="8"/>
    </row>
    <row r="85" spans="2:4">
      <c r="B85" s="59"/>
      <c r="C85" s="62"/>
      <c r="D85" s="9"/>
    </row>
    <row r="86" spans="2:4">
      <c r="D86" s="7"/>
    </row>
    <row r="87" spans="2:4">
      <c r="D87" s="7"/>
    </row>
    <row r="88" spans="2:4">
      <c r="D88" s="7"/>
    </row>
    <row r="89" spans="2:4">
      <c r="D89" s="7"/>
    </row>
    <row r="90" spans="2:4">
      <c r="D90" s="7"/>
    </row>
    <row r="91" spans="2:4">
      <c r="D91" s="7"/>
    </row>
    <row r="92" spans="2:4">
      <c r="D92" s="7"/>
    </row>
    <row r="93" spans="2:4">
      <c r="D93" s="7"/>
    </row>
    <row r="94" spans="2:4">
      <c r="D94" s="7"/>
    </row>
    <row r="95" spans="2:4">
      <c r="D95" s="7"/>
    </row>
    <row r="96" spans="2:4">
      <c r="D96" s="7"/>
    </row>
    <row r="97" spans="2:4">
      <c r="D97" s="7"/>
    </row>
    <row r="98" spans="2:4">
      <c r="D98" s="7"/>
    </row>
    <row r="99" spans="2:4">
      <c r="D99" s="7"/>
    </row>
    <row r="100" spans="2:4">
      <c r="D100" s="7"/>
    </row>
    <row r="101" spans="2:4">
      <c r="B101" s="59"/>
      <c r="C101" s="62"/>
      <c r="D101" s="8"/>
    </row>
    <row r="102" spans="2:4">
      <c r="B102" s="59"/>
      <c r="C102" s="62"/>
      <c r="D102" s="9"/>
    </row>
    <row r="103" spans="2:4">
      <c r="D103" s="7"/>
    </row>
    <row r="104" spans="2:4">
      <c r="D104" s="7"/>
    </row>
    <row r="105" spans="2:4">
      <c r="D105" s="7"/>
    </row>
    <row r="106" spans="2:4">
      <c r="D106" s="7"/>
    </row>
    <row r="107" spans="2:4">
      <c r="D107" s="7"/>
    </row>
    <row r="108" spans="2:4">
      <c r="D108" s="7"/>
    </row>
    <row r="109" spans="2:4">
      <c r="D109" s="7"/>
    </row>
    <row r="110" spans="2:4">
      <c r="D110" s="7"/>
    </row>
    <row r="111" spans="2:4">
      <c r="D111" s="7"/>
    </row>
    <row r="112" spans="2:4">
      <c r="D112" s="7"/>
    </row>
    <row r="113" spans="2:4">
      <c r="D113" s="7"/>
    </row>
    <row r="114" spans="2:4">
      <c r="D114" s="7"/>
    </row>
    <row r="115" spans="2:4">
      <c r="D115" s="7"/>
    </row>
    <row r="117" spans="2:4">
      <c r="B117" s="59"/>
      <c r="C117" s="62"/>
      <c r="D117" s="8"/>
    </row>
    <row r="118" spans="2:4">
      <c r="B118" s="59"/>
      <c r="C118" s="62"/>
      <c r="D118" s="9"/>
    </row>
    <row r="119" spans="2:4">
      <c r="D119" s="7"/>
    </row>
    <row r="120" spans="2:4">
      <c r="D120" s="7"/>
    </row>
    <row r="121" spans="2:4">
      <c r="D121" s="7"/>
    </row>
    <row r="122" spans="2:4">
      <c r="D122" s="7"/>
    </row>
    <row r="123" spans="2:4">
      <c r="D123" s="7"/>
    </row>
    <row r="124" spans="2:4">
      <c r="D124" s="7"/>
    </row>
    <row r="125" spans="2:4">
      <c r="D125" s="7"/>
    </row>
    <row r="126" spans="2:4">
      <c r="D126" s="7"/>
    </row>
    <row r="127" spans="2:4">
      <c r="D127" s="7"/>
    </row>
    <row r="128" spans="2:4">
      <c r="D128" s="7"/>
    </row>
    <row r="129" spans="2:4">
      <c r="D129" s="7"/>
    </row>
    <row r="130" spans="2:4">
      <c r="D130" s="7"/>
    </row>
    <row r="131" spans="2:4">
      <c r="D131" s="7"/>
    </row>
    <row r="133" spans="2:4">
      <c r="B133" s="59"/>
      <c r="C133" s="62"/>
      <c r="D133" s="8"/>
    </row>
    <row r="134" spans="2:4">
      <c r="B134" s="59"/>
      <c r="C134" s="62"/>
      <c r="D134" s="9"/>
    </row>
    <row r="135" spans="2:4">
      <c r="D135" s="7"/>
    </row>
    <row r="136" spans="2:4">
      <c r="D136" s="7"/>
    </row>
    <row r="137" spans="2:4">
      <c r="D137" s="7"/>
    </row>
    <row r="138" spans="2:4">
      <c r="D138" s="7"/>
    </row>
    <row r="139" spans="2:4">
      <c r="D139" s="7"/>
    </row>
    <row r="140" spans="2:4">
      <c r="D140" s="7"/>
    </row>
    <row r="141" spans="2:4">
      <c r="D141" s="7"/>
    </row>
    <row r="142" spans="2:4">
      <c r="D142" s="7"/>
    </row>
    <row r="143" spans="2:4">
      <c r="D143" s="7"/>
    </row>
    <row r="144" spans="2:4">
      <c r="D144" s="7"/>
    </row>
    <row r="145" spans="2:4">
      <c r="D145" s="7"/>
    </row>
    <row r="146" spans="2:4">
      <c r="D146" s="7"/>
    </row>
    <row r="147" spans="2:4">
      <c r="D147" s="7"/>
    </row>
    <row r="149" spans="2:4">
      <c r="B149" s="59"/>
      <c r="C149" s="62"/>
      <c r="D149" s="8"/>
    </row>
    <row r="150" spans="2:4">
      <c r="B150" s="59"/>
      <c r="C150" s="62"/>
      <c r="D150" s="9"/>
    </row>
    <row r="151" spans="2:4">
      <c r="D151" s="7"/>
    </row>
    <row r="152" spans="2:4">
      <c r="D152" s="7"/>
    </row>
    <row r="153" spans="2:4">
      <c r="D153" s="7"/>
    </row>
    <row r="154" spans="2:4">
      <c r="D154" s="7"/>
    </row>
    <row r="155" spans="2:4">
      <c r="D155" s="7"/>
    </row>
    <row r="156" spans="2:4">
      <c r="D156" s="7"/>
    </row>
    <row r="157" spans="2:4">
      <c r="D157" s="7"/>
    </row>
    <row r="158" spans="2:4">
      <c r="D158" s="7"/>
    </row>
    <row r="159" spans="2:4">
      <c r="D159" s="7"/>
    </row>
    <row r="160" spans="2:4">
      <c r="D160" s="7"/>
    </row>
    <row r="161" spans="2:4">
      <c r="D161" s="7"/>
    </row>
    <row r="162" spans="2:4">
      <c r="D162" s="7"/>
    </row>
    <row r="163" spans="2:4">
      <c r="D163" s="7"/>
    </row>
    <row r="165" spans="2:4">
      <c r="B165" s="59"/>
      <c r="C165" s="62"/>
      <c r="D165" s="8"/>
    </row>
    <row r="166" spans="2:4">
      <c r="B166" s="59"/>
      <c r="C166" s="62"/>
      <c r="D166" s="9"/>
    </row>
    <row r="167" spans="2:4">
      <c r="D167" s="7"/>
    </row>
    <row r="168" spans="2:4">
      <c r="D168" s="7"/>
    </row>
    <row r="169" spans="2:4">
      <c r="D169" s="7"/>
    </row>
    <row r="170" spans="2:4">
      <c r="D170" s="7"/>
    </row>
    <row r="171" spans="2:4">
      <c r="D171" s="7"/>
    </row>
    <row r="172" spans="2:4">
      <c r="D172" s="7"/>
    </row>
    <row r="173" spans="2:4">
      <c r="D173" s="7"/>
    </row>
    <row r="174" spans="2:4">
      <c r="D174" s="7"/>
    </row>
    <row r="175" spans="2:4">
      <c r="D175" s="7"/>
    </row>
    <row r="176" spans="2:4">
      <c r="D176" s="7"/>
    </row>
    <row r="177" spans="2:4">
      <c r="D177" s="7"/>
    </row>
    <row r="178" spans="2:4">
      <c r="D178" s="7"/>
    </row>
    <row r="179" spans="2:4">
      <c r="D179" s="7"/>
    </row>
    <row r="182" spans="2:4">
      <c r="B182" s="59"/>
      <c r="C182" s="62"/>
      <c r="D182" s="8"/>
    </row>
    <row r="183" spans="2:4">
      <c r="B183" s="59"/>
      <c r="C183" s="62"/>
      <c r="D183" s="9"/>
    </row>
    <row r="184" spans="2:4">
      <c r="D184" s="7"/>
    </row>
    <row r="185" spans="2:4">
      <c r="D185" s="7"/>
    </row>
    <row r="186" spans="2:4">
      <c r="D186" s="7"/>
    </row>
    <row r="187" spans="2:4">
      <c r="D187" s="7"/>
    </row>
    <row r="188" spans="2:4">
      <c r="D188" s="7"/>
    </row>
    <row r="189" spans="2:4">
      <c r="D189" s="7"/>
    </row>
    <row r="190" spans="2:4">
      <c r="D190" s="7"/>
    </row>
    <row r="191" spans="2:4">
      <c r="D191" s="7"/>
    </row>
    <row r="192" spans="2:4">
      <c r="D192" s="7"/>
    </row>
    <row r="193" spans="2:4">
      <c r="D193" s="7"/>
    </row>
    <row r="194" spans="2:4">
      <c r="D194" s="7"/>
    </row>
    <row r="195" spans="2:4">
      <c r="D195" s="7"/>
    </row>
    <row r="196" spans="2:4">
      <c r="D196" s="7"/>
    </row>
    <row r="198" spans="2:4">
      <c r="B198" s="59"/>
      <c r="C198" s="62"/>
      <c r="D198" s="8"/>
    </row>
    <row r="199" spans="2:4">
      <c r="B199" s="59"/>
      <c r="C199" s="62"/>
      <c r="D199" s="9"/>
    </row>
    <row r="200" spans="2:4">
      <c r="D200" s="7"/>
    </row>
    <row r="201" spans="2:4">
      <c r="D201" s="7"/>
    </row>
    <row r="202" spans="2:4">
      <c r="D202" s="7"/>
    </row>
    <row r="203" spans="2:4">
      <c r="D203" s="7"/>
    </row>
    <row r="204" spans="2:4">
      <c r="D204" s="7"/>
    </row>
    <row r="205" spans="2:4">
      <c r="D205" s="7"/>
    </row>
    <row r="206" spans="2:4">
      <c r="D206" s="7"/>
    </row>
    <row r="207" spans="2:4">
      <c r="D207" s="7"/>
    </row>
    <row r="208" spans="2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</sheetData>
  <mergeCells count="3">
    <mergeCell ref="A1:B1"/>
    <mergeCell ref="A2:B3"/>
    <mergeCell ref="A4:C4"/>
  </mergeCells>
  <conditionalFormatting sqref="D35">
    <cfRule type="duplicateValues" dxfId="570" priority="30"/>
  </conditionalFormatting>
  <conditionalFormatting sqref="D51">
    <cfRule type="duplicateValues" dxfId="569" priority="29"/>
  </conditionalFormatting>
  <conditionalFormatting sqref="D67">
    <cfRule type="duplicateValues" dxfId="568" priority="28"/>
  </conditionalFormatting>
  <conditionalFormatting sqref="D83">
    <cfRule type="duplicateValues" dxfId="567" priority="27"/>
  </conditionalFormatting>
  <conditionalFormatting sqref="D99:D100">
    <cfRule type="duplicateValues" dxfId="566" priority="26"/>
  </conditionalFormatting>
  <conditionalFormatting sqref="D36 D48:D50">
    <cfRule type="duplicateValues" dxfId="565" priority="25"/>
  </conditionalFormatting>
  <conditionalFormatting sqref="D52 D64:D66">
    <cfRule type="duplicateValues" dxfId="564" priority="24"/>
  </conditionalFormatting>
  <conditionalFormatting sqref="D68 D80:D82">
    <cfRule type="duplicateValues" dxfId="563" priority="23"/>
  </conditionalFormatting>
  <conditionalFormatting sqref="D84 D96:D98">
    <cfRule type="duplicateValues" dxfId="562" priority="22"/>
  </conditionalFormatting>
  <conditionalFormatting sqref="D101">
    <cfRule type="duplicateValues" dxfId="561" priority="21"/>
  </conditionalFormatting>
  <conditionalFormatting sqref="D117">
    <cfRule type="duplicateValues" dxfId="560" priority="20"/>
  </conditionalFormatting>
  <conditionalFormatting sqref="D133">
    <cfRule type="duplicateValues" dxfId="559" priority="19"/>
  </conditionalFormatting>
  <conditionalFormatting sqref="D149 D160:D163">
    <cfRule type="duplicateValues" dxfId="558" priority="18"/>
  </conditionalFormatting>
  <conditionalFormatting sqref="D165 D176:D179">
    <cfRule type="duplicateValues" dxfId="557" priority="17"/>
  </conditionalFormatting>
  <conditionalFormatting sqref="D182 D193:D196">
    <cfRule type="duplicateValues" dxfId="556" priority="16"/>
  </conditionalFormatting>
  <conditionalFormatting sqref="D198 D209:D212">
    <cfRule type="duplicateValues" dxfId="555" priority="15"/>
  </conditionalFormatting>
  <conditionalFormatting sqref="D37:D47">
    <cfRule type="duplicateValues" dxfId="554" priority="14"/>
  </conditionalFormatting>
  <conditionalFormatting sqref="D53:D63">
    <cfRule type="duplicateValues" dxfId="553" priority="13"/>
  </conditionalFormatting>
  <conditionalFormatting sqref="D69:D79">
    <cfRule type="duplicateValues" dxfId="552" priority="12"/>
  </conditionalFormatting>
  <conditionalFormatting sqref="D85:D95">
    <cfRule type="duplicateValues" dxfId="551" priority="11"/>
  </conditionalFormatting>
  <conditionalFormatting sqref="D102:D111">
    <cfRule type="duplicateValues" dxfId="550" priority="10"/>
  </conditionalFormatting>
  <conditionalFormatting sqref="D118:D127">
    <cfRule type="duplicateValues" dxfId="549" priority="9"/>
  </conditionalFormatting>
  <conditionalFormatting sqref="D134:D143">
    <cfRule type="duplicateValues" dxfId="548" priority="8"/>
  </conditionalFormatting>
  <conditionalFormatting sqref="D150:D159">
    <cfRule type="duplicateValues" dxfId="547" priority="7"/>
  </conditionalFormatting>
  <conditionalFormatting sqref="D166:D175">
    <cfRule type="duplicateValues" dxfId="546" priority="6"/>
  </conditionalFormatting>
  <conditionalFormatting sqref="D183:D192">
    <cfRule type="duplicateValues" dxfId="545" priority="5"/>
  </conditionalFormatting>
  <conditionalFormatting sqref="D199:D208">
    <cfRule type="duplicateValues" dxfId="544" priority="4"/>
  </conditionalFormatting>
  <conditionalFormatting sqref="D144:D147">
    <cfRule type="duplicateValues" dxfId="543" priority="3"/>
  </conditionalFormatting>
  <conditionalFormatting sqref="D128:D131">
    <cfRule type="duplicateValues" dxfId="542" priority="2"/>
  </conditionalFormatting>
  <conditionalFormatting sqref="D112:D115">
    <cfRule type="duplicateValues" dxfId="541" priority="1"/>
  </conditionalFormatting>
  <conditionalFormatting sqref="D116 D2:D18 D132 D148 D164 D180:D181 D197 D213:D1048576">
    <cfRule type="duplicateValues" dxfId="540" priority="31"/>
  </conditionalFormatting>
  <conditionalFormatting sqref="D32:D34">
    <cfRule type="duplicateValues" dxfId="539" priority="32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1" t="s">
        <v>3768</v>
      </c>
    </row>
    <row r="2" spans="1:9">
      <c r="A2" s="12" t="s">
        <v>3722</v>
      </c>
      <c r="B2" s="13"/>
      <c r="C2" s="8"/>
    </row>
    <row r="3" spans="1:9">
      <c r="A3" s="14" t="str" cm="1">
        <f t="array" ref="A3:A16">_xlfn._xlws.SORT(_xlfn.UNIQUE(_xlfn._xlws.FILTER(Tabela1[NAZWA],Tabela1[KOMENTARZ]=A2)))</f>
        <v>AOC-SGP-I4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5" t="str">
        <v>BPN-SAS3-113A-N2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PB216S000738</v>
      </c>
      <c r="I4" t="str" cm="1">
        <f t="array" ref="I4:I15">_xlfn.UNIQUE(_xlfn._xlws.FILTER([1]___2022___!$D$1:$D$65536,[1]___2022___!$K$1:$K$65536=A2))</f>
        <v xml:space="preserve">M393A4K40EB3-CWE </v>
      </c>
    </row>
    <row r="5" spans="1:9">
      <c r="A5" s="15" t="str">
        <v>CSE-113AC2-706WB2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C1130LK43P90206</v>
      </c>
      <c r="I5" t="str">
        <v>MZ7L3240HCHQ-00A07</v>
      </c>
    </row>
    <row r="6" spans="1:9">
      <c r="A6" s="15" t="str">
        <v xml:space="preserve">M393A4K40EB3-CWE 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SNL909, SNL910, SNL911, SNL912</v>
      </c>
      <c r="I6" t="str">
        <v>MZ7L33T8HBLT-00A07</v>
      </c>
    </row>
    <row r="7" spans="1:9">
      <c r="A7" s="15" t="str">
        <v>MBD-X11DDW-L-O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NM217S006332</v>
      </c>
      <c r="I7" t="str">
        <v>MegaRaid 9361-8i   05-25420-08</v>
      </c>
    </row>
    <row r="8" spans="1:9">
      <c r="A8" s="15" t="str">
        <v>MegaRaid 9361-8i   05-25420-08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SKC1294050</v>
      </c>
      <c r="I8" t="str">
        <v>CSE-113AC2-706WB2</v>
      </c>
    </row>
    <row r="9" spans="1:9">
      <c r="A9" s="15" t="str">
        <v>MZ7L3240HCHQ-00A07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S663NE0RC12779, S663NE0RC12783</v>
      </c>
      <c r="I9" t="str">
        <v>PWS-706P-1R</v>
      </c>
    </row>
    <row r="10" spans="1:9">
      <c r="A10" s="15" t="str">
        <v>MZ7L33T8HBLT-00A07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  <c r="I10" t="str">
        <v>BPN-SAS3-113A-N2</v>
      </c>
    </row>
    <row r="11" spans="1:9">
      <c r="A11" s="15" t="str">
        <v>P73-08353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4537000022600</v>
      </c>
      <c r="I11" t="str">
        <v>RSC-R1UW-2E16</v>
      </c>
    </row>
    <row r="12" spans="1:9">
      <c r="A12" s="15" t="str">
        <v>P73-08448</v>
      </c>
      <c r="B12" s="15">
        <f t="shared" si="1"/>
        <v>2</v>
      </c>
      <c r="C12" s="7" t="str" cm="1">
        <f t="array" ref="C12">_xlfn.TEXTJOIN(", ",,_xlfn._xlws.FILTER(Tabela1[[#All],[NUMER SERYJNY]],((Tabela1[[#All],[NAZWA]]=$A12)*(Tabela1[[#All],[KOMENTARZ]]=$A2)),"----------"))</f>
        <v>2219144320212, 2219144320213</v>
      </c>
      <c r="I12" t="str">
        <v>RSC-R1UW-E8R</v>
      </c>
    </row>
    <row r="13" spans="1:9">
      <c r="A13" s="15" t="str">
        <v>PWS-706P-1R</v>
      </c>
      <c r="B13" s="15">
        <f t="shared" si="1"/>
        <v>2</v>
      </c>
      <c r="C13" s="7" t="str" cm="1">
        <f t="array" ref="C13">_xlfn.TEXTJOIN(", ",,_xlfn._xlws.FILTER(Tabela1[[#All],[NUMER SERYJNY]],((Tabela1[[#All],[NAZWA]]=$A13)*(Tabela1[[#All],[KOMENTARZ]]=$A2)),"----------"))</f>
        <v>P7061VL40GB0462, P7061VL40GB0461</v>
      </c>
      <c r="I13" t="str">
        <v>AOC-SGP-I4</v>
      </c>
    </row>
    <row r="14" spans="1:9">
      <c r="A14" s="15" t="str">
        <v>RSC-R1UW-2E16</v>
      </c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VR218S031321</v>
      </c>
      <c r="I14" t="str">
        <v>MBD-X11DDW-L-O</v>
      </c>
    </row>
    <row r="15" spans="1:9">
      <c r="A15" s="15" t="str">
        <v>RSC-R1UW-E8R</v>
      </c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VR221S013567</v>
      </c>
      <c r="I15" t="str">
        <v>Xeon Silver 4216</v>
      </c>
    </row>
    <row r="16" spans="1:9" ht="24">
      <c r="A16" s="15" t="str">
        <v>Xeon Silver 4216</v>
      </c>
      <c r="B16" s="15">
        <f t="shared" si="1"/>
        <v>2</v>
      </c>
      <c r="C16" s="7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1" t="s">
        <v>3768</v>
      </c>
    </row>
    <row r="22" spans="1:3">
      <c r="A22" s="12" t="s">
        <v>3727</v>
      </c>
      <c r="B22" s="13"/>
      <c r="C22" s="8"/>
    </row>
    <row r="23" spans="1:3">
      <c r="A23" s="14" t="s">
        <v>3746</v>
      </c>
      <c r="B23" s="14">
        <f t="shared" ref="B23:B27" si="2">LEN(C23)-LEN(SUBSTITUTE(C23,",",""))+1</f>
        <v>1</v>
      </c>
      <c r="C23" s="9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5" t="s">
        <v>2700</v>
      </c>
      <c r="B24" s="15">
        <f t="shared" si="2"/>
        <v>2</v>
      </c>
      <c r="C24" s="7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5" t="s">
        <v>3356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5" t="s">
        <v>773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5" t="s">
        <v>293</v>
      </c>
      <c r="B27" s="15">
        <f t="shared" si="2"/>
        <v>1</v>
      </c>
      <c r="C27" s="7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5" t="s">
        <v>3760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5" t="s">
        <v>3763</v>
      </c>
      <c r="B29" s="15">
        <f>LEN(C29)-LEN(SUBSTITUTE(C29,",",""))+1</f>
        <v>2</v>
      </c>
      <c r="C29" s="7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5" t="s">
        <v>3757</v>
      </c>
      <c r="B30" s="15">
        <f t="shared" ref="B30:B36" si="3">LEN(C30)-LEN(SUBSTITUTE(C30,",",""))+1</f>
        <v>1</v>
      </c>
      <c r="C30" s="7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5" t="s">
        <v>2990</v>
      </c>
      <c r="B31" s="15">
        <f t="shared" si="3"/>
        <v>4</v>
      </c>
      <c r="C31" s="7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5" t="s">
        <v>3731</v>
      </c>
      <c r="B32" s="15">
        <f t="shared" si="3"/>
        <v>2</v>
      </c>
      <c r="C32" s="7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5" t="s">
        <v>3736</v>
      </c>
      <c r="B33" s="15">
        <f t="shared" si="3"/>
        <v>3</v>
      </c>
      <c r="C33" s="7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5" t="s">
        <v>3743</v>
      </c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5" t="s">
        <v>3717</v>
      </c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5" t="s">
        <v>3718</v>
      </c>
      <c r="B36" s="15">
        <f t="shared" si="3"/>
        <v>2</v>
      </c>
      <c r="C36" s="7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8" priority="35"/>
  </conditionalFormatting>
  <conditionalFormatting sqref="C1:C17 C114 C130 C146 C162 C178:C179 C195 C211:C1048576">
    <cfRule type="duplicateValues" dxfId="537" priority="34"/>
  </conditionalFormatting>
  <conditionalFormatting sqref="C49">
    <cfRule type="duplicateValues" dxfId="536" priority="32"/>
  </conditionalFormatting>
  <conditionalFormatting sqref="C65">
    <cfRule type="duplicateValues" dxfId="535" priority="31"/>
  </conditionalFormatting>
  <conditionalFormatting sqref="C81">
    <cfRule type="duplicateValues" dxfId="534" priority="30"/>
  </conditionalFormatting>
  <conditionalFormatting sqref="C97:C98">
    <cfRule type="duplicateValues" dxfId="533" priority="29"/>
  </conditionalFormatting>
  <conditionalFormatting sqref="C18">
    <cfRule type="duplicateValues" dxfId="532" priority="28"/>
  </conditionalFormatting>
  <conditionalFormatting sqref="C46:C48">
    <cfRule type="duplicateValues" dxfId="531" priority="27"/>
  </conditionalFormatting>
  <conditionalFormatting sqref="C50 C62:C64">
    <cfRule type="duplicateValues" dxfId="530" priority="26"/>
  </conditionalFormatting>
  <conditionalFormatting sqref="C66 C78:C80">
    <cfRule type="duplicateValues" dxfId="529" priority="25"/>
  </conditionalFormatting>
  <conditionalFormatting sqref="C82 C94:C96">
    <cfRule type="duplicateValues" dxfId="528" priority="24"/>
  </conditionalFormatting>
  <conditionalFormatting sqref="C99">
    <cfRule type="duplicateValues" dxfId="527" priority="23"/>
  </conditionalFormatting>
  <conditionalFormatting sqref="C115">
    <cfRule type="duplicateValues" dxfId="526" priority="22"/>
  </conditionalFormatting>
  <conditionalFormatting sqref="C131">
    <cfRule type="duplicateValues" dxfId="525" priority="21"/>
  </conditionalFormatting>
  <conditionalFormatting sqref="C147 C158:C161">
    <cfRule type="duplicateValues" dxfId="524" priority="20"/>
  </conditionalFormatting>
  <conditionalFormatting sqref="C163 C174:C177">
    <cfRule type="duplicateValues" dxfId="523" priority="19"/>
  </conditionalFormatting>
  <conditionalFormatting sqref="C180 C191:C194">
    <cfRule type="duplicateValues" dxfId="522" priority="18"/>
  </conditionalFormatting>
  <conditionalFormatting sqref="C196 C207:C210">
    <cfRule type="duplicateValues" dxfId="521" priority="17"/>
  </conditionalFormatting>
  <conditionalFormatting sqref="C19:C20">
    <cfRule type="duplicateValues" dxfId="520" priority="16"/>
  </conditionalFormatting>
  <conditionalFormatting sqref="C37:C45">
    <cfRule type="duplicateValues" dxfId="519" priority="15"/>
  </conditionalFormatting>
  <conditionalFormatting sqref="C51:C61">
    <cfRule type="duplicateValues" dxfId="518" priority="14"/>
  </conditionalFormatting>
  <conditionalFormatting sqref="C67:C77">
    <cfRule type="duplicateValues" dxfId="517" priority="13"/>
  </conditionalFormatting>
  <conditionalFormatting sqref="C83:C93">
    <cfRule type="duplicateValues" dxfId="516" priority="12"/>
  </conditionalFormatting>
  <conditionalFormatting sqref="C100:C109">
    <cfRule type="duplicateValues" dxfId="515" priority="11"/>
  </conditionalFormatting>
  <conditionalFormatting sqref="C116:C125">
    <cfRule type="duplicateValues" dxfId="514" priority="10"/>
  </conditionalFormatting>
  <conditionalFormatting sqref="C132:C141">
    <cfRule type="duplicateValues" dxfId="513" priority="9"/>
  </conditionalFormatting>
  <conditionalFormatting sqref="C148:C157">
    <cfRule type="duplicateValues" dxfId="512" priority="8"/>
  </conditionalFormatting>
  <conditionalFormatting sqref="C164:C173">
    <cfRule type="duplicateValues" dxfId="511" priority="7"/>
  </conditionalFormatting>
  <conditionalFormatting sqref="C181:C190">
    <cfRule type="duplicateValues" dxfId="510" priority="6"/>
  </conditionalFormatting>
  <conditionalFormatting sqref="C197:C206">
    <cfRule type="duplicateValues" dxfId="509" priority="5"/>
  </conditionalFormatting>
  <conditionalFormatting sqref="C142:C145">
    <cfRule type="duplicateValues" dxfId="508" priority="4"/>
  </conditionalFormatting>
  <conditionalFormatting sqref="C126:C129">
    <cfRule type="duplicateValues" dxfId="507" priority="3"/>
  </conditionalFormatting>
  <conditionalFormatting sqref="C110:C113">
    <cfRule type="duplicateValues" dxfId="506" priority="2"/>
  </conditionalFormatting>
  <conditionalFormatting sqref="C21:C36">
    <cfRule type="duplicateValues" dxfId="50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A53" sqref="A53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3535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A345069X2721202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5" t="s">
        <v>3553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3536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5" t="s">
        <v>3553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3537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5" t="s">
        <v>3553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3538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5" t="s">
        <v>3553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3539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5" t="s">
        <v>3553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3540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5" t="s">
        <v>3553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3541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5" t="s">
        <v>3553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3542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5" t="s">
        <v>3553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3543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5" t="s">
        <v>3553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3544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5" t="s">
        <v>3553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3545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5" t="s">
        <v>3441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5" t="s">
        <v>3553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3546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5" t="s">
        <v>3441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5" t="s">
        <v>3553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1" t="s">
        <v>3329</v>
      </c>
    </row>
    <row r="208" spans="1:3">
      <c r="A208" s="12" t="s">
        <v>3547</v>
      </c>
      <c r="B208" s="13"/>
      <c r="C208" s="8"/>
    </row>
    <row r="209" spans="1:3">
      <c r="A209" s="14" t="s">
        <v>965</v>
      </c>
      <c r="B209" s="14">
        <f t="shared" ref="B209:B213" si="24">LEN(C209)-LEN(SUBSTITUTE(C209,",",""))+1</f>
        <v>1</v>
      </c>
      <c r="C209" s="9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5" t="s">
        <v>967</v>
      </c>
      <c r="B210" s="15">
        <f t="shared" si="24"/>
        <v>1</v>
      </c>
      <c r="C210" s="7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5" t="s">
        <v>969</v>
      </c>
      <c r="B211" s="15">
        <f t="shared" si="24"/>
        <v>1</v>
      </c>
      <c r="C211" s="7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5" t="s">
        <v>17</v>
      </c>
      <c r="B212" s="15">
        <f t="shared" si="24"/>
        <v>1</v>
      </c>
      <c r="C212" s="7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5" t="s">
        <v>975</v>
      </c>
      <c r="B213" s="15">
        <f t="shared" si="24"/>
        <v>1</v>
      </c>
      <c r="C213" s="7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5" t="s">
        <v>971</v>
      </c>
      <c r="B214" s="15">
        <f>LEN(C214)-LEN(SUBSTITUTE(C214,",",""))+1</f>
        <v>1</v>
      </c>
      <c r="C214" s="7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5" t="s">
        <v>3441</v>
      </c>
      <c r="B215" s="15">
        <f>LEN(C215)-LEN(SUBSTITUTE(C215,",",""))+1</f>
        <v>1</v>
      </c>
      <c r="C215" s="7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5" t="s">
        <v>3553</v>
      </c>
      <c r="B216" s="15">
        <f t="shared" ref="B216:B221" si="25">LEN(C216)-LEN(SUBSTITUTE(C216,",",""))+1</f>
        <v>2</v>
      </c>
      <c r="C216" s="7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5" t="s">
        <v>3302</v>
      </c>
      <c r="B217" s="15">
        <f t="shared" si="25"/>
        <v>1</v>
      </c>
      <c r="C217" s="7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5" t="s">
        <v>976</v>
      </c>
      <c r="B218" s="15">
        <f t="shared" si="25"/>
        <v>1</v>
      </c>
      <c r="C218" s="7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5"/>
      <c r="B219" s="15">
        <f t="shared" si="25"/>
        <v>1</v>
      </c>
      <c r="C219" s="7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5"/>
      <c r="B220" s="15">
        <f t="shared" si="25"/>
        <v>1</v>
      </c>
      <c r="C220" s="7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5"/>
      <c r="B221" s="15">
        <f t="shared" si="25"/>
        <v>1</v>
      </c>
      <c r="C221" s="7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1" t="s">
        <v>3329</v>
      </c>
    </row>
    <row r="225" spans="1:3">
      <c r="A225" s="12" t="s">
        <v>3548</v>
      </c>
      <c r="B225" s="13"/>
      <c r="C225" s="8"/>
    </row>
    <row r="226" spans="1:3">
      <c r="A226" s="14" t="s">
        <v>965</v>
      </c>
      <c r="B226" s="14">
        <f t="shared" ref="B226:B230" si="26">LEN(C226)-LEN(SUBSTITUTE(C226,",",""))+1</f>
        <v>1</v>
      </c>
      <c r="C226" s="9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5" t="s">
        <v>967</v>
      </c>
      <c r="B227" s="15">
        <f t="shared" si="26"/>
        <v>1</v>
      </c>
      <c r="C227" s="7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5" t="s">
        <v>969</v>
      </c>
      <c r="B228" s="15">
        <f t="shared" si="26"/>
        <v>1</v>
      </c>
      <c r="C228" s="7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5" t="s">
        <v>17</v>
      </c>
      <c r="B229" s="15">
        <f t="shared" si="26"/>
        <v>1</v>
      </c>
      <c r="C229" s="7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5" t="s">
        <v>975</v>
      </c>
      <c r="B230" s="15">
        <f t="shared" si="26"/>
        <v>1</v>
      </c>
      <c r="C230" s="7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5" t="s">
        <v>971</v>
      </c>
      <c r="B231" s="15">
        <f>LEN(C231)-LEN(SUBSTITUTE(C231,",",""))+1</f>
        <v>1</v>
      </c>
      <c r="C231" s="7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5" t="s">
        <v>3441</v>
      </c>
      <c r="B232" s="15">
        <f>LEN(C232)-LEN(SUBSTITUTE(C232,",",""))+1</f>
        <v>1</v>
      </c>
      <c r="C232" s="7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5" t="s">
        <v>3553</v>
      </c>
      <c r="B233" s="15">
        <f t="shared" ref="B233:B238" si="27">LEN(C233)-LEN(SUBSTITUTE(C233,",",""))+1</f>
        <v>2</v>
      </c>
      <c r="C233" s="7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5" t="s">
        <v>3302</v>
      </c>
      <c r="B234" s="15">
        <f t="shared" si="27"/>
        <v>1</v>
      </c>
      <c r="C234" s="7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5" t="s">
        <v>976</v>
      </c>
      <c r="B235" s="15">
        <f t="shared" si="27"/>
        <v>1</v>
      </c>
      <c r="C235" s="7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5"/>
      <c r="B236" s="15">
        <f t="shared" si="27"/>
        <v>1</v>
      </c>
      <c r="C236" s="7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5"/>
      <c r="B237" s="15">
        <f t="shared" si="27"/>
        <v>1</v>
      </c>
      <c r="C237" s="7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5"/>
      <c r="B238" s="15">
        <f t="shared" si="27"/>
        <v>1</v>
      </c>
      <c r="C238" s="7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1" t="s">
        <v>3329</v>
      </c>
    </row>
    <row r="243" spans="1:3">
      <c r="A243" s="12" t="s">
        <v>3549</v>
      </c>
      <c r="B243" s="13"/>
      <c r="C243" s="8"/>
    </row>
    <row r="244" spans="1:3">
      <c r="A244" s="14" t="s">
        <v>965</v>
      </c>
      <c r="B244" s="14">
        <f t="shared" ref="B244:B248" si="28">LEN(C244)-LEN(SUBSTITUTE(C244,",",""))+1</f>
        <v>1</v>
      </c>
      <c r="C244" s="9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5" t="s">
        <v>967</v>
      </c>
      <c r="B245" s="15">
        <f t="shared" si="28"/>
        <v>1</v>
      </c>
      <c r="C245" s="7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5" t="s">
        <v>969</v>
      </c>
      <c r="B246" s="15">
        <f t="shared" si="28"/>
        <v>1</v>
      </c>
      <c r="C246" s="7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5" t="s">
        <v>17</v>
      </c>
      <c r="B247" s="15">
        <f t="shared" si="28"/>
        <v>1</v>
      </c>
      <c r="C247" s="7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5" t="s">
        <v>975</v>
      </c>
      <c r="B248" s="15">
        <f t="shared" si="28"/>
        <v>1</v>
      </c>
      <c r="C248" s="7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5" t="s">
        <v>971</v>
      </c>
      <c r="B249" s="15">
        <f>LEN(C249)-LEN(SUBSTITUTE(C249,",",""))+1</f>
        <v>1</v>
      </c>
      <c r="C249" s="7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5" t="s">
        <v>3441</v>
      </c>
      <c r="B250" s="15">
        <f>LEN(C250)-LEN(SUBSTITUTE(C250,",",""))+1</f>
        <v>1</v>
      </c>
      <c r="C250" s="7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5" t="s">
        <v>3553</v>
      </c>
      <c r="B251" s="15">
        <f t="shared" ref="B251:B256" si="29">LEN(C251)-LEN(SUBSTITUTE(C251,",",""))+1</f>
        <v>2</v>
      </c>
      <c r="C251" s="7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5" t="s">
        <v>3302</v>
      </c>
      <c r="B252" s="15">
        <f t="shared" si="29"/>
        <v>1</v>
      </c>
      <c r="C252" s="7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5" t="s">
        <v>976</v>
      </c>
      <c r="B253" s="15">
        <f t="shared" si="29"/>
        <v>1</v>
      </c>
      <c r="C253" s="7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5"/>
      <c r="B254" s="15">
        <f t="shared" si="29"/>
        <v>1</v>
      </c>
      <c r="C254" s="7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5"/>
      <c r="B255" s="15">
        <f t="shared" si="29"/>
        <v>1</v>
      </c>
      <c r="C255" s="7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5"/>
      <c r="B256" s="15">
        <f t="shared" si="29"/>
        <v>1</v>
      </c>
      <c r="C256" s="7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1" t="s">
        <v>3329</v>
      </c>
    </row>
    <row r="261" spans="1:3">
      <c r="A261" s="12" t="s">
        <v>3550</v>
      </c>
      <c r="B261" s="13"/>
      <c r="C261" s="8"/>
    </row>
    <row r="262" spans="1:3">
      <c r="A262" s="14" t="s">
        <v>965</v>
      </c>
      <c r="B262" s="14">
        <f t="shared" ref="B262:B266" si="30">LEN(C262)-LEN(SUBSTITUTE(C262,",",""))+1</f>
        <v>1</v>
      </c>
      <c r="C262" s="9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5" t="s">
        <v>967</v>
      </c>
      <c r="B263" s="15">
        <f t="shared" si="30"/>
        <v>1</v>
      </c>
      <c r="C263" s="7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5" t="s">
        <v>969</v>
      </c>
      <c r="B264" s="15">
        <f t="shared" si="30"/>
        <v>1</v>
      </c>
      <c r="C264" s="7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5" t="s">
        <v>17</v>
      </c>
      <c r="B265" s="15">
        <f t="shared" si="30"/>
        <v>1</v>
      </c>
      <c r="C265" s="7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5" t="s">
        <v>975</v>
      </c>
      <c r="B266" s="15">
        <f t="shared" si="30"/>
        <v>1</v>
      </c>
      <c r="C266" s="7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5" t="s">
        <v>971</v>
      </c>
      <c r="B267" s="15">
        <f>LEN(C267)-LEN(SUBSTITUTE(C267,",",""))+1</f>
        <v>1</v>
      </c>
      <c r="C267" s="7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5" t="s">
        <v>3441</v>
      </c>
      <c r="B268" s="15">
        <f>LEN(C268)-LEN(SUBSTITUTE(C268,",",""))+1</f>
        <v>1</v>
      </c>
      <c r="C268" s="7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5" t="s">
        <v>3553</v>
      </c>
      <c r="B269" s="15">
        <f t="shared" ref="B269:B274" si="31">LEN(C269)-LEN(SUBSTITUTE(C269,",",""))+1</f>
        <v>2</v>
      </c>
      <c r="C269" s="7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5" t="s">
        <v>3302</v>
      </c>
      <c r="B270" s="15">
        <f t="shared" si="31"/>
        <v>1</v>
      </c>
      <c r="C270" s="7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5" t="s">
        <v>976</v>
      </c>
      <c r="B271" s="15">
        <f t="shared" si="31"/>
        <v>1</v>
      </c>
      <c r="C271" s="7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5"/>
      <c r="B272" s="15">
        <f t="shared" si="31"/>
        <v>1</v>
      </c>
      <c r="C272" s="7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5"/>
      <c r="B273" s="15">
        <f t="shared" si="31"/>
        <v>1</v>
      </c>
      <c r="C273" s="7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5"/>
      <c r="B274" s="15">
        <f t="shared" si="31"/>
        <v>1</v>
      </c>
      <c r="C274" s="7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1" t="s">
        <v>3329</v>
      </c>
    </row>
    <row r="278" spans="1:3">
      <c r="A278" s="12" t="s">
        <v>3551</v>
      </c>
      <c r="B278" s="13"/>
      <c r="C278" s="8"/>
    </row>
    <row r="279" spans="1:3">
      <c r="A279" s="14" t="s">
        <v>965</v>
      </c>
      <c r="B279" s="14">
        <f t="shared" ref="B279:B283" si="32">LEN(C279)-LEN(SUBSTITUTE(C279,",",""))+1</f>
        <v>1</v>
      </c>
      <c r="C279" s="9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5" t="s">
        <v>967</v>
      </c>
      <c r="B280" s="15">
        <f t="shared" si="32"/>
        <v>1</v>
      </c>
      <c r="C280" s="7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5" t="s">
        <v>969</v>
      </c>
      <c r="B281" s="15">
        <f t="shared" si="32"/>
        <v>1</v>
      </c>
      <c r="C281" s="7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5" t="s">
        <v>17</v>
      </c>
      <c r="B282" s="15">
        <f t="shared" si="32"/>
        <v>1</v>
      </c>
      <c r="C282" s="7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5" t="s">
        <v>975</v>
      </c>
      <c r="B283" s="15">
        <f t="shared" si="32"/>
        <v>1</v>
      </c>
      <c r="C283" s="7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5" t="s">
        <v>971</v>
      </c>
      <c r="B284" s="15">
        <f>LEN(C284)-LEN(SUBSTITUTE(C284,",",""))+1</f>
        <v>1</v>
      </c>
      <c r="C284" s="7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5" t="s">
        <v>3441</v>
      </c>
      <c r="B285" s="15">
        <f>LEN(C285)-LEN(SUBSTITUTE(C285,",",""))+1</f>
        <v>1</v>
      </c>
      <c r="C285" s="7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5" t="s">
        <v>3553</v>
      </c>
      <c r="B286" s="15">
        <f t="shared" ref="B286:B291" si="33">LEN(C286)-LEN(SUBSTITUTE(C286,",",""))+1</f>
        <v>2</v>
      </c>
      <c r="C286" s="7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5" t="s">
        <v>3302</v>
      </c>
      <c r="B287" s="15">
        <f t="shared" si="33"/>
        <v>1</v>
      </c>
      <c r="C287" s="7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5" t="s">
        <v>976</v>
      </c>
      <c r="B288" s="15">
        <f t="shared" si="33"/>
        <v>1</v>
      </c>
      <c r="C288" s="7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5"/>
      <c r="B289" s="15">
        <f t="shared" si="33"/>
        <v>1</v>
      </c>
      <c r="C289" s="7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5"/>
      <c r="B290" s="15">
        <f t="shared" si="33"/>
        <v>1</v>
      </c>
      <c r="C290" s="7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5"/>
      <c r="B291" s="15">
        <f t="shared" si="33"/>
        <v>1</v>
      </c>
      <c r="C291" s="7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1" t="s">
        <v>3329</v>
      </c>
    </row>
    <row r="296" spans="1:3">
      <c r="A296" s="12" t="s">
        <v>3552</v>
      </c>
      <c r="B296" s="13"/>
      <c r="C296" s="8"/>
    </row>
    <row r="297" spans="1:3">
      <c r="A297" s="14" t="s">
        <v>965</v>
      </c>
      <c r="B297" s="14">
        <f t="shared" ref="B297:B301" si="34">LEN(C297)-LEN(SUBSTITUTE(C297,",",""))+1</f>
        <v>1</v>
      </c>
      <c r="C297" s="9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5" t="s">
        <v>967</v>
      </c>
      <c r="B298" s="15">
        <f t="shared" si="34"/>
        <v>1</v>
      </c>
      <c r="C298" s="7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5" t="s">
        <v>969</v>
      </c>
      <c r="B299" s="15">
        <f t="shared" si="34"/>
        <v>1</v>
      </c>
      <c r="C299" s="7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5" t="s">
        <v>17</v>
      </c>
      <c r="B300" s="15">
        <f t="shared" si="34"/>
        <v>1</v>
      </c>
      <c r="C300" s="7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5" t="s">
        <v>975</v>
      </c>
      <c r="B301" s="15">
        <f t="shared" si="34"/>
        <v>1</v>
      </c>
      <c r="C301" s="7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5" t="s">
        <v>971</v>
      </c>
      <c r="B302" s="15">
        <f>LEN(C302)-LEN(SUBSTITUTE(C302,",",""))+1</f>
        <v>1</v>
      </c>
      <c r="C302" s="7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5" t="s">
        <v>3441</v>
      </c>
      <c r="B303" s="15">
        <f>LEN(C303)-LEN(SUBSTITUTE(C303,",",""))+1</f>
        <v>1</v>
      </c>
      <c r="C303" s="7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5" t="s">
        <v>3553</v>
      </c>
      <c r="B304" s="15">
        <f t="shared" ref="B304:B309" si="35">LEN(C304)-LEN(SUBSTITUTE(C304,",",""))+1</f>
        <v>2</v>
      </c>
      <c r="C304" s="7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5" t="s">
        <v>3302</v>
      </c>
      <c r="B305" s="15">
        <f t="shared" si="35"/>
        <v>1</v>
      </c>
      <c r="C305" s="7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5" t="s">
        <v>976</v>
      </c>
      <c r="B306" s="15">
        <f t="shared" si="35"/>
        <v>1</v>
      </c>
      <c r="C306" s="7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5"/>
      <c r="B307" s="15">
        <f t="shared" si="35"/>
        <v>1</v>
      </c>
      <c r="C307" s="7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5"/>
      <c r="B308" s="15">
        <f t="shared" si="35"/>
        <v>1</v>
      </c>
      <c r="C308" s="7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5"/>
      <c r="B309" s="15">
        <f t="shared" si="35"/>
        <v>1</v>
      </c>
      <c r="C309" s="7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2"/>
      <c r="B314" s="13"/>
      <c r="C314" s="8"/>
    </row>
    <row r="315" spans="1:3">
      <c r="A315" s="14"/>
      <c r="B315" s="14"/>
      <c r="C315" s="9"/>
    </row>
    <row r="316" spans="1:3">
      <c r="A316" s="15"/>
      <c r="B316" s="15"/>
      <c r="C316" s="7"/>
    </row>
    <row r="317" spans="1:3">
      <c r="A317" s="15"/>
      <c r="B317" s="15"/>
      <c r="C317" s="7"/>
    </row>
    <row r="318" spans="1:3">
      <c r="A318" s="15"/>
      <c r="B318" s="15"/>
      <c r="C318" s="7"/>
    </row>
    <row r="319" spans="1:3">
      <c r="A319" s="15"/>
      <c r="B319" s="15"/>
      <c r="C319" s="7"/>
    </row>
    <row r="320" spans="1:3">
      <c r="A320" s="15"/>
      <c r="B320" s="15"/>
      <c r="C320" s="7"/>
    </row>
    <row r="321" spans="1:3">
      <c r="A321" s="15"/>
      <c r="B321" s="15"/>
      <c r="C321" s="7"/>
    </row>
    <row r="322" spans="1:3">
      <c r="A322" s="15"/>
      <c r="B322" s="15"/>
      <c r="C322" s="7"/>
    </row>
    <row r="323" spans="1:3">
      <c r="A323" s="15"/>
      <c r="B323" s="15"/>
      <c r="C323" s="7"/>
    </row>
    <row r="324" spans="1:3">
      <c r="A324" s="15"/>
      <c r="B324" s="15"/>
      <c r="C324" s="7"/>
    </row>
    <row r="325" spans="1:3">
      <c r="A325" s="15"/>
      <c r="B325" s="15"/>
      <c r="C325" s="7"/>
    </row>
    <row r="326" spans="1:3">
      <c r="A326" s="15"/>
      <c r="B326" s="15"/>
      <c r="C326" s="7"/>
    </row>
    <row r="327" spans="1:3">
      <c r="A327" s="15"/>
      <c r="B327" s="15"/>
      <c r="C327" s="7"/>
    </row>
  </sheetData>
  <conditionalFormatting sqref="F3">
    <cfRule type="duplicateValues" dxfId="504" priority="66"/>
  </conditionalFormatting>
  <conditionalFormatting sqref="C1:C16 C222:C223 C239:C241 C257:C259 C275:C276 C292:C294 C310:C312 C328:C1048576">
    <cfRule type="duplicateValues" dxfId="503" priority="65"/>
  </conditionalFormatting>
  <conditionalFormatting sqref="C67:C68">
    <cfRule type="duplicateValues" dxfId="502" priority="64"/>
  </conditionalFormatting>
  <conditionalFormatting sqref="C17">
    <cfRule type="duplicateValues" dxfId="501" priority="63"/>
  </conditionalFormatting>
  <conditionalFormatting sqref="C33">
    <cfRule type="duplicateValues" dxfId="500" priority="62"/>
  </conditionalFormatting>
  <conditionalFormatting sqref="C34">
    <cfRule type="duplicateValues" dxfId="499" priority="61"/>
  </conditionalFormatting>
  <conditionalFormatting sqref="C50:C51">
    <cfRule type="duplicateValues" dxfId="498" priority="60"/>
  </conditionalFormatting>
  <conditionalFormatting sqref="C30:C32">
    <cfRule type="duplicateValues" dxfId="497" priority="59"/>
  </conditionalFormatting>
  <conditionalFormatting sqref="C47:C49">
    <cfRule type="duplicateValues" dxfId="496" priority="58"/>
  </conditionalFormatting>
  <conditionalFormatting sqref="C64:C66">
    <cfRule type="duplicateValues" dxfId="495" priority="57"/>
  </conditionalFormatting>
  <conditionalFormatting sqref="C18:C29">
    <cfRule type="duplicateValues" dxfId="494" priority="56"/>
  </conditionalFormatting>
  <conditionalFormatting sqref="C35:C46">
    <cfRule type="duplicateValues" dxfId="493" priority="55"/>
  </conditionalFormatting>
  <conditionalFormatting sqref="C52:C63">
    <cfRule type="duplicateValues" dxfId="492" priority="54"/>
  </conditionalFormatting>
  <conditionalFormatting sqref="C1:C68 C222:C223 C239:C241 C257:C259 C275:C276 C292:C294 C310:C312 C328:C1048576">
    <cfRule type="duplicateValues" dxfId="491" priority="53"/>
  </conditionalFormatting>
  <conditionalFormatting sqref="C69:C84">
    <cfRule type="duplicateValues" dxfId="490" priority="52"/>
  </conditionalFormatting>
  <conditionalFormatting sqref="C135:C136">
    <cfRule type="duplicateValues" dxfId="489" priority="51"/>
  </conditionalFormatting>
  <conditionalFormatting sqref="C85">
    <cfRule type="duplicateValues" dxfId="488" priority="50"/>
  </conditionalFormatting>
  <conditionalFormatting sqref="C101">
    <cfRule type="duplicateValues" dxfId="487" priority="49"/>
  </conditionalFormatting>
  <conditionalFormatting sqref="C102">
    <cfRule type="duplicateValues" dxfId="486" priority="48"/>
  </conditionalFormatting>
  <conditionalFormatting sqref="C118:C119">
    <cfRule type="duplicateValues" dxfId="485" priority="47"/>
  </conditionalFormatting>
  <conditionalFormatting sqref="C98:C100">
    <cfRule type="duplicateValues" dxfId="484" priority="46"/>
  </conditionalFormatting>
  <conditionalFormatting sqref="C115:C117">
    <cfRule type="duplicateValues" dxfId="483" priority="45"/>
  </conditionalFormatting>
  <conditionalFormatting sqref="C132:C134">
    <cfRule type="duplicateValues" dxfId="482" priority="44"/>
  </conditionalFormatting>
  <conditionalFormatting sqref="C86:C97">
    <cfRule type="duplicateValues" dxfId="481" priority="43"/>
  </conditionalFormatting>
  <conditionalFormatting sqref="C103:C114">
    <cfRule type="duplicateValues" dxfId="480" priority="42"/>
  </conditionalFormatting>
  <conditionalFormatting sqref="C120:C131">
    <cfRule type="duplicateValues" dxfId="479" priority="41"/>
  </conditionalFormatting>
  <conditionalFormatting sqref="C69:C136">
    <cfRule type="duplicateValues" dxfId="478" priority="40"/>
  </conditionalFormatting>
  <conditionalFormatting sqref="C137:C138">
    <cfRule type="duplicateValues" dxfId="477" priority="39"/>
  </conditionalFormatting>
  <conditionalFormatting sqref="C137:C138">
    <cfRule type="duplicateValues" dxfId="476" priority="38"/>
  </conditionalFormatting>
  <conditionalFormatting sqref="C139:C154">
    <cfRule type="duplicateValues" dxfId="475" priority="37"/>
  </conditionalFormatting>
  <conditionalFormatting sqref="C205:C206">
    <cfRule type="duplicateValues" dxfId="474" priority="36"/>
  </conditionalFormatting>
  <conditionalFormatting sqref="C155">
    <cfRule type="duplicateValues" dxfId="473" priority="35"/>
  </conditionalFormatting>
  <conditionalFormatting sqref="C171">
    <cfRule type="duplicateValues" dxfId="472" priority="34"/>
  </conditionalFormatting>
  <conditionalFormatting sqref="C172">
    <cfRule type="duplicateValues" dxfId="471" priority="33"/>
  </conditionalFormatting>
  <conditionalFormatting sqref="C188:C189">
    <cfRule type="duplicateValues" dxfId="470" priority="32"/>
  </conditionalFormatting>
  <conditionalFormatting sqref="C168:C170">
    <cfRule type="duplicateValues" dxfId="469" priority="31"/>
  </conditionalFormatting>
  <conditionalFormatting sqref="C156:C167">
    <cfRule type="duplicateValues" dxfId="468" priority="28"/>
  </conditionalFormatting>
  <conditionalFormatting sqref="C139:C221">
    <cfRule type="duplicateValues" dxfId="467" priority="25"/>
  </conditionalFormatting>
  <conditionalFormatting sqref="C185:C187">
    <cfRule type="duplicateValues" dxfId="466" priority="24"/>
  </conditionalFormatting>
  <conditionalFormatting sqref="C173:C184">
    <cfRule type="duplicateValues" dxfId="465" priority="23"/>
  </conditionalFormatting>
  <conditionalFormatting sqref="C202:C204">
    <cfRule type="duplicateValues" dxfId="464" priority="22"/>
  </conditionalFormatting>
  <conditionalFormatting sqref="C190:C201">
    <cfRule type="duplicateValues" dxfId="463" priority="21"/>
  </conditionalFormatting>
  <conditionalFormatting sqref="C219:C221">
    <cfRule type="duplicateValues" dxfId="462" priority="20"/>
  </conditionalFormatting>
  <conditionalFormatting sqref="C207:C218">
    <cfRule type="duplicateValues" dxfId="461" priority="19"/>
  </conditionalFormatting>
  <conditionalFormatting sqref="C236:C238">
    <cfRule type="duplicateValues" dxfId="460" priority="18"/>
  </conditionalFormatting>
  <conditionalFormatting sqref="C224:C235">
    <cfRule type="duplicateValues" dxfId="459" priority="17"/>
  </conditionalFormatting>
  <conditionalFormatting sqref="C224:C238">
    <cfRule type="duplicateValues" dxfId="458" priority="16"/>
  </conditionalFormatting>
  <conditionalFormatting sqref="C254:C256">
    <cfRule type="duplicateValues" dxfId="457" priority="15"/>
  </conditionalFormatting>
  <conditionalFormatting sqref="C242:C253">
    <cfRule type="duplicateValues" dxfId="456" priority="14"/>
  </conditionalFormatting>
  <conditionalFormatting sqref="C242:C256">
    <cfRule type="duplicateValues" dxfId="455" priority="13"/>
  </conditionalFormatting>
  <conditionalFormatting sqref="C272:C274">
    <cfRule type="duplicateValues" dxfId="454" priority="12"/>
  </conditionalFormatting>
  <conditionalFormatting sqref="C260:C271">
    <cfRule type="duplicateValues" dxfId="453" priority="11"/>
  </conditionalFormatting>
  <conditionalFormatting sqref="C260:C274">
    <cfRule type="duplicateValues" dxfId="452" priority="10"/>
  </conditionalFormatting>
  <conditionalFormatting sqref="C289:C291">
    <cfRule type="duplicateValues" dxfId="451" priority="9"/>
  </conditionalFormatting>
  <conditionalFormatting sqref="C277:C288">
    <cfRule type="duplicateValues" dxfId="450" priority="8"/>
  </conditionalFormatting>
  <conditionalFormatting sqref="C277:C291">
    <cfRule type="duplicateValues" dxfId="449" priority="7"/>
  </conditionalFormatting>
  <conditionalFormatting sqref="C307:C309">
    <cfRule type="duplicateValues" dxfId="448" priority="6"/>
  </conditionalFormatting>
  <conditionalFormatting sqref="C295:C306">
    <cfRule type="duplicateValues" dxfId="447" priority="5"/>
  </conditionalFormatting>
  <conditionalFormatting sqref="C295:C309">
    <cfRule type="duplicateValues" dxfId="446" priority="4"/>
  </conditionalFormatting>
  <conditionalFormatting sqref="C325:C327">
    <cfRule type="duplicateValues" dxfId="445" priority="3"/>
  </conditionalFormatting>
  <conditionalFormatting sqref="C313:C324">
    <cfRule type="duplicateValues" dxfId="444" priority="2"/>
  </conditionalFormatting>
  <conditionalFormatting sqref="C313:C327">
    <cfRule type="duplicateValues" dxfId="443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3421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A345069X2721184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5" t="s">
        <v>3052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3422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5" t="s">
        <v>3052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3423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3429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3428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5" t="s">
        <v>3052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3424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5" t="s">
        <v>3052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3425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5" t="s">
        <v>3052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3426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5" t="s">
        <v>3052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3427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5" t="s">
        <v>3052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3430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5" t="s">
        <v>3052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4"/>
      <c r="B188" s="14"/>
      <c r="C188" s="9"/>
    </row>
    <row r="189" spans="1:3">
      <c r="A189" s="15"/>
      <c r="B189" s="15"/>
      <c r="C189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442" priority="42"/>
  </conditionalFormatting>
  <conditionalFormatting sqref="C1:C16 C207:C1048576">
    <cfRule type="duplicateValues" dxfId="441" priority="41"/>
  </conditionalFormatting>
  <conditionalFormatting sqref="C67:C68">
    <cfRule type="duplicateValues" dxfId="440" priority="40"/>
  </conditionalFormatting>
  <conditionalFormatting sqref="C17">
    <cfRule type="duplicateValues" dxfId="439" priority="39"/>
  </conditionalFormatting>
  <conditionalFormatting sqref="C33">
    <cfRule type="duplicateValues" dxfId="438" priority="38"/>
  </conditionalFormatting>
  <conditionalFormatting sqref="C34">
    <cfRule type="duplicateValues" dxfId="437" priority="37"/>
  </conditionalFormatting>
  <conditionalFormatting sqref="C50:C51">
    <cfRule type="duplicateValues" dxfId="436" priority="36"/>
  </conditionalFormatting>
  <conditionalFormatting sqref="C30:C32">
    <cfRule type="duplicateValues" dxfId="435" priority="35"/>
  </conditionalFormatting>
  <conditionalFormatting sqref="C47:C49">
    <cfRule type="duplicateValues" dxfId="434" priority="34"/>
  </conditionalFormatting>
  <conditionalFormatting sqref="C64:C66">
    <cfRule type="duplicateValues" dxfId="433" priority="33"/>
  </conditionalFormatting>
  <conditionalFormatting sqref="C18:C29">
    <cfRule type="duplicateValues" dxfId="432" priority="32"/>
  </conditionalFormatting>
  <conditionalFormatting sqref="C35:C46">
    <cfRule type="duplicateValues" dxfId="431" priority="31"/>
  </conditionalFormatting>
  <conditionalFormatting sqref="C52:C63">
    <cfRule type="duplicateValues" dxfId="430" priority="30"/>
  </conditionalFormatting>
  <conditionalFormatting sqref="C1:C68 C207:C1048576">
    <cfRule type="duplicateValues" dxfId="429" priority="29"/>
  </conditionalFormatting>
  <conditionalFormatting sqref="C69:C84">
    <cfRule type="duplicateValues" dxfId="428" priority="28"/>
  </conditionalFormatting>
  <conditionalFormatting sqref="C135:C136">
    <cfRule type="duplicateValues" dxfId="427" priority="27"/>
  </conditionalFormatting>
  <conditionalFormatting sqref="C85">
    <cfRule type="duplicateValues" dxfId="426" priority="26"/>
  </conditionalFormatting>
  <conditionalFormatting sqref="C101">
    <cfRule type="duplicateValues" dxfId="425" priority="25"/>
  </conditionalFormatting>
  <conditionalFormatting sqref="C102">
    <cfRule type="duplicateValues" dxfId="424" priority="24"/>
  </conditionalFormatting>
  <conditionalFormatting sqref="C118:C119">
    <cfRule type="duplicateValues" dxfId="423" priority="23"/>
  </conditionalFormatting>
  <conditionalFormatting sqref="C98:C100">
    <cfRule type="duplicateValues" dxfId="422" priority="22"/>
  </conditionalFormatting>
  <conditionalFormatting sqref="C115:C117">
    <cfRule type="duplicateValues" dxfId="421" priority="21"/>
  </conditionalFormatting>
  <conditionalFormatting sqref="C132:C134">
    <cfRule type="duplicateValues" dxfId="420" priority="20"/>
  </conditionalFormatting>
  <conditionalFormatting sqref="C86:C97">
    <cfRule type="duplicateValues" dxfId="419" priority="19"/>
  </conditionalFormatting>
  <conditionalFormatting sqref="C103:C114">
    <cfRule type="duplicateValues" dxfId="418" priority="18"/>
  </conditionalFormatting>
  <conditionalFormatting sqref="C120:C131">
    <cfRule type="duplicateValues" dxfId="417" priority="17"/>
  </conditionalFormatting>
  <conditionalFormatting sqref="C69:C136">
    <cfRule type="duplicateValues" dxfId="416" priority="16"/>
  </conditionalFormatting>
  <conditionalFormatting sqref="C137:C138">
    <cfRule type="duplicateValues" dxfId="415" priority="15"/>
  </conditionalFormatting>
  <conditionalFormatting sqref="C137:C138">
    <cfRule type="duplicateValues" dxfId="414" priority="14"/>
  </conditionalFormatting>
  <conditionalFormatting sqref="C139:C154">
    <cfRule type="duplicateValues" dxfId="413" priority="13"/>
  </conditionalFormatting>
  <conditionalFormatting sqref="C205:C206">
    <cfRule type="duplicateValues" dxfId="412" priority="12"/>
  </conditionalFormatting>
  <conditionalFormatting sqref="C155">
    <cfRule type="duplicateValues" dxfId="411" priority="11"/>
  </conditionalFormatting>
  <conditionalFormatting sqref="C171">
    <cfRule type="duplicateValues" dxfId="410" priority="10"/>
  </conditionalFormatting>
  <conditionalFormatting sqref="C172">
    <cfRule type="duplicateValues" dxfId="409" priority="9"/>
  </conditionalFormatting>
  <conditionalFormatting sqref="C188:C189">
    <cfRule type="duplicateValues" dxfId="408" priority="8"/>
  </conditionalFormatting>
  <conditionalFormatting sqref="C168:C170">
    <cfRule type="duplicateValues" dxfId="407" priority="7"/>
  </conditionalFormatting>
  <conditionalFormatting sqref="C185:C187">
    <cfRule type="duplicateValues" dxfId="406" priority="6"/>
  </conditionalFormatting>
  <conditionalFormatting sqref="C202:C204">
    <cfRule type="duplicateValues" dxfId="405" priority="5"/>
  </conditionalFormatting>
  <conditionalFormatting sqref="C156:C167">
    <cfRule type="duplicateValues" dxfId="404" priority="4"/>
  </conditionalFormatting>
  <conditionalFormatting sqref="C173:C184">
    <cfRule type="duplicateValues" dxfId="403" priority="3"/>
  </conditionalFormatting>
  <conditionalFormatting sqref="C190:C201">
    <cfRule type="duplicateValues" dxfId="402" priority="2"/>
  </conditionalFormatting>
  <conditionalFormatting sqref="C139:C206">
    <cfRule type="duplicateValues" dxfId="401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C3" sqref="C3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1" t="s">
        <v>3358</v>
      </c>
    </row>
    <row r="2" spans="1:10">
      <c r="A2" s="12" t="s">
        <v>3332</v>
      </c>
      <c r="B2" s="13"/>
      <c r="C2" s="8"/>
    </row>
    <row r="3" spans="1:10">
      <c r="A3" s="14" t="s">
        <v>3351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5" t="s">
        <v>3353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5" t="s">
        <v>3356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5" t="s">
        <v>914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5" t="s">
        <v>3348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5" t="s">
        <v>3341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5" t="s">
        <v>3330</v>
      </c>
      <c r="B9" s="15">
        <f>LEN(C9)-LEN(SUBSTITUTE(C9,",",""))+1</f>
        <v>8</v>
      </c>
      <c r="C9" s="7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6"/>
      <c r="B17" s="16"/>
      <c r="C17" s="10"/>
      <c r="I17" t="str">
        <v>SSDSC2KB960GZ01</v>
      </c>
      <c r="J17" t="str">
        <v>BTYI204307SY960CGN</v>
      </c>
    </row>
    <row r="18" spans="1:10">
      <c r="A18" s="12"/>
      <c r="B18" s="13"/>
      <c r="C18" s="8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4"/>
      <c r="B19" s="14"/>
      <c r="C19" s="9"/>
      <c r="I19" t="str">
        <v>M393A4K40EB3-CWE</v>
      </c>
      <c r="J19" t="str">
        <v>SNL825</v>
      </c>
    </row>
    <row r="20" spans="1:10">
      <c r="A20" s="15"/>
      <c r="B20" s="15"/>
      <c r="C20" s="7"/>
      <c r="I20" t="str">
        <v>M393A4K40EB3-CWE</v>
      </c>
      <c r="J20" t="str">
        <v>SNL826</v>
      </c>
    </row>
    <row r="21" spans="1:10">
      <c r="A21" s="15"/>
      <c r="B21" s="15"/>
      <c r="C21" s="7"/>
      <c r="I21" t="str">
        <v>M393A4K40EB3-CWE</v>
      </c>
      <c r="J21" t="str">
        <v>SNL827</v>
      </c>
    </row>
    <row r="22" spans="1:10">
      <c r="A22" s="15"/>
      <c r="B22" s="15"/>
      <c r="C22" s="7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5"/>
      <c r="B23" s="15"/>
      <c r="C23" s="7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5"/>
      <c r="B24" s="15"/>
      <c r="C24" s="7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5"/>
      <c r="B25" s="15"/>
      <c r="C25" s="7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5"/>
      <c r="B26" s="15"/>
      <c r="C26" s="7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5"/>
      <c r="B27" s="15"/>
      <c r="C27" s="7"/>
      <c r="I27" t="str">
        <v>PWS-606P-1R</v>
      </c>
      <c r="J27" t="str">
        <v>P606PCL46PB1111</v>
      </c>
    </row>
    <row r="28" spans="1:10">
      <c r="A28" s="15"/>
      <c r="B28" s="15"/>
      <c r="C28" s="7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5"/>
      <c r="B29" s="15"/>
      <c r="C29" s="7"/>
    </row>
    <row r="30" spans="1:10">
      <c r="A30" s="15"/>
      <c r="B30" s="15"/>
      <c r="C30" s="7"/>
    </row>
    <row r="31" spans="1:10">
      <c r="A31" s="15"/>
      <c r="B31" s="15"/>
      <c r="C31" s="7"/>
    </row>
    <row r="32" spans="1:10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400" priority="34"/>
  </conditionalFormatting>
  <conditionalFormatting sqref="C1:C17 C114 C130 C146 C162 C178:C179 C195 C211:C1048576">
    <cfRule type="duplicateValues" dxfId="399" priority="33"/>
  </conditionalFormatting>
  <conditionalFormatting sqref="C33">
    <cfRule type="duplicateValues" dxfId="398" priority="32"/>
  </conditionalFormatting>
  <conditionalFormatting sqref="C49">
    <cfRule type="duplicateValues" dxfId="397" priority="31"/>
  </conditionalFormatting>
  <conditionalFormatting sqref="C65">
    <cfRule type="duplicateValues" dxfId="396" priority="30"/>
  </conditionalFormatting>
  <conditionalFormatting sqref="C81">
    <cfRule type="duplicateValues" dxfId="395" priority="29"/>
  </conditionalFormatting>
  <conditionalFormatting sqref="C97:C98">
    <cfRule type="duplicateValues" dxfId="394" priority="28"/>
  </conditionalFormatting>
  <conditionalFormatting sqref="C18 C30:C32">
    <cfRule type="duplicateValues" dxfId="393" priority="27"/>
  </conditionalFormatting>
  <conditionalFormatting sqref="C34 C46:C48">
    <cfRule type="duplicateValues" dxfId="392" priority="26"/>
  </conditionalFormatting>
  <conditionalFormatting sqref="C50 C62:C64">
    <cfRule type="duplicateValues" dxfId="391" priority="25"/>
  </conditionalFormatting>
  <conditionalFormatting sqref="C66 C78:C80">
    <cfRule type="duplicateValues" dxfId="390" priority="24"/>
  </conditionalFormatting>
  <conditionalFormatting sqref="C82 C94:C96">
    <cfRule type="duplicateValues" dxfId="389" priority="23"/>
  </conditionalFormatting>
  <conditionalFormatting sqref="C99">
    <cfRule type="duplicateValues" dxfId="388" priority="22"/>
  </conditionalFormatting>
  <conditionalFormatting sqref="C115">
    <cfRule type="duplicateValues" dxfId="387" priority="21"/>
  </conditionalFormatting>
  <conditionalFormatting sqref="C131">
    <cfRule type="duplicateValues" dxfId="386" priority="20"/>
  </conditionalFormatting>
  <conditionalFormatting sqref="C147 C158:C161">
    <cfRule type="duplicateValues" dxfId="385" priority="19"/>
  </conditionalFormatting>
  <conditionalFormatting sqref="C163 C174:C177">
    <cfRule type="duplicateValues" dxfId="384" priority="18"/>
  </conditionalFormatting>
  <conditionalFormatting sqref="C180 C191:C194">
    <cfRule type="duplicateValues" dxfId="383" priority="17"/>
  </conditionalFormatting>
  <conditionalFormatting sqref="C196 C207:C210">
    <cfRule type="duplicateValues" dxfId="382" priority="16"/>
  </conditionalFormatting>
  <conditionalFormatting sqref="C19:C29">
    <cfRule type="duplicateValues" dxfId="381" priority="15"/>
  </conditionalFormatting>
  <conditionalFormatting sqref="C35:C45">
    <cfRule type="duplicateValues" dxfId="380" priority="14"/>
  </conditionalFormatting>
  <conditionalFormatting sqref="C51:C61">
    <cfRule type="duplicateValues" dxfId="379" priority="13"/>
  </conditionalFormatting>
  <conditionalFormatting sqref="C67:C77">
    <cfRule type="duplicateValues" dxfId="378" priority="12"/>
  </conditionalFormatting>
  <conditionalFormatting sqref="C83:C93">
    <cfRule type="duplicateValues" dxfId="377" priority="11"/>
  </conditionalFormatting>
  <conditionalFormatting sqref="C100:C109">
    <cfRule type="duplicateValues" dxfId="376" priority="10"/>
  </conditionalFormatting>
  <conditionalFormatting sqref="C116:C125">
    <cfRule type="duplicateValues" dxfId="375" priority="9"/>
  </conditionalFormatting>
  <conditionalFormatting sqref="C132:C141">
    <cfRule type="duplicateValues" dxfId="374" priority="8"/>
  </conditionalFormatting>
  <conditionalFormatting sqref="C148:C157">
    <cfRule type="duplicateValues" dxfId="373" priority="7"/>
  </conditionalFormatting>
  <conditionalFormatting sqref="C164:C173">
    <cfRule type="duplicateValues" dxfId="372" priority="6"/>
  </conditionalFormatting>
  <conditionalFormatting sqref="C181:C190">
    <cfRule type="duplicateValues" dxfId="371" priority="5"/>
  </conditionalFormatting>
  <conditionalFormatting sqref="C197:C206">
    <cfRule type="duplicateValues" dxfId="370" priority="4"/>
  </conditionalFormatting>
  <conditionalFormatting sqref="C142:C145">
    <cfRule type="duplicateValues" dxfId="369" priority="3"/>
  </conditionalFormatting>
  <conditionalFormatting sqref="C126:C129">
    <cfRule type="duplicateValues" dxfId="368" priority="2"/>
  </conditionalFormatting>
  <conditionalFormatting sqref="C110:C113">
    <cfRule type="duplicateValues" dxfId="36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3329</v>
      </c>
    </row>
    <row r="2" spans="1:4">
      <c r="A2" s="12" t="s">
        <v>3259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A345069X2602002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3257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3260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5" t="s">
        <v>956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3261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5" t="s">
        <v>956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3262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5" t="s">
        <v>3048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5" t="s">
        <v>956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3264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5" t="s">
        <v>3048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5" t="s">
        <v>956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3323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5" t="s">
        <v>3048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5" t="s">
        <v>2852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3324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5" t="s">
        <v>3048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5" t="s">
        <v>2852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3325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5" t="s">
        <v>3048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5" t="s">
        <v>2852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3326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5" t="s">
        <v>3048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5" t="s">
        <v>2852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3327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5" t="s">
        <v>3048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5" t="s">
        <v>2852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3328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5" t="s">
        <v>3048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5" t="s">
        <v>2852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366" priority="45"/>
  </conditionalFormatting>
  <conditionalFormatting sqref="C1:C16 C207:C1048576">
    <cfRule type="duplicateValues" dxfId="365" priority="44"/>
  </conditionalFormatting>
  <conditionalFormatting sqref="C67:C68">
    <cfRule type="duplicateValues" dxfId="364" priority="43"/>
  </conditionalFormatting>
  <conditionalFormatting sqref="C17">
    <cfRule type="duplicateValues" dxfId="363" priority="39"/>
  </conditionalFormatting>
  <conditionalFormatting sqref="C33">
    <cfRule type="duplicateValues" dxfId="362" priority="38"/>
  </conditionalFormatting>
  <conditionalFormatting sqref="C34">
    <cfRule type="duplicateValues" dxfId="361" priority="37"/>
  </conditionalFormatting>
  <conditionalFormatting sqref="C50:C51">
    <cfRule type="duplicateValues" dxfId="360" priority="36"/>
  </conditionalFormatting>
  <conditionalFormatting sqref="C30:C32">
    <cfRule type="duplicateValues" dxfId="359" priority="35"/>
  </conditionalFormatting>
  <conditionalFormatting sqref="C47:C49">
    <cfRule type="duplicateValues" dxfId="358" priority="34"/>
  </conditionalFormatting>
  <conditionalFormatting sqref="C64:C66">
    <cfRule type="duplicateValues" dxfId="357" priority="33"/>
  </conditionalFormatting>
  <conditionalFormatting sqref="C18:C29">
    <cfRule type="duplicateValues" dxfId="356" priority="32"/>
  </conditionalFormatting>
  <conditionalFormatting sqref="C35:C46">
    <cfRule type="duplicateValues" dxfId="355" priority="31"/>
  </conditionalFormatting>
  <conditionalFormatting sqref="C52:C63">
    <cfRule type="duplicateValues" dxfId="354" priority="30"/>
  </conditionalFormatting>
  <conditionalFormatting sqref="C1:C68 C207:C1048576">
    <cfRule type="duplicateValues" dxfId="353" priority="29"/>
  </conditionalFormatting>
  <conditionalFormatting sqref="C69:C84">
    <cfRule type="duplicateValues" dxfId="352" priority="28"/>
  </conditionalFormatting>
  <conditionalFormatting sqref="C135:C136">
    <cfRule type="duplicateValues" dxfId="351" priority="27"/>
  </conditionalFormatting>
  <conditionalFormatting sqref="C85">
    <cfRule type="duplicateValues" dxfId="350" priority="26"/>
  </conditionalFormatting>
  <conditionalFormatting sqref="C101">
    <cfRule type="duplicateValues" dxfId="349" priority="25"/>
  </conditionalFormatting>
  <conditionalFormatting sqref="C102">
    <cfRule type="duplicateValues" dxfId="348" priority="24"/>
  </conditionalFormatting>
  <conditionalFormatting sqref="C118:C119">
    <cfRule type="duplicateValues" dxfId="347" priority="23"/>
  </conditionalFormatting>
  <conditionalFormatting sqref="C98:C100">
    <cfRule type="duplicateValues" dxfId="346" priority="22"/>
  </conditionalFormatting>
  <conditionalFormatting sqref="C115:C117">
    <cfRule type="duplicateValues" dxfId="345" priority="21"/>
  </conditionalFormatting>
  <conditionalFormatting sqref="C132:C134">
    <cfRule type="duplicateValues" dxfId="344" priority="20"/>
  </conditionalFormatting>
  <conditionalFormatting sqref="C86:C97">
    <cfRule type="duplicateValues" dxfId="343" priority="19"/>
  </conditionalFormatting>
  <conditionalFormatting sqref="C103:C114">
    <cfRule type="duplicateValues" dxfId="342" priority="18"/>
  </conditionalFormatting>
  <conditionalFormatting sqref="C120:C131">
    <cfRule type="duplicateValues" dxfId="341" priority="17"/>
  </conditionalFormatting>
  <conditionalFormatting sqref="C69:C136">
    <cfRule type="duplicateValues" dxfId="340" priority="16"/>
  </conditionalFormatting>
  <conditionalFormatting sqref="C137:C138">
    <cfRule type="duplicateValues" dxfId="339" priority="15"/>
  </conditionalFormatting>
  <conditionalFormatting sqref="C137:C138">
    <cfRule type="duplicateValues" dxfId="338" priority="14"/>
  </conditionalFormatting>
  <conditionalFormatting sqref="C139:C154">
    <cfRule type="duplicateValues" dxfId="337" priority="13"/>
  </conditionalFormatting>
  <conditionalFormatting sqref="C205:C206">
    <cfRule type="duplicateValues" dxfId="336" priority="12"/>
  </conditionalFormatting>
  <conditionalFormatting sqref="C155">
    <cfRule type="duplicateValues" dxfId="335" priority="11"/>
  </conditionalFormatting>
  <conditionalFormatting sqref="C171">
    <cfRule type="duplicateValues" dxfId="334" priority="10"/>
  </conditionalFormatting>
  <conditionalFormatting sqref="C172">
    <cfRule type="duplicateValues" dxfId="333" priority="9"/>
  </conditionalFormatting>
  <conditionalFormatting sqref="C188:C189">
    <cfRule type="duplicateValues" dxfId="332" priority="8"/>
  </conditionalFormatting>
  <conditionalFormatting sqref="C168:C170">
    <cfRule type="duplicateValues" dxfId="331" priority="7"/>
  </conditionalFormatting>
  <conditionalFormatting sqref="C185:C187">
    <cfRule type="duplicateValues" dxfId="330" priority="6"/>
  </conditionalFormatting>
  <conditionalFormatting sqref="C202:C204">
    <cfRule type="duplicateValues" dxfId="329" priority="5"/>
  </conditionalFormatting>
  <conditionalFormatting sqref="C156:C167">
    <cfRule type="duplicateValues" dxfId="328" priority="4"/>
  </conditionalFormatting>
  <conditionalFormatting sqref="C173:C184">
    <cfRule type="duplicateValues" dxfId="327" priority="3"/>
  </conditionalFormatting>
  <conditionalFormatting sqref="C190:C201">
    <cfRule type="duplicateValues" dxfId="326" priority="2"/>
  </conditionalFormatting>
  <conditionalFormatting sqref="C139:C206">
    <cfRule type="duplicateValues" dxfId="325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3253</v>
      </c>
    </row>
    <row r="2" spans="1:3">
      <c r="A2" s="12" t="s">
        <v>3142</v>
      </c>
      <c r="B2" s="13"/>
      <c r="C2" s="8"/>
    </row>
    <row r="3" spans="1:3">
      <c r="A3" s="15" t="s">
        <v>3124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5" t="s">
        <v>2117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5" t="s">
        <v>3189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5" t="s">
        <v>3163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1" t="s">
        <v>3253</v>
      </c>
    </row>
    <row r="19" spans="1:3">
      <c r="A19" s="12" t="s">
        <v>3145</v>
      </c>
      <c r="B19" s="13"/>
      <c r="C19" s="8"/>
    </row>
    <row r="20" spans="1:3">
      <c r="A20" s="15" t="s">
        <v>3124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5" t="s">
        <v>2117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5" t="s">
        <v>3189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5" t="s">
        <v>2104</v>
      </c>
      <c r="B23" s="15">
        <f t="shared" si="2"/>
        <v>4</v>
      </c>
      <c r="C23" s="7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5" t="s">
        <v>3163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5" t="s">
        <v>2096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5"/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5"/>
      <c r="B27" s="15">
        <f t="shared" ref="B27:B33" si="3">LEN(C27)-LEN(SUBSTITUTE(C27,",",""))+1</f>
        <v>1</v>
      </c>
      <c r="C27" s="7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5"/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1" t="s">
        <v>3253</v>
      </c>
    </row>
    <row r="37" spans="1:3">
      <c r="A37" s="12" t="s">
        <v>3148</v>
      </c>
      <c r="B37" s="13"/>
      <c r="C37" s="8"/>
    </row>
    <row r="38" spans="1:3">
      <c r="A38" s="15" t="s">
        <v>3124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5" t="s">
        <v>2117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5" t="s">
        <v>3189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5" t="s">
        <v>3163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1" t="s">
        <v>3253</v>
      </c>
    </row>
    <row r="55" spans="1:3">
      <c r="A55" s="12" t="s">
        <v>3151</v>
      </c>
      <c r="B55" s="13"/>
      <c r="C55" s="8"/>
    </row>
    <row r="56" spans="1:3">
      <c r="A56" s="15" t="s">
        <v>3124</v>
      </c>
      <c r="B56" s="14">
        <f t="shared" ref="B56:B60" si="6">LEN(C56)-LEN(SUBSTITUTE(C56,",",""))+1</f>
        <v>1</v>
      </c>
      <c r="C56" s="9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5" t="s">
        <v>2117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5" t="s">
        <v>3189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5" t="s">
        <v>2104</v>
      </c>
      <c r="B59" s="15">
        <f t="shared" si="6"/>
        <v>4</v>
      </c>
      <c r="C59" s="7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5" t="s">
        <v>3163</v>
      </c>
      <c r="B60" s="15">
        <f t="shared" si="6"/>
        <v>1</v>
      </c>
      <c r="C60" s="7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5" t="s">
        <v>2096</v>
      </c>
      <c r="B61" s="15">
        <f>LEN(C61)-LEN(SUBSTITUTE(C61,",",""))+1</f>
        <v>1</v>
      </c>
      <c r="C61" s="7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5"/>
      <c r="B62" s="15">
        <f>LEN(C62)-LEN(SUBSTITUTE(C62,",",""))+1</f>
        <v>1</v>
      </c>
      <c r="C62" s="7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5"/>
      <c r="B63" s="15">
        <f t="shared" ref="B63:B69" si="7">LEN(C63)-LEN(SUBSTITUTE(C63,",",""))+1</f>
        <v>1</v>
      </c>
      <c r="C63" s="7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5"/>
      <c r="B68" s="15">
        <f t="shared" si="7"/>
        <v>1</v>
      </c>
      <c r="C68" s="7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5"/>
      <c r="B69" s="15">
        <f t="shared" si="7"/>
        <v>1</v>
      </c>
      <c r="C69" s="7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1" t="s">
        <v>3253</v>
      </c>
    </row>
    <row r="73" spans="1:3">
      <c r="A73" s="12" t="s">
        <v>3154</v>
      </c>
      <c r="B73" s="13"/>
      <c r="C73" s="8"/>
    </row>
    <row r="74" spans="1:3">
      <c r="A74" s="15" t="s">
        <v>3124</v>
      </c>
      <c r="B74" s="14">
        <f t="shared" ref="B74:B78" si="8">LEN(C74)-LEN(SUBSTITUTE(C74,",",""))+1</f>
        <v>1</v>
      </c>
      <c r="C74" s="9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5" t="s">
        <v>2117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5" t="s">
        <v>3189</v>
      </c>
      <c r="B76" s="15">
        <f t="shared" si="8"/>
        <v>1</v>
      </c>
      <c r="C76" s="7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5" t="s">
        <v>2104</v>
      </c>
      <c r="B77" s="15">
        <f t="shared" si="8"/>
        <v>4</v>
      </c>
      <c r="C77" s="7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5" t="s">
        <v>3163</v>
      </c>
      <c r="B78" s="15">
        <f t="shared" si="8"/>
        <v>1</v>
      </c>
      <c r="C78" s="7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5" t="s">
        <v>2096</v>
      </c>
      <c r="B79" s="15">
        <f>LEN(C79)-LEN(SUBSTITUTE(C79,",",""))+1</f>
        <v>1</v>
      </c>
      <c r="C79" s="7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5"/>
      <c r="B80" s="15">
        <f>LEN(C80)-LEN(SUBSTITUTE(C80,",",""))+1</f>
        <v>1</v>
      </c>
      <c r="C80" s="7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5"/>
      <c r="B81" s="15">
        <f t="shared" ref="B81:B87" si="9">LEN(C81)-LEN(SUBSTITUTE(C81,",",""))+1</f>
        <v>1</v>
      </c>
      <c r="C81" s="7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5"/>
      <c r="B84" s="15">
        <f t="shared" si="9"/>
        <v>1</v>
      </c>
      <c r="C84" s="7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5"/>
      <c r="B85" s="15">
        <f t="shared" si="9"/>
        <v>1</v>
      </c>
      <c r="C85" s="7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5"/>
      <c r="B86" s="15">
        <f t="shared" si="9"/>
        <v>1</v>
      </c>
      <c r="C86" s="7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5"/>
      <c r="B87" s="15">
        <f t="shared" si="9"/>
        <v>1</v>
      </c>
      <c r="C87" s="7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1" t="s">
        <v>3253</v>
      </c>
    </row>
    <row r="91" spans="1:3">
      <c r="A91" s="12" t="s">
        <v>3160</v>
      </c>
      <c r="B91" s="13"/>
      <c r="C91" s="8"/>
    </row>
    <row r="92" spans="1:3">
      <c r="A92" s="15" t="s">
        <v>3124</v>
      </c>
      <c r="B92" s="14">
        <f t="shared" ref="B92:B96" si="10">LEN(C92)-LEN(SUBSTITUTE(C92,",",""))+1</f>
        <v>1</v>
      </c>
      <c r="C92" s="9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5" t="s">
        <v>2117</v>
      </c>
      <c r="B93" s="15">
        <f t="shared" si="10"/>
        <v>1</v>
      </c>
      <c r="C93" s="7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5" t="s">
        <v>3189</v>
      </c>
      <c r="B94" s="15">
        <f t="shared" si="10"/>
        <v>1</v>
      </c>
      <c r="C94" s="7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5" t="s">
        <v>2104</v>
      </c>
      <c r="B95" s="15">
        <f t="shared" si="10"/>
        <v>4</v>
      </c>
      <c r="C95" s="7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5" t="s">
        <v>3163</v>
      </c>
      <c r="B96" s="15">
        <f t="shared" si="10"/>
        <v>1</v>
      </c>
      <c r="C96" s="7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5" t="s">
        <v>2096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5"/>
      <c r="B98" s="15">
        <f>LEN(C98)-LEN(SUBSTITUTE(C98,",",""))+1</f>
        <v>1</v>
      </c>
      <c r="C98" s="7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5"/>
      <c r="B99" s="15">
        <f t="shared" ref="B99:B105" si="11">LEN(C99)-LEN(SUBSTITUTE(C99,",",""))+1</f>
        <v>1</v>
      </c>
      <c r="C99" s="7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5"/>
      <c r="B101" s="15">
        <f t="shared" si="11"/>
        <v>1</v>
      </c>
      <c r="C101" s="7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5"/>
      <c r="B102" s="15">
        <f t="shared" si="11"/>
        <v>1</v>
      </c>
      <c r="C102" s="7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5"/>
      <c r="B103" s="15">
        <f t="shared" si="11"/>
        <v>1</v>
      </c>
      <c r="C103" s="7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5"/>
      <c r="B104" s="15">
        <f t="shared" si="11"/>
        <v>1</v>
      </c>
      <c r="C104" s="7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5"/>
      <c r="B105" s="15">
        <f t="shared" si="11"/>
        <v>1</v>
      </c>
      <c r="C105" s="7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1" t="s">
        <v>3253</v>
      </c>
    </row>
    <row r="109" spans="1:3">
      <c r="A109" s="12" t="s">
        <v>3157</v>
      </c>
      <c r="B109" s="13"/>
      <c r="C109" s="8"/>
    </row>
    <row r="110" spans="1:3">
      <c r="A110" s="15" t="s">
        <v>3124</v>
      </c>
      <c r="B110" s="14">
        <f t="shared" ref="B110:B114" si="12">LEN(C110)-LEN(SUBSTITUTE(C110,",",""))+1</f>
        <v>1</v>
      </c>
      <c r="C110" s="9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5" t="s">
        <v>2117</v>
      </c>
      <c r="B111" s="15">
        <f t="shared" si="12"/>
        <v>1</v>
      </c>
      <c r="C111" s="7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5" t="s">
        <v>3189</v>
      </c>
      <c r="B112" s="15">
        <f t="shared" si="12"/>
        <v>1</v>
      </c>
      <c r="C112" s="7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5" t="s">
        <v>2104</v>
      </c>
      <c r="B113" s="15">
        <f t="shared" si="12"/>
        <v>4</v>
      </c>
      <c r="C113" s="7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5" t="s">
        <v>3163</v>
      </c>
      <c r="B114" s="15">
        <f t="shared" si="12"/>
        <v>1</v>
      </c>
      <c r="C114" s="7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5" t="s">
        <v>2096</v>
      </c>
      <c r="B115" s="15">
        <f>LEN(C115)-LEN(SUBSTITUTE(C115,",",""))+1</f>
        <v>1</v>
      </c>
      <c r="C115" s="7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5"/>
      <c r="B116" s="15">
        <f>LEN(C116)-LEN(SUBSTITUTE(C116,",",""))+1</f>
        <v>1</v>
      </c>
      <c r="C116" s="7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5"/>
      <c r="B117" s="15">
        <f t="shared" ref="B117:B123" si="13">LEN(C117)-LEN(SUBSTITUTE(C117,",",""))+1</f>
        <v>1</v>
      </c>
      <c r="C117" s="7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5"/>
      <c r="B118" s="15">
        <f t="shared" si="13"/>
        <v>1</v>
      </c>
      <c r="C118" s="7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5"/>
      <c r="B119" s="15">
        <f t="shared" si="13"/>
        <v>1</v>
      </c>
      <c r="C119" s="7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5"/>
      <c r="B120" s="15">
        <f t="shared" si="13"/>
        <v>1</v>
      </c>
      <c r="C120" s="7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5"/>
      <c r="B121" s="15">
        <f t="shared" si="13"/>
        <v>1</v>
      </c>
      <c r="C121" s="7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5"/>
      <c r="B122" s="15">
        <f t="shared" si="13"/>
        <v>1</v>
      </c>
      <c r="C122" s="7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5"/>
      <c r="B123" s="15">
        <f t="shared" si="13"/>
        <v>1</v>
      </c>
      <c r="C123" s="7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1" t="s">
        <v>3253</v>
      </c>
    </row>
    <row r="127" spans="1:3">
      <c r="A127" s="12" t="s">
        <v>3127</v>
      </c>
      <c r="B127" s="13"/>
      <c r="C127" s="8"/>
    </row>
    <row r="128" spans="1:3">
      <c r="A128" s="15" t="s">
        <v>3124</v>
      </c>
      <c r="B128" s="14">
        <f t="shared" ref="B128:B132" si="14">LEN(C128)-LEN(SUBSTITUTE(C128,",",""))+1</f>
        <v>1</v>
      </c>
      <c r="C128" s="9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5" t="s">
        <v>2117</v>
      </c>
      <c r="B129" s="15">
        <f t="shared" si="14"/>
        <v>1</v>
      </c>
      <c r="C129" s="7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5" t="s">
        <v>3189</v>
      </c>
      <c r="B130" s="15">
        <f t="shared" si="14"/>
        <v>1</v>
      </c>
      <c r="C130" s="7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5" t="s">
        <v>2104</v>
      </c>
      <c r="B131" s="15">
        <f t="shared" si="14"/>
        <v>4</v>
      </c>
      <c r="C131" s="7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5" t="s">
        <v>3163</v>
      </c>
      <c r="B132" s="15">
        <f t="shared" si="14"/>
        <v>1</v>
      </c>
      <c r="C132" s="7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5" t="s">
        <v>2096</v>
      </c>
      <c r="B133" s="15">
        <f>LEN(C133)-LEN(SUBSTITUTE(C133,",",""))+1</f>
        <v>1</v>
      </c>
      <c r="C133" s="7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5"/>
      <c r="B134" s="15">
        <f>LEN(C134)-LEN(SUBSTITUTE(C134,",",""))+1</f>
        <v>1</v>
      </c>
      <c r="C134" s="7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5"/>
      <c r="B135" s="15">
        <f t="shared" ref="B135:B141" si="15">LEN(C135)-LEN(SUBSTITUTE(C135,",",""))+1</f>
        <v>1</v>
      </c>
      <c r="C135" s="7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5"/>
      <c r="B136" s="15">
        <f t="shared" si="15"/>
        <v>1</v>
      </c>
      <c r="C136" s="7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5"/>
      <c r="B137" s="15">
        <f t="shared" si="15"/>
        <v>1</v>
      </c>
      <c r="C137" s="7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5"/>
      <c r="B138" s="15">
        <f t="shared" si="15"/>
        <v>1</v>
      </c>
      <c r="C138" s="7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5"/>
      <c r="B139" s="15">
        <f t="shared" si="15"/>
        <v>1</v>
      </c>
      <c r="C139" s="7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5"/>
      <c r="B140" s="15">
        <f t="shared" si="15"/>
        <v>1</v>
      </c>
      <c r="C140" s="7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5"/>
      <c r="B141" s="15">
        <f t="shared" si="15"/>
        <v>1</v>
      </c>
      <c r="C141" s="7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1" t="s">
        <v>3253</v>
      </c>
    </row>
    <row r="145" spans="1:3">
      <c r="A145" s="12" t="s">
        <v>3130</v>
      </c>
      <c r="B145" s="13"/>
      <c r="C145" s="8"/>
    </row>
    <row r="146" spans="1:3">
      <c r="A146" s="15" t="s">
        <v>3124</v>
      </c>
      <c r="B146" s="14">
        <f t="shared" ref="B146:B150" si="16">LEN(C146)-LEN(SUBSTITUTE(C146,",",""))+1</f>
        <v>1</v>
      </c>
      <c r="C146" s="9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5" t="s">
        <v>2117</v>
      </c>
      <c r="B147" s="15">
        <f t="shared" si="16"/>
        <v>1</v>
      </c>
      <c r="C147" s="7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5" t="s">
        <v>3189</v>
      </c>
      <c r="B148" s="15">
        <f t="shared" si="16"/>
        <v>1</v>
      </c>
      <c r="C148" s="7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5" t="s">
        <v>2104</v>
      </c>
      <c r="B149" s="15">
        <f t="shared" si="16"/>
        <v>4</v>
      </c>
      <c r="C149" s="7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5" t="s">
        <v>3163</v>
      </c>
      <c r="B150" s="15">
        <f t="shared" si="16"/>
        <v>1</v>
      </c>
      <c r="C150" s="7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5" t="s">
        <v>2096</v>
      </c>
      <c r="B151" s="15">
        <f>LEN(C151)-LEN(SUBSTITUTE(C151,",",""))+1</f>
        <v>1</v>
      </c>
      <c r="C151" s="7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5"/>
      <c r="B152" s="15">
        <f>LEN(C152)-LEN(SUBSTITUTE(C152,",",""))+1</f>
        <v>1</v>
      </c>
      <c r="C152" s="7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5"/>
      <c r="B153" s="15">
        <f t="shared" ref="B153:B159" si="17">LEN(C153)-LEN(SUBSTITUTE(C153,",",""))+1</f>
        <v>1</v>
      </c>
      <c r="C153" s="7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5"/>
      <c r="B154" s="15">
        <f t="shared" si="17"/>
        <v>1</v>
      </c>
      <c r="C154" s="7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5"/>
      <c r="B155" s="15">
        <f t="shared" si="17"/>
        <v>1</v>
      </c>
      <c r="C155" s="7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5"/>
      <c r="B156" s="15">
        <f t="shared" si="17"/>
        <v>1</v>
      </c>
      <c r="C156" s="7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5"/>
      <c r="B157" s="15">
        <f t="shared" si="17"/>
        <v>1</v>
      </c>
      <c r="C157" s="7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5"/>
      <c r="B158" s="15">
        <f t="shared" si="17"/>
        <v>1</v>
      </c>
      <c r="C158" s="7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5"/>
      <c r="B159" s="15">
        <f t="shared" si="17"/>
        <v>1</v>
      </c>
      <c r="C159" s="7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1" t="s">
        <v>3253</v>
      </c>
    </row>
    <row r="163" spans="1:3">
      <c r="A163" s="12" t="s">
        <v>3136</v>
      </c>
      <c r="B163" s="13"/>
      <c r="C163" s="8"/>
    </row>
    <row r="164" spans="1:3">
      <c r="A164" s="15" t="s">
        <v>3124</v>
      </c>
      <c r="B164" s="14">
        <f t="shared" ref="B164:B168" si="18">LEN(C164)-LEN(SUBSTITUTE(C164,",",""))+1</f>
        <v>1</v>
      </c>
      <c r="C164" s="9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5" t="s">
        <v>2117</v>
      </c>
      <c r="B165" s="15">
        <f t="shared" si="18"/>
        <v>1</v>
      </c>
      <c r="C165" s="7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5" t="s">
        <v>3189</v>
      </c>
      <c r="B166" s="15">
        <f t="shared" si="18"/>
        <v>1</v>
      </c>
      <c r="C166" s="7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5" t="s">
        <v>2104</v>
      </c>
      <c r="B167" s="15">
        <f t="shared" si="18"/>
        <v>4</v>
      </c>
      <c r="C167" s="7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5" t="s">
        <v>3163</v>
      </c>
      <c r="B168" s="15">
        <f t="shared" si="18"/>
        <v>1</v>
      </c>
      <c r="C168" s="7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5" t="s">
        <v>2096</v>
      </c>
      <c r="B169" s="15">
        <f>LEN(C169)-LEN(SUBSTITUTE(C169,",",""))+1</f>
        <v>1</v>
      </c>
      <c r="C169" s="7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5"/>
      <c r="B170" s="15">
        <f>LEN(C170)-LEN(SUBSTITUTE(C170,",",""))+1</f>
        <v>1</v>
      </c>
      <c r="C170" s="7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5"/>
      <c r="B171" s="15">
        <f t="shared" ref="B171:B177" si="19"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5"/>
      <c r="B172" s="15">
        <f t="shared" si="19"/>
        <v>1</v>
      </c>
      <c r="C172" s="7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5"/>
      <c r="B173" s="15">
        <f t="shared" si="19"/>
        <v>1</v>
      </c>
      <c r="C173" s="7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5"/>
      <c r="B174" s="15">
        <f t="shared" si="19"/>
        <v>1</v>
      </c>
      <c r="C174" s="7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5"/>
      <c r="B175" s="15">
        <f t="shared" si="19"/>
        <v>1</v>
      </c>
      <c r="C175" s="7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5"/>
      <c r="B176" s="15">
        <f t="shared" si="19"/>
        <v>1</v>
      </c>
      <c r="C176" s="7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5"/>
      <c r="B177" s="15">
        <f t="shared" si="19"/>
        <v>1</v>
      </c>
      <c r="C177" s="7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1" t="s">
        <v>3253</v>
      </c>
    </row>
    <row r="181" spans="1:3">
      <c r="A181" s="12" t="s">
        <v>3133</v>
      </c>
      <c r="B181" s="13"/>
      <c r="C181" s="8"/>
    </row>
    <row r="182" spans="1:3">
      <c r="A182" s="15" t="s">
        <v>3124</v>
      </c>
      <c r="B182" s="14">
        <f t="shared" ref="B182:B186" si="20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5" t="s">
        <v>2117</v>
      </c>
      <c r="B183" s="15">
        <f t="shared" si="20"/>
        <v>1</v>
      </c>
      <c r="C183" s="7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5" t="s">
        <v>3189</v>
      </c>
      <c r="B184" s="15">
        <f t="shared" si="20"/>
        <v>1</v>
      </c>
      <c r="C184" s="7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5" t="s">
        <v>2104</v>
      </c>
      <c r="B185" s="15">
        <f t="shared" si="20"/>
        <v>4</v>
      </c>
      <c r="C185" s="7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5" t="s">
        <v>3163</v>
      </c>
      <c r="B186" s="15">
        <f t="shared" si="20"/>
        <v>1</v>
      </c>
      <c r="C186" s="7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1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1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1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1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1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1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1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1" t="s">
        <v>3253</v>
      </c>
    </row>
    <row r="199" spans="1:3">
      <c r="A199" s="12" t="s">
        <v>3139</v>
      </c>
      <c r="B199" s="13"/>
      <c r="C199" s="8"/>
    </row>
    <row r="200" spans="1:3">
      <c r="A200" s="15" t="s">
        <v>3124</v>
      </c>
      <c r="B200" s="14">
        <f t="shared" ref="B200:B204" si="22">LEN(C200)-LEN(SUBSTITUTE(C200,",",""))+1</f>
        <v>1</v>
      </c>
      <c r="C200" s="9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5" t="s">
        <v>2117</v>
      </c>
      <c r="B201" s="15">
        <f t="shared" si="22"/>
        <v>1</v>
      </c>
      <c r="C201" s="7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5" t="s">
        <v>3189</v>
      </c>
      <c r="B202" s="15">
        <f t="shared" si="22"/>
        <v>1</v>
      </c>
      <c r="C202" s="7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5" t="s">
        <v>2104</v>
      </c>
      <c r="B203" s="15">
        <f t="shared" si="22"/>
        <v>4</v>
      </c>
      <c r="C203" s="7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5" t="s">
        <v>3163</v>
      </c>
      <c r="B204" s="15">
        <f t="shared" si="22"/>
        <v>1</v>
      </c>
      <c r="C204" s="7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5" t="s">
        <v>2096</v>
      </c>
      <c r="B205" s="15">
        <f>LEN(C205)-LEN(SUBSTITUTE(C205,",",""))+1</f>
        <v>1</v>
      </c>
      <c r="C205" s="7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5"/>
      <c r="B206" s="15">
        <f>LEN(C206)-LEN(SUBSTITUTE(C206,",",""))+1</f>
        <v>1</v>
      </c>
      <c r="C206" s="7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5"/>
      <c r="B207" s="15">
        <f t="shared" ref="B207:B213" si="23">LEN(C207)-LEN(SUBSTITUTE(C207,",",""))+1</f>
        <v>1</v>
      </c>
      <c r="C207" s="7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5"/>
      <c r="B208" s="15">
        <f t="shared" si="23"/>
        <v>1</v>
      </c>
      <c r="C208" s="7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5"/>
      <c r="B209" s="15">
        <f t="shared" si="23"/>
        <v>1</v>
      </c>
      <c r="C209" s="7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5"/>
      <c r="B210" s="15">
        <f t="shared" si="23"/>
        <v>1</v>
      </c>
      <c r="C210" s="7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5"/>
      <c r="B211" s="15">
        <f t="shared" si="23"/>
        <v>1</v>
      </c>
      <c r="C211" s="7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5"/>
      <c r="B212" s="15">
        <f t="shared" si="23"/>
        <v>1</v>
      </c>
      <c r="C212" s="7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5"/>
      <c r="B213" s="15">
        <f t="shared" si="23"/>
        <v>1</v>
      </c>
      <c r="C213" s="7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4" priority="45"/>
  </conditionalFormatting>
  <conditionalFormatting sqref="C1:C17 C178:C179 C214:C1048576">
    <cfRule type="duplicateValues" dxfId="323" priority="44"/>
  </conditionalFormatting>
  <conditionalFormatting sqref="C34">
    <cfRule type="duplicateValues" dxfId="322" priority="37"/>
  </conditionalFormatting>
  <conditionalFormatting sqref="C160:C161">
    <cfRule type="duplicateValues" dxfId="321" priority="30"/>
  </conditionalFormatting>
  <conditionalFormatting sqref="C196">
    <cfRule type="duplicateValues" dxfId="320" priority="27"/>
  </conditionalFormatting>
  <conditionalFormatting sqref="C35">
    <cfRule type="duplicateValues" dxfId="319" priority="25"/>
  </conditionalFormatting>
  <conditionalFormatting sqref="C52:C53">
    <cfRule type="duplicateValues" dxfId="318" priority="24"/>
  </conditionalFormatting>
  <conditionalFormatting sqref="C70:C71">
    <cfRule type="duplicateValues" dxfId="317" priority="23"/>
  </conditionalFormatting>
  <conditionalFormatting sqref="C88:C89">
    <cfRule type="duplicateValues" dxfId="316" priority="22"/>
  </conditionalFormatting>
  <conditionalFormatting sqref="C106:C107">
    <cfRule type="duplicateValues" dxfId="315" priority="21"/>
  </conditionalFormatting>
  <conditionalFormatting sqref="C124:C125">
    <cfRule type="duplicateValues" dxfId="314" priority="20"/>
  </conditionalFormatting>
  <conditionalFormatting sqref="C197">
    <cfRule type="duplicateValues" dxfId="313" priority="15"/>
  </conditionalFormatting>
  <conditionalFormatting sqref="C142:C143">
    <cfRule type="duplicateValues" dxfId="312" priority="14"/>
  </conditionalFormatting>
  <conditionalFormatting sqref="C18:C33">
    <cfRule type="duplicateValues" dxfId="311" priority="11"/>
  </conditionalFormatting>
  <conditionalFormatting sqref="C36:C51">
    <cfRule type="duplicateValues" dxfId="310" priority="10"/>
  </conditionalFormatting>
  <conditionalFormatting sqref="C54:C69">
    <cfRule type="duplicateValues" dxfId="309" priority="9"/>
  </conditionalFormatting>
  <conditionalFormatting sqref="C72:C87">
    <cfRule type="duplicateValues" dxfId="308" priority="8"/>
  </conditionalFormatting>
  <conditionalFormatting sqref="C90:C105">
    <cfRule type="duplicateValues" dxfId="307" priority="7"/>
  </conditionalFormatting>
  <conditionalFormatting sqref="C108:C123">
    <cfRule type="duplicateValues" dxfId="306" priority="6"/>
  </conditionalFormatting>
  <conditionalFormatting sqref="C126:C141">
    <cfRule type="duplicateValues" dxfId="305" priority="5"/>
  </conditionalFormatting>
  <conditionalFormatting sqref="C144:C159">
    <cfRule type="duplicateValues" dxfId="304" priority="4"/>
  </conditionalFormatting>
  <conditionalFormatting sqref="C162:C177">
    <cfRule type="duplicateValues" dxfId="303" priority="3"/>
  </conditionalFormatting>
  <conditionalFormatting sqref="C180:C195">
    <cfRule type="duplicateValues" dxfId="302" priority="2"/>
  </conditionalFormatting>
  <conditionalFormatting sqref="C198:C213">
    <cfRule type="duplicateValues" dxfId="30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3123</v>
      </c>
    </row>
    <row r="2" spans="1:3">
      <c r="A2" s="12" t="s">
        <v>3110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5" t="s">
        <v>3116</v>
      </c>
      <c r="B8" s="15">
        <f>LEN(C8)-LEN(SUBSTITUTE(C8,",",""))+1</f>
        <v>2</v>
      </c>
      <c r="C8" s="7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5" t="s">
        <v>3119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5" t="s">
        <v>3107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300" priority="34"/>
  </conditionalFormatting>
  <conditionalFormatting sqref="C1:C17 C114 C130 C146 C162 C178:C179 C195 C211:C1048576">
    <cfRule type="duplicateValues" dxfId="299" priority="33"/>
  </conditionalFormatting>
  <conditionalFormatting sqref="C33">
    <cfRule type="duplicateValues" dxfId="298" priority="32"/>
  </conditionalFormatting>
  <conditionalFormatting sqref="C49">
    <cfRule type="duplicateValues" dxfId="297" priority="31"/>
  </conditionalFormatting>
  <conditionalFormatting sqref="C65">
    <cfRule type="duplicateValues" dxfId="296" priority="30"/>
  </conditionalFormatting>
  <conditionalFormatting sqref="C81">
    <cfRule type="duplicateValues" dxfId="295" priority="29"/>
  </conditionalFormatting>
  <conditionalFormatting sqref="C97:C98">
    <cfRule type="duplicateValues" dxfId="294" priority="28"/>
  </conditionalFormatting>
  <conditionalFormatting sqref="C18 C30:C32">
    <cfRule type="duplicateValues" dxfId="293" priority="27"/>
  </conditionalFormatting>
  <conditionalFormatting sqref="C34 C46:C48">
    <cfRule type="duplicateValues" dxfId="292" priority="26"/>
  </conditionalFormatting>
  <conditionalFormatting sqref="C50 C62:C64">
    <cfRule type="duplicateValues" dxfId="291" priority="25"/>
  </conditionalFormatting>
  <conditionalFormatting sqref="C66 C78:C80">
    <cfRule type="duplicateValues" dxfId="290" priority="24"/>
  </conditionalFormatting>
  <conditionalFormatting sqref="C82 C94:C96">
    <cfRule type="duplicateValues" dxfId="289" priority="23"/>
  </conditionalFormatting>
  <conditionalFormatting sqref="C99">
    <cfRule type="duplicateValues" dxfId="288" priority="22"/>
  </conditionalFormatting>
  <conditionalFormatting sqref="C115">
    <cfRule type="duplicateValues" dxfId="287" priority="21"/>
  </conditionalFormatting>
  <conditionalFormatting sqref="C131">
    <cfRule type="duplicateValues" dxfId="286" priority="20"/>
  </conditionalFormatting>
  <conditionalFormatting sqref="C147 C158:C161">
    <cfRule type="duplicateValues" dxfId="285" priority="19"/>
  </conditionalFormatting>
  <conditionalFormatting sqref="C163 C174:C177">
    <cfRule type="duplicateValues" dxfId="284" priority="18"/>
  </conditionalFormatting>
  <conditionalFormatting sqref="C180 C191:C194">
    <cfRule type="duplicateValues" dxfId="283" priority="17"/>
  </conditionalFormatting>
  <conditionalFormatting sqref="C196 C207:C210">
    <cfRule type="duplicateValues" dxfId="282" priority="16"/>
  </conditionalFormatting>
  <conditionalFormatting sqref="C19:C29">
    <cfRule type="duplicateValues" dxfId="281" priority="15"/>
  </conditionalFormatting>
  <conditionalFormatting sqref="C35:C45">
    <cfRule type="duplicateValues" dxfId="280" priority="14"/>
  </conditionalFormatting>
  <conditionalFormatting sqref="C51:C61">
    <cfRule type="duplicateValues" dxfId="279" priority="13"/>
  </conditionalFormatting>
  <conditionalFormatting sqref="C67:C77">
    <cfRule type="duplicateValues" dxfId="278" priority="12"/>
  </conditionalFormatting>
  <conditionalFormatting sqref="C83:C93">
    <cfRule type="duplicateValues" dxfId="277" priority="11"/>
  </conditionalFormatting>
  <conditionalFormatting sqref="C100:C109">
    <cfRule type="duplicateValues" dxfId="276" priority="10"/>
  </conditionalFormatting>
  <conditionalFormatting sqref="C116:C125">
    <cfRule type="duplicateValues" dxfId="275" priority="9"/>
  </conditionalFormatting>
  <conditionalFormatting sqref="C132:C141">
    <cfRule type="duplicateValues" dxfId="274" priority="8"/>
  </conditionalFormatting>
  <conditionalFormatting sqref="C148:C157">
    <cfRule type="duplicateValues" dxfId="273" priority="7"/>
  </conditionalFormatting>
  <conditionalFormatting sqref="C164:C173">
    <cfRule type="duplicateValues" dxfId="272" priority="6"/>
  </conditionalFormatting>
  <conditionalFormatting sqref="C181:C190">
    <cfRule type="duplicateValues" dxfId="271" priority="5"/>
  </conditionalFormatting>
  <conditionalFormatting sqref="C197:C206">
    <cfRule type="duplicateValues" dxfId="270" priority="4"/>
  </conditionalFormatting>
  <conditionalFormatting sqref="C142:C145">
    <cfRule type="duplicateValues" dxfId="269" priority="3"/>
  </conditionalFormatting>
  <conditionalFormatting sqref="C126:C129">
    <cfRule type="duplicateValues" dxfId="268" priority="2"/>
  </conditionalFormatting>
  <conditionalFormatting sqref="C110:C113">
    <cfRule type="duplicateValues" dxfId="267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3105</v>
      </c>
    </row>
    <row r="2" spans="1:4">
      <c r="A2" s="12" t="s">
        <v>3068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A345069X2409132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3105</v>
      </c>
    </row>
    <row r="19" spans="1:3">
      <c r="A19" s="12" t="s">
        <v>3078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3106</v>
      </c>
    </row>
    <row r="36" spans="1:3">
      <c r="A36" s="12" t="s">
        <v>3051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5" t="s">
        <v>701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3106</v>
      </c>
    </row>
    <row r="53" spans="1:3">
      <c r="A53" s="12" t="s">
        <v>3060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5" t="s">
        <v>701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7" spans="1:3">
      <c r="A87" s="12"/>
      <c r="B87" s="13"/>
      <c r="C87" s="8"/>
    </row>
    <row r="88" spans="1:3">
      <c r="A88" s="14"/>
      <c r="B88" s="14"/>
      <c r="C88" s="9"/>
    </row>
    <row r="90" spans="1:3">
      <c r="A90" s="12"/>
      <c r="B90" s="13"/>
      <c r="C90" s="8"/>
    </row>
    <row r="91" spans="1:3">
      <c r="A91" s="14"/>
      <c r="B91" s="14"/>
      <c r="C91" s="9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266" priority="17"/>
  </conditionalFormatting>
  <conditionalFormatting sqref="C1:C16 C113:C114 C127:C1048576 C70:C86 C89:C103">
    <cfRule type="duplicateValues" dxfId="265" priority="16"/>
  </conditionalFormatting>
  <conditionalFormatting sqref="C67:C69">
    <cfRule type="duplicateValues" dxfId="264" priority="15"/>
  </conditionalFormatting>
  <conditionalFormatting sqref="C87:C88">
    <cfRule type="duplicateValues" dxfId="263" priority="14"/>
  </conditionalFormatting>
  <conditionalFormatting sqref="C104:C112">
    <cfRule type="duplicateValues" dxfId="262" priority="13"/>
  </conditionalFormatting>
  <conditionalFormatting sqref="C115:C126">
    <cfRule type="duplicateValues" dxfId="261" priority="12"/>
  </conditionalFormatting>
  <conditionalFormatting sqref="C17">
    <cfRule type="duplicateValues" dxfId="260" priority="11"/>
  </conditionalFormatting>
  <conditionalFormatting sqref="C33">
    <cfRule type="duplicateValues" dxfId="259" priority="10"/>
  </conditionalFormatting>
  <conditionalFormatting sqref="C34">
    <cfRule type="duplicateValues" dxfId="258" priority="9"/>
  </conditionalFormatting>
  <conditionalFormatting sqref="C50:C51">
    <cfRule type="duplicateValues" dxfId="257" priority="8"/>
  </conditionalFormatting>
  <conditionalFormatting sqref="C30:C32">
    <cfRule type="duplicateValues" dxfId="256" priority="7"/>
  </conditionalFormatting>
  <conditionalFormatting sqref="C47:C49">
    <cfRule type="duplicateValues" dxfId="255" priority="6"/>
  </conditionalFormatting>
  <conditionalFormatting sqref="C64:C66">
    <cfRule type="duplicateValues" dxfId="254" priority="5"/>
  </conditionalFormatting>
  <conditionalFormatting sqref="C18:C29">
    <cfRule type="duplicateValues" dxfId="253" priority="4"/>
  </conditionalFormatting>
  <conditionalFormatting sqref="C35:C46">
    <cfRule type="duplicateValues" dxfId="252" priority="3"/>
  </conditionalFormatting>
  <conditionalFormatting sqref="C52:C63">
    <cfRule type="duplicateValues" dxfId="251" priority="2"/>
  </conditionalFormatting>
  <conditionalFormatting sqref="C1:C1048576">
    <cfRule type="duplicateValues" dxfId="25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3030</v>
      </c>
    </row>
    <row r="2" spans="1:3">
      <c r="A2" s="12" t="s">
        <v>3009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5" t="s">
        <v>1718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5" t="s">
        <v>1715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5" t="s">
        <v>3015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5" t="s">
        <v>2623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5" t="s">
        <v>3021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5" t="s">
        <v>2609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5" t="s">
        <v>3028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5" t="s">
        <v>2633</v>
      </c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1" t="s">
        <v>3030</v>
      </c>
    </row>
    <row r="21" spans="1:3">
      <c r="A21" s="12" t="s">
        <v>3031</v>
      </c>
      <c r="B21" s="13"/>
      <c r="C21" s="8"/>
    </row>
    <row r="22" spans="1:3">
      <c r="A22" s="14" t="s">
        <v>2153</v>
      </c>
      <c r="B22" s="14">
        <f t="shared" ref="B22:B26" si="2">LEN(C22)-LEN(SUBSTITUTE(C22,",",""))+1</f>
        <v>1</v>
      </c>
      <c r="C22" s="9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5" t="s">
        <v>918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5" t="s">
        <v>2608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5" t="s">
        <v>1718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5" t="s">
        <v>1715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5" t="s">
        <v>3015</v>
      </c>
      <c r="B27" s="15">
        <f>LEN(C27)-LEN(SUBSTITUTE(C27,",",""))+1</f>
        <v>4</v>
      </c>
      <c r="C27" s="7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5" t="s">
        <v>2623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5" t="s">
        <v>3021</v>
      </c>
      <c r="B29" s="15">
        <f t="shared" ref="B29:B35" si="3">LEN(C29)-LEN(SUBSTITUTE(C29,",",""))+1</f>
        <v>1</v>
      </c>
      <c r="C29" s="7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5" t="s">
        <v>2609</v>
      </c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5" t="s">
        <v>3028</v>
      </c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5" t="s">
        <v>2633</v>
      </c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5"/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49" priority="35"/>
  </conditionalFormatting>
  <conditionalFormatting sqref="C1:C17 C114 C130 C146 C162 C178:C179 C195 C211:C1048576">
    <cfRule type="duplicateValues" dxfId="248" priority="34"/>
  </conditionalFormatting>
  <conditionalFormatting sqref="C49">
    <cfRule type="duplicateValues" dxfId="247" priority="32"/>
  </conditionalFormatting>
  <conditionalFormatting sqref="C65">
    <cfRule type="duplicateValues" dxfId="246" priority="31"/>
  </conditionalFormatting>
  <conditionalFormatting sqref="C81">
    <cfRule type="duplicateValues" dxfId="245" priority="30"/>
  </conditionalFormatting>
  <conditionalFormatting sqref="C97:C98">
    <cfRule type="duplicateValues" dxfId="244" priority="29"/>
  </conditionalFormatting>
  <conditionalFormatting sqref="C18">
    <cfRule type="duplicateValues" dxfId="243" priority="28"/>
  </conditionalFormatting>
  <conditionalFormatting sqref="C46:C48">
    <cfRule type="duplicateValues" dxfId="242" priority="27"/>
  </conditionalFormatting>
  <conditionalFormatting sqref="C50 C62:C64">
    <cfRule type="duplicateValues" dxfId="241" priority="26"/>
  </conditionalFormatting>
  <conditionalFormatting sqref="C66 C78:C80">
    <cfRule type="duplicateValues" dxfId="240" priority="25"/>
  </conditionalFormatting>
  <conditionalFormatting sqref="C82 C94:C96">
    <cfRule type="duplicateValues" dxfId="239" priority="24"/>
  </conditionalFormatting>
  <conditionalFormatting sqref="C99">
    <cfRule type="duplicateValues" dxfId="238" priority="23"/>
  </conditionalFormatting>
  <conditionalFormatting sqref="C115">
    <cfRule type="duplicateValues" dxfId="237" priority="22"/>
  </conditionalFormatting>
  <conditionalFormatting sqref="C131">
    <cfRule type="duplicateValues" dxfId="236" priority="21"/>
  </conditionalFormatting>
  <conditionalFormatting sqref="C147 C158:C161">
    <cfRule type="duplicateValues" dxfId="235" priority="20"/>
  </conditionalFormatting>
  <conditionalFormatting sqref="C163 C174:C177">
    <cfRule type="duplicateValues" dxfId="234" priority="19"/>
  </conditionalFormatting>
  <conditionalFormatting sqref="C180 C191:C194">
    <cfRule type="duplicateValues" dxfId="233" priority="18"/>
  </conditionalFormatting>
  <conditionalFormatting sqref="C196 C207:C210">
    <cfRule type="duplicateValues" dxfId="232" priority="17"/>
  </conditionalFormatting>
  <conditionalFormatting sqref="C19">
    <cfRule type="duplicateValues" dxfId="231" priority="16"/>
  </conditionalFormatting>
  <conditionalFormatting sqref="C36:C45">
    <cfRule type="duplicateValues" dxfId="230" priority="15"/>
  </conditionalFormatting>
  <conditionalFormatting sqref="C51:C61">
    <cfRule type="duplicateValues" dxfId="229" priority="14"/>
  </conditionalFormatting>
  <conditionalFormatting sqref="C67:C77">
    <cfRule type="duplicateValues" dxfId="228" priority="13"/>
  </conditionalFormatting>
  <conditionalFormatting sqref="C83:C93">
    <cfRule type="duplicateValues" dxfId="227" priority="12"/>
  </conditionalFormatting>
  <conditionalFormatting sqref="C100:C109">
    <cfRule type="duplicateValues" dxfId="226" priority="11"/>
  </conditionalFormatting>
  <conditionalFormatting sqref="C116:C125">
    <cfRule type="duplicateValues" dxfId="225" priority="10"/>
  </conditionalFormatting>
  <conditionalFormatting sqref="C132:C141">
    <cfRule type="duplicateValues" dxfId="224" priority="9"/>
  </conditionalFormatting>
  <conditionalFormatting sqref="C148:C157">
    <cfRule type="duplicateValues" dxfId="223" priority="8"/>
  </conditionalFormatting>
  <conditionalFormatting sqref="C164:C173">
    <cfRule type="duplicateValues" dxfId="222" priority="7"/>
  </conditionalFormatting>
  <conditionalFormatting sqref="C181:C190">
    <cfRule type="duplicateValues" dxfId="221" priority="6"/>
  </conditionalFormatting>
  <conditionalFormatting sqref="C197:C206">
    <cfRule type="duplicateValues" dxfId="220" priority="5"/>
  </conditionalFormatting>
  <conditionalFormatting sqref="C142:C145">
    <cfRule type="duplicateValues" dxfId="219" priority="4"/>
  </conditionalFormatting>
  <conditionalFormatting sqref="C126:C129">
    <cfRule type="duplicateValues" dxfId="218" priority="3"/>
  </conditionalFormatting>
  <conditionalFormatting sqref="C110:C113">
    <cfRule type="duplicateValues" dxfId="217" priority="2"/>
  </conditionalFormatting>
  <conditionalFormatting sqref="C20:C35">
    <cfRule type="duplicateValues" dxfId="216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3005</v>
      </c>
    </row>
    <row r="2" spans="1:3">
      <c r="A2" s="12" t="s">
        <v>2987</v>
      </c>
      <c r="B2" s="13"/>
      <c r="C2" s="8"/>
    </row>
    <row r="3" spans="1:3">
      <c r="A3" s="14" t="s">
        <v>2999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5" t="s">
        <v>946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5" t="s">
        <v>2990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5" t="s">
        <v>2984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15" priority="34"/>
  </conditionalFormatting>
  <conditionalFormatting sqref="C1:C17 C114 C130 C146 C162 C178:C179 C195 C211:C1048576">
    <cfRule type="duplicateValues" dxfId="214" priority="33"/>
  </conditionalFormatting>
  <conditionalFormatting sqref="C33">
    <cfRule type="duplicateValues" dxfId="213" priority="32"/>
  </conditionalFormatting>
  <conditionalFormatting sqref="C49">
    <cfRule type="duplicateValues" dxfId="212" priority="31"/>
  </conditionalFormatting>
  <conditionalFormatting sqref="C65">
    <cfRule type="duplicateValues" dxfId="211" priority="30"/>
  </conditionalFormatting>
  <conditionalFormatting sqref="C81">
    <cfRule type="duplicateValues" dxfId="210" priority="29"/>
  </conditionalFormatting>
  <conditionalFormatting sqref="C97:C98">
    <cfRule type="duplicateValues" dxfId="209" priority="28"/>
  </conditionalFormatting>
  <conditionalFormatting sqref="C18 C30:C32">
    <cfRule type="duplicateValues" dxfId="208" priority="27"/>
  </conditionalFormatting>
  <conditionalFormatting sqref="C34 C46:C48">
    <cfRule type="duplicateValues" dxfId="207" priority="26"/>
  </conditionalFormatting>
  <conditionalFormatting sqref="C50 C62:C64">
    <cfRule type="duplicateValues" dxfId="206" priority="25"/>
  </conditionalFormatting>
  <conditionalFormatting sqref="C66 C78:C80">
    <cfRule type="duplicateValues" dxfId="205" priority="24"/>
  </conditionalFormatting>
  <conditionalFormatting sqref="C82 C94:C96">
    <cfRule type="duplicateValues" dxfId="204" priority="23"/>
  </conditionalFormatting>
  <conditionalFormatting sqref="C99">
    <cfRule type="duplicateValues" dxfId="203" priority="22"/>
  </conditionalFormatting>
  <conditionalFormatting sqref="C115">
    <cfRule type="duplicateValues" dxfId="202" priority="21"/>
  </conditionalFormatting>
  <conditionalFormatting sqref="C131">
    <cfRule type="duplicateValues" dxfId="201" priority="20"/>
  </conditionalFormatting>
  <conditionalFormatting sqref="C147 C158:C161">
    <cfRule type="duplicateValues" dxfId="200" priority="19"/>
  </conditionalFormatting>
  <conditionalFormatting sqref="C163 C174:C177">
    <cfRule type="duplicateValues" dxfId="199" priority="18"/>
  </conditionalFormatting>
  <conditionalFormatting sqref="C180 C191:C194">
    <cfRule type="duplicateValues" dxfId="198" priority="17"/>
  </conditionalFormatting>
  <conditionalFormatting sqref="C196 C207:C210">
    <cfRule type="duplicateValues" dxfId="197" priority="16"/>
  </conditionalFormatting>
  <conditionalFormatting sqref="C19:C29">
    <cfRule type="duplicateValues" dxfId="196" priority="15"/>
  </conditionalFormatting>
  <conditionalFormatting sqref="C35:C45">
    <cfRule type="duplicateValues" dxfId="195" priority="14"/>
  </conditionalFormatting>
  <conditionalFormatting sqref="C51:C61">
    <cfRule type="duplicateValues" dxfId="194" priority="13"/>
  </conditionalFormatting>
  <conditionalFormatting sqref="C67:C77">
    <cfRule type="duplicateValues" dxfId="193" priority="12"/>
  </conditionalFormatting>
  <conditionalFormatting sqref="C83:C93">
    <cfRule type="duplicateValues" dxfId="192" priority="11"/>
  </conditionalFormatting>
  <conditionalFormatting sqref="C100:C109">
    <cfRule type="duplicateValues" dxfId="191" priority="10"/>
  </conditionalFormatting>
  <conditionalFormatting sqref="C116:C125">
    <cfRule type="duplicateValues" dxfId="190" priority="9"/>
  </conditionalFormatting>
  <conditionalFormatting sqref="C132:C141">
    <cfRule type="duplicateValues" dxfId="189" priority="8"/>
  </conditionalFormatting>
  <conditionalFormatting sqref="C148:C157">
    <cfRule type="duplicateValues" dxfId="188" priority="7"/>
  </conditionalFormatting>
  <conditionalFormatting sqref="C164:C173">
    <cfRule type="duplicateValues" dxfId="187" priority="6"/>
  </conditionalFormatting>
  <conditionalFormatting sqref="C181:C190">
    <cfRule type="duplicateValues" dxfId="186" priority="5"/>
  </conditionalFormatting>
  <conditionalFormatting sqref="C197:C206">
    <cfRule type="duplicateValues" dxfId="185" priority="4"/>
  </conditionalFormatting>
  <conditionalFormatting sqref="C142:C145">
    <cfRule type="duplicateValues" dxfId="184" priority="3"/>
  </conditionalFormatting>
  <conditionalFormatting sqref="C126:C129">
    <cfRule type="duplicateValues" dxfId="183" priority="2"/>
  </conditionalFormatting>
  <conditionalFormatting sqref="C110:C113">
    <cfRule type="duplicateValues" dxfId="182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2982</v>
      </c>
    </row>
    <row r="2" spans="1:3">
      <c r="A2" s="12" t="s">
        <v>2961</v>
      </c>
      <c r="B2" s="13"/>
      <c r="C2" s="8"/>
    </row>
    <row r="3" spans="1:3">
      <c r="A3" s="14" t="s">
        <v>777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5" t="s">
        <v>779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5" t="s">
        <v>2971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5" t="s">
        <v>2976</v>
      </c>
      <c r="B7" s="15">
        <f t="shared" si="0"/>
        <v>2</v>
      </c>
      <c r="C7" s="7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5" t="s">
        <v>1501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81" priority="34"/>
  </conditionalFormatting>
  <conditionalFormatting sqref="C1:C17 C114 C130 C146 C162 C178:C179 C195 C211:C1048576">
    <cfRule type="duplicateValues" dxfId="180" priority="33"/>
  </conditionalFormatting>
  <conditionalFormatting sqref="C33">
    <cfRule type="duplicateValues" dxfId="179" priority="32"/>
  </conditionalFormatting>
  <conditionalFormatting sqref="C49">
    <cfRule type="duplicateValues" dxfId="178" priority="31"/>
  </conditionalFormatting>
  <conditionalFormatting sqref="C65">
    <cfRule type="duplicateValues" dxfId="177" priority="30"/>
  </conditionalFormatting>
  <conditionalFormatting sqref="C81">
    <cfRule type="duplicateValues" dxfId="176" priority="29"/>
  </conditionalFormatting>
  <conditionalFormatting sqref="C97:C98">
    <cfRule type="duplicateValues" dxfId="175" priority="28"/>
  </conditionalFormatting>
  <conditionalFormatting sqref="C18 C30:C32">
    <cfRule type="duplicateValues" dxfId="174" priority="27"/>
  </conditionalFormatting>
  <conditionalFormatting sqref="C34 C46:C48">
    <cfRule type="duplicateValues" dxfId="173" priority="26"/>
  </conditionalFormatting>
  <conditionalFormatting sqref="C50 C62:C64">
    <cfRule type="duplicateValues" dxfId="172" priority="25"/>
  </conditionalFormatting>
  <conditionalFormatting sqref="C66 C78:C80">
    <cfRule type="duplicateValues" dxfId="171" priority="24"/>
  </conditionalFormatting>
  <conditionalFormatting sqref="C82 C94:C96">
    <cfRule type="duplicateValues" dxfId="170" priority="23"/>
  </conditionalFormatting>
  <conditionalFormatting sqref="C99">
    <cfRule type="duplicateValues" dxfId="169" priority="22"/>
  </conditionalFormatting>
  <conditionalFormatting sqref="C115">
    <cfRule type="duplicateValues" dxfId="168" priority="21"/>
  </conditionalFormatting>
  <conditionalFormatting sqref="C131">
    <cfRule type="duplicateValues" dxfId="167" priority="20"/>
  </conditionalFormatting>
  <conditionalFormatting sqref="C147 C158:C161">
    <cfRule type="duplicateValues" dxfId="166" priority="19"/>
  </conditionalFormatting>
  <conditionalFormatting sqref="C163 C174:C177">
    <cfRule type="duplicateValues" dxfId="165" priority="18"/>
  </conditionalFormatting>
  <conditionalFormatting sqref="C180 C191:C194">
    <cfRule type="duplicateValues" dxfId="164" priority="17"/>
  </conditionalFormatting>
  <conditionalFormatting sqref="C196 C207:C210">
    <cfRule type="duplicateValues" dxfId="163" priority="16"/>
  </conditionalFormatting>
  <conditionalFormatting sqref="C19:C29">
    <cfRule type="duplicateValues" dxfId="162" priority="15"/>
  </conditionalFormatting>
  <conditionalFormatting sqref="C35:C45">
    <cfRule type="duplicateValues" dxfId="161" priority="14"/>
  </conditionalFormatting>
  <conditionalFormatting sqref="C51:C61">
    <cfRule type="duplicateValues" dxfId="160" priority="13"/>
  </conditionalFormatting>
  <conditionalFormatting sqref="C67:C77">
    <cfRule type="duplicateValues" dxfId="159" priority="12"/>
  </conditionalFormatting>
  <conditionalFormatting sqref="C83:C93">
    <cfRule type="duplicateValues" dxfId="158" priority="11"/>
  </conditionalFormatting>
  <conditionalFormatting sqref="C100:C109">
    <cfRule type="duplicateValues" dxfId="157" priority="10"/>
  </conditionalFormatting>
  <conditionalFormatting sqref="C116:C125">
    <cfRule type="duplicateValues" dxfId="156" priority="9"/>
  </conditionalFormatting>
  <conditionalFormatting sqref="C132:C141">
    <cfRule type="duplicateValues" dxfId="155" priority="8"/>
  </conditionalFormatting>
  <conditionalFormatting sqref="C148:C157">
    <cfRule type="duplicateValues" dxfId="154" priority="7"/>
  </conditionalFormatting>
  <conditionalFormatting sqref="C164:C173">
    <cfRule type="duplicateValues" dxfId="153" priority="6"/>
  </conditionalFormatting>
  <conditionalFormatting sqref="C181:C190">
    <cfRule type="duplicateValues" dxfId="152" priority="5"/>
  </conditionalFormatting>
  <conditionalFormatting sqref="C197:C206">
    <cfRule type="duplicateValues" dxfId="151" priority="4"/>
  </conditionalFormatting>
  <conditionalFormatting sqref="C142:C145">
    <cfRule type="duplicateValues" dxfId="150" priority="3"/>
  </conditionalFormatting>
  <conditionalFormatting sqref="C126:C129">
    <cfRule type="duplicateValues" dxfId="149" priority="2"/>
  </conditionalFormatting>
  <conditionalFormatting sqref="C110:C113">
    <cfRule type="duplicateValues" dxfId="148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2926</v>
      </c>
    </row>
    <row r="2" spans="1:4">
      <c r="A2" s="12" t="s">
        <v>2854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A345069X2205151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5" t="s">
        <v>1271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5" t="s">
        <v>2852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2926</v>
      </c>
    </row>
    <row r="19" spans="1:3">
      <c r="A19" s="12" t="s">
        <v>2857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5" t="s">
        <v>1271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5" t="s">
        <v>2852</v>
      </c>
      <c r="B27" s="15">
        <f t="shared" ref="B27:B29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5"/>
      <c r="B30" s="15">
        <f t="shared" ref="B30:B32" si="4">LEN(C30)-LEN(SUBSTITUTE(C30,",",""))+1</f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4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4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2927</v>
      </c>
    </row>
    <row r="36" spans="1:3">
      <c r="A36" s="12" t="s">
        <v>2880</v>
      </c>
      <c r="B36" s="13"/>
      <c r="C36" s="8"/>
    </row>
    <row r="37" spans="1:3">
      <c r="A37" s="14" t="s">
        <v>965</v>
      </c>
      <c r="B37" s="14">
        <f t="shared" ref="B37:B41" si="5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5" t="s">
        <v>967</v>
      </c>
      <c r="B38" s="15">
        <f t="shared" si="5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5" t="s">
        <v>969</v>
      </c>
      <c r="B39" s="15">
        <f t="shared" si="5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5" t="s">
        <v>17</v>
      </c>
      <c r="B40" s="15">
        <f t="shared" si="5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5" t="s">
        <v>975</v>
      </c>
      <c r="B41" s="15">
        <f t="shared" si="5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5" t="s">
        <v>1271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5" t="s">
        <v>956</v>
      </c>
      <c r="B44" s="15">
        <f t="shared" ref="B44:B46" si="6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5" t="s">
        <v>701</v>
      </c>
      <c r="B45" s="15">
        <f t="shared" si="6"/>
        <v>1</v>
      </c>
      <c r="C45" s="7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5" t="s">
        <v>976</v>
      </c>
      <c r="B46" s="15">
        <f t="shared" si="6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5"/>
      <c r="B47" s="15">
        <f t="shared" ref="B47:B49" si="7">LEN(C47)-LEN(SUBSTITUTE(C47,",",""))+1</f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7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7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2927</v>
      </c>
    </row>
    <row r="53" spans="1:3">
      <c r="A53" s="12" t="s">
        <v>2882</v>
      </c>
      <c r="B53" s="13"/>
      <c r="C53" s="8"/>
    </row>
    <row r="54" spans="1:3">
      <c r="A54" s="14" t="s">
        <v>965</v>
      </c>
      <c r="B54" s="14">
        <f t="shared" ref="B54:B58" si="8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5" t="s">
        <v>967</v>
      </c>
      <c r="B55" s="15">
        <f t="shared" si="8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5" t="s">
        <v>969</v>
      </c>
      <c r="B56" s="15">
        <f t="shared" si="8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5" t="s">
        <v>17</v>
      </c>
      <c r="B57" s="15">
        <f t="shared" si="8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5" t="s">
        <v>975</v>
      </c>
      <c r="B58" s="15">
        <f t="shared" si="8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5" t="s">
        <v>1271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5" t="s">
        <v>956</v>
      </c>
      <c r="B61" s="15">
        <f t="shared" ref="B61:B63" si="9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5" t="s">
        <v>701</v>
      </c>
      <c r="B62" s="15">
        <f t="shared" si="9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5" t="s">
        <v>976</v>
      </c>
      <c r="B63" s="15">
        <f t="shared" si="9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5"/>
      <c r="B64" s="15">
        <f t="shared" ref="B64:B66" si="10">LEN(C64)-LEN(SUBSTITUTE(C64,",",""))+1</f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10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10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1" t="s">
        <v>2927</v>
      </c>
    </row>
    <row r="71" spans="1:3">
      <c r="A71" s="12" t="s">
        <v>2903</v>
      </c>
      <c r="B71" s="13"/>
      <c r="C71" s="8"/>
    </row>
    <row r="72" spans="1:3">
      <c r="A72" s="14" t="s">
        <v>965</v>
      </c>
      <c r="B72" s="14">
        <f t="shared" ref="B72:B76" si="11">LEN(C72)-LEN(SUBSTITUTE(C72,",",""))+1</f>
        <v>1</v>
      </c>
      <c r="C72" s="9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5" t="s">
        <v>967</v>
      </c>
      <c r="B73" s="15">
        <f t="shared" si="11"/>
        <v>1</v>
      </c>
      <c r="C73" s="7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5" t="s">
        <v>969</v>
      </c>
      <c r="B74" s="15">
        <f t="shared" si="11"/>
        <v>1</v>
      </c>
      <c r="C74" s="7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5" t="s">
        <v>17</v>
      </c>
      <c r="B75" s="15">
        <f t="shared" si="11"/>
        <v>1</v>
      </c>
      <c r="C75" s="7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5" t="s">
        <v>975</v>
      </c>
      <c r="B76" s="15">
        <f t="shared" si="11"/>
        <v>1</v>
      </c>
      <c r="C76" s="7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5" t="s">
        <v>971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5" t="s">
        <v>1271</v>
      </c>
      <c r="B78" s="15">
        <f>LEN(C78)-LEN(SUBSTITUTE(C78,",",""))+1</f>
        <v>1</v>
      </c>
      <c r="C78" s="7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5" t="s">
        <v>956</v>
      </c>
      <c r="B79" s="15">
        <f t="shared" ref="B79:B81" si="12">LEN(C79)-LEN(SUBSTITUTE(C79,",",""))+1</f>
        <v>2</v>
      </c>
      <c r="C79" s="7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5" t="s">
        <v>701</v>
      </c>
      <c r="B80" s="15">
        <f t="shared" si="12"/>
        <v>1</v>
      </c>
      <c r="C80" s="7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5" t="s">
        <v>976</v>
      </c>
      <c r="B81" s="15">
        <f t="shared" si="12"/>
        <v>1</v>
      </c>
      <c r="C81" s="7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5"/>
      <c r="B82" s="15">
        <f t="shared" ref="B82:B84" si="13">LEN(C82)-LEN(SUBSTITUTE(C82,",",""))+1</f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13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5"/>
      <c r="B84" s="15">
        <f t="shared" si="13"/>
        <v>1</v>
      </c>
      <c r="C84" s="7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2"/>
      <c r="B87" s="13"/>
      <c r="C87" s="8"/>
    </row>
    <row r="88" spans="1:3">
      <c r="A88" s="14"/>
      <c r="B88" s="14"/>
      <c r="C88" s="9"/>
    </row>
    <row r="89" spans="1:3">
      <c r="A89" s="11" t="s">
        <v>2927</v>
      </c>
    </row>
    <row r="90" spans="1:3">
      <c r="A90" s="12" t="s">
        <v>2906</v>
      </c>
      <c r="B90" s="13"/>
      <c r="C90" s="8"/>
    </row>
    <row r="91" spans="1:3">
      <c r="A91" s="14" t="s">
        <v>965</v>
      </c>
      <c r="B91" s="14">
        <f t="shared" ref="B91:B95" si="14">LEN(C91)-LEN(SUBSTITUTE(C91,",",""))+1</f>
        <v>1</v>
      </c>
      <c r="C91" s="9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5" t="s">
        <v>967</v>
      </c>
      <c r="B92" s="15">
        <f t="shared" si="14"/>
        <v>1</v>
      </c>
      <c r="C92" s="7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5" t="s">
        <v>969</v>
      </c>
      <c r="B93" s="15">
        <f t="shared" si="14"/>
        <v>1</v>
      </c>
      <c r="C93" s="7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5" t="s">
        <v>17</v>
      </c>
      <c r="B94" s="15">
        <f t="shared" si="14"/>
        <v>1</v>
      </c>
      <c r="C94" s="7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5" t="s">
        <v>975</v>
      </c>
      <c r="B95" s="15">
        <f t="shared" si="14"/>
        <v>1</v>
      </c>
      <c r="C95" s="7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5" t="s">
        <v>971</v>
      </c>
      <c r="B96" s="15">
        <f>LEN(C96)-LEN(SUBSTITUTE(C96,",",""))+1</f>
        <v>1</v>
      </c>
      <c r="C96" s="7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5" t="s">
        <v>1271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5" t="s">
        <v>956</v>
      </c>
      <c r="B98" s="15">
        <f t="shared" ref="B98:B100" si="15">LEN(C98)-LEN(SUBSTITUTE(C98,",",""))+1</f>
        <v>2</v>
      </c>
      <c r="C98" s="7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5" t="s">
        <v>701</v>
      </c>
      <c r="B99" s="15">
        <f t="shared" si="15"/>
        <v>1</v>
      </c>
      <c r="C99" s="7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5" t="s">
        <v>976</v>
      </c>
      <c r="B100" s="15">
        <f t="shared" si="15"/>
        <v>1</v>
      </c>
      <c r="C100" s="7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5"/>
      <c r="B101" s="15">
        <f t="shared" ref="B101:B103" si="16">LEN(C101)-LEN(SUBSTITUTE(C101,",",""))+1</f>
        <v>1</v>
      </c>
      <c r="C101" s="7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5"/>
      <c r="B102" s="15">
        <f t="shared" si="16"/>
        <v>1</v>
      </c>
      <c r="C102" s="7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5"/>
      <c r="B103" s="15">
        <f t="shared" si="16"/>
        <v>1</v>
      </c>
      <c r="C103" s="7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147" priority="21"/>
  </conditionalFormatting>
  <conditionalFormatting sqref="C1:C16 C113:C114 C127:C1048576 C70:C86 C89:C103">
    <cfRule type="duplicateValues" dxfId="146" priority="20"/>
  </conditionalFormatting>
  <conditionalFormatting sqref="C67:C69">
    <cfRule type="duplicateValues" dxfId="145" priority="17"/>
  </conditionalFormatting>
  <conditionalFormatting sqref="C87:C88">
    <cfRule type="duplicateValues" dxfId="144" priority="15"/>
  </conditionalFormatting>
  <conditionalFormatting sqref="C104:C112">
    <cfRule type="duplicateValues" dxfId="143" priority="14"/>
  </conditionalFormatting>
  <conditionalFormatting sqref="C115:C126">
    <cfRule type="duplicateValues" dxfId="142" priority="13"/>
  </conditionalFormatting>
  <conditionalFormatting sqref="C17">
    <cfRule type="duplicateValues" dxfId="141" priority="12"/>
  </conditionalFormatting>
  <conditionalFormatting sqref="C33">
    <cfRule type="duplicateValues" dxfId="140" priority="11"/>
  </conditionalFormatting>
  <conditionalFormatting sqref="C34">
    <cfRule type="duplicateValues" dxfId="139" priority="9"/>
  </conditionalFormatting>
  <conditionalFormatting sqref="C50:C51">
    <cfRule type="duplicateValues" dxfId="138" priority="8"/>
  </conditionalFormatting>
  <conditionalFormatting sqref="C30:C32">
    <cfRule type="duplicateValues" dxfId="137" priority="7"/>
  </conditionalFormatting>
  <conditionalFormatting sqref="C47:C49">
    <cfRule type="duplicateValues" dxfId="136" priority="6"/>
  </conditionalFormatting>
  <conditionalFormatting sqref="C64:C66">
    <cfRule type="duplicateValues" dxfId="135" priority="5"/>
  </conditionalFormatting>
  <conditionalFormatting sqref="C18:C29">
    <cfRule type="duplicateValues" dxfId="134" priority="4"/>
  </conditionalFormatting>
  <conditionalFormatting sqref="C35:C46">
    <cfRule type="duplicateValues" dxfId="133" priority="3"/>
  </conditionalFormatting>
  <conditionalFormatting sqref="C52:C63">
    <cfRule type="duplicateValues" dxfId="132" priority="2"/>
  </conditionalFormatting>
  <conditionalFormatting sqref="C1:C1048576">
    <cfRule type="duplicateValues" dxfId="131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2851</v>
      </c>
    </row>
    <row r="2" spans="1:3">
      <c r="A2" s="12" t="s">
        <v>2836</v>
      </c>
      <c r="B2" s="13"/>
      <c r="C2" s="8"/>
    </row>
    <row r="3" spans="1:3">
      <c r="A3" s="14" t="s">
        <v>2842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5" t="s">
        <v>2850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5" t="s">
        <v>1725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5" t="s">
        <v>2846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5" t="s">
        <v>2848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5" t="s">
        <v>2833</v>
      </c>
      <c r="B8" s="15">
        <f>LEN(C8)-LEN(SUBSTITUTE(C8,",",""))+1</f>
        <v>6</v>
      </c>
      <c r="C8" s="7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30" priority="34"/>
  </conditionalFormatting>
  <conditionalFormatting sqref="C1:C17 C114 C130 C146 C162 C178:C179 C195 C211:C1048576">
    <cfRule type="duplicateValues" dxfId="129" priority="33"/>
  </conditionalFormatting>
  <conditionalFormatting sqref="C33">
    <cfRule type="duplicateValues" dxfId="128" priority="32"/>
  </conditionalFormatting>
  <conditionalFormatting sqref="C49">
    <cfRule type="duplicateValues" dxfId="127" priority="31"/>
  </conditionalFormatting>
  <conditionalFormatting sqref="C65">
    <cfRule type="duplicateValues" dxfId="126" priority="30"/>
  </conditionalFormatting>
  <conditionalFormatting sqref="C81">
    <cfRule type="duplicateValues" dxfId="125" priority="29"/>
  </conditionalFormatting>
  <conditionalFormatting sqref="C97:C98">
    <cfRule type="duplicateValues" dxfId="124" priority="28"/>
  </conditionalFormatting>
  <conditionalFormatting sqref="C18 C30:C32">
    <cfRule type="duplicateValues" dxfId="123" priority="27"/>
  </conditionalFormatting>
  <conditionalFormatting sqref="C34 C46:C48">
    <cfRule type="duplicateValues" dxfId="122" priority="26"/>
  </conditionalFormatting>
  <conditionalFormatting sqref="C50 C62:C64">
    <cfRule type="duplicateValues" dxfId="121" priority="25"/>
  </conditionalFormatting>
  <conditionalFormatting sqref="C66 C78:C80">
    <cfRule type="duplicateValues" dxfId="120" priority="24"/>
  </conditionalFormatting>
  <conditionalFormatting sqref="C82 C94:C96">
    <cfRule type="duplicateValues" dxfId="119" priority="23"/>
  </conditionalFormatting>
  <conditionalFormatting sqref="C99">
    <cfRule type="duplicateValues" dxfId="118" priority="22"/>
  </conditionalFormatting>
  <conditionalFormatting sqref="C115">
    <cfRule type="duplicateValues" dxfId="117" priority="21"/>
  </conditionalFormatting>
  <conditionalFormatting sqref="C131">
    <cfRule type="duplicateValues" dxfId="116" priority="20"/>
  </conditionalFormatting>
  <conditionalFormatting sqref="C147 C158:C161">
    <cfRule type="duplicateValues" dxfId="115" priority="19"/>
  </conditionalFormatting>
  <conditionalFormatting sqref="C163 C174:C177">
    <cfRule type="duplicateValues" dxfId="114" priority="18"/>
  </conditionalFormatting>
  <conditionalFormatting sqref="C180 C191:C194">
    <cfRule type="duplicateValues" dxfId="113" priority="17"/>
  </conditionalFormatting>
  <conditionalFormatting sqref="C196 C207:C210">
    <cfRule type="duplicateValues" dxfId="112" priority="16"/>
  </conditionalFormatting>
  <conditionalFormatting sqref="C19:C29">
    <cfRule type="duplicateValues" dxfId="111" priority="15"/>
  </conditionalFormatting>
  <conditionalFormatting sqref="C35:C45">
    <cfRule type="duplicateValues" dxfId="110" priority="14"/>
  </conditionalFormatting>
  <conditionalFormatting sqref="C51:C61">
    <cfRule type="duplicateValues" dxfId="109" priority="13"/>
  </conditionalFormatting>
  <conditionalFormatting sqref="C67:C77">
    <cfRule type="duplicateValues" dxfId="108" priority="12"/>
  </conditionalFormatting>
  <conditionalFormatting sqref="C83:C93">
    <cfRule type="duplicateValues" dxfId="107" priority="11"/>
  </conditionalFormatting>
  <conditionalFormatting sqref="C100:C109">
    <cfRule type="duplicateValues" dxfId="106" priority="10"/>
  </conditionalFormatting>
  <conditionalFormatting sqref="C116:C125">
    <cfRule type="duplicateValues" dxfId="105" priority="9"/>
  </conditionalFormatting>
  <conditionalFormatting sqref="C132:C141">
    <cfRule type="duplicateValues" dxfId="104" priority="8"/>
  </conditionalFormatting>
  <conditionalFormatting sqref="C148:C157">
    <cfRule type="duplicateValues" dxfId="103" priority="7"/>
  </conditionalFormatting>
  <conditionalFormatting sqref="C164:C173">
    <cfRule type="duplicateValues" dxfId="102" priority="6"/>
  </conditionalFormatting>
  <conditionalFormatting sqref="C181:C190">
    <cfRule type="duplicateValues" dxfId="101" priority="5"/>
  </conditionalFormatting>
  <conditionalFormatting sqref="C197:C206">
    <cfRule type="duplicateValues" dxfId="100" priority="4"/>
  </conditionalFormatting>
  <conditionalFormatting sqref="C142:C145">
    <cfRule type="duplicateValues" dxfId="99" priority="3"/>
  </conditionalFormatting>
  <conditionalFormatting sqref="C126:C129">
    <cfRule type="duplicateValues" dxfId="98" priority="2"/>
  </conditionalFormatting>
  <conditionalFormatting sqref="C110:C113">
    <cfRule type="duplicateValues" dxfId="97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2822</v>
      </c>
    </row>
    <row r="2" spans="1:3">
      <c r="A2" s="12" t="s">
        <v>2726</v>
      </c>
      <c r="B2" s="13"/>
      <c r="C2" s="8"/>
    </row>
    <row r="3" spans="1:3">
      <c r="A3" s="14" t="s">
        <v>2790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5" t="s">
        <v>2776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5" t="s">
        <v>2117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5" t="s">
        <v>2093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2731</v>
      </c>
      <c r="B20" s="13"/>
      <c r="C20" s="8"/>
    </row>
    <row r="21" spans="1:3">
      <c r="A21" s="14" t="s">
        <v>2790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5" t="s">
        <v>2776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5" t="s">
        <v>2117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5" t="s">
        <v>2104</v>
      </c>
      <c r="B24" s="15">
        <f t="shared" si="2"/>
        <v>4</v>
      </c>
      <c r="C24" s="7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5" t="s">
        <v>2093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5" t="s">
        <v>2096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5"/>
      <c r="B27" s="15">
        <f>LEN(C27)-LEN(SUBSTITUTE(C27,",",""))+1</f>
        <v>1</v>
      </c>
      <c r="C27" s="7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5"/>
      <c r="B28" s="15">
        <f t="shared" ref="B28:B34" si="3">LEN(C28)-LEN(SUBSTITUTE(C28,",",""))+1</f>
        <v>1</v>
      </c>
      <c r="C28" s="7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2736</v>
      </c>
      <c r="B37" s="13"/>
      <c r="C37" s="8"/>
    </row>
    <row r="38" spans="1:3">
      <c r="A38" s="14" t="s">
        <v>2790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5" t="s">
        <v>2776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5" t="s">
        <v>2117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5" t="s">
        <v>2093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2" t="s">
        <v>2741</v>
      </c>
      <c r="B53" s="13"/>
      <c r="C53" s="8"/>
    </row>
    <row r="54" spans="1:3">
      <c r="A54" s="14" t="s">
        <v>2790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5" t="s">
        <v>2776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5" t="s">
        <v>2117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5" t="s">
        <v>2104</v>
      </c>
      <c r="B57" s="15">
        <f t="shared" si="6"/>
        <v>4</v>
      </c>
      <c r="C57" s="7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5" t="s">
        <v>2093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5" t="s">
        <v>2096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5"/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5"/>
      <c r="B61" s="15">
        <f t="shared" ref="B61:B67" si="7">LEN(C61)-LEN(SUBSTITUTE(C61,",",""))+1</f>
        <v>1</v>
      </c>
      <c r="C61" s="7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5"/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5"/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5"/>
      <c r="B68" s="15"/>
      <c r="C68" s="7"/>
    </row>
    <row r="69" spans="1:3">
      <c r="A69" s="12" t="s">
        <v>2746</v>
      </c>
      <c r="B69" s="13"/>
      <c r="C69" s="8"/>
    </row>
    <row r="70" spans="1:3">
      <c r="A70" s="14" t="s">
        <v>2790</v>
      </c>
      <c r="B70" s="14">
        <f t="shared" ref="B70:B74" si="8">LEN(C70)-LEN(SUBSTITUTE(C70,",",""))+1</f>
        <v>1</v>
      </c>
      <c r="C70" s="9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5" t="s">
        <v>2776</v>
      </c>
      <c r="B71" s="15">
        <f t="shared" si="8"/>
        <v>1</v>
      </c>
      <c r="C71" s="7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5" t="s">
        <v>2117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5" t="s">
        <v>2104</v>
      </c>
      <c r="B73" s="15">
        <f t="shared" si="8"/>
        <v>4</v>
      </c>
      <c r="C73" s="7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5" t="s">
        <v>2093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5" t="s">
        <v>2096</v>
      </c>
      <c r="B75" s="15">
        <f>LEN(C75)-LEN(SUBSTITUTE(C75,",",""))+1</f>
        <v>1</v>
      </c>
      <c r="C75" s="7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5"/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5"/>
      <c r="B77" s="15">
        <f t="shared" ref="B77:B83" si="9">LEN(C77)-LEN(SUBSTITUTE(C77,",",""))+1</f>
        <v>1</v>
      </c>
      <c r="C77" s="7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5"/>
      <c r="B78" s="15">
        <f t="shared" si="9"/>
        <v>1</v>
      </c>
      <c r="C78" s="7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5"/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5"/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5"/>
      <c r="B84" s="15"/>
      <c r="C84" s="7"/>
    </row>
    <row r="85" spans="1:3">
      <c r="A85" s="12" t="s">
        <v>2751</v>
      </c>
      <c r="B85" s="13"/>
      <c r="C85" s="8"/>
    </row>
    <row r="86" spans="1:3">
      <c r="A86" s="14" t="s">
        <v>2790</v>
      </c>
      <c r="B86" s="14">
        <f t="shared" ref="B86:B90" si="10">LEN(C86)-LEN(SUBSTITUTE(C86,",",""))+1</f>
        <v>1</v>
      </c>
      <c r="C86" s="9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5" t="s">
        <v>2776</v>
      </c>
      <c r="B87" s="15">
        <f t="shared" si="10"/>
        <v>1</v>
      </c>
      <c r="C87" s="7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5" t="s">
        <v>2117</v>
      </c>
      <c r="B88" s="15">
        <f t="shared" si="10"/>
        <v>1</v>
      </c>
      <c r="C88" s="7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5" t="s">
        <v>2104</v>
      </c>
      <c r="B89" s="15">
        <f t="shared" si="10"/>
        <v>4</v>
      </c>
      <c r="C89" s="7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5" t="s">
        <v>2093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5" t="s">
        <v>2096</v>
      </c>
      <c r="B91" s="15">
        <f>LEN(C91)-LEN(SUBSTITUTE(C91,",",""))+1</f>
        <v>1</v>
      </c>
      <c r="C91" s="7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5"/>
      <c r="B92" s="15">
        <f>LEN(C92)-LEN(SUBSTITUTE(C92,",",""))+1</f>
        <v>1</v>
      </c>
      <c r="C92" s="7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5"/>
      <c r="B93" s="15">
        <f t="shared" ref="B93:B99" si="11">LEN(C93)-LEN(SUBSTITUTE(C93,",",""))+1</f>
        <v>1</v>
      </c>
      <c r="C93" s="7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5"/>
      <c r="B94" s="15">
        <f t="shared" si="11"/>
        <v>1</v>
      </c>
      <c r="C94" s="7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5"/>
      <c r="B95" s="15">
        <f t="shared" si="11"/>
        <v>1</v>
      </c>
      <c r="C95" s="7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5"/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5"/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5"/>
      <c r="B100" s="15"/>
      <c r="C100" s="7"/>
    </row>
    <row r="101" spans="1:3">
      <c r="A101" s="12" t="s">
        <v>2754</v>
      </c>
      <c r="B101" s="13"/>
      <c r="C101" s="8"/>
    </row>
    <row r="102" spans="1:3">
      <c r="A102" s="14" t="s">
        <v>2790</v>
      </c>
      <c r="B102" s="14">
        <f t="shared" ref="B102:B106" si="12">LEN(C102)-LEN(SUBSTITUTE(C102,",",""))+1</f>
        <v>1</v>
      </c>
      <c r="C102" s="9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5" t="s">
        <v>2776</v>
      </c>
      <c r="B103" s="15">
        <f t="shared" si="12"/>
        <v>1</v>
      </c>
      <c r="C103" s="7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5" t="s">
        <v>2117</v>
      </c>
      <c r="B104" s="15">
        <f t="shared" si="12"/>
        <v>1</v>
      </c>
      <c r="C104" s="7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5" t="s">
        <v>2104</v>
      </c>
      <c r="B105" s="15">
        <f t="shared" si="12"/>
        <v>4</v>
      </c>
      <c r="C105" s="7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5" t="s">
        <v>2093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5" t="s">
        <v>2096</v>
      </c>
      <c r="B107" s="15">
        <f>LEN(C107)-LEN(SUBSTITUTE(C107,",",""))+1</f>
        <v>1</v>
      </c>
      <c r="C107" s="7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5"/>
      <c r="B108" s="15">
        <f>LEN(C108)-LEN(SUBSTITUTE(C108,",",""))+1</f>
        <v>1</v>
      </c>
      <c r="C108" s="7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5"/>
      <c r="B109" s="15">
        <f t="shared" ref="B109:B115" si="13">LEN(C109)-LEN(SUBSTITUTE(C109,",",""))+1</f>
        <v>1</v>
      </c>
      <c r="C109" s="7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5"/>
      <c r="B110" s="15">
        <f t="shared" si="13"/>
        <v>1</v>
      </c>
      <c r="C110" s="7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5"/>
      <c r="B111" s="15">
        <f t="shared" si="13"/>
        <v>1</v>
      </c>
      <c r="C111" s="7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5"/>
      <c r="B112" s="15">
        <f t="shared" si="13"/>
        <v>1</v>
      </c>
      <c r="C112" s="7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5"/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5"/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5"/>
      <c r="B116" s="15"/>
      <c r="C116" s="7"/>
    </row>
    <row r="117" spans="1:3">
      <c r="A117" s="12" t="s">
        <v>2758</v>
      </c>
      <c r="B117" s="13"/>
      <c r="C117" s="8"/>
    </row>
    <row r="118" spans="1:3">
      <c r="A118" s="14" t="s">
        <v>2790</v>
      </c>
      <c r="B118" s="14">
        <f t="shared" ref="B118:B122" si="14">LEN(C118)-LEN(SUBSTITUTE(C118,",",""))+1</f>
        <v>1</v>
      </c>
      <c r="C118" s="9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5" t="s">
        <v>2776</v>
      </c>
      <c r="B119" s="15">
        <f t="shared" si="14"/>
        <v>1</v>
      </c>
      <c r="C119" s="7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5" t="s">
        <v>2117</v>
      </c>
      <c r="B120" s="15">
        <f t="shared" si="14"/>
        <v>1</v>
      </c>
      <c r="C120" s="7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5" t="s">
        <v>2104</v>
      </c>
      <c r="B121" s="15">
        <f t="shared" si="14"/>
        <v>4</v>
      </c>
      <c r="C121" s="7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5" t="s">
        <v>2093</v>
      </c>
      <c r="B122" s="15">
        <f t="shared" si="14"/>
        <v>1</v>
      </c>
      <c r="C122" s="7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5" t="s">
        <v>2096</v>
      </c>
      <c r="B123" s="15">
        <f>LEN(C123)-LEN(SUBSTITUTE(C123,",",""))+1</f>
        <v>1</v>
      </c>
      <c r="C123" s="7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5"/>
      <c r="B124" s="15">
        <f>LEN(C124)-LEN(SUBSTITUTE(C124,",",""))+1</f>
        <v>1</v>
      </c>
      <c r="C124" s="7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5"/>
      <c r="B125" s="15">
        <f t="shared" ref="B125:B131" si="15">LEN(C125)-LEN(SUBSTITUTE(C125,",",""))+1</f>
        <v>1</v>
      </c>
      <c r="C125" s="7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5"/>
      <c r="B126" s="15">
        <f t="shared" si="15"/>
        <v>1</v>
      </c>
      <c r="C126" s="7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5"/>
      <c r="B127" s="15">
        <f t="shared" si="15"/>
        <v>1</v>
      </c>
      <c r="C127" s="7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5"/>
      <c r="B128" s="15">
        <f t="shared" si="15"/>
        <v>1</v>
      </c>
      <c r="C128" s="7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5"/>
      <c r="B129" s="15">
        <f t="shared" si="15"/>
        <v>1</v>
      </c>
      <c r="C129" s="7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5"/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5"/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5"/>
      <c r="B132" s="15"/>
      <c r="C132" s="7"/>
    </row>
    <row r="133" spans="1:3">
      <c r="A133" s="12" t="s">
        <v>2764</v>
      </c>
      <c r="B133" s="13"/>
      <c r="C133" s="8"/>
    </row>
    <row r="134" spans="1:3">
      <c r="A134" s="14" t="s">
        <v>2790</v>
      </c>
      <c r="B134" s="14">
        <f t="shared" ref="B134:B138" si="16">LEN(C134)-LEN(SUBSTITUTE(C134,",",""))+1</f>
        <v>1</v>
      </c>
      <c r="C134" s="9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5" t="s">
        <v>2776</v>
      </c>
      <c r="B135" s="15">
        <f t="shared" si="16"/>
        <v>1</v>
      </c>
      <c r="C135" s="7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5" t="s">
        <v>2117</v>
      </c>
      <c r="B136" s="15">
        <f t="shared" si="16"/>
        <v>1</v>
      </c>
      <c r="C136" s="7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5" t="s">
        <v>2104</v>
      </c>
      <c r="B137" s="15">
        <f t="shared" si="16"/>
        <v>4</v>
      </c>
      <c r="C137" s="7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5" t="s">
        <v>2093</v>
      </c>
      <c r="B138" s="15">
        <f t="shared" si="16"/>
        <v>1</v>
      </c>
      <c r="C138" s="7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5" t="s">
        <v>2096</v>
      </c>
      <c r="B139" s="15">
        <f>LEN(C139)-LEN(SUBSTITUTE(C139,",",""))+1</f>
        <v>1</v>
      </c>
      <c r="C139" s="7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5"/>
      <c r="B140" s="15">
        <f>LEN(C140)-LEN(SUBSTITUTE(C140,",",""))+1</f>
        <v>1</v>
      </c>
      <c r="C140" s="7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5"/>
      <c r="B141" s="15">
        <f t="shared" ref="B141:B147" si="17">LEN(C141)-LEN(SUBSTITUTE(C141,",",""))+1</f>
        <v>1</v>
      </c>
      <c r="C141" s="7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5"/>
      <c r="B142" s="15">
        <f t="shared" si="17"/>
        <v>1</v>
      </c>
      <c r="C142" s="7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5"/>
      <c r="B143" s="15">
        <f t="shared" si="17"/>
        <v>1</v>
      </c>
      <c r="C143" s="7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5"/>
      <c r="B144" s="15">
        <f t="shared" si="17"/>
        <v>1</v>
      </c>
      <c r="C144" s="7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5"/>
      <c r="B145" s="15">
        <f t="shared" si="17"/>
        <v>1</v>
      </c>
      <c r="C145" s="7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5"/>
      <c r="B146" s="15">
        <f t="shared" si="17"/>
        <v>1</v>
      </c>
      <c r="C146" s="7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5"/>
      <c r="B147" s="15">
        <f t="shared" si="17"/>
        <v>1</v>
      </c>
      <c r="C147" s="7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5"/>
      <c r="B148" s="15"/>
      <c r="C148" s="7"/>
    </row>
    <row r="149" spans="1:3">
      <c r="A149" s="12" t="s">
        <v>2771</v>
      </c>
      <c r="B149" s="13"/>
      <c r="C149" s="8"/>
    </row>
    <row r="150" spans="1:3">
      <c r="A150" s="14" t="s">
        <v>2790</v>
      </c>
      <c r="B150" s="14">
        <f t="shared" ref="B150:B154" si="18">LEN(C150)-LEN(SUBSTITUTE(C150,",",""))+1</f>
        <v>1</v>
      </c>
      <c r="C150" s="9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5" t="s">
        <v>2776</v>
      </c>
      <c r="B151" s="15">
        <f t="shared" si="18"/>
        <v>1</v>
      </c>
      <c r="C151" s="7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5" t="s">
        <v>2117</v>
      </c>
      <c r="B152" s="15">
        <f t="shared" si="18"/>
        <v>1</v>
      </c>
      <c r="C152" s="7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5" t="s">
        <v>2104</v>
      </c>
      <c r="B153" s="15">
        <f t="shared" si="18"/>
        <v>4</v>
      </c>
      <c r="C153" s="7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5" t="s">
        <v>2093</v>
      </c>
      <c r="B154" s="15">
        <f t="shared" si="18"/>
        <v>1</v>
      </c>
      <c r="C154" s="7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5" t="s">
        <v>2096</v>
      </c>
      <c r="B155" s="15">
        <f>LEN(C155)-LEN(SUBSTITUTE(C155,",",""))+1</f>
        <v>1</v>
      </c>
      <c r="C155" s="7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5"/>
      <c r="B156" s="15">
        <f>LEN(C156)-LEN(SUBSTITUTE(C156,",",""))+1</f>
        <v>1</v>
      </c>
      <c r="C156" s="7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5"/>
      <c r="B157" s="15">
        <f t="shared" ref="B157:B163" si="19">LEN(C157)-LEN(SUBSTITUTE(C157,",",""))+1</f>
        <v>1</v>
      </c>
      <c r="C157" s="7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5"/>
      <c r="B158" s="15">
        <f t="shared" si="19"/>
        <v>1</v>
      </c>
      <c r="C158" s="7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5"/>
      <c r="B159" s="15">
        <f t="shared" si="19"/>
        <v>1</v>
      </c>
      <c r="C159" s="7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5"/>
      <c r="B160" s="15">
        <f t="shared" si="19"/>
        <v>1</v>
      </c>
      <c r="C160" s="7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5"/>
      <c r="B161" s="15">
        <f t="shared" si="19"/>
        <v>1</v>
      </c>
      <c r="C161" s="7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5"/>
      <c r="B162" s="15">
        <f t="shared" si="19"/>
        <v>1</v>
      </c>
      <c r="C162" s="7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5"/>
      <c r="B163" s="15">
        <f t="shared" si="19"/>
        <v>1</v>
      </c>
      <c r="C163" s="7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5"/>
      <c r="B164" s="15"/>
      <c r="C164" s="7"/>
    </row>
    <row r="165" spans="1:3">
      <c r="A165" s="12" t="s">
        <v>2935</v>
      </c>
      <c r="B165" s="13"/>
      <c r="C165" s="8"/>
    </row>
    <row r="166" spans="1:3">
      <c r="A166" s="14" t="s">
        <v>2940</v>
      </c>
      <c r="B166" s="14">
        <f t="shared" ref="B166:B170" si="20">LEN(C166)-LEN(SUBSTITUTE(C166,",",""))+1</f>
        <v>1</v>
      </c>
      <c r="C166" s="9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5" t="s">
        <v>2776</v>
      </c>
      <c r="B167" s="15">
        <f t="shared" si="20"/>
        <v>1</v>
      </c>
      <c r="C167" s="7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5" t="s">
        <v>2117</v>
      </c>
      <c r="B168" s="15">
        <f t="shared" si="20"/>
        <v>1</v>
      </c>
      <c r="C168" s="7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5" t="s">
        <v>2104</v>
      </c>
      <c r="B169" s="15">
        <f t="shared" si="20"/>
        <v>4</v>
      </c>
      <c r="C169" s="7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5" t="s">
        <v>2093</v>
      </c>
      <c r="B170" s="15">
        <f t="shared" si="20"/>
        <v>1</v>
      </c>
      <c r="C170" s="7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5" t="s">
        <v>2096</v>
      </c>
      <c r="B171" s="15">
        <f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5"/>
      <c r="B172" s="15">
        <f>LEN(C172)-LEN(SUBSTITUTE(C172,",",""))+1</f>
        <v>1</v>
      </c>
      <c r="C172" s="7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5"/>
      <c r="B173" s="15">
        <f t="shared" ref="B173:B179" si="21">LEN(C173)-LEN(SUBSTITUTE(C173,",",""))+1</f>
        <v>1</v>
      </c>
      <c r="C173" s="7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5"/>
      <c r="B174" s="15">
        <f t="shared" si="21"/>
        <v>1</v>
      </c>
      <c r="C174" s="7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5"/>
      <c r="B175" s="15">
        <f t="shared" si="21"/>
        <v>1</v>
      </c>
      <c r="C175" s="7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5"/>
      <c r="B176" s="15">
        <f t="shared" si="21"/>
        <v>1</v>
      </c>
      <c r="C176" s="7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5"/>
      <c r="B177" s="15">
        <f t="shared" si="21"/>
        <v>1</v>
      </c>
      <c r="C177" s="7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5"/>
      <c r="B178" s="15">
        <f t="shared" si="21"/>
        <v>1</v>
      </c>
      <c r="C178" s="7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5"/>
      <c r="B179" s="15">
        <f t="shared" si="21"/>
        <v>1</v>
      </c>
      <c r="C179" s="7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5"/>
      <c r="B180" s="15"/>
      <c r="C180" s="7"/>
    </row>
    <row r="181" spans="1:3">
      <c r="A181" s="12" t="s">
        <v>2946</v>
      </c>
      <c r="B181" s="13"/>
      <c r="C181" s="8"/>
    </row>
    <row r="182" spans="1:3">
      <c r="A182" s="14" t="s">
        <v>2940</v>
      </c>
      <c r="B182" s="14">
        <f t="shared" ref="B182:B186" si="22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5" t="s">
        <v>2776</v>
      </c>
      <c r="B183" s="15">
        <f t="shared" si="22"/>
        <v>1</v>
      </c>
      <c r="C183" s="7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5" t="s">
        <v>2117</v>
      </c>
      <c r="B184" s="15">
        <f t="shared" si="22"/>
        <v>1</v>
      </c>
      <c r="C184" s="7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5" t="s">
        <v>2104</v>
      </c>
      <c r="B185" s="15">
        <f t="shared" si="22"/>
        <v>4</v>
      </c>
      <c r="C185" s="7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5" t="s">
        <v>2093</v>
      </c>
      <c r="B186" s="15">
        <f t="shared" si="22"/>
        <v>1</v>
      </c>
      <c r="C186" s="7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3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3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3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3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3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3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3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96" priority="60"/>
  </conditionalFormatting>
  <conditionalFormatting sqref="C1:C17 C308:C1048576">
    <cfRule type="duplicateValues" dxfId="95" priority="59"/>
  </conditionalFormatting>
  <conditionalFormatting sqref="C18">
    <cfRule type="duplicateValues" dxfId="94" priority="58"/>
  </conditionalFormatting>
  <conditionalFormatting sqref="C19">
    <cfRule type="duplicateValues" dxfId="93" priority="57"/>
  </conditionalFormatting>
  <conditionalFormatting sqref="C35:C36">
    <cfRule type="duplicateValues" dxfId="92" priority="56"/>
  </conditionalFormatting>
  <conditionalFormatting sqref="C52">
    <cfRule type="duplicateValues" dxfId="91" priority="55"/>
  </conditionalFormatting>
  <conditionalFormatting sqref="C20:C34">
    <cfRule type="duplicateValues" dxfId="90" priority="50"/>
  </conditionalFormatting>
  <conditionalFormatting sqref="C37:C51">
    <cfRule type="duplicateValues" dxfId="89" priority="49"/>
  </conditionalFormatting>
  <conditionalFormatting sqref="C68">
    <cfRule type="duplicateValues" dxfId="88" priority="48"/>
  </conditionalFormatting>
  <conditionalFormatting sqref="C84">
    <cfRule type="duplicateValues" dxfId="87" priority="47"/>
  </conditionalFormatting>
  <conditionalFormatting sqref="C100">
    <cfRule type="duplicateValues" dxfId="86" priority="46"/>
  </conditionalFormatting>
  <conditionalFormatting sqref="C116">
    <cfRule type="duplicateValues" dxfId="85" priority="45"/>
  </conditionalFormatting>
  <conditionalFormatting sqref="C308:C1048576 C1:C131">
    <cfRule type="duplicateValues" dxfId="84" priority="44"/>
  </conditionalFormatting>
  <conditionalFormatting sqref="C132">
    <cfRule type="duplicateValues" dxfId="83" priority="43"/>
  </conditionalFormatting>
  <conditionalFormatting sqref="C206:C207">
    <cfRule type="duplicateValues" dxfId="82" priority="37"/>
  </conditionalFormatting>
  <conditionalFormatting sqref="C223:C224">
    <cfRule type="duplicateValues" dxfId="81" priority="36"/>
  </conditionalFormatting>
  <conditionalFormatting sqref="C148">
    <cfRule type="duplicateValues" dxfId="80" priority="35"/>
  </conditionalFormatting>
  <conditionalFormatting sqref="C196:C205">
    <cfRule type="duplicateValues" dxfId="79" priority="32"/>
  </conditionalFormatting>
  <conditionalFormatting sqref="C208:C222">
    <cfRule type="duplicateValues" dxfId="78" priority="31"/>
  </conditionalFormatting>
  <conditionalFormatting sqref="C225:C239">
    <cfRule type="duplicateValues" dxfId="77" priority="30"/>
  </conditionalFormatting>
  <conditionalFormatting sqref="C132 C148 C196:C239 C164 C180">
    <cfRule type="duplicateValues" dxfId="76" priority="29"/>
  </conditionalFormatting>
  <conditionalFormatting sqref="C240:C241">
    <cfRule type="duplicateValues" dxfId="75" priority="28"/>
  </conditionalFormatting>
  <conditionalFormatting sqref="C242:C256">
    <cfRule type="duplicateValues" dxfId="74" priority="27"/>
  </conditionalFormatting>
  <conditionalFormatting sqref="C240:C256">
    <cfRule type="duplicateValues" dxfId="73" priority="26"/>
  </conditionalFormatting>
  <conditionalFormatting sqref="C257:C258">
    <cfRule type="duplicateValues" dxfId="72" priority="25"/>
  </conditionalFormatting>
  <conditionalFormatting sqref="C259:C273">
    <cfRule type="duplicateValues" dxfId="71" priority="24"/>
  </conditionalFormatting>
  <conditionalFormatting sqref="C257:C273">
    <cfRule type="duplicateValues" dxfId="70" priority="23"/>
  </conditionalFormatting>
  <conditionalFormatting sqref="C274:C275">
    <cfRule type="duplicateValues" dxfId="69" priority="22"/>
  </conditionalFormatting>
  <conditionalFormatting sqref="C276:C290">
    <cfRule type="duplicateValues" dxfId="68" priority="21"/>
  </conditionalFormatting>
  <conditionalFormatting sqref="C274:C290">
    <cfRule type="duplicateValues" dxfId="67" priority="20"/>
  </conditionalFormatting>
  <conditionalFormatting sqref="C291:C292">
    <cfRule type="duplicateValues" dxfId="66" priority="19"/>
  </conditionalFormatting>
  <conditionalFormatting sqref="C293:C307">
    <cfRule type="duplicateValues" dxfId="65" priority="18"/>
  </conditionalFormatting>
  <conditionalFormatting sqref="C291:C307">
    <cfRule type="duplicateValues" dxfId="64" priority="17"/>
  </conditionalFormatting>
  <conditionalFormatting sqref="C1:C1048576">
    <cfRule type="duplicateValues" dxfId="63" priority="16"/>
  </conditionalFormatting>
  <conditionalFormatting sqref="C53:C67">
    <cfRule type="duplicateValues" dxfId="62" priority="15"/>
  </conditionalFormatting>
  <conditionalFormatting sqref="C69:C83">
    <cfRule type="duplicateValues" dxfId="61" priority="14"/>
  </conditionalFormatting>
  <conditionalFormatting sqref="C85:C99">
    <cfRule type="duplicateValues" dxfId="60" priority="13"/>
  </conditionalFormatting>
  <conditionalFormatting sqref="C101:C115">
    <cfRule type="duplicateValues" dxfId="59" priority="12"/>
  </conditionalFormatting>
  <conditionalFormatting sqref="C117:C131">
    <cfRule type="duplicateValues" dxfId="58" priority="11"/>
  </conditionalFormatting>
  <conditionalFormatting sqref="C133:C147">
    <cfRule type="duplicateValues" dxfId="57" priority="10"/>
  </conditionalFormatting>
  <conditionalFormatting sqref="C133:C147">
    <cfRule type="duplicateValues" dxfId="56" priority="9"/>
  </conditionalFormatting>
  <conditionalFormatting sqref="C149:C163">
    <cfRule type="duplicateValues" dxfId="55" priority="8"/>
  </conditionalFormatting>
  <conditionalFormatting sqref="C149:C163">
    <cfRule type="duplicateValues" dxfId="54" priority="7"/>
  </conditionalFormatting>
  <conditionalFormatting sqref="C164">
    <cfRule type="duplicateValues" dxfId="53" priority="6"/>
  </conditionalFormatting>
  <conditionalFormatting sqref="C165:C179">
    <cfRule type="duplicateValues" dxfId="52" priority="5"/>
  </conditionalFormatting>
  <conditionalFormatting sqref="C165:C179">
    <cfRule type="duplicateValues" dxfId="51" priority="4"/>
  </conditionalFormatting>
  <conditionalFormatting sqref="C180">
    <cfRule type="duplicateValues" dxfId="50" priority="3"/>
  </conditionalFormatting>
  <conditionalFormatting sqref="C181:C195">
    <cfRule type="duplicateValues" dxfId="49" priority="2"/>
  </conditionalFormatting>
  <conditionalFormatting sqref="C181:C195">
    <cfRule type="duplicateValues" dxfId="48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2721</v>
      </c>
    </row>
    <row r="2" spans="1:3">
      <c r="A2" s="12" t="s">
        <v>2684</v>
      </c>
      <c r="B2" s="13"/>
      <c r="C2" s="8"/>
    </row>
    <row r="3" spans="1:3">
      <c r="A3" s="14" t="s">
        <v>2696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5" t="s">
        <v>2698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5" t="s">
        <v>2700</v>
      </c>
      <c r="B5" s="15">
        <f t="shared" si="0"/>
        <v>2</v>
      </c>
      <c r="C5" s="7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5" t="s">
        <v>2703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5" t="s">
        <v>2705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5" t="s">
        <v>773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5" t="s">
        <v>2688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5" t="s">
        <v>2144</v>
      </c>
      <c r="B10" s="15">
        <f t="shared" ref="B10:B16" si="1">LEN(C10)-LEN(SUBSTITUTE(C10,",",""))+1</f>
        <v>4</v>
      </c>
      <c r="C10" s="7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2679</v>
      </c>
      <c r="B20" s="13"/>
      <c r="C20" s="8"/>
    </row>
    <row r="21" spans="1:3">
      <c r="A21" s="14" t="s">
        <v>2696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5" t="s">
        <v>2698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5" t="s">
        <v>2700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5" t="s">
        <v>2703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5" t="s">
        <v>2705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5" t="s">
        <v>773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5" t="s">
        <v>2688</v>
      </c>
      <c r="B27" s="15">
        <f>LEN(C27)-LEN(SUBSTITUTE(C27,",",""))+1</f>
        <v>2</v>
      </c>
      <c r="C27" s="7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5" t="s">
        <v>2144</v>
      </c>
      <c r="B28" s="15">
        <f t="shared" ref="B28:B34" si="3">LEN(C28)-LEN(SUBSTITUTE(C28,",",""))+1</f>
        <v>4</v>
      </c>
      <c r="C28" s="7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2674</v>
      </c>
      <c r="B37" s="13"/>
      <c r="C37" s="8"/>
    </row>
    <row r="38" spans="1:3">
      <c r="A38" s="14" t="s">
        <v>2696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5" t="s">
        <v>2698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5" t="s">
        <v>2700</v>
      </c>
      <c r="B40" s="15">
        <f t="shared" si="4"/>
        <v>2</v>
      </c>
      <c r="C40" s="7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5" t="s">
        <v>2703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5" t="s">
        <v>2705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5" t="s">
        <v>773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5" t="s">
        <v>2688</v>
      </c>
      <c r="B44" s="15">
        <f>LEN(C44)-LEN(SUBSTITUTE(C44,",",""))+1</f>
        <v>2</v>
      </c>
      <c r="C44" s="7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5" t="s">
        <v>2144</v>
      </c>
      <c r="B45" s="15">
        <f t="shared" ref="B45:B51" si="5">LEN(C45)-LEN(SUBSTITUTE(C45,",",""))+1</f>
        <v>4</v>
      </c>
      <c r="C45" s="7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2"/>
      <c r="B54" s="13"/>
      <c r="C54" s="8"/>
    </row>
    <row r="55" spans="1:3">
      <c r="A55" s="14"/>
      <c r="B55" s="14"/>
      <c r="C55" s="9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5"/>
      <c r="B66" s="15"/>
      <c r="C66" s="7"/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2"/>
      <c r="B88" s="13"/>
      <c r="C88" s="8"/>
    </row>
    <row r="89" spans="1:3">
      <c r="A89" s="14"/>
      <c r="B89" s="14"/>
      <c r="C89" s="9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2"/>
      <c r="B105" s="13"/>
      <c r="C105" s="8"/>
    </row>
    <row r="106" spans="1:3">
      <c r="A106" s="14"/>
      <c r="B106" s="14"/>
      <c r="C106" s="9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4" spans="1:3">
      <c r="A114" s="15"/>
      <c r="B114" s="15"/>
      <c r="C114" s="7"/>
    </row>
    <row r="115" spans="1:3">
      <c r="A115" s="15"/>
      <c r="B115" s="15"/>
      <c r="C115" s="7"/>
    </row>
    <row r="116" spans="1:3">
      <c r="A116" s="15"/>
      <c r="B116" s="15"/>
      <c r="C116" s="7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2"/>
      <c r="B122" s="13"/>
      <c r="C122" s="8"/>
    </row>
    <row r="123" spans="1:3">
      <c r="A123" s="14"/>
      <c r="B123" s="14"/>
      <c r="C123" s="9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0" spans="1:3">
      <c r="A130" s="15"/>
      <c r="B130" s="15"/>
      <c r="C130" s="7"/>
    </row>
    <row r="131" spans="1:3">
      <c r="A131" s="15"/>
      <c r="B131" s="15"/>
      <c r="C131" s="7"/>
    </row>
    <row r="132" spans="1:3">
      <c r="A132" s="15"/>
      <c r="B132" s="15"/>
      <c r="C132" s="7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 ht="18.75">
      <c r="A137" s="16"/>
      <c r="B137" s="16"/>
      <c r="C137" s="10"/>
    </row>
    <row r="138" spans="1:3">
      <c r="A138" s="12"/>
      <c r="B138" s="13"/>
      <c r="C138" s="8"/>
    </row>
    <row r="139" spans="1:3">
      <c r="A139" s="14"/>
      <c r="B139" s="14"/>
      <c r="C139" s="9"/>
    </row>
    <row r="140" spans="1:3">
      <c r="A140" s="12"/>
      <c r="B140" s="13"/>
      <c r="C140" s="8"/>
    </row>
    <row r="141" spans="1:3">
      <c r="A141" s="14"/>
      <c r="B141" s="14"/>
      <c r="C141" s="9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6" spans="1:3">
      <c r="A146" s="15"/>
      <c r="B146" s="15"/>
      <c r="C146" s="7"/>
    </row>
    <row r="147" spans="1:3">
      <c r="A147" s="15"/>
      <c r="B147" s="15"/>
      <c r="C147" s="7"/>
    </row>
    <row r="148" spans="1:3">
      <c r="A148" s="15"/>
      <c r="B148" s="15"/>
      <c r="C148" s="7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4"/>
      <c r="B155" s="14"/>
      <c r="C155" s="9"/>
    </row>
    <row r="156" spans="1:3">
      <c r="A156" s="15"/>
      <c r="B156" s="15"/>
      <c r="C156" s="7"/>
    </row>
    <row r="157" spans="1:3">
      <c r="A157" s="12"/>
      <c r="B157" s="13"/>
      <c r="C157" s="8"/>
    </row>
    <row r="158" spans="1:3">
      <c r="A158" s="14"/>
      <c r="B158" s="14"/>
      <c r="C158" s="9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5"/>
      <c r="B162" s="15"/>
      <c r="C162" s="7"/>
    </row>
    <row r="163" spans="1:3">
      <c r="A163" s="15"/>
      <c r="B163" s="15"/>
      <c r="C163" s="7"/>
    </row>
    <row r="164" spans="1:3">
      <c r="A164" s="15"/>
      <c r="B164" s="15"/>
      <c r="C164" s="7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47" priority="45"/>
  </conditionalFormatting>
  <conditionalFormatting sqref="C1:C17 C308:C1048576">
    <cfRule type="duplicateValues" dxfId="46" priority="44"/>
  </conditionalFormatting>
  <conditionalFormatting sqref="C18">
    <cfRule type="duplicateValues" dxfId="45" priority="43"/>
  </conditionalFormatting>
  <conditionalFormatting sqref="C19">
    <cfRule type="duplicateValues" dxfId="44" priority="42"/>
  </conditionalFormatting>
  <conditionalFormatting sqref="C35:C36">
    <cfRule type="duplicateValues" dxfId="43" priority="41"/>
  </conditionalFormatting>
  <conditionalFormatting sqref="C52:C53">
    <cfRule type="duplicateValues" dxfId="42" priority="40"/>
  </conditionalFormatting>
  <conditionalFormatting sqref="C69:C70">
    <cfRule type="duplicateValues" dxfId="41" priority="39"/>
  </conditionalFormatting>
  <conditionalFormatting sqref="C86:C87">
    <cfRule type="duplicateValues" dxfId="40" priority="38"/>
  </conditionalFormatting>
  <conditionalFormatting sqref="C103:C104">
    <cfRule type="duplicateValues" dxfId="39" priority="37"/>
  </conditionalFormatting>
  <conditionalFormatting sqref="C120:C121">
    <cfRule type="duplicateValues" dxfId="38" priority="36"/>
  </conditionalFormatting>
  <conditionalFormatting sqref="C20:C34">
    <cfRule type="duplicateValues" dxfId="37" priority="35"/>
  </conditionalFormatting>
  <conditionalFormatting sqref="C37:C51">
    <cfRule type="duplicateValues" dxfId="36" priority="34"/>
  </conditionalFormatting>
  <conditionalFormatting sqref="C54:C68">
    <cfRule type="duplicateValues" dxfId="35" priority="33"/>
  </conditionalFormatting>
  <conditionalFormatting sqref="C71:C85">
    <cfRule type="duplicateValues" dxfId="34" priority="32"/>
  </conditionalFormatting>
  <conditionalFormatting sqref="C88:C102">
    <cfRule type="duplicateValues" dxfId="33" priority="31"/>
  </conditionalFormatting>
  <conditionalFormatting sqref="C105:C119">
    <cfRule type="duplicateValues" dxfId="32" priority="30"/>
  </conditionalFormatting>
  <conditionalFormatting sqref="C1:C121 C308:C1048576">
    <cfRule type="duplicateValues" dxfId="31" priority="29"/>
  </conditionalFormatting>
  <conditionalFormatting sqref="C122:C137">
    <cfRule type="duplicateValues" dxfId="30" priority="28"/>
  </conditionalFormatting>
  <conditionalFormatting sqref="C138">
    <cfRule type="duplicateValues" dxfId="29" priority="27"/>
  </conditionalFormatting>
  <conditionalFormatting sqref="C139">
    <cfRule type="duplicateValues" dxfId="28" priority="26"/>
  </conditionalFormatting>
  <conditionalFormatting sqref="C155:C156">
    <cfRule type="duplicateValues" dxfId="27" priority="25"/>
  </conditionalFormatting>
  <conditionalFormatting sqref="C172:C173">
    <cfRule type="duplicateValues" dxfId="26" priority="24"/>
  </conditionalFormatting>
  <conditionalFormatting sqref="C189:C190">
    <cfRule type="duplicateValues" dxfId="25" priority="23"/>
  </conditionalFormatting>
  <conditionalFormatting sqref="C206:C207">
    <cfRule type="duplicateValues" dxfId="24" priority="22"/>
  </conditionalFormatting>
  <conditionalFormatting sqref="C223:C224">
    <cfRule type="duplicateValues" dxfId="23" priority="21"/>
  </conditionalFormatting>
  <conditionalFormatting sqref="C140:C154">
    <cfRule type="duplicateValues" dxfId="22" priority="20"/>
  </conditionalFormatting>
  <conditionalFormatting sqref="C157:C171">
    <cfRule type="duplicateValues" dxfId="21" priority="19"/>
  </conditionalFormatting>
  <conditionalFormatting sqref="C174:C188">
    <cfRule type="duplicateValues" dxfId="20" priority="18"/>
  </conditionalFormatting>
  <conditionalFormatting sqref="C191:C205">
    <cfRule type="duplicateValues" dxfId="19" priority="17"/>
  </conditionalFormatting>
  <conditionalFormatting sqref="C208:C222">
    <cfRule type="duplicateValues" dxfId="18" priority="16"/>
  </conditionalFormatting>
  <conditionalFormatting sqref="C225:C239">
    <cfRule type="duplicateValues" dxfId="17" priority="15"/>
  </conditionalFormatting>
  <conditionalFormatting sqref="C122:C239">
    <cfRule type="duplicateValues" dxfId="16" priority="14"/>
  </conditionalFormatting>
  <conditionalFormatting sqref="C240:C241">
    <cfRule type="duplicateValues" dxfId="15" priority="13"/>
  </conditionalFormatting>
  <conditionalFormatting sqref="C242:C256">
    <cfRule type="duplicateValues" dxfId="14" priority="12"/>
  </conditionalFormatting>
  <conditionalFormatting sqref="C240:C256">
    <cfRule type="duplicateValues" dxfId="13" priority="11"/>
  </conditionalFormatting>
  <conditionalFormatting sqref="C257:C258">
    <cfRule type="duplicateValues" dxfId="12" priority="10"/>
  </conditionalFormatting>
  <conditionalFormatting sqref="C259:C273">
    <cfRule type="duplicateValues" dxfId="11" priority="9"/>
  </conditionalFormatting>
  <conditionalFormatting sqref="C257:C273">
    <cfRule type="duplicateValues" dxfId="10" priority="8"/>
  </conditionalFormatting>
  <conditionalFormatting sqref="C274:C275">
    <cfRule type="duplicateValues" dxfId="9" priority="7"/>
  </conditionalFormatting>
  <conditionalFormatting sqref="C276:C290">
    <cfRule type="duplicateValues" dxfId="8" priority="6"/>
  </conditionalFormatting>
  <conditionalFormatting sqref="C274:C290">
    <cfRule type="duplicateValues" dxfId="7" priority="5"/>
  </conditionalFormatting>
  <conditionalFormatting sqref="C291:C292">
    <cfRule type="duplicateValues" dxfId="6" priority="4"/>
  </conditionalFormatting>
  <conditionalFormatting sqref="C293:C307">
    <cfRule type="duplicateValues" dxfId="5" priority="3"/>
  </conditionalFormatting>
  <conditionalFormatting sqref="C291:C307">
    <cfRule type="duplicateValues" dxfId="4" priority="2"/>
  </conditionalFormatting>
  <conditionalFormatting sqref="C1:C1048576">
    <cfRule type="duplicateValues" dxfId="3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2022-08-26T14:10:51Z</cp:lastPrinted>
  <dcterms:created xsi:type="dcterms:W3CDTF">2021-01-12T11:59:55Z</dcterms:created>
  <dcterms:modified xsi:type="dcterms:W3CDTF">2022-08-26T14:12:47Z</dcterms:modified>
</cp:coreProperties>
</file>