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C:\Users\Dariusz\Desktop\"/>
    </mc:Choice>
  </mc:AlternateContent>
  <xr:revisionPtr revIDLastSave="0" documentId="13_ncr:1_{E895C145-19DA-4F96-A8FC-375C522466B0}" xr6:coauthVersionLast="47" xr6:coauthVersionMax="47" xr10:uidLastSave="{00000000-0000-0000-0000-000000000000}"/>
  <bookViews>
    <workbookView xWindow="-120" yWindow="-120" windowWidth="29040" windowHeight="15840" tabRatio="722" activeTab="2" xr2:uid="{1FEB3EA3-401E-4A53-9174-07DB51B112DF}"/>
  </bookViews>
  <sheets>
    <sheet name="Dodaj zlecenie --&gt;" sheetId="4" r:id="rId1"/>
    <sheet name="Produkcja" sheetId="1" r:id="rId2"/>
    <sheet name="TEST" sheetId="61" r:id="rId3"/>
    <sheet name="LABEL" sheetId="62" r:id="rId4"/>
    <sheet name="Arkusz4" sheetId="60" r:id="rId5"/>
    <sheet name="18szt iot" sheetId="59" r:id="rId6"/>
    <sheet name="10szt IOT" sheetId="58" r:id="rId7"/>
    <sheet name="Arkusz3" sheetId="57" r:id="rId8"/>
    <sheet name="12szt IOT" sheetId="56" r:id="rId9"/>
    <sheet name="12szt asrock" sheetId="55" r:id="rId10"/>
    <sheet name="006010" sheetId="54" r:id="rId11"/>
    <sheet name="4szt IOT" sheetId="53" r:id="rId12"/>
    <sheet name="005979" sheetId="52" r:id="rId13"/>
    <sheet name="005842" sheetId="51" r:id="rId14"/>
    <sheet name="Arkusz2" sheetId="50" r:id="rId15"/>
    <sheet name="iot 6szt" sheetId="49" r:id="rId16"/>
    <sheet name="Arkusz1" sheetId="48" r:id="rId17"/>
    <sheet name="005541" sheetId="47" r:id="rId18"/>
    <sheet name="005613" sheetId="46" r:id="rId19"/>
  </sheets>
  <externalReferences>
    <externalReference r:id="rId20"/>
  </externalReferences>
  <definedNames>
    <definedName name="_xlnm._FilterDatabase" localSheetId="7" hidden="1">Arkusz3!$J$7:$J$14</definedName>
    <definedName name="_xlnm._FilterDatabase" localSheetId="1" hidden="1">Produkcja!$A$1:$K$6109</definedName>
    <definedName name="_xlnm.Print_Area" localSheetId="3">LABEL!$A:$C</definedName>
    <definedName name="p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4" i="61" l="1" a="1"/>
  <c r="C4" i="61" s="1"/>
  <c r="C5" i="61" a="1"/>
  <c r="C5" i="61" s="1"/>
  <c r="C6" i="61" a="1"/>
  <c r="C6" i="61" s="1"/>
  <c r="C7" i="61" a="1"/>
  <c r="C7" i="61" s="1"/>
  <c r="C8" i="61" a="1"/>
  <c r="C8" i="61" s="1"/>
  <c r="C9" i="61" a="1"/>
  <c r="C9" i="61" s="1"/>
  <c r="C10" i="61" a="1"/>
  <c r="C10" i="61" s="1"/>
  <c r="C11" i="61" a="1"/>
  <c r="C11" i="61" s="1"/>
  <c r="C12" i="61" a="1"/>
  <c r="C12" i="61" s="1"/>
  <c r="C13" i="61" a="1"/>
  <c r="C13" i="61" s="1"/>
  <c r="C14" i="61" a="1"/>
  <c r="C14" i="61" s="1"/>
  <c r="C15" i="61" a="1"/>
  <c r="C15" i="61" s="1"/>
  <c r="C16" i="61" a="1"/>
  <c r="C16" i="61" s="1"/>
  <c r="C3" i="61" a="1"/>
  <c r="C3" i="61" s="1"/>
  <c r="A3" i="61" a="1"/>
  <c r="A3" i="61" s="1"/>
  <c r="G9" i="62" a="1"/>
  <c r="G9" i="62" s="1"/>
  <c r="B6" i="62" a="1"/>
  <c r="B6" i="62" s="1"/>
  <c r="C3" i="62" l="1"/>
  <c r="C2" i="62"/>
  <c r="A4" i="62" l="1"/>
  <c r="I18" i="61" a="1"/>
  <c r="I18" i="61" s="1"/>
  <c r="I4" i="60" l="1" a="1"/>
  <c r="I4" i="60" s="1"/>
  <c r="A3" i="60" a="1"/>
  <c r="A3" i="60" s="1"/>
  <c r="C3" i="60" s="1" a="1"/>
  <c r="C3" i="60" s="1"/>
  <c r="B3" i="60" s="1"/>
  <c r="C36" i="60" a="1"/>
  <c r="C36" i="60" s="1"/>
  <c r="B36" i="60" s="1"/>
  <c r="C35" i="60" a="1"/>
  <c r="C35" i="60" s="1"/>
  <c r="B35" i="60" s="1"/>
  <c r="C34" i="60" a="1"/>
  <c r="C34" i="60" s="1"/>
  <c r="B34" i="60" s="1"/>
  <c r="C33" i="60" a="1"/>
  <c r="C33" i="60" s="1"/>
  <c r="B33" i="60" s="1"/>
  <c r="C32" i="60" a="1"/>
  <c r="C32" i="60" s="1"/>
  <c r="B32" i="60" s="1"/>
  <c r="C31" i="60" a="1"/>
  <c r="C31" i="60" s="1"/>
  <c r="B31" i="60" s="1"/>
  <c r="C30" i="60" a="1"/>
  <c r="C30" i="60" s="1"/>
  <c r="B30" i="60" s="1"/>
  <c r="C29" i="60" a="1"/>
  <c r="C29" i="60" s="1"/>
  <c r="B29" i="60" s="1"/>
  <c r="C28" i="60" a="1"/>
  <c r="C28" i="60" s="1"/>
  <c r="B28" i="60" s="1"/>
  <c r="C27" i="60" a="1"/>
  <c r="C27" i="60" s="1"/>
  <c r="B27" i="60" s="1"/>
  <c r="C26" i="60" a="1"/>
  <c r="C26" i="60" s="1"/>
  <c r="B26" i="60" s="1"/>
  <c r="C25" i="60" a="1"/>
  <c r="C25" i="60" s="1"/>
  <c r="B25" i="60" s="1"/>
  <c r="C24" i="60" a="1"/>
  <c r="C24" i="60" s="1"/>
  <c r="B24" i="60" s="1"/>
  <c r="C23" i="60" a="1"/>
  <c r="C23" i="60" s="1"/>
  <c r="B23" i="60" s="1"/>
  <c r="C16" i="60" a="1"/>
  <c r="C16" i="60" s="1"/>
  <c r="B16" i="60" s="1"/>
  <c r="C15" i="60" a="1"/>
  <c r="C15" i="60" s="1"/>
  <c r="B15" i="60" s="1"/>
  <c r="C14" i="60" a="1"/>
  <c r="C14" i="60" s="1"/>
  <c r="B14" i="60" s="1"/>
  <c r="C13" i="60" a="1"/>
  <c r="C13" i="60" s="1"/>
  <c r="B13" i="60" s="1"/>
  <c r="C12" i="60" a="1"/>
  <c r="C12" i="60" s="1"/>
  <c r="B12" i="60" s="1"/>
  <c r="C11" i="60" a="1"/>
  <c r="C11" i="60" s="1"/>
  <c r="B11" i="60" s="1"/>
  <c r="C10" i="60" a="1"/>
  <c r="C10" i="60" s="1"/>
  <c r="B10" i="60" s="1"/>
  <c r="C9" i="60" a="1"/>
  <c r="C9" i="60" s="1"/>
  <c r="B9" i="60" s="1"/>
  <c r="C8" i="60" a="1"/>
  <c r="C8" i="60" s="1"/>
  <c r="B8" i="60" s="1"/>
  <c r="C7" i="60" a="1"/>
  <c r="C7" i="60" s="1"/>
  <c r="B7" i="60" s="1"/>
  <c r="C6" i="60" a="1"/>
  <c r="C6" i="60" s="1"/>
  <c r="B6" i="60" s="1"/>
  <c r="C5" i="60" a="1"/>
  <c r="C5" i="60" s="1"/>
  <c r="B5" i="60" s="1"/>
  <c r="C4" i="60" a="1"/>
  <c r="C4" i="60" s="1"/>
  <c r="B4" i="60" s="1"/>
  <c r="C309" i="59" a="1"/>
  <c r="C309" i="59" s="1"/>
  <c r="B309" i="59" s="1"/>
  <c r="C308" i="59" a="1"/>
  <c r="C308" i="59" s="1"/>
  <c r="B308" i="59" s="1"/>
  <c r="C307" i="59" a="1"/>
  <c r="C307" i="59" s="1"/>
  <c r="B307" i="59" s="1"/>
  <c r="C306" i="59" a="1"/>
  <c r="C306" i="59" s="1"/>
  <c r="B306" i="59" s="1"/>
  <c r="C305" i="59" a="1"/>
  <c r="C305" i="59" s="1"/>
  <c r="B305" i="59" s="1"/>
  <c r="C304" i="59" a="1"/>
  <c r="C304" i="59" s="1"/>
  <c r="B304" i="59" s="1"/>
  <c r="C303" i="59" a="1"/>
  <c r="C303" i="59" s="1"/>
  <c r="B303" i="59" s="1"/>
  <c r="C302" i="59" a="1"/>
  <c r="C302" i="59" s="1"/>
  <c r="B302" i="59" s="1"/>
  <c r="C301" i="59" a="1"/>
  <c r="C301" i="59" s="1"/>
  <c r="B301" i="59" s="1"/>
  <c r="C300" i="59" a="1"/>
  <c r="C300" i="59" s="1"/>
  <c r="B300" i="59" s="1"/>
  <c r="C299" i="59" a="1"/>
  <c r="C299" i="59" s="1"/>
  <c r="B299" i="59" s="1"/>
  <c r="C298" i="59" a="1"/>
  <c r="C298" i="59" s="1"/>
  <c r="B298" i="59" s="1"/>
  <c r="C297" i="59" a="1"/>
  <c r="C297" i="59" s="1"/>
  <c r="B297" i="59" s="1"/>
  <c r="C291" i="59" a="1"/>
  <c r="C291" i="59" s="1"/>
  <c r="B291" i="59" s="1"/>
  <c r="C290" i="59" a="1"/>
  <c r="C290" i="59" s="1"/>
  <c r="B290" i="59" s="1"/>
  <c r="C289" i="59" a="1"/>
  <c r="C289" i="59" s="1"/>
  <c r="B289" i="59" s="1"/>
  <c r="C288" i="59" a="1"/>
  <c r="C288" i="59" s="1"/>
  <c r="B288" i="59" s="1"/>
  <c r="C287" i="59" a="1"/>
  <c r="C287" i="59" s="1"/>
  <c r="B287" i="59" s="1"/>
  <c r="C286" i="59" a="1"/>
  <c r="C286" i="59" s="1"/>
  <c r="B286" i="59" s="1"/>
  <c r="C285" i="59" a="1"/>
  <c r="C285" i="59" s="1"/>
  <c r="B285" i="59" s="1"/>
  <c r="C284" i="59" a="1"/>
  <c r="C284" i="59" s="1"/>
  <c r="B284" i="59" s="1"/>
  <c r="C283" i="59" a="1"/>
  <c r="C283" i="59" s="1"/>
  <c r="B283" i="59" s="1"/>
  <c r="C282" i="59" a="1"/>
  <c r="C282" i="59" s="1"/>
  <c r="B282" i="59" s="1"/>
  <c r="C281" i="59" a="1"/>
  <c r="C281" i="59" s="1"/>
  <c r="B281" i="59" s="1"/>
  <c r="C280" i="59" a="1"/>
  <c r="C280" i="59" s="1"/>
  <c r="B280" i="59" s="1"/>
  <c r="C279" i="59" a="1"/>
  <c r="C279" i="59" s="1"/>
  <c r="B279" i="59" s="1"/>
  <c r="C274" i="59" a="1"/>
  <c r="C274" i="59" s="1"/>
  <c r="B274" i="59" s="1"/>
  <c r="C273" i="59" a="1"/>
  <c r="C273" i="59" s="1"/>
  <c r="B273" i="59" s="1"/>
  <c r="C272" i="59" a="1"/>
  <c r="C272" i="59" s="1"/>
  <c r="B272" i="59" s="1"/>
  <c r="C271" i="59" a="1"/>
  <c r="C271" i="59" s="1"/>
  <c r="B271" i="59" s="1"/>
  <c r="C270" i="59" a="1"/>
  <c r="C270" i="59" s="1"/>
  <c r="B270" i="59" s="1"/>
  <c r="C269" i="59" a="1"/>
  <c r="C269" i="59" s="1"/>
  <c r="B269" i="59" s="1"/>
  <c r="C268" i="59" a="1"/>
  <c r="C268" i="59" s="1"/>
  <c r="B268" i="59" s="1"/>
  <c r="C267" i="59" a="1"/>
  <c r="C267" i="59" s="1"/>
  <c r="B267" i="59" s="1"/>
  <c r="C266" i="59" a="1"/>
  <c r="C266" i="59" s="1"/>
  <c r="B266" i="59" s="1"/>
  <c r="C265" i="59" a="1"/>
  <c r="C265" i="59" s="1"/>
  <c r="B265" i="59" s="1"/>
  <c r="C264" i="59" a="1"/>
  <c r="C264" i="59" s="1"/>
  <c r="B264" i="59" s="1"/>
  <c r="C263" i="59" a="1"/>
  <c r="C263" i="59" s="1"/>
  <c r="B263" i="59" s="1"/>
  <c r="C262" i="59" a="1"/>
  <c r="C262" i="59" s="1"/>
  <c r="B262" i="59" s="1"/>
  <c r="C256" i="59" a="1"/>
  <c r="C256" i="59" s="1"/>
  <c r="B256" i="59" s="1"/>
  <c r="C255" i="59" a="1"/>
  <c r="C255" i="59" s="1"/>
  <c r="B255" i="59" s="1"/>
  <c r="C254" i="59" a="1"/>
  <c r="C254" i="59" s="1"/>
  <c r="B254" i="59" s="1"/>
  <c r="C253" i="59" a="1"/>
  <c r="C253" i="59" s="1"/>
  <c r="B253" i="59" s="1"/>
  <c r="C252" i="59" a="1"/>
  <c r="C252" i="59" s="1"/>
  <c r="B252" i="59" s="1"/>
  <c r="C251" i="59" a="1"/>
  <c r="C251" i="59" s="1"/>
  <c r="B251" i="59" s="1"/>
  <c r="C250" i="59" a="1"/>
  <c r="C250" i="59" s="1"/>
  <c r="B250" i="59" s="1"/>
  <c r="C249" i="59" a="1"/>
  <c r="C249" i="59" s="1"/>
  <c r="B249" i="59" s="1"/>
  <c r="C248" i="59" a="1"/>
  <c r="C248" i="59" s="1"/>
  <c r="B248" i="59" s="1"/>
  <c r="C247" i="59" a="1"/>
  <c r="C247" i="59" s="1"/>
  <c r="B247" i="59" s="1"/>
  <c r="C246" i="59" a="1"/>
  <c r="C246" i="59" s="1"/>
  <c r="B246" i="59" s="1"/>
  <c r="C245" i="59" a="1"/>
  <c r="C245" i="59" s="1"/>
  <c r="B245" i="59" s="1"/>
  <c r="C244" i="59" a="1"/>
  <c r="C244" i="59" s="1"/>
  <c r="B244" i="59" s="1"/>
  <c r="C238" i="59" a="1"/>
  <c r="C238" i="59" s="1"/>
  <c r="B238" i="59" s="1"/>
  <c r="C237" i="59" a="1"/>
  <c r="C237" i="59" s="1"/>
  <c r="B237" i="59" s="1"/>
  <c r="C236" i="59" a="1"/>
  <c r="C236" i="59" s="1"/>
  <c r="B236" i="59" s="1"/>
  <c r="C235" i="59" a="1"/>
  <c r="C235" i="59" s="1"/>
  <c r="B235" i="59" s="1"/>
  <c r="C234" i="59" a="1"/>
  <c r="C234" i="59" s="1"/>
  <c r="B234" i="59" s="1"/>
  <c r="C233" i="59" a="1"/>
  <c r="C233" i="59" s="1"/>
  <c r="B233" i="59" s="1"/>
  <c r="C232" i="59" a="1"/>
  <c r="C232" i="59" s="1"/>
  <c r="B232" i="59" s="1"/>
  <c r="C231" i="59" a="1"/>
  <c r="C231" i="59" s="1"/>
  <c r="B231" i="59" s="1"/>
  <c r="C230" i="59" a="1"/>
  <c r="C230" i="59" s="1"/>
  <c r="B230" i="59" s="1"/>
  <c r="C229" i="59" a="1"/>
  <c r="C229" i="59" s="1"/>
  <c r="B229" i="59" s="1"/>
  <c r="C228" i="59" a="1"/>
  <c r="C228" i="59" s="1"/>
  <c r="B228" i="59" s="1"/>
  <c r="C227" i="59" a="1"/>
  <c r="C227" i="59" s="1"/>
  <c r="B227" i="59" s="1"/>
  <c r="C226" i="59" a="1"/>
  <c r="C226" i="59" s="1"/>
  <c r="B226" i="59" s="1"/>
  <c r="C221" i="59" a="1"/>
  <c r="C221" i="59" s="1"/>
  <c r="B221" i="59" s="1"/>
  <c r="C220" i="59" a="1"/>
  <c r="C220" i="59" s="1"/>
  <c r="B220" i="59" s="1"/>
  <c r="C219" i="59" a="1"/>
  <c r="C219" i="59" s="1"/>
  <c r="B219" i="59" s="1"/>
  <c r="C218" i="59" a="1"/>
  <c r="C218" i="59" s="1"/>
  <c r="B218" i="59" s="1"/>
  <c r="C217" i="59" a="1"/>
  <c r="C217" i="59" s="1"/>
  <c r="B217" i="59" s="1"/>
  <c r="C216" i="59" a="1"/>
  <c r="C216" i="59" s="1"/>
  <c r="B216" i="59" s="1"/>
  <c r="C215" i="59" a="1"/>
  <c r="C215" i="59" s="1"/>
  <c r="B215" i="59" s="1"/>
  <c r="C214" i="59" a="1"/>
  <c r="C214" i="59" s="1"/>
  <c r="B214" i="59" s="1"/>
  <c r="C213" i="59" a="1"/>
  <c r="C213" i="59" s="1"/>
  <c r="B213" i="59" s="1"/>
  <c r="C212" i="59" a="1"/>
  <c r="C212" i="59" s="1"/>
  <c r="B212" i="59" s="1"/>
  <c r="C211" i="59" a="1"/>
  <c r="C211" i="59" s="1"/>
  <c r="B211" i="59" s="1"/>
  <c r="C210" i="59" a="1"/>
  <c r="C210" i="59" s="1"/>
  <c r="B210" i="59" s="1"/>
  <c r="C209" i="59" a="1"/>
  <c r="C209" i="59" s="1"/>
  <c r="B209" i="59" s="1"/>
  <c r="C204" i="59" a="1"/>
  <c r="C204" i="59" s="1"/>
  <c r="B204" i="59" s="1"/>
  <c r="C203" i="59" a="1"/>
  <c r="C203" i="59" s="1"/>
  <c r="B203" i="59" s="1"/>
  <c r="C202" i="59" a="1"/>
  <c r="C202" i="59" s="1"/>
  <c r="B202" i="59" s="1"/>
  <c r="C201" i="59" a="1"/>
  <c r="C201" i="59" s="1"/>
  <c r="B201" i="59" s="1"/>
  <c r="C200" i="59" a="1"/>
  <c r="C200" i="59" s="1"/>
  <c r="B200" i="59" s="1"/>
  <c r="C199" i="59" a="1"/>
  <c r="C199" i="59" s="1"/>
  <c r="B199" i="59" s="1"/>
  <c r="C198" i="59" a="1"/>
  <c r="C198" i="59" s="1"/>
  <c r="B198" i="59" s="1"/>
  <c r="C197" i="59" a="1"/>
  <c r="C197" i="59" s="1"/>
  <c r="B197" i="59" s="1"/>
  <c r="C196" i="59" a="1"/>
  <c r="C196" i="59" s="1"/>
  <c r="B196" i="59" s="1"/>
  <c r="C195" i="59" a="1"/>
  <c r="C195" i="59" s="1"/>
  <c r="B195" i="59" s="1"/>
  <c r="C194" i="59" a="1"/>
  <c r="C194" i="59" s="1"/>
  <c r="B194" i="59" s="1"/>
  <c r="C193" i="59" a="1"/>
  <c r="C193" i="59" s="1"/>
  <c r="B193" i="59" s="1"/>
  <c r="C192" i="59" a="1"/>
  <c r="C192" i="59" s="1"/>
  <c r="B192" i="59" s="1"/>
  <c r="C187" i="59" a="1"/>
  <c r="C187" i="59" s="1"/>
  <c r="B187" i="59" s="1"/>
  <c r="C186" i="59" a="1"/>
  <c r="C186" i="59" s="1"/>
  <c r="B186" i="59" s="1"/>
  <c r="C185" i="59" a="1"/>
  <c r="C185" i="59" s="1"/>
  <c r="B185" i="59" s="1"/>
  <c r="C184" i="59" a="1"/>
  <c r="C184" i="59" s="1"/>
  <c r="B184" i="59" s="1"/>
  <c r="C183" i="59" a="1"/>
  <c r="C183" i="59" s="1"/>
  <c r="B183" i="59" s="1"/>
  <c r="C182" i="59" a="1"/>
  <c r="C182" i="59" s="1"/>
  <c r="B182" i="59" s="1"/>
  <c r="C181" i="59" a="1"/>
  <c r="C181" i="59" s="1"/>
  <c r="B181" i="59" s="1"/>
  <c r="C180" i="59" a="1"/>
  <c r="C180" i="59" s="1"/>
  <c r="B180" i="59" s="1"/>
  <c r="C179" i="59" a="1"/>
  <c r="C179" i="59" s="1"/>
  <c r="B179" i="59" s="1"/>
  <c r="C178" i="59" a="1"/>
  <c r="C178" i="59" s="1"/>
  <c r="B178" i="59" s="1"/>
  <c r="C177" i="59" a="1"/>
  <c r="C177" i="59" s="1"/>
  <c r="B177" i="59" s="1"/>
  <c r="C176" i="59" a="1"/>
  <c r="C176" i="59" s="1"/>
  <c r="B176" i="59" s="1"/>
  <c r="C175" i="59" a="1"/>
  <c r="C175" i="59" s="1"/>
  <c r="B175" i="59" s="1"/>
  <c r="C170" i="59" a="1"/>
  <c r="C170" i="59" s="1"/>
  <c r="B170" i="59" s="1"/>
  <c r="C169" i="59" a="1"/>
  <c r="C169" i="59" s="1"/>
  <c r="B169" i="59" s="1"/>
  <c r="C168" i="59" a="1"/>
  <c r="C168" i="59" s="1"/>
  <c r="B168" i="59" s="1"/>
  <c r="C167" i="59" a="1"/>
  <c r="C167" i="59" s="1"/>
  <c r="B167" i="59" s="1"/>
  <c r="C166" i="59" a="1"/>
  <c r="C166" i="59" s="1"/>
  <c r="B166" i="59" s="1"/>
  <c r="C165" i="59" a="1"/>
  <c r="C165" i="59" s="1"/>
  <c r="B165" i="59" s="1"/>
  <c r="C164" i="59" a="1"/>
  <c r="C164" i="59" s="1"/>
  <c r="B164" i="59" s="1"/>
  <c r="C163" i="59" a="1"/>
  <c r="C163" i="59" s="1"/>
  <c r="B163" i="59" s="1"/>
  <c r="C162" i="59" a="1"/>
  <c r="C162" i="59" s="1"/>
  <c r="B162" i="59" s="1"/>
  <c r="C161" i="59" a="1"/>
  <c r="C161" i="59" s="1"/>
  <c r="B161" i="59" s="1"/>
  <c r="C160" i="59" a="1"/>
  <c r="C160" i="59" s="1"/>
  <c r="B160" i="59" s="1"/>
  <c r="C159" i="59" a="1"/>
  <c r="C159" i="59" s="1"/>
  <c r="B159" i="59" s="1"/>
  <c r="C158" i="59" a="1"/>
  <c r="C158" i="59" s="1"/>
  <c r="B158" i="59" s="1"/>
  <c r="C153" i="59" a="1"/>
  <c r="C153" i="59" s="1"/>
  <c r="B153" i="59" s="1"/>
  <c r="C152" i="59" a="1"/>
  <c r="C152" i="59" s="1"/>
  <c r="B152" i="59" s="1"/>
  <c r="C151" i="59" a="1"/>
  <c r="C151" i="59" s="1"/>
  <c r="B151" i="59" s="1"/>
  <c r="C150" i="59" a="1"/>
  <c r="C150" i="59" s="1"/>
  <c r="B150" i="59" s="1"/>
  <c r="C149" i="59" a="1"/>
  <c r="C149" i="59" s="1"/>
  <c r="B149" i="59" s="1"/>
  <c r="C148" i="59" a="1"/>
  <c r="C148" i="59" s="1"/>
  <c r="B148" i="59" s="1"/>
  <c r="C147" i="59" a="1"/>
  <c r="C147" i="59" s="1"/>
  <c r="B147" i="59" s="1"/>
  <c r="C146" i="59" a="1"/>
  <c r="C146" i="59" s="1"/>
  <c r="B146" i="59" s="1"/>
  <c r="C145" i="59" a="1"/>
  <c r="C145" i="59" s="1"/>
  <c r="B145" i="59" s="1"/>
  <c r="C144" i="59" a="1"/>
  <c r="C144" i="59" s="1"/>
  <c r="B144" i="59" s="1"/>
  <c r="C143" i="59" a="1"/>
  <c r="C143" i="59" s="1"/>
  <c r="B143" i="59" s="1"/>
  <c r="C142" i="59" a="1"/>
  <c r="C142" i="59" s="1"/>
  <c r="B142" i="59" s="1"/>
  <c r="C141" i="59" a="1"/>
  <c r="C141" i="59" s="1"/>
  <c r="B141" i="59" s="1"/>
  <c r="C134" i="59" a="1"/>
  <c r="C134" i="59" s="1"/>
  <c r="B134" i="59" s="1"/>
  <c r="C133" i="59" a="1"/>
  <c r="C133" i="59" s="1"/>
  <c r="B133" i="59" s="1"/>
  <c r="C132" i="59" a="1"/>
  <c r="C132" i="59" s="1"/>
  <c r="B132" i="59" s="1"/>
  <c r="C131" i="59" a="1"/>
  <c r="C131" i="59" s="1"/>
  <c r="B131" i="59" s="1"/>
  <c r="C130" i="59" a="1"/>
  <c r="C130" i="59" s="1"/>
  <c r="B130" i="59" s="1"/>
  <c r="C129" i="59" a="1"/>
  <c r="C129" i="59" s="1"/>
  <c r="B129" i="59" s="1"/>
  <c r="C128" i="59" a="1"/>
  <c r="C128" i="59" s="1"/>
  <c r="B128" i="59" s="1"/>
  <c r="C127" i="59" a="1"/>
  <c r="C127" i="59" s="1"/>
  <c r="B127" i="59" s="1"/>
  <c r="C126" i="59" a="1"/>
  <c r="C126" i="59" s="1"/>
  <c r="B126" i="59" s="1"/>
  <c r="C125" i="59" a="1"/>
  <c r="C125" i="59" s="1"/>
  <c r="B125" i="59" s="1"/>
  <c r="C124" i="59" a="1"/>
  <c r="C124" i="59" s="1"/>
  <c r="B124" i="59" s="1"/>
  <c r="C123" i="59" a="1"/>
  <c r="C123" i="59" s="1"/>
  <c r="B123" i="59" s="1"/>
  <c r="C122" i="59" a="1"/>
  <c r="C122" i="59" s="1"/>
  <c r="B122" i="59" s="1"/>
  <c r="C117" i="59" a="1"/>
  <c r="C117" i="59" s="1"/>
  <c r="B117" i="59" s="1"/>
  <c r="C116" i="59" a="1"/>
  <c r="C116" i="59" s="1"/>
  <c r="B116" i="59" s="1"/>
  <c r="C115" i="59" a="1"/>
  <c r="C115" i="59" s="1"/>
  <c r="B115" i="59" s="1"/>
  <c r="C114" i="59" a="1"/>
  <c r="C114" i="59" s="1"/>
  <c r="B114" i="59" s="1"/>
  <c r="C113" i="59" a="1"/>
  <c r="C113" i="59" s="1"/>
  <c r="B113" i="59" s="1"/>
  <c r="C112" i="59" a="1"/>
  <c r="C112" i="59" s="1"/>
  <c r="B112" i="59" s="1"/>
  <c r="C111" i="59" a="1"/>
  <c r="C111" i="59" s="1"/>
  <c r="B111" i="59" s="1"/>
  <c r="C110" i="59" a="1"/>
  <c r="C110" i="59" s="1"/>
  <c r="B110" i="59" s="1"/>
  <c r="C109" i="59" a="1"/>
  <c r="C109" i="59" s="1"/>
  <c r="B109" i="59" s="1"/>
  <c r="C108" i="59" a="1"/>
  <c r="C108" i="59" s="1"/>
  <c r="B108" i="59" s="1"/>
  <c r="C107" i="59" a="1"/>
  <c r="C107" i="59" s="1"/>
  <c r="B107" i="59" s="1"/>
  <c r="C106" i="59" a="1"/>
  <c r="C106" i="59" s="1"/>
  <c r="B106" i="59" s="1"/>
  <c r="C105" i="59" a="1"/>
  <c r="C105" i="59" s="1"/>
  <c r="B105" i="59" s="1"/>
  <c r="C100" i="59" a="1"/>
  <c r="C100" i="59" s="1"/>
  <c r="B100" i="59" s="1"/>
  <c r="C99" i="59" a="1"/>
  <c r="C99" i="59" s="1"/>
  <c r="B99" i="59" s="1"/>
  <c r="C98" i="59" a="1"/>
  <c r="C98" i="59" s="1"/>
  <c r="B98" i="59" s="1"/>
  <c r="C97" i="59" a="1"/>
  <c r="C97" i="59" s="1"/>
  <c r="B97" i="59" s="1"/>
  <c r="C96" i="59" a="1"/>
  <c r="C96" i="59" s="1"/>
  <c r="B96" i="59" s="1"/>
  <c r="C95" i="59" a="1"/>
  <c r="C95" i="59" s="1"/>
  <c r="B95" i="59" s="1"/>
  <c r="C94" i="59" a="1"/>
  <c r="C94" i="59" s="1"/>
  <c r="B94" i="59" s="1"/>
  <c r="C93" i="59" a="1"/>
  <c r="C93" i="59" s="1"/>
  <c r="B93" i="59" s="1"/>
  <c r="C92" i="59" a="1"/>
  <c r="C92" i="59" s="1"/>
  <c r="B92" i="59" s="1"/>
  <c r="C91" i="59" a="1"/>
  <c r="C91" i="59" s="1"/>
  <c r="B91" i="59" s="1"/>
  <c r="C90" i="59" a="1"/>
  <c r="C90" i="59" s="1"/>
  <c r="B90" i="59" s="1"/>
  <c r="C89" i="59" a="1"/>
  <c r="C89" i="59" s="1"/>
  <c r="B89" i="59" s="1"/>
  <c r="C88" i="59" a="1"/>
  <c r="C88" i="59" s="1"/>
  <c r="B88" i="59" s="1"/>
  <c r="C83" i="59" a="1"/>
  <c r="C83" i="59" s="1"/>
  <c r="B83" i="59" s="1"/>
  <c r="C82" i="59" a="1"/>
  <c r="C82" i="59" s="1"/>
  <c r="B82" i="59" s="1"/>
  <c r="C81" i="59" a="1"/>
  <c r="C81" i="59" s="1"/>
  <c r="B81" i="59" s="1"/>
  <c r="C80" i="59" a="1"/>
  <c r="C80" i="59" s="1"/>
  <c r="B80" i="59" s="1"/>
  <c r="C79" i="59" a="1"/>
  <c r="C79" i="59" s="1"/>
  <c r="B79" i="59" s="1"/>
  <c r="C78" i="59" a="1"/>
  <c r="C78" i="59" s="1"/>
  <c r="B78" i="59" s="1"/>
  <c r="C77" i="59" a="1"/>
  <c r="C77" i="59" s="1"/>
  <c r="B77" i="59" s="1"/>
  <c r="C76" i="59" a="1"/>
  <c r="C76" i="59" s="1"/>
  <c r="B76" i="59" s="1"/>
  <c r="C75" i="59" a="1"/>
  <c r="C75" i="59" s="1"/>
  <c r="B75" i="59" s="1"/>
  <c r="C74" i="59" a="1"/>
  <c r="C74" i="59" s="1"/>
  <c r="B74" i="59" s="1"/>
  <c r="C73" i="59" a="1"/>
  <c r="C73" i="59" s="1"/>
  <c r="B73" i="59" s="1"/>
  <c r="C72" i="59" a="1"/>
  <c r="C72" i="59" s="1"/>
  <c r="B72" i="59" s="1"/>
  <c r="C71" i="59" a="1"/>
  <c r="C71" i="59" s="1"/>
  <c r="B71" i="59" s="1"/>
  <c r="C66" i="59" a="1"/>
  <c r="C66" i="59" s="1"/>
  <c r="B66" i="59" s="1"/>
  <c r="C65" i="59" a="1"/>
  <c r="C65" i="59" s="1"/>
  <c r="B65" i="59" s="1"/>
  <c r="C64" i="59" a="1"/>
  <c r="C64" i="59" s="1"/>
  <c r="B64" i="59" s="1"/>
  <c r="C63" i="59" a="1"/>
  <c r="C63" i="59" s="1"/>
  <c r="B63" i="59" s="1"/>
  <c r="C62" i="59" a="1"/>
  <c r="C62" i="59" s="1"/>
  <c r="B62" i="59" s="1"/>
  <c r="C61" i="59" a="1"/>
  <c r="C61" i="59" s="1"/>
  <c r="B61" i="59" s="1"/>
  <c r="C60" i="59" a="1"/>
  <c r="C60" i="59" s="1"/>
  <c r="B60" i="59" s="1"/>
  <c r="C59" i="59" a="1"/>
  <c r="C59" i="59" s="1"/>
  <c r="B59" i="59" s="1"/>
  <c r="C58" i="59" a="1"/>
  <c r="C58" i="59" s="1"/>
  <c r="B58" i="59" s="1"/>
  <c r="C57" i="59" a="1"/>
  <c r="C57" i="59" s="1"/>
  <c r="B57" i="59" s="1"/>
  <c r="C56" i="59" a="1"/>
  <c r="C56" i="59" s="1"/>
  <c r="B56" i="59" s="1"/>
  <c r="C55" i="59" a="1"/>
  <c r="C55" i="59" s="1"/>
  <c r="B55" i="59" s="1"/>
  <c r="C54" i="59" a="1"/>
  <c r="C54" i="59" s="1"/>
  <c r="B54" i="59" s="1"/>
  <c r="C49" i="59" a="1"/>
  <c r="C49" i="59" s="1"/>
  <c r="B49" i="59" s="1"/>
  <c r="C48" i="59" a="1"/>
  <c r="C48" i="59" s="1"/>
  <c r="B48" i="59" s="1"/>
  <c r="C47" i="59" a="1"/>
  <c r="C47" i="59" s="1"/>
  <c r="B47" i="59" s="1"/>
  <c r="C46" i="59" a="1"/>
  <c r="C46" i="59" s="1"/>
  <c r="B46" i="59" s="1"/>
  <c r="C45" i="59" a="1"/>
  <c r="C45" i="59" s="1"/>
  <c r="B45" i="59" s="1"/>
  <c r="C44" i="59" a="1"/>
  <c r="C44" i="59" s="1"/>
  <c r="B44" i="59" s="1"/>
  <c r="C43" i="59" a="1"/>
  <c r="C43" i="59" s="1"/>
  <c r="B43" i="59" s="1"/>
  <c r="C42" i="59" a="1"/>
  <c r="C42" i="59" s="1"/>
  <c r="B42" i="59" s="1"/>
  <c r="C41" i="59" a="1"/>
  <c r="C41" i="59" s="1"/>
  <c r="B41" i="59" s="1"/>
  <c r="C40" i="59" a="1"/>
  <c r="C40" i="59" s="1"/>
  <c r="B40" i="59" s="1"/>
  <c r="C39" i="59" a="1"/>
  <c r="C39" i="59" s="1"/>
  <c r="B39" i="59" s="1"/>
  <c r="C38" i="59" a="1"/>
  <c r="C38" i="59" s="1"/>
  <c r="B38" i="59" s="1"/>
  <c r="C37" i="59" a="1"/>
  <c r="C37" i="59" s="1"/>
  <c r="B37" i="59" s="1"/>
  <c r="C32" i="59" a="1"/>
  <c r="C32" i="59" s="1"/>
  <c r="B32" i="59" s="1"/>
  <c r="C31" i="59" a="1"/>
  <c r="C31" i="59" s="1"/>
  <c r="B31" i="59" s="1"/>
  <c r="C30" i="59" a="1"/>
  <c r="C30" i="59" s="1"/>
  <c r="B30" i="59" s="1"/>
  <c r="C29" i="59" a="1"/>
  <c r="C29" i="59" s="1"/>
  <c r="B29" i="59" s="1"/>
  <c r="C28" i="59" a="1"/>
  <c r="C28" i="59" s="1"/>
  <c r="B28" i="59" s="1"/>
  <c r="C27" i="59" a="1"/>
  <c r="C27" i="59" s="1"/>
  <c r="B27" i="59" s="1"/>
  <c r="C26" i="59" a="1"/>
  <c r="C26" i="59" s="1"/>
  <c r="B26" i="59" s="1"/>
  <c r="C25" i="59" a="1"/>
  <c r="C25" i="59" s="1"/>
  <c r="B25" i="59" s="1"/>
  <c r="C24" i="59" a="1"/>
  <c r="C24" i="59" s="1"/>
  <c r="B24" i="59" s="1"/>
  <c r="C23" i="59" a="1"/>
  <c r="C23" i="59" s="1"/>
  <c r="B23" i="59" s="1"/>
  <c r="C22" i="59" a="1"/>
  <c r="C22" i="59" s="1"/>
  <c r="B22" i="59" s="1"/>
  <c r="C21" i="59" a="1"/>
  <c r="C21" i="59" s="1"/>
  <c r="B21" i="59" s="1"/>
  <c r="C20" i="59" a="1"/>
  <c r="C20" i="59" s="1"/>
  <c r="B20" i="59" s="1"/>
  <c r="C15" i="59" a="1"/>
  <c r="C15" i="59" s="1"/>
  <c r="B15" i="59" s="1"/>
  <c r="C14" i="59" a="1"/>
  <c r="C14" i="59" s="1"/>
  <c r="B14" i="59" s="1"/>
  <c r="C13" i="59" a="1"/>
  <c r="C13" i="59" s="1"/>
  <c r="B13" i="59" s="1"/>
  <c r="C12" i="59" a="1"/>
  <c r="C12" i="59" s="1"/>
  <c r="B12" i="59" s="1"/>
  <c r="C11" i="59" a="1"/>
  <c r="C11" i="59" s="1"/>
  <c r="B11" i="59" s="1"/>
  <c r="C10" i="59" a="1"/>
  <c r="C10" i="59" s="1"/>
  <c r="B10" i="59" s="1"/>
  <c r="C9" i="59" a="1"/>
  <c r="C9" i="59" s="1"/>
  <c r="B9" i="59" s="1"/>
  <c r="C8" i="59" a="1"/>
  <c r="C8" i="59" s="1"/>
  <c r="B8" i="59" s="1"/>
  <c r="C7" i="59" a="1"/>
  <c r="C7" i="59" s="1"/>
  <c r="B7" i="59" s="1"/>
  <c r="C6" i="59" a="1"/>
  <c r="C6" i="59" s="1"/>
  <c r="B6" i="59" s="1"/>
  <c r="C5" i="59" a="1"/>
  <c r="C5" i="59" s="1"/>
  <c r="B5" i="59" s="1"/>
  <c r="C4" i="59" a="1"/>
  <c r="C4" i="59" s="1"/>
  <c r="B4" i="59" s="1"/>
  <c r="C3" i="59" a="1"/>
  <c r="C3" i="59" s="1"/>
  <c r="B3" i="59" s="1"/>
  <c r="C3" i="58" a="1"/>
  <c r="C3" i="58" s="1"/>
  <c r="B3" i="58" s="1"/>
  <c r="C170" i="58" a="1"/>
  <c r="C170" i="58" s="1"/>
  <c r="B170" i="58" s="1"/>
  <c r="C169" i="58" a="1"/>
  <c r="C169" i="58" s="1"/>
  <c r="B169" i="58" s="1"/>
  <c r="C168" i="58" a="1"/>
  <c r="C168" i="58" s="1"/>
  <c r="B168" i="58" s="1"/>
  <c r="C167" i="58" a="1"/>
  <c r="C167" i="58" s="1"/>
  <c r="B167" i="58" s="1"/>
  <c r="C166" i="58" a="1"/>
  <c r="C166" i="58" s="1"/>
  <c r="B166" i="58" s="1"/>
  <c r="C165" i="58" a="1"/>
  <c r="C165" i="58" s="1"/>
  <c r="B165" i="58" s="1"/>
  <c r="C164" i="58" a="1"/>
  <c r="C164" i="58" s="1"/>
  <c r="B164" i="58" s="1"/>
  <c r="C163" i="58" a="1"/>
  <c r="C163" i="58" s="1"/>
  <c r="B163" i="58" s="1"/>
  <c r="C162" i="58" a="1"/>
  <c r="C162" i="58" s="1"/>
  <c r="B162" i="58" s="1"/>
  <c r="C161" i="58" a="1"/>
  <c r="C161" i="58" s="1"/>
  <c r="B161" i="58" s="1"/>
  <c r="C160" i="58" a="1"/>
  <c r="C160" i="58" s="1"/>
  <c r="B160" i="58" s="1"/>
  <c r="C159" i="58" a="1"/>
  <c r="C159" i="58" s="1"/>
  <c r="B159" i="58" s="1"/>
  <c r="C158" i="58" a="1"/>
  <c r="C158" i="58" s="1"/>
  <c r="B158" i="58" s="1"/>
  <c r="C153" i="58" a="1"/>
  <c r="C153" i="58" s="1"/>
  <c r="B153" i="58" s="1"/>
  <c r="C152" i="58" a="1"/>
  <c r="C152" i="58" s="1"/>
  <c r="B152" i="58" s="1"/>
  <c r="C151" i="58" a="1"/>
  <c r="C151" i="58" s="1"/>
  <c r="B151" i="58" s="1"/>
  <c r="C150" i="58" a="1"/>
  <c r="C150" i="58" s="1"/>
  <c r="B150" i="58" s="1"/>
  <c r="C149" i="58" a="1"/>
  <c r="C149" i="58" s="1"/>
  <c r="B149" i="58" s="1"/>
  <c r="C148" i="58" a="1"/>
  <c r="C148" i="58" s="1"/>
  <c r="B148" i="58" s="1"/>
  <c r="C147" i="58" a="1"/>
  <c r="C147" i="58" s="1"/>
  <c r="B147" i="58" s="1"/>
  <c r="C146" i="58" a="1"/>
  <c r="C146" i="58" s="1"/>
  <c r="B146" i="58" s="1"/>
  <c r="C145" i="58" a="1"/>
  <c r="C145" i="58" s="1"/>
  <c r="B145" i="58" s="1"/>
  <c r="C144" i="58" a="1"/>
  <c r="C144" i="58" s="1"/>
  <c r="B144" i="58" s="1"/>
  <c r="C143" i="58" a="1"/>
  <c r="C143" i="58" s="1"/>
  <c r="B143" i="58" s="1"/>
  <c r="C142" i="58" a="1"/>
  <c r="C142" i="58" s="1"/>
  <c r="B142" i="58" s="1"/>
  <c r="C141" i="58" a="1"/>
  <c r="C141" i="58" s="1"/>
  <c r="B141" i="58" s="1"/>
  <c r="C134" i="58" a="1"/>
  <c r="C134" i="58" s="1"/>
  <c r="B134" i="58" s="1"/>
  <c r="C133" i="58" a="1"/>
  <c r="C133" i="58" s="1"/>
  <c r="B133" i="58" s="1"/>
  <c r="C132" i="58" a="1"/>
  <c r="C132" i="58" s="1"/>
  <c r="B132" i="58" s="1"/>
  <c r="C131" i="58" a="1"/>
  <c r="C131" i="58" s="1"/>
  <c r="B131" i="58" s="1"/>
  <c r="C130" i="58" a="1"/>
  <c r="C130" i="58" s="1"/>
  <c r="B130" i="58" s="1"/>
  <c r="C129" i="58" a="1"/>
  <c r="C129" i="58" s="1"/>
  <c r="B129" i="58" s="1"/>
  <c r="C128" i="58" a="1"/>
  <c r="C128" i="58" s="1"/>
  <c r="B128" i="58" s="1"/>
  <c r="C127" i="58" a="1"/>
  <c r="C127" i="58" s="1"/>
  <c r="B127" i="58" s="1"/>
  <c r="C126" i="58" a="1"/>
  <c r="C126" i="58" s="1"/>
  <c r="B126" i="58" s="1"/>
  <c r="C125" i="58" a="1"/>
  <c r="C125" i="58" s="1"/>
  <c r="B125" i="58" s="1"/>
  <c r="C124" i="58" a="1"/>
  <c r="C124" i="58" s="1"/>
  <c r="B124" i="58" s="1"/>
  <c r="C123" i="58" a="1"/>
  <c r="C123" i="58" s="1"/>
  <c r="B123" i="58" s="1"/>
  <c r="C122" i="58" a="1"/>
  <c r="C122" i="58" s="1"/>
  <c r="B122" i="58" s="1"/>
  <c r="C117" i="58" a="1"/>
  <c r="C117" i="58" s="1"/>
  <c r="B117" i="58" s="1"/>
  <c r="C116" i="58" a="1"/>
  <c r="C116" i="58" s="1"/>
  <c r="B116" i="58" s="1"/>
  <c r="C115" i="58" a="1"/>
  <c r="C115" i="58" s="1"/>
  <c r="B115" i="58" s="1"/>
  <c r="C114" i="58" a="1"/>
  <c r="C114" i="58" s="1"/>
  <c r="B114" i="58" s="1"/>
  <c r="C113" i="58" a="1"/>
  <c r="C113" i="58" s="1"/>
  <c r="B113" i="58" s="1"/>
  <c r="C112" i="58" a="1"/>
  <c r="C112" i="58" s="1"/>
  <c r="B112" i="58" s="1"/>
  <c r="C111" i="58" a="1"/>
  <c r="C111" i="58" s="1"/>
  <c r="B111" i="58" s="1"/>
  <c r="C110" i="58" a="1"/>
  <c r="C110" i="58" s="1"/>
  <c r="B110" i="58" s="1"/>
  <c r="C109" i="58" a="1"/>
  <c r="C109" i="58" s="1"/>
  <c r="B109" i="58" s="1"/>
  <c r="C108" i="58" a="1"/>
  <c r="C108" i="58" s="1"/>
  <c r="B108" i="58" s="1"/>
  <c r="C107" i="58" a="1"/>
  <c r="C107" i="58" s="1"/>
  <c r="B107" i="58" s="1"/>
  <c r="C106" i="58" a="1"/>
  <c r="C106" i="58" s="1"/>
  <c r="B106" i="58" s="1"/>
  <c r="C105" i="58" a="1"/>
  <c r="C105" i="58" s="1"/>
  <c r="B105" i="58" s="1"/>
  <c r="C100" i="58" a="1"/>
  <c r="C100" i="58" s="1"/>
  <c r="B100" i="58" s="1"/>
  <c r="C99" i="58" a="1"/>
  <c r="C99" i="58" s="1"/>
  <c r="B99" i="58" s="1"/>
  <c r="C98" i="58" a="1"/>
  <c r="C98" i="58" s="1"/>
  <c r="B98" i="58" s="1"/>
  <c r="C97" i="58" a="1"/>
  <c r="C97" i="58" s="1"/>
  <c r="B97" i="58" s="1"/>
  <c r="C96" i="58" a="1"/>
  <c r="C96" i="58" s="1"/>
  <c r="B96" i="58" s="1"/>
  <c r="C95" i="58" a="1"/>
  <c r="C95" i="58" s="1"/>
  <c r="B95" i="58" s="1"/>
  <c r="C94" i="58" a="1"/>
  <c r="C94" i="58" s="1"/>
  <c r="B94" i="58" s="1"/>
  <c r="C93" i="58" a="1"/>
  <c r="C93" i="58" s="1"/>
  <c r="B93" i="58" s="1"/>
  <c r="C92" i="58" a="1"/>
  <c r="C92" i="58" s="1"/>
  <c r="B92" i="58" s="1"/>
  <c r="C91" i="58" a="1"/>
  <c r="C91" i="58" s="1"/>
  <c r="B91" i="58" s="1"/>
  <c r="C90" i="58" a="1"/>
  <c r="C90" i="58" s="1"/>
  <c r="B90" i="58" s="1"/>
  <c r="C89" i="58" a="1"/>
  <c r="C89" i="58" s="1"/>
  <c r="B89" i="58" s="1"/>
  <c r="C88" i="58" a="1"/>
  <c r="C88" i="58" s="1"/>
  <c r="B88" i="58" s="1"/>
  <c r="C83" i="58" a="1"/>
  <c r="C83" i="58" s="1"/>
  <c r="B83" i="58" s="1"/>
  <c r="C82" i="58" a="1"/>
  <c r="C82" i="58" s="1"/>
  <c r="B82" i="58" s="1"/>
  <c r="C81" i="58" a="1"/>
  <c r="C81" i="58" s="1"/>
  <c r="B81" i="58" s="1"/>
  <c r="C80" i="58" a="1"/>
  <c r="C80" i="58" s="1"/>
  <c r="B80" i="58" s="1"/>
  <c r="C79" i="58" a="1"/>
  <c r="C79" i="58" s="1"/>
  <c r="B79" i="58" s="1"/>
  <c r="C78" i="58" a="1"/>
  <c r="C78" i="58" s="1"/>
  <c r="B78" i="58" s="1"/>
  <c r="C77" i="58" a="1"/>
  <c r="C77" i="58" s="1"/>
  <c r="B77" i="58" s="1"/>
  <c r="C76" i="58" a="1"/>
  <c r="C76" i="58" s="1"/>
  <c r="B76" i="58" s="1"/>
  <c r="C75" i="58" a="1"/>
  <c r="C75" i="58" s="1"/>
  <c r="B75" i="58" s="1"/>
  <c r="C74" i="58" a="1"/>
  <c r="C74" i="58" s="1"/>
  <c r="B74" i="58" s="1"/>
  <c r="C73" i="58" a="1"/>
  <c r="C73" i="58" s="1"/>
  <c r="B73" i="58" s="1"/>
  <c r="C72" i="58" a="1"/>
  <c r="C72" i="58" s="1"/>
  <c r="B72" i="58" s="1"/>
  <c r="C71" i="58" a="1"/>
  <c r="C71" i="58" s="1"/>
  <c r="B71" i="58" s="1"/>
  <c r="C66" i="58" a="1"/>
  <c r="C66" i="58" s="1"/>
  <c r="B66" i="58" s="1"/>
  <c r="C65" i="58" a="1"/>
  <c r="C65" i="58" s="1"/>
  <c r="B65" i="58" s="1"/>
  <c r="C64" i="58" a="1"/>
  <c r="C64" i="58" s="1"/>
  <c r="B64" i="58" s="1"/>
  <c r="C63" i="58" a="1"/>
  <c r="C63" i="58" s="1"/>
  <c r="B63" i="58" s="1"/>
  <c r="C62" i="58" a="1"/>
  <c r="C62" i="58" s="1"/>
  <c r="B62" i="58" s="1"/>
  <c r="C61" i="58" a="1"/>
  <c r="C61" i="58" s="1"/>
  <c r="B61" i="58" s="1"/>
  <c r="C60" i="58" a="1"/>
  <c r="C60" i="58" s="1"/>
  <c r="B60" i="58" s="1"/>
  <c r="C59" i="58" a="1"/>
  <c r="C59" i="58" s="1"/>
  <c r="B59" i="58" s="1"/>
  <c r="C58" i="58" a="1"/>
  <c r="C58" i="58" s="1"/>
  <c r="B58" i="58" s="1"/>
  <c r="C57" i="58" a="1"/>
  <c r="C57" i="58" s="1"/>
  <c r="B57" i="58" s="1"/>
  <c r="C56" i="58" a="1"/>
  <c r="C56" i="58" s="1"/>
  <c r="B56" i="58" s="1"/>
  <c r="C55" i="58" a="1"/>
  <c r="C55" i="58" s="1"/>
  <c r="B55" i="58" s="1"/>
  <c r="C54" i="58" a="1"/>
  <c r="C54" i="58" s="1"/>
  <c r="B54" i="58" s="1"/>
  <c r="C49" i="58" a="1"/>
  <c r="C49" i="58" s="1"/>
  <c r="B49" i="58" s="1"/>
  <c r="C48" i="58" a="1"/>
  <c r="C48" i="58" s="1"/>
  <c r="B48" i="58" s="1"/>
  <c r="C47" i="58" a="1"/>
  <c r="C47" i="58" s="1"/>
  <c r="B47" i="58" s="1"/>
  <c r="C46" i="58" a="1"/>
  <c r="C46" i="58" s="1"/>
  <c r="B46" i="58" s="1"/>
  <c r="C45" i="58" a="1"/>
  <c r="C45" i="58" s="1"/>
  <c r="B45" i="58" s="1"/>
  <c r="C44" i="58" a="1"/>
  <c r="C44" i="58" s="1"/>
  <c r="B44" i="58" s="1"/>
  <c r="C43" i="58" a="1"/>
  <c r="C43" i="58" s="1"/>
  <c r="B43" i="58" s="1"/>
  <c r="C42" i="58" a="1"/>
  <c r="C42" i="58" s="1"/>
  <c r="B42" i="58" s="1"/>
  <c r="C41" i="58" a="1"/>
  <c r="C41" i="58" s="1"/>
  <c r="B41" i="58" s="1"/>
  <c r="C40" i="58" a="1"/>
  <c r="C40" i="58" s="1"/>
  <c r="B40" i="58" s="1"/>
  <c r="C39" i="58" a="1"/>
  <c r="C39" i="58" s="1"/>
  <c r="B39" i="58" s="1"/>
  <c r="C38" i="58" a="1"/>
  <c r="C38" i="58" s="1"/>
  <c r="B38" i="58" s="1"/>
  <c r="C37" i="58" a="1"/>
  <c r="C37" i="58" s="1"/>
  <c r="B37" i="58" s="1"/>
  <c r="C32" i="58" a="1"/>
  <c r="C32" i="58" s="1"/>
  <c r="B32" i="58" s="1"/>
  <c r="C31" i="58" a="1"/>
  <c r="C31" i="58" s="1"/>
  <c r="B31" i="58" s="1"/>
  <c r="C30" i="58" a="1"/>
  <c r="C30" i="58" s="1"/>
  <c r="B30" i="58" s="1"/>
  <c r="C29" i="58" a="1"/>
  <c r="C29" i="58" s="1"/>
  <c r="B29" i="58" s="1"/>
  <c r="C28" i="58" a="1"/>
  <c r="C28" i="58" s="1"/>
  <c r="B28" i="58" s="1"/>
  <c r="C27" i="58" a="1"/>
  <c r="C27" i="58" s="1"/>
  <c r="B27" i="58" s="1"/>
  <c r="C26" i="58" a="1"/>
  <c r="C26" i="58" s="1"/>
  <c r="B26" i="58" s="1"/>
  <c r="C25" i="58" a="1"/>
  <c r="C25" i="58" s="1"/>
  <c r="B25" i="58" s="1"/>
  <c r="C24" i="58" a="1"/>
  <c r="C24" i="58" s="1"/>
  <c r="B24" i="58" s="1"/>
  <c r="C23" i="58" a="1"/>
  <c r="C23" i="58" s="1"/>
  <c r="B23" i="58" s="1"/>
  <c r="C22" i="58" a="1"/>
  <c r="C22" i="58" s="1"/>
  <c r="B22" i="58" s="1"/>
  <c r="C21" i="58" a="1"/>
  <c r="C21" i="58" s="1"/>
  <c r="B21" i="58" s="1"/>
  <c r="C20" i="58" a="1"/>
  <c r="C20" i="58" s="1"/>
  <c r="B20" i="58" s="1"/>
  <c r="C15" i="58" a="1"/>
  <c r="C15" i="58" s="1"/>
  <c r="B15" i="58" s="1"/>
  <c r="C14" i="58" a="1"/>
  <c r="C14" i="58" s="1"/>
  <c r="B14" i="58" s="1"/>
  <c r="C13" i="58" a="1"/>
  <c r="C13" i="58" s="1"/>
  <c r="B13" i="58" s="1"/>
  <c r="C12" i="58" a="1"/>
  <c r="C12" i="58" s="1"/>
  <c r="B12" i="58" s="1"/>
  <c r="C11" i="58" a="1"/>
  <c r="C11" i="58" s="1"/>
  <c r="B11" i="58" s="1"/>
  <c r="C10" i="58" a="1"/>
  <c r="C10" i="58" s="1"/>
  <c r="B10" i="58" s="1"/>
  <c r="C9" i="58" a="1"/>
  <c r="C9" i="58" s="1"/>
  <c r="B9" i="58" s="1"/>
  <c r="C8" i="58" a="1"/>
  <c r="C8" i="58" s="1"/>
  <c r="B8" i="58" s="1"/>
  <c r="C7" i="58" a="1"/>
  <c r="C7" i="58" s="1"/>
  <c r="B7" i="58" s="1"/>
  <c r="C6" i="58" a="1"/>
  <c r="C6" i="58" s="1"/>
  <c r="B6" i="58" s="1"/>
  <c r="C5" i="58" a="1"/>
  <c r="C5" i="58" s="1"/>
  <c r="B5" i="58" s="1"/>
  <c r="C4" i="58" a="1"/>
  <c r="C4" i="58" s="1"/>
  <c r="B4" i="58" s="1"/>
  <c r="I10" i="57" a="1"/>
  <c r="I10" i="57" s="1"/>
  <c r="J10" i="57" s="1" a="1"/>
  <c r="J10" i="57" s="1"/>
  <c r="F3" i="57" a="1"/>
  <c r="F3" i="57" s="1"/>
  <c r="C16" i="57" a="1"/>
  <c r="C16" i="57" s="1"/>
  <c r="B16" i="57" s="1"/>
  <c r="C15" i="57" a="1"/>
  <c r="C15" i="57" s="1"/>
  <c r="B15" i="57" s="1"/>
  <c r="C14" i="57" a="1"/>
  <c r="C14" i="57" s="1"/>
  <c r="B14" i="57" s="1"/>
  <c r="C13" i="57" a="1"/>
  <c r="C13" i="57" s="1"/>
  <c r="B13" i="57" s="1"/>
  <c r="C12" i="57" a="1"/>
  <c r="C12" i="57" s="1"/>
  <c r="B12" i="57" s="1"/>
  <c r="C11" i="57" a="1"/>
  <c r="C11" i="57" s="1"/>
  <c r="B11" i="57" s="1"/>
  <c r="C3" i="56" a="1"/>
  <c r="C3" i="56" s="1"/>
  <c r="B3" i="56" s="1"/>
  <c r="C4" i="56" a="1"/>
  <c r="C4" i="56" s="1"/>
  <c r="B4" i="56" s="1"/>
  <c r="C5" i="56" a="1"/>
  <c r="C5" i="56" s="1"/>
  <c r="B5" i="56" s="1"/>
  <c r="C6" i="56" a="1"/>
  <c r="C6" i="56" s="1"/>
  <c r="B6" i="56" s="1"/>
  <c r="C7" i="56" a="1"/>
  <c r="C7" i="56" s="1"/>
  <c r="B7" i="56" s="1"/>
  <c r="C8" i="56" a="1"/>
  <c r="C8" i="56" s="1"/>
  <c r="B8" i="56" s="1"/>
  <c r="C9" i="56" a="1"/>
  <c r="C9" i="56" s="1"/>
  <c r="B9" i="56" s="1"/>
  <c r="C10" i="56" a="1"/>
  <c r="C10" i="56" s="1"/>
  <c r="B10" i="56" s="1"/>
  <c r="C11" i="56" a="1"/>
  <c r="C11" i="56" s="1"/>
  <c r="B11" i="56" s="1"/>
  <c r="C12" i="56" a="1"/>
  <c r="C12" i="56" s="1"/>
  <c r="B12" i="56" s="1"/>
  <c r="C204" i="56" a="1"/>
  <c r="C204" i="56" s="1"/>
  <c r="B204" i="56" s="1"/>
  <c r="C203" i="56" a="1"/>
  <c r="C203" i="56" s="1"/>
  <c r="B203" i="56" s="1"/>
  <c r="C202" i="56" a="1"/>
  <c r="C202" i="56" s="1"/>
  <c r="B202" i="56" s="1"/>
  <c r="C201" i="56" a="1"/>
  <c r="C201" i="56" s="1"/>
  <c r="B201" i="56" s="1"/>
  <c r="C200" i="56" a="1"/>
  <c r="C200" i="56" s="1"/>
  <c r="B200" i="56" s="1"/>
  <c r="C199" i="56" a="1"/>
  <c r="C199" i="56" s="1"/>
  <c r="B199" i="56" s="1"/>
  <c r="C198" i="56" a="1"/>
  <c r="C198" i="56" s="1"/>
  <c r="B198" i="56" s="1"/>
  <c r="C197" i="56" a="1"/>
  <c r="C197" i="56" s="1"/>
  <c r="B197" i="56" s="1"/>
  <c r="C196" i="56" a="1"/>
  <c r="C196" i="56" s="1"/>
  <c r="B196" i="56" s="1"/>
  <c r="C195" i="56" a="1"/>
  <c r="C195" i="56" s="1"/>
  <c r="B195" i="56" s="1"/>
  <c r="C194" i="56" a="1"/>
  <c r="C194" i="56" s="1"/>
  <c r="B194" i="56" s="1"/>
  <c r="C193" i="56" a="1"/>
  <c r="C193" i="56" s="1"/>
  <c r="B193" i="56" s="1"/>
  <c r="C192" i="56" a="1"/>
  <c r="C192" i="56" s="1"/>
  <c r="B192" i="56" s="1"/>
  <c r="C187" i="56" a="1"/>
  <c r="C187" i="56" s="1"/>
  <c r="B187" i="56" s="1"/>
  <c r="C186" i="56" a="1"/>
  <c r="C186" i="56" s="1"/>
  <c r="B186" i="56" s="1"/>
  <c r="C185" i="56" a="1"/>
  <c r="C185" i="56" s="1"/>
  <c r="B185" i="56" s="1"/>
  <c r="C184" i="56" a="1"/>
  <c r="C184" i="56" s="1"/>
  <c r="B184" i="56" s="1"/>
  <c r="C183" i="56" a="1"/>
  <c r="C183" i="56" s="1"/>
  <c r="B183" i="56" s="1"/>
  <c r="C182" i="56" a="1"/>
  <c r="C182" i="56" s="1"/>
  <c r="B182" i="56" s="1"/>
  <c r="C181" i="56" a="1"/>
  <c r="C181" i="56" s="1"/>
  <c r="B181" i="56" s="1"/>
  <c r="C180" i="56" a="1"/>
  <c r="C180" i="56" s="1"/>
  <c r="B180" i="56" s="1"/>
  <c r="C179" i="56" a="1"/>
  <c r="C179" i="56" s="1"/>
  <c r="B179" i="56" s="1"/>
  <c r="C178" i="56" a="1"/>
  <c r="C178" i="56" s="1"/>
  <c r="B178" i="56" s="1"/>
  <c r="C177" i="56" a="1"/>
  <c r="C177" i="56" s="1"/>
  <c r="B177" i="56" s="1"/>
  <c r="C176" i="56" a="1"/>
  <c r="C176" i="56" s="1"/>
  <c r="B176" i="56" s="1"/>
  <c r="C175" i="56" a="1"/>
  <c r="C175" i="56" s="1"/>
  <c r="B175" i="56" s="1"/>
  <c r="C170" i="56" a="1"/>
  <c r="C170" i="56" s="1"/>
  <c r="B170" i="56" s="1"/>
  <c r="C169" i="56" a="1"/>
  <c r="C169" i="56" s="1"/>
  <c r="B169" i="56" s="1"/>
  <c r="C168" i="56" a="1"/>
  <c r="C168" i="56" s="1"/>
  <c r="B168" i="56" s="1"/>
  <c r="C167" i="56" a="1"/>
  <c r="C167" i="56" s="1"/>
  <c r="B167" i="56" s="1"/>
  <c r="C166" i="56" a="1"/>
  <c r="C166" i="56" s="1"/>
  <c r="B166" i="56" s="1"/>
  <c r="C165" i="56" a="1"/>
  <c r="C165" i="56" s="1"/>
  <c r="B165" i="56" s="1"/>
  <c r="C164" i="56" a="1"/>
  <c r="C164" i="56" s="1"/>
  <c r="B164" i="56" s="1"/>
  <c r="C163" i="56" a="1"/>
  <c r="C163" i="56" s="1"/>
  <c r="B163" i="56" s="1"/>
  <c r="C162" i="56" a="1"/>
  <c r="C162" i="56" s="1"/>
  <c r="B162" i="56" s="1"/>
  <c r="C161" i="56" a="1"/>
  <c r="C161" i="56" s="1"/>
  <c r="B161" i="56" s="1"/>
  <c r="C160" i="56" a="1"/>
  <c r="C160" i="56" s="1"/>
  <c r="B160" i="56" s="1"/>
  <c r="C159" i="56" a="1"/>
  <c r="C159" i="56" s="1"/>
  <c r="B159" i="56" s="1"/>
  <c r="C158" i="56" a="1"/>
  <c r="C158" i="56" s="1"/>
  <c r="B158" i="56" s="1"/>
  <c r="C153" i="56" a="1"/>
  <c r="C153" i="56" s="1"/>
  <c r="B153" i="56" s="1"/>
  <c r="C152" i="56" a="1"/>
  <c r="C152" i="56" s="1"/>
  <c r="B152" i="56" s="1"/>
  <c r="C151" i="56" a="1"/>
  <c r="C151" i="56" s="1"/>
  <c r="B151" i="56" s="1"/>
  <c r="C150" i="56" a="1"/>
  <c r="C150" i="56" s="1"/>
  <c r="B150" i="56" s="1"/>
  <c r="C149" i="56" a="1"/>
  <c r="C149" i="56" s="1"/>
  <c r="B149" i="56" s="1"/>
  <c r="C148" i="56" a="1"/>
  <c r="C148" i="56" s="1"/>
  <c r="B148" i="56" s="1"/>
  <c r="C147" i="56" a="1"/>
  <c r="C147" i="56" s="1"/>
  <c r="B147" i="56" s="1"/>
  <c r="C146" i="56" a="1"/>
  <c r="C146" i="56" s="1"/>
  <c r="B146" i="56" s="1"/>
  <c r="C145" i="56" a="1"/>
  <c r="C145" i="56" s="1"/>
  <c r="B145" i="56" s="1"/>
  <c r="C144" i="56" a="1"/>
  <c r="C144" i="56" s="1"/>
  <c r="B144" i="56" s="1"/>
  <c r="C143" i="56" a="1"/>
  <c r="C143" i="56" s="1"/>
  <c r="B143" i="56" s="1"/>
  <c r="C142" i="56" a="1"/>
  <c r="C142" i="56" s="1"/>
  <c r="B142" i="56" s="1"/>
  <c r="C141" i="56" a="1"/>
  <c r="C141" i="56" s="1"/>
  <c r="B141" i="56" s="1"/>
  <c r="C134" i="56" a="1"/>
  <c r="C134" i="56" s="1"/>
  <c r="B134" i="56" s="1"/>
  <c r="C133" i="56" a="1"/>
  <c r="C133" i="56" s="1"/>
  <c r="B133" i="56" s="1"/>
  <c r="C132" i="56" a="1"/>
  <c r="C132" i="56" s="1"/>
  <c r="B132" i="56" s="1"/>
  <c r="C131" i="56" a="1"/>
  <c r="C131" i="56" s="1"/>
  <c r="B131" i="56" s="1"/>
  <c r="C130" i="56" a="1"/>
  <c r="C130" i="56" s="1"/>
  <c r="B130" i="56" s="1"/>
  <c r="C129" i="56" a="1"/>
  <c r="C129" i="56" s="1"/>
  <c r="B129" i="56" s="1"/>
  <c r="C128" i="56" a="1"/>
  <c r="C128" i="56" s="1"/>
  <c r="B128" i="56" s="1"/>
  <c r="C127" i="56" a="1"/>
  <c r="C127" i="56" s="1"/>
  <c r="B127" i="56" s="1"/>
  <c r="C126" i="56" a="1"/>
  <c r="C126" i="56" s="1"/>
  <c r="B126" i="56" s="1"/>
  <c r="C125" i="56" a="1"/>
  <c r="C125" i="56" s="1"/>
  <c r="B125" i="56" s="1"/>
  <c r="C124" i="56" a="1"/>
  <c r="C124" i="56" s="1"/>
  <c r="B124" i="56" s="1"/>
  <c r="C123" i="56" a="1"/>
  <c r="C123" i="56" s="1"/>
  <c r="B123" i="56" s="1"/>
  <c r="C122" i="56" a="1"/>
  <c r="C122" i="56" s="1"/>
  <c r="B122" i="56" s="1"/>
  <c r="C117" i="56" a="1"/>
  <c r="C117" i="56" s="1"/>
  <c r="B117" i="56" s="1"/>
  <c r="C116" i="56" a="1"/>
  <c r="C116" i="56" s="1"/>
  <c r="B116" i="56" s="1"/>
  <c r="C115" i="56" a="1"/>
  <c r="C115" i="56" s="1"/>
  <c r="B115" i="56" s="1"/>
  <c r="C114" i="56" a="1"/>
  <c r="C114" i="56" s="1"/>
  <c r="B114" i="56" s="1"/>
  <c r="C113" i="56" a="1"/>
  <c r="C113" i="56" s="1"/>
  <c r="B113" i="56" s="1"/>
  <c r="C112" i="56" a="1"/>
  <c r="C112" i="56" s="1"/>
  <c r="B112" i="56" s="1"/>
  <c r="C111" i="56" a="1"/>
  <c r="C111" i="56" s="1"/>
  <c r="B111" i="56" s="1"/>
  <c r="C110" i="56" a="1"/>
  <c r="C110" i="56" s="1"/>
  <c r="B110" i="56" s="1"/>
  <c r="C109" i="56" a="1"/>
  <c r="C109" i="56" s="1"/>
  <c r="B109" i="56" s="1"/>
  <c r="C108" i="56" a="1"/>
  <c r="C108" i="56" s="1"/>
  <c r="B108" i="56" s="1"/>
  <c r="C107" i="56" a="1"/>
  <c r="C107" i="56" s="1"/>
  <c r="B107" i="56" s="1"/>
  <c r="C106" i="56" a="1"/>
  <c r="C106" i="56" s="1"/>
  <c r="B106" i="56" s="1"/>
  <c r="C105" i="56" a="1"/>
  <c r="C105" i="56" s="1"/>
  <c r="B105" i="56" s="1"/>
  <c r="C100" i="56" a="1"/>
  <c r="C100" i="56" s="1"/>
  <c r="B100" i="56" s="1"/>
  <c r="C99" i="56" a="1"/>
  <c r="C99" i="56" s="1"/>
  <c r="B99" i="56" s="1"/>
  <c r="C98" i="56" a="1"/>
  <c r="C98" i="56" s="1"/>
  <c r="B98" i="56" s="1"/>
  <c r="C97" i="56" a="1"/>
  <c r="C97" i="56" s="1"/>
  <c r="B97" i="56" s="1"/>
  <c r="C96" i="56" a="1"/>
  <c r="C96" i="56" s="1"/>
  <c r="B96" i="56" s="1"/>
  <c r="C95" i="56" a="1"/>
  <c r="C95" i="56" s="1"/>
  <c r="B95" i="56" s="1"/>
  <c r="C94" i="56" a="1"/>
  <c r="C94" i="56" s="1"/>
  <c r="B94" i="56" s="1"/>
  <c r="C93" i="56" a="1"/>
  <c r="C93" i="56" s="1"/>
  <c r="B93" i="56" s="1"/>
  <c r="C92" i="56" a="1"/>
  <c r="C92" i="56" s="1"/>
  <c r="B92" i="56" s="1"/>
  <c r="C91" i="56" a="1"/>
  <c r="C91" i="56" s="1"/>
  <c r="B91" i="56" s="1"/>
  <c r="C90" i="56" a="1"/>
  <c r="C90" i="56" s="1"/>
  <c r="B90" i="56" s="1"/>
  <c r="C89" i="56" a="1"/>
  <c r="C89" i="56" s="1"/>
  <c r="B89" i="56" s="1"/>
  <c r="C88" i="56" a="1"/>
  <c r="C88" i="56" s="1"/>
  <c r="B88" i="56" s="1"/>
  <c r="C83" i="56" a="1"/>
  <c r="C83" i="56" s="1"/>
  <c r="B83" i="56" s="1"/>
  <c r="C82" i="56" a="1"/>
  <c r="C82" i="56" s="1"/>
  <c r="B82" i="56" s="1"/>
  <c r="C81" i="56" a="1"/>
  <c r="C81" i="56" s="1"/>
  <c r="B81" i="56" s="1"/>
  <c r="C80" i="56" a="1"/>
  <c r="C80" i="56" s="1"/>
  <c r="B80" i="56" s="1"/>
  <c r="C79" i="56" a="1"/>
  <c r="C79" i="56" s="1"/>
  <c r="B79" i="56" s="1"/>
  <c r="C78" i="56" a="1"/>
  <c r="C78" i="56" s="1"/>
  <c r="B78" i="56" s="1"/>
  <c r="C77" i="56" a="1"/>
  <c r="C77" i="56" s="1"/>
  <c r="B77" i="56" s="1"/>
  <c r="C76" i="56" a="1"/>
  <c r="C76" i="56" s="1"/>
  <c r="B76" i="56" s="1"/>
  <c r="C75" i="56" a="1"/>
  <c r="C75" i="56" s="1"/>
  <c r="B75" i="56" s="1"/>
  <c r="C74" i="56" a="1"/>
  <c r="C74" i="56" s="1"/>
  <c r="B74" i="56" s="1"/>
  <c r="C73" i="56" a="1"/>
  <c r="C73" i="56" s="1"/>
  <c r="B73" i="56" s="1"/>
  <c r="C72" i="56" a="1"/>
  <c r="C72" i="56" s="1"/>
  <c r="B72" i="56" s="1"/>
  <c r="C71" i="56" a="1"/>
  <c r="C71" i="56" s="1"/>
  <c r="B71" i="56" s="1"/>
  <c r="C66" i="56" a="1"/>
  <c r="C66" i="56" s="1"/>
  <c r="B66" i="56" s="1"/>
  <c r="C65" i="56" a="1"/>
  <c r="C65" i="56" s="1"/>
  <c r="B65" i="56" s="1"/>
  <c r="C64" i="56" a="1"/>
  <c r="C64" i="56" s="1"/>
  <c r="B64" i="56" s="1"/>
  <c r="C63" i="56" a="1"/>
  <c r="C63" i="56" s="1"/>
  <c r="B63" i="56" s="1"/>
  <c r="C62" i="56" a="1"/>
  <c r="C62" i="56" s="1"/>
  <c r="B62" i="56" s="1"/>
  <c r="C61" i="56" a="1"/>
  <c r="C61" i="56" s="1"/>
  <c r="B61" i="56" s="1"/>
  <c r="C60" i="56" a="1"/>
  <c r="C60" i="56" s="1"/>
  <c r="B60" i="56" s="1"/>
  <c r="C59" i="56" a="1"/>
  <c r="C59" i="56" s="1"/>
  <c r="B59" i="56" s="1"/>
  <c r="C58" i="56" a="1"/>
  <c r="C58" i="56" s="1"/>
  <c r="B58" i="56" s="1"/>
  <c r="C57" i="56" a="1"/>
  <c r="C57" i="56" s="1"/>
  <c r="B57" i="56" s="1"/>
  <c r="C56" i="56" a="1"/>
  <c r="C56" i="56" s="1"/>
  <c r="B56" i="56" s="1"/>
  <c r="C55" i="56" a="1"/>
  <c r="C55" i="56" s="1"/>
  <c r="B55" i="56" s="1"/>
  <c r="C54" i="56" a="1"/>
  <c r="C54" i="56" s="1"/>
  <c r="B54" i="56" s="1"/>
  <c r="C49" i="56" a="1"/>
  <c r="C49" i="56" s="1"/>
  <c r="B49" i="56" s="1"/>
  <c r="C48" i="56" a="1"/>
  <c r="C48" i="56" s="1"/>
  <c r="B48" i="56" s="1"/>
  <c r="C47" i="56" a="1"/>
  <c r="C47" i="56" s="1"/>
  <c r="B47" i="56" s="1"/>
  <c r="C46" i="56" a="1"/>
  <c r="C46" i="56" s="1"/>
  <c r="B46" i="56" s="1"/>
  <c r="C45" i="56" a="1"/>
  <c r="C45" i="56" s="1"/>
  <c r="B45" i="56" s="1"/>
  <c r="C44" i="56" a="1"/>
  <c r="C44" i="56" s="1"/>
  <c r="B44" i="56" s="1"/>
  <c r="C43" i="56" a="1"/>
  <c r="C43" i="56" s="1"/>
  <c r="B43" i="56" s="1"/>
  <c r="C42" i="56" a="1"/>
  <c r="C42" i="56" s="1"/>
  <c r="B42" i="56" s="1"/>
  <c r="C41" i="56" a="1"/>
  <c r="C41" i="56" s="1"/>
  <c r="B41" i="56" s="1"/>
  <c r="C40" i="56" a="1"/>
  <c r="C40" i="56" s="1"/>
  <c r="B40" i="56" s="1"/>
  <c r="C39" i="56" a="1"/>
  <c r="C39" i="56" s="1"/>
  <c r="B39" i="56" s="1"/>
  <c r="C38" i="56" a="1"/>
  <c r="C38" i="56" s="1"/>
  <c r="B38" i="56" s="1"/>
  <c r="C37" i="56" a="1"/>
  <c r="C37" i="56" s="1"/>
  <c r="B37" i="56" s="1"/>
  <c r="C32" i="56" a="1"/>
  <c r="C32" i="56" s="1"/>
  <c r="B32" i="56" s="1"/>
  <c r="C31" i="56" a="1"/>
  <c r="C31" i="56" s="1"/>
  <c r="B31" i="56" s="1"/>
  <c r="C30" i="56" a="1"/>
  <c r="C30" i="56" s="1"/>
  <c r="B30" i="56" s="1"/>
  <c r="C29" i="56" a="1"/>
  <c r="C29" i="56" s="1"/>
  <c r="B29" i="56" s="1"/>
  <c r="C28" i="56" a="1"/>
  <c r="C28" i="56" s="1"/>
  <c r="B28" i="56" s="1"/>
  <c r="C27" i="56" a="1"/>
  <c r="C27" i="56" s="1"/>
  <c r="B27" i="56" s="1"/>
  <c r="C26" i="56" a="1"/>
  <c r="C26" i="56" s="1"/>
  <c r="B26" i="56" s="1"/>
  <c r="C25" i="56" a="1"/>
  <c r="C25" i="56" s="1"/>
  <c r="B25" i="56" s="1"/>
  <c r="C24" i="56" a="1"/>
  <c r="C24" i="56" s="1"/>
  <c r="B24" i="56" s="1"/>
  <c r="C23" i="56" a="1"/>
  <c r="C23" i="56" s="1"/>
  <c r="B23" i="56" s="1"/>
  <c r="C22" i="56" a="1"/>
  <c r="C22" i="56" s="1"/>
  <c r="B22" i="56" s="1"/>
  <c r="C21" i="56" a="1"/>
  <c r="C21" i="56" s="1"/>
  <c r="B21" i="56" s="1"/>
  <c r="C20" i="56" a="1"/>
  <c r="C20" i="56" s="1"/>
  <c r="B20" i="56" s="1"/>
  <c r="C15" i="56" a="1"/>
  <c r="C15" i="56" s="1"/>
  <c r="B15" i="56" s="1"/>
  <c r="C14" i="56" a="1"/>
  <c r="C14" i="56" s="1"/>
  <c r="B14" i="56" s="1"/>
  <c r="C13" i="56" a="1"/>
  <c r="C13" i="56" s="1"/>
  <c r="B13" i="56" s="1"/>
  <c r="C213" i="55" a="1"/>
  <c r="C213" i="55" s="1"/>
  <c r="B213" i="55" s="1"/>
  <c r="C212" i="55" a="1"/>
  <c r="C212" i="55" s="1"/>
  <c r="B212" i="55" s="1"/>
  <c r="C211" i="55" a="1"/>
  <c r="C211" i="55" s="1"/>
  <c r="B211" i="55" s="1"/>
  <c r="C210" i="55" a="1"/>
  <c r="C210" i="55" s="1"/>
  <c r="B210" i="55" s="1"/>
  <c r="C209" i="55" a="1"/>
  <c r="C209" i="55" s="1"/>
  <c r="B209" i="55" s="1"/>
  <c r="C208" i="55" a="1"/>
  <c r="C208" i="55" s="1"/>
  <c r="B208" i="55" s="1"/>
  <c r="C207" i="55" a="1"/>
  <c r="C207" i="55" s="1"/>
  <c r="B207" i="55" s="1"/>
  <c r="C206" i="55" a="1"/>
  <c r="C206" i="55" s="1"/>
  <c r="B206" i="55" s="1"/>
  <c r="C205" i="55" a="1"/>
  <c r="C205" i="55" s="1"/>
  <c r="B205" i="55" s="1"/>
  <c r="C204" i="55" a="1"/>
  <c r="C204" i="55" s="1"/>
  <c r="B204" i="55" s="1"/>
  <c r="C203" i="55" a="1"/>
  <c r="C203" i="55" s="1"/>
  <c r="B203" i="55" s="1"/>
  <c r="C202" i="55" a="1"/>
  <c r="C202" i="55" s="1"/>
  <c r="B202" i="55" s="1"/>
  <c r="C201" i="55" a="1"/>
  <c r="C201" i="55" s="1"/>
  <c r="B201" i="55" s="1"/>
  <c r="C200" i="55" a="1"/>
  <c r="C200" i="55" s="1"/>
  <c r="B200" i="55" s="1"/>
  <c r="C195" i="55" a="1"/>
  <c r="C195" i="55" s="1"/>
  <c r="B195" i="55" s="1"/>
  <c r="C194" i="55" a="1"/>
  <c r="C194" i="55" s="1"/>
  <c r="B194" i="55" s="1"/>
  <c r="C193" i="55" a="1"/>
  <c r="C193" i="55" s="1"/>
  <c r="B193" i="55" s="1"/>
  <c r="C192" i="55" a="1"/>
  <c r="C192" i="55" s="1"/>
  <c r="B192" i="55" s="1"/>
  <c r="C191" i="55" a="1"/>
  <c r="C191" i="55" s="1"/>
  <c r="B191" i="55" s="1"/>
  <c r="C190" i="55" a="1"/>
  <c r="C190" i="55" s="1"/>
  <c r="B190" i="55" s="1"/>
  <c r="C189" i="55" a="1"/>
  <c r="C189" i="55" s="1"/>
  <c r="B189" i="55" s="1"/>
  <c r="C188" i="55" a="1"/>
  <c r="C188" i="55" s="1"/>
  <c r="B188" i="55" s="1"/>
  <c r="C187" i="55" a="1"/>
  <c r="C187" i="55" s="1"/>
  <c r="B187" i="55" s="1"/>
  <c r="C186" i="55" a="1"/>
  <c r="C186" i="55" s="1"/>
  <c r="B186" i="55" s="1"/>
  <c r="C185" i="55" a="1"/>
  <c r="C185" i="55" s="1"/>
  <c r="B185" i="55" s="1"/>
  <c r="C184" i="55" a="1"/>
  <c r="C184" i="55" s="1"/>
  <c r="B184" i="55" s="1"/>
  <c r="C183" i="55" a="1"/>
  <c r="C183" i="55" s="1"/>
  <c r="B183" i="55" s="1"/>
  <c r="C182" i="55" a="1"/>
  <c r="C182" i="55" s="1"/>
  <c r="B182" i="55" s="1"/>
  <c r="C177" i="55" a="1"/>
  <c r="C177" i="55" s="1"/>
  <c r="B177" i="55" s="1"/>
  <c r="C176" i="55" a="1"/>
  <c r="C176" i="55" s="1"/>
  <c r="B176" i="55" s="1"/>
  <c r="C175" i="55" a="1"/>
  <c r="C175" i="55" s="1"/>
  <c r="B175" i="55" s="1"/>
  <c r="C174" i="55" a="1"/>
  <c r="C174" i="55" s="1"/>
  <c r="B174" i="55" s="1"/>
  <c r="C173" i="55" a="1"/>
  <c r="C173" i="55" s="1"/>
  <c r="B173" i="55" s="1"/>
  <c r="C172" i="55" a="1"/>
  <c r="C172" i="55" s="1"/>
  <c r="B172" i="55" s="1"/>
  <c r="C171" i="55" a="1"/>
  <c r="C171" i="55" s="1"/>
  <c r="B171" i="55" s="1"/>
  <c r="C170" i="55" a="1"/>
  <c r="C170" i="55" s="1"/>
  <c r="B170" i="55" s="1"/>
  <c r="C169" i="55" a="1"/>
  <c r="C169" i="55" s="1"/>
  <c r="B169" i="55" s="1"/>
  <c r="C168" i="55" a="1"/>
  <c r="C168" i="55" s="1"/>
  <c r="B168" i="55" s="1"/>
  <c r="C167" i="55" a="1"/>
  <c r="C167" i="55" s="1"/>
  <c r="B167" i="55" s="1"/>
  <c r="C166" i="55" a="1"/>
  <c r="C166" i="55" s="1"/>
  <c r="B166" i="55" s="1"/>
  <c r="C165" i="55" a="1"/>
  <c r="C165" i="55" s="1"/>
  <c r="B165" i="55" s="1"/>
  <c r="C164" i="55" a="1"/>
  <c r="C164" i="55" s="1"/>
  <c r="B164" i="55" s="1"/>
  <c r="C159" i="55" a="1"/>
  <c r="C159" i="55" s="1"/>
  <c r="B159" i="55" s="1"/>
  <c r="C158" i="55" a="1"/>
  <c r="C158" i="55" s="1"/>
  <c r="B158" i="55" s="1"/>
  <c r="C157" i="55" a="1"/>
  <c r="C157" i="55" s="1"/>
  <c r="B157" i="55" s="1"/>
  <c r="C156" i="55" a="1"/>
  <c r="C156" i="55" s="1"/>
  <c r="B156" i="55" s="1"/>
  <c r="C155" i="55" a="1"/>
  <c r="C155" i="55" s="1"/>
  <c r="B155" i="55" s="1"/>
  <c r="C154" i="55" a="1"/>
  <c r="C154" i="55" s="1"/>
  <c r="B154" i="55" s="1"/>
  <c r="C153" i="55" a="1"/>
  <c r="C153" i="55" s="1"/>
  <c r="B153" i="55" s="1"/>
  <c r="C152" i="55" a="1"/>
  <c r="C152" i="55" s="1"/>
  <c r="B152" i="55" s="1"/>
  <c r="C151" i="55" a="1"/>
  <c r="C151" i="55" s="1"/>
  <c r="B151" i="55" s="1"/>
  <c r="C150" i="55" a="1"/>
  <c r="C150" i="55" s="1"/>
  <c r="B150" i="55" s="1"/>
  <c r="C149" i="55" a="1"/>
  <c r="C149" i="55" s="1"/>
  <c r="B149" i="55" s="1"/>
  <c r="C148" i="55" a="1"/>
  <c r="C148" i="55" s="1"/>
  <c r="B148" i="55" s="1"/>
  <c r="C147" i="55" a="1"/>
  <c r="C147" i="55" s="1"/>
  <c r="B147" i="55" s="1"/>
  <c r="C146" i="55" a="1"/>
  <c r="C146" i="55" s="1"/>
  <c r="B146" i="55" s="1"/>
  <c r="C141" i="55" a="1"/>
  <c r="C141" i="55" s="1"/>
  <c r="B141" i="55" s="1"/>
  <c r="C140" i="55" a="1"/>
  <c r="C140" i="55" s="1"/>
  <c r="B140" i="55" s="1"/>
  <c r="C139" i="55" a="1"/>
  <c r="C139" i="55" s="1"/>
  <c r="B139" i="55" s="1"/>
  <c r="C138" i="55" a="1"/>
  <c r="C138" i="55" s="1"/>
  <c r="B138" i="55" s="1"/>
  <c r="C137" i="55" a="1"/>
  <c r="C137" i="55" s="1"/>
  <c r="B137" i="55" s="1"/>
  <c r="C136" i="55" a="1"/>
  <c r="C136" i="55" s="1"/>
  <c r="B136" i="55" s="1"/>
  <c r="C135" i="55" a="1"/>
  <c r="C135" i="55" s="1"/>
  <c r="B135" i="55" s="1"/>
  <c r="C134" i="55" a="1"/>
  <c r="C134" i="55" s="1"/>
  <c r="B134" i="55" s="1"/>
  <c r="C133" i="55" a="1"/>
  <c r="C133" i="55" s="1"/>
  <c r="B133" i="55" s="1"/>
  <c r="C132" i="55" a="1"/>
  <c r="C132" i="55" s="1"/>
  <c r="B132" i="55" s="1"/>
  <c r="C131" i="55" a="1"/>
  <c r="C131" i="55" s="1"/>
  <c r="B131" i="55" s="1"/>
  <c r="C130" i="55" a="1"/>
  <c r="C130" i="55" s="1"/>
  <c r="B130" i="55" s="1"/>
  <c r="C129" i="55" a="1"/>
  <c r="C129" i="55" s="1"/>
  <c r="B129" i="55" s="1"/>
  <c r="C128" i="55" a="1"/>
  <c r="C128" i="55" s="1"/>
  <c r="B128" i="55" s="1"/>
  <c r="C123" i="55" a="1"/>
  <c r="C123" i="55" s="1"/>
  <c r="B123" i="55" s="1"/>
  <c r="C122" i="55" a="1"/>
  <c r="C122" i="55" s="1"/>
  <c r="B122" i="55" s="1"/>
  <c r="C121" i="55" a="1"/>
  <c r="C121" i="55" s="1"/>
  <c r="B121" i="55" s="1"/>
  <c r="C120" i="55" a="1"/>
  <c r="C120" i="55" s="1"/>
  <c r="B120" i="55" s="1"/>
  <c r="C119" i="55" a="1"/>
  <c r="C119" i="55" s="1"/>
  <c r="B119" i="55" s="1"/>
  <c r="C118" i="55" a="1"/>
  <c r="C118" i="55" s="1"/>
  <c r="B118" i="55" s="1"/>
  <c r="C117" i="55" a="1"/>
  <c r="C117" i="55" s="1"/>
  <c r="B117" i="55" s="1"/>
  <c r="C116" i="55" a="1"/>
  <c r="C116" i="55" s="1"/>
  <c r="B116" i="55" s="1"/>
  <c r="C115" i="55" a="1"/>
  <c r="C115" i="55" s="1"/>
  <c r="B115" i="55" s="1"/>
  <c r="C114" i="55" a="1"/>
  <c r="C114" i="55" s="1"/>
  <c r="B114" i="55" s="1"/>
  <c r="C113" i="55" a="1"/>
  <c r="C113" i="55" s="1"/>
  <c r="B113" i="55" s="1"/>
  <c r="C112" i="55" a="1"/>
  <c r="C112" i="55" s="1"/>
  <c r="B112" i="55" s="1"/>
  <c r="C111" i="55" a="1"/>
  <c r="C111" i="55" s="1"/>
  <c r="B111" i="55" s="1"/>
  <c r="C110" i="55" a="1"/>
  <c r="C110" i="55" s="1"/>
  <c r="B110" i="55" s="1"/>
  <c r="C105" i="55" a="1"/>
  <c r="C105" i="55" s="1"/>
  <c r="B105" i="55" s="1"/>
  <c r="C104" i="55" a="1"/>
  <c r="C104" i="55" s="1"/>
  <c r="B104" i="55" s="1"/>
  <c r="C103" i="55" a="1"/>
  <c r="C103" i="55" s="1"/>
  <c r="B103" i="55" s="1"/>
  <c r="C102" i="55" a="1"/>
  <c r="C102" i="55" s="1"/>
  <c r="B102" i="55" s="1"/>
  <c r="C101" i="55" a="1"/>
  <c r="C101" i="55" s="1"/>
  <c r="B101" i="55" s="1"/>
  <c r="C100" i="55" a="1"/>
  <c r="C100" i="55" s="1"/>
  <c r="B100" i="55" s="1"/>
  <c r="C99" i="55" a="1"/>
  <c r="C99" i="55" s="1"/>
  <c r="B99" i="55" s="1"/>
  <c r="C98" i="55" a="1"/>
  <c r="C98" i="55" s="1"/>
  <c r="B98" i="55" s="1"/>
  <c r="C97" i="55" a="1"/>
  <c r="C97" i="55" s="1"/>
  <c r="B97" i="55" s="1"/>
  <c r="C96" i="55" a="1"/>
  <c r="C96" i="55" s="1"/>
  <c r="B96" i="55" s="1"/>
  <c r="C95" i="55" a="1"/>
  <c r="C95" i="55" s="1"/>
  <c r="B95" i="55" s="1"/>
  <c r="C94" i="55" a="1"/>
  <c r="C94" i="55" s="1"/>
  <c r="B94" i="55" s="1"/>
  <c r="C93" i="55" a="1"/>
  <c r="C93" i="55" s="1"/>
  <c r="B93" i="55" s="1"/>
  <c r="C92" i="55" a="1"/>
  <c r="C92" i="55" s="1"/>
  <c r="B92" i="55" s="1"/>
  <c r="C87" i="55" a="1"/>
  <c r="C87" i="55" s="1"/>
  <c r="B87" i="55" s="1"/>
  <c r="C86" i="55" a="1"/>
  <c r="C86" i="55" s="1"/>
  <c r="B86" i="55" s="1"/>
  <c r="C85" i="55" a="1"/>
  <c r="C85" i="55" s="1"/>
  <c r="B85" i="55" s="1"/>
  <c r="C84" i="55" a="1"/>
  <c r="C84" i="55" s="1"/>
  <c r="B84" i="55" s="1"/>
  <c r="C83" i="55" a="1"/>
  <c r="C83" i="55" s="1"/>
  <c r="B83" i="55" s="1"/>
  <c r="C82" i="55" a="1"/>
  <c r="C82" i="55" s="1"/>
  <c r="B82" i="55" s="1"/>
  <c r="C81" i="55" a="1"/>
  <c r="C81" i="55" s="1"/>
  <c r="B81" i="55" s="1"/>
  <c r="C80" i="55" a="1"/>
  <c r="C80" i="55" s="1"/>
  <c r="B80" i="55" s="1"/>
  <c r="C79" i="55" a="1"/>
  <c r="C79" i="55" s="1"/>
  <c r="B79" i="55" s="1"/>
  <c r="C78" i="55" a="1"/>
  <c r="C78" i="55" s="1"/>
  <c r="B78" i="55" s="1"/>
  <c r="C77" i="55" a="1"/>
  <c r="C77" i="55" s="1"/>
  <c r="B77" i="55" s="1"/>
  <c r="C76" i="55" a="1"/>
  <c r="C76" i="55" s="1"/>
  <c r="B76" i="55" s="1"/>
  <c r="C75" i="55" a="1"/>
  <c r="C75" i="55" s="1"/>
  <c r="B75" i="55" s="1"/>
  <c r="C74" i="55" a="1"/>
  <c r="C74" i="55" s="1"/>
  <c r="B74" i="55" s="1"/>
  <c r="C69" i="55" a="1"/>
  <c r="C69" i="55" s="1"/>
  <c r="B69" i="55" s="1"/>
  <c r="C68" i="55" a="1"/>
  <c r="C68" i="55" s="1"/>
  <c r="B68" i="55" s="1"/>
  <c r="C67" i="55" a="1"/>
  <c r="C67" i="55" s="1"/>
  <c r="B67" i="55" s="1"/>
  <c r="C66" i="55" a="1"/>
  <c r="C66" i="55" s="1"/>
  <c r="B66" i="55" s="1"/>
  <c r="C65" i="55" a="1"/>
  <c r="C65" i="55" s="1"/>
  <c r="B65" i="55" s="1"/>
  <c r="C64" i="55" a="1"/>
  <c r="C64" i="55" s="1"/>
  <c r="B64" i="55" s="1"/>
  <c r="C63" i="55" a="1"/>
  <c r="C63" i="55" s="1"/>
  <c r="B63" i="55" s="1"/>
  <c r="C62" i="55" a="1"/>
  <c r="C62" i="55" s="1"/>
  <c r="B62" i="55" s="1"/>
  <c r="C61" i="55" a="1"/>
  <c r="C61" i="55" s="1"/>
  <c r="B61" i="55" s="1"/>
  <c r="C60" i="55" a="1"/>
  <c r="C60" i="55" s="1"/>
  <c r="B60" i="55" s="1"/>
  <c r="C59" i="55" a="1"/>
  <c r="C59" i="55" s="1"/>
  <c r="B59" i="55" s="1"/>
  <c r="C58" i="55" a="1"/>
  <c r="C58" i="55" s="1"/>
  <c r="B58" i="55" s="1"/>
  <c r="C57" i="55" a="1"/>
  <c r="C57" i="55" s="1"/>
  <c r="B57" i="55" s="1"/>
  <c r="C56" i="55" a="1"/>
  <c r="C56" i="55" s="1"/>
  <c r="B56" i="55" s="1"/>
  <c r="C51" i="55" a="1"/>
  <c r="C51" i="55" s="1"/>
  <c r="B51" i="55" s="1"/>
  <c r="C50" i="55" a="1"/>
  <c r="C50" i="55" s="1"/>
  <c r="B50" i="55" s="1"/>
  <c r="C49" i="55" a="1"/>
  <c r="C49" i="55" s="1"/>
  <c r="B49" i="55" s="1"/>
  <c r="C48" i="55" a="1"/>
  <c r="C48" i="55" s="1"/>
  <c r="B48" i="55" s="1"/>
  <c r="C47" i="55" a="1"/>
  <c r="C47" i="55" s="1"/>
  <c r="B47" i="55" s="1"/>
  <c r="C46" i="55" a="1"/>
  <c r="C46" i="55" s="1"/>
  <c r="B46" i="55" s="1"/>
  <c r="C45" i="55" a="1"/>
  <c r="C45" i="55" s="1"/>
  <c r="B45" i="55" s="1"/>
  <c r="C44" i="55" a="1"/>
  <c r="C44" i="55" s="1"/>
  <c r="B44" i="55" s="1"/>
  <c r="C43" i="55" a="1"/>
  <c r="C43" i="55" s="1"/>
  <c r="B43" i="55" s="1"/>
  <c r="C42" i="55" a="1"/>
  <c r="C42" i="55" s="1"/>
  <c r="B42" i="55" s="1"/>
  <c r="C41" i="55" a="1"/>
  <c r="C41" i="55" s="1"/>
  <c r="B41" i="55" s="1"/>
  <c r="C40" i="55" a="1"/>
  <c r="C40" i="55" s="1"/>
  <c r="B40" i="55" s="1"/>
  <c r="C39" i="55" a="1"/>
  <c r="C39" i="55" s="1"/>
  <c r="B39" i="55" s="1"/>
  <c r="C38" i="55" a="1"/>
  <c r="C38" i="55" s="1"/>
  <c r="B38" i="55" s="1"/>
  <c r="C33" i="55" a="1"/>
  <c r="C33" i="55" s="1"/>
  <c r="B33" i="55" s="1"/>
  <c r="C32" i="55" a="1"/>
  <c r="C32" i="55" s="1"/>
  <c r="B32" i="55" s="1"/>
  <c r="C31" i="55" a="1"/>
  <c r="C31" i="55" s="1"/>
  <c r="B31" i="55" s="1"/>
  <c r="C30" i="55" a="1"/>
  <c r="C30" i="55" s="1"/>
  <c r="B30" i="55" s="1"/>
  <c r="C29" i="55" a="1"/>
  <c r="C29" i="55" s="1"/>
  <c r="B29" i="55" s="1"/>
  <c r="C28" i="55" a="1"/>
  <c r="C28" i="55" s="1"/>
  <c r="B28" i="55" s="1"/>
  <c r="C27" i="55" a="1"/>
  <c r="C27" i="55" s="1"/>
  <c r="B27" i="55" s="1"/>
  <c r="C26" i="55" a="1"/>
  <c r="C26" i="55" s="1"/>
  <c r="B26" i="55" s="1"/>
  <c r="C25" i="55" a="1"/>
  <c r="C25" i="55" s="1"/>
  <c r="B25" i="55" s="1"/>
  <c r="C24" i="55" a="1"/>
  <c r="C24" i="55" s="1"/>
  <c r="B24" i="55" s="1"/>
  <c r="C23" i="55" a="1"/>
  <c r="C23" i="55" s="1"/>
  <c r="B23" i="55" s="1"/>
  <c r="C22" i="55" a="1"/>
  <c r="C22" i="55" s="1"/>
  <c r="B22" i="55" s="1"/>
  <c r="C21" i="55" a="1"/>
  <c r="C21" i="55" s="1"/>
  <c r="B21" i="55" s="1"/>
  <c r="C20" i="55" a="1"/>
  <c r="C20" i="55" s="1"/>
  <c r="B20" i="55" s="1"/>
  <c r="C16" i="55" a="1"/>
  <c r="C16" i="55" s="1"/>
  <c r="B16" i="55" s="1"/>
  <c r="C15" i="55" a="1"/>
  <c r="C15" i="55" s="1"/>
  <c r="B15" i="55" s="1"/>
  <c r="C14" i="55" a="1"/>
  <c r="C14" i="55" s="1"/>
  <c r="B14" i="55" s="1"/>
  <c r="C13" i="55" a="1"/>
  <c r="C13" i="55" s="1"/>
  <c r="B13" i="55" s="1"/>
  <c r="C12" i="55" a="1"/>
  <c r="C12" i="55" s="1"/>
  <c r="B12" i="55" s="1"/>
  <c r="C11" i="55" a="1"/>
  <c r="C11" i="55" s="1"/>
  <c r="B11" i="55" s="1"/>
  <c r="C10" i="55" a="1"/>
  <c r="C10" i="55" s="1"/>
  <c r="B10" i="55" s="1"/>
  <c r="C9" i="55" a="1"/>
  <c r="C9" i="55" s="1"/>
  <c r="B9" i="55" s="1"/>
  <c r="C8" i="55" a="1"/>
  <c r="C8" i="55" s="1"/>
  <c r="B8" i="55" s="1"/>
  <c r="C7" i="55" a="1"/>
  <c r="C7" i="55" s="1"/>
  <c r="B7" i="55" s="1"/>
  <c r="C6" i="55" a="1"/>
  <c r="C6" i="55" s="1"/>
  <c r="B6" i="55" s="1"/>
  <c r="C5" i="55" a="1"/>
  <c r="C5" i="55" s="1"/>
  <c r="B5" i="55" s="1"/>
  <c r="C4" i="55" a="1"/>
  <c r="C4" i="55" s="1"/>
  <c r="B4" i="55" s="1"/>
  <c r="C3" i="55" a="1"/>
  <c r="C3" i="55" s="1"/>
  <c r="B3" i="55" s="1"/>
  <c r="C16" i="54" a="1"/>
  <c r="C16" i="54" s="1"/>
  <c r="B16" i="54" s="1"/>
  <c r="C15" i="54" a="1"/>
  <c r="C15" i="54" s="1"/>
  <c r="B15" i="54" s="1"/>
  <c r="C14" i="54" a="1"/>
  <c r="C14" i="54" s="1"/>
  <c r="B14" i="54" s="1"/>
  <c r="C13" i="54" a="1"/>
  <c r="C13" i="54" s="1"/>
  <c r="B13" i="54" s="1"/>
  <c r="C12" i="54" a="1"/>
  <c r="C12" i="54" s="1"/>
  <c r="B12" i="54" s="1"/>
  <c r="C11" i="54" a="1"/>
  <c r="C11" i="54" s="1"/>
  <c r="B11" i="54" s="1"/>
  <c r="C10" i="54" a="1"/>
  <c r="C10" i="54" s="1"/>
  <c r="B10" i="54" s="1"/>
  <c r="C9" i="54" a="1"/>
  <c r="C9" i="54" s="1"/>
  <c r="B9" i="54" s="1"/>
  <c r="C8" i="54" a="1"/>
  <c r="C8" i="54" s="1"/>
  <c r="B8" i="54" s="1"/>
  <c r="C7" i="54" a="1"/>
  <c r="C7" i="54" s="1"/>
  <c r="B7" i="54" s="1"/>
  <c r="C6" i="54" a="1"/>
  <c r="C6" i="54" s="1"/>
  <c r="B6" i="54" s="1"/>
  <c r="C5" i="54" a="1"/>
  <c r="C5" i="54" s="1"/>
  <c r="B5" i="54" s="1"/>
  <c r="C4" i="54" a="1"/>
  <c r="C4" i="54" s="1"/>
  <c r="B4" i="54" s="1"/>
  <c r="C3" i="54" a="1"/>
  <c r="C3" i="54" s="1"/>
  <c r="B3" i="54" s="1"/>
  <c r="C66" i="53" a="1"/>
  <c r="C66" i="53" s="1"/>
  <c r="B66" i="53" s="1"/>
  <c r="C65" i="53" a="1"/>
  <c r="C65" i="53" s="1"/>
  <c r="B65" i="53" s="1"/>
  <c r="C64" i="53" a="1"/>
  <c r="C64" i="53" s="1"/>
  <c r="B64" i="53" s="1"/>
  <c r="C63" i="53" a="1"/>
  <c r="C63" i="53" s="1"/>
  <c r="B63" i="53" s="1"/>
  <c r="C62" i="53" a="1"/>
  <c r="C62" i="53" s="1"/>
  <c r="B62" i="53" s="1"/>
  <c r="C61" i="53" a="1"/>
  <c r="C61" i="53" s="1"/>
  <c r="B61" i="53" s="1"/>
  <c r="C60" i="53" a="1"/>
  <c r="C60" i="53" s="1"/>
  <c r="B60" i="53" s="1"/>
  <c r="C59" i="53" a="1"/>
  <c r="C59" i="53" s="1"/>
  <c r="B59" i="53" s="1"/>
  <c r="C58" i="53" a="1"/>
  <c r="C58" i="53" s="1"/>
  <c r="B58" i="53" s="1"/>
  <c r="C57" i="53" a="1"/>
  <c r="C57" i="53" s="1"/>
  <c r="B57" i="53" s="1"/>
  <c r="C56" i="53" a="1"/>
  <c r="C56" i="53" s="1"/>
  <c r="B56" i="53" s="1"/>
  <c r="C55" i="53" a="1"/>
  <c r="C55" i="53" s="1"/>
  <c r="B55" i="53" s="1"/>
  <c r="C54" i="53" a="1"/>
  <c r="C54" i="53" s="1"/>
  <c r="B54" i="53" s="1"/>
  <c r="C49" i="53" a="1"/>
  <c r="C49" i="53" s="1"/>
  <c r="B49" i="53" s="1"/>
  <c r="C48" i="53" a="1"/>
  <c r="C48" i="53" s="1"/>
  <c r="B48" i="53" s="1"/>
  <c r="C47" i="53" a="1"/>
  <c r="C47" i="53" s="1"/>
  <c r="B47" i="53" s="1"/>
  <c r="C46" i="53" a="1"/>
  <c r="C46" i="53" s="1"/>
  <c r="B46" i="53" s="1"/>
  <c r="C45" i="53" a="1"/>
  <c r="C45" i="53" s="1"/>
  <c r="B45" i="53" s="1"/>
  <c r="C44" i="53" a="1"/>
  <c r="C44" i="53" s="1"/>
  <c r="B44" i="53" s="1"/>
  <c r="C43" i="53" a="1"/>
  <c r="C43" i="53" s="1"/>
  <c r="B43" i="53" s="1"/>
  <c r="C42" i="53" a="1"/>
  <c r="C42" i="53" s="1"/>
  <c r="B42" i="53" s="1"/>
  <c r="C41" i="53" a="1"/>
  <c r="C41" i="53" s="1"/>
  <c r="B41" i="53" s="1"/>
  <c r="C40" i="53" a="1"/>
  <c r="C40" i="53" s="1"/>
  <c r="B40" i="53" s="1"/>
  <c r="C39" i="53" a="1"/>
  <c r="C39" i="53" s="1"/>
  <c r="B39" i="53" s="1"/>
  <c r="C38" i="53" a="1"/>
  <c r="C38" i="53" s="1"/>
  <c r="B38" i="53" s="1"/>
  <c r="C37" i="53" a="1"/>
  <c r="C37" i="53" s="1"/>
  <c r="B37" i="53" s="1"/>
  <c r="C32" i="53" a="1"/>
  <c r="C32" i="53" s="1"/>
  <c r="B32" i="53" s="1"/>
  <c r="C31" i="53" a="1"/>
  <c r="C31" i="53" s="1"/>
  <c r="B31" i="53" s="1"/>
  <c r="C30" i="53" a="1"/>
  <c r="C30" i="53" s="1"/>
  <c r="B30" i="53" s="1"/>
  <c r="C29" i="53" a="1"/>
  <c r="C29" i="53" s="1"/>
  <c r="B29" i="53" s="1"/>
  <c r="C28" i="53" a="1"/>
  <c r="C28" i="53" s="1"/>
  <c r="B28" i="53" s="1"/>
  <c r="C27" i="53" a="1"/>
  <c r="C27" i="53" s="1"/>
  <c r="B27" i="53" s="1"/>
  <c r="C26" i="53" a="1"/>
  <c r="C26" i="53" s="1"/>
  <c r="B26" i="53" s="1"/>
  <c r="C25" i="53" a="1"/>
  <c r="C25" i="53" s="1"/>
  <c r="B25" i="53" s="1"/>
  <c r="C24" i="53" a="1"/>
  <c r="C24" i="53" s="1"/>
  <c r="B24" i="53" s="1"/>
  <c r="C23" i="53" a="1"/>
  <c r="C23" i="53" s="1"/>
  <c r="B23" i="53" s="1"/>
  <c r="C22" i="53" a="1"/>
  <c r="C22" i="53" s="1"/>
  <c r="B22" i="53" s="1"/>
  <c r="C21" i="53" a="1"/>
  <c r="C21" i="53" s="1"/>
  <c r="B21" i="53" s="1"/>
  <c r="C20" i="53" a="1"/>
  <c r="C20" i="53" s="1"/>
  <c r="B20" i="53" s="1"/>
  <c r="C15" i="53" a="1"/>
  <c r="C15" i="53" s="1"/>
  <c r="B15" i="53" s="1"/>
  <c r="C14" i="53" a="1"/>
  <c r="C14" i="53" s="1"/>
  <c r="B14" i="53" s="1"/>
  <c r="C13" i="53" a="1"/>
  <c r="C13" i="53" s="1"/>
  <c r="B13" i="53" s="1"/>
  <c r="C12" i="53" a="1"/>
  <c r="C12" i="53" s="1"/>
  <c r="B12" i="53" s="1"/>
  <c r="C11" i="53" a="1"/>
  <c r="C11" i="53" s="1"/>
  <c r="B11" i="53" s="1"/>
  <c r="C10" i="53" a="1"/>
  <c r="C10" i="53" s="1"/>
  <c r="B10" i="53" s="1"/>
  <c r="C9" i="53" a="1"/>
  <c r="C9" i="53" s="1"/>
  <c r="B9" i="53" s="1"/>
  <c r="C8" i="53" a="1"/>
  <c r="C8" i="53" s="1"/>
  <c r="B8" i="53" s="1"/>
  <c r="C7" i="53" a="1"/>
  <c r="C7" i="53" s="1"/>
  <c r="B7" i="53" s="1"/>
  <c r="C6" i="53" a="1"/>
  <c r="C6" i="53" s="1"/>
  <c r="B6" i="53" s="1"/>
  <c r="C5" i="53" a="1"/>
  <c r="C5" i="53" s="1"/>
  <c r="B5" i="53" s="1"/>
  <c r="C4" i="53" a="1"/>
  <c r="C4" i="53" s="1"/>
  <c r="B4" i="53" s="1"/>
  <c r="C3" i="53" a="1"/>
  <c r="C3" i="53" s="1"/>
  <c r="B3" i="53" s="1"/>
  <c r="C35" i="52" a="1"/>
  <c r="C35" i="52" s="1"/>
  <c r="B35" i="52" s="1"/>
  <c r="C34" i="52" a="1"/>
  <c r="C34" i="52" s="1"/>
  <c r="B34" i="52" s="1"/>
  <c r="C33" i="52" a="1"/>
  <c r="C33" i="52" s="1"/>
  <c r="B33" i="52" s="1"/>
  <c r="C32" i="52" a="1"/>
  <c r="C32" i="52" s="1"/>
  <c r="B32" i="52" s="1"/>
  <c r="C31" i="52" a="1"/>
  <c r="C31" i="52" s="1"/>
  <c r="B31" i="52" s="1"/>
  <c r="C30" i="52" a="1"/>
  <c r="C30" i="52" s="1"/>
  <c r="B30" i="52" s="1"/>
  <c r="C29" i="52" a="1"/>
  <c r="C29" i="52" s="1"/>
  <c r="B29" i="52" s="1"/>
  <c r="C28" i="52" a="1"/>
  <c r="C28" i="52" s="1"/>
  <c r="B28" i="52" s="1"/>
  <c r="C27" i="52" a="1"/>
  <c r="C27" i="52" s="1"/>
  <c r="B27" i="52" s="1"/>
  <c r="C26" i="52" a="1"/>
  <c r="C26" i="52" s="1"/>
  <c r="B26" i="52" s="1"/>
  <c r="C25" i="52" a="1"/>
  <c r="C25" i="52" s="1"/>
  <c r="B25" i="52" s="1"/>
  <c r="C24" i="52" a="1"/>
  <c r="C24" i="52" s="1"/>
  <c r="B24" i="52" s="1"/>
  <c r="C23" i="52" a="1"/>
  <c r="C23" i="52" s="1"/>
  <c r="B23" i="52" s="1"/>
  <c r="C22" i="52" a="1"/>
  <c r="C22" i="52" s="1"/>
  <c r="B22" i="52" s="1"/>
  <c r="C12" i="52" a="1"/>
  <c r="C12" i="52" s="1"/>
  <c r="B12" i="52" s="1"/>
  <c r="C11" i="52" a="1"/>
  <c r="C11" i="52" s="1"/>
  <c r="B11" i="52" s="1"/>
  <c r="C13" i="52" a="1"/>
  <c r="C13" i="52" s="1"/>
  <c r="B13" i="52" s="1"/>
  <c r="C16" i="52" a="1"/>
  <c r="C16" i="52" s="1"/>
  <c r="B16" i="52" s="1"/>
  <c r="C15" i="52" a="1"/>
  <c r="C15" i="52" s="1"/>
  <c r="B15" i="52" s="1"/>
  <c r="C14" i="52" a="1"/>
  <c r="C14" i="52" s="1"/>
  <c r="B14" i="52" s="1"/>
  <c r="C10" i="52" a="1"/>
  <c r="C10" i="52" s="1"/>
  <c r="B10" i="52" s="1"/>
  <c r="C9" i="52" a="1"/>
  <c r="C9" i="52" s="1"/>
  <c r="B9" i="52" s="1"/>
  <c r="C8" i="52" a="1"/>
  <c r="C8" i="52" s="1"/>
  <c r="B8" i="52" s="1"/>
  <c r="C7" i="52" a="1"/>
  <c r="C7" i="52" s="1"/>
  <c r="B7" i="52" s="1"/>
  <c r="C6" i="52" a="1"/>
  <c r="C6" i="52" s="1"/>
  <c r="B6" i="52" s="1"/>
  <c r="C5" i="52" a="1"/>
  <c r="C5" i="52" s="1"/>
  <c r="B5" i="52" s="1"/>
  <c r="C4" i="52" a="1"/>
  <c r="C4" i="52" s="1"/>
  <c r="B4" i="52" s="1"/>
  <c r="C3" i="52" a="1"/>
  <c r="C3" i="52" s="1"/>
  <c r="B3" i="52" s="1"/>
  <c r="C16" i="51" a="1"/>
  <c r="C16" i="51" s="1"/>
  <c r="B16" i="51" s="1"/>
  <c r="C15" i="51" a="1"/>
  <c r="C15" i="51" s="1"/>
  <c r="B15" i="51" s="1"/>
  <c r="C14" i="51" a="1"/>
  <c r="C14" i="51" s="1"/>
  <c r="B14" i="51" s="1"/>
  <c r="C13" i="51" a="1"/>
  <c r="C13" i="51" s="1"/>
  <c r="B13" i="51" s="1"/>
  <c r="C12" i="51" a="1"/>
  <c r="C12" i="51" s="1"/>
  <c r="B12" i="51" s="1"/>
  <c r="C11" i="51" a="1"/>
  <c r="C11" i="51" s="1"/>
  <c r="B11" i="51" s="1"/>
  <c r="C10" i="51" a="1"/>
  <c r="C10" i="51" s="1"/>
  <c r="B10" i="51" s="1"/>
  <c r="C9" i="51" a="1"/>
  <c r="C9" i="51" s="1"/>
  <c r="B9" i="51" s="1"/>
  <c r="C8" i="51" a="1"/>
  <c r="C8" i="51" s="1"/>
  <c r="B8" i="51" s="1"/>
  <c r="C7" i="51" a="1"/>
  <c r="C7" i="51" s="1"/>
  <c r="B7" i="51" s="1"/>
  <c r="C6" i="51" a="1"/>
  <c r="C6" i="51" s="1"/>
  <c r="B6" i="51" s="1"/>
  <c r="C5" i="51" a="1"/>
  <c r="C5" i="51" s="1"/>
  <c r="B5" i="51" s="1"/>
  <c r="C4" i="51" a="1"/>
  <c r="C4" i="51" s="1"/>
  <c r="B4" i="51" s="1"/>
  <c r="C3" i="51" a="1"/>
  <c r="C3" i="51" s="1"/>
  <c r="B3" i="51" s="1"/>
  <c r="C16" i="50" a="1"/>
  <c r="C16" i="50" s="1"/>
  <c r="B16" i="50" s="1"/>
  <c r="C15" i="50" a="1"/>
  <c r="C15" i="50" s="1"/>
  <c r="B15" i="50" s="1"/>
  <c r="C14" i="50" a="1"/>
  <c r="C14" i="50" s="1"/>
  <c r="B14" i="50" s="1"/>
  <c r="C13" i="50" a="1"/>
  <c r="C13" i="50" s="1"/>
  <c r="B13" i="50" s="1"/>
  <c r="C12" i="50" a="1"/>
  <c r="C12" i="50" s="1"/>
  <c r="B12" i="50" s="1"/>
  <c r="C11" i="50" a="1"/>
  <c r="C11" i="50" s="1"/>
  <c r="B11" i="50" s="1"/>
  <c r="C10" i="50" a="1"/>
  <c r="C10" i="50" s="1"/>
  <c r="B10" i="50" s="1"/>
  <c r="C9" i="50" a="1"/>
  <c r="C9" i="50" s="1"/>
  <c r="B9" i="50" s="1"/>
  <c r="C8" i="50" a="1"/>
  <c r="C8" i="50" s="1"/>
  <c r="B8" i="50" s="1"/>
  <c r="C7" i="50" a="1"/>
  <c r="C7" i="50" s="1"/>
  <c r="B7" i="50" s="1"/>
  <c r="C6" i="50" a="1"/>
  <c r="C6" i="50" s="1"/>
  <c r="B6" i="50" s="1"/>
  <c r="C5" i="50" a="1"/>
  <c r="C5" i="50" s="1"/>
  <c r="B5" i="50" s="1"/>
  <c r="C4" i="50" a="1"/>
  <c r="C4" i="50" s="1"/>
  <c r="B4" i="50" s="1"/>
  <c r="C3" i="50" a="1"/>
  <c r="C3" i="50" s="1"/>
  <c r="B3" i="50" s="1"/>
  <c r="C195" i="47" a="1"/>
  <c r="C195" i="47" s="1"/>
  <c r="B195" i="47" s="1"/>
  <c r="C194" i="47" a="1"/>
  <c r="C194" i="47" s="1"/>
  <c r="B194" i="47" s="1"/>
  <c r="C193" i="47" a="1"/>
  <c r="C193" i="47" s="1"/>
  <c r="B193" i="47" s="1"/>
  <c r="C192" i="47" a="1"/>
  <c r="C192" i="47" s="1"/>
  <c r="B192" i="47" s="1"/>
  <c r="C191" i="47" a="1"/>
  <c r="C191" i="47" s="1"/>
  <c r="B191" i="47" s="1"/>
  <c r="C190" i="47" a="1"/>
  <c r="C190" i="47" s="1"/>
  <c r="B190" i="47" s="1"/>
  <c r="C189" i="47" a="1"/>
  <c r="C189" i="47" s="1"/>
  <c r="B189" i="47" s="1"/>
  <c r="C188" i="47" a="1"/>
  <c r="C188" i="47" s="1"/>
  <c r="B188" i="47" s="1"/>
  <c r="C187" i="47" a="1"/>
  <c r="C187" i="47" s="1"/>
  <c r="B187" i="47" s="1"/>
  <c r="C186" i="47" a="1"/>
  <c r="C186" i="47" s="1"/>
  <c r="B186" i="47" s="1"/>
  <c r="C185" i="47" a="1"/>
  <c r="C185" i="47" s="1"/>
  <c r="B185" i="47" s="1"/>
  <c r="C184" i="47" a="1"/>
  <c r="C184" i="47" s="1"/>
  <c r="B184" i="47" s="1"/>
  <c r="C183" i="47" a="1"/>
  <c r="C183" i="47" s="1"/>
  <c r="B183" i="47" s="1"/>
  <c r="C182" i="47" a="1"/>
  <c r="C182" i="47" s="1"/>
  <c r="B182" i="47" s="1"/>
  <c r="C179" i="47" a="1"/>
  <c r="C179" i="47" s="1"/>
  <c r="B179" i="47" s="1"/>
  <c r="C178" i="47" a="1"/>
  <c r="C178" i="47" s="1"/>
  <c r="B178" i="47" s="1"/>
  <c r="C177" i="47" a="1"/>
  <c r="C177" i="47" s="1"/>
  <c r="B177" i="47" s="1"/>
  <c r="C176" i="47" a="1"/>
  <c r="C176" i="47" s="1"/>
  <c r="B176" i="47" s="1"/>
  <c r="C175" i="47" a="1"/>
  <c r="C175" i="47" s="1"/>
  <c r="B175" i="47" s="1"/>
  <c r="C174" i="47" a="1"/>
  <c r="C174" i="47" s="1"/>
  <c r="B174" i="47" s="1"/>
  <c r="C173" i="47" a="1"/>
  <c r="C173" i="47" s="1"/>
  <c r="B173" i="47" s="1"/>
  <c r="C172" i="47" a="1"/>
  <c r="C172" i="47" s="1"/>
  <c r="B172" i="47" s="1"/>
  <c r="C171" i="47" a="1"/>
  <c r="C171" i="47" s="1"/>
  <c r="B171" i="47" s="1"/>
  <c r="C170" i="47" a="1"/>
  <c r="C170" i="47" s="1"/>
  <c r="B170" i="47" s="1"/>
  <c r="C169" i="47" a="1"/>
  <c r="C169" i="47" s="1"/>
  <c r="B169" i="47" s="1"/>
  <c r="C168" i="47" a="1"/>
  <c r="C168" i="47" s="1"/>
  <c r="B168" i="47" s="1"/>
  <c r="C167" i="47" a="1"/>
  <c r="C167" i="47" s="1"/>
  <c r="B167" i="47" s="1"/>
  <c r="C166" i="47" a="1"/>
  <c r="C166" i="47" s="1"/>
  <c r="B166" i="47" s="1"/>
  <c r="C100" i="49" a="1"/>
  <c r="C100" i="49" s="1"/>
  <c r="B100" i="49" s="1"/>
  <c r="C99" i="49" a="1"/>
  <c r="C99" i="49" s="1"/>
  <c r="B99" i="49" s="1"/>
  <c r="C98" i="49" a="1"/>
  <c r="C98" i="49" s="1"/>
  <c r="B98" i="49" s="1"/>
  <c r="C97" i="49" a="1"/>
  <c r="C97" i="49" s="1"/>
  <c r="B97" i="49" s="1"/>
  <c r="C96" i="49" a="1"/>
  <c r="C96" i="49" s="1"/>
  <c r="B96" i="49" s="1"/>
  <c r="C95" i="49" a="1"/>
  <c r="C95" i="49" s="1"/>
  <c r="B95" i="49" s="1"/>
  <c r="C94" i="49" a="1"/>
  <c r="C94" i="49" s="1"/>
  <c r="B94" i="49" s="1"/>
  <c r="C93" i="49" a="1"/>
  <c r="C93" i="49" s="1"/>
  <c r="B93" i="49" s="1"/>
  <c r="C92" i="49" a="1"/>
  <c r="C92" i="49" s="1"/>
  <c r="B92" i="49" s="1"/>
  <c r="C91" i="49" a="1"/>
  <c r="C91" i="49" s="1"/>
  <c r="B91" i="49" s="1"/>
  <c r="C81" i="49" a="1"/>
  <c r="C81" i="49" s="1"/>
  <c r="B81" i="49" s="1"/>
  <c r="C80" i="49" a="1"/>
  <c r="C80" i="49" s="1"/>
  <c r="B80" i="49" s="1"/>
  <c r="C79" i="49" a="1"/>
  <c r="C79" i="49" s="1"/>
  <c r="B79" i="49" s="1"/>
  <c r="C78" i="49" a="1"/>
  <c r="C78" i="49" s="1"/>
  <c r="B78" i="49" s="1"/>
  <c r="C77" i="49" a="1"/>
  <c r="C77" i="49" s="1"/>
  <c r="B77" i="49" s="1"/>
  <c r="C76" i="49" a="1"/>
  <c r="C76" i="49" s="1"/>
  <c r="B76" i="49" s="1"/>
  <c r="C75" i="49" a="1"/>
  <c r="C75" i="49" s="1"/>
  <c r="B75" i="49" s="1"/>
  <c r="C74" i="49" a="1"/>
  <c r="C74" i="49" s="1"/>
  <c r="B74" i="49" s="1"/>
  <c r="C73" i="49" a="1"/>
  <c r="C73" i="49" s="1"/>
  <c r="B73" i="49" s="1"/>
  <c r="C72" i="49" a="1"/>
  <c r="C72" i="49" s="1"/>
  <c r="B72" i="49" s="1"/>
  <c r="C63" i="49" a="1"/>
  <c r="C63" i="49" s="1"/>
  <c r="B63" i="49" s="1"/>
  <c r="C62" i="49" a="1"/>
  <c r="C62" i="49" s="1"/>
  <c r="B62" i="49" s="1"/>
  <c r="C61" i="49" a="1"/>
  <c r="C61" i="49" s="1"/>
  <c r="B61" i="49" s="1"/>
  <c r="C60" i="49" a="1"/>
  <c r="C60" i="49" s="1"/>
  <c r="B60" i="49" s="1"/>
  <c r="C59" i="49" a="1"/>
  <c r="C59" i="49" s="1"/>
  <c r="B59" i="49" s="1"/>
  <c r="C58" i="49" a="1"/>
  <c r="C58" i="49" s="1"/>
  <c r="B58" i="49" s="1"/>
  <c r="C57" i="49" a="1"/>
  <c r="C57" i="49" s="1"/>
  <c r="B57" i="49" s="1"/>
  <c r="C56" i="49" a="1"/>
  <c r="C56" i="49" s="1"/>
  <c r="B56" i="49" s="1"/>
  <c r="C55" i="49" a="1"/>
  <c r="C55" i="49" s="1"/>
  <c r="B55" i="49" s="1"/>
  <c r="C54" i="49" a="1"/>
  <c r="C54" i="49" s="1"/>
  <c r="B54" i="49" s="1"/>
  <c r="C46" i="49" a="1"/>
  <c r="C46" i="49" s="1"/>
  <c r="B46" i="49" s="1"/>
  <c r="C45" i="49" a="1"/>
  <c r="C45" i="49" s="1"/>
  <c r="B45" i="49" s="1"/>
  <c r="C44" i="49" a="1"/>
  <c r="C44" i="49" s="1"/>
  <c r="B44" i="49" s="1"/>
  <c r="C43" i="49" a="1"/>
  <c r="C43" i="49" s="1"/>
  <c r="B43" i="49" s="1"/>
  <c r="C42" i="49" a="1"/>
  <c r="C42" i="49" s="1"/>
  <c r="B42" i="49" s="1"/>
  <c r="C41" i="49" a="1"/>
  <c r="C41" i="49" s="1"/>
  <c r="B41" i="49" s="1"/>
  <c r="C40" i="49" a="1"/>
  <c r="C40" i="49" s="1"/>
  <c r="B40" i="49" s="1"/>
  <c r="C39" i="49" a="1"/>
  <c r="C39" i="49" s="1"/>
  <c r="B39" i="49" s="1"/>
  <c r="C38" i="49" a="1"/>
  <c r="C38" i="49" s="1"/>
  <c r="B38" i="49" s="1"/>
  <c r="C37" i="49" a="1"/>
  <c r="C37" i="49" s="1"/>
  <c r="B37" i="49" s="1"/>
  <c r="C29" i="49" a="1"/>
  <c r="C29" i="49" s="1"/>
  <c r="B29" i="49" s="1"/>
  <c r="C28" i="49" a="1"/>
  <c r="C28" i="49" s="1"/>
  <c r="B28" i="49" s="1"/>
  <c r="C27" i="49" a="1"/>
  <c r="C27" i="49" s="1"/>
  <c r="B27" i="49" s="1"/>
  <c r="C26" i="49" a="1"/>
  <c r="C26" i="49" s="1"/>
  <c r="B26" i="49" s="1"/>
  <c r="C25" i="49" a="1"/>
  <c r="C25" i="49" s="1"/>
  <c r="B25" i="49" s="1"/>
  <c r="C24" i="49" a="1"/>
  <c r="C24" i="49" s="1"/>
  <c r="B24" i="49" s="1"/>
  <c r="C23" i="49" a="1"/>
  <c r="C23" i="49" s="1"/>
  <c r="B23" i="49" s="1"/>
  <c r="C22" i="49" a="1"/>
  <c r="C22" i="49" s="1"/>
  <c r="B22" i="49" s="1"/>
  <c r="C21" i="49" a="1"/>
  <c r="C21" i="49" s="1"/>
  <c r="B21" i="49" s="1"/>
  <c r="C20" i="49" a="1"/>
  <c r="C20" i="49" s="1"/>
  <c r="B20" i="49" s="1"/>
  <c r="C12" i="49" a="1"/>
  <c r="C12" i="49" s="1"/>
  <c r="B12" i="49" s="1"/>
  <c r="C11" i="49" a="1"/>
  <c r="C11" i="49" s="1"/>
  <c r="B11" i="49" s="1"/>
  <c r="C10" i="49" a="1"/>
  <c r="C10" i="49" s="1"/>
  <c r="B10" i="49" s="1"/>
  <c r="C103" i="49" a="1"/>
  <c r="C103" i="49" s="1"/>
  <c r="B103" i="49" s="1"/>
  <c r="C102" i="49" a="1"/>
  <c r="C102" i="49" s="1"/>
  <c r="B102" i="49" s="1"/>
  <c r="C101" i="49" a="1"/>
  <c r="C101" i="49" s="1"/>
  <c r="B101" i="49" s="1"/>
  <c r="C84" i="49" a="1"/>
  <c r="C84" i="49" s="1"/>
  <c r="B84" i="49" s="1"/>
  <c r="C83" i="49" a="1"/>
  <c r="C83" i="49" s="1"/>
  <c r="B83" i="49" s="1"/>
  <c r="C82" i="49" a="1"/>
  <c r="C82" i="49" s="1"/>
  <c r="B82" i="49" s="1"/>
  <c r="C66" i="49" a="1"/>
  <c r="C66" i="49" s="1"/>
  <c r="B66" i="49" s="1"/>
  <c r="C65" i="49" a="1"/>
  <c r="C65" i="49" s="1"/>
  <c r="B65" i="49" s="1"/>
  <c r="C64" i="49" a="1"/>
  <c r="C64" i="49" s="1"/>
  <c r="B64" i="49" s="1"/>
  <c r="C49" i="49" a="1"/>
  <c r="C49" i="49" s="1"/>
  <c r="B49" i="49" s="1"/>
  <c r="C48" i="49" a="1"/>
  <c r="C48" i="49" s="1"/>
  <c r="B48" i="49" s="1"/>
  <c r="C47" i="49" a="1"/>
  <c r="C47" i="49" s="1"/>
  <c r="B47" i="49" s="1"/>
  <c r="C32" i="49" a="1"/>
  <c r="C32" i="49" s="1"/>
  <c r="B32" i="49" s="1"/>
  <c r="C31" i="49" a="1"/>
  <c r="C31" i="49" s="1"/>
  <c r="B31" i="49" s="1"/>
  <c r="C30" i="49" a="1"/>
  <c r="C30" i="49" s="1"/>
  <c r="B30" i="49" s="1"/>
  <c r="C15" i="49" a="1"/>
  <c r="C15" i="49" s="1"/>
  <c r="B15" i="49" s="1"/>
  <c r="C14" i="49" a="1"/>
  <c r="C14" i="49" s="1"/>
  <c r="B14" i="49" s="1"/>
  <c r="C13" i="49" a="1"/>
  <c r="C13" i="49" s="1"/>
  <c r="B13" i="49" s="1"/>
  <c r="C9" i="49" a="1"/>
  <c r="C9" i="49" s="1"/>
  <c r="B9" i="49" s="1"/>
  <c r="C8" i="49" a="1"/>
  <c r="C8" i="49" s="1"/>
  <c r="B8" i="49" s="1"/>
  <c r="C7" i="49" a="1"/>
  <c r="C7" i="49" s="1"/>
  <c r="B7" i="49" s="1"/>
  <c r="C6" i="49" a="1"/>
  <c r="C6" i="49" s="1"/>
  <c r="B6" i="49" s="1"/>
  <c r="C5" i="49" a="1"/>
  <c r="C5" i="49" s="1"/>
  <c r="B5" i="49" s="1"/>
  <c r="C4" i="49" a="1"/>
  <c r="C4" i="49" s="1"/>
  <c r="B4" i="49" s="1"/>
  <c r="C3" i="49" a="1"/>
  <c r="C3" i="49" s="1"/>
  <c r="B3" i="49" s="1"/>
  <c r="C16" i="48" a="1"/>
  <c r="C16" i="48" s="1"/>
  <c r="B16" i="48" s="1"/>
  <c r="C15" i="48" a="1"/>
  <c r="C15" i="48" s="1"/>
  <c r="B15" i="48" s="1"/>
  <c r="C14" i="48" a="1"/>
  <c r="C14" i="48" s="1"/>
  <c r="B14" i="48" s="1"/>
  <c r="C13" i="48" a="1"/>
  <c r="C13" i="48" s="1"/>
  <c r="B13" i="48" s="1"/>
  <c r="C12" i="48" a="1"/>
  <c r="C12" i="48" s="1"/>
  <c r="B12" i="48" s="1"/>
  <c r="C11" i="48" a="1"/>
  <c r="C11" i="48" s="1"/>
  <c r="B11" i="48" s="1"/>
  <c r="C10" i="48" a="1"/>
  <c r="C10" i="48" s="1"/>
  <c r="B10" i="48" s="1"/>
  <c r="C9" i="48" a="1"/>
  <c r="C9" i="48" s="1"/>
  <c r="B9" i="48" s="1"/>
  <c r="C8" i="48" a="1"/>
  <c r="C8" i="48" s="1"/>
  <c r="B8" i="48" s="1"/>
  <c r="C7" i="48" a="1"/>
  <c r="C7" i="48" s="1"/>
  <c r="B7" i="48" s="1"/>
  <c r="C6" i="48" a="1"/>
  <c r="C6" i="48" s="1"/>
  <c r="B6" i="48" s="1"/>
  <c r="C5" i="48" a="1"/>
  <c r="C5" i="48" s="1"/>
  <c r="B5" i="48" s="1"/>
  <c r="C4" i="48" a="1"/>
  <c r="C4" i="48" s="1"/>
  <c r="B4" i="48" s="1"/>
  <c r="C3" i="48" a="1"/>
  <c r="C3" i="48" s="1"/>
  <c r="B3" i="48" s="1"/>
  <c r="C163" i="47" a="1"/>
  <c r="C163" i="47" s="1"/>
  <c r="B163" i="47" s="1"/>
  <c r="C162" i="47" a="1"/>
  <c r="C162" i="47" s="1"/>
  <c r="B162" i="47" s="1"/>
  <c r="C161" i="47" a="1"/>
  <c r="C161" i="47" s="1"/>
  <c r="B161" i="47" s="1"/>
  <c r="C160" i="47" a="1"/>
  <c r="C160" i="47" s="1"/>
  <c r="B160" i="47" s="1"/>
  <c r="C159" i="47" a="1"/>
  <c r="C159" i="47" s="1"/>
  <c r="B159" i="47" s="1"/>
  <c r="C158" i="47" a="1"/>
  <c r="C158" i="47" s="1"/>
  <c r="B158" i="47" s="1"/>
  <c r="C157" i="47" a="1"/>
  <c r="C157" i="47" s="1"/>
  <c r="B157" i="47" s="1"/>
  <c r="C156" i="47" a="1"/>
  <c r="C156" i="47" s="1"/>
  <c r="B156" i="47" s="1"/>
  <c r="C155" i="47" a="1"/>
  <c r="C155" i="47" s="1"/>
  <c r="B155" i="47" s="1"/>
  <c r="C154" i="47" a="1"/>
  <c r="C154" i="47" s="1"/>
  <c r="B154" i="47" s="1"/>
  <c r="C153" i="47" a="1"/>
  <c r="C153" i="47" s="1"/>
  <c r="B153" i="47" s="1"/>
  <c r="C152" i="47" a="1"/>
  <c r="C152" i="47" s="1"/>
  <c r="B152" i="47" s="1"/>
  <c r="C151" i="47" a="1"/>
  <c r="C151" i="47" s="1"/>
  <c r="B151" i="47" s="1"/>
  <c r="C150" i="47" a="1"/>
  <c r="C150" i="47" s="1"/>
  <c r="B150" i="47" s="1"/>
  <c r="C147" i="47" a="1"/>
  <c r="C147" i="47" s="1"/>
  <c r="B147" i="47" s="1"/>
  <c r="C146" i="47" a="1"/>
  <c r="C146" i="47" s="1"/>
  <c r="B146" i="47" s="1"/>
  <c r="C145" i="47" a="1"/>
  <c r="C145" i="47" s="1"/>
  <c r="B145" i="47" s="1"/>
  <c r="C144" i="47" a="1"/>
  <c r="C144" i="47" s="1"/>
  <c r="B144" i="47" s="1"/>
  <c r="C143" i="47" a="1"/>
  <c r="C143" i="47" s="1"/>
  <c r="B143" i="47" s="1"/>
  <c r="C142" i="47" a="1"/>
  <c r="C142" i="47" s="1"/>
  <c r="B142" i="47" s="1"/>
  <c r="C141" i="47" a="1"/>
  <c r="C141" i="47" s="1"/>
  <c r="B141" i="47" s="1"/>
  <c r="C140" i="47" a="1"/>
  <c r="C140" i="47" s="1"/>
  <c r="B140" i="47" s="1"/>
  <c r="C139" i="47" a="1"/>
  <c r="C139" i="47" s="1"/>
  <c r="B139" i="47" s="1"/>
  <c r="C138" i="47" a="1"/>
  <c r="C138" i="47" s="1"/>
  <c r="B138" i="47" s="1"/>
  <c r="C137" i="47" a="1"/>
  <c r="C137" i="47" s="1"/>
  <c r="B137" i="47" s="1"/>
  <c r="C136" i="47" a="1"/>
  <c r="C136" i="47" s="1"/>
  <c r="B136" i="47" s="1"/>
  <c r="C135" i="47" a="1"/>
  <c r="C135" i="47" s="1"/>
  <c r="B135" i="47" s="1"/>
  <c r="C134" i="47" a="1"/>
  <c r="C134" i="47" s="1"/>
  <c r="B134" i="47" s="1"/>
  <c r="C131" i="47" a="1"/>
  <c r="C131" i="47" s="1"/>
  <c r="B131" i="47" s="1"/>
  <c r="C130" i="47" a="1"/>
  <c r="C130" i="47" s="1"/>
  <c r="B130" i="47" s="1"/>
  <c r="C129" i="47" a="1"/>
  <c r="C129" i="47" s="1"/>
  <c r="B129" i="47" s="1"/>
  <c r="C128" i="47" a="1"/>
  <c r="C128" i="47" s="1"/>
  <c r="B128" i="47" s="1"/>
  <c r="C127" i="47" a="1"/>
  <c r="C127" i="47" s="1"/>
  <c r="B127" i="47" s="1"/>
  <c r="C126" i="47" a="1"/>
  <c r="C126" i="47" s="1"/>
  <c r="B126" i="47" s="1"/>
  <c r="C125" i="47" a="1"/>
  <c r="C125" i="47" s="1"/>
  <c r="B125" i="47" s="1"/>
  <c r="C124" i="47" a="1"/>
  <c r="C124" i="47" s="1"/>
  <c r="B124" i="47" s="1"/>
  <c r="C123" i="47" a="1"/>
  <c r="C123" i="47" s="1"/>
  <c r="B123" i="47" s="1"/>
  <c r="C122" i="47" a="1"/>
  <c r="C122" i="47" s="1"/>
  <c r="B122" i="47" s="1"/>
  <c r="C121" i="47" a="1"/>
  <c r="C121" i="47" s="1"/>
  <c r="B121" i="47" s="1"/>
  <c r="C120" i="47" a="1"/>
  <c r="C120" i="47" s="1"/>
  <c r="B120" i="47" s="1"/>
  <c r="C119" i="47" a="1"/>
  <c r="C119" i="47" s="1"/>
  <c r="B119" i="47" s="1"/>
  <c r="C118" i="47" a="1"/>
  <c r="C118" i="47" s="1"/>
  <c r="B118" i="47" s="1"/>
  <c r="C115" i="47" a="1"/>
  <c r="C115" i="47" s="1"/>
  <c r="B115" i="47" s="1"/>
  <c r="C114" i="47" a="1"/>
  <c r="C114" i="47" s="1"/>
  <c r="B114" i="47" s="1"/>
  <c r="C113" i="47" a="1"/>
  <c r="C113" i="47" s="1"/>
  <c r="B113" i="47" s="1"/>
  <c r="C112" i="47" a="1"/>
  <c r="C112" i="47" s="1"/>
  <c r="B112" i="47" s="1"/>
  <c r="C111" i="47" a="1"/>
  <c r="C111" i="47" s="1"/>
  <c r="B111" i="47" s="1"/>
  <c r="C110" i="47" a="1"/>
  <c r="C110" i="47" s="1"/>
  <c r="B110" i="47" s="1"/>
  <c r="C109" i="47" a="1"/>
  <c r="C109" i="47" s="1"/>
  <c r="B109" i="47" s="1"/>
  <c r="C108" i="47" a="1"/>
  <c r="C108" i="47" s="1"/>
  <c r="B108" i="47" s="1"/>
  <c r="C107" i="47" a="1"/>
  <c r="C107" i="47" s="1"/>
  <c r="B107" i="47" s="1"/>
  <c r="C106" i="47" a="1"/>
  <c r="C106" i="47" s="1"/>
  <c r="B106" i="47" s="1"/>
  <c r="C105" i="47" a="1"/>
  <c r="C105" i="47" s="1"/>
  <c r="B105" i="47" s="1"/>
  <c r="C104" i="47" a="1"/>
  <c r="C104" i="47" s="1"/>
  <c r="B104" i="47" s="1"/>
  <c r="C103" i="47" a="1"/>
  <c r="C103" i="47" s="1"/>
  <c r="B103" i="47" s="1"/>
  <c r="C102" i="47" a="1"/>
  <c r="C102" i="47" s="1"/>
  <c r="B102" i="47" s="1"/>
  <c r="C99" i="47" a="1"/>
  <c r="C99" i="47" s="1"/>
  <c r="B99" i="47" s="1"/>
  <c r="C98" i="47" a="1"/>
  <c r="C98" i="47" s="1"/>
  <c r="B98" i="47" s="1"/>
  <c r="C97" i="47" a="1"/>
  <c r="C97" i="47" s="1"/>
  <c r="B97" i="47" s="1"/>
  <c r="C96" i="47" a="1"/>
  <c r="C96" i="47" s="1"/>
  <c r="B96" i="47" s="1"/>
  <c r="C95" i="47" a="1"/>
  <c r="C95" i="47" s="1"/>
  <c r="B95" i="47" s="1"/>
  <c r="C94" i="47" a="1"/>
  <c r="C94" i="47" s="1"/>
  <c r="B94" i="47" s="1"/>
  <c r="C93" i="47" a="1"/>
  <c r="C93" i="47" s="1"/>
  <c r="B93" i="47" s="1"/>
  <c r="C92" i="47" a="1"/>
  <c r="C92" i="47" s="1"/>
  <c r="B92" i="47" s="1"/>
  <c r="C91" i="47" a="1"/>
  <c r="C91" i="47" s="1"/>
  <c r="B91" i="47" s="1"/>
  <c r="C90" i="47" a="1"/>
  <c r="C90" i="47" s="1"/>
  <c r="B90" i="47" s="1"/>
  <c r="C89" i="47" a="1"/>
  <c r="C89" i="47" s="1"/>
  <c r="B89" i="47" s="1"/>
  <c r="C88" i="47" a="1"/>
  <c r="C88" i="47" s="1"/>
  <c r="B88" i="47" s="1"/>
  <c r="C87" i="47" a="1"/>
  <c r="C87" i="47" s="1"/>
  <c r="B87" i="47" s="1"/>
  <c r="C86" i="47" a="1"/>
  <c r="C86" i="47" s="1"/>
  <c r="B86" i="47" s="1"/>
  <c r="C83" i="47" a="1"/>
  <c r="C83" i="47" s="1"/>
  <c r="B83" i="47" s="1"/>
  <c r="C82" i="47" a="1"/>
  <c r="C82" i="47" s="1"/>
  <c r="B82" i="47" s="1"/>
  <c r="C81" i="47" a="1"/>
  <c r="C81" i="47" s="1"/>
  <c r="B81" i="47" s="1"/>
  <c r="C80" i="47" a="1"/>
  <c r="C80" i="47" s="1"/>
  <c r="B80" i="47" s="1"/>
  <c r="C79" i="47" a="1"/>
  <c r="C79" i="47" s="1"/>
  <c r="B79" i="47" s="1"/>
  <c r="C78" i="47" a="1"/>
  <c r="C78" i="47" s="1"/>
  <c r="B78" i="47" s="1"/>
  <c r="C77" i="47" a="1"/>
  <c r="C77" i="47" s="1"/>
  <c r="B77" i="47" s="1"/>
  <c r="C76" i="47" a="1"/>
  <c r="C76" i="47" s="1"/>
  <c r="B76" i="47" s="1"/>
  <c r="C75" i="47" a="1"/>
  <c r="C75" i="47" s="1"/>
  <c r="B75" i="47" s="1"/>
  <c r="C74" i="47" a="1"/>
  <c r="C74" i="47" s="1"/>
  <c r="B74" i="47" s="1"/>
  <c r="C73" i="47" a="1"/>
  <c r="C73" i="47" s="1"/>
  <c r="B73" i="47" s="1"/>
  <c r="C72" i="47" a="1"/>
  <c r="C72" i="47" s="1"/>
  <c r="B72" i="47" s="1"/>
  <c r="C71" i="47" a="1"/>
  <c r="C71" i="47" s="1"/>
  <c r="B71" i="47" s="1"/>
  <c r="C70" i="47" a="1"/>
  <c r="C70" i="47" s="1"/>
  <c r="B70" i="47" s="1"/>
  <c r="C67" i="47" a="1"/>
  <c r="C67" i="47" s="1"/>
  <c r="B67" i="47" s="1"/>
  <c r="C66" i="47" a="1"/>
  <c r="C66" i="47" s="1"/>
  <c r="B66" i="47" s="1"/>
  <c r="C65" i="47" a="1"/>
  <c r="C65" i="47" s="1"/>
  <c r="B65" i="47" s="1"/>
  <c r="C64" i="47" a="1"/>
  <c r="C64" i="47" s="1"/>
  <c r="B64" i="47" s="1"/>
  <c r="C63" i="47" a="1"/>
  <c r="C63" i="47" s="1"/>
  <c r="B63" i="47" s="1"/>
  <c r="C62" i="47" a="1"/>
  <c r="C62" i="47" s="1"/>
  <c r="B62" i="47" s="1"/>
  <c r="C61" i="47" a="1"/>
  <c r="C61" i="47" s="1"/>
  <c r="B61" i="47" s="1"/>
  <c r="C60" i="47" a="1"/>
  <c r="C60" i="47" s="1"/>
  <c r="B60" i="47" s="1"/>
  <c r="C59" i="47" a="1"/>
  <c r="C59" i="47" s="1"/>
  <c r="B59" i="47" s="1"/>
  <c r="C58" i="47" a="1"/>
  <c r="C58" i="47" s="1"/>
  <c r="B58" i="47" s="1"/>
  <c r="C57" i="47" a="1"/>
  <c r="C57" i="47" s="1"/>
  <c r="B57" i="47" s="1"/>
  <c r="C56" i="47" a="1"/>
  <c r="C56" i="47" s="1"/>
  <c r="B56" i="47" s="1"/>
  <c r="C55" i="47" a="1"/>
  <c r="C55" i="47" s="1"/>
  <c r="B55" i="47" s="1"/>
  <c r="C54" i="47" a="1"/>
  <c r="C54" i="47" s="1"/>
  <c r="B54" i="47" s="1"/>
  <c r="C51" i="47" a="1"/>
  <c r="C51" i="47" s="1"/>
  <c r="B51" i="47" s="1"/>
  <c r="C50" i="47" a="1"/>
  <c r="C50" i="47" s="1"/>
  <c r="B50" i="47" s="1"/>
  <c r="C49" i="47" a="1"/>
  <c r="C49" i="47" s="1"/>
  <c r="B49" i="47" s="1"/>
  <c r="C48" i="47" a="1"/>
  <c r="C48" i="47" s="1"/>
  <c r="B48" i="47" s="1"/>
  <c r="C47" i="47" a="1"/>
  <c r="C47" i="47" s="1"/>
  <c r="B47" i="47" s="1"/>
  <c r="C46" i="47" a="1"/>
  <c r="C46" i="47" s="1"/>
  <c r="B46" i="47" s="1"/>
  <c r="C45" i="47" a="1"/>
  <c r="C45" i="47" s="1"/>
  <c r="B45" i="47" s="1"/>
  <c r="C44" i="47" a="1"/>
  <c r="C44" i="47" s="1"/>
  <c r="B44" i="47" s="1"/>
  <c r="C43" i="47" a="1"/>
  <c r="C43" i="47" s="1"/>
  <c r="B43" i="47" s="1"/>
  <c r="C42" i="47" a="1"/>
  <c r="C42" i="47" s="1"/>
  <c r="B42" i="47" s="1"/>
  <c r="C41" i="47" a="1"/>
  <c r="C41" i="47" s="1"/>
  <c r="B41" i="47" s="1"/>
  <c r="C40" i="47" a="1"/>
  <c r="C40" i="47" s="1"/>
  <c r="B40" i="47" s="1"/>
  <c r="C39" i="47" a="1"/>
  <c r="C39" i="47" s="1"/>
  <c r="B39" i="47" s="1"/>
  <c r="C38" i="47" a="1"/>
  <c r="C38" i="47" s="1"/>
  <c r="B38" i="47" s="1"/>
  <c r="C34" i="47" a="1"/>
  <c r="C34" i="47" s="1"/>
  <c r="B34" i="47" s="1"/>
  <c r="C33" i="47" a="1"/>
  <c r="C33" i="47" s="1"/>
  <c r="B33" i="47" s="1"/>
  <c r="C32" i="47" a="1"/>
  <c r="C32" i="47" s="1"/>
  <c r="B32" i="47" s="1"/>
  <c r="C31" i="47" a="1"/>
  <c r="C31" i="47" s="1"/>
  <c r="B31" i="47" s="1"/>
  <c r="C30" i="47" a="1"/>
  <c r="C30" i="47" s="1"/>
  <c r="B30" i="47" s="1"/>
  <c r="C29" i="47" a="1"/>
  <c r="C29" i="47" s="1"/>
  <c r="B29" i="47" s="1"/>
  <c r="C28" i="47" a="1"/>
  <c r="C28" i="47" s="1"/>
  <c r="B28" i="47" s="1"/>
  <c r="C27" i="47" a="1"/>
  <c r="C27" i="47" s="1"/>
  <c r="B27" i="47" s="1"/>
  <c r="C26" i="47" a="1"/>
  <c r="C26" i="47" s="1"/>
  <c r="B26" i="47" s="1"/>
  <c r="C25" i="47" a="1"/>
  <c r="C25" i="47" s="1"/>
  <c r="B25" i="47" s="1"/>
  <c r="C24" i="47" a="1"/>
  <c r="C24" i="47" s="1"/>
  <c r="B24" i="47" s="1"/>
  <c r="C23" i="47" a="1"/>
  <c r="C23" i="47" s="1"/>
  <c r="B23" i="47" s="1"/>
  <c r="C22" i="47" a="1"/>
  <c r="C22" i="47" s="1"/>
  <c r="B22" i="47" s="1"/>
  <c r="C21" i="47" a="1"/>
  <c r="C21" i="47" s="1"/>
  <c r="B21" i="47" s="1"/>
  <c r="C16" i="47" a="1"/>
  <c r="C16" i="47" s="1"/>
  <c r="B16" i="47" s="1"/>
  <c r="C15" i="47" a="1"/>
  <c r="C15" i="47" s="1"/>
  <c r="B15" i="47" s="1"/>
  <c r="C14" i="47" a="1"/>
  <c r="C14" i="47" s="1"/>
  <c r="B14" i="47" s="1"/>
  <c r="C13" i="47" a="1"/>
  <c r="C13" i="47" s="1"/>
  <c r="B13" i="47" s="1"/>
  <c r="C12" i="47" a="1"/>
  <c r="C12" i="47" s="1"/>
  <c r="B12" i="47" s="1"/>
  <c r="C11" i="47" a="1"/>
  <c r="C11" i="47" s="1"/>
  <c r="B11" i="47" s="1"/>
  <c r="C10" i="47" a="1"/>
  <c r="C10" i="47" s="1"/>
  <c r="B10" i="47" s="1"/>
  <c r="C9" i="47" a="1"/>
  <c r="C9" i="47" s="1"/>
  <c r="B9" i="47" s="1"/>
  <c r="C8" i="47" a="1"/>
  <c r="C8" i="47" s="1"/>
  <c r="B8" i="47" s="1"/>
  <c r="C7" i="47" a="1"/>
  <c r="C7" i="47" s="1"/>
  <c r="B7" i="47" s="1"/>
  <c r="C6" i="47" a="1"/>
  <c r="C6" i="47" s="1"/>
  <c r="B6" i="47" s="1"/>
  <c r="C5" i="47" a="1"/>
  <c r="C5" i="47" s="1"/>
  <c r="B5" i="47" s="1"/>
  <c r="C4" i="47" a="1"/>
  <c r="C4" i="47" s="1"/>
  <c r="B4" i="47" s="1"/>
  <c r="C3" i="47" a="1"/>
  <c r="C3" i="47" s="1"/>
  <c r="B3" i="47" s="1"/>
  <c r="C51" i="46" a="1"/>
  <c r="C51" i="46" s="1"/>
  <c r="B51" i="46" s="1"/>
  <c r="C50" i="46" a="1"/>
  <c r="C50" i="46" s="1"/>
  <c r="B50" i="46" s="1"/>
  <c r="C49" i="46" a="1"/>
  <c r="C49" i="46" s="1"/>
  <c r="B49" i="46" s="1"/>
  <c r="C48" i="46" a="1"/>
  <c r="C48" i="46" s="1"/>
  <c r="B48" i="46" s="1"/>
  <c r="C47" i="46" a="1"/>
  <c r="C47" i="46" s="1"/>
  <c r="B47" i="46" s="1"/>
  <c r="C46" i="46" a="1"/>
  <c r="C46" i="46" s="1"/>
  <c r="B46" i="46" s="1"/>
  <c r="C45" i="46" a="1"/>
  <c r="C45" i="46" s="1"/>
  <c r="B45" i="46" s="1"/>
  <c r="C44" i="46" a="1"/>
  <c r="C44" i="46" s="1"/>
  <c r="B44" i="46" s="1"/>
  <c r="C43" i="46" a="1"/>
  <c r="C43" i="46" s="1"/>
  <c r="B43" i="46" s="1"/>
  <c r="C42" i="46" a="1"/>
  <c r="C42" i="46" s="1"/>
  <c r="B42" i="46" s="1"/>
  <c r="C41" i="46" a="1"/>
  <c r="C41" i="46" s="1"/>
  <c r="B41" i="46" s="1"/>
  <c r="C40" i="46" a="1"/>
  <c r="C40" i="46" s="1"/>
  <c r="B40" i="46" s="1"/>
  <c r="C39" i="46" a="1"/>
  <c r="C39" i="46" s="1"/>
  <c r="B39" i="46" s="1"/>
  <c r="C38" i="46" a="1"/>
  <c r="C38" i="46" s="1"/>
  <c r="B38" i="46" s="1"/>
  <c r="C34" i="46" a="1"/>
  <c r="C34" i="46" s="1"/>
  <c r="B34" i="46" s="1"/>
  <c r="C33" i="46" a="1"/>
  <c r="C33" i="46" s="1"/>
  <c r="B33" i="46" s="1"/>
  <c r="C32" i="46" a="1"/>
  <c r="C32" i="46" s="1"/>
  <c r="B32" i="46" s="1"/>
  <c r="C31" i="46" a="1"/>
  <c r="C31" i="46" s="1"/>
  <c r="B31" i="46" s="1"/>
  <c r="C30" i="46" a="1"/>
  <c r="C30" i="46" s="1"/>
  <c r="B30" i="46" s="1"/>
  <c r="C29" i="46" a="1"/>
  <c r="C29" i="46" s="1"/>
  <c r="B29" i="46" s="1"/>
  <c r="C28" i="46" a="1"/>
  <c r="C28" i="46" s="1"/>
  <c r="B28" i="46" s="1"/>
  <c r="C27" i="46" a="1"/>
  <c r="C27" i="46" s="1"/>
  <c r="B27" i="46" s="1"/>
  <c r="C26" i="46" a="1"/>
  <c r="C26" i="46" s="1"/>
  <c r="B26" i="46" s="1"/>
  <c r="C25" i="46" a="1"/>
  <c r="C25" i="46" s="1"/>
  <c r="B25" i="46" s="1"/>
  <c r="C24" i="46" a="1"/>
  <c r="C24" i="46" s="1"/>
  <c r="B24" i="46" s="1"/>
  <c r="C23" i="46" a="1"/>
  <c r="C23" i="46" s="1"/>
  <c r="B23" i="46" s="1"/>
  <c r="C22" i="46" a="1"/>
  <c r="C22" i="46" s="1"/>
  <c r="B22" i="46" s="1"/>
  <c r="C21" i="46" a="1"/>
  <c r="C21" i="46" s="1"/>
  <c r="B21" i="46" s="1"/>
  <c r="C16" i="46" a="1"/>
  <c r="C16" i="46" s="1"/>
  <c r="B16" i="46" s="1"/>
  <c r="C15" i="46" a="1"/>
  <c r="C15" i="46" s="1"/>
  <c r="B15" i="46" s="1"/>
  <c r="C14" i="46" a="1"/>
  <c r="C14" i="46" s="1"/>
  <c r="B14" i="46" s="1"/>
  <c r="C13" i="46" a="1"/>
  <c r="C13" i="46" s="1"/>
  <c r="B13" i="46" s="1"/>
  <c r="C12" i="46" a="1"/>
  <c r="C12" i="46" s="1"/>
  <c r="B12" i="46" s="1"/>
  <c r="C11" i="46" a="1"/>
  <c r="C11" i="46" s="1"/>
  <c r="B11" i="46" s="1"/>
  <c r="C10" i="46" a="1"/>
  <c r="C10" i="46" s="1"/>
  <c r="B10" i="46" s="1"/>
  <c r="C9" i="46" a="1"/>
  <c r="C9" i="46" s="1"/>
  <c r="B9" i="46" s="1"/>
  <c r="C8" i="46" a="1"/>
  <c r="C8" i="46" s="1"/>
  <c r="B8" i="46" s="1"/>
  <c r="C7" i="46" a="1"/>
  <c r="C7" i="46" s="1"/>
  <c r="B7" i="46" s="1"/>
  <c r="C6" i="46" a="1"/>
  <c r="C6" i="46" s="1"/>
  <c r="B6" i="46" s="1"/>
  <c r="C5" i="46" a="1"/>
  <c r="C5" i="46" s="1"/>
  <c r="B5" i="46" s="1"/>
  <c r="C4" i="46" a="1"/>
  <c r="C4" i="46" s="1"/>
  <c r="B4" i="46" s="1"/>
  <c r="C3" i="46" a="1"/>
  <c r="C3" i="46" s="1"/>
  <c r="B3" i="46" s="1"/>
  <c r="B5" i="61" l="1"/>
  <c r="B6" i="61"/>
  <c r="B14" i="61"/>
  <c r="B9" i="61"/>
  <c r="B4" i="61"/>
  <c r="B13" i="61"/>
  <c r="B8" i="61"/>
  <c r="B12" i="61"/>
  <c r="B16" i="61"/>
  <c r="B3" i="61"/>
  <c r="B7" i="61"/>
  <c r="B11" i="61"/>
  <c r="B15" i="61"/>
  <c r="B10" i="61"/>
  <c r="J26" i="57" a="1"/>
  <c r="J26" i="57" s="1"/>
  <c r="J23" i="57" a="1"/>
  <c r="J23" i="57" s="1"/>
  <c r="J25" i="57" a="1"/>
  <c r="J25" i="57" s="1"/>
  <c r="J22" i="57" a="1"/>
  <c r="J22" i="57" s="1"/>
  <c r="J28" i="57" a="1"/>
  <c r="J28" i="57" s="1"/>
  <c r="J24" i="57" a="1"/>
  <c r="J24" i="57" s="1"/>
  <c r="J18" i="57" a="1"/>
  <c r="J18" i="57" s="1"/>
  <c r="C3" i="57" a="1"/>
  <c r="C3" i="57" s="1"/>
  <c r="B3" i="57" s="1"/>
  <c r="C8" i="57" a="1"/>
  <c r="C8" i="57" s="1"/>
  <c r="B8" i="57" s="1"/>
  <c r="C4" i="57" a="1"/>
  <c r="C4" i="57" s="1"/>
  <c r="B4" i="57" s="1"/>
  <c r="C9" i="57" a="1"/>
  <c r="C9" i="57" s="1"/>
  <c r="B9" i="57" s="1"/>
  <c r="C6" i="57" a="1"/>
  <c r="C6" i="57" s="1"/>
  <c r="B6" i="57" s="1"/>
  <c r="C10" i="57" a="1"/>
  <c r="C10" i="57" s="1"/>
  <c r="B10" i="57" s="1"/>
  <c r="C5" i="57" a="1"/>
  <c r="C5" i="57" s="1"/>
  <c r="B5" i="57" s="1"/>
  <c r="C7" i="57" a="1"/>
  <c r="C7" i="57" s="1"/>
  <c r="B7" i="5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9FD9C73-6E85-4F37-B456-B8014551F410}" keepAlive="1" name="Zapytanie — Tabela1" description="Połączenie z zapytaniem „Tabela1” w skoroszycie." type="5" refreshedVersion="0" background="1">
    <dbPr connection="Provider=Microsoft.Mashup.OleDb.1;Data Source=$Workbook$;Location=Tabela1;Extended Properties=&quot;&quot;" command="SELECT * FROM [Tabela1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<sst xmlns="http://schemas.openxmlformats.org/spreadsheetml/2006/main" count="14396" uniqueCount="3779">
  <si>
    <t>PRZYSZŁO</t>
  </si>
  <si>
    <t>NR LISTU*</t>
  </si>
  <si>
    <t>DATA ZAKUPU</t>
  </si>
  <si>
    <t>NAZWA</t>
  </si>
  <si>
    <t>NUMER SERYJNY</t>
  </si>
  <si>
    <t>DOSTAWCA</t>
  </si>
  <si>
    <t>NR. FAKTURY ZAKUPU</t>
  </si>
  <si>
    <t>KLIENT</t>
  </si>
  <si>
    <t>KOMENTARZ</t>
  </si>
  <si>
    <t>TRANSPORT PRYWATNY</t>
  </si>
  <si>
    <t>CSE-512F-350B</t>
  </si>
  <si>
    <t>C5120LJ19NB1621</t>
  </si>
  <si>
    <t>SUPERMICRO</t>
  </si>
  <si>
    <t>SERWER senetic xxxxx01</t>
  </si>
  <si>
    <t>PWS-351-1H</t>
  </si>
  <si>
    <t>P3511CK02CL1336</t>
  </si>
  <si>
    <t>UM20BS004692</t>
  </si>
  <si>
    <t>RSC-RR1U-E16</t>
  </si>
  <si>
    <t>VR201S009826</t>
  </si>
  <si>
    <t>C5120LJ19NB1619</t>
  </si>
  <si>
    <t>SERWER senetic xxxxx02</t>
  </si>
  <si>
    <t>P3511CK02CL1339</t>
  </si>
  <si>
    <t>UM20BS004756</t>
  </si>
  <si>
    <t>VR207S001820</t>
  </si>
  <si>
    <t>C5120LJ19NB1624</t>
  </si>
  <si>
    <t>SERWER senetic xxxxx03</t>
  </si>
  <si>
    <t>P3511CK02CL1299</t>
  </si>
  <si>
    <t>UM20BS004745</t>
  </si>
  <si>
    <t>VR207S001817</t>
  </si>
  <si>
    <t>C5120LJ19NB1594</t>
  </si>
  <si>
    <t>SERWER senetic xxxxx04</t>
  </si>
  <si>
    <t>P3511CK02CL0215</t>
  </si>
  <si>
    <t>UM20BS004686</t>
  </si>
  <si>
    <t>VR207S001816</t>
  </si>
  <si>
    <t>C5120LJ19NB1623</t>
  </si>
  <si>
    <t>SERWER senetic xxxxx05</t>
  </si>
  <si>
    <t>P3511CK02CL1335</t>
  </si>
  <si>
    <t>UM20BS004742</t>
  </si>
  <si>
    <t>VR207S001822</t>
  </si>
  <si>
    <t>C5120LJ19NB1622</t>
  </si>
  <si>
    <t>SERWER senetic xxxxx06</t>
  </si>
  <si>
    <t>P3511CK02CL0222</t>
  </si>
  <si>
    <t>UM20BS004695</t>
  </si>
  <si>
    <t>VR207S001818</t>
  </si>
  <si>
    <t>C5120LJ19NB1598</t>
  </si>
  <si>
    <t>SERWER senetic xxxxx07</t>
  </si>
  <si>
    <t>P3511CK02CL0217</t>
  </si>
  <si>
    <t>UM20BS004685</t>
  </si>
  <si>
    <t>VR207S001819</t>
  </si>
  <si>
    <t>C5120LJ19NB1615</t>
  </si>
  <si>
    <t>SERWER senetic xxxxx08</t>
  </si>
  <si>
    <t>P3511CK02CL1325</t>
  </si>
  <si>
    <t>UM20BS004740</t>
  </si>
  <si>
    <t>VR207S001827</t>
  </si>
  <si>
    <t>UM20BS004765</t>
  </si>
  <si>
    <t>SERWER senetic xxxxx09</t>
  </si>
  <si>
    <t>C5120LJ19NB1614</t>
  </si>
  <si>
    <t>P3511CK02CL0227</t>
  </si>
  <si>
    <t>VR207S001828</t>
  </si>
  <si>
    <t>UM20BS004734</t>
  </si>
  <si>
    <t>SERWER senetic xxxxx10</t>
  </si>
  <si>
    <t>C5120LJ19NB1616</t>
  </si>
  <si>
    <t>P3511CK02CL1324</t>
  </si>
  <si>
    <t>VR207S001829</t>
  </si>
  <si>
    <t>UM20BS004758</t>
  </si>
  <si>
    <t>SERWER senetic xxxxx11</t>
  </si>
  <si>
    <t>C5120LJ19NB1617</t>
  </si>
  <si>
    <t>P3511CK02CL1338</t>
  </si>
  <si>
    <t>VR207S001826</t>
  </si>
  <si>
    <t>UM20BS004722</t>
  </si>
  <si>
    <t>SERWER senetic xxxxx12</t>
  </si>
  <si>
    <t>C5120LJ19NB1618</t>
  </si>
  <si>
    <t>P3511CK02CL1340</t>
  </si>
  <si>
    <t>VR207S001824</t>
  </si>
  <si>
    <t>SERWER senetic xxxxx13</t>
  </si>
  <si>
    <t>UM20BS004721</t>
  </si>
  <si>
    <t>C5120LJ19NB1613</t>
  </si>
  <si>
    <t>P3511CK02CL0226</t>
  </si>
  <si>
    <t>VR207S001821</t>
  </si>
  <si>
    <t>C5120LJ19NB1628</t>
  </si>
  <si>
    <t>SERWER senetic xxxxx14</t>
  </si>
  <si>
    <t>P3511CK02CL1332</t>
  </si>
  <si>
    <t>UM20BS004746</t>
  </si>
  <si>
    <t>VR207S001830</t>
  </si>
  <si>
    <t>C5120LJ19NB1629</t>
  </si>
  <si>
    <t>SERWER senetic xxxxx15</t>
  </si>
  <si>
    <t>P3511CK02CL1331</t>
  </si>
  <si>
    <t>UM20BS004747</t>
  </si>
  <si>
    <t>VR207S001825</t>
  </si>
  <si>
    <t>C5120LJ19NB1630</t>
  </si>
  <si>
    <t>SERWER senetic xxxxx16</t>
  </si>
  <si>
    <t>P3511CK02CL0228</t>
  </si>
  <si>
    <t>UM20BS004748</t>
  </si>
  <si>
    <t>VR201S009830</t>
  </si>
  <si>
    <t>C5120LJ19NB1627</t>
  </si>
  <si>
    <t>SERWER senetic xxxxx17</t>
  </si>
  <si>
    <t>P3511CK02CL1333</t>
  </si>
  <si>
    <t>UM20BS004744</t>
  </si>
  <si>
    <t>VR201S009827</t>
  </si>
  <si>
    <t>C5120LJ19NB1626</t>
  </si>
  <si>
    <t>SERWER senetic xxxxx18</t>
  </si>
  <si>
    <t>P3511CK02CL1334</t>
  </si>
  <si>
    <t>UM20BS004700</t>
  </si>
  <si>
    <t>VR201S009828</t>
  </si>
  <si>
    <t>C5120LJ19NB1625</t>
  </si>
  <si>
    <t>SERWER senetic xxxxx19</t>
  </si>
  <si>
    <t>P3511CK02CL1300</t>
  </si>
  <si>
    <t>UM20AS004967</t>
  </si>
  <si>
    <t>VR201S009829</t>
  </si>
  <si>
    <t>DATA WYSYŁKI</t>
  </si>
  <si>
    <t>DATA SPRZEDAŻY</t>
  </si>
  <si>
    <t>M378A2G43AB3-CWE</t>
  </si>
  <si>
    <t>SNH814</t>
  </si>
  <si>
    <t>MemorySolution</t>
  </si>
  <si>
    <t>SNH815</t>
  </si>
  <si>
    <t>SNH816</t>
  </si>
  <si>
    <t>SNH817</t>
  </si>
  <si>
    <t>SNH818</t>
  </si>
  <si>
    <t>SNH819</t>
  </si>
  <si>
    <t>SNH820</t>
  </si>
  <si>
    <t>SNH821</t>
  </si>
  <si>
    <t>SNH822</t>
  </si>
  <si>
    <t>SNH823</t>
  </si>
  <si>
    <t>SNH824</t>
  </si>
  <si>
    <t>SNH825</t>
  </si>
  <si>
    <t>SNH826</t>
  </si>
  <si>
    <t>SNH827</t>
  </si>
  <si>
    <t>SNH828</t>
  </si>
  <si>
    <t>SNH829</t>
  </si>
  <si>
    <t>SNH830</t>
  </si>
  <si>
    <t>SNH831</t>
  </si>
  <si>
    <t>SNH832</t>
  </si>
  <si>
    <t>SNH833</t>
  </si>
  <si>
    <t>SNH834</t>
  </si>
  <si>
    <t>SNH835</t>
  </si>
  <si>
    <t>SNH836</t>
  </si>
  <si>
    <t>SNH837</t>
  </si>
  <si>
    <t>SNH838</t>
  </si>
  <si>
    <t>SNH839</t>
  </si>
  <si>
    <t>SNH840</t>
  </si>
  <si>
    <t>SNH841</t>
  </si>
  <si>
    <t>SNH842</t>
  </si>
  <si>
    <t>SNH843</t>
  </si>
  <si>
    <t>SNH844</t>
  </si>
  <si>
    <t>SNH845</t>
  </si>
  <si>
    <t>SNH846</t>
  </si>
  <si>
    <t>SNH847</t>
  </si>
  <si>
    <t>SNH848</t>
  </si>
  <si>
    <t>SNH849</t>
  </si>
  <si>
    <t>SNH850</t>
  </si>
  <si>
    <t>SNH851</t>
  </si>
  <si>
    <t>SNH852</t>
  </si>
  <si>
    <t>SNH853</t>
  </si>
  <si>
    <t>SNH854</t>
  </si>
  <si>
    <t>SNH855</t>
  </si>
  <si>
    <t>SNH856</t>
  </si>
  <si>
    <t>SNH857</t>
  </si>
  <si>
    <t>SNH858</t>
  </si>
  <si>
    <t>SNH859</t>
  </si>
  <si>
    <t>SNH860</t>
  </si>
  <si>
    <t>SNH861</t>
  </si>
  <si>
    <t>SNH862</t>
  </si>
  <si>
    <t>SNH863</t>
  </si>
  <si>
    <t>SNH864</t>
  </si>
  <si>
    <t>SNH865</t>
  </si>
  <si>
    <t>SNH866</t>
  </si>
  <si>
    <t>SNH867</t>
  </si>
  <si>
    <t>SNH868</t>
  </si>
  <si>
    <t>SNH869</t>
  </si>
  <si>
    <t>SNH870</t>
  </si>
  <si>
    <t>SNH871</t>
  </si>
  <si>
    <t>SNH872</t>
  </si>
  <si>
    <t>SNH873</t>
  </si>
  <si>
    <t>SNH874</t>
  </si>
  <si>
    <t>SNH875</t>
  </si>
  <si>
    <t>SNH876</t>
  </si>
  <si>
    <t>SNH877</t>
  </si>
  <si>
    <t>SNH878</t>
  </si>
  <si>
    <t>SNH879</t>
  </si>
  <si>
    <t>SNH880</t>
  </si>
  <si>
    <t>SNH881</t>
  </si>
  <si>
    <t>SNH882</t>
  </si>
  <si>
    <t>SNH883</t>
  </si>
  <si>
    <t>SNH884</t>
  </si>
  <si>
    <t>SNH885</t>
  </si>
  <si>
    <t>SNH886</t>
  </si>
  <si>
    <t>SNH887</t>
  </si>
  <si>
    <t>SNH888</t>
  </si>
  <si>
    <t>SNH889</t>
  </si>
  <si>
    <t>MBD-X12SCZ-F</t>
  </si>
  <si>
    <t>INTEL CORE I9-10900</t>
  </si>
  <si>
    <t>MTFDHBA256TCK1AS</t>
  </si>
  <si>
    <t>Numery seryjne do gwarancji</t>
  </si>
  <si>
    <t>Instrukcja :)</t>
  </si>
  <si>
    <t>Numery seryjne powinny uzupełnć się samoczynnie, jeżeli brak wstawiane są "-----".
Niestety wyszukiwarka nie jest inteligentna, jeżeli jest litwrówka w pozycjach (modele/ part number) niestety program nie wyświetli odpowiedniego numeru seryjnego.
Przykład, jeżeli wyszukiwan jest płyta X12SC-F, lecz w tabeli, produkcja jest płyta X12SCZ-F-B, numer nie sotanie znaleziony.
kwestia dopracowania :)
SERWER Senetic xxxxx01 odpowiada, komentarzowi z tabeli, na jego pdstawie jesteśmy w stanie przypasować numery do danego serwera.
po zakończeniu wystarczy już tylko skopiować a następnie wkleić do gwarancji.
wiele numerów seryjnych, będzie wypisane po przecinku, jak w przykładzie z pamięciami.
należy pamiętać, iż przy przeciąganiu zmienią się numery komurek, nalezy zwrócić na to uwagę przy większej ilości podzespołów.</t>
  </si>
  <si>
    <t>MegaRaid SAS 9341-4i  05-26105-00</t>
  </si>
  <si>
    <t>SP00903226</t>
  </si>
  <si>
    <t>Techdata</t>
  </si>
  <si>
    <t>W serwerze xyz001</t>
  </si>
  <si>
    <t>1Z0V68F46848026774</t>
  </si>
  <si>
    <t>1W10002</t>
  </si>
  <si>
    <t>WCC6N4EDLJN1</t>
  </si>
  <si>
    <t>Action</t>
  </si>
  <si>
    <t>FA/ZA-21/00026281</t>
  </si>
  <si>
    <t>WCC6N2USNP4X</t>
  </si>
  <si>
    <t>WCC6N0CL67L5</t>
  </si>
  <si>
    <t>WCC6N3XT9LZK</t>
  </si>
  <si>
    <t>Transport prywatny</t>
  </si>
  <si>
    <t>MBD-X11SCL-F-B</t>
  </si>
  <si>
    <t>VM204S012045</t>
  </si>
  <si>
    <t>Supermicro</t>
  </si>
  <si>
    <t>CSE-733TQ-500B</t>
  </si>
  <si>
    <t>C7330LJ20M80041</t>
  </si>
  <si>
    <t>M391A4G43AB1-CVF</t>
  </si>
  <si>
    <t>SNH525</t>
  </si>
  <si>
    <t>MEMORYSOLUTION</t>
  </si>
  <si>
    <t>SNH526</t>
  </si>
  <si>
    <t>PWS-502-PQ</t>
  </si>
  <si>
    <t>P502P0K13DA4965</t>
  </si>
  <si>
    <t>JJD000034728811682000011</t>
  </si>
  <si>
    <t>BX8070110900</t>
  </si>
  <si>
    <t>80S154F301609</t>
  </si>
  <si>
    <t>Tech Data Polska</t>
  </si>
  <si>
    <t>transport prywatny</t>
  </si>
  <si>
    <t>19362AE3B5BF</t>
  </si>
  <si>
    <t>HDS-MMN-MTFDHBA256TCK1</t>
  </si>
  <si>
    <t>20442B340CD0</t>
  </si>
  <si>
    <t>20442B340CCA</t>
  </si>
  <si>
    <t>20442B340D01</t>
  </si>
  <si>
    <t>20442B340CDF</t>
  </si>
  <si>
    <t>20442B340D0E</t>
  </si>
  <si>
    <t>20442B34093A</t>
  </si>
  <si>
    <t>20442B3409D4</t>
  </si>
  <si>
    <t>20442B340A27</t>
  </si>
  <si>
    <t>20442B340D1E</t>
  </si>
  <si>
    <t>20442B340D1F</t>
  </si>
  <si>
    <t>20442B3409F8</t>
  </si>
  <si>
    <t>20442B3409D2</t>
  </si>
  <si>
    <t>19362AE3B5B6</t>
  </si>
  <si>
    <t>19362AE3B5D2</t>
  </si>
  <si>
    <t>19362AE3AEDA</t>
  </si>
  <si>
    <t>19362AE3B3EF</t>
  </si>
  <si>
    <t>19362AE3B72A</t>
  </si>
  <si>
    <t>19362AE3B1BF</t>
  </si>
  <si>
    <t>80404CP300383</t>
  </si>
  <si>
    <t>80NK999804755</t>
  </si>
  <si>
    <t>80M472Y801678</t>
  </si>
  <si>
    <t>80S154F300918</t>
  </si>
  <si>
    <t>80M472Y804614</t>
  </si>
  <si>
    <t>80S154F302826</t>
  </si>
  <si>
    <t>80M472Y804076</t>
  </si>
  <si>
    <t>80S154F300239</t>
  </si>
  <si>
    <t>80S154F300139</t>
  </si>
  <si>
    <t>80M472Y801626</t>
  </si>
  <si>
    <t>80S154F300729</t>
  </si>
  <si>
    <t>80S154F301839</t>
  </si>
  <si>
    <t>803FY44600148</t>
  </si>
  <si>
    <t>80M472Y804161</t>
  </si>
  <si>
    <t>80S154F301276</t>
  </si>
  <si>
    <t>80M472Y804149</t>
  </si>
  <si>
    <t>80S154F300994</t>
  </si>
  <si>
    <t>80S154F300159</t>
  </si>
  <si>
    <t>INTEL XEON E-2288G</t>
  </si>
  <si>
    <t xml:space="preserve">X049K515 00480                             </t>
  </si>
  <si>
    <t>AB</t>
  </si>
  <si>
    <t>E2034459</t>
  </si>
  <si>
    <t>nazwa zzzz15</t>
  </si>
  <si>
    <t xml:space="preserve">X049K515 02370                             </t>
  </si>
  <si>
    <t>nazwa zzzz18</t>
  </si>
  <si>
    <t xml:space="preserve">X049K515 01268                             </t>
  </si>
  <si>
    <t>nazwa zzzz16</t>
  </si>
  <si>
    <t xml:space="preserve">X049K515 02234                             </t>
  </si>
  <si>
    <t>nazwa zzzz19</t>
  </si>
  <si>
    <t xml:space="preserve">X049K515 00133                             </t>
  </si>
  <si>
    <t>nazwa zzzz14</t>
  </si>
  <si>
    <t xml:space="preserve">X049K515 02358                             </t>
  </si>
  <si>
    <t>nazwa zzzz17</t>
  </si>
  <si>
    <t xml:space="preserve">X049K515 02244                             </t>
  </si>
  <si>
    <t>nazwa zzzz20</t>
  </si>
  <si>
    <t>MBD-X11SCW-F-B</t>
  </si>
  <si>
    <t>ZM20CS006781</t>
  </si>
  <si>
    <t>nazwa zzzz01</t>
  </si>
  <si>
    <t>WM206S010865</t>
  </si>
  <si>
    <t>WM206S010835</t>
  </si>
  <si>
    <t>WM206S010808</t>
  </si>
  <si>
    <t>WM206S010720</t>
  </si>
  <si>
    <t>WM206S010674</t>
  </si>
  <si>
    <t>WM206S011384</t>
  </si>
  <si>
    <t>nazwa zzzz11</t>
  </si>
  <si>
    <t>WM206S011396</t>
  </si>
  <si>
    <t>WM206S011426</t>
  </si>
  <si>
    <t>nazwa zzzz12</t>
  </si>
  <si>
    <t>WM206S011437</t>
  </si>
  <si>
    <t>RSC-R1UW-E8R</t>
  </si>
  <si>
    <t>VR207S006528</t>
  </si>
  <si>
    <t>VR207S006532</t>
  </si>
  <si>
    <t>VR207S006527</t>
  </si>
  <si>
    <t>VR207S006521</t>
  </si>
  <si>
    <t>VR207S006529</t>
  </si>
  <si>
    <t>VR207S006513</t>
  </si>
  <si>
    <t>nazwa zzzz08</t>
  </si>
  <si>
    <t>VR207S006512</t>
  </si>
  <si>
    <t>nazwa zzzz09</t>
  </si>
  <si>
    <t>VR207S006517</t>
  </si>
  <si>
    <t>nazwa zzzz02</t>
  </si>
  <si>
    <t>VR207S006511</t>
  </si>
  <si>
    <t>nazwa zzzz07</t>
  </si>
  <si>
    <t>VR207S006518</t>
  </si>
  <si>
    <t>nazwa zzzz10</t>
  </si>
  <si>
    <t>VR207S006514</t>
  </si>
  <si>
    <t>nazwa zzzz03</t>
  </si>
  <si>
    <t>VR207S006515</t>
  </si>
  <si>
    <t>nazwa zzzz04</t>
  </si>
  <si>
    <t>VR207S006519</t>
  </si>
  <si>
    <t>nazwa zzzz06</t>
  </si>
  <si>
    <t>VR207S006534</t>
  </si>
  <si>
    <t>VR207S006533</t>
  </si>
  <si>
    <t>nazwa zzzz13</t>
  </si>
  <si>
    <t>VR207S006531</t>
  </si>
  <si>
    <t>VR207S006530</t>
  </si>
  <si>
    <t>VR207S006522</t>
  </si>
  <si>
    <t>RSC-W-68</t>
  </si>
  <si>
    <t>ZR20BS000244</t>
  </si>
  <si>
    <t>ZR20BS000642</t>
  </si>
  <si>
    <t>ZR20BS000746</t>
  </si>
  <si>
    <t>ZR20BS000736</t>
  </si>
  <si>
    <t>ZR20BS000816</t>
  </si>
  <si>
    <t>ZR20BS000475</t>
  </si>
  <si>
    <t>ZR20BS000489</t>
  </si>
  <si>
    <t>ZR20BS000422</t>
  </si>
  <si>
    <t>ZR20BS000818</t>
  </si>
  <si>
    <t>ZR20BS000421</t>
  </si>
  <si>
    <t>ZR20BS000513</t>
  </si>
  <si>
    <t>ZR20BS000331</t>
  </si>
  <si>
    <t>ZR20BS000094</t>
  </si>
  <si>
    <t>ZR20BS000517</t>
  </si>
  <si>
    <t>ZR20BS000560</t>
  </si>
  <si>
    <t>ZR20BS000643</t>
  </si>
  <si>
    <t>ZR20BS000743</t>
  </si>
  <si>
    <t>ZR20BS000564</t>
  </si>
  <si>
    <t>CSE-815TQC-R504WB2</t>
  </si>
  <si>
    <t>C8150LJ20NU0316</t>
  </si>
  <si>
    <t>nazwa zzzz05</t>
  </si>
  <si>
    <t>P5041CK36KB2037</t>
  </si>
  <si>
    <t>P5041CK36KB2040</t>
  </si>
  <si>
    <t>EB205S003602</t>
  </si>
  <si>
    <t>C8150LJ20NU0299</t>
  </si>
  <si>
    <t>P5041CK36KB2022</t>
  </si>
  <si>
    <t>P5041CK36KB2021</t>
  </si>
  <si>
    <t>EB205S003613</t>
  </si>
  <si>
    <t>C8150LJ20NU0302</t>
  </si>
  <si>
    <t>P5041CK36KB2029</t>
  </si>
  <si>
    <t>P5041CK36KB2030</t>
  </si>
  <si>
    <t>EB205S003619</t>
  </si>
  <si>
    <t>C8150LJ20NU0300</t>
  </si>
  <si>
    <t>P5041CK36KB2024</t>
  </si>
  <si>
    <t>P5041CK36KB2023</t>
  </si>
  <si>
    <t>EB205S003616</t>
  </si>
  <si>
    <t>C8150LJ20NU0318</t>
  </si>
  <si>
    <t>P5041CK36KB2027</t>
  </si>
  <si>
    <t>P5041CK36KB2028</t>
  </si>
  <si>
    <t>EB205S003615</t>
  </si>
  <si>
    <t>X710DA2BLK</t>
  </si>
  <si>
    <t>40A6B7394D580043720ADJ11367005</t>
  </si>
  <si>
    <t>40A6B73951D00043720ADJ11367005</t>
  </si>
  <si>
    <t>40A6B73944780043720ADJ11367005</t>
  </si>
  <si>
    <t>40A6B73954FC0043720ADJ11367005</t>
  </si>
  <si>
    <t>40A6B73940740043720ADJ11367005</t>
  </si>
  <si>
    <t>40A6B73955180043720ADJ11367005</t>
  </si>
  <si>
    <t>40A6B739447C0043720ADJ11367005</t>
  </si>
  <si>
    <t>40A6B73950400043720ADJ11367005</t>
  </si>
  <si>
    <t>C8150LJ50P00179</t>
  </si>
  <si>
    <t>P5041CK49NB0612</t>
  </si>
  <si>
    <t>P5041CK49NB0112</t>
  </si>
  <si>
    <t>EB205S004315</t>
  </si>
  <si>
    <t>C8150LJ50P00190</t>
  </si>
  <si>
    <t>P5041CK49NB0629</t>
  </si>
  <si>
    <t>P5041CK49NB0623</t>
  </si>
  <si>
    <t>EB205S004386</t>
  </si>
  <si>
    <t>C8150LJ50P00188</t>
  </si>
  <si>
    <t>P5041CK49NB0627</t>
  </si>
  <si>
    <t>P5041CK49NB0626</t>
  </si>
  <si>
    <t>EB205S004383</t>
  </si>
  <si>
    <t>C8150LJ50P00187</t>
  </si>
  <si>
    <t>P5041CK49NB0630</t>
  </si>
  <si>
    <t>P5041CK49NB0625</t>
  </si>
  <si>
    <t>EB205S004382</t>
  </si>
  <si>
    <t>C8150LJ50P00186</t>
  </si>
  <si>
    <t>P5041CK49NB0624</t>
  </si>
  <si>
    <t>P5041CK49NB0628</t>
  </si>
  <si>
    <t>EB205S004381</t>
  </si>
  <si>
    <t>C8150LJ50P00185</t>
  </si>
  <si>
    <t>P5041CK49NB0631</t>
  </si>
  <si>
    <t>P5041CK49NB0632</t>
  </si>
  <si>
    <t>EB205S004320</t>
  </si>
  <si>
    <t>C8150LJ50P00184</t>
  </si>
  <si>
    <t>P5041CK49NB0120</t>
  </si>
  <si>
    <t>P5041CK49NB0635</t>
  </si>
  <si>
    <t>EB205S004319</t>
  </si>
  <si>
    <t>C8150LJ50P00182</t>
  </si>
  <si>
    <t>P5041CK49NB0634</t>
  </si>
  <si>
    <t>P5041CK49NB0633</t>
  </si>
  <si>
    <t>EB205S004317</t>
  </si>
  <si>
    <t>C8150LJ50P00178</t>
  </si>
  <si>
    <t>P5041CK49NB0113</t>
  </si>
  <si>
    <t>P5041CK49NB0114</t>
  </si>
  <si>
    <t>EB205S004314</t>
  </si>
  <si>
    <t>C8150LJ50P00177</t>
  </si>
  <si>
    <t>P5041CK49NB0115</t>
  </si>
  <si>
    <t>P5041CK49NB0640</t>
  </si>
  <si>
    <t>EB205S004313</t>
  </si>
  <si>
    <t>C8150LJ50P00175</t>
  </si>
  <si>
    <t>P5041CK49NB0101</t>
  </si>
  <si>
    <t>P5041CK49NB0108</t>
  </si>
  <si>
    <t>EB205S004308</t>
  </si>
  <si>
    <t>C8150LJ50P00174</t>
  </si>
  <si>
    <t>P5041CK49NB0116</t>
  </si>
  <si>
    <t>P5041CK49NB0110</t>
  </si>
  <si>
    <t>EB205S004309</t>
  </si>
  <si>
    <t>C8150LJ50P00173</t>
  </si>
  <si>
    <t>P5041CK49NB0117</t>
  </si>
  <si>
    <t>P5041CK49NB0109</t>
  </si>
  <si>
    <t>EB205S004307</t>
  </si>
  <si>
    <t>C8150LJ50P00172</t>
  </si>
  <si>
    <t>P5041CK49NB0106</t>
  </si>
  <si>
    <t>P5041CK49NB0107</t>
  </si>
  <si>
    <t>EB205S004310</t>
  </si>
  <si>
    <t>C8150LJ50P00171</t>
  </si>
  <si>
    <t>P5041CK49NB0118</t>
  </si>
  <si>
    <t>P5041CK49NB0119</t>
  </si>
  <si>
    <t>EB205S004306</t>
  </si>
  <si>
    <t>1Z0V68F46848043406</t>
  </si>
  <si>
    <t>40A6B739F6900043820ADJ11367005</t>
  </si>
  <si>
    <t>40A6B739F0A40043820ADJ11367005</t>
  </si>
  <si>
    <t>40A6B739EFA80043820ADJ11367005</t>
  </si>
  <si>
    <t>40A6B739EC0C0043820ADJ11367005</t>
  </si>
  <si>
    <t>40A6B739EDC40043820ADJ11367005</t>
  </si>
  <si>
    <t>1Z44VV086842582984</t>
  </si>
  <si>
    <t>IN4T32GEERSX</t>
  </si>
  <si>
    <t>SNH989</t>
  </si>
  <si>
    <t>Integral</t>
  </si>
  <si>
    <t>SNH990</t>
  </si>
  <si>
    <t>SNH991</t>
  </si>
  <si>
    <t>SNH992</t>
  </si>
  <si>
    <t>SNH993</t>
  </si>
  <si>
    <t>SNH994</t>
  </si>
  <si>
    <t>SNH995</t>
  </si>
  <si>
    <t>SNH996</t>
  </si>
  <si>
    <t>SNH997</t>
  </si>
  <si>
    <t>SNH998</t>
  </si>
  <si>
    <t>SNH999</t>
  </si>
  <si>
    <t>SNI000</t>
  </si>
  <si>
    <t>SNI001</t>
  </si>
  <si>
    <t>SNI002</t>
  </si>
  <si>
    <t>SNI003</t>
  </si>
  <si>
    <t>SNI004</t>
  </si>
  <si>
    <t>SNI005</t>
  </si>
  <si>
    <t>SNI006</t>
  </si>
  <si>
    <t>SNI007</t>
  </si>
  <si>
    <t>SNI008</t>
  </si>
  <si>
    <t>SNI009</t>
  </si>
  <si>
    <t>SNI010</t>
  </si>
  <si>
    <t>SNI011</t>
  </si>
  <si>
    <t>SNI012</t>
  </si>
  <si>
    <t>SNI013</t>
  </si>
  <si>
    <t>SNI014</t>
  </si>
  <si>
    <t>SNI015</t>
  </si>
  <si>
    <t>SNI016</t>
  </si>
  <si>
    <t>SNI017</t>
  </si>
  <si>
    <t>SNI018</t>
  </si>
  <si>
    <t>SNI019</t>
  </si>
  <si>
    <t>SNI020</t>
  </si>
  <si>
    <t>SNI021</t>
  </si>
  <si>
    <t>SNI022</t>
  </si>
  <si>
    <t>SNI023</t>
  </si>
  <si>
    <t>SNI024</t>
  </si>
  <si>
    <t>SNI025</t>
  </si>
  <si>
    <t>SNI026</t>
  </si>
  <si>
    <t>SNI027</t>
  </si>
  <si>
    <t>SNI028</t>
  </si>
  <si>
    <t>SNI029</t>
  </si>
  <si>
    <t>SNI030</t>
  </si>
  <si>
    <t>SNI031</t>
  </si>
  <si>
    <t>1Z44VV086841504177</t>
  </si>
  <si>
    <t>SNI032</t>
  </si>
  <si>
    <t>SNI033</t>
  </si>
  <si>
    <t>SNI034</t>
  </si>
  <si>
    <t>SNI035</t>
  </si>
  <si>
    <t>SNI036</t>
  </si>
  <si>
    <t>SNI037</t>
  </si>
  <si>
    <t>SNI038</t>
  </si>
  <si>
    <t>SNI039</t>
  </si>
  <si>
    <t>SNI040</t>
  </si>
  <si>
    <t>SNI041</t>
  </si>
  <si>
    <t>SNI042</t>
  </si>
  <si>
    <t>SNI043</t>
  </si>
  <si>
    <t>SNI044</t>
  </si>
  <si>
    <t>SNI045</t>
  </si>
  <si>
    <t>SNI046</t>
  </si>
  <si>
    <t>SNI047</t>
  </si>
  <si>
    <t>SNI048</t>
  </si>
  <si>
    <t>SNI049</t>
  </si>
  <si>
    <t>SNI050</t>
  </si>
  <si>
    <t>SNI051</t>
  </si>
  <si>
    <t>SNI052</t>
  </si>
  <si>
    <t>SNI053</t>
  </si>
  <si>
    <t>SNI054</t>
  </si>
  <si>
    <t>SNI055</t>
  </si>
  <si>
    <t>SNI056</t>
  </si>
  <si>
    <t>SNI057</t>
  </si>
  <si>
    <t>SNI058</t>
  </si>
  <si>
    <t>SNI059</t>
  </si>
  <si>
    <t>SNI060</t>
  </si>
  <si>
    <t>SNI061</t>
  </si>
  <si>
    <t>SNI062</t>
  </si>
  <si>
    <t>SNI063</t>
  </si>
  <si>
    <t>SNI064</t>
  </si>
  <si>
    <t>SNI065</t>
  </si>
  <si>
    <t>SNI066</t>
  </si>
  <si>
    <t>SNI067</t>
  </si>
  <si>
    <t>SNI068</t>
  </si>
  <si>
    <t>ZM211S000794</t>
  </si>
  <si>
    <t>ZM211S000793</t>
  </si>
  <si>
    <t>ZM211S000779</t>
  </si>
  <si>
    <t>ZM211S000676</t>
  </si>
  <si>
    <t>ZM211S000596</t>
  </si>
  <si>
    <t>ZM211S000802</t>
  </si>
  <si>
    <t>ZM211S000813</t>
  </si>
  <si>
    <t>ZM211S000833</t>
  </si>
  <si>
    <t>ZM211S000851</t>
  </si>
  <si>
    <t>1Z0V68F46848064947</t>
  </si>
  <si>
    <t>1W10001</t>
  </si>
  <si>
    <t>WCC6M7SJZ48C</t>
  </si>
  <si>
    <t>FA/ZA-21/00036480</t>
  </si>
  <si>
    <t>WCC6M4DC3CFL</t>
  </si>
  <si>
    <t>WCC6M0HARCV2</t>
  </si>
  <si>
    <t>WCC6M7SJZT1Z</t>
  </si>
  <si>
    <t>WCC6M4EZFJ8C</t>
  </si>
  <si>
    <t>WCC6M3SY1CYV</t>
  </si>
  <si>
    <t>WCC6M7VZDAYX</t>
  </si>
  <si>
    <t>WCC6M0SYV4KC</t>
  </si>
  <si>
    <t>WCC6M3SY1RRE</t>
  </si>
  <si>
    <t>WCC6M4EZFUFL</t>
  </si>
  <si>
    <t>WCC6M5FENSU8</t>
  </si>
  <si>
    <t>WCC6M4EZFP5L</t>
  </si>
  <si>
    <t>WCC6M4EZFS64</t>
  </si>
  <si>
    <t>WCC6M3SY18CF</t>
  </si>
  <si>
    <t>WCC6M0HAR5U5</t>
  </si>
  <si>
    <t>WCC6M4EZF07P</t>
  </si>
  <si>
    <t>WCC6M4EZFDP9</t>
  </si>
  <si>
    <t>WCC6M3SY1UXY</t>
  </si>
  <si>
    <t>WCC6M7SJZ9RX</t>
  </si>
  <si>
    <t>WCC6M7VZDFN4</t>
  </si>
  <si>
    <t>1Z0V68F46848066454</t>
  </si>
  <si>
    <t>WCC6M4LKJ1UK</t>
  </si>
  <si>
    <t>WCC6M5FEN63C</t>
  </si>
  <si>
    <t>WCC6M7VZDKP4</t>
  </si>
  <si>
    <t>WCC6M7VZDJ90</t>
  </si>
  <si>
    <t>WCC6M0SYVK3C</t>
  </si>
  <si>
    <t>WCC6M5FEN337</t>
  </si>
  <si>
    <t>WCC6M4EZF7P7</t>
  </si>
  <si>
    <t>WCC6M0SYVVU7</t>
  </si>
  <si>
    <t>WCC6M3SY1C0L</t>
  </si>
  <si>
    <t>WCC6M7VZDHHD</t>
  </si>
  <si>
    <t>WCC6M4LKJ6HX</t>
  </si>
  <si>
    <t>WCC6M7SJZU72</t>
  </si>
  <si>
    <t>WCC6M4LKJ7KA</t>
  </si>
  <si>
    <t>WCC6M0SYVK50</t>
  </si>
  <si>
    <t>WCC6M4LKJFT1</t>
  </si>
  <si>
    <t>WCC6M4LKJA14</t>
  </si>
  <si>
    <t>WCC6M4DC3ATD</t>
  </si>
  <si>
    <t>WCC6M0SYV4L3</t>
  </si>
  <si>
    <t>WCC6M4LKJT2D</t>
  </si>
  <si>
    <t>WCC6M5FEN8CD</t>
  </si>
  <si>
    <t>VR206S025993</t>
  </si>
  <si>
    <t>ZR204S004405</t>
  </si>
  <si>
    <t>40A6B721DEC80042720ADJ11367005</t>
  </si>
  <si>
    <t>E2021991</t>
  </si>
  <si>
    <t>40A6B721E0640042720ADJ11367005</t>
  </si>
  <si>
    <t>40A6B721E0F00042720ADJ11367005</t>
  </si>
  <si>
    <t>X042G843 02191</t>
  </si>
  <si>
    <t>BPN-SAS3-815TQ</t>
  </si>
  <si>
    <t>PWS-504P-1R</t>
  </si>
  <si>
    <t>X048L151 05034</t>
  </si>
  <si>
    <t>E2033590</t>
  </si>
  <si>
    <t>X048L151 00835</t>
  </si>
  <si>
    <t>X048L151 01106</t>
  </si>
  <si>
    <t>X048L151 01684</t>
  </si>
  <si>
    <t>X048L151 01745</t>
  </si>
  <si>
    <t>X048L151 02011</t>
  </si>
  <si>
    <t>X048L151 01097</t>
  </si>
  <si>
    <t>X048L151 01748</t>
  </si>
  <si>
    <t>X048L151 00525</t>
  </si>
  <si>
    <t>X048L151 03122</t>
  </si>
  <si>
    <t>X048L151 01420</t>
  </si>
  <si>
    <t>X048L151 01132</t>
  </si>
  <si>
    <t>31.12,.2020</t>
  </si>
  <si>
    <t>1Z0V68F46847925205</t>
  </si>
  <si>
    <t>40A6B72EBB0C0043320ADJ11367005</t>
  </si>
  <si>
    <t>ACTION</t>
  </si>
  <si>
    <t>FA/ZA-20/00000259</t>
  </si>
  <si>
    <t>40A6B72ECE900043320ADJ11367005</t>
  </si>
  <si>
    <t>40A6B72EBBE40043320ADJ11367005</t>
  </si>
  <si>
    <t>WM206S010852</t>
  </si>
  <si>
    <t>12.03.2019</t>
  </si>
  <si>
    <t>05.03.2019</t>
  </si>
  <si>
    <t>3CFDFECC4F800043818ADH88163007</t>
  </si>
  <si>
    <t>INTEL</t>
  </si>
  <si>
    <t>VR207S006516</t>
  </si>
  <si>
    <t>ZR20BS000516</t>
  </si>
  <si>
    <t>1Z0V68F46848073099</t>
  </si>
  <si>
    <t>BX80684E2236</t>
  </si>
  <si>
    <t>U15L2G2200076</t>
  </si>
  <si>
    <t>FA/ZA-21/00039398</t>
  </si>
  <si>
    <t>BPN-SAS733-TQ</t>
  </si>
  <si>
    <t>EB203S005877</t>
  </si>
  <si>
    <t>Win Svr STD 2019</t>
  </si>
  <si>
    <t>Win Svr CAL User 2019</t>
  </si>
  <si>
    <t>P73-07788</t>
  </si>
  <si>
    <t>R18-05848</t>
  </si>
  <si>
    <t>04291028177728</t>
  </si>
  <si>
    <t>02219117835906</t>
  </si>
  <si>
    <t>02219117835910</t>
  </si>
  <si>
    <t>02219117835911</t>
  </si>
  <si>
    <t>02219117835905</t>
  </si>
  <si>
    <t>02219117835907</t>
  </si>
  <si>
    <t>02219117835908</t>
  </si>
  <si>
    <t>02219117835909</t>
  </si>
  <si>
    <t>1Z4971486821027600</t>
  </si>
  <si>
    <t>SSDSC2KB960G801</t>
  </si>
  <si>
    <t>PHYF03560294960CGN</t>
  </si>
  <si>
    <t>Wortmann</t>
  </si>
  <si>
    <t>DR6071391</t>
  </si>
  <si>
    <t>serwer asrock aaaa01</t>
  </si>
  <si>
    <t>PHYF035504WZ960CGN</t>
  </si>
  <si>
    <t>PHYF0356027J960CGN</t>
  </si>
  <si>
    <t>PHYF035602A7960CGN</t>
  </si>
  <si>
    <t>AMD EPYC 7302P</t>
  </si>
  <si>
    <t>9JD7119T00117_100-000000049</t>
  </si>
  <si>
    <t xml:space="preserve">M393A2K40DB3-CWE </t>
  </si>
  <si>
    <t>SNI201</t>
  </si>
  <si>
    <t>SNI202</t>
  </si>
  <si>
    <t>SNI203</t>
  </si>
  <si>
    <t>SNI204</t>
  </si>
  <si>
    <t>SNI205</t>
  </si>
  <si>
    <t>SNI206</t>
  </si>
  <si>
    <t>SNI207</t>
  </si>
  <si>
    <t>SNI208</t>
  </si>
  <si>
    <t>DBS0R8000058</t>
  </si>
  <si>
    <t>Asrock Europe</t>
  </si>
  <si>
    <t>PWS</t>
  </si>
  <si>
    <t>FSG020A0000AGB2024R00260</t>
  </si>
  <si>
    <t>FSG020A0000AGB2024R00228</t>
  </si>
  <si>
    <t>PDB</t>
  </si>
  <si>
    <t>FSG033A007KEGB2024R00202</t>
  </si>
  <si>
    <t>BPN</t>
  </si>
  <si>
    <t>199265890000050</t>
  </si>
  <si>
    <t>1U10E-ROME/2T</t>
  </si>
  <si>
    <t>JJD000030015961000087713113</t>
  </si>
  <si>
    <t>SSDPE2KX020T8</t>
  </si>
  <si>
    <t>BTLJ040102D62P0BGN</t>
  </si>
  <si>
    <t>E2044725</t>
  </si>
  <si>
    <t>BTLJ040102MC2P0BGN</t>
  </si>
  <si>
    <t>BTLJ040102M82P0BGN</t>
  </si>
  <si>
    <t>BTLJ040102E42P0BGN</t>
  </si>
  <si>
    <t>BTLJ040200WM2P0BGN</t>
  </si>
  <si>
    <t>BTLJ040101XU2P0BGN</t>
  </si>
  <si>
    <t>BTLJ040200PE2P0BGN</t>
  </si>
  <si>
    <t>BTLJ040200WH2P0BGN</t>
  </si>
  <si>
    <t>BTLJ040102M12P0BGN</t>
  </si>
  <si>
    <t>BTLJ040102CX2P0BGN</t>
  </si>
  <si>
    <t>BTLJ040102F02P0BGN</t>
  </si>
  <si>
    <t>BTLJ039602QV2P0BGN</t>
  </si>
  <si>
    <t>BTLJ040200NS2P0BGN</t>
  </si>
  <si>
    <t>BTLJ040102DG2P0BGN</t>
  </si>
  <si>
    <t>BTLJ040102KS2P0BGN</t>
  </si>
  <si>
    <t>BTLJ040200NV2P0BGN</t>
  </si>
  <si>
    <t>BTLJ040102FG2P0BGN</t>
  </si>
  <si>
    <t>BTLJ040102EU2P0BGN</t>
  </si>
  <si>
    <t>BTLJ040102692P0BGN</t>
  </si>
  <si>
    <t>BTLJ040102DQ2P0BGN</t>
  </si>
  <si>
    <t>BTLJ040001M82P0BGN</t>
  </si>
  <si>
    <t>BTLJ040102D92P0BGN</t>
  </si>
  <si>
    <t>BTLJ0401027L2P0BGN</t>
  </si>
  <si>
    <t>BTLJ040102DF2P0BGN</t>
  </si>
  <si>
    <t>BTLJ040001LZ2P0BGN</t>
  </si>
  <si>
    <t>BTLJ040001LH2P0BGN</t>
  </si>
  <si>
    <t>BTLJ040102CS2P0BGN</t>
  </si>
  <si>
    <t>BTLJ0401025Y2P0BGN</t>
  </si>
  <si>
    <t>BTLJ040102DP2P0BGN</t>
  </si>
  <si>
    <t>BTLJ040102D22P0BGN</t>
  </si>
  <si>
    <t>BTLJ0401028G2P0BGN</t>
  </si>
  <si>
    <t>BTLJ040102DL2P0BGN</t>
  </si>
  <si>
    <t>BTLJ040102CY2P0BGN</t>
  </si>
  <si>
    <t>BTLJ040102CP2P0BGN</t>
  </si>
  <si>
    <t>BTLJ040102CK2P0BGN</t>
  </si>
  <si>
    <t>BTLJ040102ES2P0BGN</t>
  </si>
  <si>
    <t>BTLJ040102DB2P0BGN</t>
  </si>
  <si>
    <t>BTLJ040102B22P0BGN</t>
  </si>
  <si>
    <t>BTLJ040102B12P0BGN</t>
  </si>
  <si>
    <t>BTLJ040102EC2P0BGN</t>
  </si>
  <si>
    <t>MZ7LH480HAHQ-00005</t>
  </si>
  <si>
    <t>S45PNC0NB08524</t>
  </si>
  <si>
    <t>serwer xyzz01</t>
  </si>
  <si>
    <t>S45PNC0NB08522</t>
  </si>
  <si>
    <t>Intel Xeon Silver 4210R</t>
  </si>
  <si>
    <t>1319C7D9DAE7A230RG24</t>
  </si>
  <si>
    <t>E2042983</t>
  </si>
  <si>
    <t>LIT iHAS1122-14</t>
  </si>
  <si>
    <t>3743522551 2E8043506136</t>
  </si>
  <si>
    <t>MEM-DR480L-HL05-ER26</t>
  </si>
  <si>
    <t>80AD01210394B01487</t>
  </si>
  <si>
    <t>SuperMicro</t>
  </si>
  <si>
    <t>80AD01210394B0147F</t>
  </si>
  <si>
    <t>MBD-X11SPL-F-O</t>
  </si>
  <si>
    <t>ZM211S004535</t>
  </si>
  <si>
    <t>CSE-745TQ-R920B</t>
  </si>
  <si>
    <t>C7450FJ27MM0274</t>
  </si>
  <si>
    <t>P9211CK22TN0540</t>
  </si>
  <si>
    <t>P9211CK22TN0331</t>
  </si>
  <si>
    <t>EB201S016703</t>
  </si>
  <si>
    <t>Microsoft OEM Windows 10 Pro PL</t>
  </si>
  <si>
    <t>03307144308414</t>
  </si>
  <si>
    <t>serwer xyzz02</t>
  </si>
  <si>
    <t>133FB4D9B0E3C133RG24</t>
  </si>
  <si>
    <t>3743522551 2E8043506137</t>
  </si>
  <si>
    <t>80AD01210394B0147E</t>
  </si>
  <si>
    <t>80AD01210394B0147C</t>
  </si>
  <si>
    <t>ZM211S004530</t>
  </si>
  <si>
    <t>S45PNC0R136090</t>
  </si>
  <si>
    <t>S45PNA0R203573</t>
  </si>
  <si>
    <t>C7450FJ27MM0275</t>
  </si>
  <si>
    <t>03307144308413</t>
  </si>
  <si>
    <t>P9211CK22TN0542</t>
  </si>
  <si>
    <t>P9211CK22TN0541</t>
  </si>
  <si>
    <t>EB201S016704</t>
  </si>
  <si>
    <t>serwer globtel</t>
  </si>
  <si>
    <t>1Z0V68F46848083426</t>
  </si>
  <si>
    <t>M393A8G40MB2-CVF</t>
  </si>
  <si>
    <t>SNI094</t>
  </si>
  <si>
    <t>FA/ZA-21/00042253</t>
  </si>
  <si>
    <t>SNI095</t>
  </si>
  <si>
    <t>SNI096</t>
  </si>
  <si>
    <t>SNI097</t>
  </si>
  <si>
    <t>SNI098</t>
  </si>
  <si>
    <t>SNI099</t>
  </si>
  <si>
    <t>1za6683e6890873503</t>
  </si>
  <si>
    <t>Intel Xeon Gold 5222</t>
  </si>
  <si>
    <t>85F348BCC09FAC7CRF8V</t>
  </si>
  <si>
    <t>Taurus</t>
  </si>
  <si>
    <t>INV210251</t>
  </si>
  <si>
    <t>MegaRaid 9380-8i8e  05-25716-00</t>
  </si>
  <si>
    <t>SKA3276906</t>
  </si>
  <si>
    <t>TechData</t>
  </si>
  <si>
    <t>CVPM02</t>
  </si>
  <si>
    <t>SPA4800493</t>
  </si>
  <si>
    <t>LSI00291  L5-25376-00</t>
  </si>
  <si>
    <t>SP94823570</t>
  </si>
  <si>
    <t>SYS-1019P-WTR</t>
  </si>
  <si>
    <t>E263783X1101013</t>
  </si>
  <si>
    <t>C1160LJ25NT0146</t>
  </si>
  <si>
    <t>P5041CK29IB1720</t>
  </si>
  <si>
    <t>P5041CK29IB1744</t>
  </si>
  <si>
    <t>HB207S022535</t>
  </si>
  <si>
    <t>OM20CS015668</t>
  </si>
  <si>
    <t>VR204S019409</t>
  </si>
  <si>
    <t>VR206S002897</t>
  </si>
  <si>
    <t>MBD-X11SPW-TF</t>
  </si>
  <si>
    <t>CSE-116AC2-R504WB</t>
  </si>
  <si>
    <t>1Z0V68F46848045691</t>
  </si>
  <si>
    <t>E10G42BTDABLK</t>
  </si>
  <si>
    <t>AEDD14300CRE68793009</t>
  </si>
  <si>
    <t>BPN-SAS3-116A-N2</t>
  </si>
  <si>
    <t>RSC-R1UW-2E16</t>
  </si>
  <si>
    <t>SP94823566</t>
  </si>
  <si>
    <t>serwer zxc0001</t>
  </si>
  <si>
    <t>7C8A7DD24175D661RG24</t>
  </si>
  <si>
    <t>CSE-825TQC-R802LPB</t>
  </si>
  <si>
    <t>C8250FK02NM0165</t>
  </si>
  <si>
    <t>PWS-802A-1R</t>
  </si>
  <si>
    <t>P802ACK22BU0909</t>
  </si>
  <si>
    <t>P802ACK22BU0908</t>
  </si>
  <si>
    <t>BPN-SAS3-825TQ</t>
  </si>
  <si>
    <t>EB205S001468</t>
  </si>
  <si>
    <t>BTR-TFM8G-LSICVM02</t>
  </si>
  <si>
    <t>SP01841040</t>
  </si>
  <si>
    <t>MEM-DR432L-HL01-ER29</t>
  </si>
  <si>
    <t>80AD01204874495B56</t>
  </si>
  <si>
    <t>80AD01204874495C15</t>
  </si>
  <si>
    <t>AOC-S3108L-H8IR-16DD</t>
  </si>
  <si>
    <t>VA205S021786</t>
  </si>
  <si>
    <t>ZM211S004573</t>
  </si>
  <si>
    <t>1Z0V68F46848177807</t>
  </si>
  <si>
    <t>0B36404</t>
  </si>
  <si>
    <t>VGKEBBSG</t>
  </si>
  <si>
    <t>FA/ZA-21/00070598</t>
  </si>
  <si>
    <t>VGKEZAHG</t>
  </si>
  <si>
    <t>VGKGD4JG</t>
  </si>
  <si>
    <t>VGKG7B5G</t>
  </si>
  <si>
    <t>VGKGMK7G</t>
  </si>
  <si>
    <t>VGKGVD6G</t>
  </si>
  <si>
    <t>VGKEZ5LK</t>
  </si>
  <si>
    <t>VGKEZ1KK</t>
  </si>
  <si>
    <t>MBD-X11SPL-F</t>
  </si>
  <si>
    <t xml:space="preserve">HMAA8GR7AJR4N-XN </t>
  </si>
  <si>
    <t>SNI100</t>
  </si>
  <si>
    <t>Serwer RTB aaaa01</t>
  </si>
  <si>
    <t>SNI101</t>
  </si>
  <si>
    <t>SNI102</t>
  </si>
  <si>
    <t>SNI103</t>
  </si>
  <si>
    <t>SNI104</t>
  </si>
  <si>
    <t>SNI105</t>
  </si>
  <si>
    <t>SNI106</t>
  </si>
  <si>
    <t>SNI107</t>
  </si>
  <si>
    <t>S45PNC0R136094</t>
  </si>
  <si>
    <t>S45PNA0R203580</t>
  </si>
  <si>
    <t>JJD000030141271000000373995</t>
  </si>
  <si>
    <t>9HP5741S90152</t>
  </si>
  <si>
    <t>Ingram</t>
  </si>
  <si>
    <t>Asus ECS4000A-E10</t>
  </si>
  <si>
    <t>LCS0CG000106</t>
  </si>
  <si>
    <t>ALSO</t>
  </si>
  <si>
    <t>IVCD2046001030</t>
  </si>
  <si>
    <t>IVCD2046001032</t>
  </si>
  <si>
    <t>MBD</t>
  </si>
  <si>
    <t>LAS2FM007634</t>
  </si>
  <si>
    <t>MCX516A-CDAT</t>
  </si>
  <si>
    <t>MT2053K02452</t>
  </si>
  <si>
    <t>LAS2FMZR0002</t>
  </si>
  <si>
    <t>AMD Epyc 7552</t>
  </si>
  <si>
    <t>MTFDHAL15T3TDP</t>
  </si>
  <si>
    <t>20502BE11E3A</t>
  </si>
  <si>
    <t>E2046293</t>
  </si>
  <si>
    <t>20502BE11FFB</t>
  </si>
  <si>
    <t>20502BE11F03</t>
  </si>
  <si>
    <t>SSG-6029P-E1CR12L</t>
  </si>
  <si>
    <t>A287475X1208267</t>
  </si>
  <si>
    <t>C8260FJ51NH0327</t>
  </si>
  <si>
    <t>ZM211S010666</t>
  </si>
  <si>
    <t>P1K2ACK31IB0515</t>
  </si>
  <si>
    <t>P1K2ACK31IB0474</t>
  </si>
  <si>
    <t>VA204S002903</t>
  </si>
  <si>
    <t>JA211S000385</t>
  </si>
  <si>
    <t>HB211S017969</t>
  </si>
  <si>
    <t>A287475X1208271</t>
  </si>
  <si>
    <t>C8260FJ51NH0323</t>
  </si>
  <si>
    <t>ZM211S010658</t>
  </si>
  <si>
    <t>P1K2ACK31IB0480</t>
  </si>
  <si>
    <t>P1K2ACK31IB0432</t>
  </si>
  <si>
    <t>VA204S002921</t>
  </si>
  <si>
    <t>JA211S000383</t>
  </si>
  <si>
    <t>HB211S018833</t>
  </si>
  <si>
    <t>80AD012103134BFBB2</t>
  </si>
  <si>
    <t>serwer zxcv01</t>
  </si>
  <si>
    <t>80AD012103134BFBB7</t>
  </si>
  <si>
    <t>80AD012103134BFBB1</t>
  </si>
  <si>
    <t>80AD012103134BFBB9</t>
  </si>
  <si>
    <t>80AD012103134BFBAA</t>
  </si>
  <si>
    <t>80AD012103134BFBB0</t>
  </si>
  <si>
    <t>80AD012103134BFBAF</t>
  </si>
  <si>
    <t>80AD012103134BFBB5</t>
  </si>
  <si>
    <t>80AD012103134BFB60</t>
  </si>
  <si>
    <t>80AD012103134BFBAE</t>
  </si>
  <si>
    <t>80AD012103134BFB64</t>
  </si>
  <si>
    <t>80AD012103134BFB65</t>
  </si>
  <si>
    <t>80AD012103134BFBE9</t>
  </si>
  <si>
    <t>serwer zxcv02</t>
  </si>
  <si>
    <t>80AD012103134BFBEB</t>
  </si>
  <si>
    <t>80AD012103134BFBED</t>
  </si>
  <si>
    <t>80AD012103134BFBE4</t>
  </si>
  <si>
    <t>80AD012103134BFBDD</t>
  </si>
  <si>
    <t>80AD012103134BFBEA</t>
  </si>
  <si>
    <t>80AD012103134BFBD7</t>
  </si>
  <si>
    <t>80AD012103134BFB94</t>
  </si>
  <si>
    <t>80AD012103134BFBF9</t>
  </si>
  <si>
    <t>80AD012103134BFBFB</t>
  </si>
  <si>
    <t>80AD012103134BFB97</t>
  </si>
  <si>
    <t>80AD012103134BFBFD</t>
  </si>
  <si>
    <t>JJD000033902100002717279</t>
  </si>
  <si>
    <t>ST4000NM005A</t>
  </si>
  <si>
    <t>WJG26JW6</t>
  </si>
  <si>
    <t>Also</t>
  </si>
  <si>
    <t>WJG26TMQ</t>
  </si>
  <si>
    <t>WJG26NEN</t>
  </si>
  <si>
    <t>WJG26JSM</t>
  </si>
  <si>
    <t>WJG26TM5</t>
  </si>
  <si>
    <t>WJG26KGG</t>
  </si>
  <si>
    <t>WJG26TL0</t>
  </si>
  <si>
    <t>WJG26KWW</t>
  </si>
  <si>
    <t>Intel Xeon Gold 5218R</t>
  </si>
  <si>
    <t>00F527BEEF2BFC07RGZ7</t>
  </si>
  <si>
    <t>E2047790</t>
  </si>
  <si>
    <t>00F51FBF6C20BDA2RGZ7</t>
  </si>
  <si>
    <t>06FEB7C0E541ED80RGZ7</t>
  </si>
  <si>
    <t>06F998BE7D5A4F15RGZ7</t>
  </si>
  <si>
    <t>PWS-1K23A-1R</t>
  </si>
  <si>
    <t>AOM-SAS3-8I8E-LP</t>
  </si>
  <si>
    <t>AOC-S3008L-L8E</t>
  </si>
  <si>
    <t>CSE-826BE1C4-R1K23LPB</t>
  </si>
  <si>
    <t>BPN-SAS3-826EL1-N4</t>
  </si>
  <si>
    <t>MBD-X11DPH-T</t>
  </si>
  <si>
    <t>serwer lh.pl 01</t>
  </si>
  <si>
    <t>1Z8603RR6851719831</t>
  </si>
  <si>
    <t xml:space="preserve">M393A4K40DB3-CWE </t>
  </si>
  <si>
    <t>W8699478</t>
  </si>
  <si>
    <t>Kosatec</t>
  </si>
  <si>
    <t>W8699479</t>
  </si>
  <si>
    <t>W8699480</t>
  </si>
  <si>
    <t>W8699474</t>
  </si>
  <si>
    <t>SSDSC2KB480G801</t>
  </si>
  <si>
    <t>BTYF1042022H480BGN</t>
  </si>
  <si>
    <t>A2081111</t>
  </si>
  <si>
    <t>BTYF1042020U480BGN</t>
  </si>
  <si>
    <t>Sprint</t>
  </si>
  <si>
    <t>MBD-H12SSL-C-O</t>
  </si>
  <si>
    <t>WM20BS601322</t>
  </si>
  <si>
    <t>CSE-216BE1C-R920LPB</t>
  </si>
  <si>
    <t>C2160DJ49NK0137</t>
  </si>
  <si>
    <t>PWS-920P-SQ</t>
  </si>
  <si>
    <t>P9212CK31LB0154</t>
  </si>
  <si>
    <t>P9212CK31LB0101</t>
  </si>
  <si>
    <t>BPN-SAS3-216EL1</t>
  </si>
  <si>
    <t>PB20BS002766</t>
  </si>
  <si>
    <t>1z4971486821734864</t>
  </si>
  <si>
    <t>9JD7119T00116_100-000000049</t>
  </si>
  <si>
    <t>DR6132596</t>
  </si>
  <si>
    <t>MCX512A-ACAT</t>
  </si>
  <si>
    <t>MT2050K06736</t>
  </si>
  <si>
    <t>40A6B73A46580043820ADJ11367005</t>
  </si>
  <si>
    <t>FW/ZA-21/00000020</t>
  </si>
  <si>
    <t>serwer qwerty01</t>
  </si>
  <si>
    <t>D64FEA7B638B805ERG24</t>
  </si>
  <si>
    <t>E2045827</t>
  </si>
  <si>
    <t>D64FE9D638F17515RG24</t>
  </si>
  <si>
    <t>HDS-TMN0-KXG60ZNV512G</t>
  </si>
  <si>
    <t>703Y106TYRX1</t>
  </si>
  <si>
    <t>80AD012103134BFB52</t>
  </si>
  <si>
    <t>80AD012103134BFB58</t>
  </si>
  <si>
    <t>80AD012103134BFC3A</t>
  </si>
  <si>
    <t>80AD012103134BFC39</t>
  </si>
  <si>
    <t>80AD012103134BFC3B</t>
  </si>
  <si>
    <t>80AD012103134BFB51</t>
  </si>
  <si>
    <t>SYS-6019P-WT</t>
  </si>
  <si>
    <t>E264643X1302420</t>
  </si>
  <si>
    <t>CSE-815TQC-605WB</t>
  </si>
  <si>
    <t>C8150LI50NS0659</t>
  </si>
  <si>
    <t>PWS-605P-1H</t>
  </si>
  <si>
    <t>P605A0J36D03726</t>
  </si>
  <si>
    <t>EB205S012035</t>
  </si>
  <si>
    <t>MBD-X11DDW-L</t>
  </si>
  <si>
    <t>OM212S000902</t>
  </si>
  <si>
    <t>VR205S008498</t>
  </si>
  <si>
    <t>VR20CS003733</t>
  </si>
  <si>
    <t>1Z0V68F46848097082</t>
  </si>
  <si>
    <t>Transport Prywatny</t>
  </si>
  <si>
    <t>1Z8603RR6851677547</t>
  </si>
  <si>
    <t>M391A1K43BB2-CTD</t>
  </si>
  <si>
    <t>SNI209</t>
  </si>
  <si>
    <t>serwer iot qqq01</t>
  </si>
  <si>
    <t>SNI210</t>
  </si>
  <si>
    <t>1Z8603RR6851730630</t>
  </si>
  <si>
    <t>S45PNA0R205172</t>
  </si>
  <si>
    <t xml:space="preserve">Intel Xeon E-2226G </t>
  </si>
  <si>
    <t>X110H381 00435</t>
  </si>
  <si>
    <t>E2051860</t>
  </si>
  <si>
    <t>SYS-1019C-HTN2</t>
  </si>
  <si>
    <t>A345069X1304686</t>
  </si>
  <si>
    <t>CSE-510FT-203B</t>
  </si>
  <si>
    <t>C5100DJ51R70015</t>
  </si>
  <si>
    <t>PWS-203-1H</t>
  </si>
  <si>
    <t>P20310K49F07602</t>
  </si>
  <si>
    <t>MBD-X11SCZ-F</t>
  </si>
  <si>
    <t>VM211S003536</t>
  </si>
  <si>
    <t>EB20BS010235</t>
  </si>
  <si>
    <t>VR212S002505</t>
  </si>
  <si>
    <t>BPN-SAS-510T</t>
  </si>
  <si>
    <t>Windows 10 IoT Ent LTSB 2016 - 6EU-00034</t>
  </si>
  <si>
    <t>002219120957325</t>
  </si>
  <si>
    <t>INTEL XEON SILVER 4215R</t>
  </si>
  <si>
    <t>90B27BD7385799E8RGZE</t>
  </si>
  <si>
    <t>Intel Xeon Silver 4215R</t>
  </si>
  <si>
    <t>0D3BC4BE97B649FCRGZE</t>
  </si>
  <si>
    <t>Intel</t>
  </si>
  <si>
    <t>0D38CFBF18AE20D2RGZE</t>
  </si>
  <si>
    <t>0CF844BDF974425ARGZE</t>
  </si>
  <si>
    <t>0D0368BFC2272FB8RGZE</t>
  </si>
  <si>
    <t>0CF90BBDBE5242B4RGZE</t>
  </si>
  <si>
    <t>0CF988C15E356A51RGZE</t>
  </si>
  <si>
    <t>0CFC4CBF3306F079RGZE</t>
  </si>
  <si>
    <t>0CF879C1911BB020RGZE</t>
  </si>
  <si>
    <t>1Z0V68F46848218343</t>
  </si>
  <si>
    <t>0F38462</t>
  </si>
  <si>
    <t>2CJBN15L</t>
  </si>
  <si>
    <t>FW/ZA-21/00084231</t>
  </si>
  <si>
    <t>2BHUNA2N</t>
  </si>
  <si>
    <t>2CJB3AXJ</t>
  </si>
  <si>
    <t>2CJAVPVN</t>
  </si>
  <si>
    <t>2CH1BD4P</t>
  </si>
  <si>
    <t>2BHU8N1N</t>
  </si>
  <si>
    <t>2CJ06VWP</t>
  </si>
  <si>
    <t>2BHV0JRN</t>
  </si>
  <si>
    <t>2CHV3T1P</t>
  </si>
  <si>
    <t>2CJ9PPRJ</t>
  </si>
  <si>
    <t>SKA4269671</t>
  </si>
  <si>
    <t>SYS-6029U-TR4T</t>
  </si>
  <si>
    <t>E263684X1304048</t>
  </si>
  <si>
    <t>CSE-829U2TS-R1K02P-T</t>
  </si>
  <si>
    <t>C829UAJ40CS0072</t>
  </si>
  <si>
    <t>PWS-1K02A-1R</t>
  </si>
  <si>
    <t>P1K0ACK33HN2788</t>
  </si>
  <si>
    <t>P1K0ACK33HN2787</t>
  </si>
  <si>
    <t>BPN-SAS3-826A-N4</t>
  </si>
  <si>
    <t>HB211S013521</t>
  </si>
  <si>
    <t>MBD-X11DPU</t>
  </si>
  <si>
    <t>OM20AS010089</t>
  </si>
  <si>
    <t>AOC-2UR66-I4XTF-P</t>
  </si>
  <si>
    <t>OA20BS000790</t>
  </si>
  <si>
    <t>VR20CS003941</t>
  </si>
  <si>
    <t>RSC-R2UW-4E8</t>
  </si>
  <si>
    <t>VR203S034077</t>
  </si>
  <si>
    <t>M0XR802300754</t>
  </si>
  <si>
    <t>80AD012043743420C0</t>
  </si>
  <si>
    <t>80AD012043743420BE</t>
  </si>
  <si>
    <t>80AD012043743420BC</t>
  </si>
  <si>
    <t>80AD012043743420DA</t>
  </si>
  <si>
    <t>S45RNA0N403819</t>
  </si>
  <si>
    <t>S45RNA0N403821</t>
  </si>
  <si>
    <t>E263684X1304055</t>
  </si>
  <si>
    <t>C829UAJ40CS0070</t>
  </si>
  <si>
    <t>P1K0ACK33HN2752</t>
  </si>
  <si>
    <t>P1K0ACK33HN2751</t>
  </si>
  <si>
    <t>HB211S013526</t>
  </si>
  <si>
    <t>OM20AS010012</t>
  </si>
  <si>
    <t>OA20BS000786</t>
  </si>
  <si>
    <t>VR20CS003927</t>
  </si>
  <si>
    <t>VR203S034078</t>
  </si>
  <si>
    <t>M0LE668300148</t>
  </si>
  <si>
    <t>80AD012043743420BA</t>
  </si>
  <si>
    <t>80AD012043743420BB</t>
  </si>
  <si>
    <t>80AD012043743420BD</t>
  </si>
  <si>
    <t>80AD0120437434204E</t>
  </si>
  <si>
    <t>S45RNA0N403826</t>
  </si>
  <si>
    <t>S45RNA0N403820</t>
  </si>
  <si>
    <t>E263684X1304047</t>
  </si>
  <si>
    <t>C829UAJ40CS0080</t>
  </si>
  <si>
    <t>P1K0ACK33HN2824</t>
  </si>
  <si>
    <t>P1K0ACK33HN2823</t>
  </si>
  <si>
    <t>HB211S013519</t>
  </si>
  <si>
    <t>OM209S020764</t>
  </si>
  <si>
    <t>OA20BS000782</t>
  </si>
  <si>
    <t>VR20CS003931</t>
  </si>
  <si>
    <t>VR203S034071</t>
  </si>
  <si>
    <t>M0XR802301035</t>
  </si>
  <si>
    <t>80AD012043743420E3</t>
  </si>
  <si>
    <t>80AD012043743420E4</t>
  </si>
  <si>
    <t>80AD012043743420E5</t>
  </si>
  <si>
    <t>80AD012043743420D8</t>
  </si>
  <si>
    <t>S45RNA0N403802</t>
  </si>
  <si>
    <t>S45RNA0N403816</t>
  </si>
  <si>
    <t>E263684X1304052</t>
  </si>
  <si>
    <t>C829UAJ40CS0075</t>
  </si>
  <si>
    <t>P1K0ACK33HN2782</t>
  </si>
  <si>
    <t>P1K0ACK33HN2781</t>
  </si>
  <si>
    <t>HB211S012892</t>
  </si>
  <si>
    <t>OM20AS009691</t>
  </si>
  <si>
    <t>OA20BS000771</t>
  </si>
  <si>
    <t>VR203S034076</t>
  </si>
  <si>
    <t>VR20CS003930</t>
  </si>
  <si>
    <t>M0UG635100521</t>
  </si>
  <si>
    <t>80AD012043743420A4</t>
  </si>
  <si>
    <t>80AD012043743420DD</t>
  </si>
  <si>
    <t>80AD012043743420D2</t>
  </si>
  <si>
    <t>80AD012043743420D4</t>
  </si>
  <si>
    <t>S45RNA0N403831</t>
  </si>
  <si>
    <t>S45RNA0N403815</t>
  </si>
  <si>
    <t>E263684X1304051</t>
  </si>
  <si>
    <t>C829UAJ40CS0079</t>
  </si>
  <si>
    <t>P1K0ACK33HN2825</t>
  </si>
  <si>
    <t>P1K0ACK33HN2826</t>
  </si>
  <si>
    <t>HB211S013524</t>
  </si>
  <si>
    <t>OM20AS009854</t>
  </si>
  <si>
    <t>OA20BS000843</t>
  </si>
  <si>
    <t>VR20CS003943</t>
  </si>
  <si>
    <t>VR203S034079</t>
  </si>
  <si>
    <t>M09D64R400529</t>
  </si>
  <si>
    <t>80AD012043743420E2</t>
  </si>
  <si>
    <t>80AD012043743420E0</t>
  </si>
  <si>
    <t>80AD012043743420E1</t>
  </si>
  <si>
    <t>80AD012043743420B4</t>
  </si>
  <si>
    <t>S45RNA0N403830</t>
  </si>
  <si>
    <t>S45RNA0N403822</t>
  </si>
  <si>
    <t>E263684X1304053</t>
  </si>
  <si>
    <t>C829UAJ40CS0073</t>
  </si>
  <si>
    <t>P1K0ACK33HN2786</t>
  </si>
  <si>
    <t>P1K0ACK33HN2785</t>
  </si>
  <si>
    <t>HB211S013525</t>
  </si>
  <si>
    <t>OM209S025816</t>
  </si>
  <si>
    <t>OA20BS000840</t>
  </si>
  <si>
    <t>VR20CS003932</t>
  </si>
  <si>
    <t>VR203S034073</t>
  </si>
  <si>
    <t>M0XR802300751</t>
  </si>
  <si>
    <t>80AD0120437434206E</t>
  </si>
  <si>
    <t>80AD012043743420C2</t>
  </si>
  <si>
    <t>80AD012043743420C4</t>
  </si>
  <si>
    <t>80AD012043743420C6</t>
  </si>
  <si>
    <t>S45RNA0N403827</t>
  </si>
  <si>
    <t>S45RNA0N403829</t>
  </si>
  <si>
    <t>E263684X1304050</t>
  </si>
  <si>
    <t>C829UAJ40CS0078</t>
  </si>
  <si>
    <t>P1K0ACK33HN2828</t>
  </si>
  <si>
    <t>P1K0ACK33HN2827</t>
  </si>
  <si>
    <t>HB211S013522</t>
  </si>
  <si>
    <t>OM209S025799</t>
  </si>
  <si>
    <t>OA20BS000838</t>
  </si>
  <si>
    <t>VR203S034072</t>
  </si>
  <si>
    <t>VR20CS003928</t>
  </si>
  <si>
    <t>M09D64R400465</t>
  </si>
  <si>
    <t>80AD012043743420B3</t>
  </si>
  <si>
    <t>80AD012043743420EB</t>
  </si>
  <si>
    <t>80AD012043743420CA</t>
  </si>
  <si>
    <t>80AD012043743420CF</t>
  </si>
  <si>
    <t>S45RNA0N403801</t>
  </si>
  <si>
    <t>S45RNA0N403818</t>
  </si>
  <si>
    <t>E263684X1304054</t>
  </si>
  <si>
    <t>C829UAJ40CS0071</t>
  </si>
  <si>
    <t>P1K0ACK33HN2789</t>
  </si>
  <si>
    <t>P1K0ACK33HN2790</t>
  </si>
  <si>
    <t>HB211S013523</t>
  </si>
  <si>
    <t>OM20AS009989</t>
  </si>
  <si>
    <t>OA20BS000658</t>
  </si>
  <si>
    <t>VR20CS003942</t>
  </si>
  <si>
    <t>VR203S034075</t>
  </si>
  <si>
    <t>M0LE668300188</t>
  </si>
  <si>
    <t>80AD012043743420C1</t>
  </si>
  <si>
    <t>80AD012043743420C3</t>
  </si>
  <si>
    <t>80AD012043743420C5</t>
  </si>
  <si>
    <t>80AD012043743420C7</t>
  </si>
  <si>
    <t>S45RNA0N403825</t>
  </si>
  <si>
    <t>S45RNA0N403828</t>
  </si>
  <si>
    <t>E263684X1304049</t>
  </si>
  <si>
    <t>C829UAJ40CS0074</t>
  </si>
  <si>
    <t>P1K0ACK33HN2784</t>
  </si>
  <si>
    <t>P1K0ACK33HN2783</t>
  </si>
  <si>
    <t>HB211S013520</t>
  </si>
  <si>
    <t>OM20AS009968</t>
  </si>
  <si>
    <t>OA20BS000845</t>
  </si>
  <si>
    <t>VR20CS003929</t>
  </si>
  <si>
    <t>VR203S034074</t>
  </si>
  <si>
    <t>M0XR802300710</t>
  </si>
  <si>
    <t>80AD01204374342045</t>
  </si>
  <si>
    <t>80AD012043743420C8</t>
  </si>
  <si>
    <t>80AD01204374342043</t>
  </si>
  <si>
    <t>80AD012043743420CB</t>
  </si>
  <si>
    <t>S45RNA0N403817</t>
  </si>
  <si>
    <t>S45RNA0N403814</t>
  </si>
  <si>
    <t>MEM-DR4L-HL02-ER29</t>
  </si>
  <si>
    <t>80AD012043132C08FB</t>
  </si>
  <si>
    <t>80AD012043132C08FD</t>
  </si>
  <si>
    <t>80AD012043132C0906</t>
  </si>
  <si>
    <t>80AD012043132C0917</t>
  </si>
  <si>
    <t>80AD012043132C08FA</t>
  </si>
  <si>
    <t>80AD012043132C08F5</t>
  </si>
  <si>
    <t>80AD012043132C0899</t>
  </si>
  <si>
    <t>80AD012043132C08BF</t>
  </si>
  <si>
    <t>80AD012043132C08F7</t>
  </si>
  <si>
    <t>80AD012043132C08F1</t>
  </si>
  <si>
    <t>80AD012043132C0CB7</t>
  </si>
  <si>
    <t>80AD012043132C0883</t>
  </si>
  <si>
    <t>80AD01205384B32373</t>
  </si>
  <si>
    <t>80AD01205384B322E9</t>
  </si>
  <si>
    <t>80AD01205384B322B9</t>
  </si>
  <si>
    <t>80AD01205384B32316</t>
  </si>
  <si>
    <t>80AD01205384B322F8</t>
  </si>
  <si>
    <t>80AD01205384B32317</t>
  </si>
  <si>
    <t>80AD012043132C08E3</t>
  </si>
  <si>
    <t>80AD012043132C08C3</t>
  </si>
  <si>
    <t>80AD012043132C08C5</t>
  </si>
  <si>
    <t>80AD012043132C0A5C</t>
  </si>
  <si>
    <t>80AD012043132C08A3</t>
  </si>
  <si>
    <t>80AD012043132C08C7</t>
  </si>
  <si>
    <t>80AD012043132C08CA</t>
  </si>
  <si>
    <t>80AD012043132C08F2</t>
  </si>
  <si>
    <t>80AD012043132C08C6</t>
  </si>
  <si>
    <t>80AD012043132C088B</t>
  </si>
  <si>
    <t>80AD012043132C088E</t>
  </si>
  <si>
    <t>80AD012043132C0911</t>
  </si>
  <si>
    <t>80AD012043132C0913</t>
  </si>
  <si>
    <t>80AD012043132C090C</t>
  </si>
  <si>
    <t>HDS-S2T1-MZ7LH240HAHQ05</t>
  </si>
  <si>
    <t>Serwer cellar aaaa001</t>
  </si>
  <si>
    <t>Serwer cellar aaaa005</t>
  </si>
  <si>
    <t>Serwer cellar aaaa004</t>
  </si>
  <si>
    <t>Serwer cellar aaaa003</t>
  </si>
  <si>
    <t>Serwer cellar aaaa002</t>
  </si>
  <si>
    <t>Serwer cellar aaaa006</t>
  </si>
  <si>
    <t>Serwer cellar aaaa007</t>
  </si>
  <si>
    <t>Serwer cellar aaaa008</t>
  </si>
  <si>
    <t>Serwer cellar aaaa009</t>
  </si>
  <si>
    <t>Escape</t>
  </si>
  <si>
    <t>03307144637161</t>
  </si>
  <si>
    <t>80AD012043132C0888</t>
  </si>
  <si>
    <t>Serwer Globtel ppppp01</t>
  </si>
  <si>
    <t>80AD012043132C090B</t>
  </si>
  <si>
    <t>80AD012043132C0880</t>
  </si>
  <si>
    <t>80AD012043132C0886</t>
  </si>
  <si>
    <t>1ZA6683E6892528356</t>
  </si>
  <si>
    <t>85C64FBCAB076050RF8V</t>
  </si>
  <si>
    <t>TAURUS</t>
  </si>
  <si>
    <t>INV210615</t>
  </si>
  <si>
    <t>1Z0V68F46848289044</t>
  </si>
  <si>
    <t>0B42266</t>
  </si>
  <si>
    <t>VCHME28P</t>
  </si>
  <si>
    <t>FA/ZA-21/00105661</t>
  </si>
  <si>
    <t>VCHMH2SP</t>
  </si>
  <si>
    <t>VCHMHW7P</t>
  </si>
  <si>
    <t>VCHLPS5P</t>
  </si>
  <si>
    <t>VCHMGJNP</t>
  </si>
  <si>
    <t>VCHMHTMP</t>
  </si>
  <si>
    <t>VCHMJTZP</t>
  </si>
  <si>
    <t>VCHMGA3P</t>
  </si>
  <si>
    <t>VCHMH33P</t>
  </si>
  <si>
    <t>VCHMHYKP</t>
  </si>
  <si>
    <t>VCHMDY2P</t>
  </si>
  <si>
    <t>VCHMGVHP</t>
  </si>
  <si>
    <t>VCHMHUSP</t>
  </si>
  <si>
    <t>VCHMJUNP</t>
  </si>
  <si>
    <t>VCHMGJEP</t>
  </si>
  <si>
    <t>VCHMH3DP</t>
  </si>
  <si>
    <t>VCHMJ5MP</t>
  </si>
  <si>
    <t>VCHMH2HP</t>
  </si>
  <si>
    <t>VCHMHW4P</t>
  </si>
  <si>
    <t>VCHMLPMP</t>
  </si>
  <si>
    <t>VCGZUSAP</t>
  </si>
  <si>
    <t>VCGX1XVP</t>
  </si>
  <si>
    <t>VCH53MSP</t>
  </si>
  <si>
    <t>VCH5681P</t>
  </si>
  <si>
    <t>VCGWYYSP</t>
  </si>
  <si>
    <t>VCH4S1RP</t>
  </si>
  <si>
    <t>VCH52DUP</t>
  </si>
  <si>
    <t>VCGYZDLP</t>
  </si>
  <si>
    <t>VCH44LTP</t>
  </si>
  <si>
    <t>VCH55Z0P</t>
  </si>
  <si>
    <t>VCH55PNP</t>
  </si>
  <si>
    <t>VCH55YRP</t>
  </si>
  <si>
    <t>SSG-5049P-E1CTR36L</t>
  </si>
  <si>
    <t>A290024X1404717</t>
  </si>
  <si>
    <t>CSE-847BTS-R1K23LPBP</t>
  </si>
  <si>
    <t>C8470FK09NO0097</t>
  </si>
  <si>
    <t>P1K2ACK31IB3462</t>
  </si>
  <si>
    <t>P1K2ACK31IB3470</t>
  </si>
  <si>
    <t>MBD-X11SPH-nCTF</t>
  </si>
  <si>
    <t>NM212S000704</t>
  </si>
  <si>
    <t>BPN-SAS3-826EL1</t>
  </si>
  <si>
    <t>HB207S029589</t>
  </si>
  <si>
    <t>BPN-SAS3-846EL1</t>
  </si>
  <si>
    <t>HB213S004680</t>
  </si>
  <si>
    <t>JA211S002165</t>
  </si>
  <si>
    <t>1Z9104766840056288</t>
  </si>
  <si>
    <t>01917847</t>
  </si>
  <si>
    <t>Tarox</t>
  </si>
  <si>
    <t>serwer senetic iot yyyy01</t>
  </si>
  <si>
    <t>01917843</t>
  </si>
  <si>
    <t>1Z8041426862563391</t>
  </si>
  <si>
    <t>S45PNA0MC74821</t>
  </si>
  <si>
    <t>ctt</t>
  </si>
  <si>
    <t>A345069X1206936</t>
  </si>
  <si>
    <t>C5100DJ51R70039</t>
  </si>
  <si>
    <t>P20310K49F07443</t>
  </si>
  <si>
    <t>VM211S003563</t>
  </si>
  <si>
    <t>EB20BS010226</t>
  </si>
  <si>
    <t>VR204S013246</t>
  </si>
  <si>
    <t>Intel Xeon E-2226G</t>
  </si>
  <si>
    <t>X113M584  01046</t>
  </si>
  <si>
    <t>E2069941</t>
  </si>
  <si>
    <t>02219120958306</t>
  </si>
  <si>
    <t>WCC6M4AETACN</t>
  </si>
  <si>
    <t>FA/ZA-21/00102333</t>
  </si>
  <si>
    <t>serwer cellar eeee02</t>
  </si>
  <si>
    <t>WCC6M4AET92V</t>
  </si>
  <si>
    <t>WCC6M4AET43E</t>
  </si>
  <si>
    <t>WCC6M5JU8PNP</t>
  </si>
  <si>
    <t>WCC6M3JL671L</t>
  </si>
  <si>
    <t>serwer cellar eeee03</t>
  </si>
  <si>
    <t>WCC6M4AETF6S</t>
  </si>
  <si>
    <t>WCC6M4AET8AE</t>
  </si>
  <si>
    <t>WCC6M5JU8009</t>
  </si>
  <si>
    <t>WCC6M5JU82FZ</t>
  </si>
  <si>
    <t>serwer cellar eeee04</t>
  </si>
  <si>
    <t>WCC6M3JL6HNK</t>
  </si>
  <si>
    <t>WCC6M3JL6FL8</t>
  </si>
  <si>
    <t>WCC6M4AETE4P</t>
  </si>
  <si>
    <t>WCC6M2RS6F6A</t>
  </si>
  <si>
    <t>serwer cellar eeee05</t>
  </si>
  <si>
    <t>WCC6M4AETHVR</t>
  </si>
  <si>
    <t>WCC6M4AET7ZZ</t>
  </si>
  <si>
    <t>serwer cellar eeee06</t>
  </si>
  <si>
    <t>WCC6M5JU8H59</t>
  </si>
  <si>
    <t>WCC6M3JL67N1</t>
  </si>
  <si>
    <t>serwer cellar eeee07</t>
  </si>
  <si>
    <t>WCC6M5JU89A2</t>
  </si>
  <si>
    <t>WCC6M3JL6A44</t>
  </si>
  <si>
    <t>serwer cellar eeee09</t>
  </si>
  <si>
    <t>C8150LJ50P00334</t>
  </si>
  <si>
    <t>P5041CK49NB0414</t>
  </si>
  <si>
    <t>P5041CK49NB0413</t>
  </si>
  <si>
    <t>EB205S004511</t>
  </si>
  <si>
    <t>C8150LJ50P00332</t>
  </si>
  <si>
    <t>P5041CK49NB0172</t>
  </si>
  <si>
    <t>P5041CK49NB0360</t>
  </si>
  <si>
    <t>EB205S004519</t>
  </si>
  <si>
    <t>C8150LJ50P00335</t>
  </si>
  <si>
    <t>P5041CK49NB0354</t>
  </si>
  <si>
    <t>P5041CK49NB0415</t>
  </si>
  <si>
    <t>EB205S004514</t>
  </si>
  <si>
    <t>C8150LJ50P00336</t>
  </si>
  <si>
    <t>P5041CK49NB0356</t>
  </si>
  <si>
    <t>P5041CK49NB0355</t>
  </si>
  <si>
    <t>EB205S003690</t>
  </si>
  <si>
    <t>C8150LJ50P00337</t>
  </si>
  <si>
    <t>serwer cellar eeee08</t>
  </si>
  <si>
    <t>P5041CK49NB0358</t>
  </si>
  <si>
    <t>P5041CK49NB0357</t>
  </si>
  <si>
    <t>EB205S003686</t>
  </si>
  <si>
    <t>C8150LJ50P00338</t>
  </si>
  <si>
    <t>P5041CK49NB0161</t>
  </si>
  <si>
    <t>P5041CK49NB0359</t>
  </si>
  <si>
    <t>EB205S003689</t>
  </si>
  <si>
    <t>C8150LJ50P00333</t>
  </si>
  <si>
    <t>P5041CK49NB0412</t>
  </si>
  <si>
    <t>P5041CK49NB0353</t>
  </si>
  <si>
    <t>EB205S004513</t>
  </si>
  <si>
    <t>MBD-X11SPW-TF-O</t>
  </si>
  <si>
    <t>OM211S019189</t>
  </si>
  <si>
    <t>serwer cellar eeee01</t>
  </si>
  <si>
    <t>OM20CS015987</t>
  </si>
  <si>
    <t>OM211S019223</t>
  </si>
  <si>
    <t>OM211S019191</t>
  </si>
  <si>
    <t>OM211S019239</t>
  </si>
  <si>
    <t>OM211S019161</t>
  </si>
  <si>
    <t>OM211S019160</t>
  </si>
  <si>
    <t>OM211S019234</t>
  </si>
  <si>
    <t>OM211S019219</t>
  </si>
  <si>
    <t>BTR-CV3108-1U1</t>
  </si>
  <si>
    <t>HA208S002544</t>
  </si>
  <si>
    <t>HA208S001531</t>
  </si>
  <si>
    <t>HA208S002879</t>
  </si>
  <si>
    <t>HA208S000704</t>
  </si>
  <si>
    <t>HA208S002778</t>
  </si>
  <si>
    <t>HA208S000068</t>
  </si>
  <si>
    <t>HA208S001492</t>
  </si>
  <si>
    <t>HA208S001545</t>
  </si>
  <si>
    <t>HA208S002819</t>
  </si>
  <si>
    <t>VR212S015195</t>
  </si>
  <si>
    <t>VR212S015193</t>
  </si>
  <si>
    <t>VR212S015194</t>
  </si>
  <si>
    <t>VR212S015192</t>
  </si>
  <si>
    <t>VR212S015190</t>
  </si>
  <si>
    <t>VR212S015191</t>
  </si>
  <si>
    <t>VR212S015158</t>
  </si>
  <si>
    <t>VR212S015157</t>
  </si>
  <si>
    <t>VR212S015156</t>
  </si>
  <si>
    <t>VR211S004033</t>
  </si>
  <si>
    <t>VR211S004054</t>
  </si>
  <si>
    <t>VR211S004126</t>
  </si>
  <si>
    <t>VR211S004053</t>
  </si>
  <si>
    <t>VR211S004032</t>
  </si>
  <si>
    <t>VR211S004031</t>
  </si>
  <si>
    <t>VR211S004055</t>
  </si>
  <si>
    <t>VR211S004058</t>
  </si>
  <si>
    <t>VR211S004056</t>
  </si>
  <si>
    <t>M393A2K40DB3-CWE</t>
  </si>
  <si>
    <t>SNJ090</t>
  </si>
  <si>
    <t>Memory Solution</t>
  </si>
  <si>
    <t>SNJ091</t>
  </si>
  <si>
    <t>SNJ092</t>
  </si>
  <si>
    <t>SNJ093</t>
  </si>
  <si>
    <t>SNJ094</t>
  </si>
  <si>
    <t>SNJ095</t>
  </si>
  <si>
    <t>SNJ096</t>
  </si>
  <si>
    <t>SNJ097</t>
  </si>
  <si>
    <t>SNJ098</t>
  </si>
  <si>
    <t>SNJ099</t>
  </si>
  <si>
    <t>SNJ100</t>
  </si>
  <si>
    <t>SNJ101</t>
  </si>
  <si>
    <t>SNJ102</t>
  </si>
  <si>
    <t>SNJ103</t>
  </si>
  <si>
    <t>SNJ104</t>
  </si>
  <si>
    <t>SNJ105</t>
  </si>
  <si>
    <t>SNJ106</t>
  </si>
  <si>
    <t>SNJ107</t>
  </si>
  <si>
    <t>1Z0V68F46848293431</t>
  </si>
  <si>
    <t>WCC6M5JU8E9P</t>
  </si>
  <si>
    <t>FA/ZA-21/00106811</t>
  </si>
  <si>
    <t>WCC6M3JL6P8Z</t>
  </si>
  <si>
    <t>WCC6M5JU8VEL</t>
  </si>
  <si>
    <t>WCC6M5JU87EK</t>
  </si>
  <si>
    <t>9361-8i 2GB 05-25420-17</t>
  </si>
  <si>
    <t>SK02281284</t>
  </si>
  <si>
    <t>Abacus</t>
  </si>
  <si>
    <t>FVZ2131633</t>
  </si>
  <si>
    <t>SK93267572</t>
  </si>
  <si>
    <t>SK02281204</t>
  </si>
  <si>
    <t>SK02281433</t>
  </si>
  <si>
    <t>SK02467456</t>
  </si>
  <si>
    <t>SK02281318</t>
  </si>
  <si>
    <t>SK02386553</t>
  </si>
  <si>
    <t>SK02281310</t>
  </si>
  <si>
    <t>SK02281213</t>
  </si>
  <si>
    <t>C8150LJ50P00142</t>
  </si>
  <si>
    <t>P5041CK49NB0434</t>
  </si>
  <si>
    <t>P5041CK49NB0437</t>
  </si>
  <si>
    <t>EB205S005118</t>
  </si>
  <si>
    <t>C8150LJ50P00145</t>
  </si>
  <si>
    <t>P5041CK49NB0421</t>
  </si>
  <si>
    <t>P5041CK49NB0424</t>
  </si>
  <si>
    <t>EB205S005120</t>
  </si>
  <si>
    <t>JJD000030141271000000462411</t>
  </si>
  <si>
    <t>WCC6M5ATHPK8</t>
  </si>
  <si>
    <t>WCC6M5ATHCSF</t>
  </si>
  <si>
    <t>WCC6M5ATHE0C</t>
  </si>
  <si>
    <t>71PN545300192</t>
  </si>
  <si>
    <t>A2095192</t>
  </si>
  <si>
    <t>71PN545300167</t>
  </si>
  <si>
    <t>71PN545300023</t>
  </si>
  <si>
    <t>713H85X500354</t>
  </si>
  <si>
    <t>713H85X500023</t>
  </si>
  <si>
    <t>710Q22U801205</t>
  </si>
  <si>
    <t>710Q22U800637</t>
  </si>
  <si>
    <t>71776YA000774</t>
  </si>
  <si>
    <t>710Q22U800434</t>
  </si>
  <si>
    <t>Intel Xeon Silver 4208</t>
  </si>
  <si>
    <t xml:space="preserve">Intel Xeon E-2136 </t>
  </si>
  <si>
    <t>X038G895 01724</t>
  </si>
  <si>
    <t>E2040075</t>
  </si>
  <si>
    <t>serwer pancernik qqqq01</t>
  </si>
  <si>
    <t>1Z9104766842666919</t>
  </si>
  <si>
    <t>01917840</t>
  </si>
  <si>
    <t>01917842</t>
  </si>
  <si>
    <t>SYS-5019C-M</t>
  </si>
  <si>
    <t>A326082X1407959</t>
  </si>
  <si>
    <t>CSE-813MFTQC-350CB2</t>
  </si>
  <si>
    <t>C813MLK03P41217</t>
  </si>
  <si>
    <t>PWS-350-1H</t>
  </si>
  <si>
    <t>P3501AL14YN0058</t>
  </si>
  <si>
    <t>MBD-X11SCM-F</t>
  </si>
  <si>
    <t>ZM213S013288</t>
  </si>
  <si>
    <t>EB213S007792</t>
  </si>
  <si>
    <t>VR213S010969</t>
  </si>
  <si>
    <t>80AD012043132C088D</t>
  </si>
  <si>
    <t>80AD012043132C08AF</t>
  </si>
  <si>
    <t>80AD012043132C08CC</t>
  </si>
  <si>
    <t>80AD012043132C08EA</t>
  </si>
  <si>
    <t>80AD012043132C087F</t>
  </si>
  <si>
    <t>80AD012043132C08EB</t>
  </si>
  <si>
    <t>80AD012043132C0900</t>
  </si>
  <si>
    <t>80AD012043132C08F0</t>
  </si>
  <si>
    <t>KVR26N19S8/16</t>
  </si>
  <si>
    <t>2046 0000008975460-S002765</t>
  </si>
  <si>
    <t>serwer xyzyy senetic</t>
  </si>
  <si>
    <t>2046 0000008975460-S001865</t>
  </si>
  <si>
    <t>2046 0000008975460-S000229</t>
  </si>
  <si>
    <t>2046 0000008975460-S000670</t>
  </si>
  <si>
    <t>CSE-743TQ-1200B-SQ</t>
  </si>
  <si>
    <t>C7430FJ25MH0148</t>
  </si>
  <si>
    <t>PWS-1K25P-PQ</t>
  </si>
  <si>
    <t>P1K25AJ49A08483</t>
  </si>
  <si>
    <t>BPN-SAS743TQ</t>
  </si>
  <si>
    <t>EB201S017074</t>
  </si>
  <si>
    <t>1Z8603RR6851776074</t>
  </si>
  <si>
    <t>U0PP942202758</t>
  </si>
  <si>
    <t>1Z0V68F46848259942</t>
  </si>
  <si>
    <t>WCC6N0KJXS07</t>
  </si>
  <si>
    <t>FA/ZA-21/00098002</t>
  </si>
  <si>
    <t>WCC6N0KJXHA2</t>
  </si>
  <si>
    <t>WCC6N0KJXU2N</t>
  </si>
  <si>
    <t>WCC6N0KJX871</t>
  </si>
  <si>
    <t>0F31284</t>
  </si>
  <si>
    <t>XHG7K03H</t>
  </si>
  <si>
    <t>MBD-X11SCA-B</t>
  </si>
  <si>
    <t>VM213S002847</t>
  </si>
  <si>
    <t>SK02281485</t>
  </si>
  <si>
    <t>HDS-TMN0-KXG60ZNV1T02</t>
  </si>
  <si>
    <t>70DZZ085FQG1</t>
  </si>
  <si>
    <t>Intel Core i9-9900K</t>
  </si>
  <si>
    <t>Windows 10 PRO English x64</t>
  </si>
  <si>
    <t>Windows 2019 STD Polish</t>
  </si>
  <si>
    <t>Windows CAL 2019 Polish</t>
  </si>
  <si>
    <t>04291028188681</t>
  </si>
  <si>
    <t>02219117843723</t>
  </si>
  <si>
    <t>02219121120021</t>
  </si>
  <si>
    <t>02219121120009</t>
  </si>
  <si>
    <t>02219121120024</t>
  </si>
  <si>
    <t>02219121120023</t>
  </si>
  <si>
    <t>SSDSC2KG480G801</t>
  </si>
  <si>
    <t>PHYG014400NM480BGN</t>
  </si>
  <si>
    <t>serwer senetic zyxz01</t>
  </si>
  <si>
    <t>PHYG014400MT480BGN</t>
  </si>
  <si>
    <t>PHYG108303FY480BGN</t>
  </si>
  <si>
    <t>PHYG013600ZJ480BGN</t>
  </si>
  <si>
    <t>BTYF05160026240AGN</t>
  </si>
  <si>
    <t>BTYF05160394240AGN</t>
  </si>
  <si>
    <t>M393A2K43DB3-CWE</t>
  </si>
  <si>
    <t>SNI703</t>
  </si>
  <si>
    <t>SNI704</t>
  </si>
  <si>
    <t>JJD000034728811848080013</t>
  </si>
  <si>
    <t>7D6782D2E28715C9RG24</t>
  </si>
  <si>
    <t>JJD000034728811866680019</t>
  </si>
  <si>
    <t>9341-8i 05-26106-00</t>
  </si>
  <si>
    <t>SPA4410552</t>
  </si>
  <si>
    <t>SYS-6029P-WTRT</t>
  </si>
  <si>
    <t>A264452X1206794</t>
  </si>
  <si>
    <t>CSE-826BAC4-R1K23WB</t>
  </si>
  <si>
    <t>C8260FK03NI0027</t>
  </si>
  <si>
    <t>P1K2ACK31IB0416</t>
  </si>
  <si>
    <t>P1K2ACK31IB0580</t>
  </si>
  <si>
    <t>MBD-X11DDW-NT</t>
  </si>
  <si>
    <t>OM211S016266</t>
  </si>
  <si>
    <t>HB211S014333</t>
  </si>
  <si>
    <t>RSC-R2UW-2E8R</t>
  </si>
  <si>
    <t>VR211S006472</t>
  </si>
  <si>
    <t>RSC-R2UW-2E8E16+</t>
  </si>
  <si>
    <t>VR211S000798</t>
  </si>
  <si>
    <t>HDS-I2T0-SSDSC2KB240G</t>
  </si>
  <si>
    <t>KSM32ED8/16HD</t>
  </si>
  <si>
    <t>2104 0000009075198-S000206</t>
  </si>
  <si>
    <t>FS21_011659</t>
  </si>
  <si>
    <t>serwer excape tttt01</t>
  </si>
  <si>
    <t>2104 0000009075198-S000148</t>
  </si>
  <si>
    <t>VR212S003450</t>
  </si>
  <si>
    <t>MBD-X11SCM-F-O</t>
  </si>
  <si>
    <t>ZM211S012735</t>
  </si>
  <si>
    <t>jjd000030015961000088349108</t>
  </si>
  <si>
    <t>U1850YB501948</t>
  </si>
  <si>
    <t>E2066860</t>
  </si>
  <si>
    <t>C813MLJ51P50006</t>
  </si>
  <si>
    <t>P3501AK42UN1875</t>
  </si>
  <si>
    <t>EB209S007226</t>
  </si>
  <si>
    <t>BTYF11700082480BGN</t>
  </si>
  <si>
    <t>E2074477</t>
  </si>
  <si>
    <t>Intel Xeon E-2176G</t>
  </si>
  <si>
    <t>1Z8603RR6851825672</t>
  </si>
  <si>
    <t>WCC6N0CL68EC</t>
  </si>
  <si>
    <t>Serwer A364367X1300393</t>
  </si>
  <si>
    <t>WCC6N2LXNND0</t>
  </si>
  <si>
    <t>1Z0V68F46848358380</t>
  </si>
  <si>
    <t>80LR242402239</t>
  </si>
  <si>
    <t>FA/ZA-21/00124267</t>
  </si>
  <si>
    <t>0B35948</t>
  </si>
  <si>
    <t>V1JZG41G</t>
  </si>
  <si>
    <t>MZ7KH240HAHQ-00005</t>
  </si>
  <si>
    <t>S47LNA0N714491</t>
  </si>
  <si>
    <t>1Z8603RR6851869689</t>
  </si>
  <si>
    <t>M471A1K43CB1-CTD</t>
  </si>
  <si>
    <t>SNJ605</t>
  </si>
  <si>
    <t>SNJ606</t>
  </si>
  <si>
    <t>SYS-5029C-TN2</t>
  </si>
  <si>
    <t>A364367X1300393</t>
  </si>
  <si>
    <t>CSE-721TQ-250B</t>
  </si>
  <si>
    <t>C7210FJ23A60253</t>
  </si>
  <si>
    <t>PWS-251-1H</t>
  </si>
  <si>
    <t>P2511AK06A01153</t>
  </si>
  <si>
    <t>MBD-X11SCV-Q</t>
  </si>
  <si>
    <t>ZM211S018212</t>
  </si>
  <si>
    <t>BPN-SAS-733TQ</t>
  </si>
  <si>
    <t>EB211S006165</t>
  </si>
  <si>
    <t>Intel i5-9500</t>
  </si>
  <si>
    <t>01917849</t>
  </si>
  <si>
    <t>serwer senetic kkkk01</t>
  </si>
  <si>
    <t>01917841</t>
  </si>
  <si>
    <t>BTYF117000JG480BGN</t>
  </si>
  <si>
    <t>JJD000030015961000088609523</t>
  </si>
  <si>
    <t>InteL Xeon E-2226G</t>
  </si>
  <si>
    <t>X114M184 00798</t>
  </si>
  <si>
    <t>A20A1189</t>
  </si>
  <si>
    <t>TransPort Prywatny</t>
  </si>
  <si>
    <t>A345069X1311900</t>
  </si>
  <si>
    <t>C5100DJ51R70006</t>
  </si>
  <si>
    <t>P20310K49F07330</t>
  </si>
  <si>
    <t>VM211S003283</t>
  </si>
  <si>
    <t>EB20BS010249</t>
  </si>
  <si>
    <t>VR212S001437</t>
  </si>
  <si>
    <t>02219120956200</t>
  </si>
  <si>
    <t>SPB0409780</t>
  </si>
  <si>
    <t>TECHDAtA</t>
  </si>
  <si>
    <t>sErwEr GLoBtEL NNNN01</t>
  </si>
  <si>
    <t>SKB1076606</t>
  </si>
  <si>
    <t>LSI00418  05-25444-00</t>
  </si>
  <si>
    <t>SK00700220</t>
  </si>
  <si>
    <t>M393A8G40AB2-CWE</t>
  </si>
  <si>
    <t>SNJ454</t>
  </si>
  <si>
    <t>MEMorySoLutIoN</t>
  </si>
  <si>
    <t>SNJ455</t>
  </si>
  <si>
    <t>SNJ456</t>
  </si>
  <si>
    <t>SNJ457</t>
  </si>
  <si>
    <t>SNJ458</t>
  </si>
  <si>
    <t>SNJ459</t>
  </si>
  <si>
    <t>SNJ460</t>
  </si>
  <si>
    <t>SNJ461</t>
  </si>
  <si>
    <t>1ZA6683E6892866179</t>
  </si>
  <si>
    <t>INtEL XEoN GoLD 5222</t>
  </si>
  <si>
    <t>93736FBC53944ECFRF8V</t>
  </si>
  <si>
    <t>TAurus</t>
  </si>
  <si>
    <t>INV210839</t>
  </si>
  <si>
    <t>1Z0V68F46848404212</t>
  </si>
  <si>
    <t>VCHUX36P</t>
  </si>
  <si>
    <t>ACtIoN</t>
  </si>
  <si>
    <t>FA/ZA-21/00135969</t>
  </si>
  <si>
    <t>VCHUX42P</t>
  </si>
  <si>
    <t>VCHUT87P</t>
  </si>
  <si>
    <t>VCHUV8BP</t>
  </si>
  <si>
    <t>VCHUSEMP</t>
  </si>
  <si>
    <t>VCHUSVGP</t>
  </si>
  <si>
    <t>VCHUNA4P</t>
  </si>
  <si>
    <t>VCHU1J4P</t>
  </si>
  <si>
    <t>VCHUR1NP</t>
  </si>
  <si>
    <t>VCHU09RP</t>
  </si>
  <si>
    <t>VCHTASPP</t>
  </si>
  <si>
    <t>VCHUTD3P</t>
  </si>
  <si>
    <t>1Z0V68F46848409959</t>
  </si>
  <si>
    <t>VCHNTT5P</t>
  </si>
  <si>
    <t>FA/ZA-21/00138308</t>
  </si>
  <si>
    <t>VCHU1D3P</t>
  </si>
  <si>
    <t>VCHUV1VP</t>
  </si>
  <si>
    <t>VCHNLTAP</t>
  </si>
  <si>
    <t>VCHPVYTP</t>
  </si>
  <si>
    <t>VCHUSH3P</t>
  </si>
  <si>
    <t>VCHUX1BP</t>
  </si>
  <si>
    <t>VCHPME2P</t>
  </si>
  <si>
    <t>VCHU1JDP</t>
  </si>
  <si>
    <t>VCHUV28P</t>
  </si>
  <si>
    <t>VCHNSHKP</t>
  </si>
  <si>
    <t>VCHR4WYP</t>
  </si>
  <si>
    <t>VCHUUTUP</t>
  </si>
  <si>
    <t>VCHUX3TP</t>
  </si>
  <si>
    <t>VCHPMH0P</t>
  </si>
  <si>
    <t>VCHUN9RP</t>
  </si>
  <si>
    <t>VCHUV90P</t>
  </si>
  <si>
    <t>VCHU1BGP</t>
  </si>
  <si>
    <t>VCHUUXTP</t>
  </si>
  <si>
    <t>VCHUXDEP</t>
  </si>
  <si>
    <t>TrANsPort PrywAtNy</t>
  </si>
  <si>
    <t>A290024X1504582</t>
  </si>
  <si>
    <t>SupErMICro</t>
  </si>
  <si>
    <t>C8470FK09NP0057</t>
  </si>
  <si>
    <t>P1K2ACL05VB1308</t>
  </si>
  <si>
    <t>P1K2ACL05VB1307</t>
  </si>
  <si>
    <t>MBD-X11SPH-NCTF</t>
  </si>
  <si>
    <t>OM214S014444</t>
  </si>
  <si>
    <t>HB20CS013381</t>
  </si>
  <si>
    <t>HB214S032009</t>
  </si>
  <si>
    <t>JA212S000982</t>
  </si>
  <si>
    <t>MEGARAID 9361-8I</t>
  </si>
  <si>
    <t>MBD-X11DPI-N-O</t>
  </si>
  <si>
    <t>HM206S000146</t>
  </si>
  <si>
    <t>SuPErMICro</t>
  </si>
  <si>
    <t>W SERWERZE NAZWA.PL hghg0002</t>
  </si>
  <si>
    <t>HM206S000030</t>
  </si>
  <si>
    <t>W SERWERZE NAZWA.PL hghg0001</t>
  </si>
  <si>
    <t>JJD000030015961000088349108</t>
  </si>
  <si>
    <t>INtEL XEoN SILvEr 4215R</t>
  </si>
  <si>
    <t>0BD75DBF08236B7ERGZE</t>
  </si>
  <si>
    <t>E2066859</t>
  </si>
  <si>
    <t>0BE1F3BC6FDB7F74RGZE</t>
  </si>
  <si>
    <t>0BE9A9C0DD5A2AA0RGZE</t>
  </si>
  <si>
    <t>11AC14BDC7D5314ERGZE</t>
  </si>
  <si>
    <t>1Z0V68F46848324497</t>
  </si>
  <si>
    <t>B1103C071CRE68793009</t>
  </si>
  <si>
    <t>FA/ZA-21/00114864</t>
  </si>
  <si>
    <t>B11504071CRE68793009</t>
  </si>
  <si>
    <t>SPB0716470</t>
  </si>
  <si>
    <t>SPB0718890</t>
  </si>
  <si>
    <t xml:space="preserve">393A8G40AB2-CWE </t>
  </si>
  <si>
    <t>SNJ462</t>
  </si>
  <si>
    <t>SNJ463</t>
  </si>
  <si>
    <t>SNJ464</t>
  </si>
  <si>
    <t>SNJ465</t>
  </si>
  <si>
    <t>SNJ466</t>
  </si>
  <si>
    <t>SNJ467</t>
  </si>
  <si>
    <t>SNJ468</t>
  </si>
  <si>
    <t>SNJ469</t>
  </si>
  <si>
    <t>SNJ470</t>
  </si>
  <si>
    <t>SNJ471</t>
  </si>
  <si>
    <t>SNJ472</t>
  </si>
  <si>
    <t>SNJ473</t>
  </si>
  <si>
    <t>SNJ474</t>
  </si>
  <si>
    <t>SNJ475</t>
  </si>
  <si>
    <t>SNJ476</t>
  </si>
  <si>
    <t>SNJ477</t>
  </si>
  <si>
    <t>1Z4246A56801631383</t>
  </si>
  <si>
    <t>ST1000NM001A</t>
  </si>
  <si>
    <t>WRF017Q9</t>
  </si>
  <si>
    <t>WAvE</t>
  </si>
  <si>
    <t>WRF0346A</t>
  </si>
  <si>
    <t>WRF03459</t>
  </si>
  <si>
    <t>WRF034EW</t>
  </si>
  <si>
    <t>C8250FK11P00029</t>
  </si>
  <si>
    <t>P802ACL10CU0982</t>
  </si>
  <si>
    <t>P802ACL10CU0981</t>
  </si>
  <si>
    <t>EB206S001995</t>
  </si>
  <si>
    <t>C8250FK11P00098</t>
  </si>
  <si>
    <t>P802ACL10CU0850</t>
  </si>
  <si>
    <t>P802ACL10CU0856</t>
  </si>
  <si>
    <t>EB205S001196</t>
  </si>
  <si>
    <t>SAS 9300-8e  H5-25460-00</t>
  </si>
  <si>
    <t>SPB0100749</t>
  </si>
  <si>
    <t>SPB1600838</t>
  </si>
  <si>
    <t>SPB0100903</t>
  </si>
  <si>
    <t>SPB0100774</t>
  </si>
  <si>
    <t>SAS 9300-8I  H5-25573-00</t>
  </si>
  <si>
    <t>1Z0V68F46848229948</t>
  </si>
  <si>
    <t>X550T2BLK</t>
  </si>
  <si>
    <t>B49691B99BF00041021CRH86377006</t>
  </si>
  <si>
    <t>FW/ZA-21/00000050</t>
  </si>
  <si>
    <t>W SERWERZE BERKOM ccc01</t>
  </si>
  <si>
    <t>1Z4971486823299055</t>
  </si>
  <si>
    <t>Intel Xeon W-2245</t>
  </si>
  <si>
    <t>M17HU35601527</t>
  </si>
  <si>
    <t>DR6273232</t>
  </si>
  <si>
    <t>MBD-X11SRA-RF-O</t>
  </si>
  <si>
    <t>VM201S004622</t>
  </si>
  <si>
    <t>CSE-745BAC-R1K28B2</t>
  </si>
  <si>
    <t>C7450FJ39MS0159</t>
  </si>
  <si>
    <t>PWS-1K28P-SQ</t>
  </si>
  <si>
    <t>P1K28CK34UB2473</t>
  </si>
  <si>
    <t>P1K28CK34UB3139</t>
  </si>
  <si>
    <t>BPN-SAS3-743A</t>
  </si>
  <si>
    <t>PB202S012315</t>
  </si>
  <si>
    <t>MZ-76P512B/EU</t>
  </si>
  <si>
    <t>S42YNX0R405325</t>
  </si>
  <si>
    <t>MZ-76P1T0B/EU</t>
  </si>
  <si>
    <t>S42NNX0R408767</t>
  </si>
  <si>
    <t>MZ-V7ST0BW</t>
  </si>
  <si>
    <t>S4J4NX0R506447</t>
  </si>
  <si>
    <t>M393A4K40CB2-CVF</t>
  </si>
  <si>
    <t>SNJ632</t>
  </si>
  <si>
    <t>SNJ633</t>
  </si>
  <si>
    <t>SNJ634</t>
  </si>
  <si>
    <t>SNJ635</t>
  </si>
  <si>
    <t>Windows 10 Pro Polish x64</t>
  </si>
  <si>
    <t>03307141729015</t>
  </si>
  <si>
    <t>1Z47X25X0473050043</t>
  </si>
  <si>
    <t>M391A2K43BB1-CTD</t>
  </si>
  <si>
    <t>SNJ414</t>
  </si>
  <si>
    <t>EG ELECTRONICS</t>
  </si>
  <si>
    <t>W SERWERZE TISS aaa01</t>
  </si>
  <si>
    <t>SNJ415</t>
  </si>
  <si>
    <t>PHYF120400Z6480BGN</t>
  </si>
  <si>
    <t>E2085718</t>
  </si>
  <si>
    <t>PHYF120400Z2480BGN</t>
  </si>
  <si>
    <t>1Z0V68F46848487875</t>
  </si>
  <si>
    <t>U1YP773201970</t>
  </si>
  <si>
    <t>FA/ZA-21/00160506</t>
  </si>
  <si>
    <t>VA213S024086</t>
  </si>
  <si>
    <t>CSE-847BE1C4-R1K23LPB</t>
  </si>
  <si>
    <t>C8470FK14P00266</t>
  </si>
  <si>
    <t>P1K2ACL08VB0406</t>
  </si>
  <si>
    <t>P1K2ACL08VB0405</t>
  </si>
  <si>
    <t>HB213S004848</t>
  </si>
  <si>
    <t>HB213S001987</t>
  </si>
  <si>
    <t>MBD-X11SCH-F-O</t>
  </si>
  <si>
    <t>ZM214S014568</t>
  </si>
  <si>
    <t>Intel Xeon E-2234</t>
  </si>
  <si>
    <t>40A6B73958A40043720ADJ11367005</t>
  </si>
  <si>
    <t>W SERWERZE NAZWA edc01</t>
  </si>
  <si>
    <t>40A6B73CF9680043920ADJ11367005</t>
  </si>
  <si>
    <t>FW/ZA-21/00000041</t>
  </si>
  <si>
    <t>W SERWERZE NAZWA qaz06</t>
  </si>
  <si>
    <t>40A6B73CFB600043920ADJ11367005</t>
  </si>
  <si>
    <t>W SERWERZE NAZWA wsx02</t>
  </si>
  <si>
    <t>40A6B73CF80C0043920ADJ11367005</t>
  </si>
  <si>
    <t>W SERWERZE NAZWA wsx01</t>
  </si>
  <si>
    <t>40A6B73CD0540043920ADJ11367005</t>
  </si>
  <si>
    <t>W SERWERZE NAZWA qaz05</t>
  </si>
  <si>
    <t>ZM213S008201</t>
  </si>
  <si>
    <t>W SERWERZE NAZWA qaz02</t>
  </si>
  <si>
    <t>ZM213S007443</t>
  </si>
  <si>
    <t>W SERWERZE NAZWA qaz03</t>
  </si>
  <si>
    <t>ZM213S007445</t>
  </si>
  <si>
    <t>W SERWERZE NAZWA qaz01</t>
  </si>
  <si>
    <t>ZM213S007386</t>
  </si>
  <si>
    <t>ZM213S007367</t>
  </si>
  <si>
    <t>W SERWERZE NAZWA wsx03</t>
  </si>
  <si>
    <t>ZM213S007227</t>
  </si>
  <si>
    <t>W SERWERZE NAZWA wsx04</t>
  </si>
  <si>
    <t>ZM213S007223</t>
  </si>
  <si>
    <t>W SERWERZE NAZWA qaz04</t>
  </si>
  <si>
    <t>ZM213S007149</t>
  </si>
  <si>
    <t>ZM213S007387</t>
  </si>
  <si>
    <t>ZM213S007390</t>
  </si>
  <si>
    <t>W SERWERZE NAZWA wsx05</t>
  </si>
  <si>
    <t>ZM213S007391</t>
  </si>
  <si>
    <t>ZM213S007394</t>
  </si>
  <si>
    <t>ZM213S007395</t>
  </si>
  <si>
    <t>W SERWERZE NAZWA edc02</t>
  </si>
  <si>
    <t>X108K591 00923</t>
  </si>
  <si>
    <t>E2085137</t>
  </si>
  <si>
    <t>X108K591 00261</t>
  </si>
  <si>
    <t>X108K591 00454</t>
  </si>
  <si>
    <t>X108K591 00373</t>
  </si>
  <si>
    <t>X108K591 00779</t>
  </si>
  <si>
    <t>X108K591 00816</t>
  </si>
  <si>
    <t>X108K591 00823</t>
  </si>
  <si>
    <t>X108K591 00299</t>
  </si>
  <si>
    <t>X108K591 00786</t>
  </si>
  <si>
    <t>X108K591 00653</t>
  </si>
  <si>
    <t>X108K591 00503</t>
  </si>
  <si>
    <t>X108K591 00913</t>
  </si>
  <si>
    <t>X108K591 00601</t>
  </si>
  <si>
    <t>C8150LJ51P00090</t>
  </si>
  <si>
    <t>P5041CK51SB1264</t>
  </si>
  <si>
    <t>P5041CK51SB1263</t>
  </si>
  <si>
    <t>EB209S007705</t>
  </si>
  <si>
    <t>C8150LJ51P00097</t>
  </si>
  <si>
    <t>P5041CK51SB1317</t>
  </si>
  <si>
    <t>P5041CK51SB1301</t>
  </si>
  <si>
    <t>EB209S007050</t>
  </si>
  <si>
    <t>C8150LJ51P00094</t>
  </si>
  <si>
    <t>P5041CK51SB1311</t>
  </si>
  <si>
    <t>P5041CK51SB1315</t>
  </si>
  <si>
    <t>EB209S007045</t>
  </si>
  <si>
    <t>C8150LJ51P00096</t>
  </si>
  <si>
    <t>P5041CK51SB1319</t>
  </si>
  <si>
    <t>P5041CK51SB1320</t>
  </si>
  <si>
    <t>EB209S007057</t>
  </si>
  <si>
    <t>C8150LJ51P00095</t>
  </si>
  <si>
    <t>P5041CK51SB1314</t>
  </si>
  <si>
    <t>P5041CK51SB1318</t>
  </si>
  <si>
    <t>EB209S007046</t>
  </si>
  <si>
    <t>C8150LJ51P00092</t>
  </si>
  <si>
    <t>P5041CK51SB1504</t>
  </si>
  <si>
    <t>P5041CK51SB1505</t>
  </si>
  <si>
    <t>EB209S007516</t>
  </si>
  <si>
    <t>C8150LJ51P00093</t>
  </si>
  <si>
    <t>P5041CK51SB1312</t>
  </si>
  <si>
    <t>P5041CK51SB1313</t>
  </si>
  <si>
    <t>EB209S007056</t>
  </si>
  <si>
    <t>C8150LJ51P00089</t>
  </si>
  <si>
    <t>P5041CK51SB1266</t>
  </si>
  <si>
    <t>P5041CK51SB1265</t>
  </si>
  <si>
    <t>EB209S007398</t>
  </si>
  <si>
    <t>C8150LJ51P00066</t>
  </si>
  <si>
    <t>P5041CK51SB1338</t>
  </si>
  <si>
    <t>P5041CK51SB1340</t>
  </si>
  <si>
    <t>EB209S007504</t>
  </si>
  <si>
    <t>C8150LJ51P00086</t>
  </si>
  <si>
    <t>P5041CK51SB1280</t>
  </si>
  <si>
    <t>P5041CK51SB1271</t>
  </si>
  <si>
    <t>EB209S007384</t>
  </si>
  <si>
    <t>C8150LJ51P00088</t>
  </si>
  <si>
    <t>P5041CK51SB1268</t>
  </si>
  <si>
    <t>P5041CK51SB1267</t>
  </si>
  <si>
    <t>EB209S007720</t>
  </si>
  <si>
    <t>C8150LJ51P00084</t>
  </si>
  <si>
    <t>P5041CK51SB1277</t>
  </si>
  <si>
    <t>P5041CK51SB1274</t>
  </si>
  <si>
    <t>EB209S007351</t>
  </si>
  <si>
    <t>C8150LJ51P00083</t>
  </si>
  <si>
    <t>P5041CK51SB1276</t>
  </si>
  <si>
    <t>P5041CK51SB1275</t>
  </si>
  <si>
    <t>EB209S007385</t>
  </si>
  <si>
    <t>VR212S009400</t>
  </si>
  <si>
    <t>VR212S009396</t>
  </si>
  <si>
    <t>VR212S009410</t>
  </si>
  <si>
    <t>VR212S009394</t>
  </si>
  <si>
    <t>VR212S009404</t>
  </si>
  <si>
    <t>VR212S009399</t>
  </si>
  <si>
    <t>VR212S009403</t>
  </si>
  <si>
    <t>VR212S009398</t>
  </si>
  <si>
    <t>VR212S009393</t>
  </si>
  <si>
    <t>VR212S009397</t>
  </si>
  <si>
    <t>VR212S009402</t>
  </si>
  <si>
    <t>VR212S009401</t>
  </si>
  <si>
    <t>VR212S009395</t>
  </si>
  <si>
    <t>ZR20CS000143</t>
  </si>
  <si>
    <t>ZR20CS000192</t>
  </si>
  <si>
    <t>ZR20CS000230</t>
  </si>
  <si>
    <t>ZR20CS000058</t>
  </si>
  <si>
    <t>ZR20CS000050</t>
  </si>
  <si>
    <t>ZR20CS000245</t>
  </si>
  <si>
    <t>ZR20CS000164</t>
  </si>
  <si>
    <t>ZR20CS000322</t>
  </si>
  <si>
    <t>ZR20CS000167</t>
  </si>
  <si>
    <t>ZR20CS000171</t>
  </si>
  <si>
    <t>ZR20CS000051</t>
  </si>
  <si>
    <t>ZR20CS000266</t>
  </si>
  <si>
    <t>ZR20CS000263</t>
  </si>
  <si>
    <t>40A6B73C86240043920ADJ11367005</t>
  </si>
  <si>
    <t>40A6B73C8D9C0043920ADJ11367005</t>
  </si>
  <si>
    <t>40A6B73C87580043920ADJ11367005</t>
  </si>
  <si>
    <t>40A6B73C87640043920ADJ11367005</t>
  </si>
  <si>
    <t>40A6B73C755C0043920ADJ11367005</t>
  </si>
  <si>
    <t>SSDPE2KX020T801</t>
  </si>
  <si>
    <t>BTLJ111301DN2P0BGN</t>
  </si>
  <si>
    <t>BTLJ104304SL2P0BGN</t>
  </si>
  <si>
    <t>BTLJ1030069W2P0BGN</t>
  </si>
  <si>
    <t>BTLJ103006N72P0BGN</t>
  </si>
  <si>
    <t>BTLJ103006QJ2P0BGN</t>
  </si>
  <si>
    <t>BTLJ111301FK2P0BGN</t>
  </si>
  <si>
    <t>PHLJ108401T82P0BGN</t>
  </si>
  <si>
    <t>PHLJ1084016W2P0BGN</t>
  </si>
  <si>
    <t>BTLJ1043053F2P0BGN</t>
  </si>
  <si>
    <t>PHLJ108401ML2P0BGN</t>
  </si>
  <si>
    <t>BTLJ104306Z62P0BGN</t>
  </si>
  <si>
    <t>PHLJ108401DY2P0BGN</t>
  </si>
  <si>
    <t>SNJ688</t>
  </si>
  <si>
    <t>SNJ689</t>
  </si>
  <si>
    <t>SNJ690</t>
  </si>
  <si>
    <t>SNJ691</t>
  </si>
  <si>
    <t>SNJ692</t>
  </si>
  <si>
    <t>SNJ693</t>
  </si>
  <si>
    <t>SNJ694</t>
  </si>
  <si>
    <t>SNJ695</t>
  </si>
  <si>
    <t>SNJ696</t>
  </si>
  <si>
    <t>SNJ697</t>
  </si>
  <si>
    <t>SNJ698</t>
  </si>
  <si>
    <t>SNJ699</t>
  </si>
  <si>
    <t>SNJ700</t>
  </si>
  <si>
    <t>SNJ701</t>
  </si>
  <si>
    <t>SNJ702</t>
  </si>
  <si>
    <t>SNJ703</t>
  </si>
  <si>
    <t>SNJ704</t>
  </si>
  <si>
    <t>SNJ705</t>
  </si>
  <si>
    <t>SNJ706</t>
  </si>
  <si>
    <t>SNJ707</t>
  </si>
  <si>
    <t>SNJ708</t>
  </si>
  <si>
    <t>SNJ709</t>
  </si>
  <si>
    <t>SNJ710</t>
  </si>
  <si>
    <t>SNJ711</t>
  </si>
  <si>
    <t>SNJ712</t>
  </si>
  <si>
    <t>SNJ713</t>
  </si>
  <si>
    <t>SNJ714</t>
  </si>
  <si>
    <t>SNJ715</t>
  </si>
  <si>
    <t>IN4T32GEFRUX</t>
  </si>
  <si>
    <t>SNJ718</t>
  </si>
  <si>
    <t>SNJ719</t>
  </si>
  <si>
    <t>SNJ720</t>
  </si>
  <si>
    <t>SNJ721</t>
  </si>
  <si>
    <t>SNJ722</t>
  </si>
  <si>
    <t>SNJ723</t>
  </si>
  <si>
    <t>SNJ724</t>
  </si>
  <si>
    <t>SNJ725</t>
  </si>
  <si>
    <t>SNJ726</t>
  </si>
  <si>
    <t>SNJ727</t>
  </si>
  <si>
    <t>SNJ728</t>
  </si>
  <si>
    <t>SNJ729</t>
  </si>
  <si>
    <t>SNJ730</t>
  </si>
  <si>
    <t>SNJ731</t>
  </si>
  <si>
    <t>SNJ732</t>
  </si>
  <si>
    <t>SNJ733</t>
  </si>
  <si>
    <t>SNJ734</t>
  </si>
  <si>
    <t>SNJ735</t>
  </si>
  <si>
    <t>SNJ736</t>
  </si>
  <si>
    <t>SNJ737</t>
  </si>
  <si>
    <t>SNJ738</t>
  </si>
  <si>
    <t>SNJ739</t>
  </si>
  <si>
    <t>SNJ740</t>
  </si>
  <si>
    <t>SNJ741</t>
  </si>
  <si>
    <t>WD1005FBYZ-01YCBB3</t>
  </si>
  <si>
    <t>WCC6M0CVC8N5</t>
  </si>
  <si>
    <t>WCC6M0CVCN5X</t>
  </si>
  <si>
    <t>WCC6M5ZE5NKC</t>
  </si>
  <si>
    <t>WCC6M6CNLECY</t>
  </si>
  <si>
    <t>WCC6M1US762Y</t>
  </si>
  <si>
    <t>WCC6M5ZE5ULZ</t>
  </si>
  <si>
    <t>WCC6M0CVCTR6</t>
  </si>
  <si>
    <t>WCC6M0CVC52V</t>
  </si>
  <si>
    <t>WCC6M6CNLR0H</t>
  </si>
  <si>
    <t>WCC6M0CVCNFK</t>
  </si>
  <si>
    <t>WCC6M6CNL6T1</t>
  </si>
  <si>
    <t>WCC6M6CNLA11</t>
  </si>
  <si>
    <t>WCC6M1US7TE4</t>
  </si>
  <si>
    <t>WCC6M0CVC72D</t>
  </si>
  <si>
    <t>WCC6M5ZE5C7R</t>
  </si>
  <si>
    <t>WCC6M7EJAX4T</t>
  </si>
  <si>
    <t>WCC6M0CVC11J</t>
  </si>
  <si>
    <t>WCC6M6CNLVJ3</t>
  </si>
  <si>
    <t>WCC6M2TSTV91</t>
  </si>
  <si>
    <t>WCC6M3NDACXJ</t>
  </si>
  <si>
    <t>WCC6M6LNDF1Z</t>
  </si>
  <si>
    <t>WCC6M0CVC70L</t>
  </si>
  <si>
    <t>WCC6M5ZE51ZH</t>
  </si>
  <si>
    <t>WCC6M5ZE5VL7</t>
  </si>
  <si>
    <t>WCC6M5ZE5022</t>
  </si>
  <si>
    <t>WCC6M5ZE5JN6</t>
  </si>
  <si>
    <t>1Z0V68F46848532673</t>
  </si>
  <si>
    <t>40A6B755F3480045220ADJ11367005</t>
  </si>
  <si>
    <t>FA/ZA-21/00173533</t>
  </si>
  <si>
    <t>40A6B755FDA40040121ADJ11367005</t>
  </si>
  <si>
    <t>40A6B755F3100045220ADJ11367005</t>
  </si>
  <si>
    <t>0F38460</t>
  </si>
  <si>
    <t>2CH2M4JN</t>
  </si>
  <si>
    <t>FW/ZA-21/00000093</t>
  </si>
  <si>
    <t>e263684x1701594</t>
  </si>
  <si>
    <t>2BHWEZKN</t>
  </si>
  <si>
    <t>JJD000034728812016010014</t>
  </si>
  <si>
    <t>SKB2185309</t>
  </si>
  <si>
    <t>TECHDATA</t>
  </si>
  <si>
    <t xml:space="preserve">SYS-6029U-TR4T   </t>
  </si>
  <si>
    <t>C829UAK10P20149</t>
  </si>
  <si>
    <t>P1K0ACK45KN2137</t>
  </si>
  <si>
    <t>P1K0ACK45KN2138</t>
  </si>
  <si>
    <t>HB213S012575</t>
  </si>
  <si>
    <t>OM214S003269</t>
  </si>
  <si>
    <t>OA20BS000701</t>
  </si>
  <si>
    <t>VR214S032341</t>
  </si>
  <si>
    <t>VR206S008313</t>
  </si>
  <si>
    <t>M12N621P00160</t>
  </si>
  <si>
    <t>M12N621P00330</t>
  </si>
  <si>
    <t>80AD01211594ED852C</t>
  </si>
  <si>
    <t>80AD01211594ED84CA</t>
  </si>
  <si>
    <t>80AD01211594ED8519</t>
  </si>
  <si>
    <t>80AD01211594ED852B</t>
  </si>
  <si>
    <t>S45RNC0R208560</t>
  </si>
  <si>
    <t>S45RNC0R208413</t>
  </si>
  <si>
    <t>LSI 9380-8i8e</t>
  </si>
  <si>
    <t>E263684X1701594</t>
  </si>
  <si>
    <t>BTYF120304RL480BGN</t>
  </si>
  <si>
    <t>FVZ2133091</t>
  </si>
  <si>
    <t>W SERWERZE A345069X1604542</t>
  </si>
  <si>
    <t>SNJ988</t>
  </si>
  <si>
    <t>SNJ989</t>
  </si>
  <si>
    <t>Transprot Prywatny</t>
  </si>
  <si>
    <t>A345069X1604542</t>
  </si>
  <si>
    <t>C5100DK10R90119</t>
  </si>
  <si>
    <t>P20310K49F07908</t>
  </si>
  <si>
    <t>VM213S005703</t>
  </si>
  <si>
    <t>EB213S003008</t>
  </si>
  <si>
    <t>VR214S015891</t>
  </si>
  <si>
    <t>X125M141 02338</t>
  </si>
  <si>
    <t>E2111993</t>
  </si>
  <si>
    <t>02219122324937</t>
  </si>
  <si>
    <t>HMAA8GR7AJR4N-WM</t>
  </si>
  <si>
    <t>MZ7LH240HAHQ-00005</t>
  </si>
  <si>
    <t>02219122326020</t>
  </si>
  <si>
    <t>W serwerze A345069X1802224</t>
  </si>
  <si>
    <t>02219122326019</t>
  </si>
  <si>
    <t>W SERWERZE A345069X1802231</t>
  </si>
  <si>
    <t>02219122326018</t>
  </si>
  <si>
    <t>W SERWERZE A345069X1802229</t>
  </si>
  <si>
    <t>W SERWERZE A345069X1802223</t>
  </si>
  <si>
    <t>02219122326017</t>
  </si>
  <si>
    <t>PHYF113000G0480BGN</t>
  </si>
  <si>
    <t>FVZ2133211</t>
  </si>
  <si>
    <t>PHYF112601EA480BGN</t>
  </si>
  <si>
    <t>PHYF112601YG480BGN</t>
  </si>
  <si>
    <t>PHYF113001UD480BGN</t>
  </si>
  <si>
    <t>SNK002</t>
  </si>
  <si>
    <t>SNK003</t>
  </si>
  <si>
    <t>SNK004</t>
  </si>
  <si>
    <t>SNK005</t>
  </si>
  <si>
    <t>SNK006</t>
  </si>
  <si>
    <t>SNK007</t>
  </si>
  <si>
    <t>SNK008</t>
  </si>
  <si>
    <t>SNK009</t>
  </si>
  <si>
    <t xml:space="preserve"> X130F152 00485</t>
  </si>
  <si>
    <t>E2122736</t>
  </si>
  <si>
    <t xml:space="preserve"> X130F152 00746</t>
  </si>
  <si>
    <t xml:space="preserve"> X130F152 01362</t>
  </si>
  <si>
    <t xml:space="preserve"> X130F152 00469</t>
  </si>
  <si>
    <t>A345069X1802229</t>
  </si>
  <si>
    <t>C5100DK10R90108</t>
  </si>
  <si>
    <t>VM217S001000</t>
  </si>
  <si>
    <t>VR215S030395</t>
  </si>
  <si>
    <t>P20310L29G27993</t>
  </si>
  <si>
    <t>EB213S002984</t>
  </si>
  <si>
    <t>A345069X1802224</t>
  </si>
  <si>
    <t>C5100DK10R90127</t>
  </si>
  <si>
    <t>VM217S001083</t>
  </si>
  <si>
    <t>VR215S030394</t>
  </si>
  <si>
    <t>P20310L29G27997</t>
  </si>
  <si>
    <t>EB213S002990</t>
  </si>
  <si>
    <t>A345069X1802223</t>
  </si>
  <si>
    <t>C5100DK10R90129</t>
  </si>
  <si>
    <t>VM217S000977</t>
  </si>
  <si>
    <t>VR215S030392</t>
  </si>
  <si>
    <t>P20310L29G27998</t>
  </si>
  <si>
    <t>EB213S002982</t>
  </si>
  <si>
    <t>A345069X1802231</t>
  </si>
  <si>
    <t>C5100DK10R90106</t>
  </si>
  <si>
    <t>VM217S000976</t>
  </si>
  <si>
    <t>VR215S030386</t>
  </si>
  <si>
    <t>P20310L29G27965</t>
  </si>
  <si>
    <t>EB213S002985</t>
  </si>
  <si>
    <t>tarnsport prywatny</t>
  </si>
  <si>
    <t>GPU-NVQP400-V2-EU</t>
  </si>
  <si>
    <t>PG178ME14225115028</t>
  </si>
  <si>
    <t>W SERWERZE E8S0R8000195</t>
  </si>
  <si>
    <t>PG178ME14225115029</t>
  </si>
  <si>
    <t>AMD RYZEN 9 5900X</t>
  </si>
  <si>
    <t>4522565R10253</t>
  </si>
  <si>
    <t>kosatec</t>
  </si>
  <si>
    <t>W SERWERZE E8S0R8000211</t>
  </si>
  <si>
    <t>4522565R10049</t>
  </si>
  <si>
    <t>MZ7LH960HAJR-00005</t>
  </si>
  <si>
    <t>S45NNA0R713439</t>
  </si>
  <si>
    <t>S45NNA0R713435</t>
  </si>
  <si>
    <t>MZ1L2960HCJR-00A07</t>
  </si>
  <si>
    <t>S665NE0R601940</t>
  </si>
  <si>
    <t>S665NE0R602028</t>
  </si>
  <si>
    <t>1U4LW-X570/2L2T RPSU</t>
  </si>
  <si>
    <t>E8S0R8000211</t>
  </si>
  <si>
    <t>Asrock</t>
  </si>
  <si>
    <t>NL-9213621</t>
  </si>
  <si>
    <t>E8S0R8000195</t>
  </si>
  <si>
    <t>KSM32ES8/16ME</t>
  </si>
  <si>
    <t>2126 0000009216676-S000171</t>
  </si>
  <si>
    <t>FS21_042597</t>
  </si>
  <si>
    <t>2126 0000009216676-S000181</t>
  </si>
  <si>
    <t>2126 0000009216676-S000436</t>
  </si>
  <si>
    <t>2126 0000009216676-S000148</t>
  </si>
  <si>
    <t>2126 0000009216676-S000180</t>
  </si>
  <si>
    <t>2126 0000009216676-S000155</t>
  </si>
  <si>
    <t>2126 0000009216676-S000215</t>
  </si>
  <si>
    <t>2126 0000009216676-S000178</t>
  </si>
  <si>
    <t>YVIC0450AM-2A06P10</t>
  </si>
  <si>
    <t>T0A00A6782127000292</t>
  </si>
  <si>
    <t>T0A00A6782127000291</t>
  </si>
  <si>
    <t>X570D4U-2L2T</t>
  </si>
  <si>
    <t>208866810000341</t>
  </si>
  <si>
    <t>2RAKVI008500</t>
  </si>
  <si>
    <t>14121305640340</t>
  </si>
  <si>
    <t>RB1UX16-G4</t>
  </si>
  <si>
    <t>M80-E3016300237</t>
  </si>
  <si>
    <t>T0A00A6782127000234</t>
  </si>
  <si>
    <t>T0A00A6782127000235</t>
  </si>
  <si>
    <t>208866810000131</t>
  </si>
  <si>
    <t>14121305640350</t>
  </si>
  <si>
    <t>M80-E3016300235</t>
  </si>
  <si>
    <t>PHYF113001U5480BGN</t>
  </si>
  <si>
    <t>ATM S.A.</t>
  </si>
  <si>
    <t>W SERWERZE A345069X1807731</t>
  </si>
  <si>
    <t>SNK001</t>
  </si>
  <si>
    <t>SNK010</t>
  </si>
  <si>
    <t>A345069X1807731</t>
  </si>
  <si>
    <t>C5100DK10R90105</t>
  </si>
  <si>
    <t>P20310L29G28018</t>
  </si>
  <si>
    <t>VM217S005967</t>
  </si>
  <si>
    <t>EB213S002938</t>
  </si>
  <si>
    <t>VR216S007388</t>
  </si>
  <si>
    <t>U1M39P9803651     X123H705 03651</t>
  </si>
  <si>
    <t>E2131322</t>
  </si>
  <si>
    <t>Intel Xeon Silver 4310</t>
  </si>
  <si>
    <t>184413F2191D09EDRKXN     718J7A4300121</t>
  </si>
  <si>
    <t>RO/2021/005383/A</t>
  </si>
  <si>
    <t xml:space="preserve">M393A1K43DB1-CVF </t>
  </si>
  <si>
    <t>SNK385</t>
  </si>
  <si>
    <t>F2118061</t>
  </si>
  <si>
    <t>SNK386</t>
  </si>
  <si>
    <t>MBD-X12SPL-F-B</t>
  </si>
  <si>
    <t>WM218S006048</t>
  </si>
  <si>
    <t>KOSATEC</t>
  </si>
  <si>
    <t>PHYG126304UD480BGN</t>
  </si>
  <si>
    <t>PHYG126300NK480BGN</t>
  </si>
  <si>
    <t>CSE-745BTQ-R920B</t>
  </si>
  <si>
    <t>C7450FK20P10138</t>
  </si>
  <si>
    <t>BPN-SAS3-743TQ</t>
  </si>
  <si>
    <t>EB205S017884</t>
  </si>
  <si>
    <t>P9212CL14ON1387</t>
  </si>
  <si>
    <t>P9212CL14ON0869</t>
  </si>
  <si>
    <t>Liteon DVDRW iHAS324-17</t>
  </si>
  <si>
    <t>3743524808 2D8030501892</t>
  </si>
  <si>
    <t>E2140771</t>
  </si>
  <si>
    <t>CSE-743AC-1K26B-SQ</t>
  </si>
  <si>
    <t>W SERWERZE RO/2021/005443/A</t>
  </si>
  <si>
    <t>PWS-1K26P-PQ</t>
  </si>
  <si>
    <t>P1K26AL09AD0755</t>
  </si>
  <si>
    <t>PB20CS008685</t>
  </si>
  <si>
    <t>17F324F2458321A1RKXN       718J7A4301296 </t>
  </si>
  <si>
    <t>Liteon iHAS324-17</t>
  </si>
  <si>
    <t>3743524808 2H8029500845</t>
  </si>
  <si>
    <t>E2143084</t>
  </si>
  <si>
    <t>PHYG12820006480BGN</t>
  </si>
  <si>
    <t>F131298589</t>
  </si>
  <si>
    <t>PHYG1265027Y480BGN</t>
  </si>
  <si>
    <t xml:space="preserve">MBD X12SPL-F </t>
  </si>
  <si>
    <t>WM21AS007816</t>
  </si>
  <si>
    <t>M393A1K43DB1-CVF</t>
  </si>
  <si>
    <t>SNK548</t>
  </si>
  <si>
    <t>F2119147</t>
  </si>
  <si>
    <t>SNK547</t>
  </si>
  <si>
    <t>C7430FK19P00085</t>
  </si>
  <si>
    <t>SAS 9300-8i   H525573-00</t>
  </si>
  <si>
    <t>SPB2004670</t>
  </si>
  <si>
    <t>nazwa nexsto 01</t>
  </si>
  <si>
    <t>SPB2005347</t>
  </si>
  <si>
    <t>nazwa nexsto 03</t>
  </si>
  <si>
    <t>SPB2004668</t>
  </si>
  <si>
    <t>nazwa nexsto 02</t>
  </si>
  <si>
    <t>SPB2006056</t>
  </si>
  <si>
    <t>nazwa nexsto 05</t>
  </si>
  <si>
    <t>SPB2006226</t>
  </si>
  <si>
    <t>nazwa nexsto 04</t>
  </si>
  <si>
    <t>SPB2005526</t>
  </si>
  <si>
    <t>nazwa nexsto 06</t>
  </si>
  <si>
    <t>SPB2006217</t>
  </si>
  <si>
    <t>nazwa nexsto 07</t>
  </si>
  <si>
    <t>SAS 9300-8E  H5-25460-00</t>
  </si>
  <si>
    <t>HDD-A1000-ST1000NM001A</t>
  </si>
  <si>
    <t>WRF06BF8</t>
  </si>
  <si>
    <t>supermicro</t>
  </si>
  <si>
    <t>WRF05D4C</t>
  </si>
  <si>
    <t>WRF058SM</t>
  </si>
  <si>
    <t>WRF065S2</t>
  </si>
  <si>
    <t>WRF06DLA</t>
  </si>
  <si>
    <t>WRF06B52</t>
  </si>
  <si>
    <t>WRF06DHJ</t>
  </si>
  <si>
    <t>WRF06B8Y</t>
  </si>
  <si>
    <t>WRF06MVD</t>
  </si>
  <si>
    <t>WRF065F2</t>
  </si>
  <si>
    <t>WRF06DJK</t>
  </si>
  <si>
    <t>WRF06N1F</t>
  </si>
  <si>
    <t>WRF06C8Y</t>
  </si>
  <si>
    <t>WRF06N15</t>
  </si>
  <si>
    <t>MBD-X11DPI-N-B</t>
  </si>
  <si>
    <t>HM218S007652</t>
  </si>
  <si>
    <t>HM218S006835</t>
  </si>
  <si>
    <t>HM218S007103</t>
  </si>
  <si>
    <t>HM218S007131</t>
  </si>
  <si>
    <t>HM218S007860</t>
  </si>
  <si>
    <t>HM218S007145</t>
  </si>
  <si>
    <t>HM218S007101</t>
  </si>
  <si>
    <t>1Z0V68F46848787041</t>
  </si>
  <si>
    <t>EA7624361CRE68793009</t>
  </si>
  <si>
    <t>FW/ZA-21/00000169</t>
  </si>
  <si>
    <t>EA785C361CRE68793009</t>
  </si>
  <si>
    <t>EA7600361CRE68793009</t>
  </si>
  <si>
    <t>EA7824361CRE68793009</t>
  </si>
  <si>
    <t>EA8650361CRE68793009</t>
  </si>
  <si>
    <t>EA84E4361CRE68793009</t>
  </si>
  <si>
    <t>EA864C361CRE68793009</t>
  </si>
  <si>
    <t xml:space="preserve"> M1L88K0801309  24B220E8F8CF0B12RGZE</t>
  </si>
  <si>
    <t>E2138185</t>
  </si>
  <si>
    <t xml:space="preserve"> M1L88K0801379  24B75AE8263112D1RGZE</t>
  </si>
  <si>
    <t xml:space="preserve"> M1L88K0801229  24B259E874FCCD96RGZE</t>
  </si>
  <si>
    <t xml:space="preserve"> M1L88K0801219  24BD62E877211A5DRGZE</t>
  </si>
  <si>
    <t xml:space="preserve"> M1321UP400297  259E26E8582C0646RGZE</t>
  </si>
  <si>
    <t xml:space="preserve"> M1PH211900502  228F61E895EF0781RGZE</t>
  </si>
  <si>
    <t xml:space="preserve"> M19M1T5200410  24BD30E88EAE1984RGZE</t>
  </si>
  <si>
    <t xml:space="preserve"> M1321UP400589  259C3AE8EA772D00RGZE</t>
  </si>
  <si>
    <t xml:space="preserve"> </t>
  </si>
  <si>
    <t xml:space="preserve"> M18F4R5700137   225247E8B6DDC892RGZE</t>
  </si>
  <si>
    <t>25A41EE8A872E0B9RGZE   M1321UP400321</t>
  </si>
  <si>
    <t>E2139570</t>
  </si>
  <si>
    <t>24762DE84C5B742BRGZE   M1321UP400819</t>
  </si>
  <si>
    <t>24BF36E88156BA48RGZE   M1L88K0801421</t>
  </si>
  <si>
    <t>25A128E897078235RGZE   M1321UP400506</t>
  </si>
  <si>
    <t>229C36E8BBAADA6BRGZE   M1WQ111801265</t>
  </si>
  <si>
    <t>C8250FK36P20200</t>
  </si>
  <si>
    <t>P802ACL33CU0551</t>
  </si>
  <si>
    <t>P802ACL33CU0552</t>
  </si>
  <si>
    <t>EB215S033831</t>
  </si>
  <si>
    <t>C8250FK36P20201</t>
  </si>
  <si>
    <t>P802ACL33CU0553</t>
  </si>
  <si>
    <t>P802ACL33CU0537</t>
  </si>
  <si>
    <t>EB215S033830</t>
  </si>
  <si>
    <t>C8250FK36P20593</t>
  </si>
  <si>
    <t>P802ACL29CU0720</t>
  </si>
  <si>
    <t>P802ACL29CU0723</t>
  </si>
  <si>
    <t>EB215S033227</t>
  </si>
  <si>
    <t>C8250FK36P20592</t>
  </si>
  <si>
    <t>P802ACL29CU0722</t>
  </si>
  <si>
    <t>P802ACL29CU0721</t>
  </si>
  <si>
    <t>EB215S033229</t>
  </si>
  <si>
    <t>C8250FK36P20585</t>
  </si>
  <si>
    <t>P802ACL29CU0497</t>
  </si>
  <si>
    <t>P802ACL29CU0496</t>
  </si>
  <si>
    <t>EB215S033240</t>
  </si>
  <si>
    <t>C8250FK36P20637</t>
  </si>
  <si>
    <t>P802ACL33CU1298</t>
  </si>
  <si>
    <t>P802ACL33CU1341</t>
  </si>
  <si>
    <t>EB215S032490</t>
  </si>
  <si>
    <t>C8250FK36P20661</t>
  </si>
  <si>
    <t>P802ACL33CU1222</t>
  </si>
  <si>
    <t>P802ACL33CU1223</t>
  </si>
  <si>
    <t>EB215S033659</t>
  </si>
  <si>
    <t>SNK418</t>
  </si>
  <si>
    <t>F2118521</t>
  </si>
  <si>
    <t>SNK419</t>
  </si>
  <si>
    <t>SNK420</t>
  </si>
  <si>
    <t>SNK421</t>
  </si>
  <si>
    <t>SNK422</t>
  </si>
  <si>
    <t>SNK423</t>
  </si>
  <si>
    <t>SNK493</t>
  </si>
  <si>
    <t>SNK494</t>
  </si>
  <si>
    <t>SNK495</t>
  </si>
  <si>
    <t>SNK496</t>
  </si>
  <si>
    <t>SNK497</t>
  </si>
  <si>
    <t>SNK498</t>
  </si>
  <si>
    <t>SNK499</t>
  </si>
  <si>
    <t>SNK500</t>
  </si>
  <si>
    <t>SNK501</t>
  </si>
  <si>
    <t>SNK502</t>
  </si>
  <si>
    <t>SNK503</t>
  </si>
  <si>
    <t>SNK504</t>
  </si>
  <si>
    <t>SNK505</t>
  </si>
  <si>
    <t>SNK506</t>
  </si>
  <si>
    <t>SNK507</t>
  </si>
  <si>
    <t>SNK508</t>
  </si>
  <si>
    <t>SNK509</t>
  </si>
  <si>
    <t>SNK510</t>
  </si>
  <si>
    <t>SNK511</t>
  </si>
  <si>
    <t>SNK512</t>
  </si>
  <si>
    <t>SNK513</t>
  </si>
  <si>
    <t>SNK514</t>
  </si>
  <si>
    <t>SNK515</t>
  </si>
  <si>
    <t>SNK516</t>
  </si>
  <si>
    <t>SNK517</t>
  </si>
  <si>
    <t>SNK518</t>
  </si>
  <si>
    <t>SNK519</t>
  </si>
  <si>
    <t>SNK520</t>
  </si>
  <si>
    <t>SNK521</t>
  </si>
  <si>
    <t>SNK522</t>
  </si>
  <si>
    <t>SNK523</t>
  </si>
  <si>
    <t>SNK524</t>
  </si>
  <si>
    <t>SNK525</t>
  </si>
  <si>
    <t>SNK526</t>
  </si>
  <si>
    <t>SNK527</t>
  </si>
  <si>
    <t>SNK528</t>
  </si>
  <si>
    <t>SNK529</t>
  </si>
  <si>
    <t>SNK530</t>
  </si>
  <si>
    <t>SNK531</t>
  </si>
  <si>
    <t>SNK532</t>
  </si>
  <si>
    <t>SNK533</t>
  </si>
  <si>
    <t>SNK534</t>
  </si>
  <si>
    <t>SNK535</t>
  </si>
  <si>
    <t>SNK536</t>
  </si>
  <si>
    <t>SNK537</t>
  </si>
  <si>
    <t>SNK538</t>
  </si>
  <si>
    <t>SNK539</t>
  </si>
  <si>
    <t>SNK540</t>
  </si>
  <si>
    <t>SNK541</t>
  </si>
  <si>
    <t>SNK542</t>
  </si>
  <si>
    <t>SPB1926513</t>
  </si>
  <si>
    <t>SPB1926757</t>
  </si>
  <si>
    <t>SPB1926845</t>
  </si>
  <si>
    <t>SPB1926569</t>
  </si>
  <si>
    <t>SPB1926761</t>
  </si>
  <si>
    <t>SPB1926918</t>
  </si>
  <si>
    <t>SPB1926572</t>
  </si>
  <si>
    <t>SPB1926496</t>
  </si>
  <si>
    <t>SPB1926745</t>
  </si>
  <si>
    <t>SPB1926923</t>
  </si>
  <si>
    <t>SPB1926540</t>
  </si>
  <si>
    <t>SPB1926776</t>
  </si>
  <si>
    <t>SPB1926850</t>
  </si>
  <si>
    <t>SPB1926924</t>
  </si>
  <si>
    <t>SPB2002807</t>
  </si>
  <si>
    <t>nazwa nexsto 11</t>
  </si>
  <si>
    <t>SPB2004757</t>
  </si>
  <si>
    <t>nazwa nexsto 13</t>
  </si>
  <si>
    <t>SPB2006192</t>
  </si>
  <si>
    <t>nazwa nexsto 09</t>
  </si>
  <si>
    <t>SPB2004285</t>
  </si>
  <si>
    <t>nazwa nexsto 10</t>
  </si>
  <si>
    <t>SPB2005402</t>
  </si>
  <si>
    <t>nazwa nexsto 12</t>
  </si>
  <si>
    <t>SPB2003231</t>
  </si>
  <si>
    <t>nazwa nexsto 08</t>
  </si>
  <si>
    <t>SPB2002596</t>
  </si>
  <si>
    <t>nazwa nexsto 14</t>
  </si>
  <si>
    <t>SPB2004536</t>
  </si>
  <si>
    <t>nazwa nexsto 17</t>
  </si>
  <si>
    <t>SPB2005154</t>
  </si>
  <si>
    <t>nazwa nexsto 16</t>
  </si>
  <si>
    <t>SPB2002797</t>
  </si>
  <si>
    <t>nazwa nexsto 18</t>
  </si>
  <si>
    <t>SPB2005087</t>
  </si>
  <si>
    <t>nazwa nexsto 15</t>
  </si>
  <si>
    <t>SPB1926509</t>
  </si>
  <si>
    <t>SPB1926751</t>
  </si>
  <si>
    <t>SPB1926873</t>
  </si>
  <si>
    <t>SPB1926680</t>
  </si>
  <si>
    <t>SPB1926852</t>
  </si>
  <si>
    <t>SPB1926521</t>
  </si>
  <si>
    <t>SPB1926558</t>
  </si>
  <si>
    <t>SPB1926856</t>
  </si>
  <si>
    <t>SPB1926531</t>
  </si>
  <si>
    <t>SPB1926560</t>
  </si>
  <si>
    <t>WRF05G6W</t>
  </si>
  <si>
    <t>WRF05ML4</t>
  </si>
  <si>
    <t>WRF05FP6</t>
  </si>
  <si>
    <t>WRF05G88</t>
  </si>
  <si>
    <t>WRF05G4S</t>
  </si>
  <si>
    <t>WRF05FXN</t>
  </si>
  <si>
    <t>WRF05N3R</t>
  </si>
  <si>
    <t>WRF05MPP</t>
  </si>
  <si>
    <t>WRF05MRC</t>
  </si>
  <si>
    <t>WRF05MM9</t>
  </si>
  <si>
    <t>WRF05N3W</t>
  </si>
  <si>
    <t>WRF05G2C</t>
  </si>
  <si>
    <t>WRF05G28</t>
  </si>
  <si>
    <t>WRF05G2J</t>
  </si>
  <si>
    <t>WRF05MK6</t>
  </si>
  <si>
    <t>WRF05MQ5</t>
  </si>
  <si>
    <t>WRF05G1V</t>
  </si>
  <si>
    <t>WRF05FTA</t>
  </si>
  <si>
    <t>WRF05MKF</t>
  </si>
  <si>
    <t>WRF05MHR</t>
  </si>
  <si>
    <t>WRF065RJ</t>
  </si>
  <si>
    <t>WRF06N2T</t>
  </si>
  <si>
    <t>EA7690361CRE68793009</t>
  </si>
  <si>
    <t>EA833C361CRE68793009</t>
  </si>
  <si>
    <t>EA9408361CRE68793009</t>
  </si>
  <si>
    <t>EA9394361CRE68793009</t>
  </si>
  <si>
    <t>EA9654361CRE68793009</t>
  </si>
  <si>
    <t>EA9648361CRE68793009</t>
  </si>
  <si>
    <t>EA7B48361CRE68793009</t>
  </si>
  <si>
    <t>EA94FC361CRE68793009</t>
  </si>
  <si>
    <t>EA7B24361CRE68793009</t>
  </si>
  <si>
    <t>EA94BC361CRE68793009</t>
  </si>
  <si>
    <t>EA7B20361CRE68793009</t>
  </si>
  <si>
    <t>M16Q2X7100352   1FF72CC1FEFDD885RGZE</t>
  </si>
  <si>
    <t>M16Q2X7100565   1FF73CC1BEFA28EERGZE</t>
  </si>
  <si>
    <t>M11G8Q3100184   1FFC37BD762DFD2ERGZE</t>
  </si>
  <si>
    <t>M11G8Q3100495   1FFC42BD309D68C8RGZE</t>
  </si>
  <si>
    <t>M11G8Q3100507   1FFC4CE6333431DBRGZE</t>
  </si>
  <si>
    <t>M11G8Q3100054   1FFC55BDABFC33A9RGZE</t>
  </si>
  <si>
    <t>M11G8Q3100313   1FFC42C1136A7DE1RGZE</t>
  </si>
  <si>
    <t>M1VG830500317   1FFC7ABC98A3048FRGZE</t>
  </si>
  <si>
    <t>259A1DE8F1256CB0RGZE   M1321UP401208</t>
  </si>
  <si>
    <t>247564E8615FD9A8RGZE   M1321UP401545</t>
  </si>
  <si>
    <t>25D644E8AD911CD1RGZE   M1T51N7801434</t>
  </si>
  <si>
    <t>229B65E868176A4BRGZE   M1WQ111800724</t>
  </si>
  <si>
    <t>228E54E89086D37DRGZE   M1WQ111800531</t>
  </si>
  <si>
    <t>71QF226000712   1FEAC4C026B1EEE6RGZE</t>
  </si>
  <si>
    <t>71012QK300476   1FEB39BFC5B5849DRGZE</t>
  </si>
  <si>
    <t>71QF226000686   1FEB39C09D2A07B6RGZE</t>
  </si>
  <si>
    <t>71012QK300475   1FEA3FBFEA993782RGZE</t>
  </si>
  <si>
    <t>71012QK300539   1FEB10C126D9D6FARGZE</t>
  </si>
  <si>
    <t>71012QK300504   1FEB12C0F200CC2CRGZE</t>
  </si>
  <si>
    <t>71012QK300533   1FEA73C1A68F0BDBRGZE</t>
  </si>
  <si>
    <t>71QF226000742   1FEAFABC91C88DEFRGZE</t>
  </si>
  <si>
    <t>71012QK300243   1FEA7FBEF14675F9RGZE</t>
  </si>
  <si>
    <t>C8250FK36P20199</t>
  </si>
  <si>
    <t>P802ACL33CU0550</t>
  </si>
  <si>
    <t>P802ACL33CU0549</t>
  </si>
  <si>
    <t>EB215S033833</t>
  </si>
  <si>
    <t>C8250FK36P20198</t>
  </si>
  <si>
    <t>P802ACL33CU0547</t>
  </si>
  <si>
    <t>P802ACL33CU0548</t>
  </si>
  <si>
    <t>EB215S033834</t>
  </si>
  <si>
    <t>C8250FK36P20197</t>
  </si>
  <si>
    <t>P802ACL33CU0578</t>
  </si>
  <si>
    <t>P802ACL33CU0546</t>
  </si>
  <si>
    <t>EB215S033835</t>
  </si>
  <si>
    <t>C8250FK36P20196</t>
  </si>
  <si>
    <t>P802ACL33CU0580</t>
  </si>
  <si>
    <t>P802ACL33CU0579</t>
  </si>
  <si>
    <t>EB215S033836</t>
  </si>
  <si>
    <t>C8250FK36P20195</t>
  </si>
  <si>
    <t>P802ACL33CU0581</t>
  </si>
  <si>
    <t>P802ACL33CU0582</t>
  </si>
  <si>
    <t>EB215S033838</t>
  </si>
  <si>
    <t>C8250FK36P20207</t>
  </si>
  <si>
    <t>P802ACL33CU0509</t>
  </si>
  <si>
    <t>P802ACL33CU0510</t>
  </si>
  <si>
    <t>EB215S033824</t>
  </si>
  <si>
    <t>C8250FK36P20206</t>
  </si>
  <si>
    <t>P802ACL33CU0507</t>
  </si>
  <si>
    <t>P802ACL33CU0508</t>
  </si>
  <si>
    <t>EB215S033825</t>
  </si>
  <si>
    <t>C8250FK36P20205</t>
  </si>
  <si>
    <t>P802ACL33CU0530</t>
  </si>
  <si>
    <t>P802ACL33CU0506</t>
  </si>
  <si>
    <t>EB215S033826</t>
  </si>
  <si>
    <t>C8250FK36P20204</t>
  </si>
  <si>
    <t>P802ACL33CU0532</t>
  </si>
  <si>
    <t>P802ACL33CU0531</t>
  </si>
  <si>
    <t>EB215S033827</t>
  </si>
  <si>
    <t>C8250FK36P20203</t>
  </si>
  <si>
    <t>P802ACL33CU0534</t>
  </si>
  <si>
    <t>P802ACL33CU0533</t>
  </si>
  <si>
    <t>EB215S033828</t>
  </si>
  <si>
    <t>C8250FK36P20202</t>
  </si>
  <si>
    <t>P802ACL33CU0536</t>
  </si>
  <si>
    <t>P802ACL33CU0535</t>
  </si>
  <si>
    <t>EB215S033829</t>
  </si>
  <si>
    <t>SNK395</t>
  </si>
  <si>
    <t>SNK396</t>
  </si>
  <si>
    <t>SNK397</t>
  </si>
  <si>
    <t>SNK398</t>
  </si>
  <si>
    <t>SNK399</t>
  </si>
  <si>
    <t>SNK400</t>
  </si>
  <si>
    <t>SNK401</t>
  </si>
  <si>
    <t>SNK402</t>
  </si>
  <si>
    <t>SNK403</t>
  </si>
  <si>
    <t>SNK404</t>
  </si>
  <si>
    <t>SNK405</t>
  </si>
  <si>
    <t>SNK406</t>
  </si>
  <si>
    <t>SNK407</t>
  </si>
  <si>
    <t>SNK408</t>
  </si>
  <si>
    <t>SNK409</t>
  </si>
  <si>
    <t>SNK410</t>
  </si>
  <si>
    <t>SNK411</t>
  </si>
  <si>
    <t>SNK412</t>
  </si>
  <si>
    <t>SNK413</t>
  </si>
  <si>
    <t>SNK424</t>
  </si>
  <si>
    <t>SNK425</t>
  </si>
  <si>
    <t>SNK426</t>
  </si>
  <si>
    <t>SNK427</t>
  </si>
  <si>
    <t>SNK428</t>
  </si>
  <si>
    <t>SNK429</t>
  </si>
  <si>
    <t>SNK430</t>
  </si>
  <si>
    <t>SNK431</t>
  </si>
  <si>
    <t>SNK432</t>
  </si>
  <si>
    <t>SNK433</t>
  </si>
  <si>
    <t>SNK434</t>
  </si>
  <si>
    <t>SNK435</t>
  </si>
  <si>
    <t>SNK436</t>
  </si>
  <si>
    <t>SNK437</t>
  </si>
  <si>
    <t>SNK438</t>
  </si>
  <si>
    <t>SNK439</t>
  </si>
  <si>
    <t>SNK440</t>
  </si>
  <si>
    <t>SNK441</t>
  </si>
  <si>
    <t>SNK442</t>
  </si>
  <si>
    <t>SNK443</t>
  </si>
  <si>
    <t>SNK444</t>
  </si>
  <si>
    <t>SNK445</t>
  </si>
  <si>
    <t>SNK446</t>
  </si>
  <si>
    <t>SNK447</t>
  </si>
  <si>
    <t>SNK448</t>
  </si>
  <si>
    <t>SNK449</t>
  </si>
  <si>
    <t>SNK450</t>
  </si>
  <si>
    <t>SNK451</t>
  </si>
  <si>
    <t>SNK452</t>
  </si>
  <si>
    <t>SNK453</t>
  </si>
  <si>
    <t>SNK454</t>
  </si>
  <si>
    <t>SNK455</t>
  </si>
  <si>
    <t>SNK456</t>
  </si>
  <si>
    <t>SNK457</t>
  </si>
  <si>
    <t>SNK458</t>
  </si>
  <si>
    <t>SNK459</t>
  </si>
  <si>
    <t>SNK460</t>
  </si>
  <si>
    <t>SNK461</t>
  </si>
  <si>
    <t>SNK462</t>
  </si>
  <si>
    <t>SNK463</t>
  </si>
  <si>
    <t>SNK464</t>
  </si>
  <si>
    <t>SNK465</t>
  </si>
  <si>
    <t>SNK466</t>
  </si>
  <si>
    <t>SNK467</t>
  </si>
  <si>
    <t>SNK468</t>
  </si>
  <si>
    <t>SNK469</t>
  </si>
  <si>
    <t>SNK470</t>
  </si>
  <si>
    <t>SNK471</t>
  </si>
  <si>
    <t>SNK472</t>
  </si>
  <si>
    <t>SNK473</t>
  </si>
  <si>
    <t>SNK474</t>
  </si>
  <si>
    <t>SNK475</t>
  </si>
  <si>
    <t>SNK476</t>
  </si>
  <si>
    <t>SNK477</t>
  </si>
  <si>
    <t>SNK478</t>
  </si>
  <si>
    <t>SNK479</t>
  </si>
  <si>
    <t>SNK480</t>
  </si>
  <si>
    <t>SNK481</t>
  </si>
  <si>
    <t>SNK482</t>
  </si>
  <si>
    <t>SNK483</t>
  </si>
  <si>
    <t>SNK484</t>
  </si>
  <si>
    <t>SNK485</t>
  </si>
  <si>
    <t>SNK486</t>
  </si>
  <si>
    <t>SNK487</t>
  </si>
  <si>
    <t>SNK488</t>
  </si>
  <si>
    <t>SNK489</t>
  </si>
  <si>
    <t>SNK490</t>
  </si>
  <si>
    <t>SNK491</t>
  </si>
  <si>
    <t>SNK492</t>
  </si>
  <si>
    <t>HM218S013718</t>
  </si>
  <si>
    <t>HM219S011937</t>
  </si>
  <si>
    <t>HM219S011978</t>
  </si>
  <si>
    <t>HM219S010377</t>
  </si>
  <si>
    <t>HM219S010379</t>
  </si>
  <si>
    <t>HM219S011920</t>
  </si>
  <si>
    <t>HM219S012806</t>
  </si>
  <si>
    <t>HM219S012146</t>
  </si>
  <si>
    <t>HM219S010954</t>
  </si>
  <si>
    <t>HM219S010381</t>
  </si>
  <si>
    <t>HM219S012168</t>
  </si>
  <si>
    <t>SPB1926478</t>
  </si>
  <si>
    <t>SPB1926502</t>
  </si>
  <si>
    <t>SPB1926950</t>
  </si>
  <si>
    <t>SPB1926479</t>
  </si>
  <si>
    <t>SPB1926750</t>
  </si>
  <si>
    <t>SPB1926931</t>
  </si>
  <si>
    <t>SPB1926920</t>
  </si>
  <si>
    <t>SPB1926581</t>
  </si>
  <si>
    <t>SPB1926594</t>
  </si>
  <si>
    <t>SPB1926820</t>
  </si>
  <si>
    <t>SPB1926590</t>
  </si>
  <si>
    <t>SPB1926666</t>
  </si>
  <si>
    <t>1912F6F1524D0C3FRKXN      718J7A4301273</t>
  </si>
  <si>
    <t>RO/2021/005507/A</t>
  </si>
  <si>
    <t>1Z8041426865349591</t>
  </si>
  <si>
    <t>PHYG127306W7480BGN</t>
  </si>
  <si>
    <t>CTT</t>
  </si>
  <si>
    <t>PHYG126403NM480BGN</t>
  </si>
  <si>
    <t>C7450FK20P10448</t>
  </si>
  <si>
    <t>P9212CL14ON2383</t>
  </si>
  <si>
    <t>P9212CL14ON2381</t>
  </si>
  <si>
    <t>EB205S017839</t>
  </si>
  <si>
    <t xml:space="preserve">M393A1K43DB2-CWE </t>
  </si>
  <si>
    <t>SNK630</t>
  </si>
  <si>
    <t>F2120033</t>
  </si>
  <si>
    <t>SNK631</t>
  </si>
  <si>
    <t>WM21AS007815</t>
  </si>
  <si>
    <t>F131320736</t>
  </si>
  <si>
    <t>1Z0V68F46848917070</t>
  </si>
  <si>
    <t xml:space="preserve"> IHAS324-17</t>
  </si>
  <si>
    <t>3743524808 2H8029502878</t>
  </si>
  <si>
    <t>FA/ZA-21/00281191</t>
  </si>
  <si>
    <t>BPN-SAS-743TQ</t>
  </si>
  <si>
    <t>0B36040</t>
  </si>
  <si>
    <t>V1K1B4EK</t>
  </si>
  <si>
    <t>W SERWERZE BERKOM 005478</t>
  </si>
  <si>
    <t>1Z0V68F46848769794</t>
  </si>
  <si>
    <t>EA87CC361CRE68793009</t>
  </si>
  <si>
    <t>FW/ZA-21/00000158</t>
  </si>
  <si>
    <t>1z4971486826005973</t>
  </si>
  <si>
    <t xml:space="preserve">Intel Xeon W-2245 </t>
  </si>
  <si>
    <t xml:space="preserve">M18N6P2501678 </t>
  </si>
  <si>
    <t>DR6541811</t>
  </si>
  <si>
    <t>SNK622</t>
  </si>
  <si>
    <t>SNK623</t>
  </si>
  <si>
    <t>SNK624</t>
  </si>
  <si>
    <t>SNK625</t>
  </si>
  <si>
    <t>MZ-V7S2T0BW</t>
  </si>
  <si>
    <t>S4J4NX0R903060</t>
  </si>
  <si>
    <t>F131316479</t>
  </si>
  <si>
    <t>S42YNS0RB00028</t>
  </si>
  <si>
    <t>MBD-X11SRA-RF-B</t>
  </si>
  <si>
    <t>VM189S010762</t>
  </si>
  <si>
    <t>C7450FK20P10104</t>
  </si>
  <si>
    <t>P9212CL14ON1322</t>
  </si>
  <si>
    <t>P9212CL14ON1323</t>
  </si>
  <si>
    <t>EB205S018137</t>
  </si>
  <si>
    <t>Windows 10 PRO PL</t>
  </si>
  <si>
    <t>03307145870488</t>
  </si>
  <si>
    <t>W SERWERZE BERKOM 005494</t>
  </si>
  <si>
    <t>03307145870344</t>
  </si>
  <si>
    <t>V1JMK59G</t>
  </si>
  <si>
    <t>EA76F0361CRE68793009</t>
  </si>
  <si>
    <t>S4J4NM0R705182</t>
  </si>
  <si>
    <t>S42YNX0RA04553</t>
  </si>
  <si>
    <t>1Z4971486826054661</t>
  </si>
  <si>
    <t>M18N6P2501698</t>
  </si>
  <si>
    <t>DR6546518</t>
  </si>
  <si>
    <t xml:space="preserve">M393A4K40DB2-CVF </t>
  </si>
  <si>
    <t>SNK628</t>
  </si>
  <si>
    <t>SNK626</t>
  </si>
  <si>
    <t>SNK627</t>
  </si>
  <si>
    <t>SNK629</t>
  </si>
  <si>
    <t>VM189S010792</t>
  </si>
  <si>
    <t>C7450FK20P10111</t>
  </si>
  <si>
    <t>P9212CL14ON1352</t>
  </si>
  <si>
    <t>P9212CL14ON1287</t>
  </si>
  <si>
    <t>EB205S018132</t>
  </si>
  <si>
    <t>M393A4K40DB2-CVF</t>
  </si>
  <si>
    <t>SNJ108</t>
  </si>
  <si>
    <t>MEMORY SOLUTION</t>
  </si>
  <si>
    <t>W serwerze RO/2021/005516/A</t>
  </si>
  <si>
    <t>SNJ109</t>
  </si>
  <si>
    <t>1Z8041426865954543</t>
  </si>
  <si>
    <t>AMD EPYC 7343</t>
  </si>
  <si>
    <t>4647221u10010_100-000000338</t>
  </si>
  <si>
    <t>CTT3112483</t>
  </si>
  <si>
    <t>SNK645</t>
  </si>
  <si>
    <t>F2120169</t>
  </si>
  <si>
    <t>SNK646</t>
  </si>
  <si>
    <t>SNK647</t>
  </si>
  <si>
    <t>SNK648</t>
  </si>
  <si>
    <t>SNK649</t>
  </si>
  <si>
    <t>SNK650</t>
  </si>
  <si>
    <t>1U10E0ROME/2T</t>
  </si>
  <si>
    <t>E4S0R8000082</t>
  </si>
  <si>
    <t>1Z8041426872396722</t>
  </si>
  <si>
    <t>SNK665</t>
  </si>
  <si>
    <t>SO/2022/005613/A 3z3</t>
  </si>
  <si>
    <t>SNK666</t>
  </si>
  <si>
    <t>SNK667</t>
  </si>
  <si>
    <t>SNK668</t>
  </si>
  <si>
    <t>SNK669</t>
  </si>
  <si>
    <t>SO/2022/005613/A 2z3</t>
  </si>
  <si>
    <t>SNK670</t>
  </si>
  <si>
    <t>SNK671</t>
  </si>
  <si>
    <t>SNK672</t>
  </si>
  <si>
    <t>SNK673</t>
  </si>
  <si>
    <t>SO/2022/005613/A 1z3</t>
  </si>
  <si>
    <t>SNK674</t>
  </si>
  <si>
    <t>SNK675</t>
  </si>
  <si>
    <t>SNK676</t>
  </si>
  <si>
    <t>Intel Xeon E5-2667V4</t>
  </si>
  <si>
    <t>77UL035003277</t>
  </si>
  <si>
    <t>Converge</t>
  </si>
  <si>
    <t>76FN655100272</t>
  </si>
  <si>
    <t>771W60G800170</t>
  </si>
  <si>
    <t>76YU684500482</t>
  </si>
  <si>
    <t>76YE876001730</t>
  </si>
  <si>
    <t>76FN655100336</t>
  </si>
  <si>
    <t>SYS-6018R-WTR</t>
  </si>
  <si>
    <t>E15751822100958</t>
  </si>
  <si>
    <t>CSE-815TQ-R706WB</t>
  </si>
  <si>
    <t>C8150LJ50P00464</t>
  </si>
  <si>
    <t>PWS-706P-1R</t>
  </si>
  <si>
    <t>P7061VK47MB1736</t>
  </si>
  <si>
    <t>P7061VK47MB1737</t>
  </si>
  <si>
    <t>BPN-SAS-815TQ</t>
  </si>
  <si>
    <t>EB203S011728</t>
  </si>
  <si>
    <t>MBD-X10DRW-i</t>
  </si>
  <si>
    <t>VR215S040138</t>
  </si>
  <si>
    <t>E15751822100957</t>
  </si>
  <si>
    <t>C8150LJ50P00466</t>
  </si>
  <si>
    <t>P7061VK47MB1721</t>
  </si>
  <si>
    <t>P7061VK47MB1722</t>
  </si>
  <si>
    <t>EB203S011729</t>
  </si>
  <si>
    <t>OM21BS048165</t>
  </si>
  <si>
    <t>VR215S040140</t>
  </si>
  <si>
    <t>E15751822100956</t>
  </si>
  <si>
    <t>C8150LJ50P00458</t>
  </si>
  <si>
    <t>P7061VK47MB0801</t>
  </si>
  <si>
    <t>P7061VK47MB0802</t>
  </si>
  <si>
    <t>EB203S011730</t>
  </si>
  <si>
    <t>OM21BS048164</t>
  </si>
  <si>
    <t>VR215S040139</t>
  </si>
  <si>
    <t>RS1204G5_010300/2022</t>
  </si>
  <si>
    <t>OM21BS048183</t>
  </si>
  <si>
    <t>1Z0V68F46849059273</t>
  </si>
  <si>
    <t>2146 0000009340270-S000018</t>
  </si>
  <si>
    <t>FA/ZA-22/00021170</t>
  </si>
  <si>
    <t>RO/2021/005541/A #1/12</t>
  </si>
  <si>
    <t>2146 0000009340270-S000120</t>
  </si>
  <si>
    <t>2146 0000009340270-S000119</t>
  </si>
  <si>
    <t>2146 0000009340270-S000092</t>
  </si>
  <si>
    <t>2146 0000009340270-S000010</t>
  </si>
  <si>
    <t>RO/2021/005541/A #2/12</t>
  </si>
  <si>
    <t>2146 0000009340270-S000145</t>
  </si>
  <si>
    <t>2146 0000009340270-S000081</t>
  </si>
  <si>
    <t>2146 0000009340270-S000076</t>
  </si>
  <si>
    <t>2146 0000009340270-S000239</t>
  </si>
  <si>
    <t>RO/2021/005541/A #3/12</t>
  </si>
  <si>
    <t>2146 0000009340270-S000240</t>
  </si>
  <si>
    <t>2146 0000009340270-S000011</t>
  </si>
  <si>
    <t>2146 0000009340270-S000184</t>
  </si>
  <si>
    <t>2146 0000009340270-S000008</t>
  </si>
  <si>
    <t>RO/2021/005541/A #4/12</t>
  </si>
  <si>
    <t>2146 0000009340270-S000187</t>
  </si>
  <si>
    <t>2146 0000009340270-S000054</t>
  </si>
  <si>
    <t>2146 0000009340270-S000017</t>
  </si>
  <si>
    <t>2146 0000009340270-S000106</t>
  </si>
  <si>
    <t>RO/2021/005541/A #5/12</t>
  </si>
  <si>
    <t>2146 0000009340270-S000134</t>
  </si>
  <si>
    <t>2146 0000009340270-S000047</t>
  </si>
  <si>
    <t>2146 0000009340270-S000133</t>
  </si>
  <si>
    <t>2146 0000009340270-S000052</t>
  </si>
  <si>
    <t>RO/2021/005541/A #6/12</t>
  </si>
  <si>
    <t>2146 0000009340270-S000165</t>
  </si>
  <si>
    <t>2146 0000009340270-S000177</t>
  </si>
  <si>
    <t>RO/2021/005541/A #7/12</t>
  </si>
  <si>
    <t>2146 0000009340270-S000007</t>
  </si>
  <si>
    <t>2146 0000009340270-S000209</t>
  </si>
  <si>
    <t>2147 0000009344209-S000089</t>
  </si>
  <si>
    <t>RO/2021/005541/A #8/12</t>
  </si>
  <si>
    <t>2147 0000009344209-S000131</t>
  </si>
  <si>
    <t>2147 0000009344209-S000099</t>
  </si>
  <si>
    <t>2147 0000009344209-S000127</t>
  </si>
  <si>
    <t>2147 0000009344209-S000057</t>
  </si>
  <si>
    <t>2147 0000009344209-S000054</t>
  </si>
  <si>
    <t>RO/2021/005541/A #9/12</t>
  </si>
  <si>
    <t>2147 0000009344209-S000115</t>
  </si>
  <si>
    <t>2147 0000009344209-S000189</t>
  </si>
  <si>
    <t>2147 0000009344209-S000132</t>
  </si>
  <si>
    <t>2147 0000009344209-S000056</t>
  </si>
  <si>
    <t>2147 0000009344209-S000111</t>
  </si>
  <si>
    <t>2147 0000009344209-S000126</t>
  </si>
  <si>
    <t>RO/2021/005541/A #10/12</t>
  </si>
  <si>
    <t>2147 0000009344209-S000100</t>
  </si>
  <si>
    <t>2147 0000009344209-S000055</t>
  </si>
  <si>
    <t>2147 0000009344209-S000053</t>
  </si>
  <si>
    <t>1Z0V68F46849091933</t>
  </si>
  <si>
    <t>AMD Ryzen 9 5900X</t>
  </si>
  <si>
    <t>9KG9713W10014</t>
  </si>
  <si>
    <t>FA/ZA-22/00033077</t>
  </si>
  <si>
    <t>9KG9201W10121</t>
  </si>
  <si>
    <t>9KG9713W10003</t>
  </si>
  <si>
    <t>9KG9201W10111</t>
  </si>
  <si>
    <t>9KG9713W10007</t>
  </si>
  <si>
    <t>9KG9201W10114</t>
  </si>
  <si>
    <t>9KG9713W10018</t>
  </si>
  <si>
    <t>S</t>
  </si>
  <si>
    <t>9KG9713W10010</t>
  </si>
  <si>
    <t>9KG9861W10181</t>
  </si>
  <si>
    <t>9KH0034W10108</t>
  </si>
  <si>
    <t>transport dedykowany</t>
  </si>
  <si>
    <t>1U4LW-X570/2L2T</t>
  </si>
  <si>
    <t>ECS0R8000336</t>
  </si>
  <si>
    <t>NL-9220338</t>
  </si>
  <si>
    <t>ECS0R8000335</t>
  </si>
  <si>
    <t>ECS0R8000334</t>
  </si>
  <si>
    <t>ECS0R8000338</t>
  </si>
  <si>
    <t>ECS0R8000331</t>
  </si>
  <si>
    <t>ECS0R8000332</t>
  </si>
  <si>
    <t>ECS0R8000327</t>
  </si>
  <si>
    <t>ECS0R8000339</t>
  </si>
  <si>
    <t>S45NNC0RB00074</t>
  </si>
  <si>
    <t>S45NNC0RB00097</t>
  </si>
  <si>
    <t>S45NNC0RB00075</t>
  </si>
  <si>
    <t>S45NNC0RB00068</t>
  </si>
  <si>
    <t>S45NNC0RB00103</t>
  </si>
  <si>
    <t>S45NNC0RB00303</t>
  </si>
  <si>
    <t>S45NNC0RB00300</t>
  </si>
  <si>
    <t>S45NNC0RB00473</t>
  </si>
  <si>
    <t>S45NNC0RB00277</t>
  </si>
  <si>
    <t>S45NNC0RB00276</t>
  </si>
  <si>
    <t>S665NE0RB00822</t>
  </si>
  <si>
    <t>S665NE0RB00830</t>
  </si>
  <si>
    <t>S665NE0RB00461</t>
  </si>
  <si>
    <t>S665NE0RB00699</t>
  </si>
  <si>
    <t>S665NE0RB00462</t>
  </si>
  <si>
    <t>S665NE0RB00468</t>
  </si>
  <si>
    <t>S665NE0RB00431</t>
  </si>
  <si>
    <t>S665NE0RB00423</t>
  </si>
  <si>
    <t>S665NE0RB00425</t>
  </si>
  <si>
    <t>S665NE0RB00749</t>
  </si>
  <si>
    <t>ECS0R8000341</t>
  </si>
  <si>
    <t>ECS0R8000340</t>
  </si>
  <si>
    <t>RR1104R5_120200/2021</t>
  </si>
  <si>
    <t>M80-E5001001784</t>
  </si>
  <si>
    <t>M80-E5001000616</t>
  </si>
  <si>
    <t>M80-E5001000992</t>
  </si>
  <si>
    <t>M80-E5001001359</t>
  </si>
  <si>
    <t>M80-E5001000543</t>
  </si>
  <si>
    <t>M80-E5001001118</t>
  </si>
  <si>
    <t>M80-E5001001637</t>
  </si>
  <si>
    <t>M80-E5001001786</t>
  </si>
  <si>
    <t>M80-E5001001428</t>
  </si>
  <si>
    <t>M80-E5001001210</t>
  </si>
  <si>
    <t xml:space="preserve">M393A8G40MB2-CVF </t>
  </si>
  <si>
    <t>SNK758</t>
  </si>
  <si>
    <t>EG Electronics</t>
  </si>
  <si>
    <t xml:space="preserve">SO/2022/005746/A </t>
  </si>
  <si>
    <t>SNK759</t>
  </si>
  <si>
    <t>SNK760</t>
  </si>
  <si>
    <t>SNK761</t>
  </si>
  <si>
    <t>SNK762</t>
  </si>
  <si>
    <t>SNK763</t>
  </si>
  <si>
    <t>CSE-743AC-668B</t>
  </si>
  <si>
    <t>C7430FK43P10080</t>
  </si>
  <si>
    <t>P668PAL38A02591</t>
  </si>
  <si>
    <t>PB218S012058</t>
  </si>
  <si>
    <t>MBD-X11SPI-TF-B</t>
  </si>
  <si>
    <t>OM21BS062546</t>
  </si>
  <si>
    <t>Intel Xeon Gold 6226R</t>
  </si>
  <si>
    <t>26746DBF2D2BECABRGZC  711E7K6600081</t>
  </si>
  <si>
    <t>PWS-668-PQ</t>
  </si>
  <si>
    <t>TS4108G6_021400/2022</t>
  </si>
  <si>
    <t xml:space="preserve">M391A1K43BB2-CTD </t>
  </si>
  <si>
    <t>SNK387</t>
  </si>
  <si>
    <t>SO/2022/005650/A 1z2</t>
  </si>
  <si>
    <t>SNK388</t>
  </si>
  <si>
    <t>SNK389</t>
  </si>
  <si>
    <t>SO/2022/005650/A 2z2</t>
  </si>
  <si>
    <t>SNK390</t>
  </si>
  <si>
    <t>1Z0V68F46849010485</t>
  </si>
  <si>
    <t>INTEL XEON E-2226G</t>
  </si>
  <si>
    <t>X148K833 01721  U11G1D2301721</t>
  </si>
  <si>
    <t>FA/ZA-22/00003249</t>
  </si>
  <si>
    <t>X148K833 01899  U11G1D2301899</t>
  </si>
  <si>
    <t>S45PNC0RA56159</t>
  </si>
  <si>
    <t>F2200780</t>
  </si>
  <si>
    <t>S45PNC0RA56157</t>
  </si>
  <si>
    <t>A345069X2205151</t>
  </si>
  <si>
    <t>C5100LL02RA0368</t>
  </si>
  <si>
    <t>P20310L28G26577</t>
  </si>
  <si>
    <t>VM21BS009218</t>
  </si>
  <si>
    <t>EB20BS008943</t>
  </si>
  <si>
    <t>VR21CS006638</t>
  </si>
  <si>
    <t>A345069X2205154</t>
  </si>
  <si>
    <t>C5100LL02RA0328</t>
  </si>
  <si>
    <t>P20310L28G26605</t>
  </si>
  <si>
    <t>VM21BS008737</t>
  </si>
  <si>
    <t>EB20BS008959</t>
  </si>
  <si>
    <t>VR21CS006643</t>
  </si>
  <si>
    <t>X148K833 03062  U11G1D2303062</t>
  </si>
  <si>
    <t>RO/2021/005476/A 1z2</t>
  </si>
  <si>
    <t>X150N450 03248  U1YD396503248</t>
  </si>
  <si>
    <t>RO/2021/005476/A 2z2</t>
  </si>
  <si>
    <t>A345069X2205167</t>
  </si>
  <si>
    <t>C5100LL02RA0366</t>
  </si>
  <si>
    <t>P20310L29G29182</t>
  </si>
  <si>
    <t>VM21BS009203</t>
  </si>
  <si>
    <t>EB20BS008947</t>
  </si>
  <si>
    <t>VR21CS006641</t>
  </si>
  <si>
    <t>A345069X2205165</t>
  </si>
  <si>
    <t>C5100LL02RA0356</t>
  </si>
  <si>
    <t>P20310L28G26580</t>
  </si>
  <si>
    <t>VM21AS005497</t>
  </si>
  <si>
    <t>EB20BS008950</t>
  </si>
  <si>
    <t>VR21CS006650</t>
  </si>
  <si>
    <t>S45PNC0RA54990</t>
  </si>
  <si>
    <t>F2119594</t>
  </si>
  <si>
    <t>S45PNC0RA54991</t>
  </si>
  <si>
    <t>SNK659</t>
  </si>
  <si>
    <t>SNK660</t>
  </si>
  <si>
    <t>SNK661</t>
  </si>
  <si>
    <t>SNK662</t>
  </si>
  <si>
    <t>SNK682</t>
  </si>
  <si>
    <t>RO/2021/005385/A 1z2</t>
  </si>
  <si>
    <t>SNK683</t>
  </si>
  <si>
    <t>SNK685</t>
  </si>
  <si>
    <t>RO/2021/005385/A 2z2</t>
  </si>
  <si>
    <t>SNK684</t>
  </si>
  <si>
    <t>1Z0V68F46849134182</t>
  </si>
  <si>
    <t>U17TX50401824</t>
  </si>
  <si>
    <t>FA/ZA-22/00049668</t>
  </si>
  <si>
    <t>X152J979 00258  U1020PX200258</t>
  </si>
  <si>
    <t>A345069X2205149</t>
  </si>
  <si>
    <t>C5100LL02RA0357</t>
  </si>
  <si>
    <t>P20310L28G26572</t>
  </si>
  <si>
    <t>VM21AS005490</t>
  </si>
  <si>
    <t>EB213S002958</t>
  </si>
  <si>
    <t>VR21CS006629</t>
  </si>
  <si>
    <t>A345069X2205146</t>
  </si>
  <si>
    <t>C5100LL02RA0329</t>
  </si>
  <si>
    <t>P20310L28G26576</t>
  </si>
  <si>
    <t>VM21AS005489</t>
  </si>
  <si>
    <t>EB20BS008942</t>
  </si>
  <si>
    <t>VR21CS006632</t>
  </si>
  <si>
    <t>S45PNC0R879896</t>
  </si>
  <si>
    <t>S45PNC0R879903</t>
  </si>
  <si>
    <t>RS1102V6_281000/2021</t>
  </si>
  <si>
    <t>RS1102V6_112400/2021</t>
  </si>
  <si>
    <t>02219140311368</t>
  </si>
  <si>
    <t>02219140311363</t>
  </si>
  <si>
    <t>02219140311364</t>
  </si>
  <si>
    <t>02219140311365</t>
  </si>
  <si>
    <t>02219140311366</t>
  </si>
  <si>
    <t>02219140311367</t>
  </si>
  <si>
    <t>2147 0000009344209-S000125</t>
  </si>
  <si>
    <t>RO/2021/005541/A #11/12</t>
  </si>
  <si>
    <t>2147 0000009344209-S000116</t>
  </si>
  <si>
    <t>2147 0000009344209-S000093</t>
  </si>
  <si>
    <t>2147 0000009344209-S000128</t>
  </si>
  <si>
    <t>1Z8041426866578912</t>
  </si>
  <si>
    <t>1U4LW-X570D4U/2L2T</t>
  </si>
  <si>
    <t>ECS0R8000333</t>
  </si>
  <si>
    <t>1Z0V68F46849197963</t>
  </si>
  <si>
    <t>9LA0897M20199</t>
  </si>
  <si>
    <t>FA/ZA-22/00073484</t>
  </si>
  <si>
    <t>2147 0000009344209-S000087</t>
  </si>
  <si>
    <t>RO/2021/005541/A #12/12</t>
  </si>
  <si>
    <t>2147 0000009344209-S000026</t>
  </si>
  <si>
    <t>2147 0000009344209-S000112</t>
  </si>
  <si>
    <t>2147 0000009344209-S000091</t>
  </si>
  <si>
    <t>1Z8041426866069507</t>
  </si>
  <si>
    <t>ECS0R8000337</t>
  </si>
  <si>
    <t>9LA0897M20096</t>
  </si>
  <si>
    <t>S45NNC0RB00071</t>
  </si>
  <si>
    <t>S665NE0RB00467</t>
  </si>
  <si>
    <t>S45NNC0RB00073</t>
  </si>
  <si>
    <t>S665NE0RB00466</t>
  </si>
  <si>
    <t>M80-E5001001514</t>
  </si>
  <si>
    <t>M80-E5001000127</t>
  </si>
  <si>
    <t>72BY070200573</t>
  </si>
  <si>
    <t>A2160668</t>
  </si>
  <si>
    <t>BETANET bogusz</t>
  </si>
  <si>
    <t>72BY070200576</t>
  </si>
  <si>
    <t>1Z4971486827649875</t>
  </si>
  <si>
    <t>S45RNC0RC36305</t>
  </si>
  <si>
    <t>DR6717314</t>
  </si>
  <si>
    <t>S45RNC0RC36298</t>
  </si>
  <si>
    <t>C8250FL02P20238</t>
  </si>
  <si>
    <t>P802ACL52CU2728</t>
  </si>
  <si>
    <t>P802ACL52CU2730</t>
  </si>
  <si>
    <t>EB219S023708</t>
  </si>
  <si>
    <t>MBD-X11DPi-NT</t>
  </si>
  <si>
    <t>NM219S005122</t>
  </si>
  <si>
    <t>SNL289</t>
  </si>
  <si>
    <t>FVZ2231577</t>
  </si>
  <si>
    <t>SNL290</t>
  </si>
  <si>
    <t>Xeon Silver 4215R</t>
  </si>
  <si>
    <t>1Z4971486822083039</t>
  </si>
  <si>
    <t>W8696314</t>
  </si>
  <si>
    <t>WORTMANN</t>
  </si>
  <si>
    <t>DR6159686</t>
  </si>
  <si>
    <t>SNI702</t>
  </si>
  <si>
    <t>RS2208G6_022400/2022</t>
  </si>
  <si>
    <t>1Z0V68F46849211820</t>
  </si>
  <si>
    <t>0B36039</t>
  </si>
  <si>
    <t>V9KLK5PL</t>
  </si>
  <si>
    <t>FA/ZA-22/00078617</t>
  </si>
  <si>
    <t>SO/2022/005842/A</t>
  </si>
  <si>
    <t>V9KLDSRL</t>
  </si>
  <si>
    <t>V9KLN8ZL</t>
  </si>
  <si>
    <t xml:space="preserve">M393A4K40EB3-CWE </t>
  </si>
  <si>
    <t>SNL327</t>
  </si>
  <si>
    <t>Memorysolution</t>
  </si>
  <si>
    <t>F2204089</t>
  </si>
  <si>
    <t>SNL328</t>
  </si>
  <si>
    <t>SNL329</t>
  </si>
  <si>
    <t>SNL330</t>
  </si>
  <si>
    <t>S45RNC0T237775</t>
  </si>
  <si>
    <t>S45RNC0T242604</t>
  </si>
  <si>
    <t>CSE-825TQC-600LPB</t>
  </si>
  <si>
    <t>C8250FK42P50405</t>
  </si>
  <si>
    <t>EB214S004764</t>
  </si>
  <si>
    <t>P605A0L39G29776</t>
  </si>
  <si>
    <t>ZM223S005252</t>
  </si>
  <si>
    <t>181714F2BAAC8409RKXN       718J7A4301295</t>
  </si>
  <si>
    <t>RS2208G7_030700/2022</t>
  </si>
  <si>
    <t>1Z0V68F46849280149</t>
  </si>
  <si>
    <t>S4J4NM0RB07135</t>
  </si>
  <si>
    <t>FA/ZA-22/00103750</t>
  </si>
  <si>
    <t>SO/2022/006979/A 1z2 BERKOM</t>
  </si>
  <si>
    <t>1Z0V68F46849279384</t>
  </si>
  <si>
    <t>V3GA469L</t>
  </si>
  <si>
    <t>FA/ZA-22/00103303</t>
  </si>
  <si>
    <t>1Z8041426870146282</t>
  </si>
  <si>
    <t>M2YE785301932</t>
  </si>
  <si>
    <t xml:space="preserve">M393A4K40CB2-CVF </t>
  </si>
  <si>
    <t>SNL381</t>
  </si>
  <si>
    <t>F131478211</t>
  </si>
  <si>
    <t>SNL382</t>
  </si>
  <si>
    <t>SNL383</t>
  </si>
  <si>
    <t>SNL384</t>
  </si>
  <si>
    <t>MZ-77E500B/EU</t>
  </si>
  <si>
    <t>S6PYNF0T305922</t>
  </si>
  <si>
    <t>VM20AS000856</t>
  </si>
  <si>
    <t>C7450FK45P30263</t>
  </si>
  <si>
    <t>P9212CL31SN2743</t>
  </si>
  <si>
    <t>P9212CL31SN2744</t>
  </si>
  <si>
    <t>EB216S007484</t>
  </si>
  <si>
    <t>BCM957416A4160C</t>
  </si>
  <si>
    <t>A41602135000MQFV</t>
  </si>
  <si>
    <t>TS4108W5_140400/2022</t>
  </si>
  <si>
    <t>SO/2022/006979/A 2z2 BERKOM</t>
  </si>
  <si>
    <t>S4J4NM0RB06911</t>
  </si>
  <si>
    <t>V3GA2XEL</t>
  </si>
  <si>
    <t>M2YE785302245</t>
  </si>
  <si>
    <t>SNL385</t>
  </si>
  <si>
    <t>SNL386</t>
  </si>
  <si>
    <t>SNL387</t>
  </si>
  <si>
    <t>SNL388</t>
  </si>
  <si>
    <t>C7450FK45P30405</t>
  </si>
  <si>
    <t>P9212CL38SN2534</t>
  </si>
  <si>
    <t>P9212CL38SN2535</t>
  </si>
  <si>
    <t>EB216S007471</t>
  </si>
  <si>
    <t>VM20AS000855</t>
  </si>
  <si>
    <t>A41602135000MWFV</t>
  </si>
  <si>
    <t>S62BNF0R916586</t>
  </si>
  <si>
    <t>03307146776215</t>
  </si>
  <si>
    <t>03307146776216</t>
  </si>
  <si>
    <t>Intel Xeon E-2246G</t>
  </si>
  <si>
    <t>X146M143  02737</t>
  </si>
  <si>
    <t>FVZ2231482</t>
  </si>
  <si>
    <t>SO/2022/005825/A 1z2</t>
  </si>
  <si>
    <t>MEM-DR480L-HL01-EU26</t>
  </si>
  <si>
    <t>80AD012139750E5DF6</t>
  </si>
  <si>
    <t>80AD012139750E5DFE</t>
  </si>
  <si>
    <t>S45PNC0T360081</t>
  </si>
  <si>
    <t>F2204643</t>
  </si>
  <si>
    <t>29.02.2022</t>
  </si>
  <si>
    <t>A345069X2409109</t>
  </si>
  <si>
    <t>X146M143  02042</t>
  </si>
  <si>
    <t>SO/2022/005825/A 2z2</t>
  </si>
  <si>
    <t>80AD012139750E5DFD</t>
  </si>
  <si>
    <t>80AD012139750E5E09</t>
  </si>
  <si>
    <t>S45PNC0RB81748</t>
  </si>
  <si>
    <t>A345069X2409120</t>
  </si>
  <si>
    <t>02219140461892</t>
  </si>
  <si>
    <t>02219140461893</t>
  </si>
  <si>
    <t>S45PNC0RB81984</t>
  </si>
  <si>
    <t>SO/2022/005939/A 1z2</t>
  </si>
  <si>
    <t>1ZV782480440333767</t>
  </si>
  <si>
    <t>1TX120F195</t>
  </si>
  <si>
    <t>Exertis</t>
  </si>
  <si>
    <t>SINV102204HAN100464</t>
  </si>
  <si>
    <t>SNL391</t>
  </si>
  <si>
    <t>F2205181</t>
  </si>
  <si>
    <t>SNL392</t>
  </si>
  <si>
    <t>A345069X2409132</t>
  </si>
  <si>
    <t>S45PNC0RB81983</t>
  </si>
  <si>
    <t>SO/2022/005939/A 2z2</t>
  </si>
  <si>
    <t>U2TC541202640</t>
  </si>
  <si>
    <t>SNL389</t>
  </si>
  <si>
    <t>SNL390</t>
  </si>
  <si>
    <t>A345069X2409126</t>
  </si>
  <si>
    <t>02219140461894</t>
  </si>
  <si>
    <t>02219140461895</t>
  </si>
  <si>
    <t>C5100LL02RA0275</t>
  </si>
  <si>
    <t>P20310L29G29135</t>
  </si>
  <si>
    <t>VM221S012839</t>
  </si>
  <si>
    <t>EB20BS009590</t>
  </si>
  <si>
    <t>VR21CS005014</t>
  </si>
  <si>
    <t>C5100LL02RA0292</t>
  </si>
  <si>
    <t>P20310L29G29141</t>
  </si>
  <si>
    <t>VM221S012841</t>
  </si>
  <si>
    <t>EB20BS009583</t>
  </si>
  <si>
    <t>VR21CS005031</t>
  </si>
  <si>
    <t>C5100LL02RA0278</t>
  </si>
  <si>
    <t>P20310L29G29146</t>
  </si>
  <si>
    <t>VM221S012591</t>
  </si>
  <si>
    <t>EB20BS009586</t>
  </si>
  <si>
    <t>VR21CS005013</t>
  </si>
  <si>
    <t>C5100LL02RA0284</t>
  </si>
  <si>
    <t>P20310L29G29137</t>
  </si>
  <si>
    <t>VM221S012592</t>
  </si>
  <si>
    <t>EB20BS009577</t>
  </si>
  <si>
    <t>VR21CS005012</t>
  </si>
  <si>
    <t>RS1102V6_033000/2022</t>
  </si>
  <si>
    <t>RS1102V6_030300/2022</t>
  </si>
  <si>
    <t>LIT iHAS124-14 DVDRW lb</t>
  </si>
  <si>
    <t>3743524807 2D8143502272</t>
  </si>
  <si>
    <t>E2174344</t>
  </si>
  <si>
    <t>SO/2022/006010/A SENETIC</t>
  </si>
  <si>
    <t>C7450FK45P30209</t>
  </si>
  <si>
    <t>EB216S007309</t>
  </si>
  <si>
    <t>P9212CL31SN1020</t>
  </si>
  <si>
    <t>P9212CL31SN1087</t>
  </si>
  <si>
    <t>WM224S001000</t>
  </si>
  <si>
    <t>MEM-DR480L-HL01-ER32</t>
  </si>
  <si>
    <t>80AD0121517547AA47</t>
  </si>
  <si>
    <t>80AD0121517547AA3E</t>
  </si>
  <si>
    <t>HDS-I2T0-SSDSC2KG480G8</t>
  </si>
  <si>
    <t>PHYG211505X5480BGN</t>
  </si>
  <si>
    <t>PHYG2115060Q480BGN</t>
  </si>
  <si>
    <t>14FC24F25FBC1C9FRKXN    7188YH0701409</t>
  </si>
  <si>
    <t>TS4108G7_042200/2022</t>
  </si>
  <si>
    <t>1U4LW-X570/2L2T RPSU/EU</t>
  </si>
  <si>
    <t>F3S0R8000770</t>
  </si>
  <si>
    <t>NL-9220948</t>
  </si>
  <si>
    <t>SO/2022/006072/A 8z12</t>
  </si>
  <si>
    <t>M80-E5001000342</t>
  </si>
  <si>
    <t>F3S0R8000763</t>
  </si>
  <si>
    <t>SO/2022/006072/A 9z12</t>
  </si>
  <si>
    <t>M80-E5001000319</t>
  </si>
  <si>
    <t>F3S0R8000752</t>
  </si>
  <si>
    <t>SO/2022/006072/A 11z12</t>
  </si>
  <si>
    <t>M80-E5001001770</t>
  </si>
  <si>
    <t>F3S0R8000746</t>
  </si>
  <si>
    <t>SO/2022/006072/A 10z12</t>
  </si>
  <si>
    <t>M80-E5001000499</t>
  </si>
  <si>
    <t>F3S0R8000762</t>
  </si>
  <si>
    <t>SO/2022/006072/A 12z12</t>
  </si>
  <si>
    <t>M80-E5001001050</t>
  </si>
  <si>
    <t>F3S0R8000755</t>
  </si>
  <si>
    <t>SO/2022/006072/A 1z12</t>
  </si>
  <si>
    <t>M80-E5001000670</t>
  </si>
  <si>
    <t>F3S0R8000766</t>
  </si>
  <si>
    <t>SO/2022/006072/A 2z12</t>
  </si>
  <si>
    <t>M80-E5001000125</t>
  </si>
  <si>
    <t>F3S0R8000761</t>
  </si>
  <si>
    <t>SO/2022/006072/A 3z12</t>
  </si>
  <si>
    <t>M80-E5001002054</t>
  </si>
  <si>
    <t>F3S0R8000745</t>
  </si>
  <si>
    <t>SO/2022/006072/A 4z12</t>
  </si>
  <si>
    <t>M80-E5001000784</t>
  </si>
  <si>
    <t>F3S0R8000758</t>
  </si>
  <si>
    <t>SO/2022/006072/A 5z12</t>
  </si>
  <si>
    <t>M80-E5001001223</t>
  </si>
  <si>
    <t>F3S0R8000747</t>
  </si>
  <si>
    <t>SO/2022/006072/A 7z12</t>
  </si>
  <si>
    <t>M80-E5001000107</t>
  </si>
  <si>
    <t>F3S0R8000748</t>
  </si>
  <si>
    <t>SO/2022/006072/A 6z12</t>
  </si>
  <si>
    <t>M80-E5001000518</t>
  </si>
  <si>
    <t>JJD014600009877033824</t>
  </si>
  <si>
    <t>MZ7L3960HCJR-00A07</t>
  </si>
  <si>
    <t>S662NE0T309093</t>
  </si>
  <si>
    <t>S662NE0T309095</t>
  </si>
  <si>
    <t>S662NE0T309076</t>
  </si>
  <si>
    <t>S662NE0T309121</t>
  </si>
  <si>
    <t>S662NE0T309129</t>
  </si>
  <si>
    <t>S662NE0T309119</t>
  </si>
  <si>
    <t>S662NE0T309417</t>
  </si>
  <si>
    <t>S662NE0T309418</t>
  </si>
  <si>
    <t>S662NE0T309408</t>
  </si>
  <si>
    <t>S662NE0T309442</t>
  </si>
  <si>
    <t>S662NE0T309451</t>
  </si>
  <si>
    <t>S662NE0T309459</t>
  </si>
  <si>
    <t>S665NE0T306653</t>
  </si>
  <si>
    <t>F2206469</t>
  </si>
  <si>
    <t>S665NE0T306655</t>
  </si>
  <si>
    <t>S665NE0T306649</t>
  </si>
  <si>
    <t>S665NE0T306641</t>
  </si>
  <si>
    <t>S665NE0T306643</t>
  </si>
  <si>
    <t>S665NE0T306876</t>
  </si>
  <si>
    <t>S665NE0T306878</t>
  </si>
  <si>
    <t>S665NE0T306654</t>
  </si>
  <si>
    <t>S665NE0T306656</t>
  </si>
  <si>
    <t>S665NE0T306651</t>
  </si>
  <si>
    <t>S665NE0T301449</t>
  </si>
  <si>
    <t>S665NE0T301455</t>
  </si>
  <si>
    <t>AMD AM4 Ryzen 9 5900X</t>
  </si>
  <si>
    <t>9LB7149N20115</t>
  </si>
  <si>
    <t>F131508698</t>
  </si>
  <si>
    <t>9LB7149N20153</t>
  </si>
  <si>
    <t>9LB7149N20152</t>
  </si>
  <si>
    <t>9LB7149N20040</t>
  </si>
  <si>
    <t>9LB0126N20607</t>
  </si>
  <si>
    <t>9LB5891N20054</t>
  </si>
  <si>
    <t>9LB5891N20056</t>
  </si>
  <si>
    <t>9LB5921N20031</t>
  </si>
  <si>
    <t>9LB5921N20124</t>
  </si>
  <si>
    <t>9LB0126N20128</t>
  </si>
  <si>
    <t>9LB0126N20124</t>
  </si>
  <si>
    <t>9LB0126N20126</t>
  </si>
  <si>
    <t>1Z0V68F46849397149</t>
  </si>
  <si>
    <t>2216 0000009465823-T000269</t>
  </si>
  <si>
    <t>FA/ZA-22/00137757</t>
  </si>
  <si>
    <t>2216 0000009465823-T000181</t>
  </si>
  <si>
    <t>2216 0000009465823-T000037</t>
  </si>
  <si>
    <t>2216 0000009465823-T000032</t>
  </si>
  <si>
    <t>2216 0000009465823-T000183</t>
  </si>
  <si>
    <t>2216 0000009465823-T000150</t>
  </si>
  <si>
    <t>2216 0000009465823-T000205</t>
  </si>
  <si>
    <t>2216 0000009465823-T000239</t>
  </si>
  <si>
    <t>2216 0000009465823-T000204</t>
  </si>
  <si>
    <t>2216 0000009465823-T000078</t>
  </si>
  <si>
    <t>2216 0000009465823-T000212</t>
  </si>
  <si>
    <t>2216 0000009465823-T000108</t>
  </si>
  <si>
    <t>2216 0000009465823-T000195</t>
  </si>
  <si>
    <t>2216 0000009465823-T000054</t>
  </si>
  <si>
    <t>2216 0000009465823-T000121</t>
  </si>
  <si>
    <t>2216 0000009465823-T000118</t>
  </si>
  <si>
    <t>2216 0000009465823-T000100</t>
  </si>
  <si>
    <t>2216 0000009465823-T000106</t>
  </si>
  <si>
    <t>2216 0000009465823-T000178</t>
  </si>
  <si>
    <t>2216 0000009465823-T000110</t>
  </si>
  <si>
    <t>2216 0000009465823-T000208</t>
  </si>
  <si>
    <t>2216 0000009465823-T000112</t>
  </si>
  <si>
    <t>2216 0000009465823-T000041</t>
  </si>
  <si>
    <t>2216 0000009465823-T000184</t>
  </si>
  <si>
    <t>2216 0000009465823-T000046</t>
  </si>
  <si>
    <t>2216 0000009465823-T000196</t>
  </si>
  <si>
    <t>2216 0000009465823-T000197</t>
  </si>
  <si>
    <t>2216 0000009465823-T000180</t>
  </si>
  <si>
    <t>2216 0000009465823-T000188</t>
  </si>
  <si>
    <t>2216 0000009465823-T000044</t>
  </si>
  <si>
    <t>2216 0000009465823-T000220</t>
  </si>
  <si>
    <t>2216 0000009465823-T000236</t>
  </si>
  <si>
    <t>2216 0000009465823-T000177</t>
  </si>
  <si>
    <t>2216 0000009465823-T000142</t>
  </si>
  <si>
    <t>2216 0000009465823-T000073</t>
  </si>
  <si>
    <t>2216 0000009465823-T000020</t>
  </si>
  <si>
    <t>2216 0000009465823-T000266</t>
  </si>
  <si>
    <t>2216 0000009465823-T000048</t>
  </si>
  <si>
    <t>2216 0000009465823-T000271</t>
  </si>
  <si>
    <t>2216 0000009465823-T000284</t>
  </si>
  <si>
    <t>2216 0000009465823-T000187</t>
  </si>
  <si>
    <t>2216 0000009465823-T000080</t>
  </si>
  <si>
    <t>2216 0000009465823-T000182</t>
  </si>
  <si>
    <t>2216 0000009465823-T000130</t>
  </si>
  <si>
    <t>2216 0000009465823-T000247</t>
  </si>
  <si>
    <t>2216 0000009465823-T000245</t>
  </si>
  <si>
    <t>2216 0000009465823-T000230</t>
  </si>
  <si>
    <t>2216 0000009465823-T000034</t>
  </si>
  <si>
    <t>RR1104R5_051300/2022</t>
  </si>
  <si>
    <t>X212K806  U2AW250300426</t>
  </si>
  <si>
    <t>ELKO</t>
  </si>
  <si>
    <t>EX034432</t>
  </si>
  <si>
    <t>SO/2022/006170/A 2z12</t>
  </si>
  <si>
    <t>X212K806  U2TC541202091</t>
  </si>
  <si>
    <t>SO/2022/006170/A 1z12</t>
  </si>
  <si>
    <t>SO/2022/006170/A 3z12</t>
  </si>
  <si>
    <t>SO/2022/006170/A 4z12</t>
  </si>
  <si>
    <t>SO/2022/006170/A 5z12</t>
  </si>
  <si>
    <t>SNL693</t>
  </si>
  <si>
    <t>SO/2022/006170/A 6z12</t>
  </si>
  <si>
    <t>SNL694</t>
  </si>
  <si>
    <t>A345069X2602002</t>
  </si>
  <si>
    <t>C5100LL02RA0321</t>
  </si>
  <si>
    <t>P20310L48G50398</t>
  </si>
  <si>
    <t>VM221S012532</t>
  </si>
  <si>
    <t>EB20BS009547</t>
  </si>
  <si>
    <t>VR21CS000973</t>
  </si>
  <si>
    <t>A345069X2602007</t>
  </si>
  <si>
    <t>C5100LL02RA0335</t>
  </si>
  <si>
    <t>P20310L48G50390</t>
  </si>
  <si>
    <t>VM221S012705</t>
  </si>
  <si>
    <t>EB20BS009578</t>
  </si>
  <si>
    <t>VR21CS000923</t>
  </si>
  <si>
    <t>A345069X2602009</t>
  </si>
  <si>
    <t>C5100LL02RA0332</t>
  </si>
  <si>
    <t>P20310L48G50392</t>
  </si>
  <si>
    <t>VM221S012673</t>
  </si>
  <si>
    <t>EB20BS009557</t>
  </si>
  <si>
    <t>VR21CS000972</t>
  </si>
  <si>
    <t>A345069X2602004</t>
  </si>
  <si>
    <t>C5100LL02RA0325</t>
  </si>
  <si>
    <t>P20310L48G50429</t>
  </si>
  <si>
    <t>VM221S012530</t>
  </si>
  <si>
    <t>EB20BS009542</t>
  </si>
  <si>
    <t>VR21CS000922</t>
  </si>
  <si>
    <t>A345069X2601996</t>
  </si>
  <si>
    <t>C5100LL02RA0323</t>
  </si>
  <si>
    <t>P20310L48G50388</t>
  </si>
  <si>
    <t>VM221S012671</t>
  </si>
  <si>
    <t>EB20BS009565</t>
  </si>
  <si>
    <t>VR21CS000975</t>
  </si>
  <si>
    <t>A345069X2602001</t>
  </si>
  <si>
    <t>C5100LL02RA0322</t>
  </si>
  <si>
    <t>P20310L48G50397</t>
  </si>
  <si>
    <t>VM221S012528</t>
  </si>
  <si>
    <t>EB20BS009572</t>
  </si>
  <si>
    <t>VR21CS000921</t>
  </si>
  <si>
    <t>MZ7L3480HCHQ-00A07</t>
  </si>
  <si>
    <t>S664NE0T209015</t>
  </si>
  <si>
    <t>F2207848</t>
  </si>
  <si>
    <t>S664NE0T209016</t>
  </si>
  <si>
    <t>S664NE0T209018</t>
  </si>
  <si>
    <t>S664NE0T209019</t>
  </si>
  <si>
    <t>S664NE0T209020</t>
  </si>
  <si>
    <t>S664NE0T209010</t>
  </si>
  <si>
    <t>X221K741 01555</t>
  </si>
  <si>
    <t>E2183024</t>
  </si>
  <si>
    <t>X221K741 00193</t>
  </si>
  <si>
    <t>X221K741 01548</t>
  </si>
  <si>
    <t>X221K741 02272</t>
  </si>
  <si>
    <t>1Z9104766843223976</t>
  </si>
  <si>
    <t>1Z8041426866786296</t>
  </si>
  <si>
    <t>02219144001148</t>
  </si>
  <si>
    <t>02219144001153</t>
  </si>
  <si>
    <t>02219144001152</t>
  </si>
  <si>
    <t>02219144001151</t>
  </si>
  <si>
    <t>02219144001150</t>
  </si>
  <si>
    <t>02219144001149</t>
  </si>
  <si>
    <t>SO/2022/006170/A 7z12</t>
  </si>
  <si>
    <t>SO/2022/006170/A 8z12</t>
  </si>
  <si>
    <t>SO/2022/006170/A 9z12</t>
  </si>
  <si>
    <t>SO/2022/006170/A 10z12</t>
  </si>
  <si>
    <t>SO/2022/006170/A 11z12</t>
  </si>
  <si>
    <t>SO/2022/006170/A 12z12</t>
  </si>
  <si>
    <t>RS1102V6_060700/2022</t>
  </si>
  <si>
    <t>SSDSC2KB960GZ01</t>
  </si>
  <si>
    <t>BTYI201305SL960CGN</t>
  </si>
  <si>
    <t>SO/2022/006264/A</t>
  </si>
  <si>
    <t>BTYI201305T5960CGN</t>
  </si>
  <si>
    <t>BTYI201305SK960CGN</t>
  </si>
  <si>
    <t>BTYI204307SZ960CGN</t>
  </si>
  <si>
    <t>BTYI204307TP960CGN</t>
  </si>
  <si>
    <t>BTYI204307SX960CGN</t>
  </si>
  <si>
    <t>BTYI204400KS960CGN</t>
  </si>
  <si>
    <t>BTYI204307SY960CGN</t>
  </si>
  <si>
    <t>1Z10R4X16862542008</t>
  </si>
  <si>
    <t>M393A4K40EB3-CWE</t>
  </si>
  <si>
    <t>SNL824</t>
  </si>
  <si>
    <t>SNL825</t>
  </si>
  <si>
    <t>SNL826</t>
  </si>
  <si>
    <t>SNL827</t>
  </si>
  <si>
    <t>1Z8041426869112641</t>
  </si>
  <si>
    <t>VR221S000661</t>
  </si>
  <si>
    <t>PSE-ROM740P-0048</t>
  </si>
  <si>
    <t>9KI3196P20036</t>
  </si>
  <si>
    <t>WM214S604468</t>
  </si>
  <si>
    <t>CSE-113MFAC2-R606CB</t>
  </si>
  <si>
    <t>C113MLK51P40189</t>
  </si>
  <si>
    <t>PWS-606P-1R</t>
  </si>
  <si>
    <t>P606PCL46PB1332</t>
  </si>
  <si>
    <t>P606PCL46PB1111</t>
  </si>
  <si>
    <t>BPN-SAS3-113A-N2</t>
  </si>
  <si>
    <t>PB21BS006291</t>
  </si>
  <si>
    <t>RS1108A3_070700/2022</t>
  </si>
  <si>
    <t>SNL701</t>
  </si>
  <si>
    <t>SNL702</t>
  </si>
  <si>
    <t>X221K741 02015</t>
  </si>
  <si>
    <t>JJD014600010209412782</t>
  </si>
  <si>
    <t>s664ne0rc27052</t>
  </si>
  <si>
    <t>08.089.2022</t>
  </si>
  <si>
    <t>A345069X2721181</t>
  </si>
  <si>
    <t>C5100LL02RA0340</t>
  </si>
  <si>
    <t>P20310L48G50306</t>
  </si>
  <si>
    <t>VM226S001935</t>
  </si>
  <si>
    <t>EB227S007567</t>
  </si>
  <si>
    <t>VR219S016035</t>
  </si>
  <si>
    <t>SNL699</t>
  </si>
  <si>
    <t>SNL700</t>
  </si>
  <si>
    <t>X221K741 02282</t>
  </si>
  <si>
    <t>s664ne0rc27042</t>
  </si>
  <si>
    <t>A345069X2721217</t>
  </si>
  <si>
    <t>C5100LL25RA0462</t>
  </si>
  <si>
    <t>P20310L48G50189</t>
  </si>
  <si>
    <t>VM224S013140</t>
  </si>
  <si>
    <t>EB227S007050</t>
  </si>
  <si>
    <t>VR219S016004</t>
  </si>
  <si>
    <t>SNL697</t>
  </si>
  <si>
    <t>SNL698</t>
  </si>
  <si>
    <t>X221K741 00006</t>
  </si>
  <si>
    <t>s664ne0rc27043</t>
  </si>
  <si>
    <t>A345069X2721203</t>
  </si>
  <si>
    <t>C5100LL25RA0479</t>
  </si>
  <si>
    <t>P20310L48G50300</t>
  </si>
  <si>
    <t>VM224S013211</t>
  </si>
  <si>
    <t>EB227S007579</t>
  </si>
  <si>
    <t>VR219S016033</t>
  </si>
  <si>
    <t>SNL695</t>
  </si>
  <si>
    <t>SNL696</t>
  </si>
  <si>
    <t>X221K741 00202</t>
  </si>
  <si>
    <t>s664ne0rc27050</t>
  </si>
  <si>
    <t>A345069X2721193</t>
  </si>
  <si>
    <t>C5100LL25RA0445</t>
  </si>
  <si>
    <t>P20310L48G50182</t>
  </si>
  <si>
    <t>VM226S001651</t>
  </si>
  <si>
    <t>EB227S007046</t>
  </si>
  <si>
    <t>VR219S016001</t>
  </si>
  <si>
    <t>SNL703</t>
  </si>
  <si>
    <t>SNL704</t>
  </si>
  <si>
    <t>X221K741 03182</t>
  </si>
  <si>
    <t>s664ne0rc27051</t>
  </si>
  <si>
    <t>A345069X2721188</t>
  </si>
  <si>
    <t>C5100LL25RA0444</t>
  </si>
  <si>
    <t>P20310L48G50115</t>
  </si>
  <si>
    <t>VM226S001860</t>
  </si>
  <si>
    <t>EB227S007057</t>
  </si>
  <si>
    <t>VR219S016031</t>
  </si>
  <si>
    <t>SNL705</t>
  </si>
  <si>
    <t>SNL706</t>
  </si>
  <si>
    <t>X221K741 01600</t>
  </si>
  <si>
    <t>s664ne0rc27060</t>
  </si>
  <si>
    <t>A345069X2721191</t>
  </si>
  <si>
    <t>C5100LL25RA0456</t>
  </si>
  <si>
    <t>P20310L48G50294</t>
  </si>
  <si>
    <t>VM226S001930</t>
  </si>
  <si>
    <t>EB227S007568</t>
  </si>
  <si>
    <t>VR219S016042</t>
  </si>
  <si>
    <t>SO/2022/006215/A 1z10</t>
  </si>
  <si>
    <t>SO/2022/006215/A 2z10</t>
  </si>
  <si>
    <t>SO/2022/006215/A 3z10</t>
  </si>
  <si>
    <t>SO/2022/006215/A 6z10</t>
  </si>
  <si>
    <t>SO/2022/006215/A 7z10</t>
  </si>
  <si>
    <t>SO/2022/006215/A 8z10</t>
  </si>
  <si>
    <t>SO/2022/006215/A 9z10</t>
  </si>
  <si>
    <t>SO/2022/006215/A 5z10</t>
  </si>
  <si>
    <t>SO/2022/006215/A 4z10</t>
  </si>
  <si>
    <t>SO/2022/006215/A 10z10</t>
  </si>
  <si>
    <t>80AD0121507542C29F</t>
  </si>
  <si>
    <t>80AD0121507542C29E</t>
  </si>
  <si>
    <t>S664NE0RC27049</t>
  </si>
  <si>
    <t>A345069X2721184</t>
  </si>
  <si>
    <t>C5100LL25RA0458</t>
  </si>
  <si>
    <t>P20310L48G50119</t>
  </si>
  <si>
    <t>VM226S001849</t>
  </si>
  <si>
    <t>EB227S007043</t>
  </si>
  <si>
    <t>VR219S016005</t>
  </si>
  <si>
    <t>1000483597860U155616</t>
  </si>
  <si>
    <t>Xeon E-2246G</t>
  </si>
  <si>
    <t>X225K132  01846</t>
  </si>
  <si>
    <t>E2205374</t>
  </si>
  <si>
    <t>80AD0121507542C391</t>
  </si>
  <si>
    <t>80AD0121507542C38E</t>
  </si>
  <si>
    <t>80AD0121507542C283</t>
  </si>
  <si>
    <t>80AD0121507542C38F</t>
  </si>
  <si>
    <t>80AD0121507542C390</t>
  </si>
  <si>
    <t>80AD0121507542C389</t>
  </si>
  <si>
    <t>80AD0121507542C2D2</t>
  </si>
  <si>
    <t>80AD0121507542C38C</t>
  </si>
  <si>
    <t>80AD0121507542C296</t>
  </si>
  <si>
    <t>80AD0121507542C38D</t>
  </si>
  <si>
    <t>80AD0121507542C387</t>
  </si>
  <si>
    <t>80AD0121507542C304</t>
  </si>
  <si>
    <t>80AD0121507542C285</t>
  </si>
  <si>
    <t>80AD0121507542C38B</t>
  </si>
  <si>
    <t>80AD0121507542C2D1</t>
  </si>
  <si>
    <t>80AD0121507542C282</t>
  </si>
  <si>
    <t>80AD0121507542C2A0</t>
  </si>
  <si>
    <t>80AD0121507542C27D</t>
  </si>
  <si>
    <t>s664ne0rc26641</t>
  </si>
  <si>
    <t>s664ne0rc27061</t>
  </si>
  <si>
    <t>s664ne0rc27053</t>
  </si>
  <si>
    <t>s664ne0rc27062</t>
  </si>
  <si>
    <t>s664ne0rc27041</t>
  </si>
  <si>
    <t>s664ne0rc27039</t>
  </si>
  <si>
    <t>s664ne0rc27026</t>
  </si>
  <si>
    <t>S664NE0RC27040</t>
  </si>
  <si>
    <t>S664NE0RC27027</t>
  </si>
  <si>
    <t>A345069X2721207</t>
  </si>
  <si>
    <t>C5100LL25RA0471</t>
  </si>
  <si>
    <t>P20310L48G50186</t>
  </si>
  <si>
    <t>VM224S013212</t>
  </si>
  <si>
    <t>EB227S007582</t>
  </si>
  <si>
    <t>VR219S016072</t>
  </si>
  <si>
    <t>A345069X2721178</t>
  </si>
  <si>
    <t>C5100LL25RA0452</t>
  </si>
  <si>
    <t>P20310L48G50297</t>
  </si>
  <si>
    <t>VM226S001671</t>
  </si>
  <si>
    <t>EB227S007576</t>
  </si>
  <si>
    <t>VR219S016046</t>
  </si>
  <si>
    <t>A345069X2721213</t>
  </si>
  <si>
    <t>C5100LL25RA0463</t>
  </si>
  <si>
    <t>P20310L48G50194</t>
  </si>
  <si>
    <t>VM224S013144</t>
  </si>
  <si>
    <t>EB227S007051</t>
  </si>
  <si>
    <t>VR219S016041</t>
  </si>
  <si>
    <t>A345069X2721186</t>
  </si>
  <si>
    <t>C5100LL25RA0441</t>
  </si>
  <si>
    <t>P20310L48G50117</t>
  </si>
  <si>
    <t>VM224S005752</t>
  </si>
  <si>
    <t>EB227S007561</t>
  </si>
  <si>
    <t>VR219S016021</t>
  </si>
  <si>
    <t>A345069X2721214</t>
  </si>
  <si>
    <t>C5100LL25RA0469</t>
  </si>
  <si>
    <t>P20310L48G50183</t>
  </si>
  <si>
    <t>VM224S013153</t>
  </si>
  <si>
    <t>EB227S007049</t>
  </si>
  <si>
    <t>VR219S016074</t>
  </si>
  <si>
    <t>A345069X2721179</t>
  </si>
  <si>
    <t>C5100LL02RA0336</t>
  </si>
  <si>
    <t>P20310L48G50291</t>
  </si>
  <si>
    <t>VM226S001885</t>
  </si>
  <si>
    <t>EB227S007563</t>
  </si>
  <si>
    <t>VR219S016027</t>
  </si>
  <si>
    <t>A345069X2721174</t>
  </si>
  <si>
    <t>C5100LL25RA0443</t>
  </si>
  <si>
    <t>P20310L48G50184</t>
  </si>
  <si>
    <t>VM226S001850</t>
  </si>
  <si>
    <t>EB227S007583</t>
  </si>
  <si>
    <t>VR219S016040</t>
  </si>
  <si>
    <t>A345069X2721183</t>
  </si>
  <si>
    <t>C5100LL25RA0453</t>
  </si>
  <si>
    <t>P20310L48G50120</t>
  </si>
  <si>
    <t>VM226S001848</t>
  </si>
  <si>
    <t>EB227S007571</t>
  </si>
  <si>
    <t>VR219S016024</t>
  </si>
  <si>
    <t>A345069X2721182</t>
  </si>
  <si>
    <t>C5100LL25RA0451</t>
  </si>
  <si>
    <t>P20310L48G50122</t>
  </si>
  <si>
    <t>VM226S001828</t>
  </si>
  <si>
    <t>EB227S007566</t>
  </si>
  <si>
    <t>VR219S016032</t>
  </si>
  <si>
    <t xml:space="preserve">X225K132  02405 </t>
  </si>
  <si>
    <t>X225K132  01978</t>
  </si>
  <si>
    <t>X225K132  00450</t>
  </si>
  <si>
    <t>X225K132  00739</t>
  </si>
  <si>
    <t>X225K132  01845</t>
  </si>
  <si>
    <t>X225K132  00055</t>
  </si>
  <si>
    <t>X225K132  02003</t>
  </si>
  <si>
    <t>X225K132 01706</t>
  </si>
  <si>
    <t>X225K132 02203</t>
  </si>
  <si>
    <t>RS1102V6_062000/2022</t>
  </si>
  <si>
    <t>A345069X2721202</t>
  </si>
  <si>
    <t>A345069X2721176</t>
  </si>
  <si>
    <t>A345069X2721201</t>
  </si>
  <si>
    <t>A345069X2721205</t>
  </si>
  <si>
    <t>A345069X2721210</t>
  </si>
  <si>
    <t>A345069X2721208</t>
  </si>
  <si>
    <t>A345069X2721196</t>
  </si>
  <si>
    <t>A345069X2721177</t>
  </si>
  <si>
    <t>A345069X2721190</t>
  </si>
  <si>
    <t>A345069X2721189</t>
  </si>
  <si>
    <t>A345069X2721212</t>
  </si>
  <si>
    <t>A345069X2721194</t>
  </si>
  <si>
    <t>A345069X2721216</t>
  </si>
  <si>
    <t>A345069X2721206</t>
  </si>
  <si>
    <t>A345069X2721199</t>
  </si>
  <si>
    <t>A345069X2721218</t>
  </si>
  <si>
    <t>A345069X2721215</t>
  </si>
  <si>
    <t>A345069X2721192</t>
  </si>
  <si>
    <t>MEM-DR490L-HL01-EU26</t>
  </si>
  <si>
    <t>80AD01215075427B06</t>
  </si>
  <si>
    <t>80AD01215075427AC4</t>
  </si>
  <si>
    <t>80AD01215075427AC3</t>
  </si>
  <si>
    <t>80AD01215075427B0A</t>
  </si>
  <si>
    <t>80AD01215075427BBF</t>
  </si>
  <si>
    <t>80AD01215075427AD7</t>
  </si>
  <si>
    <t>80AD01215075427ACF</t>
  </si>
  <si>
    <t>80AD01215075427ABB</t>
  </si>
  <si>
    <t>80AD01215075427AB8</t>
  </si>
  <si>
    <t>80AD01215075427AAD</t>
  </si>
  <si>
    <t>80AD01215075427AB3</t>
  </si>
  <si>
    <t>80AD01215075427AA8</t>
  </si>
  <si>
    <t>80AD01215075427A94</t>
  </si>
  <si>
    <t>80AD01215075427A99</t>
  </si>
  <si>
    <t>80AD01215075427A96</t>
  </si>
  <si>
    <t>80AD01215075427A95</t>
  </si>
  <si>
    <t>80AD01215075427AB7</t>
  </si>
  <si>
    <t>80AD01215075427BC0</t>
  </si>
  <si>
    <t>80AD01215075427ACD</t>
  </si>
  <si>
    <t>80AD01215075427ACC</t>
  </si>
  <si>
    <t>80AD01215075427AB6</t>
  </si>
  <si>
    <t>80AD01215075427BC1</t>
  </si>
  <si>
    <t>80AD01215075427ABA</t>
  </si>
  <si>
    <t>80AD01215075427AB9</t>
  </si>
  <si>
    <t>80AD01215075427A90</t>
  </si>
  <si>
    <t>80AD01215075427A69</t>
  </si>
  <si>
    <t>80AD01215075427AAC</t>
  </si>
  <si>
    <t>80AD01215075427AB5</t>
  </si>
  <si>
    <t>80AD01215075427AAF</t>
  </si>
  <si>
    <t>80AD01215075427AD4</t>
  </si>
  <si>
    <t>80AD01215075427ACE</t>
  </si>
  <si>
    <t>80AD01215075427AD5</t>
  </si>
  <si>
    <t>80AD01215075427AC7</t>
  </si>
  <si>
    <t>80AD01215075427B61</t>
  </si>
  <si>
    <t>80AD01215075427B0B</t>
  </si>
  <si>
    <t>80AD0121507542C3D9</t>
  </si>
  <si>
    <t>C5100LL25RA0460</t>
  </si>
  <si>
    <t>P20310L48G50121</t>
  </si>
  <si>
    <t>VM226S001853</t>
  </si>
  <si>
    <t>EB20BS009551</t>
  </si>
  <si>
    <t>VR219S016048</t>
  </si>
  <si>
    <t>C5100LL02RA0339</t>
  </si>
  <si>
    <t>P20310L48G50296</t>
  </si>
  <si>
    <t>VM226S001984</t>
  </si>
  <si>
    <t>EB227S007584</t>
  </si>
  <si>
    <t>VR219S016075</t>
  </si>
  <si>
    <t>C5100LL25RA0473</t>
  </si>
  <si>
    <t>P20310L48G50299</t>
  </si>
  <si>
    <t>VM224S013209</t>
  </si>
  <si>
    <t>EB227S007041</t>
  </si>
  <si>
    <t>VR219S016038</t>
  </si>
  <si>
    <t>C5100LL25RA0450</t>
  </si>
  <si>
    <t>P20310L48G50126</t>
  </si>
  <si>
    <t>VM226S001670</t>
  </si>
  <si>
    <t>EB227S007562</t>
  </si>
  <si>
    <t>VR219S016022</t>
  </si>
  <si>
    <t>C5100LL25RA0474</t>
  </si>
  <si>
    <t>P20310L48G50305</t>
  </si>
  <si>
    <t>VM224S013214</t>
  </si>
  <si>
    <t>EB227S007580</t>
  </si>
  <si>
    <t>VR219S016076</t>
  </si>
  <si>
    <t>C5100LL25RA0472</t>
  </si>
  <si>
    <t>P20310L48G50301</t>
  </si>
  <si>
    <t>VM224S013210</t>
  </si>
  <si>
    <t>EB227S007585</t>
  </si>
  <si>
    <t>VR219S016078</t>
  </si>
  <si>
    <t>C5100LL25RA0478</t>
  </si>
  <si>
    <t>P20310L48G50302</t>
  </si>
  <si>
    <t>VM224S013194</t>
  </si>
  <si>
    <t>EB227S007575</t>
  </si>
  <si>
    <t>VR219S016079</t>
  </si>
  <si>
    <t>C5100LL25RA0470</t>
  </si>
  <si>
    <t>P20310L48G50179</t>
  </si>
  <si>
    <t>VM224S013143</t>
  </si>
  <si>
    <t>EB227S007053</t>
  </si>
  <si>
    <t>VR219S016025</t>
  </si>
  <si>
    <t>C5100LL02RA0337</t>
  </si>
  <si>
    <t>P20310L48G50295</t>
  </si>
  <si>
    <t>VM226S001738</t>
  </si>
  <si>
    <t>EB227S007569</t>
  </si>
  <si>
    <t>VR219S016037</t>
  </si>
  <si>
    <t>C5100LL25RA0457</t>
  </si>
  <si>
    <t>P20310L48G50293</t>
  </si>
  <si>
    <t>VM226S001977</t>
  </si>
  <si>
    <t>EB227S007570</t>
  </si>
  <si>
    <t>VR219S016044</t>
  </si>
  <si>
    <t>C5100LL25RA0477</t>
  </si>
  <si>
    <t>P20310L48G50193</t>
  </si>
  <si>
    <t>VM224S013136</t>
  </si>
  <si>
    <t>EB227S007047</t>
  </si>
  <si>
    <t>VR219S016073</t>
  </si>
  <si>
    <t>C5100LL25RA0467</t>
  </si>
  <si>
    <t>P20310L48G50187</t>
  </si>
  <si>
    <t>VM224S013137</t>
  </si>
  <si>
    <t>EB227S007048</t>
  </si>
  <si>
    <t>VR219S016003</t>
  </si>
  <si>
    <t>C5100LL25RA0449</t>
  </si>
  <si>
    <t>P20310L48G50125</t>
  </si>
  <si>
    <t>VM224S013216</t>
  </si>
  <si>
    <t>EB227S007056</t>
  </si>
  <si>
    <t>VR219S016050</t>
  </si>
  <si>
    <t>C5100LL25RA0447</t>
  </si>
  <si>
    <t>P20310L48G50303</t>
  </si>
  <si>
    <t>VM224S013201</t>
  </si>
  <si>
    <t>EB227S007586</t>
  </si>
  <si>
    <t>VR219S016043</t>
  </si>
  <si>
    <t>C5100LL25RA0464</t>
  </si>
  <si>
    <t>P20310L48G50188</t>
  </si>
  <si>
    <t>VM224S013142</t>
  </si>
  <si>
    <t>EB227S007044</t>
  </si>
  <si>
    <t>VR219S016047</t>
  </si>
  <si>
    <t>C5100LL25RA0466</t>
  </si>
  <si>
    <t>P20310L48G50181</t>
  </si>
  <si>
    <t>VM224S012310</t>
  </si>
  <si>
    <t>EB227S007042</t>
  </si>
  <si>
    <t>VR219S016030</t>
  </si>
  <si>
    <t>C5100LL25RA0465</t>
  </si>
  <si>
    <t>P20310L48G50190</t>
  </si>
  <si>
    <t>VM224S013139</t>
  </si>
  <si>
    <t>EB227S007052</t>
  </si>
  <si>
    <t>VR219S016023</t>
  </si>
  <si>
    <t>C5100LL25RA0454</t>
  </si>
  <si>
    <t>P20310L48G50127</t>
  </si>
  <si>
    <t>VM226S001847</t>
  </si>
  <si>
    <t>EB227S007572</t>
  </si>
  <si>
    <t>VR219S016051</t>
  </si>
  <si>
    <t>S664NE0RC25576</t>
  </si>
  <si>
    <t>S664NE0RC25579</t>
  </si>
  <si>
    <t>S664NE0RC25580</t>
  </si>
  <si>
    <t>S664NE0RC25586</t>
  </si>
  <si>
    <t>S664NE0RC25590</t>
  </si>
  <si>
    <t>S664NE0RC25577</t>
  </si>
  <si>
    <t>S664NE0RC25854</t>
  </si>
  <si>
    <t>S664NE0RC25845</t>
  </si>
  <si>
    <t>S664NE0RC25848</t>
  </si>
  <si>
    <t>S664NE0RC25855</t>
  </si>
  <si>
    <t>S664NE0RC25859</t>
  </si>
  <si>
    <t>S664NE0RC25846</t>
  </si>
  <si>
    <t>S664NE0RC25593</t>
  </si>
  <si>
    <t>S664NE0RC25583</t>
  </si>
  <si>
    <t>S664NE0RC25585</t>
  </si>
  <si>
    <t>S664NE0RC25596</t>
  </si>
  <si>
    <t>S664NE0RC25599</t>
  </si>
  <si>
    <t>S664NE0RC25594</t>
  </si>
  <si>
    <t>B5577028947430430D</t>
  </si>
  <si>
    <t>X212K767 02076   U2XN436702076</t>
  </si>
  <si>
    <t>X212K767 03225   U2KJ702903225</t>
  </si>
  <si>
    <t>X212K767 02557   U2XN436702557</t>
  </si>
  <si>
    <t>X212K767 02884  U2XN436702884</t>
  </si>
  <si>
    <t>X212K767 02829   U2XN436702829</t>
  </si>
  <si>
    <t>X212K767 02993   U2XN436702993</t>
  </si>
  <si>
    <t>X212K767 01762   U2XN436701762</t>
  </si>
  <si>
    <t>X212K767 02458   U2KJ702902458</t>
  </si>
  <si>
    <t>X212K767 01511   U2XN436701511</t>
  </si>
  <si>
    <t>X212K767 02988   U2XN436702988</t>
  </si>
  <si>
    <t>X212K767 02075   U2XN436702075</t>
  </si>
  <si>
    <t>X212K767 01535   U2XN436701535</t>
  </si>
  <si>
    <t>X212K767 02790   U2XN436702790</t>
  </si>
  <si>
    <t>X212K767 02159  U2KJ702902159</t>
  </si>
  <si>
    <t>X212K767 02119   U2XN436702119</t>
  </si>
  <si>
    <t>X212K767 02698   U2XN436702698</t>
  </si>
  <si>
    <t>X212K767 01300   U2XN436701300</t>
  </si>
  <si>
    <t>X212K767 02060   U2XN436702060 </t>
  </si>
  <si>
    <t>P73-08353</t>
  </si>
  <si>
    <t>P73-08448</t>
  </si>
  <si>
    <t>1Z10R4X16862552373</t>
  </si>
  <si>
    <t>SNL909</t>
  </si>
  <si>
    <t>F2210247</t>
  </si>
  <si>
    <t>C1130LK43P90206</t>
  </si>
  <si>
    <t>SNL910</t>
  </si>
  <si>
    <t>SNL911</t>
  </si>
  <si>
    <t>SNL912</t>
  </si>
  <si>
    <t>SNL913</t>
  </si>
  <si>
    <t>C1130LK43P90208</t>
  </si>
  <si>
    <t>SNL914</t>
  </si>
  <si>
    <t>SNL915</t>
  </si>
  <si>
    <t>SNL916</t>
  </si>
  <si>
    <t>MZ7L3240HCHQ-00A07</t>
  </si>
  <si>
    <t>S663NE0RC12798</t>
  </si>
  <si>
    <t>S663NE0RC12779</t>
  </si>
  <si>
    <t>S663NE0RC12719</t>
  </si>
  <si>
    <t>S663NE0RC12783</t>
  </si>
  <si>
    <t>MZ7L33T8HBLT-00A07</t>
  </si>
  <si>
    <t>S6ERNE0T603734</t>
  </si>
  <si>
    <t>S6ERNE0T603735</t>
  </si>
  <si>
    <t>S6ERNE0T603736</t>
  </si>
  <si>
    <t>S6ERNE0T603744</t>
  </si>
  <si>
    <t>S6ERNE0T603745</t>
  </si>
  <si>
    <t>S6ERNE0T603746</t>
  </si>
  <si>
    <t>MegaRaid 9361-8i   05-25420-08</t>
  </si>
  <si>
    <t>SKC1294050</t>
  </si>
  <si>
    <t>SKC1294600</t>
  </si>
  <si>
    <t>CSE-113AC2-706WB2</t>
  </si>
  <si>
    <t>P7061VL40GB0463</t>
  </si>
  <si>
    <t>P7061VL40GB0464</t>
  </si>
  <si>
    <t>PB216S000636</t>
  </si>
  <si>
    <t>P7061VL40GB0462</t>
  </si>
  <si>
    <t>P7061VL40GB0461</t>
  </si>
  <si>
    <t>PB216S000738</t>
  </si>
  <si>
    <t>VR218S031323</t>
  </si>
  <si>
    <t>VR218S031321</t>
  </si>
  <si>
    <t>VR221S013568</t>
  </si>
  <si>
    <t>VR221S013567</t>
  </si>
  <si>
    <t>AOC-SGP-I4</t>
  </si>
  <si>
    <t>VA21AS037775</t>
  </si>
  <si>
    <t>VA21AS037139</t>
  </si>
  <si>
    <t>MBD-X11DDW-L-O</t>
  </si>
  <si>
    <t>NM217S001560</t>
  </si>
  <si>
    <t>NM217S006332</t>
  </si>
  <si>
    <t>Xeon Silver 4216</t>
  </si>
  <si>
    <t>35FD12FC86622E2BRFBB    M2MX830200342</t>
  </si>
  <si>
    <t>35FE11FC938DCADBRFBB   M2T19L2800107</t>
  </si>
  <si>
    <t>35FDFEBE45A82111RFBB     M2T19L2800139</t>
  </si>
  <si>
    <t>35FE20BFB041C669RFBB     M2T19L2800257</t>
  </si>
  <si>
    <t>RS1208G6_080100/2022</t>
  </si>
  <si>
    <t>&lt;&lt;&lt;&lt;&lt;&lt;&lt;&lt;&lt;&lt;&lt; Komentarz po czym szukać</t>
  </si>
  <si>
    <t>Producent</t>
  </si>
  <si>
    <t>Comset S.A</t>
  </si>
  <si>
    <t>Model:</t>
  </si>
  <si>
    <t>model serwera</t>
  </si>
  <si>
    <t>RS1102V6</t>
  </si>
  <si>
    <t>NUMER SERYJNY GŁÓWNY</t>
  </si>
  <si>
    <t>PN</t>
  </si>
  <si>
    <t>SN</t>
  </si>
  <si>
    <t>SO/2022/006264/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</si>
</sst>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0000000000"/>
  </numFmts>
  <fonts count="29">
    <font>
      <sz val="11"/>
      <color theme="1"/>
      <name val="Calibri"/>
      <family val="2"/>
      <charset val="238"/>
      <scheme val="minor"/>
    </font>
    <font>
      <b/>
      <sz val="10"/>
      <name val="Arial CE"/>
      <charset val="238"/>
    </font>
    <font>
      <sz val="9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10"/>
      <name val="Arial"/>
      <family val="2"/>
      <charset val="238"/>
    </font>
    <font>
      <sz val="11"/>
      <color theme="1"/>
      <name val="Calibri"/>
      <family val="2"/>
      <charset val="238"/>
      <scheme val="minor"/>
    </font>
    <font>
      <sz val="10"/>
      <name val="Arial CE"/>
      <charset val="238"/>
    </font>
    <font>
      <sz val="10"/>
      <name val="新細明體"/>
      <family val="1"/>
      <charset val="136"/>
    </font>
    <font>
      <sz val="11"/>
      <color rgb="FF9C6500"/>
      <name val="Czcionka tekstu podstawowego"/>
      <family val="2"/>
      <charset val="238"/>
    </font>
    <font>
      <sz val="11"/>
      <color theme="1"/>
      <name val="Calibri"/>
      <family val="2"/>
      <scheme val="minor"/>
    </font>
    <font>
      <sz val="11"/>
      <color rgb="FF9C0006"/>
      <name val="Czcionka tekstu podstawowego"/>
      <family val="2"/>
      <charset val="238"/>
    </font>
    <font>
      <b/>
      <sz val="11"/>
      <color theme="1"/>
      <name val="Calibri"/>
      <family val="2"/>
      <charset val="238"/>
      <scheme val="minor"/>
    </font>
    <font>
      <b/>
      <sz val="9"/>
      <color theme="1"/>
      <name val="Calibri"/>
      <family val="2"/>
      <charset val="238"/>
      <scheme val="minor"/>
    </font>
    <font>
      <sz val="14"/>
      <color theme="1"/>
      <name val="Calibri"/>
      <family val="2"/>
      <charset val="238"/>
      <scheme val="minor"/>
    </font>
    <font>
      <sz val="11"/>
      <name val="Calibri"/>
      <family val="2"/>
    </font>
    <font>
      <sz val="11"/>
      <color rgb="FF000000"/>
      <name val="Calibri"/>
      <family val="2"/>
      <charset val="238"/>
    </font>
    <font>
      <u/>
      <sz val="11"/>
      <color theme="10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sz val="10"/>
      <color theme="1"/>
      <name val="IDAutomationC39XS"/>
      <family val="3"/>
    </font>
    <font>
      <sz val="12"/>
      <color theme="1"/>
      <name val="IDAutomationHC39S"/>
      <family val="3"/>
      <charset val="238"/>
    </font>
    <font>
      <sz val="16"/>
      <color theme="1"/>
      <name val="IDAutomationHC39S"/>
      <family val="3"/>
      <charset val="238"/>
    </font>
    <font>
      <b/>
      <sz val="6"/>
      <color theme="1"/>
      <name val="Calibri"/>
      <family val="2"/>
      <charset val="238"/>
      <scheme val="minor"/>
    </font>
    <font>
      <sz val="8"/>
      <color theme="1"/>
      <name val="IDAutomationHC39XS"/>
      <family val="3"/>
    </font>
    <font>
      <b/>
      <sz val="8"/>
      <color theme="1"/>
      <name val="IDAutomationHC39XS"/>
      <family val="3"/>
    </font>
    <font>
      <sz val="12"/>
      <color theme="1"/>
      <name val="IDAutomationHC39XS"/>
      <family val="3"/>
    </font>
    <font>
      <b/>
      <sz val="12"/>
      <color theme="1"/>
      <name val="IDAutomationHC39XS"/>
      <family val="3"/>
    </font>
    <font>
      <sz val="11"/>
      <color theme="1"/>
      <name val="IDAutomationHC39XS"/>
      <family val="3"/>
    </font>
    <font>
      <sz val="14"/>
      <color theme="1"/>
      <name val="IDAutomationHC39XS"/>
      <family val="3"/>
    </font>
    <font>
      <sz val="8"/>
      <color theme="1"/>
      <name val="IDAutomationHC39M Free Version"/>
      <family val="1"/>
      <charset val="2"/>
    </font>
  </fonts>
  <fills count="8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4">
    <xf numFmtId="0" fontId="0" fillId="0" borderId="0"/>
    <xf numFmtId="0" fontId="4" fillId="0" borderId="0" applyNumberFormat="0" applyFont="0" applyFill="0" applyBorder="0" applyAlignment="0" applyProtection="0"/>
    <xf numFmtId="0" fontId="6" fillId="0" borderId="0"/>
    <xf numFmtId="0" fontId="8" fillId="5" borderId="0" applyNumberFormat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/>
    <xf numFmtId="0" fontId="4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6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9" fillId="0" borderId="0"/>
    <xf numFmtId="0" fontId="5" fillId="0" borderId="0"/>
    <xf numFmtId="0" fontId="5" fillId="0" borderId="0"/>
    <xf numFmtId="0" fontId="9" fillId="0" borderId="0"/>
    <xf numFmtId="0" fontId="7" fillId="0" borderId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0" fillId="4" borderId="0" applyNumberFormat="0" applyBorder="0" applyAlignment="0" applyProtection="0"/>
    <xf numFmtId="0" fontId="10" fillId="4" borderId="0" applyNumberFormat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4" fillId="0" borderId="0" applyNumberFormat="0" applyFont="0" applyFill="0" applyBorder="0" applyAlignment="0" applyProtection="0"/>
    <xf numFmtId="0" fontId="16" fillId="0" borderId="0" applyNumberFormat="0" applyFill="0" applyBorder="0" applyAlignment="0" applyProtection="0"/>
  </cellStyleXfs>
  <cellXfs count="80">
    <xf numFmtId="0" fontId="0" fillId="0" borderId="0" xfId="0"/>
    <xf numFmtId="0" fontId="0" fillId="0" borderId="0" xfId="0" applyBorder="1"/>
    <xf numFmtId="49" fontId="0" fillId="0" borderId="0" xfId="0" applyNumberFormat="1" applyBorder="1"/>
    <xf numFmtId="0" fontId="1" fillId="2" borderId="0" xfId="0" applyFont="1" applyFill="1" applyBorder="1" applyAlignment="1">
      <alignment horizontal="center" vertical="center" wrapText="1"/>
    </xf>
    <xf numFmtId="49" fontId="1" fillId="3" borderId="0" xfId="0" applyNumberFormat="1" applyFont="1" applyFill="1" applyBorder="1" applyAlignment="1">
      <alignment horizontal="center" vertical="center" wrapText="1"/>
    </xf>
    <xf numFmtId="0" fontId="2" fillId="0" borderId="0" xfId="0" applyFont="1"/>
    <xf numFmtId="14" fontId="0" fillId="0" borderId="0" xfId="0" applyNumberFormat="1"/>
    <xf numFmtId="0" fontId="2" fillId="0" borderId="0" xfId="0" applyFont="1" applyAlignment="1">
      <alignment vertical="center" wrapText="1"/>
    </xf>
    <xf numFmtId="0" fontId="11" fillId="0" borderId="0" xfId="0" applyFont="1"/>
    <xf numFmtId="0" fontId="12" fillId="0" borderId="0" xfId="0" applyFont="1" applyAlignment="1">
      <alignment vertical="center" wrapText="1"/>
    </xf>
    <xf numFmtId="0" fontId="13" fillId="0" borderId="0" xfId="0" applyFont="1"/>
    <xf numFmtId="0" fontId="0" fillId="0" borderId="0" xfId="0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Fill="1" applyBorder="1"/>
    <xf numFmtId="0" fontId="0" fillId="7" borderId="0" xfId="0" applyFill="1" applyBorder="1"/>
    <xf numFmtId="0" fontId="0" fillId="6" borderId="0" xfId="0" applyFill="1"/>
    <xf numFmtId="1" fontId="0" fillId="0" borderId="0" xfId="0" applyNumberFormat="1"/>
    <xf numFmtId="11" fontId="0" fillId="0" borderId="0" xfId="0" applyNumberFormat="1"/>
    <xf numFmtId="14" fontId="4" fillId="0" borderId="0" xfId="0" applyNumberFormat="1" applyFont="1"/>
    <xf numFmtId="1" fontId="4" fillId="0" borderId="0" xfId="0" applyNumberFormat="1" applyFont="1"/>
    <xf numFmtId="0" fontId="4" fillId="0" borderId="0" xfId="0" applyFont="1"/>
    <xf numFmtId="0" fontId="14" fillId="0" borderId="0" xfId="0" applyFont="1"/>
    <xf numFmtId="0" fontId="0" fillId="0" borderId="1" xfId="0" applyBorder="1"/>
    <xf numFmtId="1" fontId="0" fillId="0" borderId="1" xfId="0" applyNumberFormat="1" applyBorder="1"/>
    <xf numFmtId="0" fontId="0" fillId="0" borderId="2" xfId="0" applyBorder="1"/>
    <xf numFmtId="1" fontId="0" fillId="0" borderId="2" xfId="0" applyNumberFormat="1" applyBorder="1"/>
    <xf numFmtId="14" fontId="0" fillId="6" borderId="0" xfId="0" applyNumberFormat="1" applyFill="1"/>
    <xf numFmtId="1" fontId="0" fillId="6" borderId="0" xfId="0" applyNumberFormat="1" applyFill="1"/>
    <xf numFmtId="11" fontId="0" fillId="6" borderId="0" xfId="0" applyNumberFormat="1" applyFill="1"/>
    <xf numFmtId="0" fontId="0" fillId="6" borderId="1" xfId="0" applyFill="1" applyBorder="1"/>
    <xf numFmtId="1" fontId="0" fillId="6" borderId="1" xfId="0" applyNumberFormat="1" applyFill="1" applyBorder="1"/>
    <xf numFmtId="0" fontId="0" fillId="6" borderId="2" xfId="0" applyFill="1" applyBorder="1"/>
    <xf numFmtId="1" fontId="0" fillId="6" borderId="2" xfId="0" applyNumberFormat="1" applyFill="1" applyBorder="1"/>
    <xf numFmtId="49" fontId="0" fillId="0" borderId="0" xfId="0" applyNumberFormat="1"/>
    <xf numFmtId="14" fontId="0" fillId="0" borderId="1" xfId="0" applyNumberFormat="1" applyBorder="1"/>
    <xf numFmtId="14" fontId="0" fillId="6" borderId="1" xfId="0" applyNumberFormat="1" applyFill="1" applyBorder="1"/>
    <xf numFmtId="49" fontId="0" fillId="6" borderId="0" xfId="0" applyNumberFormat="1" applyFill="1"/>
    <xf numFmtId="14" fontId="0" fillId="6" borderId="2" xfId="0" applyNumberFormat="1" applyFill="1" applyBorder="1"/>
    <xf numFmtId="14" fontId="4" fillId="6" borderId="0" xfId="0" applyNumberFormat="1" applyFont="1" applyFill="1"/>
    <xf numFmtId="1" fontId="4" fillId="6" borderId="0" xfId="0" applyNumberFormat="1" applyFont="1" applyFill="1"/>
    <xf numFmtId="0" fontId="4" fillId="6" borderId="0" xfId="0" applyFont="1" applyFill="1"/>
    <xf numFmtId="14" fontId="0" fillId="0" borderId="2" xfId="0" applyNumberFormat="1" applyBorder="1"/>
    <xf numFmtId="0" fontId="4" fillId="0" borderId="2" xfId="0" applyFont="1" applyBorder="1"/>
    <xf numFmtId="164" fontId="0" fillId="0" borderId="0" xfId="0" applyNumberFormat="1"/>
    <xf numFmtId="14" fontId="0" fillId="0" borderId="3" xfId="0" applyNumberFormat="1" applyBorder="1"/>
    <xf numFmtId="0" fontId="0" fillId="0" borderId="3" xfId="0" applyBorder="1"/>
    <xf numFmtId="0" fontId="16" fillId="0" borderId="0" xfId="43"/>
    <xf numFmtId="0" fontId="17" fillId="0" borderId="6" xfId="0" applyFont="1" applyBorder="1" applyAlignment="1">
      <alignment horizontal="center" vertical="center"/>
    </xf>
    <xf numFmtId="0" fontId="17" fillId="0" borderId="9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top"/>
    </xf>
    <xf numFmtId="0" fontId="20" fillId="0" borderId="0" xfId="0" applyFont="1" applyAlignment="1">
      <alignment horizontal="center"/>
    </xf>
    <xf numFmtId="0" fontId="19" fillId="0" borderId="0" xfId="0" applyFont="1" applyAlignment="1">
      <alignment horizontal="center"/>
    </xf>
    <xf numFmtId="0" fontId="21" fillId="0" borderId="0" xfId="0" applyFont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23" fillId="0" borderId="0" xfId="0" applyFont="1" applyAlignment="1">
      <alignment horizontal="left" vertical="center"/>
    </xf>
    <xf numFmtId="0" fontId="24" fillId="0" borderId="0" xfId="0" applyFont="1" applyAlignment="1">
      <alignment horizontal="left" vertical="center"/>
    </xf>
    <xf numFmtId="0" fontId="25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left" vertical="center"/>
    </xf>
    <xf numFmtId="0" fontId="26" fillId="0" borderId="0" xfId="0" applyFont="1"/>
    <xf numFmtId="0" fontId="27" fillId="0" borderId="0" xfId="0" applyFont="1"/>
    <xf numFmtId="0" fontId="13" fillId="0" borderId="0" xfId="0" applyFont="1" applyAlignment="1">
      <alignment horizontal="left" vertical="center"/>
    </xf>
    <xf numFmtId="0" fontId="28" fillId="0" borderId="0" xfId="0" applyFont="1"/>
    <xf numFmtId="0" fontId="0" fillId="0" borderId="0" xfId="0" applyAlignment="1">
      <alignment horizontal="left" vertical="top" wrapText="1"/>
    </xf>
    <xf numFmtId="0" fontId="17" fillId="0" borderId="4" xfId="0" applyFont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0" fontId="17" fillId="0" borderId="7" xfId="0" applyFont="1" applyBorder="1" applyAlignment="1">
      <alignment horizontal="center" vertical="center"/>
    </xf>
    <xf numFmtId="0" fontId="17" fillId="0" borderId="8" xfId="0" applyFont="1" applyBorder="1" applyAlignment="1">
      <alignment horizontal="center" vertical="center"/>
    </xf>
    <xf numFmtId="0" fontId="17" fillId="0" borderId="10" xfId="0" applyFont="1" applyBorder="1" applyAlignment="1">
      <alignment horizontal="center" vertical="center"/>
    </xf>
    <xf numFmtId="0" fontId="17" fillId="0" borderId="11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/>
    </xf>
    <xf numFmtId="0" fontId="19" fillId="0" borderId="13" xfId="0" applyFont="1" applyBorder="1" applyAlignment="1">
      <alignment horizontal="center"/>
    </xf>
    <xf numFmtId="0" fontId="19" fillId="0" borderId="5" xfId="0" applyFont="1" applyBorder="1" applyAlignment="1">
      <alignment horizontal="center"/>
    </xf>
    <xf numFmtId="0" fontId="0" fillId="0" borderId="0" xfId="0" quotePrefix="1"/>
  </cellXfs>
  <cellStyles count="44">
    <cellStyle name="Hiperłącze" xfId="43" builtinId="8"/>
    <cellStyle name="Neutralny 2" xfId="3" xr:uid="{CEF0DFFE-1339-4DF8-9A89-CA9BCB1E5E77}"/>
    <cellStyle name="Normalny" xfId="0" builtinId="0"/>
    <cellStyle name="Normalny 10" xfId="4" xr:uid="{83AE1CC1-E718-450E-9744-6A135E9972AA}"/>
    <cellStyle name="Normalny 10 2" xfId="5" xr:uid="{B848A1D1-57DE-4BCB-91E0-9267B175E346}"/>
    <cellStyle name="Normalny 11" xfId="1" xr:uid="{99DFB910-3B48-42AC-BAE5-E6E0E306FAB5}"/>
    <cellStyle name="Normalny 11 2" xfId="33" xr:uid="{B8F0D939-080B-425D-BD9E-1D255A9753A9}"/>
    <cellStyle name="Normalny 12" xfId="6" xr:uid="{3B5098CA-2F6D-4E05-AB6C-EA3713D56F0B}"/>
    <cellStyle name="Normalny 12 2" xfId="34" xr:uid="{5EFB9C5E-8458-4924-94D1-C771EE4CD303}"/>
    <cellStyle name="Normalny 13" xfId="7" xr:uid="{6474ED7E-8E24-4F0E-87D4-60544CF61D98}"/>
    <cellStyle name="Normalny 13 2" xfId="8" xr:uid="{734C396B-A950-4101-814F-9F9AA721A1E8}"/>
    <cellStyle name="Normalny 14" xfId="9" xr:uid="{75D6926A-828C-4585-BB08-DF020A2B3773}"/>
    <cellStyle name="Normalny 14 2" xfId="10" xr:uid="{D1043024-F343-483F-9D82-77CA4392171A}"/>
    <cellStyle name="Normalny 15" xfId="11" xr:uid="{CD5F34FC-B59B-4D8F-BD74-8D255088E50C}"/>
    <cellStyle name="Normalny 15 2" xfId="35" xr:uid="{B7E5D7FC-6FF0-4126-A880-F297B46A474B}"/>
    <cellStyle name="Normalny 16" xfId="12" xr:uid="{B22A5DD3-FBDD-4F39-B0ED-BB5FE5129C46}"/>
    <cellStyle name="Normalny 16 2" xfId="36" xr:uid="{906E54B6-36E7-461E-90C2-DAEB760F5666}"/>
    <cellStyle name="Normalny 17" xfId="13" xr:uid="{A177B212-F7BD-42A7-8854-B24879B7DDFB}"/>
    <cellStyle name="Normalny 17 2" xfId="37" xr:uid="{62FF57B9-4547-4999-8852-A05261A41B31}"/>
    <cellStyle name="Normalny 18" xfId="14" xr:uid="{19333337-A5EE-46B9-B00A-16C3F4321C1A}"/>
    <cellStyle name="Normalny 18 2" xfId="38" xr:uid="{426A3632-4927-4E8B-9423-462E50193FBB}"/>
    <cellStyle name="Normalny 19" xfId="15" xr:uid="{F17AFD62-1995-469C-BAB1-DFC99121FA00}"/>
    <cellStyle name="Normalny 19 2" xfId="39" xr:uid="{609A3052-F01A-4FE4-AA89-7ECDD9FC09DD}"/>
    <cellStyle name="Normalny 2" xfId="16" xr:uid="{45003BFC-C41E-4C70-975A-D053ACFC65C1}"/>
    <cellStyle name="Normalny 2 2" xfId="17" xr:uid="{DEF571B1-027A-4E39-A108-1F9670CC72F7}"/>
    <cellStyle name="Normalny 2 2 2" xfId="40" xr:uid="{C1E70B43-F6AD-45F4-8D42-7EE87376A97F}"/>
    <cellStyle name="Normalny 20" xfId="18" xr:uid="{0CB61D79-43C0-4BD3-BD0D-D785AE012C7C}"/>
    <cellStyle name="Normalny 20 2" xfId="41" xr:uid="{031BE5F5-48A9-4513-B831-5E22086A4A48}"/>
    <cellStyle name="Normalny 21" xfId="2" xr:uid="{B0705003-0340-464A-9DA7-EF6572A3D0C3}"/>
    <cellStyle name="Normalny 22" xfId="42" xr:uid="{188F9CA1-0371-4A36-B88E-D0E638A5C199}"/>
    <cellStyle name="Normalny 3" xfId="19" xr:uid="{C365B82B-F04B-4D53-A666-32B0180F9C1A}"/>
    <cellStyle name="Normalny 4" xfId="20" xr:uid="{39F2384A-B948-422B-8C23-EF3AD357BD66}"/>
    <cellStyle name="Normalny 4 2" xfId="21" xr:uid="{6B920866-28E1-4B3E-BDB5-6BE7D2705A23}"/>
    <cellStyle name="Normalny 5" xfId="22" xr:uid="{8C388624-B7FC-4535-A6C1-EFFDA2DCC4DC}"/>
    <cellStyle name="Normalny 6" xfId="23" xr:uid="{982945C0-C8A3-4B48-A2E6-85BF3A932FCD}"/>
    <cellStyle name="Normalny 7" xfId="24" xr:uid="{020666D8-D303-4EC3-B804-CFFCA590B96F}"/>
    <cellStyle name="Normalny 7 2" xfId="25" xr:uid="{2606E800-8A4F-480D-8A03-29C4FD459705}"/>
    <cellStyle name="Normalny 8" xfId="26" xr:uid="{F05A6DCE-D8F3-45FC-97C1-804E5A79963D}"/>
    <cellStyle name="Normalny 8 2" xfId="27" xr:uid="{0C2C0B30-BCEE-4949-9D2A-8DE1F41E11DF}"/>
    <cellStyle name="Normalny 9" xfId="28" xr:uid="{81E7BF4C-DA3D-4472-B8B7-967335F5F0EF}"/>
    <cellStyle name="Procentowy 2" xfId="30" xr:uid="{89443A16-310A-4CBC-BC22-7C8C9EB46ED1}"/>
    <cellStyle name="Procentowy 3" xfId="29" xr:uid="{BB2D0EEB-82AE-4490-A070-1A8C422C139F}"/>
    <cellStyle name="Złe 2" xfId="31" xr:uid="{CAC4D4EA-4545-4C20-B9F4-CFA3C591DD2A}"/>
    <cellStyle name="Zły 2" xfId="32" xr:uid="{CA28E789-1A2E-41C1-983B-8077B9915927}"/>
  </cellStyles>
  <dxfs count="60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E"/>
        <charset val="238"/>
        <scheme val="none"/>
      </font>
      <fill>
        <patternFill patternType="solid">
          <fgColor indexed="64"/>
          <bgColor theme="0" tint="-0.14996795556505021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06/relationships/rdRichValue" Target="richData/rdrichvalue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28" Type="http://schemas.microsoft.com/office/2017/06/relationships/rdRichValueTypes" Target="richData/rdRichValueTyp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17/06/relationships/rdRichValueStructure" Target="richData/rdrichvaluestructure.xml"/><Relationship Id="rId30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28575</xdr:colOff>
          <xdr:row>2</xdr:row>
          <xdr:rowOff>28575</xdr:rowOff>
        </xdr:from>
        <xdr:to>
          <xdr:col>8</xdr:col>
          <xdr:colOff>1876425</xdr:colOff>
          <xdr:row>4</xdr:row>
          <xdr:rowOff>161925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2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Podaj numer seryjny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2.150\serwis\NUMERY%20SERYJNE\Numery%20seryjn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__2022___"/>
      <sheetName val="____2021____"/>
      <sheetName val="____2020____"/>
      <sheetName val="____2019____"/>
      <sheetName val="Supermicro"/>
      <sheetName val="Dyski"/>
      <sheetName val="Kontrolery"/>
      <sheetName val="Inne"/>
      <sheetName val="Magazyn Serwisowy"/>
      <sheetName val="kk"/>
    </sheetNames>
    <sheetDataSet>
      <sheetData sheetId="0">
        <row r="1">
          <cell r="D1" t="str">
            <v>NAZWA</v>
          </cell>
          <cell r="E1" t="str">
            <v>NUMER SERYJNY</v>
          </cell>
          <cell r="K1" t="str">
            <v>KOMENTARZ</v>
          </cell>
        </row>
        <row r="2">
          <cell r="D2" t="str">
            <v>E3C246D4U2-2L2T</v>
          </cell>
          <cell r="E2" t="str">
            <v>EBS0XW003743</v>
          </cell>
        </row>
        <row r="3">
          <cell r="D3" t="str">
            <v>BCM95720A2003AC</v>
          </cell>
          <cell r="E3" t="str">
            <v>200321370001QFV</v>
          </cell>
        </row>
        <row r="4">
          <cell r="D4" t="str">
            <v>BCM95720A2003AC</v>
          </cell>
          <cell r="E4" t="str">
            <v>200321380002KFV</v>
          </cell>
        </row>
        <row r="5">
          <cell r="D5" t="str">
            <v>BCM95720A2003AC</v>
          </cell>
          <cell r="E5" t="str">
            <v>200321370001PFV</v>
          </cell>
        </row>
        <row r="6">
          <cell r="D6" t="str">
            <v>BCM95720A2003AC</v>
          </cell>
          <cell r="E6" t="str">
            <v>200321370001UFV</v>
          </cell>
        </row>
        <row r="7">
          <cell r="D7" t="str">
            <v>BCM95720A2003AC</v>
          </cell>
          <cell r="E7" t="str">
            <v>200321370001MFV</v>
          </cell>
        </row>
        <row r="8">
          <cell r="D8" t="str">
            <v>MZ7LH3T8HMLT-00005</v>
          </cell>
          <cell r="E8" t="str">
            <v>S456NY0R803724</v>
          </cell>
        </row>
        <row r="9">
          <cell r="D9" t="str">
            <v>MZ7LH3T8HMLT-00005</v>
          </cell>
          <cell r="E9" t="str">
            <v>S456NY0R803725</v>
          </cell>
        </row>
        <row r="10">
          <cell r="D10" t="str">
            <v>MZ7LH3T8HMLT-00005</v>
          </cell>
          <cell r="E10" t="str">
            <v>S456NY0R803160</v>
          </cell>
        </row>
        <row r="11">
          <cell r="D11" t="str">
            <v>MZ7LH3T8HMLT-00005</v>
          </cell>
          <cell r="E11" t="str">
            <v>S456NY0R803690</v>
          </cell>
        </row>
        <row r="12">
          <cell r="D12" t="str">
            <v>MZ7LH3T8HMLT-00005</v>
          </cell>
          <cell r="E12" t="str">
            <v>S456NY0R803722</v>
          </cell>
        </row>
        <row r="13">
          <cell r="D13" t="str">
            <v>MZ7LH3T8HMLT-00005</v>
          </cell>
          <cell r="E13" t="str">
            <v>S456NY0R803723</v>
          </cell>
        </row>
        <row r="14">
          <cell r="D14" t="str">
            <v>MZ7LH3T8HMLT-00005</v>
          </cell>
          <cell r="E14" t="str">
            <v>S456NC0RC06571</v>
          </cell>
        </row>
        <row r="15">
          <cell r="D15" t="str">
            <v>MZ7LH3T8HMLT-00005</v>
          </cell>
          <cell r="E15" t="str">
            <v>S456NC0RC06567</v>
          </cell>
        </row>
        <row r="16">
          <cell r="D16" t="str">
            <v>MZ7LH3T8HMLT-00005</v>
          </cell>
          <cell r="E16" t="str">
            <v>S456NC0RC06566</v>
          </cell>
        </row>
        <row r="17">
          <cell r="D17" t="str">
            <v>MZ7LH3T8HMLT-00005</v>
          </cell>
          <cell r="E17" t="str">
            <v>S456NC0RC06564</v>
          </cell>
        </row>
        <row r="18">
          <cell r="D18" t="str">
            <v>MZ7LH3T8HMLT-00005</v>
          </cell>
          <cell r="E18" t="str">
            <v>S456NC0RC06565</v>
          </cell>
        </row>
        <row r="19">
          <cell r="D19" t="str">
            <v>MZ7LH3T8HMLT-00005</v>
          </cell>
          <cell r="E19" t="str">
            <v>S456NC0RC06562</v>
          </cell>
        </row>
        <row r="20">
          <cell r="D20" t="str">
            <v>MZ7LH3T8HMLT-00005</v>
          </cell>
          <cell r="E20" t="str">
            <v>S456NC0RC06578</v>
          </cell>
        </row>
        <row r="21">
          <cell r="D21" t="str">
            <v>MZ7LH3T8HMLT-00005</v>
          </cell>
          <cell r="E21" t="str">
            <v>S456NC0RC06575</v>
          </cell>
        </row>
        <row r="22">
          <cell r="D22" t="str">
            <v>MZ7LH3T8HMLT-00005</v>
          </cell>
          <cell r="E22" t="str">
            <v>S456NC0RC06573</v>
          </cell>
        </row>
        <row r="23">
          <cell r="D23" t="str">
            <v>MZ7LH3T8HMLT-00005</v>
          </cell>
          <cell r="E23" t="str">
            <v>S456NC0RC06568</v>
          </cell>
        </row>
        <row r="24">
          <cell r="D24" t="str">
            <v>MZ7LH3T8HMLT-00005</v>
          </cell>
          <cell r="E24" t="str">
            <v>S456NC0RC06569</v>
          </cell>
        </row>
        <row r="25">
          <cell r="D25" t="str">
            <v>MZ7LH3T8HMLT-00005</v>
          </cell>
          <cell r="E25" t="str">
            <v>S456NC0RC06570</v>
          </cell>
        </row>
        <row r="26">
          <cell r="D26" t="str">
            <v>MZ7LH3T8HMLT-00005</v>
          </cell>
          <cell r="E26" t="str">
            <v>S456NC0RC06581</v>
          </cell>
        </row>
        <row r="27">
          <cell r="D27" t="str">
            <v>MZ7LH3T8HMLT-00005</v>
          </cell>
          <cell r="E27" t="str">
            <v>S456NC0RC06583</v>
          </cell>
        </row>
        <row r="28">
          <cell r="D28" t="str">
            <v>MZ7LH3T8HMLT-00005</v>
          </cell>
          <cell r="E28" t="str">
            <v>S456NC0RC06580</v>
          </cell>
        </row>
        <row r="29">
          <cell r="D29" t="str">
            <v>MZ7LH3T8HMLT-00005</v>
          </cell>
          <cell r="E29" t="str">
            <v>S456NC0RC06579</v>
          </cell>
        </row>
        <row r="30">
          <cell r="D30" t="str">
            <v>MZ7LH3T8HMLT-00005</v>
          </cell>
          <cell r="E30" t="str">
            <v>S456NC0RC06576</v>
          </cell>
        </row>
        <row r="31">
          <cell r="D31" t="str">
            <v>MZ7LH3T8HMLT-00005</v>
          </cell>
          <cell r="E31" t="str">
            <v>S456NC0RC06577</v>
          </cell>
        </row>
        <row r="32">
          <cell r="D32" t="str">
            <v>MZ7LH3T8HMLT-00005</v>
          </cell>
          <cell r="E32" t="str">
            <v>S456NC0RC06733</v>
          </cell>
        </row>
        <row r="33">
          <cell r="D33" t="str">
            <v>MZ7LH3T8HMLT-00005</v>
          </cell>
          <cell r="E33" t="str">
            <v>S456NC0RC06728</v>
          </cell>
        </row>
        <row r="34">
          <cell r="D34" t="str">
            <v>MZ7LH3T8HMLT-00005</v>
          </cell>
          <cell r="E34" t="str">
            <v>S456NC0RC06725</v>
          </cell>
        </row>
        <row r="35">
          <cell r="D35" t="str">
            <v>MZ7LH3T8HMLT-00005</v>
          </cell>
          <cell r="E35" t="str">
            <v>S456NC0RC06582</v>
          </cell>
        </row>
        <row r="36">
          <cell r="D36" t="str">
            <v>MZ7LH3T8HMLT-00005</v>
          </cell>
          <cell r="E36" t="str">
            <v>S456NC0RC06585</v>
          </cell>
        </row>
        <row r="37">
          <cell r="D37" t="str">
            <v>MZ7LH3T8HMLT-00005</v>
          </cell>
          <cell r="E37" t="str">
            <v>S456NC0RC06584</v>
          </cell>
        </row>
        <row r="38">
          <cell r="D38" t="str">
            <v>MZ7LH3T8HMLT-00005</v>
          </cell>
          <cell r="E38" t="str">
            <v>S456NC0RC06739</v>
          </cell>
        </row>
        <row r="39">
          <cell r="D39" t="str">
            <v>MZ7LH3T8HMLT-00005</v>
          </cell>
          <cell r="E39" t="str">
            <v>S456NC0RC06738</v>
          </cell>
        </row>
        <row r="40">
          <cell r="D40" t="str">
            <v>MZ7LH3T8HMLT-00005</v>
          </cell>
          <cell r="E40" t="str">
            <v>S456NC0RC06740</v>
          </cell>
        </row>
        <row r="41">
          <cell r="D41" t="str">
            <v>MZ7LH3T8HMLT-00005</v>
          </cell>
          <cell r="E41" t="str">
            <v>S456NC0RC06734</v>
          </cell>
        </row>
        <row r="42">
          <cell r="D42" t="str">
            <v>MZ7LH3T8HMLT-00005</v>
          </cell>
          <cell r="E42" t="str">
            <v>S456NC0RC06736</v>
          </cell>
        </row>
        <row r="43">
          <cell r="D43" t="str">
            <v>MZ7LH3T8HMLT-00005</v>
          </cell>
          <cell r="E43" t="str">
            <v>S456NC0RC06737</v>
          </cell>
        </row>
        <row r="44">
          <cell r="D44" t="str">
            <v>MZ7LH3T8HMLT-00005</v>
          </cell>
          <cell r="E44" t="str">
            <v>S456NC0RC06745</v>
          </cell>
        </row>
        <row r="45">
          <cell r="D45" t="str">
            <v>MZ7LH3T8HMLT-00005</v>
          </cell>
          <cell r="E45" t="str">
            <v>S456NC0RC06747</v>
          </cell>
        </row>
        <row r="46">
          <cell r="D46" t="str">
            <v>MZ7LH3T8HMLT-00005</v>
          </cell>
          <cell r="E46" t="str">
            <v>S456NC0RC06743</v>
          </cell>
        </row>
        <row r="47">
          <cell r="D47" t="str">
            <v>MZ7LH3T8HMLT-00005</v>
          </cell>
          <cell r="E47" t="str">
            <v>S456NC0RC06741</v>
          </cell>
        </row>
        <row r="48">
          <cell r="D48" t="str">
            <v>MZ7LH3T8HMLT-00005</v>
          </cell>
          <cell r="E48" t="str">
            <v>S456NC0RC06744</v>
          </cell>
        </row>
        <row r="49">
          <cell r="D49" t="str">
            <v>MZ7LH3T8HMLT-00005</v>
          </cell>
          <cell r="E49" t="str">
            <v>S456NC0RC06742</v>
          </cell>
        </row>
        <row r="50">
          <cell r="D50" t="str">
            <v>MZ7LH3T8HMLT-00005</v>
          </cell>
          <cell r="E50" t="str">
            <v>S456NC0RC06607</v>
          </cell>
        </row>
        <row r="51">
          <cell r="D51" t="str">
            <v>MZ7LH3T8HMLT-00005</v>
          </cell>
          <cell r="E51" t="str">
            <v>S456NC0RC06605</v>
          </cell>
        </row>
        <row r="52">
          <cell r="D52" t="str">
            <v>MZ7LH3T8HMLT-00005</v>
          </cell>
          <cell r="E52" t="str">
            <v>S456NC0RC06604</v>
          </cell>
        </row>
        <row r="53">
          <cell r="D53" t="str">
            <v>MZ7LH3T8HMLT-00005</v>
          </cell>
          <cell r="E53" t="str">
            <v>S456NC0RC06746</v>
          </cell>
        </row>
        <row r="54">
          <cell r="D54" t="str">
            <v>MZ7LH3T8HMLT-00005</v>
          </cell>
          <cell r="E54" t="str">
            <v>S456NC0RC06599</v>
          </cell>
        </row>
        <row r="55">
          <cell r="D55" t="str">
            <v>MZ7LH3T8HMLT-00005</v>
          </cell>
          <cell r="E55" t="str">
            <v>S456NC0RC06601</v>
          </cell>
        </row>
        <row r="56">
          <cell r="D56" t="str">
            <v>MZ7LH3T8HMLT-00005</v>
          </cell>
          <cell r="E56" t="str">
            <v>S456NC0RC06608</v>
          </cell>
        </row>
        <row r="57">
          <cell r="D57" t="str">
            <v>MZ7LH3T8HMLT-00005</v>
          </cell>
          <cell r="E57" t="str">
            <v>S456NC0RC06603</v>
          </cell>
        </row>
        <row r="58">
          <cell r="D58" t="str">
            <v>MZ7LH3T8HMLT-00005</v>
          </cell>
          <cell r="E58" t="str">
            <v>S456NC0RC06598</v>
          </cell>
        </row>
        <row r="59">
          <cell r="D59" t="str">
            <v>MZ7LH3T8HMLT-00005</v>
          </cell>
          <cell r="E59" t="str">
            <v>S456NC0RC06600</v>
          </cell>
        </row>
        <row r="60">
          <cell r="D60" t="str">
            <v>MZ7LH3T8HMLT-00005</v>
          </cell>
          <cell r="E60" t="str">
            <v>S456NC0RC06606</v>
          </cell>
        </row>
        <row r="61">
          <cell r="D61" t="str">
            <v>MZ7LH3T8HMLT-00005</v>
          </cell>
          <cell r="E61" t="str">
            <v>S456NC0RC06609</v>
          </cell>
        </row>
        <row r="62">
          <cell r="D62" t="str">
            <v>MZ7LH3T8HMLT-00005</v>
          </cell>
          <cell r="E62" t="str">
            <v>S456NC0RC06621</v>
          </cell>
        </row>
        <row r="63">
          <cell r="D63" t="str">
            <v>MZ7LH3T8HMLT-00005</v>
          </cell>
          <cell r="E63" t="str">
            <v>S456NC0RC06620</v>
          </cell>
        </row>
        <row r="64">
          <cell r="D64" t="str">
            <v>MZ7LH3T8HMLT-00005</v>
          </cell>
          <cell r="E64" t="str">
            <v>S456NC0RC06610</v>
          </cell>
        </row>
        <row r="65">
          <cell r="D65" t="str">
            <v>MZ7LH3T8HMLT-00005</v>
          </cell>
          <cell r="E65" t="str">
            <v>S456NC0RC06613</v>
          </cell>
        </row>
        <row r="66">
          <cell r="D66" t="str">
            <v>MZ7LH3T8HMLT-00005</v>
          </cell>
          <cell r="E66" t="str">
            <v>S456NC0RC06612</v>
          </cell>
        </row>
        <row r="67">
          <cell r="D67" t="str">
            <v>MZ7LH3T8HMLT-00005</v>
          </cell>
          <cell r="E67" t="str">
            <v>S456NC0RC06615</v>
          </cell>
        </row>
        <row r="68">
          <cell r="D68" t="str">
            <v>MZ7LH3T8HMLT-00005</v>
          </cell>
          <cell r="E68" t="str">
            <v>S456NC0RC06629</v>
          </cell>
        </row>
        <row r="69">
          <cell r="D69" t="str">
            <v>MZ7LH3T8HMLT-00005</v>
          </cell>
          <cell r="E69" t="str">
            <v>S456NC0RC06618</v>
          </cell>
        </row>
        <row r="70">
          <cell r="D70" t="str">
            <v>MZ7LH3T8HMLT-00005</v>
          </cell>
          <cell r="E70" t="str">
            <v>S456NC0RC06616</v>
          </cell>
        </row>
        <row r="71">
          <cell r="D71" t="str">
            <v>MZ7LH3T8HMLT-00005</v>
          </cell>
          <cell r="E71" t="str">
            <v>S456NC0RC06617</v>
          </cell>
        </row>
        <row r="72">
          <cell r="D72" t="str">
            <v>MZ7LH3T8HMLT-00005</v>
          </cell>
          <cell r="E72" t="str">
            <v>S456NC0RC06619</v>
          </cell>
        </row>
        <row r="73">
          <cell r="D73" t="str">
            <v>MZ7LH3T8HMLT-00005</v>
          </cell>
          <cell r="E73" t="str">
            <v>S456NC0RC06622</v>
          </cell>
        </row>
        <row r="74">
          <cell r="D74" t="str">
            <v>MZ7LH3T8HMLT-00005</v>
          </cell>
          <cell r="E74" t="str">
            <v>S456NC0RC06633</v>
          </cell>
        </row>
        <row r="75">
          <cell r="D75" t="str">
            <v>MZ7LH3T8HMLT-00005</v>
          </cell>
          <cell r="E75" t="str">
            <v>S456NC0RC06625</v>
          </cell>
        </row>
        <row r="76">
          <cell r="D76" t="str">
            <v>MZ7LH3T8HMLT-00005</v>
          </cell>
          <cell r="E76" t="str">
            <v>S456NC0RC06626</v>
          </cell>
        </row>
        <row r="77">
          <cell r="D77" t="str">
            <v>MZ7LH3T8HMLT-00005</v>
          </cell>
          <cell r="E77" t="str">
            <v>S456NC0RC06632</v>
          </cell>
        </row>
        <row r="78">
          <cell r="D78" t="str">
            <v>MZ7LH3T8HMLT-00005</v>
          </cell>
          <cell r="E78" t="str">
            <v>S456NC0RC06630</v>
          </cell>
        </row>
        <row r="79">
          <cell r="D79" t="str">
            <v>MZ7LH3T8HMLT-00005</v>
          </cell>
          <cell r="E79" t="str">
            <v>S456NC0RC06628</v>
          </cell>
        </row>
        <row r="80">
          <cell r="D80" t="str">
            <v>MZ7LH3T8HMLT-00005</v>
          </cell>
          <cell r="E80" t="str">
            <v>S456NC0RC06636</v>
          </cell>
        </row>
        <row r="81">
          <cell r="D81" t="str">
            <v>MZ7LH3T8HMLT-00005</v>
          </cell>
          <cell r="E81" t="str">
            <v>S456NC0RC06638</v>
          </cell>
        </row>
        <row r="82">
          <cell r="D82" t="str">
            <v>MZ7LH3T8HMLT-00005</v>
          </cell>
          <cell r="E82" t="str">
            <v>S456NC0RC06635</v>
          </cell>
        </row>
        <row r="83">
          <cell r="D83" t="str">
            <v>MZ7LH3T8HMLT-00005</v>
          </cell>
          <cell r="E83" t="str">
            <v>S456NC0RC06627</v>
          </cell>
        </row>
        <row r="84">
          <cell r="D84" t="str">
            <v>MZ7LH3T8HMLT-00005</v>
          </cell>
          <cell r="E84" t="str">
            <v>S456NC0RC06624</v>
          </cell>
        </row>
        <row r="85">
          <cell r="D85" t="str">
            <v>MZ7LH3T8HMLT-00005</v>
          </cell>
          <cell r="E85" t="str">
            <v>S456NC0RC06631</v>
          </cell>
        </row>
        <row r="86">
          <cell r="D86" t="str">
            <v>MZ7LH3T8HMLT-00005</v>
          </cell>
          <cell r="E86" t="str">
            <v>S456NC0RC06641</v>
          </cell>
        </row>
        <row r="87">
          <cell r="D87" t="str">
            <v>MZ7LH3T8HMLT-00005</v>
          </cell>
          <cell r="E87" t="str">
            <v>S456NC0RC06644</v>
          </cell>
        </row>
        <row r="88">
          <cell r="D88" t="str">
            <v>MZ7LH3T8HMLT-00005</v>
          </cell>
          <cell r="E88" t="str">
            <v>S456NC0RC06642</v>
          </cell>
        </row>
        <row r="89">
          <cell r="D89" t="str">
            <v>MZ7LH3T8HMLT-00005</v>
          </cell>
          <cell r="E89" t="str">
            <v>S456NC0RC06637</v>
          </cell>
        </row>
        <row r="90">
          <cell r="D90" t="str">
            <v>MZ7LH3T8HMLT-00005</v>
          </cell>
          <cell r="E90" t="str">
            <v>S456NC0RC06639</v>
          </cell>
        </row>
        <row r="91">
          <cell r="D91" t="str">
            <v>MZ7LH3T8HMLT-00005</v>
          </cell>
          <cell r="E91" t="str">
            <v>S456NC0RC06634</v>
          </cell>
        </row>
        <row r="92">
          <cell r="D92" t="str">
            <v>MZ7LH3T8HMLT-00005</v>
          </cell>
          <cell r="E92" t="str">
            <v>S456NC0RC06649</v>
          </cell>
        </row>
        <row r="93">
          <cell r="D93" t="str">
            <v>MZ7LH3T8HMLT-00005</v>
          </cell>
          <cell r="E93" t="str">
            <v>S456NC0RC06646</v>
          </cell>
        </row>
        <row r="94">
          <cell r="D94" t="str">
            <v>MZ7LH3T8HMLT-00005</v>
          </cell>
          <cell r="E94" t="str">
            <v>S456NC0RC06650</v>
          </cell>
        </row>
        <row r="95">
          <cell r="D95" t="str">
            <v>MZ7LH3T8HMLT-00005</v>
          </cell>
          <cell r="E95" t="str">
            <v>S456NC0RC06643</v>
          </cell>
        </row>
        <row r="96">
          <cell r="D96" t="str">
            <v>MZ7LH3T8HMLT-00005</v>
          </cell>
          <cell r="E96" t="str">
            <v>S456NC0RC06640</v>
          </cell>
        </row>
        <row r="97">
          <cell r="D97" t="str">
            <v>MZ7LH3T8HMLT-00005</v>
          </cell>
          <cell r="E97" t="str">
            <v>S456NC0RC06648</v>
          </cell>
        </row>
        <row r="98">
          <cell r="D98" t="str">
            <v>MZ7LH3T8HMLT-00005</v>
          </cell>
          <cell r="E98" t="str">
            <v>S456NC0RC06656</v>
          </cell>
        </row>
        <row r="99">
          <cell r="D99" t="str">
            <v>MZ7LH3T8HMLT-00005</v>
          </cell>
          <cell r="E99" t="str">
            <v>S456NC0RC06653</v>
          </cell>
        </row>
        <row r="100">
          <cell r="D100" t="str">
            <v>MZ7LH3T8HMLT-00005</v>
          </cell>
          <cell r="E100" t="str">
            <v>S456NC0RC06652</v>
          </cell>
        </row>
        <row r="101">
          <cell r="D101" t="str">
            <v>MZ7LH3T8HMLT-00005</v>
          </cell>
          <cell r="E101" t="str">
            <v>S456NC0RC06651</v>
          </cell>
        </row>
        <row r="102">
          <cell r="D102" t="str">
            <v>MZ7LH3T8HMLT-00005</v>
          </cell>
          <cell r="E102" t="str">
            <v>S456NC0RC06647</v>
          </cell>
        </row>
        <row r="103">
          <cell r="D103" t="str">
            <v>MZ7LH3T8HMLT-00005</v>
          </cell>
          <cell r="E103" t="str">
            <v>S456NC0RC06654</v>
          </cell>
        </row>
        <row r="104">
          <cell r="D104" t="str">
            <v>MZ7LH3T8HMLT-00005</v>
          </cell>
          <cell r="E104" t="str">
            <v>S456NC0RC06658</v>
          </cell>
        </row>
        <row r="105">
          <cell r="D105" t="str">
            <v>MZ7LH3T8HMLT-00005</v>
          </cell>
          <cell r="E105" t="str">
            <v>S456NC0RC06659</v>
          </cell>
        </row>
        <row r="106">
          <cell r="D106" t="str">
            <v>MZ7LH3T8HMLT-00005</v>
          </cell>
          <cell r="E106" t="str">
            <v>S456NC0RC06660</v>
          </cell>
        </row>
        <row r="107">
          <cell r="D107" t="str">
            <v>MZ7LH3T8HMLT-00005</v>
          </cell>
          <cell r="E107" t="str">
            <v>S456NC0RC06657</v>
          </cell>
        </row>
        <row r="108">
          <cell r="D108" t="str">
            <v>MZ7LH3T8HMLT-00005</v>
          </cell>
          <cell r="E108" t="str">
            <v>S456NC0RC06655</v>
          </cell>
        </row>
        <row r="109">
          <cell r="D109" t="str">
            <v>MZ7LH3T8HMLT-00005</v>
          </cell>
          <cell r="E109" t="str">
            <v>S456NC0RC06661</v>
          </cell>
        </row>
        <row r="110">
          <cell r="D110" t="str">
            <v>MZ7LH3T8HMLT-00005</v>
          </cell>
          <cell r="E110" t="str">
            <v>S456NC0RC06669</v>
          </cell>
        </row>
        <row r="111">
          <cell r="D111" t="str">
            <v>MZ7LH3T8HMLT-00005</v>
          </cell>
          <cell r="E111" t="str">
            <v>S456NC0RC06667</v>
          </cell>
        </row>
        <row r="112">
          <cell r="D112" t="str">
            <v>MZ7LH3T8HMLT-00005</v>
          </cell>
          <cell r="E112" t="str">
            <v>S456NC0RC06666</v>
          </cell>
        </row>
        <row r="113">
          <cell r="D113" t="str">
            <v>MZ7LH3T8HMLT-00005</v>
          </cell>
          <cell r="E113" t="str">
            <v>S456NC0RC06662</v>
          </cell>
        </row>
        <row r="114">
          <cell r="D114" t="str">
            <v>MZ7LH3T8HMLT-00005</v>
          </cell>
          <cell r="E114" t="str">
            <v>S456NC0RC06665</v>
          </cell>
        </row>
        <row r="115">
          <cell r="D115" t="str">
            <v>MZ7LH3T8HMLT-00005</v>
          </cell>
          <cell r="E115" t="str">
            <v>S456NC0RC06664</v>
          </cell>
        </row>
        <row r="116">
          <cell r="D116" t="str">
            <v>MZ7LH3T8HMLT-00005</v>
          </cell>
          <cell r="E116" t="str">
            <v>S456NC0RC06671</v>
          </cell>
        </row>
        <row r="117">
          <cell r="D117" t="str">
            <v>MZ7LH3T8HMLT-00005</v>
          </cell>
          <cell r="E117" t="str">
            <v>S456NC0RC06673</v>
          </cell>
        </row>
        <row r="118">
          <cell r="D118" t="str">
            <v>MZ7LH3T8HMLT-00005</v>
          </cell>
          <cell r="E118" t="str">
            <v>S456NC0RC06674</v>
          </cell>
        </row>
        <row r="119">
          <cell r="D119" t="str">
            <v>MZ7LH3T8HMLT-00005</v>
          </cell>
          <cell r="E119" t="str">
            <v>S456NC0RC06668</v>
          </cell>
        </row>
        <row r="120">
          <cell r="D120" t="str">
            <v>MZ7LH3T8HMLT-00005</v>
          </cell>
          <cell r="E120" t="str">
            <v>S456NC0RC06670</v>
          </cell>
        </row>
        <row r="121">
          <cell r="D121" t="str">
            <v>MZ7LH3T8HMLT-00005</v>
          </cell>
          <cell r="E121" t="str">
            <v>S456NC0RC06672</v>
          </cell>
        </row>
        <row r="122">
          <cell r="D122" t="str">
            <v>MZ7LH3T8HMLT-00005</v>
          </cell>
          <cell r="E122" t="str">
            <v>S456NC0RC06809</v>
          </cell>
        </row>
        <row r="123">
          <cell r="D123" t="str">
            <v>MZ7LH3T8HMLT-00005</v>
          </cell>
          <cell r="E123" t="str">
            <v>S456NC0RC06677</v>
          </cell>
        </row>
        <row r="124">
          <cell r="D124" t="str">
            <v>MZ7LH3T8HMLT-00005</v>
          </cell>
          <cell r="E124" t="str">
            <v>S456NC0RC06679</v>
          </cell>
        </row>
        <row r="125">
          <cell r="D125" t="str">
            <v>MZ7LH3T8HMLT-00005</v>
          </cell>
          <cell r="E125" t="str">
            <v>S456NC0RC06675</v>
          </cell>
        </row>
        <row r="126">
          <cell r="D126" t="str">
            <v>MZ7LH3T8HMLT-00005</v>
          </cell>
          <cell r="E126" t="str">
            <v>S456NC0RC06676</v>
          </cell>
        </row>
        <row r="127">
          <cell r="D127" t="str">
            <v>MZ7LH3T8HMLT-00005</v>
          </cell>
          <cell r="E127" t="str">
            <v>S456NC0RC06678</v>
          </cell>
        </row>
        <row r="128">
          <cell r="D128" t="str">
            <v>MZ7LH3T8HMLT-00005</v>
          </cell>
          <cell r="E128" t="str">
            <v>S456NC0RC06681</v>
          </cell>
        </row>
        <row r="129">
          <cell r="D129" t="str">
            <v>MZ7LH3T8HMLT-00005</v>
          </cell>
          <cell r="E129" t="str">
            <v>S456NC0RC06680</v>
          </cell>
        </row>
        <row r="130">
          <cell r="D130" t="str">
            <v>MZ7LH3T8HMLT-00005</v>
          </cell>
          <cell r="E130" t="str">
            <v>S456NC0RC06812</v>
          </cell>
        </row>
        <row r="131">
          <cell r="D131" t="str">
            <v>MZ7LH3T8HMLT-00005</v>
          </cell>
          <cell r="E131" t="str">
            <v>S456NC0RC06811</v>
          </cell>
        </row>
        <row r="132">
          <cell r="D132" t="str">
            <v>MZ7LH3T8HMLT-00005</v>
          </cell>
          <cell r="E132" t="str">
            <v>S456NC0RC06808</v>
          </cell>
        </row>
        <row r="133">
          <cell r="D133" t="str">
            <v>MZ7LH3T8HMLT-00005</v>
          </cell>
          <cell r="E133" t="str">
            <v>S456NC0RC06813</v>
          </cell>
        </row>
        <row r="134">
          <cell r="D134" t="str">
            <v>MG08ACA16TE</v>
          </cell>
          <cell r="E134" t="str">
            <v>Y110A01EFWTG</v>
          </cell>
        </row>
        <row r="135">
          <cell r="D135" t="str">
            <v>MG08ACA16TE</v>
          </cell>
          <cell r="E135" t="str">
            <v>Y110A01WFWTG</v>
          </cell>
        </row>
        <row r="136">
          <cell r="D136" t="str">
            <v>INTEL XEON E-2288G</v>
          </cell>
          <cell r="E136" t="str">
            <v xml:space="preserve">X122L458 02587   U15L20P402587 </v>
          </cell>
        </row>
        <row r="137">
          <cell r="D137" t="str">
            <v>MG09ACA18TE</v>
          </cell>
          <cell r="E137" t="str">
            <v>Y1R0A0SBFJDH</v>
          </cell>
        </row>
        <row r="138">
          <cell r="D138" t="str">
            <v>MG09ACA18TE</v>
          </cell>
          <cell r="E138" t="str">
            <v>Y1R0A020FJDH</v>
          </cell>
        </row>
        <row r="139">
          <cell r="D139" t="str">
            <v>INTEL XEON E-2226G</v>
          </cell>
          <cell r="E139" t="str">
            <v>X148K833 01721  U11G1D2301721</v>
          </cell>
          <cell r="K139" t="str">
            <v>SO/2022/005650/A 1z2</v>
          </cell>
        </row>
        <row r="140">
          <cell r="D140" t="str">
            <v>INTEL XEON E-2226G</v>
          </cell>
          <cell r="E140" t="str">
            <v>X148K833 01899  U11G1D2301899</v>
          </cell>
          <cell r="K140" t="str">
            <v>SO/2022/005650/A 2z2</v>
          </cell>
        </row>
        <row r="141">
          <cell r="D141" t="str">
            <v>INTEL XEON E-2226G</v>
          </cell>
          <cell r="E141" t="str">
            <v>X148K833 03062  U11G1D2303062</v>
          </cell>
          <cell r="K141" t="str">
            <v>RO/2021/005476/A 1z2</v>
          </cell>
        </row>
        <row r="142">
          <cell r="D142" t="str">
            <v>INTEL XEON E-2226G</v>
          </cell>
          <cell r="E142" t="str">
            <v>X150N450 03248  U1YD396503248</v>
          </cell>
          <cell r="K142" t="str">
            <v>RO/2021/005476/A 2z2</v>
          </cell>
        </row>
        <row r="143">
          <cell r="D143" t="str">
            <v>MG09ACA18TE</v>
          </cell>
          <cell r="E143" t="str">
            <v>Y1R0A0P7FJDH</v>
          </cell>
        </row>
        <row r="144">
          <cell r="D144" t="str">
            <v>CSE-113AC2-R706WB2</v>
          </cell>
          <cell r="E144" t="str">
            <v>C1130LK28P60259</v>
          </cell>
        </row>
        <row r="145">
          <cell r="D145" t="str">
            <v>CSE-113AC2-R706WB2</v>
          </cell>
          <cell r="E145" t="str">
            <v>C1130LK28P60258</v>
          </cell>
        </row>
        <row r="146">
          <cell r="D146" t="str">
            <v>CSE-113AC2-R706WB2</v>
          </cell>
          <cell r="E146" t="str">
            <v>C1130LK28P60257</v>
          </cell>
        </row>
        <row r="147">
          <cell r="D147" t="str">
            <v>CSE-113AC2-R706WB2</v>
          </cell>
          <cell r="E147" t="str">
            <v>C1130LK28P60248</v>
          </cell>
        </row>
        <row r="148">
          <cell r="D148" t="str">
            <v>CSE-113AC2-R706WB2</v>
          </cell>
          <cell r="E148" t="str">
            <v>C1130LK28P60256</v>
          </cell>
        </row>
        <row r="149">
          <cell r="D149" t="str">
            <v>CSE-113AC2-R706WB2</v>
          </cell>
          <cell r="E149" t="str">
            <v>C1130LK28P60255</v>
          </cell>
        </row>
        <row r="150">
          <cell r="D150" t="str">
            <v>CSE-113AC2-R706WB2</v>
          </cell>
          <cell r="E150" t="str">
            <v>C1130LK28P60254</v>
          </cell>
        </row>
        <row r="151">
          <cell r="D151" t="str">
            <v>CSE-113AC2-R706WB2</v>
          </cell>
          <cell r="E151" t="str">
            <v>C1130LK28P60223</v>
          </cell>
        </row>
        <row r="152">
          <cell r="D152" t="str">
            <v>CSE-113AC2-R706WB2</v>
          </cell>
          <cell r="E152" t="str">
            <v>C1130LK28P60216</v>
          </cell>
        </row>
        <row r="153">
          <cell r="D153" t="str">
            <v>CSE-113AC2-R706WB2</v>
          </cell>
          <cell r="E153" t="str">
            <v>C1130LK28P60172</v>
          </cell>
        </row>
        <row r="154">
          <cell r="D154" t="str">
            <v>CSE-113AC2-R706WB2</v>
          </cell>
          <cell r="E154" t="str">
            <v>C1130LK28P60204</v>
          </cell>
        </row>
        <row r="155">
          <cell r="D155" t="str">
            <v>CSE-113AC2-R706WB2</v>
          </cell>
          <cell r="E155" t="str">
            <v>C1130LK28P60219</v>
          </cell>
        </row>
        <row r="156">
          <cell r="D156" t="str">
            <v>CSE-113AC2-R706WB2</v>
          </cell>
          <cell r="E156" t="str">
            <v>C1130LK28P60234</v>
          </cell>
        </row>
        <row r="157">
          <cell r="D157" t="str">
            <v>CSE-113AC2-R706WB2</v>
          </cell>
          <cell r="E157" t="str">
            <v>C1130LK28P60233</v>
          </cell>
        </row>
        <row r="158">
          <cell r="D158" t="str">
            <v>CSE-113AC2-R706WB2</v>
          </cell>
          <cell r="E158" t="str">
            <v>C1130LK28P60242</v>
          </cell>
        </row>
        <row r="159">
          <cell r="D159" t="str">
            <v>RSC-R1UW-E8R</v>
          </cell>
          <cell r="E159" t="str">
            <v>VR211S002658</v>
          </cell>
        </row>
        <row r="160">
          <cell r="D160" t="str">
            <v>RSC-R1UW-E8R</v>
          </cell>
          <cell r="E160" t="str">
            <v>VR211S002655</v>
          </cell>
        </row>
        <row r="161">
          <cell r="D161" t="str">
            <v>RSC-R1UW-E8R</v>
          </cell>
          <cell r="E161" t="str">
            <v>VR211S002652</v>
          </cell>
        </row>
        <row r="162">
          <cell r="D162" t="str">
            <v>RSC-R1UW-E8R</v>
          </cell>
          <cell r="E162" t="str">
            <v>VR211S002650</v>
          </cell>
        </row>
        <row r="163">
          <cell r="D163" t="str">
            <v>RSC-R1UW-E8R</v>
          </cell>
          <cell r="E163" t="str">
            <v>VR211S002649</v>
          </cell>
        </row>
        <row r="164">
          <cell r="D164" t="str">
            <v>RSC-R1UW-E8R</v>
          </cell>
          <cell r="E164" t="str">
            <v>VR211S002660</v>
          </cell>
        </row>
        <row r="165">
          <cell r="D165" t="str">
            <v>RSC-R1UW-E8R</v>
          </cell>
          <cell r="E165" t="str">
            <v>VR211S002653</v>
          </cell>
        </row>
        <row r="166">
          <cell r="D166" t="str">
            <v>RSC-R1UW-E8R</v>
          </cell>
          <cell r="E166" t="str">
            <v>VR211S002644</v>
          </cell>
        </row>
        <row r="167">
          <cell r="D167" t="str">
            <v>RSC-R1UW-E8R</v>
          </cell>
          <cell r="E167" t="str">
            <v>VR211S002657</v>
          </cell>
        </row>
        <row r="168">
          <cell r="D168" t="str">
            <v>RSC-R1UW-E8R</v>
          </cell>
          <cell r="E168" t="str">
            <v>VR211S002651</v>
          </cell>
        </row>
        <row r="169">
          <cell r="D169" t="str">
            <v>RSC-R1UW-E8R</v>
          </cell>
          <cell r="E169" t="str">
            <v>VR211S002656</v>
          </cell>
        </row>
        <row r="170">
          <cell r="D170" t="str">
            <v>RSC-R1UW-E8R</v>
          </cell>
          <cell r="E170" t="str">
            <v>VR211S002654</v>
          </cell>
        </row>
        <row r="171">
          <cell r="D171" t="str">
            <v>RSC-R1UW-E8R</v>
          </cell>
          <cell r="E171" t="str">
            <v>VR211S002641</v>
          </cell>
        </row>
        <row r="172">
          <cell r="D172" t="str">
            <v>RSC-R1UW-E8R</v>
          </cell>
          <cell r="E172" t="str">
            <v>VR211S002659</v>
          </cell>
        </row>
        <row r="173">
          <cell r="D173" t="str">
            <v>HDD-T6000-MG08ADA600E</v>
          </cell>
          <cell r="E173" t="str">
            <v>51S0A024FCZH</v>
          </cell>
        </row>
        <row r="174">
          <cell r="D174" t="str">
            <v>HDD-T6000-MG08ADA600E</v>
          </cell>
          <cell r="E174" t="str">
            <v>51S0A0NAFCZH</v>
          </cell>
        </row>
        <row r="175">
          <cell r="D175" t="str">
            <v>RSC-R1UW-E8R</v>
          </cell>
          <cell r="E175" t="str">
            <v>VR217S015885</v>
          </cell>
        </row>
        <row r="176">
          <cell r="D176" t="str">
            <v>RSC-R1UW-E8R</v>
          </cell>
          <cell r="E176" t="str">
            <v>VR217S015905</v>
          </cell>
        </row>
        <row r="177">
          <cell r="D177" t="str">
            <v>RSC-R1UW-E8R</v>
          </cell>
          <cell r="E177" t="str">
            <v>VR217S015907</v>
          </cell>
        </row>
        <row r="178">
          <cell r="D178" t="str">
            <v>RSC-R1UW-E8R</v>
          </cell>
          <cell r="E178" t="str">
            <v>VR217S015906</v>
          </cell>
        </row>
        <row r="179">
          <cell r="D179" t="str">
            <v>RSC-R1UW-E8R</v>
          </cell>
          <cell r="E179" t="str">
            <v>VR217S015886</v>
          </cell>
        </row>
        <row r="180">
          <cell r="D180" t="str">
            <v>RSC-R1UW-E8R</v>
          </cell>
          <cell r="E180" t="str">
            <v>VR217S015882</v>
          </cell>
        </row>
        <row r="181">
          <cell r="D181" t="str">
            <v>HDD-2A2400-ST2400MM0129</v>
          </cell>
          <cell r="E181" t="str">
            <v>WBM5SV0J</v>
          </cell>
        </row>
        <row r="182">
          <cell r="D182" t="str">
            <v>HDD-2A2400-ST2400MM0129</v>
          </cell>
          <cell r="E182" t="str">
            <v>WBM5SV7V</v>
          </cell>
        </row>
        <row r="183">
          <cell r="D183" t="str">
            <v>HDD-2A2400-ST2400MM0129</v>
          </cell>
          <cell r="E183" t="str">
            <v>WBM5SN09</v>
          </cell>
        </row>
        <row r="184">
          <cell r="D184" t="str">
            <v>HDD-2A2400-ST2400MM0129</v>
          </cell>
          <cell r="E184" t="str">
            <v>WBM5SR2L</v>
          </cell>
        </row>
        <row r="185">
          <cell r="D185" t="str">
            <v>HDD-2A2400-ST2400MM0129</v>
          </cell>
          <cell r="E185" t="str">
            <v>WBM5RK1F</v>
          </cell>
        </row>
        <row r="186">
          <cell r="D186" t="str">
            <v>HDD-2A2400-ST2400MM0129</v>
          </cell>
          <cell r="E186" t="str">
            <v>WBM5SNBE</v>
          </cell>
        </row>
        <row r="187">
          <cell r="D187" t="str">
            <v>HDD-2A2400-ST2400MM0129</v>
          </cell>
          <cell r="E187" t="str">
            <v>WBM5RNHR</v>
          </cell>
        </row>
        <row r="188">
          <cell r="D188" t="str">
            <v>HDD-2A2400-ST2400MM0129</v>
          </cell>
          <cell r="E188" t="str">
            <v>WBM5RS6R</v>
          </cell>
        </row>
        <row r="189">
          <cell r="D189" t="str">
            <v>HDD-2A2400-ST2400MM0129</v>
          </cell>
          <cell r="E189" t="str">
            <v>WBM5RVEK</v>
          </cell>
        </row>
        <row r="190">
          <cell r="D190" t="str">
            <v>HDD-2A2400-ST2400MM0129</v>
          </cell>
          <cell r="E190" t="str">
            <v>WBM5SR4Y</v>
          </cell>
        </row>
        <row r="191">
          <cell r="D191" t="str">
            <v>HDD-2A2400-ST2400MM0129</v>
          </cell>
          <cell r="E191" t="str">
            <v>WBM5RT6H</v>
          </cell>
        </row>
        <row r="192">
          <cell r="D192" t="str">
            <v>HDD-2A2400-ST2400MM0129</v>
          </cell>
          <cell r="E192" t="str">
            <v>WBM5RTRR</v>
          </cell>
        </row>
        <row r="193">
          <cell r="D193" t="str">
            <v>HDD-2A2400-ST2400MM0129</v>
          </cell>
          <cell r="E193" t="str">
            <v>WBM5SXQA</v>
          </cell>
        </row>
        <row r="194">
          <cell r="D194" t="str">
            <v>HDD-2A2400-ST2400MM0129</v>
          </cell>
          <cell r="E194" t="str">
            <v>WBM5RSZS</v>
          </cell>
        </row>
        <row r="195">
          <cell r="D195" t="str">
            <v>HDD-2A2400-ST2400MM0129</v>
          </cell>
          <cell r="E195" t="str">
            <v>WBM5SHVA</v>
          </cell>
        </row>
        <row r="196">
          <cell r="D196" t="str">
            <v>HDD-2A2400-ST2400MM0129</v>
          </cell>
          <cell r="E196" t="str">
            <v>WBM5SN06</v>
          </cell>
        </row>
        <row r="197">
          <cell r="D197" t="str">
            <v>MBD-X10DRW-I-O</v>
          </cell>
          <cell r="E197" t="str">
            <v>OM218S003105</v>
          </cell>
        </row>
        <row r="198">
          <cell r="D198" t="str">
            <v>MBD-X10DRW-I-O</v>
          </cell>
          <cell r="E198" t="str">
            <v>OM218S003366</v>
          </cell>
        </row>
        <row r="199">
          <cell r="D199" t="str">
            <v>MBD-X12DPL-NT6-O</v>
          </cell>
          <cell r="E199" t="str">
            <v>WM21BS001428</v>
          </cell>
        </row>
        <row r="200">
          <cell r="D200" t="str">
            <v>MBD-X12DPL-NT6-O</v>
          </cell>
          <cell r="E200" t="str">
            <v>WM21BS001331</v>
          </cell>
        </row>
        <row r="201">
          <cell r="D201" t="str">
            <v>MBD-X12DPL-NT6-O</v>
          </cell>
          <cell r="E201" t="str">
            <v>WM21BS001271</v>
          </cell>
        </row>
        <row r="202">
          <cell r="D202" t="str">
            <v>MBD-X12DPL-I6-B</v>
          </cell>
          <cell r="E202" t="str">
            <v>WM21CS010373</v>
          </cell>
        </row>
        <row r="203">
          <cell r="D203" t="str">
            <v>MBD-X12DPL-I6-B</v>
          </cell>
          <cell r="E203" t="str">
            <v>WM21CS010124</v>
          </cell>
        </row>
        <row r="204">
          <cell r="D204" t="str">
            <v>MBD-X12DPL-I6-B</v>
          </cell>
          <cell r="E204" t="str">
            <v>WM21CS010325</v>
          </cell>
        </row>
        <row r="205">
          <cell r="D205" t="str">
            <v>MBD-X12DPL-I6-B</v>
          </cell>
          <cell r="E205" t="str">
            <v>WM21CS010322</v>
          </cell>
        </row>
        <row r="206">
          <cell r="D206" t="str">
            <v>MBD-X12DPL-I6-B</v>
          </cell>
          <cell r="E206" t="str">
            <v>WM21CS010175</v>
          </cell>
        </row>
        <row r="207">
          <cell r="D207" t="str">
            <v>CSE-825TQC-R1K03WB</v>
          </cell>
          <cell r="E207" t="str">
            <v>C8250FK11P01683</v>
          </cell>
        </row>
        <row r="208">
          <cell r="D208" t="str">
            <v>PWS</v>
          </cell>
          <cell r="E208" t="str">
            <v>P1K03AL39FB1464</v>
          </cell>
        </row>
        <row r="209">
          <cell r="D209" t="str">
            <v>PWS</v>
          </cell>
          <cell r="E209" t="str">
            <v>P1K03AL39FB1463</v>
          </cell>
        </row>
        <row r="210">
          <cell r="D210" t="str">
            <v>BPN</v>
          </cell>
          <cell r="E210" t="str">
            <v>EB21AS005796</v>
          </cell>
        </row>
        <row r="211">
          <cell r="D211" t="str">
            <v>CSE-825TQC-R1K03WB</v>
          </cell>
          <cell r="E211" t="str">
            <v>C8250FK11P01637</v>
          </cell>
        </row>
        <row r="212">
          <cell r="D212" t="str">
            <v>PWS</v>
          </cell>
          <cell r="E212" t="str">
            <v>P1K03AL39FB1471</v>
          </cell>
        </row>
        <row r="213">
          <cell r="D213" t="str">
            <v>PWS</v>
          </cell>
          <cell r="E213" t="str">
            <v>P1K03AL39FB1470</v>
          </cell>
        </row>
        <row r="214">
          <cell r="D214" t="str">
            <v>BPN</v>
          </cell>
          <cell r="E214" t="str">
            <v>EB21AS005799</v>
          </cell>
        </row>
        <row r="215">
          <cell r="D215" t="str">
            <v>AS-1024US-TRT</v>
          </cell>
          <cell r="E215" t="str">
            <v>E406159X1C04010</v>
          </cell>
        </row>
        <row r="216">
          <cell r="D216" t="str">
            <v>PWS</v>
          </cell>
          <cell r="E216" t="str">
            <v>P1K0ACK45KN1709</v>
          </cell>
        </row>
        <row r="217">
          <cell r="D217" t="str">
            <v>PWS</v>
          </cell>
          <cell r="E217" t="str">
            <v>P1K0ACK45KN1710</v>
          </cell>
        </row>
        <row r="218">
          <cell r="D218" t="str">
            <v>BPN</v>
          </cell>
          <cell r="E218" t="str">
            <v>HB219S002076</v>
          </cell>
        </row>
        <row r="219">
          <cell r="D219" t="str">
            <v>MBD</v>
          </cell>
          <cell r="E219" t="str">
            <v>UM219S604308</v>
          </cell>
        </row>
        <row r="220">
          <cell r="D220" t="str">
            <v>CSE</v>
          </cell>
          <cell r="E220" t="str">
            <v>C819UAK10P70111</v>
          </cell>
        </row>
        <row r="221">
          <cell r="D221" t="str">
            <v>AOC</v>
          </cell>
          <cell r="E221" t="str">
            <v>OA219S034392</v>
          </cell>
        </row>
        <row r="222">
          <cell r="D222" t="str">
            <v>HDS</v>
          </cell>
          <cell r="E222" t="str">
            <v>S437NC0R613149</v>
          </cell>
        </row>
        <row r="223">
          <cell r="D223" t="str">
            <v>HDS</v>
          </cell>
          <cell r="E223" t="str">
            <v>S437NC0R613153</v>
          </cell>
        </row>
        <row r="224">
          <cell r="D224" t="str">
            <v>MEM</v>
          </cell>
          <cell r="E224" t="str">
            <v>S802C0F21262FE5BF64</v>
          </cell>
        </row>
        <row r="225">
          <cell r="D225" t="str">
            <v>MEM</v>
          </cell>
          <cell r="E225" t="str">
            <v>S802C0F21262FE5EE50</v>
          </cell>
        </row>
        <row r="226">
          <cell r="D226" t="str">
            <v>MEM</v>
          </cell>
          <cell r="E226" t="str">
            <v>S802C0F21262FE5EDC8</v>
          </cell>
        </row>
        <row r="227">
          <cell r="D227" t="str">
            <v>MEM</v>
          </cell>
          <cell r="E227" t="str">
            <v>S802C0F21262FE5EDBB</v>
          </cell>
        </row>
        <row r="228">
          <cell r="D228" t="str">
            <v>MEM</v>
          </cell>
          <cell r="E228" t="str">
            <v>S802C0F21262FE5EB0B</v>
          </cell>
        </row>
        <row r="229">
          <cell r="D229" t="str">
            <v>MEM</v>
          </cell>
          <cell r="E229" t="str">
            <v>S802C0F21262FE5ED87</v>
          </cell>
        </row>
        <row r="230">
          <cell r="D230" t="str">
            <v>MEM</v>
          </cell>
          <cell r="E230" t="str">
            <v>S802C0F21262FE5EEC1</v>
          </cell>
        </row>
        <row r="231">
          <cell r="D231" t="str">
            <v>MEM</v>
          </cell>
          <cell r="E231" t="str">
            <v>S802C0F21262FE5EEC6</v>
          </cell>
        </row>
        <row r="232">
          <cell r="D232" t="str">
            <v>CPU</v>
          </cell>
          <cell r="E232" t="str">
            <v>9KG7128W10048</v>
          </cell>
        </row>
        <row r="233">
          <cell r="D233" t="str">
            <v>CPU</v>
          </cell>
          <cell r="E233" t="str">
            <v>9KG7128W10072</v>
          </cell>
        </row>
        <row r="234">
          <cell r="D234" t="str">
            <v>RSC</v>
          </cell>
          <cell r="E234" t="str">
            <v>ER21AS004623</v>
          </cell>
        </row>
        <row r="235">
          <cell r="D235" t="str">
            <v>RSC</v>
          </cell>
          <cell r="E235" t="str">
            <v>ER217S040869</v>
          </cell>
        </row>
        <row r="236">
          <cell r="D236" t="str">
            <v>AS-1024US-TRT</v>
          </cell>
          <cell r="E236" t="str">
            <v>E406159X1C03711</v>
          </cell>
        </row>
        <row r="237">
          <cell r="D237" t="str">
            <v>CSE</v>
          </cell>
          <cell r="E237" t="str">
            <v>C819UAK10P70046</v>
          </cell>
        </row>
        <row r="238">
          <cell r="D238" t="str">
            <v>PWS</v>
          </cell>
          <cell r="E238" t="str">
            <v>P1K0ACK45KN1690</v>
          </cell>
        </row>
        <row r="239">
          <cell r="D239" t="str">
            <v>PWS</v>
          </cell>
          <cell r="E239" t="str">
            <v>P1K0ACK45KN1689</v>
          </cell>
        </row>
        <row r="240">
          <cell r="D240" t="str">
            <v>BPN</v>
          </cell>
          <cell r="E240" t="str">
            <v>HB219S002033</v>
          </cell>
        </row>
        <row r="241">
          <cell r="D241" t="str">
            <v>MBD</v>
          </cell>
          <cell r="E241" t="str">
            <v>UM216S600264</v>
          </cell>
        </row>
        <row r="242">
          <cell r="D242" t="str">
            <v>AOC</v>
          </cell>
          <cell r="E242" t="str">
            <v>OA214S012544</v>
          </cell>
        </row>
        <row r="243">
          <cell r="D243" t="str">
            <v>CPU</v>
          </cell>
          <cell r="E243" t="str">
            <v>9KE8553R10091</v>
          </cell>
        </row>
        <row r="244">
          <cell r="D244" t="str">
            <v>CPU</v>
          </cell>
          <cell r="E244" t="str">
            <v>9KE8553R10023</v>
          </cell>
        </row>
        <row r="245">
          <cell r="D245" t="str">
            <v>MEM</v>
          </cell>
          <cell r="E245" t="str">
            <v>H1VU00013447702DF8</v>
          </cell>
        </row>
        <row r="246">
          <cell r="D246" t="str">
            <v>MEM</v>
          </cell>
          <cell r="E246" t="str">
            <v>H1VU00013447702EB2</v>
          </cell>
        </row>
        <row r="247">
          <cell r="D247" t="str">
            <v>MEM</v>
          </cell>
          <cell r="E247" t="str">
            <v>H1VU00013447703902</v>
          </cell>
        </row>
        <row r="248">
          <cell r="D248" t="str">
            <v>MEM</v>
          </cell>
          <cell r="E248" t="str">
            <v>H1VU00013447702D07</v>
          </cell>
        </row>
        <row r="249">
          <cell r="D249" t="str">
            <v>MEM</v>
          </cell>
          <cell r="E249" t="str">
            <v>H1XJ0001344782C848</v>
          </cell>
        </row>
        <row r="250">
          <cell r="D250" t="str">
            <v>MEM</v>
          </cell>
          <cell r="E250" t="str">
            <v>H1VU00013447702E82</v>
          </cell>
        </row>
        <row r="251">
          <cell r="D251" t="str">
            <v>MEM</v>
          </cell>
          <cell r="E251" t="str">
            <v>H1VU000134477039BA</v>
          </cell>
        </row>
        <row r="252">
          <cell r="D252" t="str">
            <v>MEM</v>
          </cell>
          <cell r="E252" t="str">
            <v>H1VU000134477039F9</v>
          </cell>
        </row>
        <row r="253">
          <cell r="D253" t="str">
            <v>RSC</v>
          </cell>
          <cell r="E253" t="str">
            <v>ER21AS6003607</v>
          </cell>
        </row>
        <row r="254">
          <cell r="D254" t="str">
            <v>RSC</v>
          </cell>
          <cell r="E254" t="str">
            <v>ER217S051999</v>
          </cell>
        </row>
        <row r="255">
          <cell r="D255" t="str">
            <v>HDD</v>
          </cell>
          <cell r="E255" t="str">
            <v>71U0A2DNF95G</v>
          </cell>
        </row>
        <row r="256">
          <cell r="D256" t="str">
            <v>HDD</v>
          </cell>
          <cell r="E256" t="str">
            <v>71U0A2D0F95G</v>
          </cell>
        </row>
        <row r="257">
          <cell r="D257" t="str">
            <v>HDD</v>
          </cell>
          <cell r="E257" t="str">
            <v>71U0A287F95G</v>
          </cell>
        </row>
        <row r="258">
          <cell r="D258" t="str">
            <v>HDD</v>
          </cell>
          <cell r="E258" t="str">
            <v>71U0A2BZF95G</v>
          </cell>
        </row>
        <row r="259">
          <cell r="D259" t="str">
            <v>HDS</v>
          </cell>
          <cell r="E259" t="str">
            <v>S435NC0R500100</v>
          </cell>
        </row>
        <row r="260">
          <cell r="D260" t="str">
            <v>AOC</v>
          </cell>
          <cell r="E260" t="str">
            <v>VA21AS002309</v>
          </cell>
        </row>
        <row r="261">
          <cell r="D261" t="str">
            <v>AOC</v>
          </cell>
          <cell r="E261" t="str">
            <v>VA205S002325</v>
          </cell>
        </row>
        <row r="262">
          <cell r="D262" t="str">
            <v>AS-1024US-TRT</v>
          </cell>
          <cell r="E262" t="str">
            <v>E406159X1C03712</v>
          </cell>
        </row>
        <row r="263">
          <cell r="D263" t="str">
            <v>CSE</v>
          </cell>
          <cell r="E263" t="str">
            <v>C819UAK10P70055</v>
          </cell>
        </row>
        <row r="264">
          <cell r="D264" t="str">
            <v>PWS</v>
          </cell>
          <cell r="E264" t="str">
            <v>P1K0ACK45KN1772</v>
          </cell>
        </row>
        <row r="265">
          <cell r="D265" t="str">
            <v>PWS</v>
          </cell>
          <cell r="E265" t="str">
            <v>P1K0ACK45KN1771</v>
          </cell>
        </row>
        <row r="266">
          <cell r="D266" t="str">
            <v>BPN</v>
          </cell>
          <cell r="E266" t="str">
            <v>HB219S002036</v>
          </cell>
        </row>
        <row r="267">
          <cell r="D267" t="str">
            <v>MBD</v>
          </cell>
          <cell r="E267" t="str">
            <v>UM219S604287</v>
          </cell>
        </row>
        <row r="268">
          <cell r="D268" t="str">
            <v>AOC</v>
          </cell>
          <cell r="E268" t="str">
            <v>OA21BS019198</v>
          </cell>
        </row>
        <row r="269">
          <cell r="D269" t="str">
            <v>CPU</v>
          </cell>
          <cell r="E269" t="str">
            <v>9KE8553R10024</v>
          </cell>
        </row>
        <row r="270">
          <cell r="D270" t="str">
            <v>CPU</v>
          </cell>
          <cell r="E270" t="str">
            <v>9KE8553R10092</v>
          </cell>
        </row>
        <row r="271">
          <cell r="D271" t="str">
            <v>MEM</v>
          </cell>
          <cell r="E271" t="str">
            <v>H1XJ0001344782C8C8</v>
          </cell>
        </row>
        <row r="272">
          <cell r="D272" t="str">
            <v>MEM</v>
          </cell>
          <cell r="E272" t="str">
            <v>H1XJ0001344782BABF</v>
          </cell>
        </row>
        <row r="273">
          <cell r="D273" t="str">
            <v>MEM</v>
          </cell>
          <cell r="E273" t="str">
            <v>H1XJ0001344782B78A</v>
          </cell>
        </row>
        <row r="274">
          <cell r="D274" t="str">
            <v>MEM</v>
          </cell>
          <cell r="E274" t="str">
            <v>H1VU00013447703987</v>
          </cell>
        </row>
        <row r="275">
          <cell r="D275" t="str">
            <v>MEM</v>
          </cell>
          <cell r="E275" t="str">
            <v>H1XJ0001344782C770</v>
          </cell>
        </row>
        <row r="276">
          <cell r="D276" t="str">
            <v>MEM</v>
          </cell>
          <cell r="E276" t="str">
            <v>H1XJ0001344782BAC2</v>
          </cell>
        </row>
        <row r="277">
          <cell r="D277" t="str">
            <v>MEM</v>
          </cell>
          <cell r="E277" t="str">
            <v>H1VU00013447703AD4</v>
          </cell>
        </row>
        <row r="278">
          <cell r="D278" t="str">
            <v>MEM</v>
          </cell>
          <cell r="E278" t="str">
            <v>H1VU00013447703A67</v>
          </cell>
        </row>
        <row r="279">
          <cell r="D279" t="str">
            <v>RSC</v>
          </cell>
          <cell r="E279" t="str">
            <v>ER217S051995</v>
          </cell>
        </row>
        <row r="280">
          <cell r="D280" t="str">
            <v>RSC</v>
          </cell>
          <cell r="E280" t="str">
            <v>ER21AS003608</v>
          </cell>
        </row>
        <row r="281">
          <cell r="D281" t="str">
            <v>HDD</v>
          </cell>
          <cell r="E281" t="str">
            <v>71U0A2DRF95G</v>
          </cell>
        </row>
        <row r="282">
          <cell r="D282" t="str">
            <v>HDD</v>
          </cell>
          <cell r="E282" t="str">
            <v>71U0A2CTF95G</v>
          </cell>
        </row>
        <row r="283">
          <cell r="D283" t="str">
            <v>HDD</v>
          </cell>
          <cell r="E283" t="str">
            <v>71U0A2DQF95G</v>
          </cell>
        </row>
        <row r="284">
          <cell r="D284" t="str">
            <v>HDD</v>
          </cell>
          <cell r="E284" t="str">
            <v>71U0A2F4F95G</v>
          </cell>
        </row>
        <row r="285">
          <cell r="D285" t="str">
            <v>HDS</v>
          </cell>
          <cell r="E285" t="str">
            <v>S435NC0R500103</v>
          </cell>
        </row>
        <row r="286">
          <cell r="D286" t="str">
            <v>AOC</v>
          </cell>
          <cell r="E286" t="str">
            <v>VA21AS002310</v>
          </cell>
        </row>
        <row r="287">
          <cell r="D287" t="str">
            <v>AOC</v>
          </cell>
          <cell r="E287" t="str">
            <v>VA205S000979</v>
          </cell>
        </row>
        <row r="288">
          <cell r="D288" t="str">
            <v>AS-2014CS-TR</v>
          </cell>
          <cell r="E288" t="str">
            <v>E453559X1C03847</v>
          </cell>
        </row>
        <row r="289">
          <cell r="D289" t="str">
            <v>CSE</v>
          </cell>
          <cell r="E289" t="str">
            <v>CLA26FK40AD0050</v>
          </cell>
        </row>
        <row r="290">
          <cell r="D290" t="str">
            <v>PWS</v>
          </cell>
          <cell r="E290" t="str">
            <v>P9202CL39AB0170</v>
          </cell>
        </row>
        <row r="291">
          <cell r="D291" t="str">
            <v>PWS</v>
          </cell>
          <cell r="E291" t="str">
            <v>YK"L38XB0032</v>
          </cell>
        </row>
        <row r="292">
          <cell r="D292" t="str">
            <v>BPN</v>
          </cell>
          <cell r="E292" t="str">
            <v>HB218S020196</v>
          </cell>
        </row>
        <row r="293">
          <cell r="D293" t="str">
            <v>MBD</v>
          </cell>
          <cell r="E293" t="str">
            <v>WM21BS600353</v>
          </cell>
        </row>
        <row r="294">
          <cell r="D294" t="str">
            <v>RSC</v>
          </cell>
          <cell r="E294" t="str">
            <v>UR217S031618</v>
          </cell>
        </row>
        <row r="295">
          <cell r="D295" t="str">
            <v>RSC</v>
          </cell>
          <cell r="E295" t="str">
            <v>UR21BS022932</v>
          </cell>
        </row>
        <row r="296">
          <cell r="D296" t="str">
            <v>CPU</v>
          </cell>
          <cell r="E296" t="str">
            <v>9KH2267W10118</v>
          </cell>
        </row>
        <row r="297">
          <cell r="D297" t="str">
            <v>MEM</v>
          </cell>
          <cell r="E297" t="str">
            <v>Y0WY120130242F00CD</v>
          </cell>
        </row>
        <row r="298">
          <cell r="D298" t="str">
            <v>MEM</v>
          </cell>
          <cell r="E298" t="str">
            <v>Y0WY120130242F03F9</v>
          </cell>
        </row>
        <row r="299">
          <cell r="D299" t="str">
            <v>MEM</v>
          </cell>
          <cell r="E299" t="str">
            <v>Y0WY120130242F0409</v>
          </cell>
        </row>
        <row r="300">
          <cell r="D300" t="str">
            <v>MEM</v>
          </cell>
          <cell r="E300" t="str">
            <v>Y0WY120130242F00C8</v>
          </cell>
        </row>
        <row r="301">
          <cell r="D301" t="str">
            <v>MEM</v>
          </cell>
          <cell r="E301" t="str">
            <v>Y0WY120130242F036E</v>
          </cell>
        </row>
        <row r="302">
          <cell r="D302" t="str">
            <v>MEM</v>
          </cell>
          <cell r="E302" t="str">
            <v>Y0WY120130242F00CC</v>
          </cell>
        </row>
        <row r="303">
          <cell r="D303" t="str">
            <v>MEM</v>
          </cell>
          <cell r="E303" t="str">
            <v>Y0WY120130242F00C7</v>
          </cell>
        </row>
        <row r="304">
          <cell r="D304" t="str">
            <v>MEM</v>
          </cell>
          <cell r="E304" t="str">
            <v>Y0WY120130242F03FA</v>
          </cell>
        </row>
        <row r="305">
          <cell r="D305" t="str">
            <v>HDS</v>
          </cell>
          <cell r="E305" t="str">
            <v>61X0A022T4T8</v>
          </cell>
        </row>
        <row r="306">
          <cell r="D306" t="str">
            <v>HDS</v>
          </cell>
          <cell r="E306" t="str">
            <v>619FC08GFQA1</v>
          </cell>
        </row>
        <row r="307">
          <cell r="D307" t="str">
            <v>HDS</v>
          </cell>
          <cell r="E307" t="str">
            <v>619FC0QGFQA1</v>
          </cell>
        </row>
        <row r="308">
          <cell r="D308" t="str">
            <v>HDS</v>
          </cell>
          <cell r="E308" t="str">
            <v>7140A00JT4T8</v>
          </cell>
        </row>
        <row r="309">
          <cell r="D309" t="str">
            <v>AOC</v>
          </cell>
          <cell r="E309" t="str">
            <v>OA216S012924</v>
          </cell>
        </row>
        <row r="310">
          <cell r="D310" t="str">
            <v>AOC</v>
          </cell>
          <cell r="E310" t="str">
            <v>HA21AS000197</v>
          </cell>
        </row>
        <row r="311">
          <cell r="D311" t="str">
            <v>AOC</v>
          </cell>
          <cell r="E311" t="str">
            <v>VA215S018082</v>
          </cell>
        </row>
        <row r="312">
          <cell r="D312" t="str">
            <v xml:space="preserve">B550D4-4L/VN  </v>
          </cell>
          <cell r="E312" t="str">
            <v>ECS0XE000252</v>
          </cell>
        </row>
        <row r="313">
          <cell r="D313" t="str">
            <v>SSDSC2KB019T801</v>
          </cell>
          <cell r="E313" t="str">
            <v>PHYF1292001B1P9DGN</v>
          </cell>
        </row>
        <row r="314">
          <cell r="D314" t="str">
            <v>SSDSC2KB019T801</v>
          </cell>
          <cell r="E314" t="str">
            <v>PHYF129201Z11P9DGN</v>
          </cell>
        </row>
        <row r="315">
          <cell r="D315" t="str">
            <v xml:space="preserve">M393A1K43DB1-CVF </v>
          </cell>
          <cell r="E315" t="str">
            <v>SNK665</v>
          </cell>
          <cell r="K315" t="str">
            <v>SO/2022/005613/A 3Z3</v>
          </cell>
        </row>
        <row r="316">
          <cell r="D316" t="str">
            <v xml:space="preserve">M393A1K43DB1-CVF </v>
          </cell>
          <cell r="E316" t="str">
            <v>SNK666</v>
          </cell>
          <cell r="K316" t="str">
            <v>SO/2022/005613/A 3Z3</v>
          </cell>
        </row>
        <row r="317">
          <cell r="D317" t="str">
            <v xml:space="preserve">M393A1K43DB1-CVF </v>
          </cell>
          <cell r="E317" t="str">
            <v>SNK667</v>
          </cell>
          <cell r="K317" t="str">
            <v>SO/2022/005613/A 3Z3</v>
          </cell>
        </row>
        <row r="318">
          <cell r="D318" t="str">
            <v xml:space="preserve">M393A1K43DB1-CVF </v>
          </cell>
          <cell r="E318" t="str">
            <v>SNK668</v>
          </cell>
          <cell r="K318" t="str">
            <v>SO/2022/005613/A 3Z3</v>
          </cell>
        </row>
        <row r="319">
          <cell r="D319" t="str">
            <v xml:space="preserve">M393A1K43DB1-CVF </v>
          </cell>
          <cell r="E319" t="str">
            <v>SNK669</v>
          </cell>
          <cell r="K319" t="str">
            <v>SO/2022/005613/A 2Z3</v>
          </cell>
        </row>
        <row r="320">
          <cell r="D320" t="str">
            <v xml:space="preserve">M393A1K43DB1-CVF </v>
          </cell>
          <cell r="E320" t="str">
            <v>SNK670</v>
          </cell>
          <cell r="K320" t="str">
            <v>SO/2022/005613/A 2Z3</v>
          </cell>
        </row>
        <row r="321">
          <cell r="D321" t="str">
            <v xml:space="preserve">M393A1K43DB1-CVF </v>
          </cell>
          <cell r="E321" t="str">
            <v>SNK671</v>
          </cell>
          <cell r="K321" t="str">
            <v>SO/2022/005613/A 2Z3</v>
          </cell>
        </row>
        <row r="322">
          <cell r="D322" t="str">
            <v xml:space="preserve">M393A1K43DB1-CVF </v>
          </cell>
          <cell r="E322" t="str">
            <v>SNK672</v>
          </cell>
          <cell r="K322" t="str">
            <v>SO/2022/005613/A 2Z3</v>
          </cell>
        </row>
        <row r="323">
          <cell r="D323" t="str">
            <v xml:space="preserve">M393A1K43DB1-CVF </v>
          </cell>
          <cell r="E323" t="str">
            <v>SNK673</v>
          </cell>
          <cell r="K323" t="str">
            <v>SO/2022/005613/A 1Z3</v>
          </cell>
        </row>
        <row r="324">
          <cell r="D324" t="str">
            <v xml:space="preserve">M393A1K43DB1-CVF </v>
          </cell>
          <cell r="E324" t="str">
            <v>SNK674</v>
          </cell>
          <cell r="K324" t="str">
            <v>SO/2022/005613/A 1Z3</v>
          </cell>
        </row>
        <row r="325">
          <cell r="D325" t="str">
            <v xml:space="preserve">M393A1K43DB1-CVF </v>
          </cell>
          <cell r="E325" t="str">
            <v>SNK675</v>
          </cell>
          <cell r="K325" t="str">
            <v>SO/2022/005613/A 1Z3</v>
          </cell>
        </row>
        <row r="326">
          <cell r="D326" t="str">
            <v xml:space="preserve">M393A1K43DB1-CVF </v>
          </cell>
          <cell r="E326" t="str">
            <v>SNK676</v>
          </cell>
          <cell r="K326" t="str">
            <v>SO/2022/005613/A 1Z3</v>
          </cell>
        </row>
        <row r="327">
          <cell r="D327" t="str">
            <v>I350T2V2BLK</v>
          </cell>
          <cell r="E327" t="str">
            <v>DC481A501ADH47819003</v>
          </cell>
        </row>
        <row r="328">
          <cell r="D328" t="str">
            <v>I350T2V2BLK</v>
          </cell>
          <cell r="E328" t="str">
            <v>DC4846501ADH47819003</v>
          </cell>
        </row>
        <row r="329">
          <cell r="D329" t="str">
            <v>I350T2V2BLK</v>
          </cell>
          <cell r="E329" t="str">
            <v>DC4C9C501ADH47819003</v>
          </cell>
        </row>
        <row r="330">
          <cell r="D330" t="str">
            <v>I350T2V2BLK</v>
          </cell>
          <cell r="E330" t="str">
            <v>DC4E42501ADH47819003</v>
          </cell>
        </row>
        <row r="331">
          <cell r="D331" t="str">
            <v>I350T2V2BLK</v>
          </cell>
          <cell r="E331" t="str">
            <v>DC505C501ADH47819003</v>
          </cell>
        </row>
        <row r="332">
          <cell r="D332" t="str">
            <v>I350T2V2BLK</v>
          </cell>
          <cell r="E332" t="str">
            <v>DC484C501ADH47819003</v>
          </cell>
        </row>
        <row r="333">
          <cell r="D333" t="str">
            <v>I350T2V2BLK</v>
          </cell>
          <cell r="E333" t="str">
            <v>DC4D10501ADH47819003</v>
          </cell>
        </row>
        <row r="334">
          <cell r="D334" t="str">
            <v>I350T2V2BLK</v>
          </cell>
          <cell r="E334" t="str">
            <v>DC4D34501ADH47819003</v>
          </cell>
        </row>
        <row r="335">
          <cell r="D335" t="str">
            <v>I350T2V2BLK</v>
          </cell>
          <cell r="E335" t="str">
            <v>DC4FE4501ADH47819003</v>
          </cell>
        </row>
        <row r="336">
          <cell r="D336" t="str">
            <v>I350T2V2BLK</v>
          </cell>
          <cell r="E336" t="str">
            <v>DC50B0501ADH47819003</v>
          </cell>
        </row>
        <row r="337">
          <cell r="D337" t="str">
            <v>I350T2V2BLK</v>
          </cell>
          <cell r="E337" t="str">
            <v>DC47E8501ADH47819003</v>
          </cell>
        </row>
        <row r="338">
          <cell r="D338" t="str">
            <v>I350T2V2BLK</v>
          </cell>
          <cell r="E338" t="str">
            <v>DC480C501ADH47819003</v>
          </cell>
        </row>
        <row r="339">
          <cell r="D339" t="str">
            <v>I350T2V2BLK</v>
          </cell>
          <cell r="E339" t="str">
            <v>DC4F88501ADH47819003</v>
          </cell>
        </row>
        <row r="340">
          <cell r="D340" t="str">
            <v>I350T2V2BLK</v>
          </cell>
          <cell r="E340" t="str">
            <v>DC4F8A501ADH47819003</v>
          </cell>
        </row>
        <row r="341">
          <cell r="D341" t="str">
            <v>I350T2V2BLK</v>
          </cell>
          <cell r="E341" t="str">
            <v>DC4F92501ADH47819003</v>
          </cell>
        </row>
        <row r="342">
          <cell r="D342" t="str">
            <v>I350T2V2BLK</v>
          </cell>
          <cell r="E342" t="str">
            <v>DC4C06501ADH47819003</v>
          </cell>
        </row>
        <row r="343">
          <cell r="D343" t="str">
            <v>I350T2V2BLK</v>
          </cell>
          <cell r="E343" t="str">
            <v>DC4C6A501ADH47819003</v>
          </cell>
        </row>
        <row r="344">
          <cell r="D344" t="str">
            <v>I350T2V2BLK</v>
          </cell>
          <cell r="E344" t="str">
            <v>DC4FE8501ADH47819003</v>
          </cell>
        </row>
        <row r="345">
          <cell r="D345" t="str">
            <v>I350T2V2BLK</v>
          </cell>
          <cell r="E345" t="str">
            <v>DC509C501ADH47819003</v>
          </cell>
        </row>
        <row r="346">
          <cell r="D346" t="str">
            <v>I350T2V2BLK</v>
          </cell>
          <cell r="E346" t="str">
            <v>DC509E501ADH47819003</v>
          </cell>
        </row>
        <row r="347">
          <cell r="D347" t="str">
            <v>I350T2V2BLK</v>
          </cell>
          <cell r="E347" t="str">
            <v>DC4A5C501ADH47819003</v>
          </cell>
        </row>
        <row r="348">
          <cell r="D348" t="str">
            <v>I350T2V2BLK</v>
          </cell>
          <cell r="E348" t="str">
            <v>DC4BC8501ADH47819003</v>
          </cell>
        </row>
        <row r="349">
          <cell r="D349" t="str">
            <v>I350T2V2BLK</v>
          </cell>
          <cell r="E349" t="str">
            <v>DC4FA2501ADH47819003</v>
          </cell>
        </row>
        <row r="350">
          <cell r="D350" t="str">
            <v>I350T2V2BLK</v>
          </cell>
          <cell r="E350" t="str">
            <v>DC503E501ADH47819003</v>
          </cell>
        </row>
        <row r="351">
          <cell r="D351" t="str">
            <v>I350T2V2BLK</v>
          </cell>
          <cell r="E351" t="str">
            <v>DC50C2501ADH47819003</v>
          </cell>
        </row>
        <row r="352">
          <cell r="D352" t="str">
            <v>I350T2V2BLK</v>
          </cell>
          <cell r="E352" t="str">
            <v>DC4C76501ADH47819003</v>
          </cell>
        </row>
        <row r="353">
          <cell r="D353" t="str">
            <v>I350T2V2BLK</v>
          </cell>
          <cell r="E353" t="str">
            <v>DC5056501ADH47819003</v>
          </cell>
        </row>
        <row r="354">
          <cell r="D354" t="str">
            <v>I350T2V2BLK</v>
          </cell>
          <cell r="E354" t="str">
            <v>DC4CC6501ADH47819003</v>
          </cell>
        </row>
        <row r="355">
          <cell r="D355" t="str">
            <v>I350T2V2BLK</v>
          </cell>
          <cell r="E355" t="str">
            <v>DC4E44501ADH47819003</v>
          </cell>
        </row>
        <row r="356">
          <cell r="D356" t="str">
            <v>I350T2V2BLK</v>
          </cell>
          <cell r="E356" t="str">
            <v>DC4CA6501ADH47819003</v>
          </cell>
        </row>
        <row r="357">
          <cell r="D357" t="str">
            <v>I350T2V2BLK</v>
          </cell>
          <cell r="E357" t="str">
            <v>DC4D78501ADH47819003</v>
          </cell>
        </row>
        <row r="358">
          <cell r="D358" t="str">
            <v>I350T2V2BLK</v>
          </cell>
          <cell r="E358" t="str">
            <v>DC4D2A501ADH47819003</v>
          </cell>
        </row>
        <row r="359">
          <cell r="D359" t="str">
            <v>I350T2V2BLK</v>
          </cell>
          <cell r="E359" t="str">
            <v>DC5004501ADH47819003</v>
          </cell>
        </row>
        <row r="360">
          <cell r="D360" t="str">
            <v>I350T2V2BLK</v>
          </cell>
          <cell r="E360" t="str">
            <v>DC4816501ADH47819003</v>
          </cell>
        </row>
        <row r="361">
          <cell r="D361" t="str">
            <v>I350T2V2BLK</v>
          </cell>
          <cell r="E361" t="str">
            <v>DC4D1E501ADH47819003</v>
          </cell>
        </row>
        <row r="362">
          <cell r="D362" t="str">
            <v>I350T2V2BLK</v>
          </cell>
          <cell r="E362" t="str">
            <v>DC4A5E501ADH47819003</v>
          </cell>
        </row>
        <row r="363">
          <cell r="D363" t="str">
            <v>I350T2V2BLK</v>
          </cell>
          <cell r="E363" t="str">
            <v>DC4D28501ADH47819003</v>
          </cell>
        </row>
        <row r="364">
          <cell r="D364" t="str">
            <v>I350T2V2BLK</v>
          </cell>
          <cell r="E364" t="str">
            <v>DC4D64501ADH47819003</v>
          </cell>
        </row>
        <row r="365">
          <cell r="D365" t="str">
            <v>I350T2V2BLK</v>
          </cell>
          <cell r="E365" t="str">
            <v>DC4E6C501ADH47819003</v>
          </cell>
        </row>
        <row r="366">
          <cell r="D366" t="str">
            <v>I350T2V2BLK</v>
          </cell>
          <cell r="E366" t="str">
            <v>DC4D7A501ADH47819003</v>
          </cell>
        </row>
        <row r="367">
          <cell r="D367" t="str">
            <v>I350T2V2BLK</v>
          </cell>
          <cell r="E367" t="str">
            <v>DC500A501ADH47819003</v>
          </cell>
        </row>
        <row r="368">
          <cell r="D368" t="str">
            <v>I350T2V2BLK</v>
          </cell>
          <cell r="E368" t="str">
            <v>DC4D5E501ADH47819003</v>
          </cell>
        </row>
        <row r="369">
          <cell r="D369" t="str">
            <v>I350T2V2BLK</v>
          </cell>
          <cell r="E369" t="str">
            <v>DC4D48501ADH47819003</v>
          </cell>
        </row>
        <row r="370">
          <cell r="D370" t="str">
            <v>I350T2V2BLK</v>
          </cell>
          <cell r="E370" t="str">
            <v>DC4C32501ADH47819003</v>
          </cell>
        </row>
        <row r="371">
          <cell r="D371" t="str">
            <v>I350T2V2BLK</v>
          </cell>
          <cell r="E371" t="str">
            <v>DC4D36501ADH47819003</v>
          </cell>
        </row>
        <row r="372">
          <cell r="D372" t="str">
            <v>I350T2V2BLK</v>
          </cell>
          <cell r="E372" t="str">
            <v>DC5044501ADH47819003</v>
          </cell>
        </row>
        <row r="373">
          <cell r="D373" t="str">
            <v>I350T2V2BLK</v>
          </cell>
          <cell r="E373" t="str">
            <v>DC5042501ADH47819003</v>
          </cell>
        </row>
        <row r="374">
          <cell r="D374" t="str">
            <v>I350T2V2BLK</v>
          </cell>
          <cell r="E374" t="str">
            <v>DC4E22501ADH47819003</v>
          </cell>
        </row>
        <row r="375">
          <cell r="D375" t="str">
            <v>I350T2V2BLK</v>
          </cell>
          <cell r="E375" t="str">
            <v>DC4F90501ADH47819003</v>
          </cell>
        </row>
        <row r="376">
          <cell r="D376" t="str">
            <v>I350T2V2BLK</v>
          </cell>
          <cell r="E376" t="str">
            <v>DC47FC501ADH47819003</v>
          </cell>
        </row>
        <row r="377">
          <cell r="D377" t="str">
            <v>INTEL XEON E-2286G</v>
          </cell>
          <cell r="E377" t="str">
            <v>X145L069  03173 U18U4D7803173</v>
          </cell>
        </row>
        <row r="378">
          <cell r="D378" t="str">
            <v>INTEL XEON E-2286G</v>
          </cell>
          <cell r="E378" t="str">
            <v>X145L069  01132 U1BJ501101132</v>
          </cell>
        </row>
        <row r="379">
          <cell r="D379" t="str">
            <v>INTEL XEON E-2286G</v>
          </cell>
          <cell r="E379" t="str">
            <v>X145L069  01607 U1BJ501101607</v>
          </cell>
        </row>
        <row r="380">
          <cell r="D380" t="str">
            <v>INTEL XEON E-2286G</v>
          </cell>
          <cell r="E380" t="str">
            <v>X145L069  00491 U1BJ501100491</v>
          </cell>
        </row>
        <row r="381">
          <cell r="D381" t="str">
            <v>INTEL XEON E-2286G</v>
          </cell>
          <cell r="E381" t="str">
            <v>X145L069  02722 U1BJ501102722</v>
          </cell>
        </row>
        <row r="382">
          <cell r="D382" t="str">
            <v>MZ7KH480HAHQ-00005</v>
          </cell>
          <cell r="E382" t="str">
            <v>S47MNA0RA11295</v>
          </cell>
        </row>
        <row r="383">
          <cell r="D383" t="str">
            <v>MZ7KH480HAHQ-00005</v>
          </cell>
          <cell r="E383" t="str">
            <v>S47MNA0RA11287</v>
          </cell>
        </row>
        <row r="384">
          <cell r="D384" t="str">
            <v>MZ7KH480HAHQ-00005</v>
          </cell>
          <cell r="E384" t="str">
            <v>S47MNA0RA11296</v>
          </cell>
        </row>
        <row r="385">
          <cell r="D385" t="str">
            <v>MZ7KH480HAHQ-00005</v>
          </cell>
          <cell r="E385" t="str">
            <v>S47MNA0RA11292</v>
          </cell>
        </row>
        <row r="386">
          <cell r="D386" t="str">
            <v>MZ7KH480HAHQ-00005</v>
          </cell>
          <cell r="E386" t="str">
            <v>S47MNA0RA11293</v>
          </cell>
        </row>
        <row r="387">
          <cell r="D387" t="str">
            <v>MZ7KH480HAHQ-00005</v>
          </cell>
          <cell r="E387" t="str">
            <v>S47MNA0RA11294</v>
          </cell>
        </row>
        <row r="388">
          <cell r="D388" t="str">
            <v>SSDSC2KB038T801</v>
          </cell>
          <cell r="E388" t="str">
            <v>PHYF1495077V3P8EGN</v>
          </cell>
        </row>
        <row r="389">
          <cell r="D389" t="str">
            <v>SSDSC2KB038T801</v>
          </cell>
          <cell r="E389" t="str">
            <v>PHYF143002PH3P8EGN</v>
          </cell>
        </row>
        <row r="390">
          <cell r="D390" t="str">
            <v>SSDSC2KG019T801</v>
          </cell>
          <cell r="E390" t="str">
            <v>PHYG138100Z01P9DGN</v>
          </cell>
        </row>
        <row r="391">
          <cell r="D391" t="str">
            <v>SSDSC2KG019T801</v>
          </cell>
          <cell r="E391" t="str">
            <v>PHYG138100X41P9DGN</v>
          </cell>
        </row>
        <row r="392">
          <cell r="D392" t="str">
            <v>SSDSC2KG019T801</v>
          </cell>
          <cell r="E392" t="str">
            <v>PHYG138101301P9DGN</v>
          </cell>
        </row>
        <row r="393">
          <cell r="D393" t="str">
            <v>SSDSC2KG019T801</v>
          </cell>
          <cell r="E393" t="str">
            <v>PHYG138100T91P9DGN</v>
          </cell>
        </row>
        <row r="394">
          <cell r="D394" t="str">
            <v>SSDSC2KG019T801</v>
          </cell>
          <cell r="E394" t="str">
            <v>PHYG138100WY1P9DGN</v>
          </cell>
        </row>
        <row r="395">
          <cell r="D395" t="str">
            <v>SSDSC2KG019T801</v>
          </cell>
          <cell r="E395" t="str">
            <v>PHYG138100RF1P9DGN</v>
          </cell>
        </row>
        <row r="396">
          <cell r="D396" t="str">
            <v>SSDSC2KG019T801</v>
          </cell>
          <cell r="E396" t="str">
            <v>PHYG1381013L1P9DGN</v>
          </cell>
        </row>
        <row r="397">
          <cell r="D397" t="str">
            <v>SSDSC2KG019T801</v>
          </cell>
          <cell r="E397" t="str">
            <v>PHYG138101341P9DGN</v>
          </cell>
        </row>
        <row r="398">
          <cell r="D398" t="str">
            <v>SSDSC2KG019T801</v>
          </cell>
          <cell r="E398" t="str">
            <v>PHYG138100Q71P9DGN</v>
          </cell>
        </row>
        <row r="399">
          <cell r="D399" t="str">
            <v>SSDSC2KG019T801</v>
          </cell>
          <cell r="E399" t="str">
            <v>PHYG138100SB1P9DGN</v>
          </cell>
        </row>
        <row r="400">
          <cell r="D400" t="str">
            <v>SSDSC2KG019T801</v>
          </cell>
          <cell r="E400" t="str">
            <v>PHYG138100WZ1P9DGN</v>
          </cell>
        </row>
        <row r="401">
          <cell r="D401" t="str">
            <v>SSDSC2KG019T801</v>
          </cell>
          <cell r="E401" t="str">
            <v>PHYG1381011Q1P9DGN</v>
          </cell>
        </row>
        <row r="402">
          <cell r="D402" t="str">
            <v>SSDSC2KG019T801</v>
          </cell>
          <cell r="E402" t="str">
            <v>PHYG1381013X1P9DGN</v>
          </cell>
        </row>
        <row r="403">
          <cell r="D403" t="str">
            <v>SSDSC2KG019T801</v>
          </cell>
          <cell r="E403" t="str">
            <v>PHYG138101BX1P9DGN</v>
          </cell>
        </row>
        <row r="404">
          <cell r="D404" t="str">
            <v>SSDSC2KG019T801</v>
          </cell>
          <cell r="E404" t="str">
            <v>PHYG136101GH1P9DGN</v>
          </cell>
        </row>
        <row r="405">
          <cell r="D405" t="str">
            <v>SSDSC2KG019T801</v>
          </cell>
          <cell r="E405" t="str">
            <v>PHYG138100ZD1P9DGN</v>
          </cell>
        </row>
        <row r="406">
          <cell r="D406" t="str">
            <v>SSDSC2KG019T801</v>
          </cell>
          <cell r="E406" t="str">
            <v>PHYG138100YP1P9DGN</v>
          </cell>
        </row>
        <row r="407">
          <cell r="D407" t="str">
            <v>SSDSC2KG019T801</v>
          </cell>
          <cell r="E407" t="str">
            <v>PHYG1381011R1P9DGN</v>
          </cell>
        </row>
        <row r="408">
          <cell r="D408" t="str">
            <v>SSDSC2KG019T801</v>
          </cell>
          <cell r="E408" t="str">
            <v>PHYG1381011Y1P9DGN</v>
          </cell>
        </row>
        <row r="409">
          <cell r="D409" t="str">
            <v>SSDSC2KG019T801</v>
          </cell>
          <cell r="E409" t="str">
            <v>PHYG138101061P9DGN</v>
          </cell>
        </row>
        <row r="410">
          <cell r="D410" t="str">
            <v>INTEL XEON E5-2667V4</v>
          </cell>
          <cell r="E410" t="str">
            <v>77UL035003277</v>
          </cell>
          <cell r="K410" t="str">
            <v>SO/2022/005613/A 1Z3</v>
          </cell>
        </row>
        <row r="411">
          <cell r="D411" t="str">
            <v>INTEL XEON E5-2667V4</v>
          </cell>
          <cell r="E411" t="str">
            <v>76FN655100272</v>
          </cell>
          <cell r="K411" t="str">
            <v>SO/2022/005613/A 1Z3</v>
          </cell>
        </row>
        <row r="412">
          <cell r="D412" t="str">
            <v>INTEL XEON E5-2667V4</v>
          </cell>
          <cell r="E412" t="str">
            <v>771W60G800170</v>
          </cell>
          <cell r="K412" t="str">
            <v>SO/2022/005613/A 2Z3</v>
          </cell>
        </row>
        <row r="413">
          <cell r="D413" t="str">
            <v>INTEL XEON E5-2667V4</v>
          </cell>
          <cell r="E413" t="str">
            <v>76YU684500482</v>
          </cell>
          <cell r="K413" t="str">
            <v>SO/2022/005613/A 2Z3</v>
          </cell>
        </row>
        <row r="414">
          <cell r="D414" t="str">
            <v>INTEL XEON E5-2667V4</v>
          </cell>
          <cell r="E414" t="str">
            <v>76YE876001730</v>
          </cell>
          <cell r="K414" t="str">
            <v>SO/2022/005613/A 3Z3</v>
          </cell>
        </row>
        <row r="415">
          <cell r="D415" t="str">
            <v>INTEL XEON E5-2667V4</v>
          </cell>
          <cell r="E415" t="str">
            <v>76FN655100336</v>
          </cell>
          <cell r="K415" t="str">
            <v>SO/2022/005613/A 3Z3</v>
          </cell>
        </row>
        <row r="416">
          <cell r="D416" t="str">
            <v>VCNTRXA6000-SB</v>
          </cell>
          <cell r="E416" t="str">
            <v>PG133NM132291000BY</v>
          </cell>
        </row>
        <row r="417">
          <cell r="D417" t="str">
            <v>INTEL XEON E-2246G</v>
          </cell>
          <cell r="E417" t="str">
            <v>X140J533 00801</v>
          </cell>
        </row>
        <row r="418">
          <cell r="D418" t="str">
            <v>MBD-XSCA-F-O</v>
          </cell>
          <cell r="E418" t="str">
            <v>VM21BS002158</v>
          </cell>
        </row>
        <row r="419">
          <cell r="D419" t="str">
            <v>SSDSC2KB480GZ01</v>
          </cell>
          <cell r="E419" t="str">
            <v>BTYI123400SL480BGN</v>
          </cell>
        </row>
        <row r="420">
          <cell r="D420" t="str">
            <v>SSDSC2KB480GZ01</v>
          </cell>
          <cell r="E420" t="str">
            <v>BTYI123400TA480BGN</v>
          </cell>
        </row>
        <row r="421">
          <cell r="D421" t="str">
            <v>SSDSC2KG480GZ01</v>
          </cell>
          <cell r="E421" t="str">
            <v>PHYJ127100A5480AGN</v>
          </cell>
        </row>
        <row r="422">
          <cell r="D422" t="str">
            <v>SSDSC2KG480GZ01</v>
          </cell>
          <cell r="E422" t="str">
            <v>PHYJ1271002W480AGN</v>
          </cell>
        </row>
        <row r="423">
          <cell r="D423" t="str">
            <v>SSDSC2KG480GZ01</v>
          </cell>
          <cell r="E423" t="str">
            <v>PHYJ127100B9480AGN</v>
          </cell>
        </row>
        <row r="424">
          <cell r="D424" t="str">
            <v>SSDSC2KG480GZ01</v>
          </cell>
          <cell r="E424" t="str">
            <v>PHYJ127100CT480AGN</v>
          </cell>
        </row>
        <row r="425">
          <cell r="D425" t="str">
            <v>SSDSC2KG480GZ01</v>
          </cell>
          <cell r="E425" t="str">
            <v>PHYJ127100CK480AGN</v>
          </cell>
        </row>
        <row r="426">
          <cell r="D426" t="str">
            <v>SSDSC2KG480GZ01</v>
          </cell>
          <cell r="E426" t="str">
            <v>PHYJ127100ER480AGN</v>
          </cell>
        </row>
        <row r="427">
          <cell r="D427" t="str">
            <v>I350T4V2BLK</v>
          </cell>
          <cell r="E427" t="str">
            <v>D7D654501FZH47822003</v>
          </cell>
        </row>
        <row r="428">
          <cell r="D428" t="str">
            <v>I350T4V2BLK</v>
          </cell>
          <cell r="E428" t="str">
            <v>D7C4AC501FZH47822003</v>
          </cell>
        </row>
        <row r="429">
          <cell r="D429" t="str">
            <v>I350T4V2BLK</v>
          </cell>
          <cell r="E429" t="str">
            <v>D7D0B4501FZH47822003</v>
          </cell>
        </row>
        <row r="430">
          <cell r="D430" t="str">
            <v>I350T4V2BLK</v>
          </cell>
          <cell r="E430" t="str">
            <v>D7C508501FZH47822003</v>
          </cell>
        </row>
        <row r="431">
          <cell r="D431" t="str">
            <v>I350T4V2BLK</v>
          </cell>
          <cell r="E431" t="str">
            <v>D7B384501FZH47822003</v>
          </cell>
        </row>
        <row r="432">
          <cell r="D432" t="str">
            <v>I350T4V2BLK</v>
          </cell>
          <cell r="E432" t="str">
            <v>D7BE8C501FZH47822003</v>
          </cell>
        </row>
        <row r="433">
          <cell r="D433" t="str">
            <v>I350T4V2BLK</v>
          </cell>
          <cell r="E433" t="str">
            <v>D7C3B8501FZH47822003</v>
          </cell>
        </row>
        <row r="434">
          <cell r="D434" t="str">
            <v>I350T4V2BLK</v>
          </cell>
          <cell r="E434" t="str">
            <v>D7BE4C501FZH47822003</v>
          </cell>
        </row>
        <row r="435">
          <cell r="D435" t="str">
            <v>I350T4V2BLK</v>
          </cell>
          <cell r="E435" t="str">
            <v>D7C1FC501FZH47822003</v>
          </cell>
        </row>
        <row r="436">
          <cell r="D436" t="str">
            <v>I350T4V2BLK</v>
          </cell>
          <cell r="E436" t="str">
            <v>D7CD18501FZH47822003</v>
          </cell>
        </row>
        <row r="437">
          <cell r="D437" t="str">
            <v>I350T4V2BLK</v>
          </cell>
          <cell r="E437" t="str">
            <v>D7C2CC501FZH47822003</v>
          </cell>
        </row>
        <row r="438">
          <cell r="D438" t="str">
            <v>I350T4V2BLK</v>
          </cell>
          <cell r="E438" t="str">
            <v>D7D03C501FZH47822003</v>
          </cell>
        </row>
        <row r="439">
          <cell r="D439" t="str">
            <v>I350T4V2BLK</v>
          </cell>
          <cell r="E439" t="str">
            <v>D7C118501FZH47822003</v>
          </cell>
        </row>
        <row r="440">
          <cell r="D440" t="str">
            <v>I350T4V2BLK</v>
          </cell>
          <cell r="E440" t="str">
            <v>D7C11C501FZH47822003</v>
          </cell>
        </row>
        <row r="441">
          <cell r="D441" t="str">
            <v>I350T4V2BLK</v>
          </cell>
          <cell r="E441" t="str">
            <v>D7C5B8501FZH47822003</v>
          </cell>
        </row>
        <row r="442">
          <cell r="D442" t="str">
            <v>I350T4V2BLK</v>
          </cell>
          <cell r="E442" t="str">
            <v>D7C92C501FZH47822003</v>
          </cell>
        </row>
        <row r="443">
          <cell r="D443" t="str">
            <v>I350T4V2BLK</v>
          </cell>
          <cell r="E443" t="str">
            <v>D7D5B0501FZH47822003</v>
          </cell>
        </row>
        <row r="444">
          <cell r="D444" t="str">
            <v>I350T4V2BLK</v>
          </cell>
          <cell r="E444" t="str">
            <v>D7C674501FZH47822003</v>
          </cell>
        </row>
        <row r="445">
          <cell r="D445" t="str">
            <v>I350T4V2BLK</v>
          </cell>
          <cell r="E445" t="str">
            <v>D7C0C0501FZH47822003</v>
          </cell>
        </row>
        <row r="446">
          <cell r="D446" t="str">
            <v>I350T4V2BLK</v>
          </cell>
          <cell r="E446" t="str">
            <v>D7D38C501FZH47822003</v>
          </cell>
        </row>
        <row r="447">
          <cell r="D447" t="str">
            <v>I350T4V2BLK</v>
          </cell>
          <cell r="E447" t="str">
            <v>D7C330501FZH47822003</v>
          </cell>
        </row>
        <row r="448">
          <cell r="D448" t="str">
            <v>I350T4V2BLK</v>
          </cell>
          <cell r="E448" t="str">
            <v>D7BB84501FZH47822003</v>
          </cell>
        </row>
        <row r="449">
          <cell r="D449" t="str">
            <v>I350T4V2BLK</v>
          </cell>
          <cell r="E449" t="str">
            <v>D7BB7C501FZH47822003</v>
          </cell>
        </row>
        <row r="450">
          <cell r="D450" t="str">
            <v>I350T4V2BLK</v>
          </cell>
          <cell r="E450" t="str">
            <v>D7BB80501FZH47822003</v>
          </cell>
        </row>
        <row r="451">
          <cell r="D451" t="str">
            <v>I350T4V2BLK</v>
          </cell>
          <cell r="E451" t="str">
            <v>D7BE18501FZH47822003</v>
          </cell>
        </row>
        <row r="452">
          <cell r="D452" t="str">
            <v>I350T4V2BLK</v>
          </cell>
          <cell r="E452" t="str">
            <v>D7BEE0501FZH47822003</v>
          </cell>
        </row>
        <row r="453">
          <cell r="D453" t="str">
            <v>I350T4V2BLK</v>
          </cell>
          <cell r="E453" t="str">
            <v>D7C3C8501FZH47822003</v>
          </cell>
        </row>
        <row r="454">
          <cell r="D454" t="str">
            <v>I350T4V2BLK</v>
          </cell>
          <cell r="E454" t="str">
            <v>D7C3F4501FZH47822003</v>
          </cell>
        </row>
        <row r="455">
          <cell r="D455" t="str">
            <v>I350T4V2BLK</v>
          </cell>
          <cell r="E455" t="str">
            <v>D7D4C0501FZH47822003</v>
          </cell>
        </row>
        <row r="456">
          <cell r="D456" t="str">
            <v>I350T4V2BLK</v>
          </cell>
          <cell r="E456" t="str">
            <v>D7C8F4501FZH47822003</v>
          </cell>
        </row>
        <row r="457">
          <cell r="D457" t="str">
            <v>I350T4V2BLK</v>
          </cell>
          <cell r="E457" t="str">
            <v>D7D378501FZH47822003</v>
          </cell>
        </row>
        <row r="458">
          <cell r="D458" t="str">
            <v>I350T4V2BLK</v>
          </cell>
          <cell r="E458" t="str">
            <v>D7C318501FZH47822003</v>
          </cell>
        </row>
        <row r="459">
          <cell r="D459" t="str">
            <v>I350T4V2BLK</v>
          </cell>
          <cell r="E459" t="str">
            <v>D7BE08501FZH47822003</v>
          </cell>
        </row>
        <row r="460">
          <cell r="D460" t="str">
            <v>I350T4V2BLK</v>
          </cell>
          <cell r="E460" t="str">
            <v>D7BE50501FZH47822003</v>
          </cell>
        </row>
        <row r="461">
          <cell r="D461" t="str">
            <v>I350T4V2BLK</v>
          </cell>
          <cell r="E461" t="str">
            <v>D7C1C0501FZH47822003</v>
          </cell>
        </row>
        <row r="462">
          <cell r="D462" t="str">
            <v>I350T4V2BLK</v>
          </cell>
          <cell r="E462" t="str">
            <v>D7B3F4501FZH47822003</v>
          </cell>
        </row>
        <row r="463">
          <cell r="D463" t="str">
            <v>I350T4V2BLK</v>
          </cell>
          <cell r="E463" t="str">
            <v>D7B894501FZH47822003</v>
          </cell>
        </row>
        <row r="464">
          <cell r="D464" t="str">
            <v>I350T4V2BLK</v>
          </cell>
          <cell r="E464" t="str">
            <v>D797E4501FZH47822003</v>
          </cell>
        </row>
        <row r="465">
          <cell r="D465" t="str">
            <v>I350T4V2BLK</v>
          </cell>
          <cell r="E465" t="str">
            <v>D7B8B0501FZH47822003</v>
          </cell>
        </row>
        <row r="466">
          <cell r="D466" t="str">
            <v>I350T4V2BLK</v>
          </cell>
          <cell r="E466" t="str">
            <v>D7A118501FZH47822003</v>
          </cell>
        </row>
        <row r="467">
          <cell r="D467" t="str">
            <v>I350T4V2BLK</v>
          </cell>
          <cell r="E467" t="str">
            <v>D7C040501FZH47822003</v>
          </cell>
        </row>
        <row r="468">
          <cell r="D468" t="str">
            <v>I350T4V2BLK</v>
          </cell>
          <cell r="E468" t="str">
            <v>D7C874501FZH47822003</v>
          </cell>
        </row>
        <row r="469">
          <cell r="D469" t="str">
            <v>I350T4V2BLK</v>
          </cell>
          <cell r="E469" t="str">
            <v>D7C914501FZH47822003</v>
          </cell>
        </row>
        <row r="470">
          <cell r="D470" t="str">
            <v>I350T4V2BLK</v>
          </cell>
          <cell r="E470" t="str">
            <v>D7C8F8501FZH47822003</v>
          </cell>
        </row>
        <row r="471">
          <cell r="D471" t="str">
            <v>I350T4V2BLK</v>
          </cell>
          <cell r="E471" t="str">
            <v>D7BE28501FZH47822003</v>
          </cell>
        </row>
        <row r="472">
          <cell r="D472" t="str">
            <v>EXPI9301CTBLK</v>
          </cell>
          <cell r="E472" t="str">
            <v>F3CBBF491CRE46981008</v>
          </cell>
        </row>
        <row r="473">
          <cell r="D473" t="str">
            <v>EXPI9301CTBLK</v>
          </cell>
          <cell r="E473" t="str">
            <v>F3CBD0491CRE46981008</v>
          </cell>
        </row>
        <row r="474">
          <cell r="D474" t="str">
            <v>EXPI9301CTBLK</v>
          </cell>
          <cell r="E474" t="str">
            <v>F3CBD1491CRE46981008</v>
          </cell>
        </row>
        <row r="475">
          <cell r="D475" t="str">
            <v>EXPI9301CTBLK</v>
          </cell>
          <cell r="E475" t="str">
            <v>F3CBCD491CRE46981008</v>
          </cell>
        </row>
        <row r="476">
          <cell r="D476" t="str">
            <v>EXPI9301CTBLK</v>
          </cell>
          <cell r="E476" t="str">
            <v>F3C81E491CRE46981008</v>
          </cell>
        </row>
        <row r="477">
          <cell r="D477" t="str">
            <v>EXPI9301CTBLK</v>
          </cell>
          <cell r="E477" t="str">
            <v>F3C813491CRE46981008</v>
          </cell>
        </row>
        <row r="478">
          <cell r="D478" t="str">
            <v>EXPI9301CTBLK</v>
          </cell>
          <cell r="E478" t="str">
            <v>F3C81B491CRE46981008</v>
          </cell>
        </row>
        <row r="479">
          <cell r="D479" t="str">
            <v>EXPI9301CTBLK</v>
          </cell>
          <cell r="E479" t="str">
            <v>F3CBC9491CRE46981008</v>
          </cell>
        </row>
        <row r="480">
          <cell r="D480" t="str">
            <v>EXPI9301CTBLK</v>
          </cell>
          <cell r="E480" t="str">
            <v>F3CBC1491CRE46981008</v>
          </cell>
        </row>
        <row r="481">
          <cell r="D481" t="str">
            <v>EXPI9301CTBLK</v>
          </cell>
          <cell r="E481" t="str">
            <v>F3CBCC491CRE46981008</v>
          </cell>
        </row>
        <row r="482">
          <cell r="D482" t="str">
            <v>EXPI9301CTBLK</v>
          </cell>
          <cell r="E482" t="str">
            <v>F3C785491CRE46981008</v>
          </cell>
        </row>
        <row r="483">
          <cell r="D483" t="str">
            <v>EXPI9301CTBLK</v>
          </cell>
          <cell r="E483" t="str">
            <v>F3C786491CRE46981008</v>
          </cell>
        </row>
        <row r="484">
          <cell r="D484" t="str">
            <v>EXPI9301CTBLK</v>
          </cell>
          <cell r="E484" t="str">
            <v>F3C7A5491CRE46981008</v>
          </cell>
        </row>
        <row r="485">
          <cell r="D485" t="str">
            <v>EXPI9301CTBLK</v>
          </cell>
          <cell r="E485" t="str">
            <v>F3C836491CRE46981008</v>
          </cell>
        </row>
        <row r="486">
          <cell r="D486" t="str">
            <v>EXPI9301CTBLK</v>
          </cell>
          <cell r="E486" t="str">
            <v>F3C84C491CRE46981008</v>
          </cell>
        </row>
        <row r="487">
          <cell r="D487" t="str">
            <v>EXPI9301CTBLK</v>
          </cell>
          <cell r="E487" t="str">
            <v>F3C850491CRE46981008</v>
          </cell>
        </row>
        <row r="488">
          <cell r="D488" t="str">
            <v>EXPI9301CTBLK</v>
          </cell>
          <cell r="E488" t="str">
            <v>F3C898491CRE46981008</v>
          </cell>
        </row>
        <row r="489">
          <cell r="D489" t="str">
            <v>EXPI9301CTBLK</v>
          </cell>
          <cell r="E489" t="str">
            <v>F3C89D491CRE46981008</v>
          </cell>
        </row>
        <row r="490">
          <cell r="D490" t="str">
            <v>EXPI9301CTBLK</v>
          </cell>
          <cell r="E490" t="str">
            <v>F3C89E491CRE46981008</v>
          </cell>
        </row>
        <row r="491">
          <cell r="D491" t="str">
            <v>EXPI9301CTBLK</v>
          </cell>
          <cell r="E491" t="str">
            <v>F3C8A2491CRE46981008</v>
          </cell>
        </row>
        <row r="492">
          <cell r="D492" t="str">
            <v>EXPI9301CTBLK</v>
          </cell>
          <cell r="E492" t="str">
            <v>F3C8A7491CRE46981008</v>
          </cell>
        </row>
        <row r="493">
          <cell r="D493" t="str">
            <v>EXPI9301CTBLK</v>
          </cell>
          <cell r="E493" t="str">
            <v>F3C8A9491CRE46981008</v>
          </cell>
        </row>
        <row r="494">
          <cell r="D494" t="str">
            <v>EXPI9301CTBLK</v>
          </cell>
          <cell r="E494" t="str">
            <v>F3C8B8491CRE46981008</v>
          </cell>
        </row>
        <row r="495">
          <cell r="D495" t="str">
            <v>EXPI9301CTBLK</v>
          </cell>
          <cell r="E495" t="str">
            <v>F3C8E0491CRE46981008</v>
          </cell>
        </row>
        <row r="496">
          <cell r="D496" t="str">
            <v>EXPI9301CTBLK</v>
          </cell>
          <cell r="E496" t="str">
            <v>F3CAE1491CRE46981008</v>
          </cell>
        </row>
        <row r="497">
          <cell r="D497" t="str">
            <v>EXPI9301CTBLK</v>
          </cell>
          <cell r="E497" t="str">
            <v>F3CAF3491CRE46981008</v>
          </cell>
        </row>
        <row r="498">
          <cell r="D498" t="str">
            <v>EXPI9301CTBLK</v>
          </cell>
          <cell r="E498" t="str">
            <v>F3CAF5491CRE46981008</v>
          </cell>
        </row>
        <row r="499">
          <cell r="D499" t="str">
            <v>EXPI9301CTBLK</v>
          </cell>
          <cell r="E499" t="str">
            <v>F3CAFC491CRE46981008</v>
          </cell>
        </row>
        <row r="500">
          <cell r="D500" t="str">
            <v>EXPI9301CTBLK</v>
          </cell>
          <cell r="E500" t="str">
            <v>F3CB05491CRE46981008</v>
          </cell>
        </row>
        <row r="501">
          <cell r="D501" t="str">
            <v>EXPI9301CTBLK</v>
          </cell>
          <cell r="E501" t="str">
            <v>F3CB72491CRE46981008</v>
          </cell>
        </row>
        <row r="502">
          <cell r="D502" t="str">
            <v>EXPI9301CTBLK</v>
          </cell>
          <cell r="E502" t="str">
            <v>F3C4EF491CRE46981008</v>
          </cell>
        </row>
        <row r="503">
          <cell r="D503" t="str">
            <v>EXPI9301CTBLK</v>
          </cell>
          <cell r="E503" t="str">
            <v>F3C54F491CRE46981008</v>
          </cell>
        </row>
        <row r="504">
          <cell r="D504" t="str">
            <v>EXPI9301CTBLK</v>
          </cell>
          <cell r="E504" t="str">
            <v>F3C580491CRE46981008</v>
          </cell>
        </row>
        <row r="505">
          <cell r="D505" t="str">
            <v>EXPI9301CTBLK</v>
          </cell>
          <cell r="E505" t="str">
            <v>F3C58A491CRE46981008</v>
          </cell>
        </row>
        <row r="506">
          <cell r="D506" t="str">
            <v>EXPI9301CTBLK</v>
          </cell>
          <cell r="E506" t="str">
            <v>F3C58D491CRE46981008</v>
          </cell>
        </row>
        <row r="507">
          <cell r="D507" t="str">
            <v>EXPI9301CTBLK</v>
          </cell>
          <cell r="E507" t="str">
            <v>F3C591491CRE46981008</v>
          </cell>
        </row>
        <row r="508">
          <cell r="D508" t="str">
            <v>EXPI9301CTBLK</v>
          </cell>
          <cell r="E508" t="str">
            <v>F3C5C5491CRE46981008</v>
          </cell>
        </row>
        <row r="509">
          <cell r="D509" t="str">
            <v>EXPI9301CTBLK</v>
          </cell>
          <cell r="E509" t="str">
            <v>F3C7EB491CRE46981008</v>
          </cell>
        </row>
        <row r="510">
          <cell r="D510" t="str">
            <v>EXPI9301CTBLK</v>
          </cell>
          <cell r="E510" t="str">
            <v>F3C82A491CRE46981008</v>
          </cell>
        </row>
        <row r="511">
          <cell r="D511" t="str">
            <v>EXPI9301CTBLK</v>
          </cell>
          <cell r="E511" t="str">
            <v>F3C859491CRE46981008</v>
          </cell>
        </row>
        <row r="512">
          <cell r="D512" t="str">
            <v>EXPI9301CTBLK</v>
          </cell>
          <cell r="E512" t="str">
            <v>F3C89C491CRE46981008</v>
          </cell>
        </row>
        <row r="513">
          <cell r="D513" t="str">
            <v>EXPI9301CTBLK</v>
          </cell>
          <cell r="E513" t="str">
            <v>F3C89F491CRE46981008</v>
          </cell>
        </row>
        <row r="514">
          <cell r="D514" t="str">
            <v>EXPI9301CTBLK</v>
          </cell>
          <cell r="E514" t="str">
            <v>F3C8A1491CRE46981008</v>
          </cell>
        </row>
        <row r="515">
          <cell r="D515" t="str">
            <v>EXPI9301CTBLK</v>
          </cell>
          <cell r="E515" t="str">
            <v>F3C8CF491CRE46981008</v>
          </cell>
        </row>
        <row r="516">
          <cell r="D516" t="str">
            <v>EXPI9301CTBLK</v>
          </cell>
          <cell r="E516" t="str">
            <v>F3C8D0491CRE46981008</v>
          </cell>
        </row>
        <row r="517">
          <cell r="D517" t="str">
            <v>EXPI9301CTBLK</v>
          </cell>
          <cell r="E517" t="str">
            <v>F3C8D2491CRE46981008</v>
          </cell>
        </row>
        <row r="518">
          <cell r="D518" t="str">
            <v>EXPI9301CTBLK</v>
          </cell>
          <cell r="E518" t="str">
            <v>F3C8D3491CRE46981008</v>
          </cell>
        </row>
        <row r="519">
          <cell r="D519" t="str">
            <v>EXPI9301CTBLK</v>
          </cell>
          <cell r="E519" t="str">
            <v>F3C971491CRE46981008</v>
          </cell>
        </row>
        <row r="520">
          <cell r="D520" t="str">
            <v>EXPI9301CTBLK</v>
          </cell>
          <cell r="E520" t="str">
            <v>F3CA00491CRE46981008</v>
          </cell>
        </row>
        <row r="521">
          <cell r="D521" t="str">
            <v>EXPI9301CTBLK</v>
          </cell>
          <cell r="E521" t="str">
            <v>F3CA3A491CRE46981008</v>
          </cell>
        </row>
        <row r="522">
          <cell r="D522" t="str">
            <v>EXPI9301CTBLK</v>
          </cell>
          <cell r="E522" t="str">
            <v>F3C400491CRE46981008</v>
          </cell>
        </row>
        <row r="523">
          <cell r="D523" t="str">
            <v>EXPI9301CTBLK</v>
          </cell>
          <cell r="E523" t="str">
            <v>F3C411491CRE46981008</v>
          </cell>
        </row>
        <row r="524">
          <cell r="D524" t="str">
            <v>EXPI9301CTBLK</v>
          </cell>
          <cell r="E524" t="str">
            <v>F3C415491CRE46981008</v>
          </cell>
        </row>
        <row r="525">
          <cell r="D525" t="str">
            <v>EXPI9301CTBLK</v>
          </cell>
          <cell r="E525" t="str">
            <v>F3C416491CRE46981008</v>
          </cell>
        </row>
        <row r="526">
          <cell r="D526" t="str">
            <v>EXPI9301CTBLK</v>
          </cell>
          <cell r="E526" t="str">
            <v>F3C41F491CRE46981008</v>
          </cell>
        </row>
        <row r="527">
          <cell r="D527" t="str">
            <v>EXPI9301CTBLK</v>
          </cell>
          <cell r="E527" t="str">
            <v>F3C421491CRE46981008</v>
          </cell>
        </row>
        <row r="528">
          <cell r="D528" t="str">
            <v>EXPI9301CTBLK</v>
          </cell>
          <cell r="E528" t="str">
            <v>F3C43A491CRE46981008</v>
          </cell>
        </row>
        <row r="529">
          <cell r="D529" t="str">
            <v>EXPI9301CTBLK</v>
          </cell>
          <cell r="E529" t="str">
            <v>F3C54B491CRE46981008</v>
          </cell>
        </row>
        <row r="530">
          <cell r="D530" t="str">
            <v>EXPI9301CTBLK</v>
          </cell>
          <cell r="E530" t="str">
            <v>F3C54E491CRE46981008</v>
          </cell>
        </row>
        <row r="531">
          <cell r="D531" t="str">
            <v>EXPI9301CTBLK</v>
          </cell>
          <cell r="E531" t="str">
            <v>F3C988491CRE46981008</v>
          </cell>
        </row>
        <row r="532">
          <cell r="D532" t="str">
            <v>EXPI9301CTBLK</v>
          </cell>
          <cell r="E532" t="str">
            <v>F3C99E491CRE46981008</v>
          </cell>
        </row>
        <row r="533">
          <cell r="D533" t="str">
            <v>EXPI9301CTBLK</v>
          </cell>
          <cell r="E533" t="str">
            <v>F3C9A0491CRE46981008</v>
          </cell>
        </row>
        <row r="534">
          <cell r="D534" t="str">
            <v>EXPI9301CTBLK</v>
          </cell>
          <cell r="E534" t="str">
            <v>F3C9CA491CRE46981008</v>
          </cell>
        </row>
        <row r="535">
          <cell r="D535" t="str">
            <v>EXPI9301CTBLK</v>
          </cell>
          <cell r="E535" t="str">
            <v>F3CA14491CRE46981008</v>
          </cell>
        </row>
        <row r="536">
          <cell r="D536" t="str">
            <v>EXPI9301CTBLK</v>
          </cell>
          <cell r="E536" t="str">
            <v>F3CA57491CRE46981008</v>
          </cell>
        </row>
        <row r="537">
          <cell r="D537" t="str">
            <v>EXPI9301CTBLK</v>
          </cell>
          <cell r="E537" t="str">
            <v>F3CB9E491CRE46981008</v>
          </cell>
        </row>
        <row r="538">
          <cell r="D538" t="str">
            <v>EXPI9301CTBLK</v>
          </cell>
          <cell r="E538" t="str">
            <v>F3CC78491CRE46981008</v>
          </cell>
        </row>
        <row r="539">
          <cell r="D539" t="str">
            <v>EXPI9301CTBLK</v>
          </cell>
          <cell r="E539" t="str">
            <v>F3CC79491CRE46981008</v>
          </cell>
        </row>
        <row r="540">
          <cell r="D540" t="str">
            <v>EXPI9301CTBLK</v>
          </cell>
          <cell r="E540" t="str">
            <v>F3CC7B491CRE46981008</v>
          </cell>
        </row>
        <row r="541">
          <cell r="D541" t="str">
            <v>EXPI9301CTBLK</v>
          </cell>
          <cell r="E541" t="str">
            <v>F3CC7C491CRE46981008</v>
          </cell>
        </row>
        <row r="542">
          <cell r="D542" t="str">
            <v>EXPI9301CTBLK</v>
          </cell>
          <cell r="E542" t="str">
            <v>F3C275491CRE46981008</v>
          </cell>
        </row>
        <row r="543">
          <cell r="D543" t="str">
            <v>EXPI9301CTBLK</v>
          </cell>
          <cell r="E543" t="str">
            <v>F3C276491CRE46981008</v>
          </cell>
        </row>
        <row r="544">
          <cell r="D544" t="str">
            <v>EXPI9301CTBLK</v>
          </cell>
          <cell r="E544" t="str">
            <v>F3C277491CRE46981008</v>
          </cell>
        </row>
        <row r="545">
          <cell r="D545" t="str">
            <v>EXPI9301CTBLK</v>
          </cell>
          <cell r="E545" t="str">
            <v>F3C279491CRE46981008</v>
          </cell>
        </row>
        <row r="546">
          <cell r="D546" t="str">
            <v>EXPI9301CTBLK</v>
          </cell>
          <cell r="E546" t="str">
            <v>F3C27A491CRE46981008</v>
          </cell>
        </row>
        <row r="547">
          <cell r="D547" t="str">
            <v>EXPI9301CTBLK</v>
          </cell>
          <cell r="E547" t="str">
            <v>F3C27E491CRE46981008</v>
          </cell>
        </row>
        <row r="548">
          <cell r="D548" t="str">
            <v>EXPI9301CTBLK</v>
          </cell>
          <cell r="E548" t="str">
            <v>F3C280491CRE46981008</v>
          </cell>
        </row>
        <row r="549">
          <cell r="D549" t="str">
            <v>EXPI9301CTBLK</v>
          </cell>
          <cell r="E549" t="str">
            <v>F3C2B7491CRE46981008</v>
          </cell>
        </row>
        <row r="550">
          <cell r="D550" t="str">
            <v>EXPI9301CTBLK</v>
          </cell>
          <cell r="E550" t="str">
            <v>F3C2FE491CRE46981008</v>
          </cell>
        </row>
        <row r="551">
          <cell r="D551" t="str">
            <v>EXPI9301CTBLK</v>
          </cell>
          <cell r="E551" t="str">
            <v>F3C34E491CRE46981008</v>
          </cell>
        </row>
        <row r="552">
          <cell r="D552" t="str">
            <v>EXPI9301CTBLK</v>
          </cell>
          <cell r="E552" t="str">
            <v>F3C34F491CRE46981008</v>
          </cell>
        </row>
        <row r="553">
          <cell r="D553" t="str">
            <v>EXPI9301CTBLK</v>
          </cell>
          <cell r="E553" t="str">
            <v>F3C350491CRE46981008</v>
          </cell>
        </row>
        <row r="554">
          <cell r="D554" t="str">
            <v>EXPI9301CTBLK</v>
          </cell>
          <cell r="E554" t="str">
            <v>F3C35C491CRE46981008</v>
          </cell>
        </row>
        <row r="555">
          <cell r="D555" t="str">
            <v>EXPI9301CTBLK</v>
          </cell>
          <cell r="E555" t="str">
            <v>F3C35D491CRE46981008</v>
          </cell>
        </row>
        <row r="556">
          <cell r="D556" t="str">
            <v>EXPI9301CTBLK</v>
          </cell>
          <cell r="E556" t="str">
            <v>F3C361491CRE46981008</v>
          </cell>
        </row>
        <row r="557">
          <cell r="D557" t="str">
            <v>EXPI9301CTBLK</v>
          </cell>
          <cell r="E557" t="str">
            <v>F3C363491CRE46981008</v>
          </cell>
        </row>
        <row r="558">
          <cell r="D558" t="str">
            <v>EXPI9301CTBLK</v>
          </cell>
          <cell r="E558" t="str">
            <v>F3C36C491CRE46981008</v>
          </cell>
        </row>
        <row r="559">
          <cell r="D559" t="str">
            <v>EXPI9301CTBLK</v>
          </cell>
          <cell r="E559" t="str">
            <v>F3C38D491CRE46981008</v>
          </cell>
        </row>
        <row r="560">
          <cell r="D560" t="str">
            <v>EXPI9301CTBLK</v>
          </cell>
          <cell r="E560" t="str">
            <v>F3C980491CRE46981008</v>
          </cell>
        </row>
        <row r="561">
          <cell r="D561" t="str">
            <v>EXPI9301CTBLK</v>
          </cell>
          <cell r="E561" t="str">
            <v>F3C9D4491CRE46981008</v>
          </cell>
        </row>
        <row r="562">
          <cell r="D562" t="str">
            <v>EXPI9301CTBLK</v>
          </cell>
          <cell r="E562" t="str">
            <v>F3C1E3491CRE46981008</v>
          </cell>
        </row>
        <row r="563">
          <cell r="D563" t="str">
            <v>EXPI9301CTBLK</v>
          </cell>
          <cell r="E563" t="str">
            <v>F3C1E7491CRE46981008</v>
          </cell>
        </row>
        <row r="564">
          <cell r="D564" t="str">
            <v>EXPI9301CTBLK</v>
          </cell>
          <cell r="E564" t="str">
            <v>F3C24B491CRE46981008</v>
          </cell>
        </row>
        <row r="565">
          <cell r="D565" t="str">
            <v>EXPI9301CTBLK</v>
          </cell>
          <cell r="E565" t="str">
            <v>F3C250491CRE46981008</v>
          </cell>
        </row>
        <row r="566">
          <cell r="D566" t="str">
            <v>EXPI9301CTBLK</v>
          </cell>
          <cell r="E566" t="str">
            <v>F3C253491CRE46981008</v>
          </cell>
        </row>
        <row r="567">
          <cell r="D567" t="str">
            <v>EXPI9301CTBLK</v>
          </cell>
          <cell r="E567" t="str">
            <v>F3C255491CRE46981008</v>
          </cell>
        </row>
        <row r="568">
          <cell r="D568" t="str">
            <v>EXPI9301CTBLK</v>
          </cell>
          <cell r="E568" t="str">
            <v>F3C258491CRE46981008</v>
          </cell>
        </row>
        <row r="569">
          <cell r="D569" t="str">
            <v>EXPI9301CTBLK</v>
          </cell>
          <cell r="E569" t="str">
            <v>F3C25A491CRE46981008</v>
          </cell>
        </row>
        <row r="570">
          <cell r="D570" t="str">
            <v>EXPI9301CTBLK</v>
          </cell>
          <cell r="E570" t="str">
            <v>F3C260491CRE46981008</v>
          </cell>
        </row>
        <row r="571">
          <cell r="D571" t="str">
            <v>EXPI9301CTBLK</v>
          </cell>
          <cell r="E571" t="str">
            <v>F3C2FC491CRE46981008</v>
          </cell>
        </row>
        <row r="572">
          <cell r="D572" t="str">
            <v>EXPI9301CTBLK</v>
          </cell>
          <cell r="E572" t="str">
            <v>F3C326491CRE46981008</v>
          </cell>
        </row>
        <row r="573">
          <cell r="D573" t="str">
            <v>EXPI9301CTBLK</v>
          </cell>
          <cell r="E573" t="str">
            <v>F3C327491CRE46981008</v>
          </cell>
        </row>
        <row r="574">
          <cell r="D574" t="str">
            <v>EXPI9301CTBLK</v>
          </cell>
          <cell r="E574" t="str">
            <v>F3C328491CRE46981008</v>
          </cell>
        </row>
        <row r="575">
          <cell r="D575" t="str">
            <v>EXPI9301CTBLK</v>
          </cell>
          <cell r="E575" t="str">
            <v>F3C329491CRE46981008</v>
          </cell>
        </row>
        <row r="576">
          <cell r="D576" t="str">
            <v>EXPI9301CTBLK</v>
          </cell>
          <cell r="E576" t="str">
            <v>F3C32C491CRE46981008</v>
          </cell>
        </row>
        <row r="577">
          <cell r="D577" t="str">
            <v>EXPI9301CTBLK</v>
          </cell>
          <cell r="E577" t="str">
            <v>F3C32D491CRE46981008</v>
          </cell>
        </row>
        <row r="578">
          <cell r="D578" t="str">
            <v>EXPI9301CTBLK</v>
          </cell>
          <cell r="E578" t="str">
            <v>F3C32F491CRE46981008</v>
          </cell>
        </row>
        <row r="579">
          <cell r="D579" t="str">
            <v>EXPI9301CTBLK</v>
          </cell>
          <cell r="E579" t="str">
            <v>F3C3C3491CRE46981008</v>
          </cell>
        </row>
        <row r="580">
          <cell r="D580" t="str">
            <v>EXPI9301CTBLK</v>
          </cell>
          <cell r="E580" t="str">
            <v>F3CA2C491CRE46981008</v>
          </cell>
        </row>
        <row r="581">
          <cell r="D581" t="str">
            <v>EXPI9301CTBLK</v>
          </cell>
          <cell r="E581" t="str">
            <v>F3CD67491CRE46981008</v>
          </cell>
        </row>
        <row r="582">
          <cell r="D582" t="str">
            <v>EXPI9301CTBLK</v>
          </cell>
          <cell r="E582" t="str">
            <v>F3C503491CRE46981008</v>
          </cell>
        </row>
        <row r="583">
          <cell r="D583" t="str">
            <v>EXPI9301CTBLK</v>
          </cell>
          <cell r="E583" t="str">
            <v>F3C506491CRE46981008</v>
          </cell>
        </row>
        <row r="584">
          <cell r="D584" t="str">
            <v>EXPI9301CTBLK</v>
          </cell>
          <cell r="E584" t="str">
            <v>F3C913491CRE46981008</v>
          </cell>
        </row>
        <row r="585">
          <cell r="D585" t="str">
            <v>EXPI9301CTBLK</v>
          </cell>
          <cell r="E585" t="str">
            <v>F3C975491CRE46981008</v>
          </cell>
        </row>
        <row r="586">
          <cell r="D586" t="str">
            <v>EXPI9301CTBLK</v>
          </cell>
          <cell r="E586" t="str">
            <v>F3C978491CRE46981008</v>
          </cell>
        </row>
        <row r="587">
          <cell r="D587" t="str">
            <v>EXPI9301CTBLK</v>
          </cell>
          <cell r="E587" t="str">
            <v>F3C9DC491CRE46981008</v>
          </cell>
        </row>
        <row r="588">
          <cell r="D588" t="str">
            <v>EXPI9301CTBLK</v>
          </cell>
          <cell r="E588" t="str">
            <v>F3C9E3491CRE46981008</v>
          </cell>
        </row>
        <row r="589">
          <cell r="D589" t="str">
            <v>EXPI9301CTBLK</v>
          </cell>
          <cell r="E589" t="str">
            <v>F3C9E9491CRE46981008</v>
          </cell>
        </row>
        <row r="590">
          <cell r="D590" t="str">
            <v>EXPI9301CTBLK</v>
          </cell>
          <cell r="E590" t="str">
            <v>F3C9EA491CRE46981008</v>
          </cell>
        </row>
        <row r="591">
          <cell r="D591" t="str">
            <v>EXPI9301CTBLK</v>
          </cell>
          <cell r="E591" t="str">
            <v>F3C9EC491CRE46981008</v>
          </cell>
        </row>
        <row r="592">
          <cell r="D592" t="str">
            <v>EXPI9301CTBLK</v>
          </cell>
          <cell r="E592" t="str">
            <v>F3C9EE491CRE46981008</v>
          </cell>
        </row>
        <row r="593">
          <cell r="D593" t="str">
            <v>EXPI9301CTBLK</v>
          </cell>
          <cell r="E593" t="str">
            <v>F3C9F6491CRE46981008</v>
          </cell>
        </row>
        <row r="594">
          <cell r="D594" t="str">
            <v>EXPI9301CTBLK</v>
          </cell>
          <cell r="E594" t="str">
            <v>F3C9F8491CRE46981008</v>
          </cell>
        </row>
        <row r="595">
          <cell r="D595" t="str">
            <v>EXPI9301CTBLK</v>
          </cell>
          <cell r="E595" t="str">
            <v>F3C9F9491CRE46981008</v>
          </cell>
        </row>
        <row r="596">
          <cell r="D596" t="str">
            <v>EXPI9301CTBLK</v>
          </cell>
          <cell r="E596" t="str">
            <v>F3C9FA491CRE46981008</v>
          </cell>
        </row>
        <row r="597">
          <cell r="D597" t="str">
            <v>EXPI9301CTBLK</v>
          </cell>
          <cell r="E597" t="str">
            <v>F3C9FC491CRE46981008</v>
          </cell>
        </row>
        <row r="598">
          <cell r="D598" t="str">
            <v>EXPI9301CTBLK</v>
          </cell>
          <cell r="E598" t="str">
            <v>F3C9FE491CRE46981008</v>
          </cell>
        </row>
        <row r="599">
          <cell r="D599" t="str">
            <v>EXPI9301CTBLK</v>
          </cell>
          <cell r="E599" t="str">
            <v>F3CA03491CRE46981008</v>
          </cell>
        </row>
        <row r="600">
          <cell r="D600" t="str">
            <v>EXPI9301CTBLK</v>
          </cell>
          <cell r="E600" t="str">
            <v>F3CA04491CRE46981008</v>
          </cell>
        </row>
        <row r="601">
          <cell r="D601" t="str">
            <v>EXPI9301CTBLK</v>
          </cell>
          <cell r="E601" t="str">
            <v>F3CD20491CRE46981008</v>
          </cell>
        </row>
        <row r="602">
          <cell r="D602" t="str">
            <v>EXPI9301CTBLK</v>
          </cell>
          <cell r="E602" t="str">
            <v>F3C297491CRE46981008</v>
          </cell>
        </row>
        <row r="603">
          <cell r="D603" t="str">
            <v>EXPI9301CTBLK</v>
          </cell>
          <cell r="E603" t="str">
            <v>F3C298491CRE46981008</v>
          </cell>
        </row>
        <row r="604">
          <cell r="D604" t="str">
            <v>EXPI9301CTBLK</v>
          </cell>
          <cell r="E604" t="str">
            <v>F3C299491CRE46981008</v>
          </cell>
        </row>
        <row r="605">
          <cell r="D605" t="str">
            <v>EXPI9301CTBLK</v>
          </cell>
          <cell r="E605" t="str">
            <v>F3C2A3491CRE46981008</v>
          </cell>
        </row>
        <row r="606">
          <cell r="D606" t="str">
            <v>EXPI9301CTBLK</v>
          </cell>
          <cell r="E606" t="str">
            <v>F3C2A4491CRE46981008</v>
          </cell>
        </row>
        <row r="607">
          <cell r="D607" t="str">
            <v>EXPI9301CTBLK</v>
          </cell>
          <cell r="E607" t="str">
            <v>F3C2A5491CRE46981008</v>
          </cell>
        </row>
        <row r="608">
          <cell r="D608" t="str">
            <v>EXPI9301CTBLK</v>
          </cell>
          <cell r="E608" t="str">
            <v>F3C2A6491CRE46981008</v>
          </cell>
        </row>
        <row r="609">
          <cell r="D609" t="str">
            <v>EXPI9301CTBLK</v>
          </cell>
          <cell r="E609" t="str">
            <v>F3C2A7491CRE46981008</v>
          </cell>
        </row>
        <row r="610">
          <cell r="D610" t="str">
            <v>EXPI9301CTBLK</v>
          </cell>
          <cell r="E610" t="str">
            <v>F3C2A8491CRE46981008</v>
          </cell>
        </row>
        <row r="611">
          <cell r="D611" t="str">
            <v>EXPI9301CTBLK</v>
          </cell>
          <cell r="E611" t="str">
            <v>F3C2AA491CRE46981008</v>
          </cell>
        </row>
        <row r="612">
          <cell r="D612" t="str">
            <v>EXPI9301CTBLK</v>
          </cell>
          <cell r="E612" t="str">
            <v>F3C2AB491CRE46981008</v>
          </cell>
        </row>
        <row r="613">
          <cell r="D613" t="str">
            <v>EXPI9301CTBLK</v>
          </cell>
          <cell r="E613" t="str">
            <v>F3C2AE491CRE46981008</v>
          </cell>
        </row>
        <row r="614">
          <cell r="D614" t="str">
            <v>EXPI9301CTBLK</v>
          </cell>
          <cell r="E614" t="str">
            <v>F3C2B2491CRE46981008</v>
          </cell>
        </row>
        <row r="615">
          <cell r="D615" t="str">
            <v>EXPI9301CTBLK</v>
          </cell>
          <cell r="E615" t="str">
            <v>F3C2B4491CRE46981008</v>
          </cell>
        </row>
        <row r="616">
          <cell r="D616" t="str">
            <v>EXPI9301CTBLK</v>
          </cell>
          <cell r="E616" t="str">
            <v>F3C323491CRE46981008</v>
          </cell>
        </row>
        <row r="617">
          <cell r="D617" t="str">
            <v>EXPI9301CTBLK</v>
          </cell>
          <cell r="E617" t="str">
            <v>F3CD3B491CRE46981008</v>
          </cell>
        </row>
        <row r="618">
          <cell r="D618" t="str">
            <v>EXPI9301CTBLK</v>
          </cell>
          <cell r="E618" t="str">
            <v>F3CD3F491CRE46981008</v>
          </cell>
        </row>
        <row r="619">
          <cell r="D619" t="str">
            <v>EXPI9301CTBLK</v>
          </cell>
          <cell r="E619" t="str">
            <v>F3CD40491CRE46981008</v>
          </cell>
        </row>
        <row r="620">
          <cell r="D620" t="str">
            <v>EXPI9301CTBLK</v>
          </cell>
          <cell r="E620" t="str">
            <v>F3CD5F491CRE46981008</v>
          </cell>
        </row>
        <row r="621">
          <cell r="D621" t="str">
            <v>EXPI9301CTBLK</v>
          </cell>
          <cell r="E621" t="str">
            <v>F3CDB1491CRE46981008</v>
          </cell>
        </row>
        <row r="622">
          <cell r="D622" t="str">
            <v>EXPI9301CTBLK</v>
          </cell>
          <cell r="E622" t="str">
            <v>F3C828491CRE46981008</v>
          </cell>
        </row>
        <row r="623">
          <cell r="D623" t="str">
            <v>EXPI9301CTBLK</v>
          </cell>
          <cell r="E623" t="str">
            <v>F3C829491CRE46981008</v>
          </cell>
        </row>
        <row r="624">
          <cell r="D624" t="str">
            <v>EXPI9301CTBLK</v>
          </cell>
          <cell r="E624" t="str">
            <v>F3C82C491CRE46981008</v>
          </cell>
        </row>
        <row r="625">
          <cell r="D625" t="str">
            <v>EXPI9301CTBLK</v>
          </cell>
          <cell r="E625" t="str">
            <v>F3C830491CRE46981008</v>
          </cell>
        </row>
        <row r="626">
          <cell r="D626" t="str">
            <v>EXPI9301CTBLK</v>
          </cell>
          <cell r="E626" t="str">
            <v>F3C835491CRE46981008</v>
          </cell>
        </row>
        <row r="627">
          <cell r="D627" t="str">
            <v>EXPI9301CTBLK</v>
          </cell>
          <cell r="E627" t="str">
            <v>F3C837491CRE46981008</v>
          </cell>
        </row>
        <row r="628">
          <cell r="D628" t="str">
            <v>EXPI9301CTBLK</v>
          </cell>
          <cell r="E628" t="str">
            <v>F3C84D491CRE46981008</v>
          </cell>
        </row>
        <row r="629">
          <cell r="D629" t="str">
            <v>EXPI9301CTBLK</v>
          </cell>
          <cell r="E629" t="str">
            <v>F3C863491CRE46981008</v>
          </cell>
        </row>
        <row r="630">
          <cell r="D630" t="str">
            <v>EXPI9301CTBLK</v>
          </cell>
          <cell r="E630" t="str">
            <v>F3C866491CRE46981008</v>
          </cell>
        </row>
        <row r="631">
          <cell r="D631" t="str">
            <v>EXPI9301CTBLK</v>
          </cell>
          <cell r="E631" t="str">
            <v>F3C86B491CRE46981008</v>
          </cell>
        </row>
        <row r="632">
          <cell r="D632" t="str">
            <v>EXPI9301CTBLK</v>
          </cell>
          <cell r="E632" t="str">
            <v>F3C86F491CRE46981008</v>
          </cell>
        </row>
        <row r="633">
          <cell r="D633" t="str">
            <v>EXPI9301CTBLK</v>
          </cell>
          <cell r="E633" t="str">
            <v>F3C871491CRE46981008</v>
          </cell>
        </row>
        <row r="634">
          <cell r="D634" t="str">
            <v>EXPI9301CTBLK</v>
          </cell>
          <cell r="E634" t="str">
            <v>F3C873491CRE46981008</v>
          </cell>
        </row>
        <row r="635">
          <cell r="D635" t="str">
            <v>EXPI9301CTBLK</v>
          </cell>
          <cell r="E635" t="str">
            <v>F3C874491CRE46981008</v>
          </cell>
        </row>
        <row r="636">
          <cell r="D636" t="str">
            <v>EXPI9301CTBLK</v>
          </cell>
          <cell r="E636" t="str">
            <v>F3C875491CRE46981008</v>
          </cell>
        </row>
        <row r="637">
          <cell r="D637" t="str">
            <v>EXPI9301CTBLK</v>
          </cell>
          <cell r="E637" t="str">
            <v>F3C876491CRE46981008</v>
          </cell>
        </row>
        <row r="638">
          <cell r="D638" t="str">
            <v>EXPI9301CTBLK</v>
          </cell>
          <cell r="E638" t="str">
            <v>F3C877491CRE46981008</v>
          </cell>
        </row>
        <row r="639">
          <cell r="D639" t="str">
            <v>EXPI9301CTBLK</v>
          </cell>
          <cell r="E639" t="str">
            <v>F3C878491CRE46981008</v>
          </cell>
        </row>
        <row r="640">
          <cell r="D640" t="str">
            <v>EXPI9301CTBLK</v>
          </cell>
          <cell r="E640" t="str">
            <v>F3C879491CRE46981008</v>
          </cell>
        </row>
        <row r="641">
          <cell r="D641" t="str">
            <v>EXPI9301CTBLK</v>
          </cell>
          <cell r="E641" t="str">
            <v>F3C8D7491CRE46981008</v>
          </cell>
        </row>
        <row r="642">
          <cell r="D642" t="str">
            <v>EXPI9301CTBLK</v>
          </cell>
          <cell r="E642" t="str">
            <v>F3BD6B491CRE46981008</v>
          </cell>
        </row>
        <row r="643">
          <cell r="D643" t="str">
            <v>EXPI9301CTBLK</v>
          </cell>
          <cell r="E643" t="str">
            <v>F3C404491CRE46981008</v>
          </cell>
        </row>
        <row r="644">
          <cell r="D644" t="str">
            <v>EXPI9301CTBLK</v>
          </cell>
          <cell r="E644" t="str">
            <v>F3C406491CRE46981008</v>
          </cell>
        </row>
        <row r="645">
          <cell r="D645" t="str">
            <v>EXPI9301CTBLK</v>
          </cell>
          <cell r="E645" t="str">
            <v>F3C40E491CRE46981008</v>
          </cell>
        </row>
        <row r="646">
          <cell r="D646" t="str">
            <v>EXPI9301CTBLK</v>
          </cell>
          <cell r="E646" t="str">
            <v>F3C519491CRE46981008</v>
          </cell>
        </row>
        <row r="647">
          <cell r="D647" t="str">
            <v>EXPI9301CTBLK</v>
          </cell>
          <cell r="E647" t="str">
            <v>F3C9F5491CRE46981008</v>
          </cell>
        </row>
        <row r="648">
          <cell r="D648" t="str">
            <v>EXPI9301CTBLK</v>
          </cell>
          <cell r="E648" t="str">
            <v>F3CA20491CRE46981008</v>
          </cell>
        </row>
        <row r="649">
          <cell r="D649" t="str">
            <v>EXPI9301CTBLK</v>
          </cell>
          <cell r="E649" t="str">
            <v>F3CA21491CRE46981008</v>
          </cell>
        </row>
        <row r="650">
          <cell r="D650" t="str">
            <v>EXPI9301CTBLK</v>
          </cell>
          <cell r="E650" t="str">
            <v>F3CA6C491CRE46981008</v>
          </cell>
        </row>
        <row r="651">
          <cell r="D651" t="str">
            <v>EXPI9301CTBLK</v>
          </cell>
          <cell r="E651" t="str">
            <v>F3CA6E491CRE46981008</v>
          </cell>
        </row>
        <row r="652">
          <cell r="D652" t="str">
            <v>EXPI9301CTBLK</v>
          </cell>
          <cell r="E652" t="str">
            <v>F3CA72491CRE46981008</v>
          </cell>
        </row>
        <row r="653">
          <cell r="D653" t="str">
            <v>EXPI9301CTBLK</v>
          </cell>
          <cell r="E653" t="str">
            <v>F3CA78491CRE46981008</v>
          </cell>
        </row>
        <row r="654">
          <cell r="D654" t="str">
            <v>EXPI9301CTBLK</v>
          </cell>
          <cell r="E654" t="str">
            <v>F3CA7D491CRE46981008</v>
          </cell>
        </row>
        <row r="655">
          <cell r="D655" t="str">
            <v>EXPI9301CTBLK</v>
          </cell>
          <cell r="E655" t="str">
            <v>F3CA83491CRE46981008</v>
          </cell>
        </row>
        <row r="656">
          <cell r="D656" t="str">
            <v>EXPI9301CTBLK</v>
          </cell>
          <cell r="E656" t="str">
            <v>F3CB99491CRE46981008</v>
          </cell>
        </row>
        <row r="657">
          <cell r="D657" t="str">
            <v>EXPI9301CTBLK</v>
          </cell>
          <cell r="E657" t="str">
            <v>F3CC54491CRE46981008</v>
          </cell>
        </row>
        <row r="658">
          <cell r="D658" t="str">
            <v>EXPI9301CTBLK</v>
          </cell>
          <cell r="E658" t="str">
            <v>F3CC5A491CRE46981008</v>
          </cell>
        </row>
        <row r="659">
          <cell r="D659" t="str">
            <v>EXPI9301CTBLK</v>
          </cell>
          <cell r="E659" t="str">
            <v>F3CC5D491CRE46981008</v>
          </cell>
        </row>
        <row r="660">
          <cell r="D660" t="str">
            <v>EXPI9301CTBLK</v>
          </cell>
          <cell r="E660" t="str">
            <v>F3CC88491CRE46981008</v>
          </cell>
        </row>
        <row r="661">
          <cell r="D661" t="str">
            <v>EXPI9301CTBLK</v>
          </cell>
          <cell r="E661" t="str">
            <v>F3CC8D491CRE46981008</v>
          </cell>
        </row>
        <row r="662">
          <cell r="D662" t="str">
            <v>EXPI9301CTBLK</v>
          </cell>
          <cell r="E662" t="str">
            <v>F3C26E491CRE46981008</v>
          </cell>
        </row>
        <row r="663">
          <cell r="D663" t="str">
            <v>EXPI9301CTBLK</v>
          </cell>
          <cell r="E663" t="str">
            <v>F3C2D7491CRE46981008</v>
          </cell>
        </row>
        <row r="664">
          <cell r="D664" t="str">
            <v>EXPI9301CTBLK</v>
          </cell>
          <cell r="E664" t="str">
            <v>F3C314491CRE46981008</v>
          </cell>
        </row>
        <row r="665">
          <cell r="D665" t="str">
            <v>EXPI9301CTBLK</v>
          </cell>
          <cell r="E665" t="str">
            <v>F3C32E491CRE46981008</v>
          </cell>
        </row>
        <row r="666">
          <cell r="D666" t="str">
            <v>EXPI9301CTBLK</v>
          </cell>
          <cell r="E666" t="str">
            <v>F3C330491CRE46981008</v>
          </cell>
        </row>
        <row r="667">
          <cell r="D667" t="str">
            <v>EXPI9301CTBLK</v>
          </cell>
          <cell r="E667" t="str">
            <v>F3C331491CRE46981008</v>
          </cell>
        </row>
        <row r="668">
          <cell r="D668" t="str">
            <v>EXPI9301CTBLK</v>
          </cell>
          <cell r="E668" t="str">
            <v>F3C332491CRE46981008</v>
          </cell>
        </row>
        <row r="669">
          <cell r="D669" t="str">
            <v>EXPI9301CTBLK</v>
          </cell>
          <cell r="E669" t="str">
            <v>F3C333491CRE46981008</v>
          </cell>
        </row>
        <row r="670">
          <cell r="D670" t="str">
            <v>EXPI9301CTBLK</v>
          </cell>
          <cell r="E670" t="str">
            <v>F3C334491CRE46981008</v>
          </cell>
        </row>
        <row r="671">
          <cell r="D671" t="str">
            <v>EXPI9301CTBLK</v>
          </cell>
          <cell r="E671" t="str">
            <v>F3C335491CRE46981008</v>
          </cell>
        </row>
        <row r="672">
          <cell r="D672" t="str">
            <v>EXPI9301CTBLK</v>
          </cell>
          <cell r="E672" t="str">
            <v>F3C336491CRE46981008</v>
          </cell>
        </row>
        <row r="673">
          <cell r="D673" t="str">
            <v>EXPI9301CTBLK</v>
          </cell>
          <cell r="E673" t="str">
            <v>F3C338491CRE46981008</v>
          </cell>
        </row>
        <row r="674">
          <cell r="D674" t="str">
            <v>EXPI9301CTBLK</v>
          </cell>
          <cell r="E674" t="str">
            <v>F3C33B491CRE46981008</v>
          </cell>
        </row>
        <row r="675">
          <cell r="D675" t="str">
            <v>EXPI9301CTBLK</v>
          </cell>
          <cell r="E675" t="str">
            <v>F3C373491CRE46981008</v>
          </cell>
        </row>
        <row r="676">
          <cell r="D676" t="str">
            <v>EXPI9301CTBLK</v>
          </cell>
          <cell r="E676" t="str">
            <v>F3C374491CRE46981008</v>
          </cell>
        </row>
        <row r="677">
          <cell r="D677" t="str">
            <v>EXPI9301CTBLK</v>
          </cell>
          <cell r="E677" t="str">
            <v>F3C375491CRE46981008</v>
          </cell>
        </row>
        <row r="678">
          <cell r="D678" t="str">
            <v>EXPI9301CTBLK</v>
          </cell>
          <cell r="E678" t="str">
            <v>F3C378491CRE46981008</v>
          </cell>
        </row>
        <row r="679">
          <cell r="D679" t="str">
            <v>EXPI9301CTBLK</v>
          </cell>
          <cell r="E679" t="str">
            <v>F3C3A2491CRE46981008</v>
          </cell>
        </row>
        <row r="680">
          <cell r="D680" t="str">
            <v>EXPI9301CTBLK</v>
          </cell>
          <cell r="E680" t="str">
            <v>F3C3A7491CRE46981008</v>
          </cell>
        </row>
        <row r="681">
          <cell r="D681" t="str">
            <v>EXPI9301CTBLK</v>
          </cell>
          <cell r="E681" t="str">
            <v>F3C3AA491CRE46981008</v>
          </cell>
        </row>
        <row r="682">
          <cell r="D682" t="str">
            <v>EXPI9301CTBLK</v>
          </cell>
          <cell r="E682" t="str">
            <v>F3C281491CRE46981008</v>
          </cell>
        </row>
        <row r="683">
          <cell r="D683" t="str">
            <v>EXPI9301CTBLK</v>
          </cell>
          <cell r="E683" t="str">
            <v>F3C33C491CRE46981008</v>
          </cell>
        </row>
        <row r="684">
          <cell r="D684" t="str">
            <v>EXPI9301CTBLK</v>
          </cell>
          <cell r="E684" t="str">
            <v>F3C345491CRE46981008</v>
          </cell>
        </row>
        <row r="685">
          <cell r="D685" t="str">
            <v>EXPI9301CTBLK</v>
          </cell>
          <cell r="E685" t="str">
            <v>F3C349491CRE46981008</v>
          </cell>
        </row>
        <row r="686">
          <cell r="D686" t="str">
            <v>EXPI9301CTBLK</v>
          </cell>
          <cell r="E686" t="str">
            <v>F3C36D491CRE46981008</v>
          </cell>
        </row>
        <row r="687">
          <cell r="D687" t="str">
            <v>EXPI9301CTBLK</v>
          </cell>
          <cell r="E687" t="str">
            <v>F3C371491CRE46981008</v>
          </cell>
        </row>
        <row r="688">
          <cell r="D688" t="str">
            <v>EXPI9301CTBLK</v>
          </cell>
          <cell r="E688" t="str">
            <v>F3C37B491CRE46981008</v>
          </cell>
        </row>
        <row r="689">
          <cell r="D689" t="str">
            <v>EXPI9301CTBLK</v>
          </cell>
          <cell r="E689" t="str">
            <v>F3C37F491CRE46981008</v>
          </cell>
        </row>
        <row r="690">
          <cell r="D690" t="str">
            <v>EXPI9301CTBLK</v>
          </cell>
          <cell r="E690" t="str">
            <v>F3C384491CRE46981008</v>
          </cell>
        </row>
        <row r="691">
          <cell r="D691" t="str">
            <v>EXPI9301CTBLK</v>
          </cell>
          <cell r="E691" t="str">
            <v>F3C398491CRE46981008</v>
          </cell>
        </row>
        <row r="692">
          <cell r="D692" t="str">
            <v>EXPI9301CTBLK</v>
          </cell>
          <cell r="E692" t="str">
            <v>F3C53A491CRE46981008</v>
          </cell>
        </row>
        <row r="693">
          <cell r="D693" t="str">
            <v>EXPI9301CTBLK</v>
          </cell>
          <cell r="E693" t="str">
            <v>F3C972491CRE46981008</v>
          </cell>
        </row>
        <row r="694">
          <cell r="D694" t="str">
            <v>EXPI9301CTBLK</v>
          </cell>
          <cell r="E694" t="str">
            <v>F3CA0D491CRE46981008</v>
          </cell>
        </row>
        <row r="695">
          <cell r="D695" t="str">
            <v>EXPI9301CTBLK</v>
          </cell>
          <cell r="E695" t="str">
            <v>F3CA10491CRE46981008</v>
          </cell>
        </row>
        <row r="696">
          <cell r="D696" t="str">
            <v>EXPI9301CTBLK</v>
          </cell>
          <cell r="E696" t="str">
            <v>F3CA55491CRE46981008</v>
          </cell>
        </row>
        <row r="697">
          <cell r="D697" t="str">
            <v>EXPI9301CTBLK</v>
          </cell>
          <cell r="E697" t="str">
            <v>F3CA5A491CRE46981008</v>
          </cell>
        </row>
        <row r="698">
          <cell r="D698" t="str">
            <v>EXPI9301CTBLK</v>
          </cell>
          <cell r="E698" t="str">
            <v>F3CA5D491CRE46981008</v>
          </cell>
        </row>
        <row r="699">
          <cell r="D699" t="str">
            <v>EXPI9301CTBLK</v>
          </cell>
          <cell r="E699" t="str">
            <v>F3CA60491CRE46981008</v>
          </cell>
        </row>
        <row r="700">
          <cell r="D700" t="str">
            <v>EXPI9301CTBLK</v>
          </cell>
          <cell r="E700" t="str">
            <v>F3CA6A491CRE46981008</v>
          </cell>
        </row>
        <row r="701">
          <cell r="D701" t="str">
            <v>EXPI9301CTBLK</v>
          </cell>
          <cell r="E701" t="str">
            <v>F3CA75491CRE46981008</v>
          </cell>
        </row>
        <row r="702">
          <cell r="D702" t="str">
            <v>EXPI9301CTBLK</v>
          </cell>
          <cell r="E702" t="str">
            <v>F3C1DD491CRE46981008</v>
          </cell>
        </row>
        <row r="703">
          <cell r="D703" t="str">
            <v>EXPI9301CTBLK</v>
          </cell>
          <cell r="E703" t="str">
            <v>F3C268491CRE46981008</v>
          </cell>
        </row>
        <row r="704">
          <cell r="D704" t="str">
            <v>EXPI9301CTBLK</v>
          </cell>
          <cell r="E704" t="str">
            <v>F3C303491CRE46981008</v>
          </cell>
        </row>
        <row r="705">
          <cell r="D705" t="str">
            <v>EXPI9301CTBLK</v>
          </cell>
          <cell r="E705" t="str">
            <v>F3C30B491CRE46981008</v>
          </cell>
        </row>
        <row r="706">
          <cell r="D706" t="str">
            <v>EXPI9301CTBLK</v>
          </cell>
          <cell r="E706" t="str">
            <v>F3C318491CRE46981008</v>
          </cell>
        </row>
        <row r="707">
          <cell r="D707" t="str">
            <v>EXPI9301CTBLK</v>
          </cell>
          <cell r="E707" t="str">
            <v>F3C31A491CRE46981008</v>
          </cell>
        </row>
        <row r="708">
          <cell r="D708" t="str">
            <v>EXPI9301CTBLK</v>
          </cell>
          <cell r="E708" t="str">
            <v>F3C33A491CRE46981008</v>
          </cell>
        </row>
        <row r="709">
          <cell r="D709" t="str">
            <v>EXPI9301CTBLK</v>
          </cell>
          <cell r="E709" t="str">
            <v>F3C39F491CRE46981008</v>
          </cell>
        </row>
        <row r="710">
          <cell r="D710" t="str">
            <v>EXPI9301CTBLK</v>
          </cell>
          <cell r="E710" t="str">
            <v>F3C3A0491CRE46981008</v>
          </cell>
        </row>
        <row r="711">
          <cell r="D711" t="str">
            <v>EXPI9301CTBLK</v>
          </cell>
          <cell r="E711" t="str">
            <v>F3C3AE491CRE46981008</v>
          </cell>
        </row>
        <row r="712">
          <cell r="D712" t="str">
            <v>EXPI9301CTBLK</v>
          </cell>
          <cell r="E712" t="str">
            <v>F3C3B9491CRE46981008</v>
          </cell>
        </row>
        <row r="713">
          <cell r="D713" t="str">
            <v>EXPI9301CTBLK</v>
          </cell>
          <cell r="E713" t="str">
            <v>F3C3BA491CRE46981008</v>
          </cell>
        </row>
        <row r="714">
          <cell r="D714" t="str">
            <v>EXPI9301CTBLK</v>
          </cell>
          <cell r="E714" t="str">
            <v>F3C3BB491CRE46981008</v>
          </cell>
        </row>
        <row r="715">
          <cell r="D715" t="str">
            <v>EXPI9301CTBLK</v>
          </cell>
          <cell r="E715" t="str">
            <v>F3C3BC491CRE46981008</v>
          </cell>
        </row>
        <row r="716">
          <cell r="D716" t="str">
            <v>EXPI9301CTBLK</v>
          </cell>
          <cell r="E716" t="str">
            <v>F3C3BD491CRE46981008</v>
          </cell>
        </row>
        <row r="717">
          <cell r="D717" t="str">
            <v>EXPI9301CTBLK</v>
          </cell>
          <cell r="E717" t="str">
            <v>F3C3BF491CRE46981008</v>
          </cell>
        </row>
        <row r="718">
          <cell r="D718" t="str">
            <v>EXPI9301CTBLK</v>
          </cell>
          <cell r="E718" t="str">
            <v>F3C3C4491CRE46981008</v>
          </cell>
        </row>
        <row r="719">
          <cell r="D719" t="str">
            <v>EXPI9301CTBLK</v>
          </cell>
          <cell r="E719" t="str">
            <v>F3C3C9491CRE46981008</v>
          </cell>
        </row>
        <row r="720">
          <cell r="D720" t="str">
            <v>EXPI9301CTBLK</v>
          </cell>
          <cell r="E720" t="str">
            <v>F3C3CB491CRE46981008</v>
          </cell>
        </row>
        <row r="721">
          <cell r="D721" t="str">
            <v>EXPI9301CTBLK</v>
          </cell>
          <cell r="E721" t="str">
            <v>F3CD9C491CRE46981008</v>
          </cell>
        </row>
        <row r="722">
          <cell r="D722" t="str">
            <v>BCM957412A4120AC</v>
          </cell>
          <cell r="E722" t="str">
            <v>A41202141000HRFV</v>
          </cell>
          <cell r="K722" t="str">
            <v>19.01.2022 WYSłANE DO ATMAN NA TESTY</v>
          </cell>
        </row>
        <row r="723">
          <cell r="D723" t="str">
            <v>BCM957412A4120AC</v>
          </cell>
          <cell r="E723" t="str">
            <v>A41202141000EBFV</v>
          </cell>
          <cell r="K723" t="str">
            <v>19.01.2022 WYSłANE DO ATMAN NA TESTY</v>
          </cell>
        </row>
        <row r="724">
          <cell r="D724" t="str">
            <v>MZ7KH960HAJR-00005</v>
          </cell>
          <cell r="E724" t="str">
            <v>S47NNA0RA17534</v>
          </cell>
          <cell r="K724" t="str">
            <v>a318056x2405920</v>
          </cell>
        </row>
        <row r="725">
          <cell r="D725" t="str">
            <v>MZ7KH960HAJR-00005</v>
          </cell>
          <cell r="E725" t="str">
            <v>S47NNA0RA17535</v>
          </cell>
          <cell r="K725" t="str">
            <v>a318056x2405920</v>
          </cell>
        </row>
        <row r="726">
          <cell r="D726" t="str">
            <v>MZ7KH960HAJR-00005</v>
          </cell>
          <cell r="E726" t="str">
            <v>S47NNA0RA17530</v>
          </cell>
          <cell r="K726" t="str">
            <v>a318056x2405920</v>
          </cell>
        </row>
        <row r="727">
          <cell r="D727" t="str">
            <v>MZ7KH960HAJR-00005</v>
          </cell>
          <cell r="E727" t="str">
            <v>S47NNA0RA17533</v>
          </cell>
          <cell r="K727" t="str">
            <v>a318056x2405920</v>
          </cell>
        </row>
        <row r="728">
          <cell r="D728" t="str">
            <v>MZ7KH960HAJR-00005</v>
          </cell>
          <cell r="E728" t="str">
            <v>S47NNA0RA17538</v>
          </cell>
          <cell r="K728" t="str">
            <v>a318056x2405920</v>
          </cell>
        </row>
        <row r="729">
          <cell r="D729" t="str">
            <v>MZ7KH960HAJR-00005</v>
          </cell>
          <cell r="E729" t="str">
            <v>S47NNA0RA17537</v>
          </cell>
          <cell r="K729" t="str">
            <v>a318056x2405920</v>
          </cell>
        </row>
        <row r="730">
          <cell r="D730" t="str">
            <v>MZ7KH960HAJR-00005</v>
          </cell>
          <cell r="E730" t="str">
            <v>S47NNA0RA17540</v>
          </cell>
          <cell r="K730" t="str">
            <v>a318056x2405920</v>
          </cell>
        </row>
        <row r="731">
          <cell r="D731" t="str">
            <v>MZ7KH960HAJR-00005</v>
          </cell>
          <cell r="E731" t="str">
            <v>S47NNA0RA17541</v>
          </cell>
          <cell r="K731" t="str">
            <v>a318056x2405920</v>
          </cell>
        </row>
        <row r="732">
          <cell r="D732" t="str">
            <v>MZ7KH960HAJR-00005</v>
          </cell>
          <cell r="E732" t="str">
            <v>S47NNA0RA17543</v>
          </cell>
          <cell r="K732" t="str">
            <v>a318056x2405920</v>
          </cell>
        </row>
        <row r="733">
          <cell r="D733" t="str">
            <v>MZ7KH960HAJR-00005</v>
          </cell>
          <cell r="E733" t="str">
            <v>S47NNA0RA17551</v>
          </cell>
          <cell r="K733" t="str">
            <v>a318056x2405920</v>
          </cell>
        </row>
        <row r="734">
          <cell r="D734" t="str">
            <v>MZ7KH960HAJR-00005</v>
          </cell>
          <cell r="E734" t="str">
            <v>S47NNA0RA17548</v>
          </cell>
          <cell r="K734" t="str">
            <v>a318056x2405920</v>
          </cell>
        </row>
        <row r="735">
          <cell r="D735" t="str">
            <v>MZ7KH960HAJR-00005</v>
          </cell>
          <cell r="E735" t="str">
            <v>S47NNA0RA17544</v>
          </cell>
          <cell r="K735" t="str">
            <v>a318056x2405920</v>
          </cell>
        </row>
        <row r="736">
          <cell r="D736" t="str">
            <v>0TS2046</v>
          </cell>
          <cell r="E736" t="str">
            <v>A07201BB</v>
          </cell>
        </row>
        <row r="737">
          <cell r="D737" t="str">
            <v>0TS2046</v>
          </cell>
          <cell r="E737" t="str">
            <v>A0720199</v>
          </cell>
        </row>
        <row r="738">
          <cell r="D738" t="str">
            <v>0TS2046</v>
          </cell>
          <cell r="E738" t="str">
            <v>A072018A</v>
          </cell>
        </row>
        <row r="739">
          <cell r="D739" t="str">
            <v>0TS2046</v>
          </cell>
          <cell r="E739" t="str">
            <v>A07201AE</v>
          </cell>
        </row>
        <row r="740">
          <cell r="D740" t="str">
            <v>0TS1877</v>
          </cell>
          <cell r="E740" t="str">
            <v>A0720463</v>
          </cell>
        </row>
        <row r="741">
          <cell r="D741" t="str">
            <v>0TS1877</v>
          </cell>
          <cell r="E741" t="str">
            <v>A0720459</v>
          </cell>
        </row>
        <row r="742">
          <cell r="D742" t="str">
            <v>0TS1877</v>
          </cell>
          <cell r="E742" t="str">
            <v>A072045F</v>
          </cell>
        </row>
        <row r="743">
          <cell r="D743" t="str">
            <v>0TS1877</v>
          </cell>
          <cell r="E743" t="str">
            <v>A0720469</v>
          </cell>
        </row>
        <row r="744">
          <cell r="D744" t="str">
            <v>0TS1877</v>
          </cell>
          <cell r="E744" t="str">
            <v>A0720473</v>
          </cell>
        </row>
        <row r="745">
          <cell r="D745" t="str">
            <v>M393AAG40M32-CAE</v>
          </cell>
          <cell r="E745" t="str">
            <v>SNK678</v>
          </cell>
        </row>
        <row r="746">
          <cell r="D746" t="str">
            <v>M393AAG40M32-CAE</v>
          </cell>
          <cell r="E746" t="str">
            <v>SNK679</v>
          </cell>
        </row>
        <row r="747">
          <cell r="D747" t="str">
            <v>M393AAG40M32-CAE</v>
          </cell>
          <cell r="E747" t="str">
            <v>SNK680</v>
          </cell>
        </row>
        <row r="748">
          <cell r="D748" t="str">
            <v>M393AAG40M32-CAE</v>
          </cell>
          <cell r="E748" t="str">
            <v>SNK681</v>
          </cell>
        </row>
        <row r="749">
          <cell r="D749" t="str">
            <v>MZ7LH1T9HMLT-00005</v>
          </cell>
          <cell r="E749" t="str">
            <v>S455NC0RA70463</v>
          </cell>
        </row>
        <row r="750">
          <cell r="D750" t="str">
            <v>LSI00418  05-25444-00</v>
          </cell>
          <cell r="E750" t="str">
            <v>SKB2803032</v>
          </cell>
        </row>
        <row r="751">
          <cell r="D751" t="str">
            <v>LSI00418  05-25444-00</v>
          </cell>
          <cell r="E751" t="str">
            <v>SKB2802654</v>
          </cell>
        </row>
        <row r="752">
          <cell r="D752" t="str">
            <v>MZ7LH480HAHQ-00005</v>
          </cell>
          <cell r="E752" t="str">
            <v>S45PNC0RB22249</v>
          </cell>
        </row>
        <row r="753">
          <cell r="D753" t="str">
            <v>MZ7LH480HAHQ-00005</v>
          </cell>
          <cell r="E753" t="str">
            <v>S45PNC0RB22255</v>
          </cell>
        </row>
        <row r="754">
          <cell r="D754" t="str">
            <v>MZ7LH480HAHQ-00005</v>
          </cell>
          <cell r="E754" t="str">
            <v>S45PNC0RB22251</v>
          </cell>
        </row>
        <row r="755">
          <cell r="D755" t="str">
            <v>MZ7LH480HAHQ-00005</v>
          </cell>
          <cell r="E755" t="str">
            <v>S45PNC0RB22248</v>
          </cell>
        </row>
        <row r="756">
          <cell r="D756" t="str">
            <v>MZ7LH480HAHQ-00005</v>
          </cell>
          <cell r="E756" t="str">
            <v>S45PNC0RB22250</v>
          </cell>
        </row>
        <row r="757">
          <cell r="D757" t="str">
            <v>MZ7LH480HAHQ-00005</v>
          </cell>
          <cell r="E757" t="str">
            <v>S45PNC0RB22247</v>
          </cell>
        </row>
        <row r="758">
          <cell r="D758" t="str">
            <v>MZ7LH480HAHQ-00005</v>
          </cell>
          <cell r="E758" t="str">
            <v>S45PNC0RB22190</v>
          </cell>
        </row>
        <row r="759">
          <cell r="D759" t="str">
            <v>MZ7LH480HAHQ-00005</v>
          </cell>
          <cell r="E759" t="str">
            <v>S45PNC0RB22209</v>
          </cell>
        </row>
        <row r="760">
          <cell r="D760" t="str">
            <v>MZ7LH480HAHQ-00005</v>
          </cell>
          <cell r="E760" t="str">
            <v>S45PNC0RB22183</v>
          </cell>
        </row>
        <row r="761">
          <cell r="D761" t="str">
            <v>MZ7LH480HAHQ-00005</v>
          </cell>
          <cell r="E761" t="str">
            <v>S45PNC0RB22186</v>
          </cell>
        </row>
        <row r="762">
          <cell r="D762" t="str">
            <v>SSDSC2KG480GZ01</v>
          </cell>
          <cell r="E762" t="str">
            <v>BTYJ130503G2480AGN</v>
          </cell>
        </row>
        <row r="763">
          <cell r="D763" t="str">
            <v>SSDSC2KG480GZ01</v>
          </cell>
          <cell r="E763" t="str">
            <v>BTYJ130503JQ480AGN</v>
          </cell>
        </row>
        <row r="764">
          <cell r="D764" t="str">
            <v>MSN2410-CB2FC</v>
          </cell>
          <cell r="E764" t="str">
            <v>MT2128X08336</v>
          </cell>
        </row>
        <row r="765">
          <cell r="D765" t="str">
            <v>MSN2410-CB2FC</v>
          </cell>
          <cell r="E765" t="str">
            <v>MT2128X08334</v>
          </cell>
        </row>
        <row r="766">
          <cell r="D766" t="str">
            <v>CSE-826BAC4-R920WB</v>
          </cell>
          <cell r="E766" t="str">
            <v>C8260FK42P90049</v>
          </cell>
        </row>
        <row r="767">
          <cell r="D767" t="str">
            <v>CSE-826BAC4-R920WB</v>
          </cell>
          <cell r="E767" t="str">
            <v>C8260FK42P90050</v>
          </cell>
        </row>
        <row r="768">
          <cell r="D768" t="str">
            <v>CSE-826BAC4-R920WB</v>
          </cell>
          <cell r="E768" t="str">
            <v>C8260FJ10ND0156</v>
          </cell>
        </row>
        <row r="769">
          <cell r="D769" t="str">
            <v>PWS</v>
          </cell>
          <cell r="E769" t="str">
            <v>P9212CJ42ZB1042</v>
          </cell>
        </row>
        <row r="770">
          <cell r="D770" t="str">
            <v>PWS</v>
          </cell>
          <cell r="E770" t="str">
            <v>P9212CJ42ZB1043</v>
          </cell>
        </row>
        <row r="771">
          <cell r="D771" t="str">
            <v>BPN</v>
          </cell>
          <cell r="E771" t="str">
            <v>HB202S016381</v>
          </cell>
        </row>
        <row r="772">
          <cell r="D772" t="str">
            <v>CSE-826BAC4-R920WB</v>
          </cell>
          <cell r="E772" t="str">
            <v>C8260FJ10ND0155</v>
          </cell>
        </row>
        <row r="773">
          <cell r="D773" t="str">
            <v>PWS</v>
          </cell>
          <cell r="E773" t="str">
            <v>P9212CJ42ZB1041</v>
          </cell>
        </row>
        <row r="774">
          <cell r="D774" t="str">
            <v>PWS</v>
          </cell>
          <cell r="E774" t="str">
            <v>P9212CJ42ZB1044</v>
          </cell>
        </row>
        <row r="775">
          <cell r="D775" t="str">
            <v>BPN</v>
          </cell>
          <cell r="E775" t="str">
            <v>HB202S016380</v>
          </cell>
        </row>
        <row r="776">
          <cell r="D776" t="str">
            <v>SYS-5019D-4C-FN8TP</v>
          </cell>
          <cell r="E776" t="str">
            <v>E372768X1C04332</v>
          </cell>
        </row>
        <row r="777">
          <cell r="D777" t="str">
            <v>CSE</v>
          </cell>
          <cell r="E777" t="str">
            <v>C5050LK35NG0413</v>
          </cell>
        </row>
        <row r="778">
          <cell r="D778" t="str">
            <v>PWS</v>
          </cell>
          <cell r="E778" t="str">
            <v>P20310L32G32639</v>
          </cell>
        </row>
        <row r="779">
          <cell r="D779" t="str">
            <v>MBD</v>
          </cell>
          <cell r="E779" t="str">
            <v>WM21BS004402</v>
          </cell>
        </row>
        <row r="780">
          <cell r="D780" t="str">
            <v>RSC</v>
          </cell>
          <cell r="E780" t="str">
            <v>VR214S020211</v>
          </cell>
        </row>
        <row r="781">
          <cell r="D781" t="str">
            <v>MEM</v>
          </cell>
          <cell r="E781" t="str">
            <v>80AD01213844F6F182</v>
          </cell>
        </row>
        <row r="782">
          <cell r="D782" t="str">
            <v>MEM</v>
          </cell>
          <cell r="E782" t="str">
            <v>80AD01213844F6F193</v>
          </cell>
        </row>
        <row r="783">
          <cell r="D783" t="str">
            <v>HDS</v>
          </cell>
          <cell r="E783" t="str">
            <v>81PFB1ZNFQA1</v>
          </cell>
        </row>
        <row r="784">
          <cell r="D784" t="str">
            <v>SSG-110P-NTR10</v>
          </cell>
          <cell r="E784" t="str">
            <v>S440603X1911943</v>
          </cell>
        </row>
        <row r="785">
          <cell r="D785" t="str">
            <v>CSE</v>
          </cell>
          <cell r="E785" t="str">
            <v>C1160LJ50P00719</v>
          </cell>
        </row>
        <row r="786">
          <cell r="D786" t="str">
            <v>PWS</v>
          </cell>
          <cell r="E786" t="str">
            <v>P8602CL11MB0945</v>
          </cell>
        </row>
        <row r="787">
          <cell r="D787" t="str">
            <v>PWS</v>
          </cell>
          <cell r="E787" t="str">
            <v>P8602CL11MB0959</v>
          </cell>
        </row>
        <row r="788">
          <cell r="D788" t="str">
            <v>BPN</v>
          </cell>
          <cell r="E788" t="str">
            <v>HB212S015878</v>
          </cell>
        </row>
        <row r="789">
          <cell r="D789" t="str">
            <v>MBD</v>
          </cell>
          <cell r="E789" t="str">
            <v>UM211S002354</v>
          </cell>
        </row>
        <row r="790">
          <cell r="D790" t="str">
            <v>RCS</v>
          </cell>
          <cell r="E790" t="str">
            <v>UR20CS003265</v>
          </cell>
        </row>
        <row r="791">
          <cell r="D791" t="str">
            <v>CPU</v>
          </cell>
          <cell r="E791" t="str">
            <v>71PU252300419</v>
          </cell>
        </row>
        <row r="792">
          <cell r="D792" t="str">
            <v>MEM</v>
          </cell>
          <cell r="E792" t="str">
            <v>80AD01213844F6F155</v>
          </cell>
        </row>
        <row r="793">
          <cell r="D793" t="str">
            <v>MEM</v>
          </cell>
          <cell r="E793" t="str">
            <v>80AD01213844F6F24D</v>
          </cell>
        </row>
        <row r="794">
          <cell r="D794" t="str">
            <v>HDS</v>
          </cell>
          <cell r="E794" t="str">
            <v>61MFC42VFQE1</v>
          </cell>
        </row>
        <row r="795">
          <cell r="D795" t="str">
            <v>HDS</v>
          </cell>
          <cell r="E795" t="str">
            <v>61MFC3ITFQE1</v>
          </cell>
        </row>
        <row r="796">
          <cell r="D796" t="str">
            <v>HDS</v>
          </cell>
          <cell r="E796" t="str">
            <v>A07F1565</v>
          </cell>
        </row>
        <row r="797">
          <cell r="D797" t="str">
            <v>HDS</v>
          </cell>
          <cell r="E797" t="str">
            <v>A07F152E</v>
          </cell>
        </row>
        <row r="798">
          <cell r="D798" t="str">
            <v>HDS</v>
          </cell>
          <cell r="E798" t="str">
            <v>A07F1569</v>
          </cell>
        </row>
        <row r="799">
          <cell r="D799" t="str">
            <v>HDS</v>
          </cell>
          <cell r="E799" t="str">
            <v>A07F156B</v>
          </cell>
        </row>
        <row r="800">
          <cell r="D800" t="str">
            <v>HDS</v>
          </cell>
          <cell r="E800" t="str">
            <v>A07F1556</v>
          </cell>
        </row>
        <row r="801">
          <cell r="D801" t="str">
            <v>HDS</v>
          </cell>
          <cell r="E801" t="str">
            <v>A07F154B</v>
          </cell>
        </row>
        <row r="802">
          <cell r="D802" t="str">
            <v>HDS</v>
          </cell>
          <cell r="E802" t="str">
            <v>A07F155A</v>
          </cell>
        </row>
        <row r="803">
          <cell r="D803" t="str">
            <v>HDS</v>
          </cell>
          <cell r="E803" t="str">
            <v>A07F1576</v>
          </cell>
        </row>
        <row r="804">
          <cell r="D804" t="str">
            <v>AOC</v>
          </cell>
          <cell r="E804" t="str">
            <v>VA203S030981</v>
          </cell>
        </row>
        <row r="805">
          <cell r="D805" t="str">
            <v>SYS-6018R-WTR</v>
          </cell>
          <cell r="E805" t="str">
            <v>E15751822100958</v>
          </cell>
          <cell r="K805" t="str">
            <v>SO/2022/005613/A 1Z3</v>
          </cell>
        </row>
        <row r="806">
          <cell r="D806" t="str">
            <v>CSE-815TQ-R706WB</v>
          </cell>
          <cell r="E806" t="str">
            <v>C8150LJ50P00464</v>
          </cell>
          <cell r="K806" t="str">
            <v>SO/2022/005613/A 1Z3</v>
          </cell>
        </row>
        <row r="807">
          <cell r="D807" t="str">
            <v>PWS-706P-1R</v>
          </cell>
          <cell r="E807" t="str">
            <v>P7061VK47MB1736</v>
          </cell>
          <cell r="K807" t="str">
            <v>SO/2022/005613/A 1Z3</v>
          </cell>
        </row>
        <row r="808">
          <cell r="D808" t="str">
            <v>PWS-706P-1R</v>
          </cell>
          <cell r="E808" t="str">
            <v>P7061VK47MB1737</v>
          </cell>
          <cell r="K808" t="str">
            <v>SO/2022/005613/A 1Z3</v>
          </cell>
        </row>
        <row r="809">
          <cell r="D809" t="str">
            <v>BPN-SAS-815TQ</v>
          </cell>
          <cell r="E809" t="str">
            <v>EB203S011728</v>
          </cell>
          <cell r="K809" t="str">
            <v>SO/2022/005613/A 1Z3</v>
          </cell>
        </row>
        <row r="810">
          <cell r="D810" t="str">
            <v>MBD-X10DRW-I</v>
          </cell>
          <cell r="E810" t="str">
            <v>OM21BS048185</v>
          </cell>
          <cell r="K810" t="str">
            <v>SO/2022/005613/A 1Z3; AWARIA;WYMIANA NA OM21BS048183</v>
          </cell>
        </row>
        <row r="811">
          <cell r="D811" t="str">
            <v>RSC-R1UW-2E16</v>
          </cell>
          <cell r="E811" t="str">
            <v>VR215S040138</v>
          </cell>
          <cell r="K811" t="str">
            <v>SO/2022/005613/A 1Z3</v>
          </cell>
        </row>
        <row r="812">
          <cell r="D812" t="str">
            <v>SYS-6018R-WTR</v>
          </cell>
          <cell r="E812" t="str">
            <v>E15751822100957</v>
          </cell>
          <cell r="K812" t="str">
            <v>SO/2022/005613/A 2Z3</v>
          </cell>
        </row>
        <row r="813">
          <cell r="D813" t="str">
            <v>CSE-815TQ-R706WB</v>
          </cell>
          <cell r="E813" t="str">
            <v>C8150LJ50P00466</v>
          </cell>
          <cell r="K813" t="str">
            <v>SO/2022/005613/A 2Z3</v>
          </cell>
        </row>
        <row r="814">
          <cell r="D814" t="str">
            <v>PWS-706P-1R</v>
          </cell>
          <cell r="E814" t="str">
            <v>P7061VK47MB1721</v>
          </cell>
          <cell r="K814" t="str">
            <v>SO/2022/005613/A 2Z3</v>
          </cell>
        </row>
        <row r="815">
          <cell r="D815" t="str">
            <v>PWS-706P-1R</v>
          </cell>
          <cell r="E815" t="str">
            <v>P7061VK47MB1722</v>
          </cell>
          <cell r="K815" t="str">
            <v>SO/2022/005613/A 2Z3</v>
          </cell>
        </row>
        <row r="816">
          <cell r="D816" t="str">
            <v>BPN-SAS-815TQ</v>
          </cell>
          <cell r="E816" t="str">
            <v>EB203S011729</v>
          </cell>
          <cell r="K816" t="str">
            <v>SO/2022/005613/A 2Z3</v>
          </cell>
        </row>
        <row r="817">
          <cell r="D817" t="str">
            <v>MBD-X10DRW-I</v>
          </cell>
          <cell r="E817" t="str">
            <v>OM21BS048165</v>
          </cell>
          <cell r="K817" t="str">
            <v>SO/2022/005613/A 2Z3</v>
          </cell>
        </row>
        <row r="818">
          <cell r="D818" t="str">
            <v>RSC-R1UW-2E16</v>
          </cell>
          <cell r="E818" t="str">
            <v>VR215S040140</v>
          </cell>
          <cell r="K818" t="str">
            <v>SO/2022/005613/A 2Z3</v>
          </cell>
        </row>
        <row r="819">
          <cell r="D819" t="str">
            <v>SYS-6018R-WTR</v>
          </cell>
          <cell r="E819" t="str">
            <v>E15751822100956</v>
          </cell>
          <cell r="K819" t="str">
            <v>SO/2022/005613/A 3Z3</v>
          </cell>
        </row>
        <row r="820">
          <cell r="D820" t="str">
            <v>CSE-815TQ-R706WB</v>
          </cell>
          <cell r="E820" t="str">
            <v>C8150LJ50P00458</v>
          </cell>
          <cell r="K820" t="str">
            <v>SO/2022/005613/A 3Z3</v>
          </cell>
        </row>
        <row r="821">
          <cell r="D821" t="str">
            <v>PWS-706P-1R</v>
          </cell>
          <cell r="E821" t="str">
            <v>P7061VK47MB0801</v>
          </cell>
          <cell r="K821" t="str">
            <v>SO/2022/005613/A 3Z3</v>
          </cell>
        </row>
        <row r="822">
          <cell r="D822" t="str">
            <v>PWS-706P-1R</v>
          </cell>
          <cell r="E822" t="str">
            <v>P7061VK47MB0802</v>
          </cell>
          <cell r="K822" t="str">
            <v>SO/2022/005613/A 3Z3</v>
          </cell>
        </row>
        <row r="823">
          <cell r="D823" t="str">
            <v>BPN-SAS-815TQ</v>
          </cell>
          <cell r="E823" t="str">
            <v>EB203S011730</v>
          </cell>
          <cell r="K823" t="str">
            <v>SO/2022/005613/A 3Z3</v>
          </cell>
        </row>
        <row r="824">
          <cell r="D824" t="str">
            <v>MBD-X10DRW-I</v>
          </cell>
          <cell r="E824" t="str">
            <v>OM21BS048164</v>
          </cell>
          <cell r="K824" t="str">
            <v>SO/2022/005613/A 3Z3</v>
          </cell>
        </row>
        <row r="825">
          <cell r="D825" t="str">
            <v>RSC-R1UW-2E16</v>
          </cell>
          <cell r="E825" t="str">
            <v>VR215S040139</v>
          </cell>
          <cell r="K825" t="str">
            <v>SO/2022/005613/A 3Z3</v>
          </cell>
        </row>
        <row r="826">
          <cell r="D826" t="str">
            <v>MG06ACA800E</v>
          </cell>
          <cell r="E826" t="str">
            <v>X1F0A046FKRE</v>
          </cell>
        </row>
        <row r="827">
          <cell r="D827" t="str">
            <v>MG06ACA800E</v>
          </cell>
          <cell r="E827" t="str">
            <v>X1F0A06EFKRE</v>
          </cell>
        </row>
        <row r="828">
          <cell r="D828" t="str">
            <v>MG06ACA800E</v>
          </cell>
          <cell r="E828" t="str">
            <v>X1F0A04ZFKRE</v>
          </cell>
        </row>
        <row r="829">
          <cell r="D829" t="str">
            <v>MG06ACA800E</v>
          </cell>
          <cell r="E829" t="str">
            <v>X1F0A06FFKRE</v>
          </cell>
        </row>
        <row r="830">
          <cell r="D830" t="str">
            <v>MG06ACA800E</v>
          </cell>
          <cell r="E830" t="str">
            <v>X1F0A051FKRE</v>
          </cell>
        </row>
        <row r="831">
          <cell r="D831" t="str">
            <v>MG06ACA800E</v>
          </cell>
          <cell r="E831" t="str">
            <v>X1F0A06MFKRE</v>
          </cell>
        </row>
        <row r="832">
          <cell r="D832" t="str">
            <v>MG06ACA800E</v>
          </cell>
          <cell r="E832" t="str">
            <v>X1F0A05KFKRE</v>
          </cell>
        </row>
        <row r="833">
          <cell r="D833" t="str">
            <v>MG06ACA800E</v>
          </cell>
          <cell r="E833" t="str">
            <v>X1F0A06UFKRE</v>
          </cell>
        </row>
        <row r="834">
          <cell r="D834" t="str">
            <v>MG06ACA800E</v>
          </cell>
          <cell r="E834" t="str">
            <v>X1F0A05PFKRE</v>
          </cell>
        </row>
        <row r="835">
          <cell r="D835" t="str">
            <v>MG06ACA800E</v>
          </cell>
          <cell r="E835" t="str">
            <v>X1F0A06VFKRE</v>
          </cell>
        </row>
        <row r="836">
          <cell r="D836" t="str">
            <v>MG06ACA800E</v>
          </cell>
          <cell r="E836" t="str">
            <v>X1F0A05SFKRE</v>
          </cell>
        </row>
        <row r="837">
          <cell r="D837" t="str">
            <v>MG06ACA800E</v>
          </cell>
          <cell r="E837" t="str">
            <v>X1F0A06YFKRE</v>
          </cell>
        </row>
        <row r="838">
          <cell r="D838" t="str">
            <v>MG06ACA800E</v>
          </cell>
          <cell r="E838" t="str">
            <v>X1F0A05YFKRE</v>
          </cell>
        </row>
        <row r="839">
          <cell r="D839" t="str">
            <v>MG06ACA800E</v>
          </cell>
          <cell r="E839" t="str">
            <v>X1F0A077FKRE</v>
          </cell>
        </row>
        <row r="840">
          <cell r="D840" t="str">
            <v>MG06ACA800E</v>
          </cell>
          <cell r="E840" t="str">
            <v>X1F0A05ZFKRE</v>
          </cell>
        </row>
        <row r="841">
          <cell r="D841" t="str">
            <v>MG06ACA800E</v>
          </cell>
          <cell r="E841" t="str">
            <v>X1F0A078FKRE</v>
          </cell>
        </row>
        <row r="842">
          <cell r="D842" t="str">
            <v>MG06ACA800E</v>
          </cell>
          <cell r="E842" t="str">
            <v>X1F0A06AFKRE</v>
          </cell>
        </row>
        <row r="843">
          <cell r="D843" t="str">
            <v>MG06ACA800E</v>
          </cell>
          <cell r="E843" t="str">
            <v>X1F0A079FKRE</v>
          </cell>
        </row>
        <row r="844">
          <cell r="D844" t="str">
            <v>MG06ACA800E</v>
          </cell>
          <cell r="E844" t="str">
            <v>X1F0A06DFKRE</v>
          </cell>
        </row>
        <row r="845">
          <cell r="D845" t="str">
            <v>MG06ACA800E</v>
          </cell>
          <cell r="E845" t="str">
            <v>X1F0A07AFKRE</v>
          </cell>
        </row>
        <row r="846">
          <cell r="D846" t="str">
            <v>MG06ACA800E</v>
          </cell>
          <cell r="E846" t="str">
            <v>91W0A10SFKRE</v>
          </cell>
        </row>
        <row r="847">
          <cell r="D847" t="str">
            <v>MG06ACA800E</v>
          </cell>
          <cell r="E847" t="str">
            <v>X1F0A05WFKRE</v>
          </cell>
        </row>
        <row r="848">
          <cell r="D848" t="str">
            <v>MG06ACA800E</v>
          </cell>
          <cell r="E848" t="str">
            <v>X1B0A003FKRE</v>
          </cell>
        </row>
        <row r="849">
          <cell r="D849" t="str">
            <v>MG06ACA800E</v>
          </cell>
          <cell r="E849" t="str">
            <v>X1F0A067FKRE</v>
          </cell>
        </row>
        <row r="850">
          <cell r="D850" t="str">
            <v>MG06ACA800E</v>
          </cell>
          <cell r="E850" t="str">
            <v>X1F0A04SFKRE</v>
          </cell>
        </row>
        <row r="851">
          <cell r="D851" t="str">
            <v>MG06ACA800E</v>
          </cell>
          <cell r="E851" t="str">
            <v>X1F0A06CFKRE</v>
          </cell>
        </row>
        <row r="852">
          <cell r="D852" t="str">
            <v>MG06ACA800E</v>
          </cell>
          <cell r="E852" t="str">
            <v>X1F0A04VI-RE</v>
          </cell>
        </row>
        <row r="853">
          <cell r="D853" t="str">
            <v>MG06ACA800E</v>
          </cell>
          <cell r="E853" t="str">
            <v>X1F0A06GFKRE</v>
          </cell>
        </row>
        <row r="854">
          <cell r="D854" t="str">
            <v>MG06ACA800E</v>
          </cell>
          <cell r="E854" t="str">
            <v>X1F0A058FKRE</v>
          </cell>
        </row>
        <row r="855">
          <cell r="D855" t="str">
            <v>MG06ACA800E</v>
          </cell>
          <cell r="E855" t="str">
            <v>X1F0A06RFKRE</v>
          </cell>
        </row>
        <row r="856">
          <cell r="D856" t="str">
            <v>MG06ACA800E</v>
          </cell>
          <cell r="E856" t="str">
            <v>X1F0A05AFKRE</v>
          </cell>
        </row>
        <row r="857">
          <cell r="D857" t="str">
            <v>MG06ACA800E</v>
          </cell>
          <cell r="E857" t="str">
            <v>X1F0A06TFKRE</v>
          </cell>
        </row>
        <row r="858">
          <cell r="D858" t="str">
            <v>MG06ACA800E</v>
          </cell>
          <cell r="E858" t="str">
            <v>X1F0A05BFKRE</v>
          </cell>
        </row>
        <row r="859">
          <cell r="D859" t="str">
            <v>MG06ACA800E</v>
          </cell>
          <cell r="E859" t="str">
            <v>X1F0A06ZFKRE</v>
          </cell>
        </row>
        <row r="860">
          <cell r="D860" t="str">
            <v>MG06ACA800E</v>
          </cell>
          <cell r="E860" t="str">
            <v>X1F0A05CFKRE</v>
          </cell>
        </row>
        <row r="861">
          <cell r="D861" t="str">
            <v>MG06ACA800E</v>
          </cell>
          <cell r="E861" t="str">
            <v>X1F0A070FKRE</v>
          </cell>
        </row>
        <row r="862">
          <cell r="D862" t="str">
            <v>MG06ACA800E</v>
          </cell>
          <cell r="E862" t="str">
            <v>X1F0A05EFKRE</v>
          </cell>
        </row>
        <row r="863">
          <cell r="D863" t="str">
            <v>MG06ACA800E</v>
          </cell>
          <cell r="E863" t="str">
            <v>X1F0A072FKRE</v>
          </cell>
        </row>
        <row r="864">
          <cell r="D864" t="str">
            <v>MG06ACA800E</v>
          </cell>
          <cell r="E864" t="str">
            <v>X1F0A05GFKRE</v>
          </cell>
        </row>
        <row r="865">
          <cell r="D865" t="str">
            <v>MG06ACA800E</v>
          </cell>
          <cell r="E865" t="str">
            <v>X1F0A073FKRE</v>
          </cell>
        </row>
        <row r="866">
          <cell r="D866" t="str">
            <v>MG06ACA800E</v>
          </cell>
          <cell r="E866" t="str">
            <v>91P0A0GFFKRE</v>
          </cell>
        </row>
        <row r="867">
          <cell r="D867" t="str">
            <v>MG06ACA800E</v>
          </cell>
          <cell r="E867" t="str">
            <v>91Q0A063FKRE</v>
          </cell>
        </row>
        <row r="868">
          <cell r="D868" t="str">
            <v>MG06ACA800E</v>
          </cell>
          <cell r="E868" t="str">
            <v>91P0A0GZFKRE</v>
          </cell>
        </row>
        <row r="869">
          <cell r="D869" t="str">
            <v>MG06ACA800E</v>
          </cell>
          <cell r="E869" t="str">
            <v>91Q0A06AFKRE</v>
          </cell>
        </row>
        <row r="870">
          <cell r="D870" t="str">
            <v>MG06ACA800E</v>
          </cell>
          <cell r="E870" t="str">
            <v>91P0A0H1FKRE</v>
          </cell>
        </row>
        <row r="871">
          <cell r="D871" t="str">
            <v>MG06ACA800E</v>
          </cell>
          <cell r="E871" t="str">
            <v>91Q0A06FFKRE</v>
          </cell>
        </row>
        <row r="872">
          <cell r="D872" t="str">
            <v>MG06ACA800E</v>
          </cell>
          <cell r="E872" t="str">
            <v>91P0A0H3FKRE</v>
          </cell>
        </row>
        <row r="873">
          <cell r="D873" t="str">
            <v>MG06ACA800E</v>
          </cell>
          <cell r="E873" t="str">
            <v>91Q0A07JFKRE</v>
          </cell>
        </row>
        <row r="874">
          <cell r="D874" t="str">
            <v>MG06ACA800E</v>
          </cell>
          <cell r="E874" t="str">
            <v>91Q0A053FKRE</v>
          </cell>
        </row>
        <row r="875">
          <cell r="D875" t="str">
            <v>MG06ACA800E</v>
          </cell>
          <cell r="E875" t="str">
            <v>91Q0A0TUFKRE</v>
          </cell>
        </row>
        <row r="876">
          <cell r="D876" t="str">
            <v>MG06ACA800E</v>
          </cell>
          <cell r="E876" t="str">
            <v>91Q0A05JFKRE</v>
          </cell>
        </row>
        <row r="877">
          <cell r="D877" t="str">
            <v>MG06ACA800E</v>
          </cell>
          <cell r="E877" t="str">
            <v>91Q0A0VMFKRE</v>
          </cell>
        </row>
        <row r="878">
          <cell r="D878" t="str">
            <v>MG06ACA800E</v>
          </cell>
          <cell r="E878" t="str">
            <v>91Q0A05NFKRE</v>
          </cell>
        </row>
        <row r="879">
          <cell r="D879" t="str">
            <v>MG06ACA800E</v>
          </cell>
          <cell r="E879" t="str">
            <v>91Q0A0VNFKRE</v>
          </cell>
        </row>
        <row r="880">
          <cell r="D880" t="str">
            <v>MG06ACA800E</v>
          </cell>
          <cell r="E880" t="str">
            <v>91Q0A05UFKRE</v>
          </cell>
        </row>
        <row r="881">
          <cell r="D881" t="str">
            <v>MG06ACA800E</v>
          </cell>
          <cell r="E881" t="str">
            <v>91Q0A0VSFKRE</v>
          </cell>
        </row>
        <row r="882">
          <cell r="D882" t="str">
            <v>MG06ACA800E</v>
          </cell>
          <cell r="E882" t="str">
            <v>91Q0A05VFKRE</v>
          </cell>
        </row>
        <row r="883">
          <cell r="D883" t="str">
            <v>MG06ACA800E</v>
          </cell>
          <cell r="E883" t="str">
            <v>91Q0A0VUFKRE</v>
          </cell>
        </row>
        <row r="884">
          <cell r="D884" t="str">
            <v>MG06ACA800E</v>
          </cell>
          <cell r="E884" t="str">
            <v>91Q0A05ZFKRE</v>
          </cell>
        </row>
        <row r="885">
          <cell r="D885" t="str">
            <v>MG06ACA800E</v>
          </cell>
          <cell r="E885" t="str">
            <v>91Q0A0VZFKRE</v>
          </cell>
        </row>
        <row r="886">
          <cell r="D886" t="str">
            <v>MG06ACA800E</v>
          </cell>
          <cell r="E886" t="str">
            <v>X1F0A0FWFKRE</v>
          </cell>
        </row>
        <row r="887">
          <cell r="D887" t="str">
            <v>MG06ACA800E</v>
          </cell>
          <cell r="E887" t="str">
            <v>X1F0A0PSFKRE</v>
          </cell>
        </row>
        <row r="888">
          <cell r="D888" t="str">
            <v>MG06ACA800E</v>
          </cell>
          <cell r="E888" t="str">
            <v>X1F0A0HQFKRE</v>
          </cell>
        </row>
        <row r="889">
          <cell r="D889" t="str">
            <v>MG06ACA800E</v>
          </cell>
          <cell r="E889" t="str">
            <v>X1F0A0PVFKRE</v>
          </cell>
        </row>
        <row r="890">
          <cell r="D890" t="str">
            <v>MG06ACA800E</v>
          </cell>
          <cell r="E890" t="str">
            <v>X1F0A0JHFKRE</v>
          </cell>
        </row>
        <row r="891">
          <cell r="D891" t="str">
            <v>MG06ACA800E</v>
          </cell>
          <cell r="E891" t="str">
            <v>X1F0A0PXFKRE</v>
          </cell>
        </row>
        <row r="892">
          <cell r="D892" t="str">
            <v>MG06ACA800E</v>
          </cell>
          <cell r="E892" t="str">
            <v>X1F0A0JKFKRE</v>
          </cell>
        </row>
        <row r="893">
          <cell r="D893" t="str">
            <v>MG06ACA800E</v>
          </cell>
          <cell r="E893" t="str">
            <v>X1F0A0Q0FKRE</v>
          </cell>
        </row>
        <row r="894">
          <cell r="D894" t="str">
            <v>MG06ACA800E</v>
          </cell>
          <cell r="E894" t="str">
            <v>X1F0A0N2FKRE</v>
          </cell>
        </row>
        <row r="895">
          <cell r="D895" t="str">
            <v>MG06ACA800E</v>
          </cell>
          <cell r="E895" t="str">
            <v>X1F0A0QEFKRE</v>
          </cell>
        </row>
        <row r="896">
          <cell r="D896" t="str">
            <v>MG06ACA800E</v>
          </cell>
          <cell r="E896" t="str">
            <v>X1F0A0NWFKRE</v>
          </cell>
        </row>
        <row r="897">
          <cell r="D897" t="str">
            <v>MG06ACA800E</v>
          </cell>
          <cell r="E897" t="str">
            <v>X1F0A0QFFKRE</v>
          </cell>
        </row>
        <row r="898">
          <cell r="D898" t="str">
            <v>MG06ACA800E</v>
          </cell>
          <cell r="E898" t="str">
            <v>X1F0A0PBFKRE</v>
          </cell>
        </row>
        <row r="899">
          <cell r="D899" t="str">
            <v>MG06ACA800E</v>
          </cell>
          <cell r="E899" t="str">
            <v>X1F0A0R8FKRE</v>
          </cell>
        </row>
        <row r="900">
          <cell r="D900" t="str">
            <v>MG06ACA800E</v>
          </cell>
          <cell r="E900" t="str">
            <v>X1F0A0PDFKRE</v>
          </cell>
        </row>
        <row r="901">
          <cell r="D901" t="str">
            <v>MG06ACA800E</v>
          </cell>
          <cell r="E901" t="str">
            <v>X1F0A0RHFKRE</v>
          </cell>
        </row>
        <row r="902">
          <cell r="D902" t="str">
            <v>MG06ACA800E</v>
          </cell>
          <cell r="E902" t="str">
            <v>X1F0A0PFFKRE</v>
          </cell>
        </row>
        <row r="903">
          <cell r="D903" t="str">
            <v>MG06ACA800E</v>
          </cell>
          <cell r="E903" t="str">
            <v>X1F0A0RKFKRE</v>
          </cell>
        </row>
        <row r="904">
          <cell r="D904" t="str">
            <v>MG06ACA800E</v>
          </cell>
          <cell r="E904" t="str">
            <v>X1F0A0PHFKRE</v>
          </cell>
        </row>
        <row r="905">
          <cell r="D905" t="str">
            <v>MG06ACA800E</v>
          </cell>
          <cell r="E905" t="str">
            <v>X1F0A0S1FKRE</v>
          </cell>
        </row>
        <row r="906">
          <cell r="D906" t="str">
            <v>MG06ACA800E</v>
          </cell>
          <cell r="E906" t="str">
            <v>X1F0A001FKRE</v>
          </cell>
        </row>
        <row r="907">
          <cell r="D907" t="str">
            <v>MG06ACA800E</v>
          </cell>
          <cell r="E907" t="str">
            <v>X1F0A04XFKRE</v>
          </cell>
        </row>
        <row r="908">
          <cell r="D908" t="str">
            <v>MG06ACA800E</v>
          </cell>
          <cell r="E908" t="str">
            <v>X1F0A00SFKRE</v>
          </cell>
        </row>
        <row r="909">
          <cell r="D909" t="str">
            <v>MG06ACA800E</v>
          </cell>
          <cell r="E909" t="str">
            <v>X1F0A053FKRE</v>
          </cell>
        </row>
        <row r="910">
          <cell r="D910" t="str">
            <v>MG06ACA800E</v>
          </cell>
          <cell r="E910" t="str">
            <v>X1F0A00UFKRE</v>
          </cell>
        </row>
        <row r="911">
          <cell r="D911" t="str">
            <v>MG06ACA800E</v>
          </cell>
          <cell r="E911" t="str">
            <v>X1F0A056FKRE</v>
          </cell>
        </row>
        <row r="912">
          <cell r="D912" t="str">
            <v>MG06ACA800E</v>
          </cell>
          <cell r="E912" t="str">
            <v>X1F0A01KFKRE</v>
          </cell>
        </row>
        <row r="913">
          <cell r="D913" t="str">
            <v>MG06ACA800E</v>
          </cell>
          <cell r="E913" t="str">
            <v>X1F0A05NFKRE</v>
          </cell>
        </row>
        <row r="914">
          <cell r="D914" t="str">
            <v>MG06ACA800E</v>
          </cell>
          <cell r="E914" t="str">
            <v>X1F0A02DFKRE</v>
          </cell>
        </row>
        <row r="915">
          <cell r="D915" t="str">
            <v>MG06ACA800E</v>
          </cell>
          <cell r="E915" t="str">
            <v>X1F0A05QFKRE</v>
          </cell>
        </row>
        <row r="916">
          <cell r="D916" t="str">
            <v>MG06ACA800E</v>
          </cell>
          <cell r="E916" t="str">
            <v>X1F0A031FKRE</v>
          </cell>
        </row>
        <row r="917">
          <cell r="D917" t="str">
            <v>MG06ACA800E</v>
          </cell>
          <cell r="E917" t="str">
            <v>X1F0A05UFKRE</v>
          </cell>
        </row>
        <row r="918">
          <cell r="D918" t="str">
            <v>MG06ACA800E</v>
          </cell>
          <cell r="E918" t="str">
            <v>X1F0A033FKRE</v>
          </cell>
        </row>
        <row r="919">
          <cell r="D919" t="str">
            <v>MG06ACA800E</v>
          </cell>
          <cell r="E919" t="str">
            <v>X1F0A05XFKRE</v>
          </cell>
        </row>
        <row r="920">
          <cell r="D920" t="str">
            <v>MG06ACA800E</v>
          </cell>
          <cell r="E920" t="str">
            <v>X1F0A038FKRE</v>
          </cell>
        </row>
        <row r="921">
          <cell r="D921" t="str">
            <v>MG06ACA800E</v>
          </cell>
          <cell r="E921" t="str">
            <v>X1F0A06JFKRE</v>
          </cell>
        </row>
        <row r="922">
          <cell r="D922" t="str">
            <v>MG06ACA800E</v>
          </cell>
          <cell r="E922" t="str">
            <v>X1F0A03FFKRE</v>
          </cell>
        </row>
        <row r="923">
          <cell r="D923" t="str">
            <v>MG06ACA800E</v>
          </cell>
          <cell r="E923" t="str">
            <v>X1F0A06LFKRE</v>
          </cell>
        </row>
        <row r="924">
          <cell r="D924" t="str">
            <v>MG06ACA800E</v>
          </cell>
          <cell r="E924" t="str">
            <v>X1F0A04TFKRE</v>
          </cell>
        </row>
        <row r="925">
          <cell r="D925" t="str">
            <v>MG06ACA800E</v>
          </cell>
          <cell r="E925" t="str">
            <v>X1F0A06NFKRE</v>
          </cell>
        </row>
        <row r="926">
          <cell r="D926" t="str">
            <v>I350T4V2BLK</v>
          </cell>
          <cell r="E926" t="str">
            <v>D7CF74501FZH47822003</v>
          </cell>
        </row>
        <row r="927">
          <cell r="D927" t="str">
            <v>I350T4V2BLK</v>
          </cell>
          <cell r="E927" t="str">
            <v>D78BC8501FZH47822003</v>
          </cell>
        </row>
        <row r="928">
          <cell r="D928" t="str">
            <v>I350T4V2BLK</v>
          </cell>
          <cell r="E928" t="str">
            <v>D7A120501FZH47822003</v>
          </cell>
        </row>
        <row r="929">
          <cell r="D929" t="str">
            <v>I350T4V2BLK</v>
          </cell>
          <cell r="E929" t="str">
            <v>D7B868501FZH47822003</v>
          </cell>
        </row>
        <row r="930">
          <cell r="D930" t="str">
            <v>I350T4V2BLK</v>
          </cell>
          <cell r="E930" t="str">
            <v>D797E8501FZH47822003</v>
          </cell>
        </row>
        <row r="931">
          <cell r="D931" t="str">
            <v>X470D4U</v>
          </cell>
          <cell r="E931" t="str">
            <v>E9S0XW012681</v>
          </cell>
        </row>
        <row r="932">
          <cell r="D932" t="str">
            <v xml:space="preserve">B550D4-4L/VN  </v>
          </cell>
          <cell r="E932" t="str">
            <v>ECS0XE000251</v>
          </cell>
        </row>
        <row r="933">
          <cell r="D933" t="str">
            <v>EPYC3101D4I-2T</v>
          </cell>
          <cell r="E933" t="str">
            <v>08S0XW016481</v>
          </cell>
        </row>
        <row r="934">
          <cell r="D934" t="str">
            <v>E3C246D4U2-2L2T</v>
          </cell>
          <cell r="E934" t="str">
            <v>EBS0XW003738</v>
          </cell>
        </row>
        <row r="935">
          <cell r="D935" t="str">
            <v>QLE2692-SR</v>
          </cell>
          <cell r="E935" t="str">
            <v>RFD2052P23558</v>
          </cell>
          <cell r="K935" t="str">
            <v>PUDEłKO OTWARTE (CELNICY )</v>
          </cell>
        </row>
        <row r="936">
          <cell r="D936" t="str">
            <v>X550T2BLK</v>
          </cell>
          <cell r="E936" t="str">
            <v>A0369F291B500042716ADH86377-004</v>
          </cell>
        </row>
        <row r="937">
          <cell r="D937" t="str">
            <v>X550T2BLK</v>
          </cell>
          <cell r="E937" t="str">
            <v>A0369F2919E40042716ADH86377-004</v>
          </cell>
        </row>
        <row r="938">
          <cell r="D938" t="str">
            <v>X550T2BLK</v>
          </cell>
          <cell r="E938" t="str">
            <v>A0369F291A580042716ADH86377-004</v>
          </cell>
        </row>
        <row r="939">
          <cell r="D939" t="str">
            <v>X550T2BLK</v>
          </cell>
          <cell r="E939" t="str">
            <v>A0369F2919EC0042716ADH86377-004</v>
          </cell>
        </row>
        <row r="940">
          <cell r="D940" t="str">
            <v>MZQLB960HAJR-00007</v>
          </cell>
          <cell r="E940" t="str">
            <v>S437NC0RA01740</v>
          </cell>
        </row>
        <row r="941">
          <cell r="D941" t="str">
            <v>MZQLB960HAJR-00007</v>
          </cell>
          <cell r="E941" t="str">
            <v>S437NC0RA01743</v>
          </cell>
        </row>
        <row r="942">
          <cell r="D942" t="str">
            <v>MZQLB960HAJR-00007</v>
          </cell>
          <cell r="E942" t="str">
            <v>S437NC0RA01742</v>
          </cell>
        </row>
        <row r="943">
          <cell r="D943" t="str">
            <v>MZQLB960HAJR-00007</v>
          </cell>
          <cell r="E943" t="str">
            <v>S437NC0RA01734</v>
          </cell>
        </row>
        <row r="944">
          <cell r="D944" t="str">
            <v>MZQLB960HAJR-00007</v>
          </cell>
          <cell r="E944" t="str">
            <v>S437NC0RA03028</v>
          </cell>
        </row>
        <row r="945">
          <cell r="D945" t="str">
            <v>MZQLB960HAJR-00007</v>
          </cell>
          <cell r="E945" t="str">
            <v>S437NC0RA01737</v>
          </cell>
        </row>
        <row r="946">
          <cell r="D946" t="str">
            <v>MZQLB960HAJR-00007</v>
          </cell>
          <cell r="E946" t="str">
            <v>S437NC0RA03032</v>
          </cell>
        </row>
        <row r="947">
          <cell r="D947" t="str">
            <v>MZQLB960HAJR-00007</v>
          </cell>
          <cell r="E947" t="str">
            <v>S437NC0RA01735</v>
          </cell>
        </row>
        <row r="948">
          <cell r="D948" t="str">
            <v>MZQLB960HAJR-00007</v>
          </cell>
          <cell r="E948" t="str">
            <v>S437NC0RA03037</v>
          </cell>
        </row>
        <row r="949">
          <cell r="D949" t="str">
            <v>MZQLB960HAJR-00007</v>
          </cell>
          <cell r="E949" t="str">
            <v>S437NC0RA03035</v>
          </cell>
        </row>
        <row r="950">
          <cell r="D950" t="str">
            <v>AMD EPYC 7443P</v>
          </cell>
          <cell r="E950" t="str">
            <v>9KH4245X10227_100-000000342</v>
          </cell>
        </row>
        <row r="951">
          <cell r="D951" t="str">
            <v>1W10002</v>
          </cell>
          <cell r="E951" t="str">
            <v>WCC6N3PX8CEX</v>
          </cell>
        </row>
        <row r="952">
          <cell r="D952" t="str">
            <v>1W10002</v>
          </cell>
          <cell r="E952" t="str">
            <v>WCC6N4VV8ZCU</v>
          </cell>
        </row>
        <row r="953">
          <cell r="D953" t="str">
            <v>1W10002</v>
          </cell>
          <cell r="E953" t="str">
            <v>WCC6N1FXU4SD</v>
          </cell>
        </row>
        <row r="954">
          <cell r="D954" t="str">
            <v>INTEL XEON SILVER 4208</v>
          </cell>
          <cell r="E954" t="str">
            <v>B3641D083BF668CERFBM 71MW157401044</v>
          </cell>
        </row>
        <row r="955">
          <cell r="D955" t="str">
            <v>INTEL XEON SILVER 4208</v>
          </cell>
          <cell r="E955" t="str">
            <v>B319290801007952RFBM  71MW157400498</v>
          </cell>
        </row>
        <row r="956">
          <cell r="D956" t="str">
            <v>INTEL XEON SILVER 4208</v>
          </cell>
          <cell r="E956" t="str">
            <v>B3482C082127B935RFBM  71MW157400480</v>
          </cell>
        </row>
        <row r="957">
          <cell r="D957" t="str">
            <v>INTEL XEON SILVER 4208</v>
          </cell>
          <cell r="E957" t="str">
            <v>B36F1408BFA2EF18RFBM  71MW157400735</v>
          </cell>
        </row>
        <row r="958">
          <cell r="D958" t="str">
            <v>INTEL XEON SILVER 4208</v>
          </cell>
          <cell r="E958" t="str">
            <v>B31926080D366256RFBM 71MW157401057</v>
          </cell>
        </row>
        <row r="959">
          <cell r="D959" t="str">
            <v>INTEL XEON SILVER 4208</v>
          </cell>
          <cell r="E959" t="str">
            <v>B36F1C08911FFF44RFBM  71MW157400947</v>
          </cell>
        </row>
        <row r="960">
          <cell r="D960" t="str">
            <v>INTEL XEON SILVER 4208</v>
          </cell>
          <cell r="E960" t="str">
            <v>B364190835A50EC6RFBM  71MW157401051</v>
          </cell>
        </row>
        <row r="961">
          <cell r="D961" t="str">
            <v>INTEL XEON SILVER 4208</v>
          </cell>
          <cell r="E961" t="str">
            <v>B2BE1608EF6FDAD1RFBM  71MW157400738</v>
          </cell>
        </row>
        <row r="962">
          <cell r="D962" t="str">
            <v>INTEL XEON SILVER 4208</v>
          </cell>
          <cell r="E962" t="str">
            <v>B33B3308E1168DA8RFBM 71MW157400927</v>
          </cell>
        </row>
        <row r="963">
          <cell r="D963" t="str">
            <v>INTEL XEON SILVER 4208</v>
          </cell>
          <cell r="E963" t="str">
            <v>B33B3A087549732DRFBM  71MW157400634</v>
          </cell>
        </row>
        <row r="964">
          <cell r="D964" t="str">
            <v>INTEL XEON SILVER 4208</v>
          </cell>
          <cell r="E964" t="str">
            <v>B3482F08237F2127RFBM  71MW157400226</v>
          </cell>
        </row>
        <row r="965">
          <cell r="D965" t="str">
            <v>INTEL XEON SILVER 4208</v>
          </cell>
          <cell r="E965" t="str">
            <v>B3411D082FF6313BRFBM  71MW157400926</v>
          </cell>
        </row>
        <row r="966">
          <cell r="D966" t="str">
            <v>INTEL XEON SILVER 4208</v>
          </cell>
          <cell r="E966" t="str">
            <v>B36F1F0845073651RFBM  71MW157401134</v>
          </cell>
        </row>
        <row r="967">
          <cell r="D967" t="str">
            <v>INTEL XEON SILVER 4208</v>
          </cell>
          <cell r="E967" t="str">
            <v>BA3473ED0DF9DD62RFBM  7117XM5500235</v>
          </cell>
        </row>
        <row r="968">
          <cell r="D968" t="str">
            <v>INTEL XEON SILVER 4208</v>
          </cell>
          <cell r="E968" t="str">
            <v>B9E22E08FD9962A0RFBM  7117XM5500335</v>
          </cell>
        </row>
        <row r="969">
          <cell r="D969" t="str">
            <v>INTEL XEON SILVER 4208</v>
          </cell>
          <cell r="E969" t="str">
            <v>B9AA2908317DF49CRFBM  714XF01400499</v>
          </cell>
        </row>
        <row r="970">
          <cell r="D970" t="str">
            <v>INTEL XEON SILVER 4208</v>
          </cell>
          <cell r="E970" t="str">
            <v>B9D24C6D8A8CEB0ARFBM  7117XM5500106</v>
          </cell>
        </row>
        <row r="971">
          <cell r="D971" t="str">
            <v>INTEL XEON SILVER 4208</v>
          </cell>
          <cell r="E971" t="str">
            <v>B9D25C6DE211BC60RFBM  7117XM5500785</v>
          </cell>
        </row>
        <row r="972">
          <cell r="D972" t="str">
            <v>INTEL XEON SILVER 4208</v>
          </cell>
          <cell r="E972" t="str">
            <v>B9E2300807576E6ARFBM  7117XM5500323</v>
          </cell>
        </row>
        <row r="973">
          <cell r="D973" t="str">
            <v>INTEL XEON SILVER 4208</v>
          </cell>
          <cell r="E973" t="str">
            <v>B9FA60ED548C2A19RFBM  7117XM5500310</v>
          </cell>
        </row>
        <row r="974">
          <cell r="D974" t="str">
            <v>M391A1K43BB2-CTD</v>
          </cell>
          <cell r="E974" t="str">
            <v>SNK682</v>
          </cell>
          <cell r="K974" t="str">
            <v>RO/2021/005385/A 1z2</v>
          </cell>
        </row>
        <row r="975">
          <cell r="D975" t="str">
            <v>M391A1K43BB2-CTD</v>
          </cell>
          <cell r="E975" t="str">
            <v>SNK683</v>
          </cell>
          <cell r="K975" t="str">
            <v>RO/2021/005385/A 1z2</v>
          </cell>
        </row>
        <row r="976">
          <cell r="D976" t="str">
            <v>M391A1K43BB2-CTD</v>
          </cell>
          <cell r="E976" t="str">
            <v>SNK685</v>
          </cell>
          <cell r="K976" t="str">
            <v>RO/2021/005385/A 2z2</v>
          </cell>
        </row>
        <row r="977">
          <cell r="D977" t="str">
            <v>M391A1K43BB2-CTD</v>
          </cell>
          <cell r="E977" t="str">
            <v>SNK684</v>
          </cell>
          <cell r="K977" t="str">
            <v>RO/2021/005385/A 2z2</v>
          </cell>
        </row>
        <row r="978">
          <cell r="D978" t="str">
            <v>MZ7LH960HAJR-00005</v>
          </cell>
          <cell r="E978" t="str">
            <v>S45NNA1RC23822</v>
          </cell>
        </row>
        <row r="979">
          <cell r="D979" t="str">
            <v>MZ7LH960HAJR-00005</v>
          </cell>
          <cell r="E979" t="str">
            <v>S45NNA1RC23831</v>
          </cell>
        </row>
        <row r="980">
          <cell r="D980" t="str">
            <v>MZ7LH480HAHQ-00005</v>
          </cell>
          <cell r="E980" t="str">
            <v>S45PNC0RA56159</v>
          </cell>
          <cell r="K980" t="str">
            <v>SO/2022/005650/A 1z2</v>
          </cell>
        </row>
        <row r="981">
          <cell r="D981" t="str">
            <v>MZ7LH480HAHQ-00005</v>
          </cell>
          <cell r="E981" t="str">
            <v>S45PNC0RA56157</v>
          </cell>
          <cell r="K981" t="str">
            <v>SO/2022/005650/A 2z2</v>
          </cell>
        </row>
        <row r="982">
          <cell r="D982" t="str">
            <v>AMD EPYC 7542</v>
          </cell>
          <cell r="E982" t="str">
            <v>9JN0454Q10110_100-000000075</v>
          </cell>
        </row>
        <row r="983">
          <cell r="D983" t="str">
            <v>MZ1L2960HCJR-00A07</v>
          </cell>
          <cell r="E983" t="str">
            <v>S665NE0RC03817</v>
          </cell>
        </row>
        <row r="984">
          <cell r="D984" t="str">
            <v>MZ1L2960HCJR-00A07</v>
          </cell>
          <cell r="E984" t="str">
            <v>S665NE0RC04665</v>
          </cell>
        </row>
        <row r="985">
          <cell r="D985" t="str">
            <v>MZ1L2960HCJR-00A07</v>
          </cell>
          <cell r="E985" t="str">
            <v>S665NE0RC04677</v>
          </cell>
        </row>
        <row r="986">
          <cell r="D986" t="str">
            <v>MZ1L2960HCJR-00A07</v>
          </cell>
          <cell r="E986" t="str">
            <v>S665NE0RC04679</v>
          </cell>
        </row>
        <row r="987">
          <cell r="D987" t="str">
            <v>MZ1L2960HCJR-00A07</v>
          </cell>
          <cell r="E987" t="str">
            <v>S665NE0RC04682</v>
          </cell>
        </row>
        <row r="988">
          <cell r="D988" t="str">
            <v>MZ1L2960HCJR-00A07</v>
          </cell>
          <cell r="E988" t="str">
            <v>S665NE0RC04663</v>
          </cell>
        </row>
        <row r="989">
          <cell r="D989" t="str">
            <v>MZ1L2960HCJR-00A07</v>
          </cell>
          <cell r="E989" t="str">
            <v>S665NE0RC05061</v>
          </cell>
        </row>
        <row r="990">
          <cell r="D990" t="str">
            <v>MZ1L2960HCJR-00A07</v>
          </cell>
          <cell r="E990" t="str">
            <v>S665NE0RC05051</v>
          </cell>
        </row>
        <row r="991">
          <cell r="D991" t="str">
            <v>MZ1L2960HCJR-00A07</v>
          </cell>
          <cell r="E991" t="str">
            <v>S665NE0RC04681</v>
          </cell>
        </row>
        <row r="992">
          <cell r="D992" t="str">
            <v>MZ1L2960HCJR-00A07</v>
          </cell>
          <cell r="E992" t="str">
            <v>S665NE0RC04683</v>
          </cell>
        </row>
        <row r="993">
          <cell r="D993" t="str">
            <v>MZ1L2960HCJR-00A07</v>
          </cell>
          <cell r="E993" t="str">
            <v>S665NE0RC04649</v>
          </cell>
        </row>
        <row r="994">
          <cell r="D994" t="str">
            <v>MZ1L2960HCJR-00A07</v>
          </cell>
          <cell r="E994" t="str">
            <v>S665NE0RC03819</v>
          </cell>
        </row>
        <row r="995">
          <cell r="D995" t="str">
            <v>MZ1L2960HCJR-00A07</v>
          </cell>
          <cell r="E995" t="str">
            <v>S665NE0RC03820</v>
          </cell>
        </row>
        <row r="996">
          <cell r="D996" t="str">
            <v>MZ1L2960HCJR-00A07</v>
          </cell>
          <cell r="E996" t="str">
            <v>S665NE0RC03805</v>
          </cell>
        </row>
        <row r="997">
          <cell r="D997" t="str">
            <v>MZ1L2960HCJR-00A07</v>
          </cell>
          <cell r="E997" t="str">
            <v>S665NE0RC03803</v>
          </cell>
        </row>
        <row r="998">
          <cell r="D998" t="str">
            <v>MZ1L2960HCJR-00A07</v>
          </cell>
          <cell r="E998" t="str">
            <v>S665NE0RC04661</v>
          </cell>
        </row>
        <row r="999">
          <cell r="D999" t="str">
            <v>MZ1L2960HCJR-00A07</v>
          </cell>
          <cell r="E999" t="str">
            <v>S665NE0RC04664</v>
          </cell>
        </row>
        <row r="1000">
          <cell r="D1000" t="str">
            <v>MZ1L2960HCJR-00A07</v>
          </cell>
          <cell r="E1000" t="str">
            <v>S665NE0RC04662</v>
          </cell>
        </row>
        <row r="1001">
          <cell r="D1001" t="str">
            <v>MZ1L2960HCJR-00A07</v>
          </cell>
          <cell r="E1001" t="str">
            <v>S665NE0RC03816</v>
          </cell>
        </row>
        <row r="1002">
          <cell r="D1002" t="str">
            <v>MZ1L2960HCJR-00A07</v>
          </cell>
          <cell r="E1002" t="str">
            <v>S665NE0RC04678</v>
          </cell>
        </row>
        <row r="1003">
          <cell r="D1003" t="str">
            <v>MZ1L2960HCJR-00A07</v>
          </cell>
          <cell r="E1003" t="str">
            <v>S665NE0RC04705</v>
          </cell>
        </row>
        <row r="1004">
          <cell r="D1004" t="str">
            <v>MZ1L2960HCJR-00A07</v>
          </cell>
          <cell r="E1004" t="str">
            <v>S665NE0RC04717</v>
          </cell>
        </row>
        <row r="1005">
          <cell r="D1005" t="str">
            <v>MZ1L2960HCJR-00A07</v>
          </cell>
          <cell r="E1005" t="str">
            <v>S665NE0RC04720</v>
          </cell>
        </row>
        <row r="1006">
          <cell r="D1006" t="str">
            <v>MZ1L2960HCJR-00A07</v>
          </cell>
          <cell r="E1006" t="str">
            <v>S665NE0RC04722</v>
          </cell>
        </row>
        <row r="1007">
          <cell r="D1007" t="str">
            <v>MZ1L2960HCJR-00A07</v>
          </cell>
          <cell r="E1007" t="str">
            <v>S665NE0RC04723</v>
          </cell>
        </row>
        <row r="1008">
          <cell r="D1008" t="str">
            <v>MZ1L2960HCJR-00A07</v>
          </cell>
          <cell r="E1008" t="str">
            <v>S665NE0RC04719</v>
          </cell>
        </row>
        <row r="1009">
          <cell r="D1009" t="str">
            <v>MZ1L2960HCJR-00A07</v>
          </cell>
          <cell r="E1009" t="str">
            <v>S665NE0RC04721</v>
          </cell>
        </row>
        <row r="1010">
          <cell r="D1010" t="str">
            <v>MZ1L2960HCJR-00A07</v>
          </cell>
          <cell r="E1010" t="str">
            <v>S665NE0RC04718</v>
          </cell>
        </row>
        <row r="1011">
          <cell r="D1011" t="str">
            <v>MZ1L2960HCJR-00A07</v>
          </cell>
          <cell r="E1011" t="str">
            <v>S665NE0RC04716</v>
          </cell>
        </row>
        <row r="1012">
          <cell r="D1012" t="str">
            <v>MZ1L2960HCJR-00A07</v>
          </cell>
          <cell r="E1012" t="str">
            <v>S665NE0RC04704</v>
          </cell>
        </row>
        <row r="1013">
          <cell r="D1013" t="str">
            <v>MZ1L2960HCJR-00A07</v>
          </cell>
          <cell r="E1013" t="str">
            <v>S665NE0RC04022</v>
          </cell>
        </row>
        <row r="1014">
          <cell r="D1014" t="str">
            <v>MZ1L2960HCJR-00A07</v>
          </cell>
          <cell r="E1014" t="str">
            <v>S665NE0RC04023</v>
          </cell>
        </row>
        <row r="1015">
          <cell r="D1015" t="str">
            <v>MZ1L2960HCJR-00A07</v>
          </cell>
          <cell r="E1015" t="str">
            <v>S665NE0RC04024</v>
          </cell>
        </row>
        <row r="1016">
          <cell r="D1016" t="str">
            <v>MZ1L2960HCJR-00A07</v>
          </cell>
          <cell r="E1016" t="str">
            <v>S665NE0RC04037</v>
          </cell>
        </row>
        <row r="1017">
          <cell r="D1017" t="str">
            <v>MZ1L2960HCJR-00A07</v>
          </cell>
          <cell r="E1017" t="str">
            <v>S665NE0RC04039</v>
          </cell>
        </row>
        <row r="1018">
          <cell r="D1018" t="str">
            <v>MZ1L2960HCJR-00A07</v>
          </cell>
          <cell r="E1018" t="str">
            <v>S665NE0RC03930</v>
          </cell>
        </row>
        <row r="1019">
          <cell r="D1019" t="str">
            <v>MZ1L2960HCJR-00A07</v>
          </cell>
          <cell r="E1019" t="str">
            <v>S665NE0RC04036</v>
          </cell>
        </row>
        <row r="1020">
          <cell r="D1020" t="str">
            <v>MZ1L2960HCJR-00A07</v>
          </cell>
          <cell r="E1020" t="str">
            <v>S665NE0RC04025</v>
          </cell>
        </row>
        <row r="1021">
          <cell r="D1021" t="str">
            <v>MZ1L2960HCJR-00A07</v>
          </cell>
          <cell r="E1021" t="str">
            <v>S665NE0RC04014</v>
          </cell>
        </row>
        <row r="1022">
          <cell r="D1022" t="str">
            <v>MZ1L2960HCJR-00A07</v>
          </cell>
          <cell r="E1022" t="str">
            <v>S665NE0RC04021</v>
          </cell>
        </row>
        <row r="1023">
          <cell r="D1023" t="str">
            <v>MZ1L2960HCJR-00A07</v>
          </cell>
          <cell r="E1023" t="str">
            <v>S665NE0RC04054</v>
          </cell>
        </row>
        <row r="1024">
          <cell r="D1024" t="str">
            <v>MZ1L2960HCJR-00A07</v>
          </cell>
          <cell r="E1024" t="str">
            <v>S665NE0RC04053</v>
          </cell>
        </row>
        <row r="1025">
          <cell r="D1025" t="str">
            <v>MZ1L2960HCJR-00A07</v>
          </cell>
          <cell r="E1025" t="str">
            <v>S665NE0RC04064</v>
          </cell>
        </row>
        <row r="1026">
          <cell r="D1026" t="str">
            <v>MZ1L2960HCJR-00A07</v>
          </cell>
          <cell r="E1026" t="str">
            <v>S665NE0RC04078</v>
          </cell>
        </row>
        <row r="1027">
          <cell r="D1027" t="str">
            <v>MZ1L2960HCJR-00A07</v>
          </cell>
          <cell r="E1027" t="str">
            <v>S665NE0RC04076</v>
          </cell>
        </row>
        <row r="1028">
          <cell r="D1028" t="str">
            <v>MZ1L2960HCJR-00A07</v>
          </cell>
          <cell r="E1028" t="str">
            <v>S665NE0RC04095</v>
          </cell>
        </row>
        <row r="1029">
          <cell r="D1029" t="str">
            <v>MZ1L2960HCJR-00A07</v>
          </cell>
          <cell r="E1029" t="str">
            <v>S665NE0RC04079</v>
          </cell>
        </row>
        <row r="1030">
          <cell r="D1030" t="str">
            <v>MZ1L2960HCJR-00A07</v>
          </cell>
          <cell r="E1030" t="str">
            <v>S665NE0RC04081</v>
          </cell>
        </row>
        <row r="1031">
          <cell r="D1031" t="str">
            <v>MZ1L2960HCJR-00A07</v>
          </cell>
          <cell r="E1031" t="str">
            <v>S665NE0RC04082</v>
          </cell>
        </row>
        <row r="1032">
          <cell r="D1032" t="str">
            <v>MZ1L2960HCJR-00A07</v>
          </cell>
          <cell r="E1032" t="str">
            <v>S665NE0RC04062</v>
          </cell>
        </row>
        <row r="1033">
          <cell r="D1033" t="str">
            <v>MZ1L2960HCJR-00A07</v>
          </cell>
          <cell r="E1033" t="str">
            <v>S665NE0RC04040</v>
          </cell>
        </row>
        <row r="1034">
          <cell r="D1034" t="str">
            <v>MZ1L2960HCJR-00A07</v>
          </cell>
          <cell r="E1034" t="str">
            <v>S665NE0RC04041</v>
          </cell>
        </row>
        <row r="1035">
          <cell r="D1035" t="str">
            <v>MZ1L2960HCJR-00A07</v>
          </cell>
          <cell r="E1035" t="str">
            <v>S665NE0RC04044</v>
          </cell>
        </row>
        <row r="1036">
          <cell r="D1036" t="str">
            <v>MZ1L2960HCJR-00A07</v>
          </cell>
          <cell r="E1036" t="str">
            <v>S665NE0RC04051</v>
          </cell>
        </row>
        <row r="1037">
          <cell r="D1037" t="str">
            <v>MZ1L2960HCJR-00A07</v>
          </cell>
          <cell r="E1037" t="str">
            <v>S665NE0RC04055</v>
          </cell>
        </row>
        <row r="1038">
          <cell r="D1038" t="str">
            <v>MZ1L2960HCJR-00A07</v>
          </cell>
          <cell r="E1038" t="str">
            <v>S665NE0RC04077</v>
          </cell>
        </row>
        <row r="1039">
          <cell r="D1039" t="str">
            <v>MZ1L2960HCJR-00A07</v>
          </cell>
          <cell r="E1039" t="str">
            <v>S665NE0RC04063</v>
          </cell>
        </row>
        <row r="1040">
          <cell r="D1040" t="str">
            <v>MZ1L2960HCJR-00A07</v>
          </cell>
          <cell r="E1040" t="str">
            <v>S665NE0RC03963</v>
          </cell>
        </row>
        <row r="1041">
          <cell r="D1041" t="str">
            <v>MZ1L2960HCJR-00A07</v>
          </cell>
          <cell r="E1041" t="str">
            <v>S665NE0RC04061</v>
          </cell>
        </row>
        <row r="1042">
          <cell r="D1042" t="str">
            <v>MZ1L2960HCJR-00A07</v>
          </cell>
          <cell r="E1042" t="str">
            <v>S665NE0RC04043</v>
          </cell>
        </row>
        <row r="1043">
          <cell r="D1043" t="str">
            <v>MZ1L2960HCJR-00A07</v>
          </cell>
          <cell r="E1043" t="str">
            <v>S665NE0RC05101</v>
          </cell>
        </row>
        <row r="1044">
          <cell r="D1044" t="str">
            <v>MZ1L2960HCJR-00A07</v>
          </cell>
          <cell r="E1044" t="str">
            <v>S665NE0RC05103</v>
          </cell>
        </row>
        <row r="1045">
          <cell r="D1045" t="str">
            <v>MZ1L2960HCJR-00A07</v>
          </cell>
          <cell r="E1045" t="str">
            <v>S665NE0RC05105</v>
          </cell>
        </row>
        <row r="1046">
          <cell r="D1046" t="str">
            <v>MZ1L2960HCJR-00A07</v>
          </cell>
          <cell r="E1046" t="str">
            <v>S665NE0RC05112</v>
          </cell>
        </row>
        <row r="1047">
          <cell r="D1047" t="str">
            <v>MZ1L2960HCJR-00A07</v>
          </cell>
          <cell r="E1047" t="str">
            <v>S665NE0RC05114</v>
          </cell>
        </row>
        <row r="1048">
          <cell r="D1048" t="str">
            <v>MZ1L2960HCJR-00A07</v>
          </cell>
          <cell r="E1048" t="str">
            <v>S665NE0RC04045</v>
          </cell>
        </row>
        <row r="1049">
          <cell r="D1049" t="str">
            <v>MZ1L2960HCJR-00A07</v>
          </cell>
          <cell r="E1049" t="str">
            <v>S665NE0RC05113</v>
          </cell>
        </row>
        <row r="1050">
          <cell r="D1050" t="str">
            <v>MZ1L2960HCJR-00A07</v>
          </cell>
          <cell r="E1050" t="str">
            <v>S665NE0RC04042</v>
          </cell>
        </row>
        <row r="1051">
          <cell r="D1051" t="str">
            <v>MZ1L2960HCJR-00A07</v>
          </cell>
          <cell r="E1051" t="str">
            <v>S665NE0RC03956</v>
          </cell>
        </row>
        <row r="1052">
          <cell r="D1052" t="str">
            <v>MZ1L2960HCJR-00A07</v>
          </cell>
          <cell r="E1052" t="str">
            <v>S665NE0RC05102</v>
          </cell>
        </row>
        <row r="1053">
          <cell r="D1053" t="str">
            <v>MZ1L2960HCJR-00A07</v>
          </cell>
          <cell r="E1053" t="str">
            <v>S665NE0RC05095</v>
          </cell>
        </row>
        <row r="1054">
          <cell r="D1054" t="str">
            <v>MZ1L2960HCJR-00A07</v>
          </cell>
          <cell r="E1054" t="str">
            <v>S665NE0RC05092</v>
          </cell>
        </row>
        <row r="1055">
          <cell r="D1055" t="str">
            <v>MZ1L2960HCJR-00A07</v>
          </cell>
          <cell r="E1055" t="str">
            <v>S665NE0RC05085</v>
          </cell>
        </row>
        <row r="1056">
          <cell r="D1056" t="str">
            <v>MZ1L2960HCJR-00A07</v>
          </cell>
          <cell r="E1056" t="str">
            <v>S665NE0RC05081</v>
          </cell>
        </row>
        <row r="1057">
          <cell r="D1057" t="str">
            <v>MZ1L2960HCJR-00A07</v>
          </cell>
          <cell r="E1057" t="str">
            <v>S665NE0RC05064</v>
          </cell>
        </row>
        <row r="1058">
          <cell r="D1058" t="str">
            <v>MZ1L2960HCJR-00A07</v>
          </cell>
          <cell r="E1058" t="str">
            <v>S665NE0RC05111</v>
          </cell>
        </row>
        <row r="1059">
          <cell r="D1059" t="str">
            <v>MZ1L2960HCJR-00A07</v>
          </cell>
          <cell r="E1059" t="str">
            <v>S665NE0RC05104</v>
          </cell>
        </row>
        <row r="1060">
          <cell r="D1060" t="str">
            <v>MZ1L2960HCJR-00A07</v>
          </cell>
          <cell r="E1060" t="str">
            <v>S665NE0RC05093</v>
          </cell>
        </row>
        <row r="1061">
          <cell r="D1061" t="str">
            <v>MZ1L2960HCJR-00A07</v>
          </cell>
          <cell r="E1061" t="str">
            <v>S665NE0RC05094</v>
          </cell>
        </row>
        <row r="1062">
          <cell r="D1062" t="str">
            <v>MZ1L2960HCJR-00A07</v>
          </cell>
          <cell r="E1062" t="str">
            <v>S665NE0RC05084</v>
          </cell>
        </row>
        <row r="1063">
          <cell r="D1063" t="str">
            <v>MZ1L2960HCJR-00A07</v>
          </cell>
          <cell r="E1063" t="str">
            <v>S665NE0RC05065</v>
          </cell>
        </row>
        <row r="1064">
          <cell r="D1064" t="str">
            <v>MZ1L2960HCJR-00A07</v>
          </cell>
          <cell r="E1064" t="str">
            <v>S665NE0RC04702</v>
          </cell>
        </row>
        <row r="1065">
          <cell r="D1065" t="str">
            <v>MZ1L2960HCJR-00A07</v>
          </cell>
          <cell r="E1065" t="str">
            <v>S665NE0RC04700</v>
          </cell>
        </row>
        <row r="1066">
          <cell r="D1066" t="str">
            <v>MZ1L2960HCJR-00A07</v>
          </cell>
          <cell r="E1066" t="str">
            <v>S665NE0RC04984</v>
          </cell>
        </row>
        <row r="1067">
          <cell r="D1067" t="str">
            <v>MZ1L2960HCJR-00A07</v>
          </cell>
          <cell r="E1067" t="str">
            <v>S665NE0RC04684</v>
          </cell>
        </row>
        <row r="1068">
          <cell r="D1068" t="str">
            <v>MZ1L2960HCJR-00A07</v>
          </cell>
          <cell r="E1068" t="str">
            <v>S665NE0RC04697</v>
          </cell>
        </row>
        <row r="1069">
          <cell r="D1069" t="str">
            <v>MZ1L2960HCJR-00A07</v>
          </cell>
          <cell r="E1069" t="str">
            <v>S665NE0RC05082</v>
          </cell>
        </row>
        <row r="1070">
          <cell r="D1070" t="str">
            <v>MZ1L2960HCJR-00A07</v>
          </cell>
          <cell r="E1070" t="str">
            <v>S665NE0RC05083</v>
          </cell>
        </row>
        <row r="1071">
          <cell r="D1071" t="str">
            <v>MZ1L2960HCJR-00A07</v>
          </cell>
          <cell r="E1071" t="str">
            <v>S665NE0RC04703</v>
          </cell>
        </row>
        <row r="1072">
          <cell r="D1072" t="str">
            <v>MZ1L2960HCJR-00A07</v>
          </cell>
          <cell r="E1072" t="str">
            <v>S665NE0RC05091</v>
          </cell>
        </row>
        <row r="1073">
          <cell r="D1073" t="str">
            <v>MZ1L2960HCJR-00A07</v>
          </cell>
          <cell r="E1073" t="str">
            <v>S665NE0RC05055</v>
          </cell>
        </row>
        <row r="1074">
          <cell r="D1074" t="str">
            <v>MZ1L2960HCJR-00A07</v>
          </cell>
          <cell r="E1074" t="str">
            <v>S665NE0RC05034</v>
          </cell>
        </row>
        <row r="1075">
          <cell r="D1075" t="str">
            <v>MZ1L2960HCJR-00A07</v>
          </cell>
          <cell r="E1075" t="str">
            <v>S665NE0RC05062</v>
          </cell>
        </row>
        <row r="1076">
          <cell r="D1076" t="str">
            <v>MZ1L2960HCJR-00A07</v>
          </cell>
          <cell r="E1076" t="str">
            <v>S665NE0RC05063</v>
          </cell>
        </row>
        <row r="1077">
          <cell r="D1077" t="str">
            <v>MZ1L2960HCJR-00A07</v>
          </cell>
          <cell r="E1077" t="str">
            <v>S665NE0RC05052</v>
          </cell>
        </row>
        <row r="1078">
          <cell r="D1078" t="str">
            <v>MZ1L2960HCJR-00A07</v>
          </cell>
          <cell r="E1078" t="str">
            <v>S665NE0RC04701</v>
          </cell>
        </row>
        <row r="1079">
          <cell r="D1079" t="str">
            <v>MZ1L2960HCJR-00A07</v>
          </cell>
          <cell r="E1079" t="str">
            <v>S665NE0RC04699</v>
          </cell>
        </row>
        <row r="1080">
          <cell r="D1080" t="str">
            <v>MZ1L2960HCJR-00A07</v>
          </cell>
          <cell r="E1080" t="str">
            <v>S665NE0RC04685</v>
          </cell>
        </row>
        <row r="1081">
          <cell r="D1081" t="str">
            <v>MZ1L2960HCJR-00A07</v>
          </cell>
          <cell r="E1081" t="str">
            <v>S665NE0RC04696</v>
          </cell>
        </row>
        <row r="1082">
          <cell r="D1082" t="str">
            <v>MZ1L2960HCJR-00A07</v>
          </cell>
          <cell r="E1082" t="str">
            <v>S665NE0RC05053</v>
          </cell>
        </row>
        <row r="1083">
          <cell r="D1083" t="str">
            <v>MG07ACA12TW</v>
          </cell>
          <cell r="E1083" t="str">
            <v>X1D0A01YF95G</v>
          </cell>
        </row>
        <row r="1084">
          <cell r="D1084" t="str">
            <v>MG07ACA12TW</v>
          </cell>
          <cell r="E1084" t="str">
            <v>X1D0A02KF95G</v>
          </cell>
        </row>
        <row r="1085">
          <cell r="D1085" t="str">
            <v>E810XXVDA2BLK</v>
          </cell>
          <cell r="E1085" t="str">
            <v>B49691DCA9B40025121ADK57775011</v>
          </cell>
        </row>
        <row r="1086">
          <cell r="D1086" t="str">
            <v>E810XXVDA2BLK</v>
          </cell>
          <cell r="E1086" t="str">
            <v>B49691DCA9D80025121ADK57775011</v>
          </cell>
        </row>
        <row r="1087">
          <cell r="D1087" t="str">
            <v>E810XXVDA2BLK</v>
          </cell>
          <cell r="E1087" t="str">
            <v>B49691DCA9FC0025121ADK57775011</v>
          </cell>
        </row>
        <row r="1088">
          <cell r="D1088" t="str">
            <v>E810XXVDA2BLK</v>
          </cell>
          <cell r="E1088" t="str">
            <v>B49691DCAAF60025121ADK57775011</v>
          </cell>
        </row>
        <row r="1089">
          <cell r="D1089" t="str">
            <v>E810XXVDA2BLK</v>
          </cell>
          <cell r="E1089" t="str">
            <v>B49691DCAB500025121ADK57775011</v>
          </cell>
        </row>
        <row r="1090">
          <cell r="D1090" t="str">
            <v>MTFDDAK480TDS-1AW1ZABYY</v>
          </cell>
          <cell r="E1090" t="str">
            <v>21303072DFDD</v>
          </cell>
        </row>
        <row r="1091">
          <cell r="D1091" t="str">
            <v>SSDSC2KB019T801</v>
          </cell>
          <cell r="E1091" t="str">
            <v>PHYF1276031S1P9DGN</v>
          </cell>
        </row>
        <row r="1092">
          <cell r="D1092" t="str">
            <v>SSDSC2KB019T801</v>
          </cell>
          <cell r="E1092" t="str">
            <v>PHYF127602ED1P9DGN</v>
          </cell>
        </row>
        <row r="1093">
          <cell r="D1093" t="str">
            <v>SSDSC2KB019T801</v>
          </cell>
          <cell r="E1093" t="str">
            <v>PHYF125505QX1P9DGN</v>
          </cell>
        </row>
        <row r="1094">
          <cell r="D1094" t="str">
            <v>SSDSC2KB019T801</v>
          </cell>
          <cell r="E1094" t="str">
            <v>PHYF125503BZ1P9DGN</v>
          </cell>
        </row>
        <row r="1095">
          <cell r="D1095" t="str">
            <v>SSDSC2KB019T801</v>
          </cell>
          <cell r="E1095" t="str">
            <v>PHYF127602DP1P9DGN</v>
          </cell>
        </row>
        <row r="1096">
          <cell r="D1096" t="str">
            <v>SSDSC2KB019T801</v>
          </cell>
          <cell r="E1096" t="str">
            <v>PHYF125600UJ1P9DGN</v>
          </cell>
        </row>
        <row r="1097">
          <cell r="D1097" t="str">
            <v>SSDSC2KB019T801</v>
          </cell>
          <cell r="E1097" t="str">
            <v>PHYF1255011Z1P9DGN</v>
          </cell>
        </row>
        <row r="1098">
          <cell r="D1098" t="str">
            <v>SSDSC2KB019T801</v>
          </cell>
          <cell r="E1098" t="str">
            <v>PHYF125501CB1P9DGN</v>
          </cell>
        </row>
        <row r="1099">
          <cell r="D1099" t="str">
            <v>SSDSC2KB019T801</v>
          </cell>
          <cell r="E1099" t="str">
            <v>PHYF125505MT1P9DGN</v>
          </cell>
        </row>
        <row r="1100">
          <cell r="D1100" t="str">
            <v>SSDSC2KB019T801</v>
          </cell>
          <cell r="E1100" t="str">
            <v>PHYF125503GB1P9DGN</v>
          </cell>
          <cell r="K1100" t="str">
            <v>AWARIA</v>
          </cell>
        </row>
        <row r="1101">
          <cell r="D1101" t="str">
            <v>SSDSC2KB019T801</v>
          </cell>
          <cell r="E1101" t="str">
            <v>PHYF125600TF1P9DGN</v>
          </cell>
        </row>
        <row r="1102">
          <cell r="D1102" t="str">
            <v>SSDSC2KB019T801</v>
          </cell>
          <cell r="E1102" t="str">
            <v>PHYF127602DR1P9DGN</v>
          </cell>
        </row>
        <row r="1103">
          <cell r="D1103" t="str">
            <v>SSDSC2KB019T801</v>
          </cell>
          <cell r="E1103" t="str">
            <v>PHYF125501AK1P9DGN</v>
          </cell>
        </row>
        <row r="1104">
          <cell r="D1104" t="str">
            <v>SSDSC2KB019T801</v>
          </cell>
          <cell r="E1104" t="str">
            <v>PHYF1255019M1P9DGN</v>
          </cell>
        </row>
        <row r="1105">
          <cell r="D1105" t="str">
            <v>SSDSC2KB019T801</v>
          </cell>
          <cell r="E1105" t="str">
            <v>PHYF127602FZ1P9DGN</v>
          </cell>
        </row>
        <row r="1106">
          <cell r="D1106" t="str">
            <v>SSDSC2KB019T801</v>
          </cell>
          <cell r="E1106" t="str">
            <v>PHYF1276013A1P9DGN</v>
          </cell>
        </row>
        <row r="1107">
          <cell r="D1107" t="str">
            <v>SSDSC2KB019T801</v>
          </cell>
          <cell r="E1107" t="str">
            <v>PHYF1255019R1P9DGN</v>
          </cell>
        </row>
        <row r="1108">
          <cell r="D1108" t="str">
            <v>SSDSC2KB019T801</v>
          </cell>
          <cell r="E1108" t="str">
            <v>PHYF127603231P9DGN</v>
          </cell>
        </row>
        <row r="1109">
          <cell r="D1109" t="str">
            <v>SSDSC2KB019T801</v>
          </cell>
          <cell r="E1109" t="str">
            <v>PHYF1276031T1P9DGN</v>
          </cell>
        </row>
        <row r="1110">
          <cell r="D1110" t="str">
            <v>SSDSC2KB019T801</v>
          </cell>
          <cell r="E1110" t="str">
            <v>PHYF127602DG1P9DGN</v>
          </cell>
        </row>
        <row r="1111">
          <cell r="D1111" t="str">
            <v>SSDSC2KB019T801</v>
          </cell>
          <cell r="E1111" t="str">
            <v>PHYF125501DE1P9DGN</v>
          </cell>
        </row>
        <row r="1112">
          <cell r="D1112" t="str">
            <v>SSDSC2KB019T801</v>
          </cell>
          <cell r="E1112" t="str">
            <v>PHYF1256028Z1P9DGN</v>
          </cell>
        </row>
        <row r="1113">
          <cell r="D1113" t="str">
            <v>SSDSC2KB019T801</v>
          </cell>
          <cell r="E1113" t="str">
            <v>PHYF125505MC1P9DGN</v>
          </cell>
        </row>
        <row r="1114">
          <cell r="D1114" t="str">
            <v>SSDSC2KB019T801</v>
          </cell>
          <cell r="E1114" t="str">
            <v>PHYF125505MM1P9DGN</v>
          </cell>
        </row>
        <row r="1115">
          <cell r="D1115" t="str">
            <v>SSDSC2KB019T801</v>
          </cell>
          <cell r="E1115" t="str">
            <v>PHYF125505Q31P9DGN</v>
          </cell>
        </row>
        <row r="1116">
          <cell r="D1116" t="str">
            <v>SSDSC2KB019T801</v>
          </cell>
          <cell r="E1116" t="str">
            <v>PHYF1255012H1P9DGN</v>
          </cell>
        </row>
        <row r="1117">
          <cell r="D1117" t="str">
            <v>SSDSC2KB019T801</v>
          </cell>
          <cell r="E1117" t="str">
            <v>PHYF125600QD1P9DGN</v>
          </cell>
        </row>
        <row r="1118">
          <cell r="D1118" t="str">
            <v>SSDSC2KB019T801</v>
          </cell>
          <cell r="E1118" t="str">
            <v>PHYF125501961P9DGN</v>
          </cell>
        </row>
        <row r="1119">
          <cell r="D1119" t="str">
            <v>SSDSC2KB019T801</v>
          </cell>
          <cell r="E1119" t="str">
            <v>PHYF125503C01P9DGN</v>
          </cell>
        </row>
        <row r="1120">
          <cell r="D1120" t="str">
            <v>SSDSC2KB019T801</v>
          </cell>
          <cell r="E1120" t="str">
            <v>PHYF125600VS1P9DGN</v>
          </cell>
        </row>
        <row r="1121">
          <cell r="D1121" t="str">
            <v>SSDSC2KB019T801</v>
          </cell>
          <cell r="E1121" t="str">
            <v>PHYF1256029H1P9DGN</v>
          </cell>
        </row>
        <row r="1122">
          <cell r="D1122" t="str">
            <v>SSDSC2KB019T801</v>
          </cell>
          <cell r="E1122" t="str">
            <v>PHYF125501D81P9DGN</v>
          </cell>
        </row>
        <row r="1123">
          <cell r="D1123" t="str">
            <v>SSDSC2KB019T801</v>
          </cell>
          <cell r="E1123" t="str">
            <v>PHYF125600TD1P9DGN</v>
          </cell>
        </row>
        <row r="1124">
          <cell r="D1124" t="str">
            <v>SSDSC2KB019T801</v>
          </cell>
          <cell r="E1124" t="str">
            <v>PHYF125600TV1P9DGN</v>
          </cell>
        </row>
        <row r="1125">
          <cell r="D1125" t="str">
            <v>SSDSC2KB019T801</v>
          </cell>
          <cell r="E1125" t="str">
            <v>PHYF125503G61P9DGN</v>
          </cell>
        </row>
        <row r="1126">
          <cell r="D1126" t="str">
            <v>SSDSC2KB019T801</v>
          </cell>
          <cell r="E1126" t="str">
            <v>PHYF125600Q21P9DGN</v>
          </cell>
        </row>
        <row r="1127">
          <cell r="D1127" t="str">
            <v>SSDSC2KB019T801</v>
          </cell>
          <cell r="E1127" t="str">
            <v>PHYF125503G51P9DGN</v>
          </cell>
        </row>
        <row r="1128">
          <cell r="D1128" t="str">
            <v>SSDSC2KB019T801</v>
          </cell>
          <cell r="E1128" t="str">
            <v>PHYF125600VE1P9DGN</v>
          </cell>
        </row>
        <row r="1129">
          <cell r="D1129" t="str">
            <v>SSDSC2KB019T801</v>
          </cell>
          <cell r="E1129" t="str">
            <v>PHYF125600UH1P9DGN</v>
          </cell>
        </row>
        <row r="1130">
          <cell r="D1130" t="str">
            <v>SSDSC2KB019T801</v>
          </cell>
          <cell r="E1130" t="str">
            <v>PHYF125503C11P9DGN</v>
          </cell>
        </row>
        <row r="1131">
          <cell r="D1131" t="str">
            <v>SSDSC2KB019T801</v>
          </cell>
          <cell r="E1131" t="str">
            <v>PHYF125503GF1P9DGN</v>
          </cell>
        </row>
        <row r="1132">
          <cell r="D1132" t="str">
            <v>SSDSC2KB019T801</v>
          </cell>
          <cell r="E1132" t="str">
            <v>PHYF125503BW1P9DGN</v>
          </cell>
        </row>
        <row r="1133">
          <cell r="D1133" t="str">
            <v>SSDSC2KB019T801</v>
          </cell>
          <cell r="E1133" t="str">
            <v>PHYF1255019D1P9DGN</v>
          </cell>
        </row>
        <row r="1134">
          <cell r="D1134" t="str">
            <v>SSDSC2KB019T801</v>
          </cell>
          <cell r="E1134" t="str">
            <v>PHYF1255019A1P9DGN</v>
          </cell>
        </row>
        <row r="1135">
          <cell r="D1135" t="str">
            <v>SSDSC2KB019T801</v>
          </cell>
          <cell r="E1135" t="str">
            <v>PHYF125503BR1P9DGN</v>
          </cell>
        </row>
        <row r="1136">
          <cell r="D1136" t="str">
            <v>MBD-X10SRI-F-B</v>
          </cell>
          <cell r="E1136" t="str">
            <v>NM218S000388</v>
          </cell>
        </row>
        <row r="1137">
          <cell r="D1137" t="str">
            <v>MBD-X10SRI-F-B</v>
          </cell>
          <cell r="E1137" t="str">
            <v>NM218S000228</v>
          </cell>
        </row>
        <row r="1138">
          <cell r="D1138" t="str">
            <v>MBD-X10SRI-F-B</v>
          </cell>
          <cell r="E1138" t="str">
            <v>NM218S000260</v>
          </cell>
        </row>
        <row r="1139">
          <cell r="D1139" t="str">
            <v>MBD-X10SRI-F-B</v>
          </cell>
          <cell r="E1139" t="str">
            <v>NM218S000227</v>
          </cell>
        </row>
        <row r="1140">
          <cell r="D1140" t="str">
            <v>MBD-X10SRI-F-B</v>
          </cell>
          <cell r="E1140" t="str">
            <v>NM218S000240</v>
          </cell>
        </row>
        <row r="1141">
          <cell r="D1141" t="str">
            <v>MBD-X10SRI-F-B</v>
          </cell>
          <cell r="E1141" t="str">
            <v>NM218S000239</v>
          </cell>
        </row>
        <row r="1142">
          <cell r="D1142" t="str">
            <v>MBD-X10SRI-F-B</v>
          </cell>
          <cell r="E1142" t="str">
            <v>NM218S000385</v>
          </cell>
        </row>
        <row r="1143">
          <cell r="D1143" t="str">
            <v>AS-1124USA-TNRP</v>
          </cell>
          <cell r="E1143" t="str">
            <v>E407071X2101229</v>
          </cell>
        </row>
        <row r="1144">
          <cell r="D1144" t="str">
            <v>CSE</v>
          </cell>
          <cell r="E1144" t="str">
            <v>C119UAK21P40188</v>
          </cell>
        </row>
        <row r="1145">
          <cell r="D1145" t="str">
            <v>PWS</v>
          </cell>
          <cell r="E1145" t="str">
            <v>P1K3ACL22CB1528</v>
          </cell>
        </row>
        <row r="1146">
          <cell r="D1146" t="str">
            <v>PWS</v>
          </cell>
          <cell r="E1146" t="str">
            <v>P1K3ACL22CB1527</v>
          </cell>
        </row>
        <row r="1147">
          <cell r="D1147" t="str">
            <v>BPN</v>
          </cell>
          <cell r="E1147" t="str">
            <v>HB215S006590</v>
          </cell>
        </row>
        <row r="1148">
          <cell r="D1148" t="str">
            <v>MBD</v>
          </cell>
          <cell r="E1148" t="str">
            <v>UM219S602908</v>
          </cell>
        </row>
        <row r="1149">
          <cell r="D1149" t="str">
            <v>SFT</v>
          </cell>
          <cell r="E1149" t="str">
            <v>3CECEF2FF50C</v>
          </cell>
        </row>
        <row r="1150">
          <cell r="D1150" t="str">
            <v>NUM</v>
          </cell>
          <cell r="E1150" t="str">
            <v>3CECEF2FF50C</v>
          </cell>
        </row>
        <row r="1151">
          <cell r="D1151" t="str">
            <v>NUM</v>
          </cell>
          <cell r="E1151" t="str">
            <v>PLCQUNGHVM</v>
          </cell>
        </row>
        <row r="1152">
          <cell r="D1152" t="str">
            <v>RSC</v>
          </cell>
          <cell r="E1152" t="str">
            <v>ER216S013164</v>
          </cell>
        </row>
        <row r="1153">
          <cell r="D1153" t="str">
            <v>RSC</v>
          </cell>
          <cell r="E1153" t="str">
            <v>ER218S001469</v>
          </cell>
        </row>
        <row r="1154">
          <cell r="D1154" t="str">
            <v>AOC</v>
          </cell>
          <cell r="E1154" t="str">
            <v>OA214S011592</v>
          </cell>
        </row>
        <row r="1155">
          <cell r="D1155" t="str">
            <v>CPU</v>
          </cell>
          <cell r="E1155" t="str">
            <v>9JS9229W10056</v>
          </cell>
        </row>
        <row r="1156">
          <cell r="D1156" t="str">
            <v>CPU</v>
          </cell>
          <cell r="E1156" t="str">
            <v>9JS9229W10043</v>
          </cell>
        </row>
        <row r="1157">
          <cell r="D1157" t="str">
            <v>MEM</v>
          </cell>
          <cell r="E1157" t="str">
            <v>80AD02214825A4AD9E</v>
          </cell>
        </row>
        <row r="1158">
          <cell r="D1158" t="str">
            <v>MEM</v>
          </cell>
          <cell r="E1158" t="str">
            <v>80AD02214825A4ADB0</v>
          </cell>
        </row>
        <row r="1159">
          <cell r="D1159" t="str">
            <v>MEM</v>
          </cell>
          <cell r="E1159" t="str">
            <v>80AD02214825A4AAFB</v>
          </cell>
        </row>
        <row r="1160">
          <cell r="D1160" t="str">
            <v>MEM</v>
          </cell>
          <cell r="E1160" t="str">
            <v>80AD02214825A4AD4B</v>
          </cell>
        </row>
        <row r="1161">
          <cell r="D1161" t="str">
            <v>MEM</v>
          </cell>
          <cell r="E1161" t="str">
            <v>80AD02214825A4AD39</v>
          </cell>
        </row>
        <row r="1162">
          <cell r="D1162" t="str">
            <v>MEM</v>
          </cell>
          <cell r="E1162" t="str">
            <v>80AD02214825A4AD41</v>
          </cell>
        </row>
        <row r="1163">
          <cell r="D1163" t="str">
            <v>MEM</v>
          </cell>
          <cell r="E1163" t="str">
            <v>80AD02214825A4AD92</v>
          </cell>
        </row>
        <row r="1164">
          <cell r="D1164" t="str">
            <v>MEM</v>
          </cell>
          <cell r="E1164" t="str">
            <v>80AD02214825A4ACA3</v>
          </cell>
        </row>
        <row r="1165">
          <cell r="D1165" t="str">
            <v>MEM</v>
          </cell>
          <cell r="E1165" t="str">
            <v>80AD02214825A4ADA2</v>
          </cell>
        </row>
        <row r="1166">
          <cell r="D1166" t="str">
            <v>MEM</v>
          </cell>
          <cell r="E1166" t="str">
            <v>80AD02214825A4AD2B</v>
          </cell>
        </row>
        <row r="1167">
          <cell r="D1167" t="str">
            <v>MEM</v>
          </cell>
          <cell r="E1167" t="str">
            <v>80AD02214825A4AD9B</v>
          </cell>
        </row>
        <row r="1168">
          <cell r="D1168" t="str">
            <v>MEM</v>
          </cell>
          <cell r="E1168" t="str">
            <v>80AD02214825A4AB89</v>
          </cell>
        </row>
        <row r="1169">
          <cell r="D1169" t="str">
            <v>MEM</v>
          </cell>
          <cell r="E1169" t="str">
            <v>80AD02214825A4ADA6</v>
          </cell>
        </row>
        <row r="1170">
          <cell r="D1170" t="str">
            <v>MEM</v>
          </cell>
          <cell r="E1170" t="str">
            <v>80AD02214825A4ACEB</v>
          </cell>
        </row>
        <row r="1171">
          <cell r="D1171" t="str">
            <v>MEM</v>
          </cell>
          <cell r="E1171" t="str">
            <v>80AD02214825A4AD2F</v>
          </cell>
        </row>
        <row r="1172">
          <cell r="D1172" t="str">
            <v>MEM</v>
          </cell>
          <cell r="E1172" t="str">
            <v>80AD02214825A4AD21</v>
          </cell>
        </row>
        <row r="1173">
          <cell r="D1173" t="str">
            <v>HDS</v>
          </cell>
          <cell r="E1173" t="str">
            <v>81IFC4NKFQA1</v>
          </cell>
        </row>
        <row r="1174">
          <cell r="D1174" t="str">
            <v>HDS</v>
          </cell>
          <cell r="E1174" t="str">
            <v>81IFC4P1FQA1</v>
          </cell>
        </row>
        <row r="1175">
          <cell r="D1175" t="str">
            <v>HDS</v>
          </cell>
          <cell r="E1175" t="str">
            <v>PHLN132300NF3P2FGN</v>
          </cell>
        </row>
        <row r="1176">
          <cell r="D1176" t="str">
            <v>AOC</v>
          </cell>
          <cell r="E1176" t="str">
            <v>VA219S029127</v>
          </cell>
        </row>
        <row r="1177">
          <cell r="D1177" t="str">
            <v>NUM</v>
          </cell>
          <cell r="E1177">
            <v>8801019532</v>
          </cell>
        </row>
        <row r="1178">
          <cell r="D1178" t="str">
            <v>AS-1124USA-TNRP</v>
          </cell>
          <cell r="E1178" t="str">
            <v>E407071X2101230</v>
          </cell>
        </row>
        <row r="1179">
          <cell r="D1179" t="str">
            <v>CSE</v>
          </cell>
          <cell r="E1179" t="str">
            <v>C119UAK21P40198</v>
          </cell>
        </row>
        <row r="1180">
          <cell r="D1180" t="str">
            <v>PWS</v>
          </cell>
          <cell r="E1180" t="str">
            <v>P1K3ACL22CB1523</v>
          </cell>
        </row>
        <row r="1181">
          <cell r="D1181" t="str">
            <v>PWS</v>
          </cell>
          <cell r="E1181" t="str">
            <v>P1K3ACL22CB1522</v>
          </cell>
        </row>
        <row r="1182">
          <cell r="D1182" t="str">
            <v>BPN</v>
          </cell>
          <cell r="E1182" t="str">
            <v>HB213S012738</v>
          </cell>
        </row>
        <row r="1183">
          <cell r="D1183" t="str">
            <v>MBD</v>
          </cell>
          <cell r="E1183" t="str">
            <v>UM219S602932</v>
          </cell>
        </row>
        <row r="1184">
          <cell r="D1184" t="str">
            <v>SFT</v>
          </cell>
          <cell r="E1184" t="str">
            <v>3CECEF2FF55F</v>
          </cell>
        </row>
        <row r="1185">
          <cell r="D1185" t="str">
            <v>NUM</v>
          </cell>
          <cell r="E1185" t="str">
            <v>3CECEF2FF55F</v>
          </cell>
        </row>
        <row r="1186">
          <cell r="D1186" t="str">
            <v>NUM</v>
          </cell>
          <cell r="E1186" t="str">
            <v>PNRYTKJFFQ</v>
          </cell>
        </row>
        <row r="1187">
          <cell r="D1187" t="str">
            <v>RSC</v>
          </cell>
          <cell r="E1187" t="str">
            <v>ER216S013163</v>
          </cell>
        </row>
        <row r="1188">
          <cell r="D1188" t="str">
            <v>RSC</v>
          </cell>
          <cell r="E1188" t="str">
            <v>ER218S001470</v>
          </cell>
        </row>
        <row r="1189">
          <cell r="D1189" t="str">
            <v>AOC</v>
          </cell>
          <cell r="E1189" t="str">
            <v>OA214S011596</v>
          </cell>
        </row>
        <row r="1190">
          <cell r="D1190" t="str">
            <v>CPU</v>
          </cell>
          <cell r="E1190" t="str">
            <v>9JS9229W10054</v>
          </cell>
        </row>
        <row r="1191">
          <cell r="D1191" t="str">
            <v>CPU</v>
          </cell>
          <cell r="E1191" t="str">
            <v>9JS9229W10033</v>
          </cell>
        </row>
        <row r="1192">
          <cell r="D1192" t="str">
            <v>MEM</v>
          </cell>
          <cell r="E1192" t="str">
            <v>80AD02214825A4AB2D</v>
          </cell>
        </row>
        <row r="1193">
          <cell r="D1193" t="str">
            <v>MEM</v>
          </cell>
          <cell r="E1193" t="str">
            <v>80AD02214825A4AC9B</v>
          </cell>
        </row>
        <row r="1194">
          <cell r="D1194" t="str">
            <v>MEM</v>
          </cell>
          <cell r="E1194" t="str">
            <v>80AD02214825A4ACFF</v>
          </cell>
        </row>
        <row r="1195">
          <cell r="D1195" t="str">
            <v>MEM</v>
          </cell>
          <cell r="E1195" t="str">
            <v>80AD02214825A4AD01</v>
          </cell>
        </row>
        <row r="1196">
          <cell r="D1196" t="str">
            <v>MEM</v>
          </cell>
          <cell r="E1196" t="str">
            <v>80AD02214825A4AC57</v>
          </cell>
        </row>
        <row r="1197">
          <cell r="D1197" t="str">
            <v>MEM</v>
          </cell>
          <cell r="E1197" t="str">
            <v>80AD02214825A4AD07</v>
          </cell>
        </row>
        <row r="1198">
          <cell r="D1198" t="str">
            <v>MEM</v>
          </cell>
          <cell r="E1198" t="str">
            <v>80AD02214825A4ACF3</v>
          </cell>
        </row>
        <row r="1199">
          <cell r="D1199" t="str">
            <v>MEM</v>
          </cell>
          <cell r="E1199" t="str">
            <v>80AD02214825A4AB1F</v>
          </cell>
        </row>
        <row r="1200">
          <cell r="D1200" t="str">
            <v>MEM</v>
          </cell>
          <cell r="E1200" t="str">
            <v>80AD02214825A4ACA7</v>
          </cell>
        </row>
        <row r="1201">
          <cell r="D1201" t="str">
            <v>MEM</v>
          </cell>
          <cell r="E1201" t="str">
            <v>80AD02214825A4ADAE</v>
          </cell>
        </row>
        <row r="1202">
          <cell r="D1202" t="str">
            <v>MEM</v>
          </cell>
          <cell r="E1202" t="str">
            <v>80AD02214825A4AD91</v>
          </cell>
        </row>
        <row r="1203">
          <cell r="D1203" t="str">
            <v>MEM</v>
          </cell>
          <cell r="E1203" t="str">
            <v>80AD02214825A4AC8B</v>
          </cell>
        </row>
        <row r="1204">
          <cell r="D1204" t="str">
            <v>MEM</v>
          </cell>
          <cell r="E1204" t="str">
            <v>80AD02214825A4ACEF</v>
          </cell>
        </row>
        <row r="1205">
          <cell r="D1205" t="str">
            <v>MEM</v>
          </cell>
          <cell r="E1205" t="str">
            <v>80AD02214825A4ADAC</v>
          </cell>
        </row>
        <row r="1206">
          <cell r="D1206" t="str">
            <v>MEM</v>
          </cell>
          <cell r="E1206" t="str">
            <v>80AD02214825A4ADA0</v>
          </cell>
        </row>
        <row r="1207">
          <cell r="D1207" t="str">
            <v>MEM</v>
          </cell>
          <cell r="E1207" t="str">
            <v>80AD02214825A4ADAA</v>
          </cell>
        </row>
        <row r="1208">
          <cell r="D1208" t="str">
            <v>HDS</v>
          </cell>
          <cell r="E1208" t="str">
            <v>81IFC4NQFQA1</v>
          </cell>
        </row>
        <row r="1209">
          <cell r="D1209" t="str">
            <v>HDS</v>
          </cell>
          <cell r="E1209" t="str">
            <v>81IFC4P6FQA1</v>
          </cell>
        </row>
        <row r="1210">
          <cell r="D1210" t="str">
            <v>HDS</v>
          </cell>
          <cell r="E1210" t="str">
            <v>PHLN132202E63P2FGN</v>
          </cell>
        </row>
        <row r="1211">
          <cell r="D1211" t="str">
            <v>AOC</v>
          </cell>
          <cell r="E1211" t="str">
            <v>VA219S029129</v>
          </cell>
        </row>
        <row r="1212">
          <cell r="D1212" t="str">
            <v>NUM</v>
          </cell>
          <cell r="E1212">
            <v>8801019532</v>
          </cell>
        </row>
        <row r="1213">
          <cell r="D1213" t="str">
            <v>MTA18ADF4G72AZ-2G6B2 123</v>
          </cell>
          <cell r="E1213" t="str">
            <v>S802C252123F274D40E</v>
          </cell>
        </row>
        <row r="1214">
          <cell r="D1214" t="str">
            <v>MTA18ADF4G72AZ-2G6B2 123</v>
          </cell>
          <cell r="E1214" t="str">
            <v>S802C252123F274D406</v>
          </cell>
        </row>
        <row r="1215">
          <cell r="D1215" t="str">
            <v>MTA18ADF4G72AZ-2G6B2 123</v>
          </cell>
          <cell r="E1215" t="str">
            <v>S802C252123F274E48F</v>
          </cell>
        </row>
        <row r="1216">
          <cell r="D1216" t="str">
            <v>MTA18ADF4G72AZ-2G6B2 123</v>
          </cell>
          <cell r="E1216" t="str">
            <v>S802C252123F274D404</v>
          </cell>
        </row>
        <row r="1217">
          <cell r="D1217" t="str">
            <v>MTA18ADF4G72AZ-2G6B2 123</v>
          </cell>
          <cell r="E1217" t="str">
            <v>S802C252123F274DCF3</v>
          </cell>
        </row>
        <row r="1218">
          <cell r="D1218" t="str">
            <v>SSDPE21K375GA01</v>
          </cell>
          <cell r="E1218" t="str">
            <v>PHKE026600L5375AGN</v>
          </cell>
        </row>
        <row r="1219">
          <cell r="D1219" t="str">
            <v>SSDPE21K375GA01</v>
          </cell>
          <cell r="E1219" t="str">
            <v>PHKE026603A3375AGN</v>
          </cell>
        </row>
        <row r="1220">
          <cell r="D1220" t="str">
            <v>KSM32RD4/32HDR</v>
          </cell>
          <cell r="E1220" t="str">
            <v>2148 0000009353907-S000045</v>
          </cell>
        </row>
        <row r="1221">
          <cell r="D1221" t="str">
            <v>KSM32RD4/32HDR</v>
          </cell>
          <cell r="E1221" t="str">
            <v>2148 0000009353907-S000258</v>
          </cell>
        </row>
        <row r="1222">
          <cell r="D1222" t="str">
            <v>KSM32RD4/32HDR</v>
          </cell>
          <cell r="E1222" t="str">
            <v>2148 0000009353907-S000432</v>
          </cell>
        </row>
        <row r="1223">
          <cell r="D1223" t="str">
            <v>KSM32RD4/32HDR</v>
          </cell>
          <cell r="E1223" t="str">
            <v>2148 0000009353907-S000168</v>
          </cell>
        </row>
        <row r="1224">
          <cell r="D1224" t="str">
            <v>KSM32RD4/32HDR</v>
          </cell>
          <cell r="E1224" t="str">
            <v>2148 0000009353907-S000237</v>
          </cell>
        </row>
        <row r="1225">
          <cell r="D1225" t="str">
            <v>KSM32RD4/32HDR</v>
          </cell>
          <cell r="E1225" t="str">
            <v>2148 0000009353907-S000233</v>
          </cell>
        </row>
        <row r="1226">
          <cell r="D1226" t="str">
            <v>KSM32RD4/32HDR</v>
          </cell>
          <cell r="E1226" t="str">
            <v>2148 0000009353907-S000025</v>
          </cell>
        </row>
        <row r="1227">
          <cell r="D1227" t="str">
            <v>KSM32RD4/32HDR</v>
          </cell>
          <cell r="E1227" t="str">
            <v>2148 0000009353907-S000053</v>
          </cell>
        </row>
        <row r="1228">
          <cell r="D1228" t="str">
            <v>SSDSC2KB038T801</v>
          </cell>
          <cell r="E1228" t="str">
            <v>PHYF143002ZJ3P8EGN</v>
          </cell>
        </row>
        <row r="1229">
          <cell r="D1229" t="str">
            <v>SSDSC2KB038T801</v>
          </cell>
          <cell r="E1229" t="str">
            <v>PHYF143003823P8EGN</v>
          </cell>
        </row>
        <row r="1230">
          <cell r="D1230" t="str">
            <v>SSDSC2KB038T801</v>
          </cell>
          <cell r="E1230" t="str">
            <v>PHYF1430037W3P8EGN</v>
          </cell>
        </row>
        <row r="1231">
          <cell r="D1231" t="str">
            <v>SSDSC2KB038T801</v>
          </cell>
          <cell r="E1231" t="str">
            <v>PHYF1430037S3P8EGN</v>
          </cell>
        </row>
        <row r="1232">
          <cell r="D1232" t="str">
            <v>SSDSC2KB038T801</v>
          </cell>
          <cell r="E1232" t="str">
            <v>PHYF143002SY3P8EGN</v>
          </cell>
        </row>
        <row r="1233">
          <cell r="D1233" t="str">
            <v>SSDSC2KB038T801</v>
          </cell>
          <cell r="E1233" t="str">
            <v>PHYF1430037Z3P8EGN</v>
          </cell>
        </row>
        <row r="1234">
          <cell r="D1234" t="str">
            <v>SSDSC2KB038T801</v>
          </cell>
          <cell r="E1234" t="str">
            <v>PHYF143002ZF3P8EGN</v>
          </cell>
        </row>
        <row r="1235">
          <cell r="D1235" t="str">
            <v>SSDSC2KB038T801</v>
          </cell>
          <cell r="E1235" t="str">
            <v>PHYF143002Z93P8EGN</v>
          </cell>
        </row>
        <row r="1236">
          <cell r="D1236" t="str">
            <v>SSDSC2KB038T801</v>
          </cell>
          <cell r="E1236" t="str">
            <v>PHYF143002QJ3P8EGN</v>
          </cell>
        </row>
        <row r="1237">
          <cell r="D1237" t="str">
            <v>SSDSC2KB038T801</v>
          </cell>
          <cell r="E1237" t="str">
            <v>PHYF143002QF3P8EGN</v>
          </cell>
        </row>
        <row r="1238">
          <cell r="D1238" t="str">
            <v>SSDSC2KB038T801</v>
          </cell>
          <cell r="E1238" t="str">
            <v>PHYF143002MT3P8EGN</v>
          </cell>
        </row>
        <row r="1239">
          <cell r="D1239" t="str">
            <v>SSDSC2KB038T801</v>
          </cell>
          <cell r="E1239" t="str">
            <v>PHYF143002Q83P8EGN</v>
          </cell>
        </row>
        <row r="1240">
          <cell r="D1240" t="str">
            <v>SSDSC2KB038T801</v>
          </cell>
          <cell r="E1240" t="str">
            <v>PHYF149507963P8EGN</v>
          </cell>
        </row>
        <row r="1241">
          <cell r="D1241" t="str">
            <v>SSDSC2KB038T801</v>
          </cell>
          <cell r="E1241" t="str">
            <v>PHYF143002QE3P8EGN</v>
          </cell>
        </row>
        <row r="1242">
          <cell r="D1242" t="str">
            <v>SSDSC2KB038T801</v>
          </cell>
          <cell r="E1242" t="str">
            <v>PHYF142500473P8EGN</v>
          </cell>
        </row>
        <row r="1243">
          <cell r="D1243" t="str">
            <v>SSDSC2KB038T801</v>
          </cell>
          <cell r="E1243" t="str">
            <v>PHYF143002ST3P8EGN</v>
          </cell>
        </row>
        <row r="1244">
          <cell r="D1244" t="str">
            <v>SSDSC2KB038T801</v>
          </cell>
          <cell r="E1244" t="str">
            <v>PHYF143002ZL3P8EGN</v>
          </cell>
        </row>
        <row r="1245">
          <cell r="D1245" t="str">
            <v>SSDSC2KB038T801</v>
          </cell>
          <cell r="E1245" t="str">
            <v>PHYF143002QH3P8EGN</v>
          </cell>
        </row>
        <row r="1246">
          <cell r="D1246" t="str">
            <v>SSDSC2KB038T801</v>
          </cell>
          <cell r="E1246" t="str">
            <v>PHYF143002QD3P8EGN</v>
          </cell>
        </row>
        <row r="1247">
          <cell r="D1247" t="str">
            <v>SSDSC2KB038T801</v>
          </cell>
          <cell r="E1247" t="str">
            <v>PHYF143002Y03P8EGN</v>
          </cell>
        </row>
        <row r="1248">
          <cell r="D1248" t="str">
            <v>SSDSC2KB038T801</v>
          </cell>
          <cell r="E1248" t="str">
            <v>PHYF143002QB3P8EGN</v>
          </cell>
        </row>
        <row r="1249">
          <cell r="D1249" t="str">
            <v>SSDSC2KB038T801</v>
          </cell>
          <cell r="E1249" t="str">
            <v>PHYF1430031Y3P8EGN</v>
          </cell>
        </row>
        <row r="1250">
          <cell r="D1250" t="str">
            <v>SSDSC2KB038T801</v>
          </cell>
          <cell r="E1250" t="str">
            <v>PHYF1430031Q3P8EGN</v>
          </cell>
        </row>
        <row r="1251">
          <cell r="D1251" t="str">
            <v>SSDSC2KB038T801</v>
          </cell>
          <cell r="E1251" t="str">
            <v>PHYF143002YD3P8EGN</v>
          </cell>
        </row>
        <row r="1252">
          <cell r="D1252" t="str">
            <v>SSDSC2KB038T801</v>
          </cell>
          <cell r="E1252" t="str">
            <v>PHYF143002QG3P8EGN</v>
          </cell>
        </row>
        <row r="1253">
          <cell r="D1253" t="str">
            <v>SSDSC2KB038T801</v>
          </cell>
          <cell r="E1253" t="str">
            <v>PHYF143002YR3P8EGN</v>
          </cell>
        </row>
        <row r="1254">
          <cell r="D1254" t="str">
            <v>SSDSC2KB038T801</v>
          </cell>
          <cell r="E1254" t="str">
            <v>PHYF143002Q43P8EGN</v>
          </cell>
        </row>
        <row r="1255">
          <cell r="D1255" t="str">
            <v>SSDSC2KB038T801</v>
          </cell>
          <cell r="E1255" t="str">
            <v>PHYF1430031L3P8EGN</v>
          </cell>
        </row>
        <row r="1256">
          <cell r="D1256" t="str">
            <v>SSDSC2KB038T801</v>
          </cell>
          <cell r="E1256" t="str">
            <v>PHYF143003973P8EGN</v>
          </cell>
        </row>
        <row r="1257">
          <cell r="D1257" t="str">
            <v>SSDSC2KB038T801</v>
          </cell>
          <cell r="E1257" t="str">
            <v>PHYF1430037D3P8EGN</v>
          </cell>
        </row>
        <row r="1258">
          <cell r="D1258" t="str">
            <v>SSDSC2KB038T801</v>
          </cell>
          <cell r="E1258" t="str">
            <v>PHYF143003813P8EGN</v>
          </cell>
        </row>
        <row r="1259">
          <cell r="D1259" t="str">
            <v>SSDSC2KB038T801</v>
          </cell>
          <cell r="E1259" t="str">
            <v>PHYF143002ZC3P8EGN</v>
          </cell>
        </row>
        <row r="1260">
          <cell r="D1260" t="str">
            <v>SSDSC2KB038T801</v>
          </cell>
          <cell r="E1260" t="str">
            <v>PHYF143002ZM3P8EGN</v>
          </cell>
        </row>
        <row r="1261">
          <cell r="D1261" t="str">
            <v>SSDSC2KB038T801</v>
          </cell>
          <cell r="E1261" t="str">
            <v>PHYF1430031T3P8EGN</v>
          </cell>
        </row>
        <row r="1262">
          <cell r="D1262" t="str">
            <v>SSDSC2KB038T801</v>
          </cell>
          <cell r="E1262" t="str">
            <v>PHYF143002KM3P8EGN</v>
          </cell>
        </row>
        <row r="1263">
          <cell r="D1263" t="str">
            <v>SSDSC2KB038T801</v>
          </cell>
          <cell r="E1263" t="str">
            <v>PHYF143002QC3P8EGN</v>
          </cell>
        </row>
        <row r="1264">
          <cell r="D1264" t="str">
            <v>SSDSC2KB038T801</v>
          </cell>
          <cell r="E1264" t="str">
            <v>PHYF143002YM3P8EGN</v>
          </cell>
        </row>
        <row r="1265">
          <cell r="D1265" t="str">
            <v>SSDSC2KB038T801</v>
          </cell>
          <cell r="E1265" t="str">
            <v>PHYF1430037Q3P8EGN</v>
          </cell>
        </row>
        <row r="1266">
          <cell r="D1266" t="str">
            <v>SSDSC2KB038T801</v>
          </cell>
          <cell r="E1266" t="str">
            <v>PHYF143002WA3P8EGN</v>
          </cell>
        </row>
        <row r="1267">
          <cell r="D1267" t="str">
            <v>SSDSC2KB038T801</v>
          </cell>
          <cell r="E1267" t="str">
            <v>PHYF143002XN3P8EGN</v>
          </cell>
        </row>
        <row r="1268">
          <cell r="D1268" t="str">
            <v>MZ-V7P1T0BW</v>
          </cell>
          <cell r="E1268" t="str">
            <v>S5JXNS0RB05354</v>
          </cell>
        </row>
        <row r="1269">
          <cell r="D1269" t="str">
            <v>MZ-V7P1T0BW</v>
          </cell>
          <cell r="E1269" t="str">
            <v>S5JXNS0R805604</v>
          </cell>
        </row>
        <row r="1270">
          <cell r="D1270" t="str">
            <v>MZ-V7P1T0BW</v>
          </cell>
          <cell r="E1270" t="str">
            <v>S5JXNS0R802340</v>
          </cell>
        </row>
        <row r="1271">
          <cell r="D1271" t="str">
            <v>MZ-V7P1T0BW</v>
          </cell>
          <cell r="E1271" t="str">
            <v>S5JXNS0RB05146</v>
          </cell>
        </row>
        <row r="1272">
          <cell r="D1272" t="str">
            <v>X470D4U</v>
          </cell>
          <cell r="E1272" t="str">
            <v>E9S0XW012682</v>
          </cell>
        </row>
        <row r="1273">
          <cell r="D1273" t="str">
            <v>X470D4U</v>
          </cell>
          <cell r="E1273" t="str">
            <v>E9S0XW012674</v>
          </cell>
        </row>
        <row r="1274">
          <cell r="D1274" t="str">
            <v>MZ-V7P1T0BW</v>
          </cell>
          <cell r="E1274" t="str">
            <v>S5JXNS0RB05102</v>
          </cell>
          <cell r="K1274" t="str">
            <v>W ROZLICZENIU SERWISOWYM</v>
          </cell>
        </row>
        <row r="1275">
          <cell r="D1275" t="str">
            <v>MZ-V7P1T0BW</v>
          </cell>
          <cell r="E1275" t="str">
            <v>S5JXNS0RB05141</v>
          </cell>
          <cell r="K1275" t="str">
            <v>W ROZLICZENIU SERWISOWYM</v>
          </cell>
        </row>
        <row r="1276">
          <cell r="D1276" t="str">
            <v>BX80684E2236</v>
          </cell>
          <cell r="E1276" t="str">
            <v>U1H866Q700437</v>
          </cell>
        </row>
        <row r="1277">
          <cell r="D1277" t="str">
            <v>KSM32ES8/16ME</v>
          </cell>
          <cell r="E1277" t="str">
            <v>2146 0000009340270-S000018</v>
          </cell>
          <cell r="K1277" t="str">
            <v>RO/2021/005541/A #1/12</v>
          </cell>
        </row>
        <row r="1278">
          <cell r="D1278" t="str">
            <v>KSM32ES8/16ME</v>
          </cell>
          <cell r="E1278" t="str">
            <v>2146 0000009340270-S000120</v>
          </cell>
          <cell r="K1278" t="str">
            <v>RO/2021/005541/A #1/12</v>
          </cell>
        </row>
        <row r="1279">
          <cell r="D1279" t="str">
            <v>KSM32ES8/16ME</v>
          </cell>
          <cell r="E1279" t="str">
            <v>2146 0000009340270-S000119</v>
          </cell>
          <cell r="K1279" t="str">
            <v>RO/2021/005541/A #1/12</v>
          </cell>
        </row>
        <row r="1280">
          <cell r="D1280" t="str">
            <v>KSM32ES8/16ME</v>
          </cell>
          <cell r="E1280" t="str">
            <v>2146 0000009340270-S000092</v>
          </cell>
          <cell r="K1280" t="str">
            <v>RO/2021/005541/A #1/12</v>
          </cell>
        </row>
        <row r="1281">
          <cell r="D1281" t="str">
            <v>KSM32ES8/16ME</v>
          </cell>
          <cell r="E1281" t="str">
            <v>2146 0000009340270-S000010</v>
          </cell>
          <cell r="K1281" t="str">
            <v>RO/2021/005541/A #2/12</v>
          </cell>
        </row>
        <row r="1282">
          <cell r="D1282" t="str">
            <v>KSM32ES8/16ME</v>
          </cell>
          <cell r="E1282" t="str">
            <v>2146 0000009340270-S000145</v>
          </cell>
          <cell r="K1282" t="str">
            <v>RO/2021/005541/A #2/12</v>
          </cell>
        </row>
        <row r="1283">
          <cell r="D1283" t="str">
            <v>KSM32ES8/16ME</v>
          </cell>
          <cell r="E1283" t="str">
            <v>2146 0000009340270-S000081</v>
          </cell>
          <cell r="K1283" t="str">
            <v>RO/2021/005541/A #2/12</v>
          </cell>
        </row>
        <row r="1284">
          <cell r="D1284" t="str">
            <v>KSM32ES8/16ME</v>
          </cell>
          <cell r="E1284" t="str">
            <v>2146 0000009340270-S000076</v>
          </cell>
          <cell r="K1284" t="str">
            <v>RO/2021/005541/A #2/12</v>
          </cell>
        </row>
        <row r="1285">
          <cell r="D1285" t="str">
            <v>KSM32ES8/16ME</v>
          </cell>
          <cell r="E1285" t="str">
            <v>2146 0000009340270-S000239</v>
          </cell>
          <cell r="K1285" t="str">
            <v>RO/2021/005541/A #3/12</v>
          </cell>
        </row>
        <row r="1286">
          <cell r="D1286" t="str">
            <v>KSM32ES8/16ME</v>
          </cell>
          <cell r="E1286" t="str">
            <v>2146 0000009340270-S000240</v>
          </cell>
          <cell r="K1286" t="str">
            <v>RO/2021/005541/A #3/12</v>
          </cell>
        </row>
        <row r="1287">
          <cell r="D1287" t="str">
            <v>KSM32ES8/16ME</v>
          </cell>
          <cell r="E1287" t="str">
            <v>2146 0000009340270-S000011</v>
          </cell>
          <cell r="K1287" t="str">
            <v>RO/2021/005541/A #3/12</v>
          </cell>
        </row>
        <row r="1288">
          <cell r="D1288" t="str">
            <v>KSM32ES8/16ME</v>
          </cell>
          <cell r="E1288" t="str">
            <v>2146 0000009340270-S000184</v>
          </cell>
          <cell r="K1288" t="str">
            <v>RO/2021/005541/A #3/12</v>
          </cell>
        </row>
        <row r="1289">
          <cell r="D1289" t="str">
            <v>KSM32ES8/16ME</v>
          </cell>
          <cell r="E1289" t="str">
            <v>2146 0000009340270-S000008</v>
          </cell>
          <cell r="K1289" t="str">
            <v>RO/2021/005541/A #4/12</v>
          </cell>
        </row>
        <row r="1290">
          <cell r="D1290" t="str">
            <v>KSM32ES8/16ME</v>
          </cell>
          <cell r="E1290" t="str">
            <v>2146 0000009340270-S000187</v>
          </cell>
          <cell r="K1290" t="str">
            <v>RO/2021/005541/A #4/12</v>
          </cell>
        </row>
        <row r="1291">
          <cell r="D1291" t="str">
            <v>KSM32ES8/16ME</v>
          </cell>
          <cell r="E1291" t="str">
            <v>2146 0000009340270-S000054</v>
          </cell>
          <cell r="K1291" t="str">
            <v>RO/2021/005541/A #4/12</v>
          </cell>
        </row>
        <row r="1292">
          <cell r="D1292" t="str">
            <v>KSM32ES8/16ME</v>
          </cell>
          <cell r="E1292" t="str">
            <v>2146 0000009340270-S000017</v>
          </cell>
          <cell r="K1292" t="str">
            <v>RO/2021/005541/A #4/12</v>
          </cell>
        </row>
        <row r="1293">
          <cell r="D1293" t="str">
            <v>KSM32ES8/16ME</v>
          </cell>
          <cell r="E1293" t="str">
            <v>2146 0000009340270-S000106</v>
          </cell>
          <cell r="K1293" t="str">
            <v>RO/2021/005541/A #5/12</v>
          </cell>
        </row>
        <row r="1294">
          <cell r="D1294" t="str">
            <v>KSM32ES8/16ME</v>
          </cell>
          <cell r="E1294" t="str">
            <v>2146 0000009340270-S000134</v>
          </cell>
          <cell r="K1294" t="str">
            <v>RO/2021/005541/A #5/12</v>
          </cell>
        </row>
        <row r="1295">
          <cell r="D1295" t="str">
            <v>KSM32ES8/16ME</v>
          </cell>
          <cell r="E1295" t="str">
            <v>2146 0000009340270-S000047</v>
          </cell>
          <cell r="K1295" t="str">
            <v>RO/2021/005541/A #5/12</v>
          </cell>
        </row>
        <row r="1296">
          <cell r="D1296" t="str">
            <v>KSM32ES8/16ME</v>
          </cell>
          <cell r="E1296" t="str">
            <v>2146 0000009340270-S000133</v>
          </cell>
          <cell r="K1296" t="str">
            <v>RO/2021/005541/A #5/12</v>
          </cell>
        </row>
        <row r="1297">
          <cell r="D1297" t="str">
            <v>KSM32ES8/16ME</v>
          </cell>
          <cell r="E1297" t="str">
            <v>2146 0000009340270-S000052</v>
          </cell>
          <cell r="K1297" t="str">
            <v>RO/2021/005541/A #6/12</v>
          </cell>
        </row>
        <row r="1298">
          <cell r="D1298" t="str">
            <v>KSM32ES8/16ME</v>
          </cell>
          <cell r="E1298" t="str">
            <v>2146 0000009340270-S000165</v>
          </cell>
          <cell r="K1298" t="str">
            <v>RO/2021/005541/A #6/12</v>
          </cell>
        </row>
        <row r="1299">
          <cell r="D1299" t="str">
            <v>KSM32ES8/16ME</v>
          </cell>
          <cell r="E1299" t="str">
            <v>2146 0000009340270-S000177</v>
          </cell>
          <cell r="K1299" t="str">
            <v>RO/2021/005541/A #7/12</v>
          </cell>
        </row>
        <row r="1300">
          <cell r="D1300" t="str">
            <v>KSM32ES8/16ME</v>
          </cell>
          <cell r="E1300" t="str">
            <v>2146 0000009340270-S000007</v>
          </cell>
          <cell r="K1300" t="str">
            <v>RO/2021/005541/A #6/12</v>
          </cell>
        </row>
        <row r="1301">
          <cell r="D1301" t="str">
            <v>KSM32ES8/16ME</v>
          </cell>
          <cell r="E1301" t="str">
            <v>2146 0000009340270-S000209</v>
          </cell>
          <cell r="K1301" t="str">
            <v>RO/2021/005541/A #6/12</v>
          </cell>
        </row>
        <row r="1302">
          <cell r="D1302" t="str">
            <v>KSM32ES8/16ME</v>
          </cell>
          <cell r="E1302" t="str">
            <v>2147 0000009344209-S000089</v>
          </cell>
          <cell r="K1302" t="str">
            <v>RO/2021/005541/A #8/12</v>
          </cell>
        </row>
        <row r="1303">
          <cell r="D1303" t="str">
            <v>KSM32ES8/16ME</v>
          </cell>
          <cell r="E1303" t="str">
            <v>2147 0000009344209-S000131</v>
          </cell>
          <cell r="K1303" t="str">
            <v>RO/2021/005541/A #8/12</v>
          </cell>
        </row>
        <row r="1304">
          <cell r="D1304" t="str">
            <v>KSM32ES8/16ME</v>
          </cell>
          <cell r="E1304" t="str">
            <v>2147 0000009344209-S000099</v>
          </cell>
          <cell r="K1304" t="str">
            <v>RO/2021/005541/A #8/12</v>
          </cell>
        </row>
        <row r="1305">
          <cell r="D1305" t="str">
            <v>KSM32ES8/16ME</v>
          </cell>
          <cell r="E1305" t="str">
            <v>2147 0000009344209-S000127</v>
          </cell>
          <cell r="K1305" t="str">
            <v>RO/2021/005541/A #7/12</v>
          </cell>
        </row>
        <row r="1306">
          <cell r="D1306" t="str">
            <v>KSM32ES8/16ME</v>
          </cell>
          <cell r="E1306" t="str">
            <v>2147 0000009344209-S000057</v>
          </cell>
          <cell r="K1306" t="str">
            <v>RO/2021/005541/A #7/12</v>
          </cell>
        </row>
        <row r="1307">
          <cell r="D1307" t="str">
            <v>KSM32ES8/16ME</v>
          </cell>
          <cell r="E1307" t="str">
            <v>2147 0000009344209-S000054</v>
          </cell>
          <cell r="K1307" t="str">
            <v>RO/2021/005541/A #9/12</v>
          </cell>
        </row>
        <row r="1308">
          <cell r="D1308" t="str">
            <v>KSM32ES8/16ME</v>
          </cell>
          <cell r="E1308" t="str">
            <v>2147 0000009344209-S000115</v>
          </cell>
          <cell r="K1308" t="str">
            <v>RO/2021/005541/A #7/12</v>
          </cell>
        </row>
        <row r="1309">
          <cell r="D1309" t="str">
            <v>KSM32ES8/16ME</v>
          </cell>
          <cell r="E1309" t="str">
            <v>2147 0000009344209-S000189</v>
          </cell>
          <cell r="K1309" t="str">
            <v>RO/2021/005541/A #9/12</v>
          </cell>
        </row>
        <row r="1310">
          <cell r="D1310" t="str">
            <v>KSM32ES8/16ME</v>
          </cell>
          <cell r="E1310" t="str">
            <v>2147 0000009344209-S000132</v>
          </cell>
          <cell r="K1310" t="str">
            <v>RO/2021/005541/A #9/12</v>
          </cell>
        </row>
        <row r="1311">
          <cell r="D1311" t="str">
            <v>KSM32ES8/16ME</v>
          </cell>
          <cell r="E1311" t="str">
            <v>2147 0000009344209-S000056</v>
          </cell>
          <cell r="K1311" t="str">
            <v>RO/2021/005541/A #8/12</v>
          </cell>
        </row>
        <row r="1312">
          <cell r="D1312" t="str">
            <v>KSM32ES8/16ME</v>
          </cell>
          <cell r="E1312" t="str">
            <v>2147 0000009344209-S000111</v>
          </cell>
          <cell r="K1312" t="str">
            <v>RO/2021/005541/A #9/12</v>
          </cell>
        </row>
        <row r="1313">
          <cell r="D1313" t="str">
            <v>KSM32ES8/16ME</v>
          </cell>
          <cell r="E1313" t="str">
            <v>2147 0000009344209-S000087</v>
          </cell>
          <cell r="K1313" t="str">
            <v>RO/2021/005541/A #12/12</v>
          </cell>
        </row>
        <row r="1314">
          <cell r="D1314" t="str">
            <v>KSM32ES8/16ME</v>
          </cell>
          <cell r="E1314" t="str">
            <v>2147 0000009344209-S000125</v>
          </cell>
          <cell r="K1314" t="str">
            <v>RO/2021/005541/A #11/12</v>
          </cell>
        </row>
        <row r="1315">
          <cell r="D1315" t="str">
            <v>KSM32ES8/16ME</v>
          </cell>
          <cell r="E1315" t="str">
            <v>2147 0000009344209-S000116</v>
          </cell>
          <cell r="K1315" t="str">
            <v>RO/2021/005541/A #11/12</v>
          </cell>
        </row>
        <row r="1316">
          <cell r="D1316" t="str">
            <v>KSM32ES8/16ME</v>
          </cell>
          <cell r="E1316" t="str">
            <v>2147 0000009344209-S000093</v>
          </cell>
          <cell r="K1316" t="str">
            <v>RO/2021/005541/A #11/12</v>
          </cell>
        </row>
        <row r="1317">
          <cell r="D1317" t="str">
            <v>KSM32ES8/16ME</v>
          </cell>
          <cell r="E1317" t="str">
            <v>2147 0000009344209-S000128</v>
          </cell>
          <cell r="K1317" t="str">
            <v>RO/2021/005541/A #11/12</v>
          </cell>
        </row>
        <row r="1318">
          <cell r="D1318" t="str">
            <v>KSM32ES8/16ME</v>
          </cell>
          <cell r="E1318" t="str">
            <v>2147 0000009344209-S000026</v>
          </cell>
          <cell r="K1318" t="str">
            <v>RO/2021/005541/A #12/12</v>
          </cell>
        </row>
        <row r="1319">
          <cell r="D1319" t="str">
            <v>KSM32ES8/16ME</v>
          </cell>
          <cell r="E1319" t="str">
            <v>2147 0000009344209-S000112</v>
          </cell>
          <cell r="K1319" t="str">
            <v>RO/2021/005541/A #12/12</v>
          </cell>
        </row>
        <row r="1320">
          <cell r="D1320" t="str">
            <v>KSM32ES8/16ME</v>
          </cell>
          <cell r="E1320" t="str">
            <v>2147 0000009344209-S000091</v>
          </cell>
          <cell r="K1320" t="str">
            <v>RO/2021/005541/A #12/12</v>
          </cell>
        </row>
        <row r="1321">
          <cell r="D1321" t="str">
            <v>KSM32ES8/16ME</v>
          </cell>
          <cell r="E1321" t="str">
            <v>2147 0000009344209-S000126</v>
          </cell>
          <cell r="K1321" t="str">
            <v>RO/2021/005541/A #10/12</v>
          </cell>
        </row>
        <row r="1322">
          <cell r="D1322" t="str">
            <v>KSM32ES8/16ME</v>
          </cell>
          <cell r="E1322" t="str">
            <v>2147 0000009344209-S000100</v>
          </cell>
          <cell r="K1322" t="str">
            <v>RO/2021/005541/A #10/12</v>
          </cell>
        </row>
        <row r="1323">
          <cell r="D1323" t="str">
            <v>KSM32ES8/16ME</v>
          </cell>
          <cell r="E1323" t="str">
            <v>2147 0000009344209-S000055</v>
          </cell>
          <cell r="K1323" t="str">
            <v>RO/2021/005541/A #10/12</v>
          </cell>
        </row>
        <row r="1324">
          <cell r="D1324" t="str">
            <v>KSM32ES8/16ME</v>
          </cell>
          <cell r="E1324" t="str">
            <v>2147 0000009344209-S000053</v>
          </cell>
          <cell r="K1324" t="str">
            <v>RO/2021/005541/A #10/12</v>
          </cell>
        </row>
        <row r="1325">
          <cell r="D1325" t="str">
            <v>BX80684E2224</v>
          </cell>
          <cell r="E1325" t="str">
            <v>U1LG145401321</v>
          </cell>
        </row>
        <row r="1326">
          <cell r="D1326" t="str">
            <v>MZ7LH960HAJR-00005</v>
          </cell>
          <cell r="E1326" t="str">
            <v>S45NNA1RC51187</v>
          </cell>
        </row>
        <row r="1327">
          <cell r="D1327" t="str">
            <v>MZ7LH960HAJR-00005</v>
          </cell>
          <cell r="E1327" t="str">
            <v>S45NNA1RC51189</v>
          </cell>
        </row>
        <row r="1328">
          <cell r="D1328" t="str">
            <v>MZ7L3960HCJR-00A07</v>
          </cell>
          <cell r="E1328" t="str">
            <v>S662NE0RC11382</v>
          </cell>
        </row>
        <row r="1329">
          <cell r="D1329" t="str">
            <v>MZ7L3960HCJR-00A07</v>
          </cell>
          <cell r="E1329" t="str">
            <v>S662NE0RC11385</v>
          </cell>
        </row>
        <row r="1330">
          <cell r="D1330" t="str">
            <v>MZ7L3960HCJR-00A07</v>
          </cell>
          <cell r="E1330" t="str">
            <v>S662NE0RC11383</v>
          </cell>
        </row>
        <row r="1331">
          <cell r="D1331" t="str">
            <v>MZ7L3960HCJR-00A07</v>
          </cell>
          <cell r="E1331" t="str">
            <v>S662NE0RC11387</v>
          </cell>
        </row>
        <row r="1332">
          <cell r="D1332" t="str">
            <v>MZ7L3960HCJR-00A07</v>
          </cell>
          <cell r="E1332" t="str">
            <v>S662NE0RC11384</v>
          </cell>
        </row>
        <row r="1333">
          <cell r="D1333" t="str">
            <v>MZ7L3960HCJR-00A07</v>
          </cell>
          <cell r="E1333" t="str">
            <v>S662NE0RC11388</v>
          </cell>
        </row>
        <row r="1334">
          <cell r="D1334" t="str">
            <v>MZ7L3480HCHQ-00A07</v>
          </cell>
          <cell r="E1334" t="str">
            <v>S664NE0RC09324</v>
          </cell>
        </row>
        <row r="1335">
          <cell r="D1335" t="str">
            <v>MZ7L3480HCHQ-00A07</v>
          </cell>
          <cell r="E1335" t="str">
            <v>S664NE0RC09332</v>
          </cell>
        </row>
        <row r="1336">
          <cell r="D1336" t="str">
            <v>MZ7L3480HCHQ-00A07</v>
          </cell>
          <cell r="E1336" t="str">
            <v>S664NE0RC09293</v>
          </cell>
        </row>
        <row r="1337">
          <cell r="D1337" t="str">
            <v>MZ7L3480HCHQ-00A07</v>
          </cell>
          <cell r="E1337" t="str">
            <v>S664NE0RC09330</v>
          </cell>
        </row>
        <row r="1338">
          <cell r="D1338" t="str">
            <v>CD8069503956401 SILVER 4208</v>
          </cell>
          <cell r="E1338" t="str">
            <v>J151G003</v>
          </cell>
        </row>
        <row r="1339">
          <cell r="D1339" t="str">
            <v>CD8069503956401 SILVER 4208</v>
          </cell>
          <cell r="E1339" t="str">
            <v>J151G003</v>
          </cell>
        </row>
        <row r="1340">
          <cell r="D1340" t="str">
            <v>CD8069503956401 SILVER 4208</v>
          </cell>
          <cell r="E1340" t="str">
            <v>J151G003</v>
          </cell>
        </row>
        <row r="1341">
          <cell r="D1341" t="str">
            <v>CD8069503956401 SILVER 4208</v>
          </cell>
          <cell r="E1341" t="str">
            <v>J151G003</v>
          </cell>
        </row>
        <row r="1342">
          <cell r="D1342" t="str">
            <v>CD8069503956401 SILVER 4208</v>
          </cell>
          <cell r="E1342" t="str">
            <v>J151G003</v>
          </cell>
        </row>
        <row r="1343">
          <cell r="D1343" t="str">
            <v>CD8069503956401 SILVER 4208</v>
          </cell>
          <cell r="E1343" t="str">
            <v>J151G003</v>
          </cell>
        </row>
        <row r="1344">
          <cell r="D1344" t="str">
            <v>CD8069503956401 SILVER 4208</v>
          </cell>
          <cell r="E1344" t="str">
            <v>J151G003</v>
          </cell>
        </row>
        <row r="1345">
          <cell r="D1345" t="str">
            <v>CD8069503956401 SILVER 4208</v>
          </cell>
          <cell r="E1345" t="str">
            <v>J151G003</v>
          </cell>
        </row>
        <row r="1346">
          <cell r="D1346" t="str">
            <v>CD8069503956401 SILVER 4208</v>
          </cell>
          <cell r="E1346" t="str">
            <v>J151G003</v>
          </cell>
        </row>
        <row r="1347">
          <cell r="D1347" t="str">
            <v>CD8069503956401 SILVER 4208</v>
          </cell>
          <cell r="E1347" t="str">
            <v>J151G003</v>
          </cell>
        </row>
        <row r="1348">
          <cell r="D1348" t="str">
            <v>CD8069503956401 SILVER 4208</v>
          </cell>
          <cell r="E1348" t="str">
            <v>J151G003</v>
          </cell>
        </row>
        <row r="1349">
          <cell r="D1349" t="str">
            <v>CD8069503956401 SILVER 4208</v>
          </cell>
          <cell r="E1349" t="str">
            <v>J151G003</v>
          </cell>
        </row>
        <row r="1350">
          <cell r="D1350" t="str">
            <v>CD8069503956401 SILVER 4208</v>
          </cell>
          <cell r="E1350" t="str">
            <v>J151G003</v>
          </cell>
        </row>
        <row r="1351">
          <cell r="D1351" t="str">
            <v>CD8069503956401 SILVER 4208</v>
          </cell>
          <cell r="E1351" t="str">
            <v>J151G003</v>
          </cell>
        </row>
        <row r="1352">
          <cell r="D1352" t="str">
            <v>CD8069503956401 SILVER 4208</v>
          </cell>
          <cell r="E1352" t="str">
            <v>J151G003</v>
          </cell>
        </row>
        <row r="1353">
          <cell r="D1353" t="str">
            <v>CD8069503956401 SILVER 4208</v>
          </cell>
          <cell r="E1353" t="str">
            <v>J151G003</v>
          </cell>
        </row>
        <row r="1354">
          <cell r="D1354" t="str">
            <v>CD8069503956401 SILVER 4208</v>
          </cell>
          <cell r="E1354" t="str">
            <v>J151G003</v>
          </cell>
        </row>
        <row r="1355">
          <cell r="D1355" t="str">
            <v>CD8069503956401 SILVER 4208</v>
          </cell>
          <cell r="E1355" t="str">
            <v>J151G003</v>
          </cell>
        </row>
        <row r="1356">
          <cell r="D1356" t="str">
            <v>CD8069503956401 SILVER 4208</v>
          </cell>
          <cell r="E1356" t="str">
            <v>J151G003</v>
          </cell>
        </row>
        <row r="1357">
          <cell r="D1357" t="str">
            <v>CD8069503956401 SILVER 4208</v>
          </cell>
          <cell r="E1357" t="str">
            <v>J151G003</v>
          </cell>
        </row>
        <row r="1358">
          <cell r="D1358" t="str">
            <v>CD8069503956401 SILVER 4208</v>
          </cell>
          <cell r="E1358" t="str">
            <v>J151G003</v>
          </cell>
        </row>
        <row r="1359">
          <cell r="D1359" t="str">
            <v>CD8069503956401 SILVER 4208</v>
          </cell>
          <cell r="E1359" t="str">
            <v>J151G003</v>
          </cell>
        </row>
        <row r="1360">
          <cell r="D1360" t="str">
            <v>CD8069503956401 SILVER 4208</v>
          </cell>
          <cell r="E1360" t="str">
            <v>J151G003</v>
          </cell>
        </row>
        <row r="1361">
          <cell r="D1361" t="str">
            <v>CD8069503956401 SILVER 4208</v>
          </cell>
          <cell r="E1361" t="str">
            <v>J151G003</v>
          </cell>
        </row>
        <row r="1362">
          <cell r="D1362" t="str">
            <v>CD8069503956401 SILVER 4208</v>
          </cell>
          <cell r="E1362" t="str">
            <v>J151G003</v>
          </cell>
        </row>
        <row r="1363">
          <cell r="D1363" t="str">
            <v>CD8069503956401 SILVER 4208</v>
          </cell>
          <cell r="E1363" t="str">
            <v>J151G003</v>
          </cell>
        </row>
        <row r="1364">
          <cell r="D1364" t="str">
            <v>CD8069503956401 SILVER 4208</v>
          </cell>
          <cell r="E1364" t="str">
            <v>J151G003</v>
          </cell>
        </row>
        <row r="1365">
          <cell r="D1365" t="str">
            <v>CD8069503956401 SILVER 4208</v>
          </cell>
          <cell r="E1365" t="str">
            <v>J151G003</v>
          </cell>
        </row>
        <row r="1366">
          <cell r="D1366" t="str">
            <v>CD8069503956401 SILVER 4208</v>
          </cell>
          <cell r="E1366" t="str">
            <v>J151G003</v>
          </cell>
        </row>
        <row r="1367">
          <cell r="D1367" t="str">
            <v>CD8069503956401 SILVER 4208</v>
          </cell>
          <cell r="E1367" t="str">
            <v>J151G003</v>
          </cell>
        </row>
        <row r="1368">
          <cell r="D1368" t="str">
            <v>CD8069503956401 SILVER 4208</v>
          </cell>
          <cell r="E1368" t="str">
            <v>J151G003</v>
          </cell>
        </row>
        <row r="1369">
          <cell r="D1369" t="str">
            <v>CD8069503956401 SILVER 4208</v>
          </cell>
          <cell r="E1369" t="str">
            <v>J151G003</v>
          </cell>
        </row>
        <row r="1370">
          <cell r="D1370" t="str">
            <v>CD8069503956401 SILVER 4208</v>
          </cell>
          <cell r="E1370" t="str">
            <v>J151G003</v>
          </cell>
        </row>
        <row r="1371">
          <cell r="D1371" t="str">
            <v>CD8069503956401 SILVER 4208</v>
          </cell>
          <cell r="E1371" t="str">
            <v>J151G003</v>
          </cell>
        </row>
        <row r="1372">
          <cell r="D1372" t="str">
            <v>CD8069503956401 SILVER 4208</v>
          </cell>
          <cell r="E1372" t="str">
            <v>J151G003</v>
          </cell>
        </row>
        <row r="1373">
          <cell r="D1373" t="str">
            <v>CD8069503956401 SILVER 4208</v>
          </cell>
          <cell r="E1373" t="str">
            <v>J151G003</v>
          </cell>
        </row>
        <row r="1374">
          <cell r="D1374" t="str">
            <v>CD8069503956401 SILVER 4208</v>
          </cell>
          <cell r="E1374" t="str">
            <v>J151G003</v>
          </cell>
        </row>
        <row r="1375">
          <cell r="D1375" t="str">
            <v>CD8069503956401 SILVER 4208</v>
          </cell>
          <cell r="E1375" t="str">
            <v>J151G003</v>
          </cell>
        </row>
        <row r="1376">
          <cell r="D1376" t="str">
            <v>CD8069503956401 SILVER 4208</v>
          </cell>
          <cell r="E1376" t="str">
            <v>J151G003</v>
          </cell>
        </row>
        <row r="1377">
          <cell r="D1377" t="str">
            <v>CD8069503956401 SILVER 4208</v>
          </cell>
          <cell r="E1377" t="str">
            <v>J151G003</v>
          </cell>
        </row>
        <row r="1378">
          <cell r="D1378" t="str">
            <v>CD8069503956401 SILVER 4208</v>
          </cell>
          <cell r="E1378" t="str">
            <v>J151G003</v>
          </cell>
        </row>
        <row r="1379">
          <cell r="D1379" t="str">
            <v>CD8069503956401 SILVER 4208</v>
          </cell>
          <cell r="E1379" t="str">
            <v>J151G003</v>
          </cell>
        </row>
        <row r="1380">
          <cell r="D1380" t="str">
            <v>CD8069503956401 SILVER 4208</v>
          </cell>
          <cell r="E1380" t="str">
            <v>J151G003</v>
          </cell>
        </row>
        <row r="1381">
          <cell r="D1381" t="str">
            <v>CD8069503956401 SILVER 4208</v>
          </cell>
          <cell r="E1381" t="str">
            <v>J151G003</v>
          </cell>
        </row>
        <row r="1382">
          <cell r="D1382" t="str">
            <v>CD8069503956401 SILVER 4208</v>
          </cell>
          <cell r="E1382" t="str">
            <v>J151G003</v>
          </cell>
        </row>
        <row r="1383">
          <cell r="D1383" t="str">
            <v>CD8069503956401 SILVER 4208</v>
          </cell>
          <cell r="E1383" t="str">
            <v>J151G003</v>
          </cell>
        </row>
        <row r="1384">
          <cell r="D1384" t="str">
            <v>CD8069503956401 SILVER 4208</v>
          </cell>
          <cell r="E1384" t="str">
            <v>J151G003</v>
          </cell>
        </row>
        <row r="1385">
          <cell r="D1385" t="str">
            <v>CD8069503956401 SILVER 4208</v>
          </cell>
          <cell r="E1385" t="str">
            <v>J151G003</v>
          </cell>
        </row>
        <row r="1386">
          <cell r="D1386" t="str">
            <v>CD8069503956401 SILVER 4208</v>
          </cell>
          <cell r="E1386" t="str">
            <v>J151G003</v>
          </cell>
        </row>
        <row r="1387">
          <cell r="D1387" t="str">
            <v>CD8069503956401 SILVER 4208</v>
          </cell>
          <cell r="E1387" t="str">
            <v>J151G003</v>
          </cell>
        </row>
        <row r="1388">
          <cell r="D1388" t="str">
            <v>CD8069503956401 SILVER 4208</v>
          </cell>
          <cell r="E1388" t="str">
            <v>J151G003</v>
          </cell>
        </row>
        <row r="1389">
          <cell r="D1389" t="str">
            <v>CD8069503956401 SILVER 4208</v>
          </cell>
          <cell r="E1389" t="str">
            <v>J151G003</v>
          </cell>
        </row>
        <row r="1390">
          <cell r="D1390" t="str">
            <v>CD8069503956401 SILVER 4208</v>
          </cell>
          <cell r="E1390" t="str">
            <v>J151G003</v>
          </cell>
        </row>
        <row r="1391">
          <cell r="D1391" t="str">
            <v>CD8069503956401 SILVER 4208</v>
          </cell>
          <cell r="E1391" t="str">
            <v>J151G003</v>
          </cell>
        </row>
        <row r="1392">
          <cell r="D1392" t="str">
            <v>CD8069503956401 SILVER 4208</v>
          </cell>
          <cell r="E1392" t="str">
            <v>J151G003</v>
          </cell>
        </row>
        <row r="1393">
          <cell r="D1393" t="str">
            <v>CD8069503956401 SILVER 4208</v>
          </cell>
          <cell r="E1393" t="str">
            <v>J151G003</v>
          </cell>
        </row>
        <row r="1394">
          <cell r="D1394" t="str">
            <v>CD8069503956401 SILVER 4208</v>
          </cell>
          <cell r="E1394" t="str">
            <v>J151G003</v>
          </cell>
        </row>
        <row r="1395">
          <cell r="D1395" t="str">
            <v>CD8069503956401 SILVER 4208</v>
          </cell>
          <cell r="E1395" t="str">
            <v>J151G003</v>
          </cell>
        </row>
        <row r="1396">
          <cell r="D1396" t="str">
            <v>CD8069503956401 SILVER 4208</v>
          </cell>
          <cell r="E1396" t="str">
            <v>J151G003</v>
          </cell>
        </row>
        <row r="1397">
          <cell r="D1397" t="str">
            <v>CD8069503956401 SILVER 4208</v>
          </cell>
          <cell r="E1397" t="str">
            <v>J151G003</v>
          </cell>
        </row>
        <row r="1398">
          <cell r="D1398" t="str">
            <v>CD8069503956401 SILVER 4208</v>
          </cell>
          <cell r="E1398" t="str">
            <v>J151G359</v>
          </cell>
        </row>
        <row r="1399">
          <cell r="D1399" t="str">
            <v>CD8069503956401 SILVER 4208</v>
          </cell>
          <cell r="E1399" t="str">
            <v>J151G359</v>
          </cell>
        </row>
        <row r="1400">
          <cell r="D1400" t="str">
            <v>CD8069503956401 SILVER 4208</v>
          </cell>
          <cell r="E1400" t="str">
            <v>J151G359</v>
          </cell>
        </row>
        <row r="1401">
          <cell r="D1401" t="str">
            <v>CD8069503956401 SILVER 4208</v>
          </cell>
          <cell r="E1401" t="str">
            <v>J151G359</v>
          </cell>
        </row>
        <row r="1402">
          <cell r="D1402" t="str">
            <v>CD8069503956401 SILVER 4208</v>
          </cell>
          <cell r="E1402" t="str">
            <v>J151G359</v>
          </cell>
        </row>
        <row r="1403">
          <cell r="D1403" t="str">
            <v>CD8069503956401 SILVER 4208</v>
          </cell>
          <cell r="E1403" t="str">
            <v>J151G359</v>
          </cell>
        </row>
        <row r="1404">
          <cell r="D1404" t="str">
            <v>CD8069503956401 SILVER 4208</v>
          </cell>
          <cell r="E1404" t="str">
            <v>J151G359</v>
          </cell>
        </row>
        <row r="1405">
          <cell r="D1405" t="str">
            <v>CD8069503956401 SILVER 4208</v>
          </cell>
          <cell r="E1405" t="str">
            <v>J151G359</v>
          </cell>
        </row>
        <row r="1406">
          <cell r="D1406" t="str">
            <v>CD8069503956401 SILVER 4208</v>
          </cell>
          <cell r="E1406" t="str">
            <v>J151G359</v>
          </cell>
        </row>
        <row r="1407">
          <cell r="D1407" t="str">
            <v>CD8069503956401 SILVER 4208</v>
          </cell>
          <cell r="E1407" t="str">
            <v>J151G359</v>
          </cell>
        </row>
        <row r="1408">
          <cell r="D1408" t="str">
            <v>CD8069503956401 SILVER 4208</v>
          </cell>
          <cell r="E1408" t="str">
            <v>J151G359</v>
          </cell>
        </row>
        <row r="1409">
          <cell r="D1409" t="str">
            <v>CD8069503956401 SILVER 4208</v>
          </cell>
          <cell r="E1409" t="str">
            <v>J151G359</v>
          </cell>
        </row>
        <row r="1410">
          <cell r="D1410" t="str">
            <v>CD8069503956401 SILVER 4208</v>
          </cell>
          <cell r="E1410" t="str">
            <v>J151G359</v>
          </cell>
        </row>
        <row r="1411">
          <cell r="D1411" t="str">
            <v>CD8069503956401 SILVER 4208</v>
          </cell>
          <cell r="E1411" t="str">
            <v>J151G359</v>
          </cell>
        </row>
        <row r="1412">
          <cell r="D1412" t="str">
            <v>CD8069503956401 SILVER 4208</v>
          </cell>
          <cell r="E1412" t="str">
            <v>J151G359</v>
          </cell>
        </row>
        <row r="1413">
          <cell r="D1413" t="str">
            <v>CD8069503956401 SILVER 4208</v>
          </cell>
          <cell r="E1413" t="str">
            <v>J151G359</v>
          </cell>
        </row>
        <row r="1414">
          <cell r="D1414" t="str">
            <v>CD8069503956401 SILVER 4208</v>
          </cell>
          <cell r="E1414" t="str">
            <v>J151G359</v>
          </cell>
        </row>
        <row r="1415">
          <cell r="D1415" t="str">
            <v>CD8069503956401 SILVER 4208</v>
          </cell>
          <cell r="E1415" t="str">
            <v>J151G359</v>
          </cell>
        </row>
        <row r="1416">
          <cell r="D1416" t="str">
            <v>CD8069503956401 SILVER 4208</v>
          </cell>
          <cell r="E1416" t="str">
            <v>J151G359</v>
          </cell>
        </row>
        <row r="1417">
          <cell r="D1417" t="str">
            <v>CD8069503956401 SILVER 4208</v>
          </cell>
          <cell r="E1417" t="str">
            <v>J151G359</v>
          </cell>
        </row>
        <row r="1418">
          <cell r="D1418" t="str">
            <v>CD8069503956401 SILVER 4208</v>
          </cell>
          <cell r="E1418" t="str">
            <v>J151G359</v>
          </cell>
        </row>
        <row r="1419">
          <cell r="D1419" t="str">
            <v>CD8069503956401 SILVER 4208</v>
          </cell>
          <cell r="E1419" t="str">
            <v>J151G359</v>
          </cell>
        </row>
        <row r="1420">
          <cell r="D1420" t="str">
            <v>CD8069503956401 SILVER 4208</v>
          </cell>
          <cell r="E1420" t="str">
            <v>J151G359</v>
          </cell>
        </row>
        <row r="1421">
          <cell r="D1421" t="str">
            <v>CD8069503956401 SILVER 4208</v>
          </cell>
          <cell r="E1421" t="str">
            <v>J151G359</v>
          </cell>
        </row>
        <row r="1422">
          <cell r="D1422" t="str">
            <v>CD8069503956401 SILVER 4208</v>
          </cell>
          <cell r="E1422" t="str">
            <v>J151G359</v>
          </cell>
        </row>
        <row r="1423">
          <cell r="D1423" t="str">
            <v>CD8069503956401 SILVER 4208</v>
          </cell>
          <cell r="E1423" t="str">
            <v>J151G359</v>
          </cell>
        </row>
        <row r="1424">
          <cell r="D1424" t="str">
            <v>CD8069503956401 SILVER 4208</v>
          </cell>
          <cell r="E1424" t="str">
            <v>J151G359</v>
          </cell>
        </row>
        <row r="1425">
          <cell r="D1425" t="str">
            <v>CD8069503956401 SILVER 4208</v>
          </cell>
          <cell r="E1425" t="str">
            <v>J151G359</v>
          </cell>
        </row>
        <row r="1426">
          <cell r="D1426" t="str">
            <v>CD8069503956401 SILVER 4208</v>
          </cell>
          <cell r="E1426" t="str">
            <v>J151G359</v>
          </cell>
        </row>
        <row r="1427">
          <cell r="D1427" t="str">
            <v>CD8069503956401 SILVER 4208</v>
          </cell>
          <cell r="E1427" t="str">
            <v>J151G359</v>
          </cell>
        </row>
        <row r="1428">
          <cell r="D1428" t="str">
            <v>CD8069503956401 SILVER 4208</v>
          </cell>
          <cell r="E1428" t="str">
            <v>J151G359</v>
          </cell>
        </row>
        <row r="1429">
          <cell r="D1429" t="str">
            <v>CD8069503956401 SILVER 4208</v>
          </cell>
          <cell r="E1429" t="str">
            <v>J151G359</v>
          </cell>
        </row>
        <row r="1430">
          <cell r="D1430" t="str">
            <v>CD8069503956401 SILVER 4208</v>
          </cell>
          <cell r="E1430" t="str">
            <v>J151G359</v>
          </cell>
        </row>
        <row r="1431">
          <cell r="D1431" t="str">
            <v>CD8069503956401 SILVER 4208</v>
          </cell>
          <cell r="E1431" t="str">
            <v>J151G359</v>
          </cell>
        </row>
        <row r="1432">
          <cell r="D1432" t="str">
            <v>CD8069503956401 SILVER 4208</v>
          </cell>
          <cell r="E1432" t="str">
            <v>J151G359</v>
          </cell>
        </row>
        <row r="1433">
          <cell r="D1433" t="str">
            <v>CD8069503956401 SILVER 4208</v>
          </cell>
          <cell r="E1433" t="str">
            <v>J151G359</v>
          </cell>
        </row>
        <row r="1434">
          <cell r="D1434" t="str">
            <v>CD8069503956401 SILVER 4208</v>
          </cell>
          <cell r="E1434" t="str">
            <v>J151G359</v>
          </cell>
        </row>
        <row r="1435">
          <cell r="D1435" t="str">
            <v>CD8069503956401 SILVER 4208</v>
          </cell>
          <cell r="E1435" t="str">
            <v>J151G359</v>
          </cell>
        </row>
        <row r="1436">
          <cell r="D1436" t="str">
            <v>CD8069503956401 SILVER 4208</v>
          </cell>
          <cell r="E1436" t="str">
            <v>J151G359</v>
          </cell>
        </row>
        <row r="1437">
          <cell r="D1437" t="str">
            <v>CD8069503956401 SILVER 4208</v>
          </cell>
          <cell r="E1437" t="str">
            <v>J151G359</v>
          </cell>
        </row>
        <row r="1438">
          <cell r="D1438" t="str">
            <v>CD8069503956401 SILVER 4208</v>
          </cell>
          <cell r="E1438" t="str">
            <v>J151G359</v>
          </cell>
        </row>
        <row r="1439">
          <cell r="D1439" t="str">
            <v>CD8069503956401 SILVER 4208</v>
          </cell>
          <cell r="E1439" t="str">
            <v>J151G359</v>
          </cell>
        </row>
        <row r="1440">
          <cell r="D1440" t="str">
            <v>CD8069503956401 SILVER 4208</v>
          </cell>
          <cell r="E1440" t="str">
            <v>J151G359</v>
          </cell>
        </row>
        <row r="1441">
          <cell r="D1441" t="str">
            <v>CD8069503956401 SILVER 4208</v>
          </cell>
          <cell r="E1441" t="str">
            <v>J151G359</v>
          </cell>
        </row>
        <row r="1442">
          <cell r="D1442" t="str">
            <v>CD8069503956401 SILVER 4208</v>
          </cell>
          <cell r="E1442" t="str">
            <v>J151G359</v>
          </cell>
        </row>
        <row r="1443">
          <cell r="D1443" t="str">
            <v>CD8069503956401 SILVER 4208</v>
          </cell>
          <cell r="E1443" t="str">
            <v>J151G359</v>
          </cell>
        </row>
        <row r="1444">
          <cell r="D1444" t="str">
            <v>CD8069503956401 SILVER 4208</v>
          </cell>
          <cell r="E1444" t="str">
            <v>J151G359</v>
          </cell>
        </row>
        <row r="1445">
          <cell r="D1445" t="str">
            <v>CD8069503956401 SILVER 4208</v>
          </cell>
          <cell r="E1445" t="str">
            <v>J151G359</v>
          </cell>
        </row>
        <row r="1446">
          <cell r="D1446" t="str">
            <v>CD8069503956401 SILVER 4208</v>
          </cell>
          <cell r="E1446" t="str">
            <v>J151G359</v>
          </cell>
        </row>
        <row r="1447">
          <cell r="D1447" t="str">
            <v>CD8069503956401 SILVER 4208</v>
          </cell>
          <cell r="E1447" t="str">
            <v>J151G359</v>
          </cell>
        </row>
        <row r="1448">
          <cell r="D1448" t="str">
            <v>CD8069503956401 SILVER 4208</v>
          </cell>
          <cell r="E1448" t="str">
            <v>J151G359</v>
          </cell>
        </row>
        <row r="1449">
          <cell r="D1449" t="str">
            <v>CD8069503956401 SILVER 4208</v>
          </cell>
          <cell r="E1449" t="str">
            <v>J151G359</v>
          </cell>
        </row>
        <row r="1450">
          <cell r="D1450" t="str">
            <v>CD8069503956401 SILVER 4208</v>
          </cell>
          <cell r="E1450" t="str">
            <v>J151G359</v>
          </cell>
        </row>
        <row r="1451">
          <cell r="D1451" t="str">
            <v>CD8069503956401 SILVER 4208</v>
          </cell>
          <cell r="E1451" t="str">
            <v>J151G359</v>
          </cell>
        </row>
        <row r="1452">
          <cell r="D1452" t="str">
            <v>CD8069503956401 SILVER 4208</v>
          </cell>
          <cell r="E1452" t="str">
            <v>J151G359</v>
          </cell>
        </row>
        <row r="1453">
          <cell r="D1453" t="str">
            <v>CD8069503956401 SILVER 4208</v>
          </cell>
          <cell r="E1453" t="str">
            <v>J151G359</v>
          </cell>
        </row>
        <row r="1454">
          <cell r="D1454" t="str">
            <v>CD8069503956401 SILVER 4208</v>
          </cell>
          <cell r="E1454" t="str">
            <v>J151G359</v>
          </cell>
        </row>
        <row r="1455">
          <cell r="D1455" t="str">
            <v>CD8069503956401 SILVER 4208</v>
          </cell>
          <cell r="E1455" t="str">
            <v>J151G359</v>
          </cell>
        </row>
        <row r="1456">
          <cell r="D1456" t="str">
            <v>CD8069503956401 SILVER 4208</v>
          </cell>
          <cell r="E1456" t="str">
            <v>J151G359</v>
          </cell>
        </row>
        <row r="1457">
          <cell r="D1457" t="str">
            <v>CD8069503956401 SILVER 4208</v>
          </cell>
          <cell r="E1457" t="str">
            <v>J151G359</v>
          </cell>
        </row>
        <row r="1458">
          <cell r="D1458" t="str">
            <v>CD8069503956401 SILVER 4208</v>
          </cell>
          <cell r="E1458" t="str">
            <v>J151G359</v>
          </cell>
        </row>
        <row r="1459">
          <cell r="D1459" t="str">
            <v>CD8069503956401 SILVER 4208</v>
          </cell>
          <cell r="E1459" t="str">
            <v>J151G359</v>
          </cell>
        </row>
        <row r="1460">
          <cell r="D1460" t="str">
            <v>CD8069503956401 SILVER 4208</v>
          </cell>
          <cell r="E1460" t="str">
            <v>J151G359</v>
          </cell>
        </row>
        <row r="1461">
          <cell r="D1461" t="str">
            <v>CD8069503956401 SILVER 4208</v>
          </cell>
          <cell r="E1461" t="str">
            <v>J151G359</v>
          </cell>
        </row>
        <row r="1462">
          <cell r="D1462" t="str">
            <v>CD8069503956401 SILVER 4208</v>
          </cell>
          <cell r="E1462" t="str">
            <v>J151G359</v>
          </cell>
        </row>
        <row r="1463">
          <cell r="D1463" t="str">
            <v>CD8069503956401 SILVER 4208</v>
          </cell>
          <cell r="E1463" t="str">
            <v>J151G359</v>
          </cell>
        </row>
        <row r="1464">
          <cell r="D1464" t="str">
            <v>CD8069503956401 SILVER 4208</v>
          </cell>
          <cell r="E1464" t="str">
            <v>J151G359</v>
          </cell>
        </row>
        <row r="1465">
          <cell r="D1465" t="str">
            <v>CD8069503956401 SILVER 4208</v>
          </cell>
          <cell r="E1465" t="str">
            <v>J151G359</v>
          </cell>
        </row>
        <row r="1466">
          <cell r="D1466" t="str">
            <v>CD8069503956401 SILVER 4208</v>
          </cell>
          <cell r="E1466" t="str">
            <v>J151G359</v>
          </cell>
        </row>
        <row r="1467">
          <cell r="D1467" t="str">
            <v>CD8069503956401 SILVER 4208</v>
          </cell>
          <cell r="E1467" t="str">
            <v>J151G359</v>
          </cell>
        </row>
        <row r="1468">
          <cell r="D1468" t="str">
            <v>CD8069503956401 SILVER 4208</v>
          </cell>
          <cell r="E1468" t="str">
            <v>J151G359</v>
          </cell>
        </row>
        <row r="1469">
          <cell r="D1469" t="str">
            <v>CD8069503956401 SILVER 4208</v>
          </cell>
          <cell r="E1469" t="str">
            <v>J151G359</v>
          </cell>
        </row>
        <row r="1470">
          <cell r="D1470" t="str">
            <v>CD8069503956401 SILVER 4208</v>
          </cell>
          <cell r="E1470" t="str">
            <v>J151G359</v>
          </cell>
        </row>
        <row r="1471">
          <cell r="D1471" t="str">
            <v>CD8069503956401 SILVER 4208</v>
          </cell>
          <cell r="E1471" t="str">
            <v>J151G359</v>
          </cell>
        </row>
        <row r="1472">
          <cell r="D1472" t="str">
            <v>CD8069503956401 SILVER 4208</v>
          </cell>
          <cell r="E1472" t="str">
            <v>J151G359</v>
          </cell>
        </row>
        <row r="1473">
          <cell r="D1473" t="str">
            <v>CD8069503956401 SILVER 4208</v>
          </cell>
          <cell r="E1473" t="str">
            <v>J151G359</v>
          </cell>
        </row>
        <row r="1474">
          <cell r="D1474" t="str">
            <v>CD8069503956401 SILVER 4208</v>
          </cell>
          <cell r="E1474" t="str">
            <v>J151G359</v>
          </cell>
        </row>
        <row r="1475">
          <cell r="D1475" t="str">
            <v>CD8069503956401 SILVER 4208</v>
          </cell>
          <cell r="E1475" t="str">
            <v>J151G359</v>
          </cell>
        </row>
        <row r="1476">
          <cell r="D1476" t="str">
            <v>0TS1874</v>
          </cell>
          <cell r="E1476" t="str">
            <v>A078E330</v>
          </cell>
        </row>
        <row r="1477">
          <cell r="D1477" t="str">
            <v>0TS1874</v>
          </cell>
          <cell r="E1477" t="str">
            <v>A078D6D0</v>
          </cell>
        </row>
        <row r="1478">
          <cell r="D1478" t="str">
            <v>0TS1874</v>
          </cell>
          <cell r="E1478" t="str">
            <v>A078EF86</v>
          </cell>
        </row>
        <row r="1479">
          <cell r="D1479" t="str">
            <v>0TS1874</v>
          </cell>
          <cell r="E1479" t="str">
            <v>A078F008</v>
          </cell>
        </row>
        <row r="1480">
          <cell r="D1480" t="str">
            <v>0TS1874</v>
          </cell>
          <cell r="E1480" t="str">
            <v>A078EFE8</v>
          </cell>
        </row>
        <row r="1481">
          <cell r="D1481" t="str">
            <v>0TS1874</v>
          </cell>
          <cell r="E1481" t="str">
            <v>A0792C10</v>
          </cell>
        </row>
        <row r="1482">
          <cell r="D1482" t="str">
            <v>0TS1874</v>
          </cell>
          <cell r="E1482" t="str">
            <v>A078ECBB</v>
          </cell>
        </row>
        <row r="1483">
          <cell r="D1483" t="str">
            <v>0TS1874</v>
          </cell>
          <cell r="E1483" t="str">
            <v>A078E18C</v>
          </cell>
        </row>
        <row r="1484">
          <cell r="D1484" t="str">
            <v>0TS1874</v>
          </cell>
          <cell r="E1484" t="str">
            <v>A078EDBD</v>
          </cell>
        </row>
        <row r="1485">
          <cell r="D1485" t="str">
            <v>0TS1874</v>
          </cell>
          <cell r="E1485" t="str">
            <v>A074F846</v>
          </cell>
        </row>
        <row r="1486">
          <cell r="D1486" t="str">
            <v>0TS1874</v>
          </cell>
          <cell r="E1486" t="str">
            <v>A078E230</v>
          </cell>
        </row>
        <row r="1487">
          <cell r="D1487" t="str">
            <v>0TS1874</v>
          </cell>
          <cell r="E1487" t="str">
            <v>A0792649</v>
          </cell>
        </row>
        <row r="1488">
          <cell r="D1488" t="str">
            <v>0TS1874</v>
          </cell>
          <cell r="E1488" t="str">
            <v>A078E0D0</v>
          </cell>
        </row>
        <row r="1489">
          <cell r="D1489" t="str">
            <v>0TS1874</v>
          </cell>
          <cell r="E1489" t="str">
            <v>A078D716</v>
          </cell>
        </row>
        <row r="1490">
          <cell r="D1490" t="str">
            <v>0TS1874</v>
          </cell>
          <cell r="E1490" t="str">
            <v>A078E18E</v>
          </cell>
        </row>
        <row r="1491">
          <cell r="D1491" t="str">
            <v>0TS1874</v>
          </cell>
          <cell r="E1491" t="str">
            <v>A078ED03</v>
          </cell>
        </row>
        <row r="1492">
          <cell r="D1492" t="str">
            <v>0TS1874</v>
          </cell>
          <cell r="E1492" t="str">
            <v>A078E0FB</v>
          </cell>
        </row>
        <row r="1493">
          <cell r="D1493" t="str">
            <v>0TS1874</v>
          </cell>
          <cell r="E1493" t="str">
            <v>A078F05D</v>
          </cell>
        </row>
        <row r="1494">
          <cell r="D1494" t="str">
            <v>0TS1874</v>
          </cell>
          <cell r="E1494" t="str">
            <v>A078E1F8</v>
          </cell>
        </row>
        <row r="1495">
          <cell r="D1495" t="str">
            <v>0TS1874</v>
          </cell>
          <cell r="E1495" t="str">
            <v>A0792479</v>
          </cell>
        </row>
        <row r="1496">
          <cell r="D1496" t="str">
            <v>0TS1874</v>
          </cell>
          <cell r="E1496" t="str">
            <v>A078ED0B</v>
          </cell>
        </row>
        <row r="1497">
          <cell r="D1497" t="str">
            <v>0TS1874</v>
          </cell>
          <cell r="E1497" t="str">
            <v>A078D6E2</v>
          </cell>
        </row>
        <row r="1498">
          <cell r="D1498" t="str">
            <v>0TS1874</v>
          </cell>
          <cell r="E1498" t="str">
            <v>A078E3FF</v>
          </cell>
        </row>
        <row r="1499">
          <cell r="D1499" t="str">
            <v>0TS1874</v>
          </cell>
          <cell r="E1499" t="str">
            <v>A078EF16</v>
          </cell>
        </row>
        <row r="1500">
          <cell r="D1500" t="str">
            <v>0TS1874</v>
          </cell>
          <cell r="E1500" t="str">
            <v>A078ED5F</v>
          </cell>
        </row>
        <row r="1501">
          <cell r="D1501" t="str">
            <v>0TS1874</v>
          </cell>
          <cell r="E1501" t="str">
            <v>A072020E</v>
          </cell>
        </row>
        <row r="1502">
          <cell r="D1502" t="str">
            <v>0TS1874</v>
          </cell>
          <cell r="E1502" t="str">
            <v>A079248A</v>
          </cell>
        </row>
        <row r="1503">
          <cell r="D1503" t="str">
            <v>0TS1874</v>
          </cell>
          <cell r="E1503" t="str">
            <v>A078EEE6</v>
          </cell>
        </row>
        <row r="1504">
          <cell r="D1504" t="str">
            <v>0TS1874</v>
          </cell>
          <cell r="E1504" t="str">
            <v>A078EEA3</v>
          </cell>
        </row>
        <row r="1505">
          <cell r="D1505" t="str">
            <v>0TS1874</v>
          </cell>
          <cell r="E1505" t="str">
            <v>A07924E7</v>
          </cell>
        </row>
        <row r="1506">
          <cell r="D1506" t="str">
            <v>0TS1874</v>
          </cell>
          <cell r="E1506" t="str">
            <v>A078E1AA</v>
          </cell>
        </row>
        <row r="1507">
          <cell r="D1507" t="str">
            <v>0TS1874</v>
          </cell>
          <cell r="E1507" t="str">
            <v>A078EE20</v>
          </cell>
        </row>
        <row r="1508">
          <cell r="D1508" t="str">
            <v>0TS1874</v>
          </cell>
          <cell r="E1508" t="str">
            <v>A078F019</v>
          </cell>
        </row>
        <row r="1509">
          <cell r="D1509" t="str">
            <v>0TS1874</v>
          </cell>
          <cell r="E1509" t="str">
            <v>A078EE2B</v>
          </cell>
        </row>
        <row r="1510">
          <cell r="D1510" t="str">
            <v>0TS1874</v>
          </cell>
          <cell r="E1510" t="str">
            <v>A078F01D</v>
          </cell>
        </row>
        <row r="1511">
          <cell r="D1511" t="str">
            <v>0TS1874</v>
          </cell>
          <cell r="E1511" t="str">
            <v>A078D605</v>
          </cell>
        </row>
        <row r="1512">
          <cell r="D1512" t="str">
            <v>0TS1874</v>
          </cell>
          <cell r="E1512" t="str">
            <v>A078ECD5</v>
          </cell>
        </row>
        <row r="1513">
          <cell r="D1513" t="str">
            <v>0TS1874</v>
          </cell>
          <cell r="E1513" t="str">
            <v>A0792636</v>
          </cell>
        </row>
        <row r="1514">
          <cell r="D1514" t="str">
            <v>0TS1874</v>
          </cell>
          <cell r="E1514" t="str">
            <v>A078D62A</v>
          </cell>
        </row>
        <row r="1515">
          <cell r="D1515" t="str">
            <v>0TS1874</v>
          </cell>
          <cell r="E1515" t="str">
            <v>A078ECB5</v>
          </cell>
        </row>
        <row r="1516">
          <cell r="D1516" t="str">
            <v>MEGARAID 9560-8I   05-50077-01</v>
          </cell>
          <cell r="E1516" t="str">
            <v>SKB4018157</v>
          </cell>
        </row>
        <row r="1517">
          <cell r="D1517" t="str">
            <v>MEGARAID 9560-8I   05-50077-01</v>
          </cell>
          <cell r="E1517" t="str">
            <v>SKB4001066</v>
          </cell>
        </row>
        <row r="1518">
          <cell r="D1518" t="str">
            <v>MEGARAID 9560-8I   05-50077-01</v>
          </cell>
          <cell r="E1518" t="str">
            <v>SKB4017226</v>
          </cell>
        </row>
        <row r="1519">
          <cell r="D1519" t="str">
            <v>MEGARAID 9560-8I   05-50077-01</v>
          </cell>
          <cell r="E1519" t="str">
            <v>SKB4018187</v>
          </cell>
        </row>
        <row r="1520">
          <cell r="D1520" t="str">
            <v>MEGARAID 9560-8I   05-50077-01</v>
          </cell>
          <cell r="E1520" t="str">
            <v>SKB4017075</v>
          </cell>
        </row>
        <row r="1521">
          <cell r="D1521" t="str">
            <v>MEGARAID 9560-8I   05-50077-01</v>
          </cell>
          <cell r="E1521" t="str">
            <v>SKB4017147</v>
          </cell>
        </row>
        <row r="1522">
          <cell r="D1522" t="str">
            <v>MEGARAID 9560-8I   05-50077-01</v>
          </cell>
          <cell r="E1522" t="str">
            <v>SKB4016924</v>
          </cell>
        </row>
        <row r="1523">
          <cell r="D1523" t="str">
            <v>MEGARAID 9560-8I   05-50077-01</v>
          </cell>
          <cell r="E1523" t="str">
            <v>SKB4018312</v>
          </cell>
        </row>
        <row r="1524">
          <cell r="D1524" t="str">
            <v>MEGARAID 9560-8I   05-50077-01</v>
          </cell>
          <cell r="E1524" t="str">
            <v>SKB4018350</v>
          </cell>
        </row>
        <row r="1525">
          <cell r="D1525" t="str">
            <v>MEGARAID 9560-8I   05-50077-01</v>
          </cell>
          <cell r="E1525" t="str">
            <v>SKB4017134</v>
          </cell>
        </row>
        <row r="1526">
          <cell r="D1526" t="str">
            <v>MEGARAID 9560-8I   05-50077-01</v>
          </cell>
          <cell r="E1526" t="str">
            <v>SKB4018297</v>
          </cell>
        </row>
        <row r="1527">
          <cell r="D1527" t="str">
            <v>MEGARAID 9560-8I   05-50077-01</v>
          </cell>
          <cell r="E1527" t="str">
            <v>SKB4017189</v>
          </cell>
        </row>
        <row r="1528">
          <cell r="D1528" t="str">
            <v>MEGARAID 9560-8I   05-50077-01</v>
          </cell>
          <cell r="E1528" t="str">
            <v>SKB4017081</v>
          </cell>
        </row>
        <row r="1529">
          <cell r="D1529" t="str">
            <v>MEGARAID 9560-8I   05-50077-01</v>
          </cell>
          <cell r="E1529" t="str">
            <v>SKB4018247</v>
          </cell>
        </row>
        <row r="1530">
          <cell r="D1530" t="str">
            <v>MEGARAID 9560-8I   05-50077-01</v>
          </cell>
          <cell r="E1530" t="str">
            <v>SKB4017123</v>
          </cell>
        </row>
        <row r="1531">
          <cell r="D1531" t="str">
            <v>MEGARAID 9560-8I   05-50077-01</v>
          </cell>
          <cell r="E1531" t="str">
            <v>SKB4018221</v>
          </cell>
        </row>
        <row r="1532">
          <cell r="D1532" t="str">
            <v>MEGARAID 9560-8I   05-50077-01</v>
          </cell>
          <cell r="E1532" t="str">
            <v>SKB4017122</v>
          </cell>
        </row>
        <row r="1533">
          <cell r="D1533" t="str">
            <v>MEGARAID 9560-8I   05-50077-01</v>
          </cell>
          <cell r="E1533" t="str">
            <v>SKB4037601</v>
          </cell>
        </row>
        <row r="1534">
          <cell r="D1534" t="str">
            <v>MEGARAID 9560-8I   05-50077-01</v>
          </cell>
          <cell r="E1534" t="str">
            <v>SKB4037646</v>
          </cell>
        </row>
        <row r="1535">
          <cell r="D1535" t="str">
            <v>MEGARAID 9560-8I   05-50077-01</v>
          </cell>
          <cell r="E1535" t="str">
            <v>SKB4037603</v>
          </cell>
        </row>
        <row r="1536">
          <cell r="D1536" t="str">
            <v>MEGARAID 9560-8I   05-50077-01</v>
          </cell>
          <cell r="E1536" t="str">
            <v>SKB4040073</v>
          </cell>
        </row>
        <row r="1537">
          <cell r="D1537" t="str">
            <v>MEGARAID 9560-8I   05-50077-01</v>
          </cell>
          <cell r="E1537" t="str">
            <v>SKB4001279</v>
          </cell>
        </row>
        <row r="1538">
          <cell r="D1538" t="str">
            <v>MEGARAID 9560-8I   05-50077-01</v>
          </cell>
          <cell r="E1538" t="str">
            <v>SKB4018220</v>
          </cell>
        </row>
        <row r="1539">
          <cell r="D1539" t="str">
            <v>MEGARAID 9560-8I   05-50077-01</v>
          </cell>
          <cell r="E1539" t="str">
            <v>SKB4018082</v>
          </cell>
        </row>
        <row r="1540">
          <cell r="D1540" t="str">
            <v>MEGARAID 9560-8I   05-50077-01</v>
          </cell>
          <cell r="E1540" t="str">
            <v>SKB4018223</v>
          </cell>
        </row>
        <row r="1541">
          <cell r="D1541" t="str">
            <v>MEGARAID 9560-8I   05-50077-01</v>
          </cell>
          <cell r="E1541" t="str">
            <v>SKB4018090</v>
          </cell>
        </row>
        <row r="1542">
          <cell r="D1542" t="str">
            <v>MEGARAID 9560-8I   05-50077-01</v>
          </cell>
          <cell r="E1542" t="str">
            <v>SKB4017118</v>
          </cell>
        </row>
        <row r="1543">
          <cell r="D1543" t="str">
            <v>MEGARAID 9560-8I   05-50077-01</v>
          </cell>
          <cell r="E1543" t="str">
            <v>SKB4017151</v>
          </cell>
        </row>
        <row r="1544">
          <cell r="D1544" t="str">
            <v>MEGARAID 9560-8I   05-50077-01</v>
          </cell>
          <cell r="E1544" t="str">
            <v>SKB4018308</v>
          </cell>
        </row>
        <row r="1545">
          <cell r="D1545" t="str">
            <v>MEGARAID 9560-8I   05-50077-01</v>
          </cell>
          <cell r="E1545" t="str">
            <v>SKB4017172</v>
          </cell>
        </row>
        <row r="1546">
          <cell r="D1546" t="str">
            <v>MEGARAID 9560-8I   05-50077-01</v>
          </cell>
          <cell r="E1546" t="str">
            <v>SKB4017045</v>
          </cell>
        </row>
        <row r="1547">
          <cell r="D1547" t="str">
            <v>MEGARAID 9560-8I   05-50077-01</v>
          </cell>
          <cell r="E1547" t="str">
            <v>SKB4017079</v>
          </cell>
        </row>
        <row r="1548">
          <cell r="D1548" t="str">
            <v>MEGARAID 9560-8I   05-50077-01</v>
          </cell>
          <cell r="E1548" t="str">
            <v>SKB4016885</v>
          </cell>
        </row>
        <row r="1549">
          <cell r="D1549" t="str">
            <v>MEGARAID 9560-8I   05-50077-01</v>
          </cell>
          <cell r="E1549" t="str">
            <v>SKB4016897</v>
          </cell>
        </row>
        <row r="1550">
          <cell r="D1550" t="str">
            <v>MEGARAID 9560-8I   05-50077-01</v>
          </cell>
          <cell r="E1550" t="str">
            <v>SKB4018188</v>
          </cell>
        </row>
        <row r="1551">
          <cell r="D1551" t="str">
            <v>MEGARAID 9560-8I   05-50077-01</v>
          </cell>
          <cell r="E1551" t="str">
            <v>SKB4018053</v>
          </cell>
        </row>
        <row r="1552">
          <cell r="D1552" t="str">
            <v>MEGARAID 9560-8I   05-50077-01</v>
          </cell>
          <cell r="E1552" t="str">
            <v>SKB4018238</v>
          </cell>
          <cell r="K1552" t="str">
            <v>AWARIA</v>
          </cell>
        </row>
        <row r="1553">
          <cell r="D1553" t="str">
            <v>MEGARAID 9560-8I   05-50077-01</v>
          </cell>
          <cell r="E1553" t="str">
            <v>SKB4069659</v>
          </cell>
        </row>
        <row r="1554">
          <cell r="D1554" t="str">
            <v>MEGARAID 9560-8I   05-50077-01</v>
          </cell>
          <cell r="E1554" t="str">
            <v>SKB4017217</v>
          </cell>
        </row>
        <row r="1555">
          <cell r="D1555" t="str">
            <v>MEGARAID 9560-8I   05-50077-01</v>
          </cell>
          <cell r="E1555" t="str">
            <v>SKB4037614</v>
          </cell>
        </row>
        <row r="1556">
          <cell r="D1556" t="str">
            <v>MEGARAID 9560-8I   05-50077-01</v>
          </cell>
          <cell r="E1556" t="str">
            <v>SKB4040010</v>
          </cell>
        </row>
        <row r="1557">
          <cell r="D1557" t="str">
            <v>MEGARAID 9560-8I   05-50077-01</v>
          </cell>
          <cell r="E1557" t="str">
            <v>SKB4040043</v>
          </cell>
        </row>
        <row r="1558">
          <cell r="D1558" t="str">
            <v>MEGARAID 9560-8I   05-50077-01</v>
          </cell>
          <cell r="E1558" t="str">
            <v>SKB4037645</v>
          </cell>
        </row>
        <row r="1559">
          <cell r="D1559" t="str">
            <v>MEGARAID 9560-8I   05-50077-01</v>
          </cell>
          <cell r="E1559" t="str">
            <v>SKB4016760</v>
          </cell>
        </row>
        <row r="1560">
          <cell r="D1560" t="str">
            <v>MEGARAID 9560-8I   05-50077-01</v>
          </cell>
          <cell r="E1560" t="str">
            <v>SKB4018097</v>
          </cell>
        </row>
        <row r="1561">
          <cell r="D1561" t="str">
            <v>MEGARAID 9560-8I   05-50077-01</v>
          </cell>
          <cell r="E1561" t="str">
            <v>SKB4018049</v>
          </cell>
        </row>
        <row r="1562">
          <cell r="D1562" t="str">
            <v>MEGARAID 9560-8I   05-50077-01</v>
          </cell>
          <cell r="E1562" t="str">
            <v>SKB4017142</v>
          </cell>
        </row>
        <row r="1563">
          <cell r="D1563" t="str">
            <v>MEGARAID 9560-8I   05-50077-01</v>
          </cell>
          <cell r="E1563" t="str">
            <v>SKB4017054</v>
          </cell>
        </row>
        <row r="1564">
          <cell r="D1564" t="str">
            <v>MEGARAID 9560-8I   05-50077-01</v>
          </cell>
          <cell r="E1564" t="str">
            <v>SKB4001081</v>
          </cell>
        </row>
        <row r="1565">
          <cell r="D1565" t="str">
            <v>MEGARAID 9560-8I   05-50077-01</v>
          </cell>
          <cell r="E1565" t="str">
            <v>SKB4017100</v>
          </cell>
        </row>
        <row r="1566">
          <cell r="D1566" t="str">
            <v>MEGARAID 9560-8I   05-50077-01</v>
          </cell>
          <cell r="E1566" t="str">
            <v>SKB4017145</v>
          </cell>
        </row>
        <row r="1567">
          <cell r="D1567" t="str">
            <v>MEGARAID 9560-8I   05-50077-01</v>
          </cell>
          <cell r="E1567" t="str">
            <v>SKB4018357</v>
          </cell>
        </row>
        <row r="1568">
          <cell r="D1568" t="str">
            <v>MEGARAID 9560-8I   05-50077-01</v>
          </cell>
          <cell r="E1568" t="str">
            <v>SKB4018151</v>
          </cell>
        </row>
        <row r="1569">
          <cell r="D1569" t="str">
            <v>MEGARAID 9560-8I   05-50077-01</v>
          </cell>
          <cell r="E1569" t="str">
            <v>SKB4017204</v>
          </cell>
        </row>
        <row r="1570">
          <cell r="D1570" t="str">
            <v>MEGARAID 9560-8I   05-50077-01</v>
          </cell>
          <cell r="E1570" t="str">
            <v>SKB4018041</v>
          </cell>
        </row>
        <row r="1571">
          <cell r="D1571" t="str">
            <v>MEGARAID 9560-8I   05-50077-01</v>
          </cell>
          <cell r="E1571" t="str">
            <v>SKB4016909</v>
          </cell>
        </row>
        <row r="1572">
          <cell r="D1572" t="str">
            <v>MEGARAID 9560-8I   05-50077-01</v>
          </cell>
          <cell r="E1572" t="str">
            <v>SKB4018077</v>
          </cell>
        </row>
        <row r="1573">
          <cell r="D1573" t="str">
            <v>MEGARAID 9560-8I   05-50077-01</v>
          </cell>
          <cell r="E1573" t="str">
            <v>SKB4017078</v>
          </cell>
        </row>
        <row r="1574">
          <cell r="D1574" t="str">
            <v>MEGARAID 9560-8I   05-50077-01</v>
          </cell>
          <cell r="E1574" t="str">
            <v>SKB4016958</v>
          </cell>
        </row>
        <row r="1575">
          <cell r="D1575" t="str">
            <v>MEGARAID 9560-8I   05-50077-01</v>
          </cell>
          <cell r="E1575" t="str">
            <v>SKB4016872</v>
          </cell>
        </row>
        <row r="1576">
          <cell r="D1576" t="str">
            <v>MEGARAID 9560-8I   05-50077-01</v>
          </cell>
          <cell r="E1576" t="str">
            <v>SKB4016863</v>
          </cell>
        </row>
        <row r="1577">
          <cell r="D1577" t="str">
            <v>MEGARAID 9560-8I   05-50077-01</v>
          </cell>
          <cell r="E1577" t="str">
            <v>SKB4018292</v>
          </cell>
        </row>
        <row r="1578">
          <cell r="D1578" t="str">
            <v>MEGARAID 9560-8I   05-50077-01</v>
          </cell>
          <cell r="E1578" t="str">
            <v>SKB4016947</v>
          </cell>
        </row>
        <row r="1579">
          <cell r="D1579" t="str">
            <v>MEGARAID 9560-8I   05-50077-01</v>
          </cell>
          <cell r="E1579" t="str">
            <v>SKB3880822</v>
          </cell>
        </row>
        <row r="1580">
          <cell r="D1580" t="str">
            <v>MEGARAID 9560-8I   05-50077-01</v>
          </cell>
          <cell r="E1580" t="str">
            <v>SKB4008961</v>
          </cell>
        </row>
        <row r="1581">
          <cell r="D1581" t="str">
            <v>MEGARAID 9560-8I   05-50077-01</v>
          </cell>
          <cell r="E1581" t="str">
            <v>SKB4008952</v>
          </cell>
        </row>
        <row r="1582">
          <cell r="D1582" t="str">
            <v>MEGARAID 9560-8I   05-50077-01</v>
          </cell>
          <cell r="E1582" t="str">
            <v>SKB4008948</v>
          </cell>
        </row>
        <row r="1583">
          <cell r="D1583" t="str">
            <v>MEGARAID 9560-8I   05-50077-01</v>
          </cell>
          <cell r="E1583" t="str">
            <v>SKB4008823</v>
          </cell>
        </row>
        <row r="1584">
          <cell r="D1584" t="str">
            <v>MEGARAID 9560-8I   05-50077-01</v>
          </cell>
          <cell r="E1584" t="str">
            <v>SKB4069743</v>
          </cell>
        </row>
        <row r="1585">
          <cell r="D1585" t="str">
            <v>MEGARAID 9560-8I   05-50077-01</v>
          </cell>
          <cell r="E1585" t="str">
            <v>SKB4017090</v>
          </cell>
        </row>
        <row r="1586">
          <cell r="D1586" t="str">
            <v>MEGARAID 9560-8I   05-50077-01</v>
          </cell>
          <cell r="E1586" t="str">
            <v>SKB4000957</v>
          </cell>
        </row>
        <row r="1587">
          <cell r="D1587" t="str">
            <v>MEGARAID 9560-8I   05-50077-01</v>
          </cell>
          <cell r="E1587" t="str">
            <v>SKB4017129</v>
          </cell>
        </row>
        <row r="1588">
          <cell r="D1588" t="str">
            <v>MEGARAID 9560-8I   05-50077-01</v>
          </cell>
          <cell r="E1588" t="str">
            <v>SKB4018229</v>
          </cell>
        </row>
        <row r="1589">
          <cell r="D1589" t="str">
            <v>MEGARAID 9560-8I   05-50077-01</v>
          </cell>
          <cell r="E1589" t="str">
            <v>SKB4018343</v>
          </cell>
        </row>
        <row r="1590">
          <cell r="D1590" t="str">
            <v>MEGARAID 9560-8I   05-50077-01</v>
          </cell>
          <cell r="E1590" t="str">
            <v>SKB4017221</v>
          </cell>
        </row>
        <row r="1591">
          <cell r="D1591" t="str">
            <v>MEGARAID 9560-8I   05-50077-01</v>
          </cell>
          <cell r="E1591" t="str">
            <v>SKB4009424</v>
          </cell>
        </row>
        <row r="1592">
          <cell r="D1592" t="str">
            <v>MEGARAID 9560-8I   05-50077-01</v>
          </cell>
          <cell r="E1592" t="str">
            <v>SKB4018332</v>
          </cell>
        </row>
        <row r="1593">
          <cell r="D1593" t="str">
            <v>MEGARAID 9560-8I   05-50077-01</v>
          </cell>
          <cell r="E1593" t="str">
            <v>SKB4017004</v>
          </cell>
        </row>
        <row r="1594">
          <cell r="D1594" t="str">
            <v>MEGARAID 9560-8I   05-50077-01</v>
          </cell>
          <cell r="E1594" t="str">
            <v>SKB4016952</v>
          </cell>
        </row>
        <row r="1595">
          <cell r="D1595" t="str">
            <v>MEGARAID 9560-8I   05-50077-01</v>
          </cell>
          <cell r="E1595" t="str">
            <v>SKB4016995</v>
          </cell>
        </row>
        <row r="1596">
          <cell r="D1596" t="str">
            <v>MEGARAID 9560-8I   05-50077-01</v>
          </cell>
          <cell r="E1596" t="str">
            <v>SKB4001068</v>
          </cell>
        </row>
        <row r="1597">
          <cell r="D1597" t="str">
            <v>MEGARAID 9560-8I   05-50077-01</v>
          </cell>
          <cell r="E1597" t="str">
            <v>SKB4017195</v>
          </cell>
        </row>
        <row r="1598">
          <cell r="D1598" t="str">
            <v>MEGARAID 9560-8I   05-50077-01</v>
          </cell>
          <cell r="E1598" t="str">
            <v>SKB4017201</v>
          </cell>
        </row>
        <row r="1599">
          <cell r="D1599" t="str">
            <v>MEGARAID 9560-8I   05-50077-01</v>
          </cell>
          <cell r="E1599" t="str">
            <v>SKB4018352</v>
          </cell>
        </row>
        <row r="1600">
          <cell r="D1600" t="str">
            <v>MEGARAID 9560-8I   05-50077-01</v>
          </cell>
          <cell r="E1600" t="str">
            <v>SKB4017171</v>
          </cell>
        </row>
        <row r="1601">
          <cell r="D1601" t="str">
            <v>MEGARAID 9560-8I   05-50077-01</v>
          </cell>
          <cell r="E1601" t="str">
            <v>SKB4001053</v>
          </cell>
        </row>
        <row r="1602">
          <cell r="D1602" t="str">
            <v>MEGARAID 9560-8I   05-50077-01</v>
          </cell>
          <cell r="E1602" t="str">
            <v>SKB4017234</v>
          </cell>
        </row>
        <row r="1603">
          <cell r="D1603" t="str">
            <v>MEGARAID 9560-8I   05-50077-01</v>
          </cell>
          <cell r="E1603" t="str">
            <v>SKB4016886</v>
          </cell>
        </row>
        <row r="1604">
          <cell r="D1604" t="str">
            <v>MEGARAID 9560-8I   05-50077-01</v>
          </cell>
          <cell r="E1604" t="str">
            <v>SKB4017035</v>
          </cell>
        </row>
        <row r="1605">
          <cell r="D1605" t="str">
            <v>MEGARAID 9560-8I   05-50077-01</v>
          </cell>
          <cell r="E1605" t="str">
            <v>SKB4018116</v>
          </cell>
        </row>
        <row r="1606">
          <cell r="D1606" t="str">
            <v>MEGARAID 9560-8I   05-50077-01</v>
          </cell>
          <cell r="E1606" t="str">
            <v>SKB4017016</v>
          </cell>
        </row>
        <row r="1607">
          <cell r="D1607" t="str">
            <v>MEGARAID 9560-8I   05-50077-01</v>
          </cell>
          <cell r="E1607" t="str">
            <v>SKB4040172</v>
          </cell>
        </row>
        <row r="1608">
          <cell r="D1608" t="str">
            <v>MEGARAID 9560-8I   05-50077-01</v>
          </cell>
          <cell r="E1608" t="str">
            <v>SKB4040159</v>
          </cell>
        </row>
        <row r="1609">
          <cell r="D1609" t="str">
            <v>MEGARAID 9560-8I   05-50077-01</v>
          </cell>
          <cell r="E1609" t="str">
            <v>SKB4039687</v>
          </cell>
        </row>
        <row r="1610">
          <cell r="D1610" t="str">
            <v>MEGARAID 9560-8I   05-50077-01</v>
          </cell>
          <cell r="E1610" t="str">
            <v>SKB4037589</v>
          </cell>
        </row>
        <row r="1611">
          <cell r="D1611" t="str">
            <v>MEGARAID 9560-8I   05-50077-01</v>
          </cell>
          <cell r="E1611" t="str">
            <v>SKB4001278</v>
          </cell>
        </row>
        <row r="1612">
          <cell r="D1612" t="str">
            <v>MEGARAID 9560-8I   05-50077-01</v>
          </cell>
          <cell r="E1612" t="str">
            <v>SKB4017211</v>
          </cell>
        </row>
        <row r="1613">
          <cell r="D1613" t="str">
            <v>MEGARAID 9560-8I   05-50077-01</v>
          </cell>
          <cell r="E1613" t="str">
            <v>SKB4018046</v>
          </cell>
        </row>
        <row r="1614">
          <cell r="D1614" t="str">
            <v>MEGARAID 9560-8I   05-50077-01</v>
          </cell>
          <cell r="E1614" t="str">
            <v>SKB4016793</v>
          </cell>
        </row>
        <row r="1615">
          <cell r="D1615" t="str">
            <v>MEGARAID 9560-8I   05-50077-01</v>
          </cell>
          <cell r="E1615" t="str">
            <v>SKB4016898</v>
          </cell>
        </row>
        <row r="1616">
          <cell r="D1616" t="str">
            <v>E810XXVDA2OCPV3</v>
          </cell>
          <cell r="E1616" t="str">
            <v>B49691DE0D940045221ADK71121004</v>
          </cell>
        </row>
        <row r="1617">
          <cell r="D1617" t="str">
            <v>0B36040</v>
          </cell>
          <cell r="E1617" t="str">
            <v>VBH7RUTF</v>
          </cell>
        </row>
        <row r="1618">
          <cell r="D1618" t="str">
            <v>0B36040</v>
          </cell>
          <cell r="E1618" t="str">
            <v>VBH7VP0F</v>
          </cell>
        </row>
        <row r="1619">
          <cell r="D1619" t="str">
            <v>0B36040</v>
          </cell>
          <cell r="E1619" t="str">
            <v>VBH7RUMF</v>
          </cell>
        </row>
        <row r="1620">
          <cell r="D1620" t="str">
            <v>MEGARAID 9560-16I  05-50077-00</v>
          </cell>
          <cell r="E1620" t="str">
            <v>SKB3883492</v>
          </cell>
        </row>
        <row r="1621">
          <cell r="D1621" t="str">
            <v>CVPM05    05-50039-00</v>
          </cell>
          <cell r="E1621" t="str">
            <v>SPB4020426</v>
          </cell>
          <cell r="K1621" t="str">
            <v>AWARIA</v>
          </cell>
        </row>
        <row r="1622">
          <cell r="D1622" t="str">
            <v>CVPM05    05-50039-00</v>
          </cell>
          <cell r="E1622" t="str">
            <v>SPB4020428</v>
          </cell>
        </row>
        <row r="1623">
          <cell r="D1623" t="str">
            <v>CVPM05    05-50039-00</v>
          </cell>
          <cell r="E1623" t="str">
            <v>SPB4019871</v>
          </cell>
        </row>
        <row r="1624">
          <cell r="D1624" t="str">
            <v>CVPM05    05-50039-00</v>
          </cell>
          <cell r="E1624" t="str">
            <v>SPB4017655</v>
          </cell>
        </row>
        <row r="1625">
          <cell r="D1625" t="str">
            <v>CVPM05    05-50039-00</v>
          </cell>
          <cell r="E1625" t="str">
            <v>SPB4021103</v>
          </cell>
        </row>
        <row r="1626">
          <cell r="D1626" t="str">
            <v>CVPM05    05-50039-00</v>
          </cell>
          <cell r="E1626" t="str">
            <v>SPB4021218</v>
          </cell>
          <cell r="K1626" t="str">
            <v>AWARIA</v>
          </cell>
        </row>
        <row r="1627">
          <cell r="D1627" t="str">
            <v>CVPM05    05-50039-00</v>
          </cell>
          <cell r="E1627" t="str">
            <v>SPB4017682</v>
          </cell>
        </row>
        <row r="1628">
          <cell r="D1628" t="str">
            <v>CVPM05    05-50039-00</v>
          </cell>
          <cell r="E1628" t="str">
            <v>SPB4021105</v>
          </cell>
        </row>
        <row r="1629">
          <cell r="D1629" t="str">
            <v>CVPM05    05-50039-00</v>
          </cell>
          <cell r="E1629" t="str">
            <v>SPB4020366</v>
          </cell>
        </row>
        <row r="1630">
          <cell r="D1630" t="str">
            <v>CVPM05    05-50039-00</v>
          </cell>
          <cell r="E1630" t="str">
            <v>SPB4020992</v>
          </cell>
        </row>
        <row r="1631">
          <cell r="D1631" t="str">
            <v>CVPM05    05-50039-00</v>
          </cell>
          <cell r="E1631" t="str">
            <v>SPB4021037</v>
          </cell>
        </row>
        <row r="1632">
          <cell r="D1632" t="str">
            <v>CVPM05    05-50039-00</v>
          </cell>
          <cell r="E1632" t="str">
            <v>SPB4020981</v>
          </cell>
        </row>
        <row r="1633">
          <cell r="D1633" t="str">
            <v>CVPM05    05-50039-00</v>
          </cell>
          <cell r="E1633" t="str">
            <v>SPB4020994</v>
          </cell>
        </row>
        <row r="1634">
          <cell r="D1634" t="str">
            <v>CVPM05    05-50039-00</v>
          </cell>
          <cell r="E1634" t="str">
            <v>SPB4019396</v>
          </cell>
        </row>
        <row r="1635">
          <cell r="D1635" t="str">
            <v>CVPM05    05-50039-00</v>
          </cell>
          <cell r="E1635" t="str">
            <v>SPB4021004</v>
          </cell>
        </row>
        <row r="1636">
          <cell r="D1636" t="str">
            <v>CVPM05    05-50039-00</v>
          </cell>
          <cell r="E1636" t="str">
            <v>SPB4021039</v>
          </cell>
          <cell r="K1636" t="str">
            <v>W ROZLICZENIU SERWISOWYM 2204131332</v>
          </cell>
        </row>
        <row r="1637">
          <cell r="D1637" t="str">
            <v>CVPM05    05-50039-00</v>
          </cell>
          <cell r="E1637" t="str">
            <v>SPB4020185</v>
          </cell>
        </row>
        <row r="1638">
          <cell r="D1638" t="str">
            <v>CVPM05    05-50039-00</v>
          </cell>
          <cell r="E1638" t="str">
            <v>SPB4021005</v>
          </cell>
        </row>
        <row r="1639">
          <cell r="D1639" t="str">
            <v>CVPM05    05-50039-00</v>
          </cell>
          <cell r="E1639" t="str">
            <v>SPB4017828</v>
          </cell>
        </row>
        <row r="1640">
          <cell r="D1640" t="str">
            <v>CVPM05    05-50039-00</v>
          </cell>
          <cell r="E1640" t="str">
            <v>SPB4019090</v>
          </cell>
        </row>
        <row r="1641">
          <cell r="D1641" t="str">
            <v>CVPM05    05-50039-00</v>
          </cell>
          <cell r="E1641" t="str">
            <v>SPB4019399</v>
          </cell>
        </row>
        <row r="1642">
          <cell r="D1642" t="str">
            <v>CVPM05    05-50039-00</v>
          </cell>
          <cell r="E1642" t="str">
            <v>SPB4019084</v>
          </cell>
        </row>
        <row r="1643">
          <cell r="D1643" t="str">
            <v>CVPM05    05-50039-00</v>
          </cell>
          <cell r="E1643" t="str">
            <v>SPB4019395</v>
          </cell>
        </row>
        <row r="1644">
          <cell r="D1644" t="str">
            <v>CVPM05    05-50039-00</v>
          </cell>
          <cell r="E1644" t="str">
            <v>SPB4019313</v>
          </cell>
        </row>
        <row r="1645">
          <cell r="D1645" t="str">
            <v>CVPM05    05-50039-00</v>
          </cell>
          <cell r="E1645" t="str">
            <v>SPB4019320</v>
          </cell>
        </row>
        <row r="1646">
          <cell r="D1646" t="str">
            <v>CVPM05    05-50039-00</v>
          </cell>
          <cell r="E1646" t="str">
            <v>SPB4019390</v>
          </cell>
        </row>
        <row r="1647">
          <cell r="D1647" t="str">
            <v>CVPM05    05-50039-00</v>
          </cell>
          <cell r="E1647" t="str">
            <v>SPB4019315</v>
          </cell>
        </row>
        <row r="1648">
          <cell r="D1648" t="str">
            <v>CVPM05    05-50039-00</v>
          </cell>
          <cell r="E1648" t="str">
            <v>SPB4019386</v>
          </cell>
        </row>
        <row r="1649">
          <cell r="D1649" t="str">
            <v>CVPM05    05-50039-00</v>
          </cell>
          <cell r="E1649" t="str">
            <v>SPB4019385</v>
          </cell>
        </row>
        <row r="1650">
          <cell r="D1650" t="str">
            <v>CVPM05    05-50039-00</v>
          </cell>
          <cell r="E1650" t="str">
            <v>SPB4020387</v>
          </cell>
        </row>
        <row r="1651">
          <cell r="D1651" t="str">
            <v>CVPM05    05-50039-00</v>
          </cell>
          <cell r="E1651" t="str">
            <v>SPB4021046</v>
          </cell>
        </row>
        <row r="1652">
          <cell r="D1652" t="str">
            <v>CVPM05    05-50039-00</v>
          </cell>
          <cell r="E1652" t="str">
            <v>SPB4019387</v>
          </cell>
        </row>
        <row r="1653">
          <cell r="D1653" t="str">
            <v>CVPM05    05-50039-00</v>
          </cell>
          <cell r="E1653" t="str">
            <v>SPB4021044</v>
          </cell>
        </row>
        <row r="1654">
          <cell r="D1654" t="str">
            <v>CVPM05    05-50039-00</v>
          </cell>
          <cell r="E1654" t="str">
            <v>SPB4019863</v>
          </cell>
        </row>
        <row r="1655">
          <cell r="D1655" t="str">
            <v>CVPM05    05-50039-00</v>
          </cell>
          <cell r="E1655" t="str">
            <v>SPB4020503</v>
          </cell>
        </row>
        <row r="1656">
          <cell r="D1656" t="str">
            <v>CVPM05    05-50039-00</v>
          </cell>
          <cell r="E1656" t="str">
            <v>SPB4020519</v>
          </cell>
        </row>
        <row r="1657">
          <cell r="D1657" t="str">
            <v>CVPM05    05-50039-00</v>
          </cell>
          <cell r="E1657" t="str">
            <v>SPB4020431</v>
          </cell>
        </row>
        <row r="1658">
          <cell r="D1658" t="str">
            <v>CVPM05    05-50039-00</v>
          </cell>
          <cell r="E1658" t="str">
            <v>SPB4020517</v>
          </cell>
        </row>
        <row r="1659">
          <cell r="D1659" t="str">
            <v>CVPM05    05-50039-00</v>
          </cell>
          <cell r="E1659" t="str">
            <v>SPB4018949</v>
          </cell>
        </row>
        <row r="1660">
          <cell r="D1660" t="str">
            <v>CVPM05    05-50039-00</v>
          </cell>
          <cell r="E1660" t="str">
            <v>SPB4020518</v>
          </cell>
        </row>
        <row r="1661">
          <cell r="D1661" t="str">
            <v>CVPM05    05-50039-00</v>
          </cell>
          <cell r="E1661" t="str">
            <v>SPB4020778</v>
          </cell>
        </row>
        <row r="1662">
          <cell r="D1662" t="str">
            <v>CVPM05    05-50039-00</v>
          </cell>
          <cell r="E1662" t="str">
            <v>SPB4018953</v>
          </cell>
        </row>
        <row r="1663">
          <cell r="D1663" t="str">
            <v>CVPM05    05-50039-00</v>
          </cell>
          <cell r="E1663" t="str">
            <v>SPB4020777</v>
          </cell>
        </row>
        <row r="1664">
          <cell r="D1664" t="str">
            <v>CVPM05    05-50039-00</v>
          </cell>
          <cell r="E1664" t="str">
            <v>SPB4018727</v>
          </cell>
        </row>
        <row r="1665">
          <cell r="D1665" t="str">
            <v>CVPM05    05-50039-00</v>
          </cell>
          <cell r="E1665" t="str">
            <v>SPB4020435</v>
          </cell>
        </row>
        <row r="1666">
          <cell r="D1666" t="str">
            <v>CVPM05    05-50039-00</v>
          </cell>
          <cell r="E1666" t="str">
            <v>SPB4020772</v>
          </cell>
        </row>
        <row r="1667">
          <cell r="D1667" t="str">
            <v>CVPM05    05-50039-00</v>
          </cell>
          <cell r="E1667" t="str">
            <v>SPB4019810</v>
          </cell>
        </row>
        <row r="1668">
          <cell r="D1668" t="str">
            <v>CVPM05    05-50039-00</v>
          </cell>
          <cell r="E1668" t="str">
            <v>SPB4020767</v>
          </cell>
        </row>
        <row r="1669">
          <cell r="D1669" t="str">
            <v>CVPM05    05-50039-00</v>
          </cell>
          <cell r="E1669" t="str">
            <v>SPB4019874</v>
          </cell>
        </row>
        <row r="1670">
          <cell r="D1670" t="str">
            <v>CVPM05    05-50039-00</v>
          </cell>
          <cell r="E1670" t="str">
            <v>SPB4019872</v>
          </cell>
        </row>
        <row r="1671">
          <cell r="D1671" t="str">
            <v>MZ7LH7T6HMLA-00005</v>
          </cell>
          <cell r="E1671" t="str">
            <v>S487NA0RA05079</v>
          </cell>
          <cell r="K1671" t="str">
            <v>AWARIA</v>
          </cell>
        </row>
        <row r="1672">
          <cell r="D1672" t="str">
            <v>MZ7LH7T6HMLA-00005</v>
          </cell>
          <cell r="E1672" t="str">
            <v>S487NA0RA05081</v>
          </cell>
        </row>
        <row r="1673">
          <cell r="D1673" t="str">
            <v>MZ7LH7T6HMLA-00005</v>
          </cell>
          <cell r="E1673" t="str">
            <v>S487NA0RA05082</v>
          </cell>
        </row>
        <row r="1674">
          <cell r="D1674" t="str">
            <v>MZ7LH7T6HMLA-00005</v>
          </cell>
          <cell r="E1674" t="str">
            <v>S487NA0RA05085</v>
          </cell>
        </row>
        <row r="1675">
          <cell r="D1675" t="str">
            <v>MZ7LH7T6HMLA-00005</v>
          </cell>
          <cell r="E1675" t="str">
            <v>S487NA0RA05084</v>
          </cell>
        </row>
        <row r="1676">
          <cell r="D1676" t="str">
            <v>MZ7LH7T6HMLA-00005</v>
          </cell>
          <cell r="E1676" t="str">
            <v>S487NA0RA05083</v>
          </cell>
        </row>
        <row r="1677">
          <cell r="D1677" t="str">
            <v>MZ7LH7T6HMLA-00005</v>
          </cell>
          <cell r="E1677" t="str">
            <v>S487NA0RA05150</v>
          </cell>
        </row>
        <row r="1678">
          <cell r="D1678" t="str">
            <v>MZ7LH7T6HMLA-00005</v>
          </cell>
          <cell r="E1678" t="str">
            <v>S487NA0RA05185</v>
          </cell>
        </row>
        <row r="1679">
          <cell r="D1679" t="str">
            <v>0B42266</v>
          </cell>
          <cell r="E1679" t="str">
            <v>VCJSEL7P</v>
          </cell>
        </row>
        <row r="1680">
          <cell r="D1680" t="str">
            <v>0B42266</v>
          </cell>
          <cell r="E1680" t="str">
            <v>VCJT2N3P</v>
          </cell>
        </row>
        <row r="1681">
          <cell r="D1681" t="str">
            <v>0B42266</v>
          </cell>
          <cell r="E1681" t="str">
            <v>VCJSXX7P</v>
          </cell>
        </row>
        <row r="1682">
          <cell r="D1682" t="str">
            <v>0B42266</v>
          </cell>
          <cell r="E1682" t="str">
            <v>VCJSYZ6P</v>
          </cell>
        </row>
        <row r="1683">
          <cell r="D1683" t="str">
            <v>0B42266</v>
          </cell>
          <cell r="E1683" t="str">
            <v>VCJS8GJP</v>
          </cell>
        </row>
        <row r="1684">
          <cell r="D1684" t="str">
            <v>0B42266</v>
          </cell>
          <cell r="E1684" t="str">
            <v>VCJSWT8P</v>
          </cell>
        </row>
        <row r="1685">
          <cell r="D1685" t="str">
            <v>0B42266</v>
          </cell>
          <cell r="E1685" t="str">
            <v>VCJS9KWP</v>
          </cell>
        </row>
        <row r="1686">
          <cell r="D1686" t="str">
            <v>0B42266</v>
          </cell>
          <cell r="E1686" t="str">
            <v>VCJSRNZP</v>
          </cell>
        </row>
        <row r="1687">
          <cell r="D1687" t="str">
            <v>0B42266</v>
          </cell>
          <cell r="E1687" t="str">
            <v>VCJSX7NP</v>
          </cell>
        </row>
        <row r="1688">
          <cell r="D1688" t="str">
            <v>0B42266</v>
          </cell>
          <cell r="E1688" t="str">
            <v>VCJT1HVP</v>
          </cell>
        </row>
        <row r="1689">
          <cell r="D1689" t="str">
            <v>0B42266</v>
          </cell>
          <cell r="E1689" t="str">
            <v>VCJT1K1P</v>
          </cell>
        </row>
        <row r="1690">
          <cell r="D1690" t="str">
            <v>0B42266</v>
          </cell>
          <cell r="E1690" t="str">
            <v>VCJSZTSP</v>
          </cell>
        </row>
        <row r="1691">
          <cell r="D1691" t="str">
            <v>0B42266</v>
          </cell>
          <cell r="E1691" t="str">
            <v>VCJSP2UP</v>
          </cell>
        </row>
        <row r="1692">
          <cell r="D1692" t="str">
            <v>INTEL XEON E-2286G</v>
          </cell>
          <cell r="E1692" t="str">
            <v>X145J642 01618  U1TJ325601618</v>
          </cell>
        </row>
        <row r="1693">
          <cell r="D1693" t="str">
            <v>0F31284</v>
          </cell>
          <cell r="E1693" t="str">
            <v>9LHRZ2EG</v>
          </cell>
        </row>
        <row r="1694">
          <cell r="D1694" t="str">
            <v>0F31284</v>
          </cell>
          <cell r="E1694" t="str">
            <v>9LJ51KVG</v>
          </cell>
        </row>
        <row r="1695">
          <cell r="D1695" t="str">
            <v>0F31284</v>
          </cell>
          <cell r="E1695" t="str">
            <v>9LJ5UNEG</v>
          </cell>
        </row>
        <row r="1696">
          <cell r="D1696" t="str">
            <v>0F31284</v>
          </cell>
          <cell r="E1696" t="str">
            <v>9LHNY56G</v>
          </cell>
        </row>
        <row r="1697">
          <cell r="D1697" t="str">
            <v>0F31284</v>
          </cell>
          <cell r="E1697" t="str">
            <v>9LHS1NYG</v>
          </cell>
        </row>
        <row r="1698">
          <cell r="D1698" t="str">
            <v>0F31284</v>
          </cell>
          <cell r="E1698" t="str">
            <v>9LJ5AV0G</v>
          </cell>
        </row>
        <row r="1699">
          <cell r="D1699" t="str">
            <v>0F31284</v>
          </cell>
          <cell r="E1699" t="str">
            <v>9LJ5V0GG</v>
          </cell>
        </row>
        <row r="1700">
          <cell r="D1700" t="str">
            <v>0F31284</v>
          </cell>
          <cell r="E1700" t="str">
            <v>9LHRZHDG</v>
          </cell>
        </row>
        <row r="1701">
          <cell r="D1701" t="str">
            <v>0F31284</v>
          </cell>
          <cell r="E1701" t="str">
            <v>9LJ56STG</v>
          </cell>
        </row>
        <row r="1702">
          <cell r="D1702" t="str">
            <v>0F31284</v>
          </cell>
          <cell r="E1702" t="str">
            <v>9LJ5UPVG</v>
          </cell>
        </row>
        <row r="1703">
          <cell r="D1703" t="str">
            <v>0F31284</v>
          </cell>
          <cell r="E1703" t="str">
            <v>9LHRBJ2G</v>
          </cell>
        </row>
        <row r="1704">
          <cell r="D1704" t="str">
            <v>0F31284</v>
          </cell>
          <cell r="E1704" t="str">
            <v>9LHS4XTG</v>
          </cell>
        </row>
        <row r="1705">
          <cell r="D1705" t="str">
            <v>0F31284</v>
          </cell>
          <cell r="E1705" t="str">
            <v>9LJ5EHSG</v>
          </cell>
        </row>
        <row r="1706">
          <cell r="D1706" t="str">
            <v>0F31284</v>
          </cell>
          <cell r="E1706" t="str">
            <v>9LJ5V46G</v>
          </cell>
        </row>
        <row r="1707">
          <cell r="D1707" t="str">
            <v>0F31284</v>
          </cell>
          <cell r="E1707" t="str">
            <v>9LHS18SG</v>
          </cell>
        </row>
        <row r="1708">
          <cell r="D1708" t="str">
            <v>0F31284</v>
          </cell>
          <cell r="E1708" t="str">
            <v>9LJ57W1G</v>
          </cell>
        </row>
        <row r="1709">
          <cell r="D1709" t="str">
            <v>0F31284</v>
          </cell>
          <cell r="E1709" t="str">
            <v>9LJ5UYDG</v>
          </cell>
        </row>
        <row r="1710">
          <cell r="D1710" t="str">
            <v>0F31284</v>
          </cell>
          <cell r="E1710" t="str">
            <v>9LHS80KG</v>
          </cell>
        </row>
        <row r="1711">
          <cell r="D1711" t="str">
            <v>0F31284</v>
          </cell>
          <cell r="E1711" t="str">
            <v>9LJ5UN8G</v>
          </cell>
        </row>
        <row r="1712">
          <cell r="D1712" t="str">
            <v>0F31284</v>
          </cell>
          <cell r="E1712" t="str">
            <v>9LJ5W7YG</v>
          </cell>
        </row>
        <row r="1713">
          <cell r="D1713" t="str">
            <v>0F31284</v>
          </cell>
          <cell r="E1713" t="str">
            <v>9LJ6313G</v>
          </cell>
        </row>
        <row r="1714">
          <cell r="D1714" t="str">
            <v>0F31284</v>
          </cell>
          <cell r="E1714" t="str">
            <v>9LJ64MEG</v>
          </cell>
        </row>
        <row r="1715">
          <cell r="D1715" t="str">
            <v>0F31284</v>
          </cell>
          <cell r="E1715" t="str">
            <v>9LJ6AK7G</v>
          </cell>
        </row>
        <row r="1716">
          <cell r="D1716" t="str">
            <v>0F31284</v>
          </cell>
          <cell r="E1716" t="str">
            <v>9LJ4U09G</v>
          </cell>
        </row>
        <row r="1717">
          <cell r="D1717" t="str">
            <v>0F31284</v>
          </cell>
          <cell r="E1717" t="str">
            <v>9LJ63DHG</v>
          </cell>
        </row>
        <row r="1718">
          <cell r="D1718" t="str">
            <v>0F31284</v>
          </cell>
          <cell r="E1718" t="str">
            <v>9LJ6907G</v>
          </cell>
        </row>
        <row r="1719">
          <cell r="D1719" t="str">
            <v>0F31284</v>
          </cell>
          <cell r="E1719" t="str">
            <v>9LJ6ASHG</v>
          </cell>
        </row>
        <row r="1720">
          <cell r="D1720" t="str">
            <v>0F31284</v>
          </cell>
          <cell r="E1720" t="str">
            <v>9LJ6323G</v>
          </cell>
        </row>
        <row r="1721">
          <cell r="D1721" t="str">
            <v>0F31284</v>
          </cell>
          <cell r="E1721" t="str">
            <v>9LJ654NG</v>
          </cell>
        </row>
        <row r="1722">
          <cell r="D1722" t="str">
            <v>0F31284</v>
          </cell>
          <cell r="E1722" t="str">
            <v>9LJ6ALAG</v>
          </cell>
        </row>
        <row r="1723">
          <cell r="D1723" t="str">
            <v>0F31284</v>
          </cell>
          <cell r="E1723" t="str">
            <v>9LJ5W0KG</v>
          </cell>
        </row>
        <row r="1724">
          <cell r="D1724" t="str">
            <v>0F31284</v>
          </cell>
          <cell r="E1724" t="str">
            <v>9LJ63EGG</v>
          </cell>
        </row>
        <row r="1725">
          <cell r="D1725" t="str">
            <v>0F31284</v>
          </cell>
          <cell r="E1725" t="str">
            <v>9LJ6A9DG</v>
          </cell>
        </row>
        <row r="1726">
          <cell r="D1726" t="str">
            <v>0F31284</v>
          </cell>
          <cell r="E1726" t="str">
            <v>9LJ6DB6G</v>
          </cell>
        </row>
        <row r="1727">
          <cell r="D1727" t="str">
            <v>0F31284</v>
          </cell>
          <cell r="E1727" t="str">
            <v>9LJ636NG</v>
          </cell>
        </row>
        <row r="1728">
          <cell r="D1728" t="str">
            <v>0F31284</v>
          </cell>
          <cell r="E1728" t="str">
            <v>9LJ65VKG</v>
          </cell>
        </row>
        <row r="1729">
          <cell r="D1729" t="str">
            <v>0F31284</v>
          </cell>
          <cell r="E1729" t="str">
            <v>9LJ6ALZG</v>
          </cell>
        </row>
        <row r="1730">
          <cell r="D1730" t="str">
            <v>0F31284</v>
          </cell>
          <cell r="E1730" t="str">
            <v>9LJ63EKG</v>
          </cell>
        </row>
        <row r="1731">
          <cell r="D1731" t="str">
            <v>0F31284</v>
          </cell>
          <cell r="E1731" t="str">
            <v>9LJ6A9XG</v>
          </cell>
        </row>
        <row r="1732">
          <cell r="D1732" t="str">
            <v>0F31284</v>
          </cell>
          <cell r="E1732" t="str">
            <v>9LJ6HLLG</v>
          </cell>
        </row>
        <row r="1733">
          <cell r="D1733" t="str">
            <v>0F31284</v>
          </cell>
          <cell r="E1733" t="str">
            <v>9LJ2DPDG</v>
          </cell>
        </row>
        <row r="1734">
          <cell r="D1734" t="str">
            <v>0F31284</v>
          </cell>
          <cell r="E1734" t="str">
            <v>9LJ5EAXG</v>
          </cell>
        </row>
        <row r="1735">
          <cell r="D1735" t="str">
            <v>0F31284</v>
          </cell>
          <cell r="E1735" t="str">
            <v>9LJ5V0EG</v>
          </cell>
        </row>
        <row r="1736">
          <cell r="D1736" t="str">
            <v>0F31284</v>
          </cell>
          <cell r="E1736" t="str">
            <v>9LHRYVXG</v>
          </cell>
        </row>
        <row r="1737">
          <cell r="D1737" t="str">
            <v>0F31284</v>
          </cell>
          <cell r="E1737" t="str">
            <v>9LJ5DANG</v>
          </cell>
        </row>
        <row r="1738">
          <cell r="D1738" t="str">
            <v>0F31284</v>
          </cell>
          <cell r="E1738" t="str">
            <v>9LJ5UUHG</v>
          </cell>
        </row>
        <row r="1739">
          <cell r="D1739" t="str">
            <v>0F31284</v>
          </cell>
          <cell r="E1739" t="str">
            <v>9LJ5W2BG</v>
          </cell>
        </row>
        <row r="1740">
          <cell r="D1740" t="str">
            <v>0F31284</v>
          </cell>
          <cell r="E1740" t="str">
            <v>9LJ54KJG</v>
          </cell>
        </row>
        <row r="1741">
          <cell r="D1741" t="str">
            <v>0F31284</v>
          </cell>
          <cell r="E1741" t="str">
            <v>9LJ5MTKG</v>
          </cell>
        </row>
        <row r="1742">
          <cell r="D1742" t="str">
            <v>0F31284</v>
          </cell>
          <cell r="E1742" t="str">
            <v>9LJ5V0LG</v>
          </cell>
        </row>
        <row r="1743">
          <cell r="D1743" t="str">
            <v>0F31284</v>
          </cell>
          <cell r="E1743" t="str">
            <v>9LHS6KTG</v>
          </cell>
        </row>
        <row r="1744">
          <cell r="D1744" t="str">
            <v>0F31284</v>
          </cell>
          <cell r="E1744" t="str">
            <v>9LJ5DEBG</v>
          </cell>
        </row>
        <row r="1745">
          <cell r="D1745" t="str">
            <v>0F31284</v>
          </cell>
          <cell r="E1745" t="str">
            <v>9LJ5UWRG</v>
          </cell>
        </row>
        <row r="1746">
          <cell r="D1746" t="str">
            <v>0F31284</v>
          </cell>
          <cell r="E1746" t="str">
            <v>9LJ5W4WG</v>
          </cell>
        </row>
        <row r="1747">
          <cell r="D1747" t="str">
            <v>0F31284</v>
          </cell>
          <cell r="E1747" t="str">
            <v>9LJ5DAEG</v>
          </cell>
        </row>
        <row r="1748">
          <cell r="D1748" t="str">
            <v>0F31284</v>
          </cell>
          <cell r="E1748" t="str">
            <v>9LJ5UNBG</v>
          </cell>
        </row>
        <row r="1749">
          <cell r="D1749" t="str">
            <v>0F31284</v>
          </cell>
          <cell r="E1749" t="str">
            <v>9LJ5VZGG</v>
          </cell>
        </row>
        <row r="1750">
          <cell r="D1750" t="str">
            <v>0F31284</v>
          </cell>
          <cell r="E1750" t="str">
            <v>9LJ5DH7G</v>
          </cell>
        </row>
        <row r="1751">
          <cell r="D1751" t="str">
            <v>0F31284</v>
          </cell>
          <cell r="E1751" t="str">
            <v>9LJ5UXJG</v>
          </cell>
        </row>
        <row r="1752">
          <cell r="D1752" t="str">
            <v>0F31284</v>
          </cell>
          <cell r="E1752" t="str">
            <v>9LJ5W95G</v>
          </cell>
        </row>
        <row r="1753">
          <cell r="D1753" t="str">
            <v>0F31284</v>
          </cell>
          <cell r="E1753" t="str">
            <v>9LHRYU9G</v>
          </cell>
        </row>
        <row r="1754">
          <cell r="D1754" t="str">
            <v>0F31284</v>
          </cell>
          <cell r="E1754" t="str">
            <v>9LJ5DHAG</v>
          </cell>
        </row>
        <row r="1755">
          <cell r="D1755" t="str">
            <v>0F31284</v>
          </cell>
          <cell r="E1755" t="str">
            <v>9LJ5N2DG</v>
          </cell>
        </row>
        <row r="1756">
          <cell r="D1756" t="str">
            <v>0F31284</v>
          </cell>
          <cell r="E1756" t="str">
            <v>9LHKGDVG</v>
          </cell>
        </row>
        <row r="1757">
          <cell r="D1757" t="str">
            <v>0F31284</v>
          </cell>
          <cell r="E1757" t="str">
            <v>9LJ56PVG</v>
          </cell>
        </row>
        <row r="1758">
          <cell r="D1758" t="str">
            <v>0F31284</v>
          </cell>
          <cell r="E1758" t="str">
            <v>9LJ5EJ2G</v>
          </cell>
        </row>
        <row r="1759">
          <cell r="D1759" t="str">
            <v>0F31284</v>
          </cell>
          <cell r="E1759" t="str">
            <v>9LJ5UU5G</v>
          </cell>
        </row>
        <row r="1760">
          <cell r="D1760" t="str">
            <v>0F31284</v>
          </cell>
          <cell r="E1760" t="str">
            <v>9LHS8MEG</v>
          </cell>
        </row>
        <row r="1761">
          <cell r="D1761" t="str">
            <v>0F31284</v>
          </cell>
          <cell r="E1761" t="str">
            <v>9LJ5DHLG</v>
          </cell>
        </row>
        <row r="1762">
          <cell r="D1762" t="str">
            <v>0F31284</v>
          </cell>
          <cell r="E1762" t="str">
            <v>9LJ5ULGG</v>
          </cell>
        </row>
        <row r="1763">
          <cell r="D1763" t="str">
            <v>0F31284</v>
          </cell>
          <cell r="E1763" t="str">
            <v>9LHRBT2G</v>
          </cell>
        </row>
        <row r="1764">
          <cell r="D1764" t="str">
            <v>0F31284</v>
          </cell>
          <cell r="E1764" t="str">
            <v>9LJ5DAAG</v>
          </cell>
        </row>
        <row r="1765">
          <cell r="D1765" t="str">
            <v>0F31284</v>
          </cell>
          <cell r="E1765" t="str">
            <v>9LJ5G87G</v>
          </cell>
        </row>
        <row r="1766">
          <cell r="D1766" t="str">
            <v>0F31284</v>
          </cell>
          <cell r="E1766" t="str">
            <v>9LJ5VZAG</v>
          </cell>
        </row>
        <row r="1767">
          <cell r="D1767" t="str">
            <v>0F31284</v>
          </cell>
          <cell r="E1767" t="str">
            <v>9LJ52H4G</v>
          </cell>
        </row>
        <row r="1768">
          <cell r="D1768" t="str">
            <v>0F31284</v>
          </cell>
          <cell r="E1768" t="str">
            <v>9LJ5DHYG</v>
          </cell>
        </row>
        <row r="1769">
          <cell r="D1769" t="str">
            <v>0F31284</v>
          </cell>
          <cell r="E1769" t="str">
            <v>9LJ5UNAG</v>
          </cell>
        </row>
        <row r="1770">
          <cell r="D1770" t="str">
            <v>0F31284</v>
          </cell>
          <cell r="E1770" t="str">
            <v>9LJ5DBVG</v>
          </cell>
        </row>
        <row r="1771">
          <cell r="D1771" t="str">
            <v>0F31284</v>
          </cell>
          <cell r="E1771" t="str">
            <v>9LJ5MPSG</v>
          </cell>
        </row>
        <row r="1772">
          <cell r="D1772" t="str">
            <v>0F31284</v>
          </cell>
          <cell r="E1772" t="str">
            <v>9LJ5W3AG</v>
          </cell>
        </row>
        <row r="1773">
          <cell r="D1773" t="str">
            <v>0F31284</v>
          </cell>
          <cell r="E1773" t="str">
            <v>9LHRZ2LG</v>
          </cell>
        </row>
        <row r="1774">
          <cell r="D1774" t="str">
            <v>0F31284</v>
          </cell>
          <cell r="E1774" t="str">
            <v>9LJ5DDJG</v>
          </cell>
        </row>
        <row r="1775">
          <cell r="D1775" t="str">
            <v>0F31284</v>
          </cell>
          <cell r="E1775" t="str">
            <v>9LJ5N52G</v>
          </cell>
        </row>
        <row r="1776">
          <cell r="D1776" t="str">
            <v>0F31284</v>
          </cell>
          <cell r="E1776" t="str">
            <v>9LHRXSLG</v>
          </cell>
        </row>
        <row r="1777">
          <cell r="D1777" t="str">
            <v>0F31284</v>
          </cell>
          <cell r="E1777" t="str">
            <v>9LJ5B9YG</v>
          </cell>
        </row>
        <row r="1778">
          <cell r="D1778" t="str">
            <v>0F31284</v>
          </cell>
          <cell r="E1778" t="str">
            <v>9LJ5DH0G</v>
          </cell>
        </row>
        <row r="1779">
          <cell r="D1779" t="str">
            <v>0F31284</v>
          </cell>
          <cell r="E1779" t="str">
            <v>9LJ5UPWG</v>
          </cell>
        </row>
        <row r="1780">
          <cell r="D1780" t="str">
            <v>0F31284</v>
          </cell>
          <cell r="E1780" t="str">
            <v>9LJ4XH6G</v>
          </cell>
        </row>
        <row r="1781">
          <cell r="D1781" t="str">
            <v>0F31284</v>
          </cell>
          <cell r="E1781" t="str">
            <v>9LJ5DE9G</v>
          </cell>
        </row>
        <row r="1782">
          <cell r="D1782" t="str">
            <v>0F31284</v>
          </cell>
          <cell r="E1782" t="str">
            <v>9LJ5ULJG</v>
          </cell>
        </row>
        <row r="1783">
          <cell r="D1783" t="str">
            <v>0F31284</v>
          </cell>
          <cell r="E1783" t="str">
            <v>9LHRYU1G</v>
          </cell>
        </row>
        <row r="1784">
          <cell r="D1784" t="str">
            <v>0F31284</v>
          </cell>
          <cell r="E1784" t="str">
            <v>9LJ5DB3G</v>
          </cell>
        </row>
        <row r="1785">
          <cell r="D1785" t="str">
            <v>0F31284</v>
          </cell>
          <cell r="E1785" t="str">
            <v>9LJ5DH6G</v>
          </cell>
        </row>
        <row r="1786">
          <cell r="D1786" t="str">
            <v>0F31284</v>
          </cell>
          <cell r="E1786" t="str">
            <v>9LJ5UR9G</v>
          </cell>
        </row>
        <row r="1787">
          <cell r="D1787" t="str">
            <v>0F31284</v>
          </cell>
          <cell r="E1787" t="str">
            <v>9LJ532GG</v>
          </cell>
        </row>
        <row r="1788">
          <cell r="D1788" t="str">
            <v>0F31284</v>
          </cell>
          <cell r="E1788" t="str">
            <v>9LJ5DEKG</v>
          </cell>
        </row>
        <row r="1789">
          <cell r="D1789" t="str">
            <v>0F31284</v>
          </cell>
          <cell r="E1789" t="str">
            <v>9LJ5ULLG</v>
          </cell>
        </row>
        <row r="1790">
          <cell r="D1790" t="str">
            <v>0F31284</v>
          </cell>
          <cell r="E1790" t="str">
            <v>9LJ5DDHG</v>
          </cell>
        </row>
        <row r="1791">
          <cell r="D1791" t="str">
            <v>0F31284</v>
          </cell>
          <cell r="E1791" t="str">
            <v>9LJ5MSBG</v>
          </cell>
        </row>
        <row r="1792">
          <cell r="D1792" t="str">
            <v>0F31284</v>
          </cell>
          <cell r="E1792" t="str">
            <v>9LJ5W92G</v>
          </cell>
        </row>
        <row r="1793">
          <cell r="D1793" t="str">
            <v>0F31284</v>
          </cell>
          <cell r="E1793" t="str">
            <v>9LHR33PG</v>
          </cell>
        </row>
        <row r="1794">
          <cell r="D1794" t="str">
            <v>0F31284</v>
          </cell>
          <cell r="E1794" t="str">
            <v>9LHS1HNG</v>
          </cell>
        </row>
        <row r="1795">
          <cell r="D1795" t="str">
            <v>0F31284</v>
          </cell>
          <cell r="E1795" t="str">
            <v>9LJ5VZPG</v>
          </cell>
        </row>
        <row r="1796">
          <cell r="D1796" t="str">
            <v>0F31284</v>
          </cell>
          <cell r="E1796" t="str">
            <v>9LHKRUVG</v>
          </cell>
        </row>
        <row r="1797">
          <cell r="D1797" t="str">
            <v>0F31284</v>
          </cell>
          <cell r="E1797" t="str">
            <v>9LHRMAHG</v>
          </cell>
        </row>
        <row r="1798">
          <cell r="D1798" t="str">
            <v>0F31284</v>
          </cell>
          <cell r="E1798" t="str">
            <v>9LJ5GGWG</v>
          </cell>
        </row>
        <row r="1799">
          <cell r="D1799" t="str">
            <v>0F31284</v>
          </cell>
          <cell r="E1799" t="str">
            <v>9LJ5W1ZG</v>
          </cell>
        </row>
        <row r="1800">
          <cell r="D1800" t="str">
            <v>0F31284</v>
          </cell>
          <cell r="E1800" t="str">
            <v>9LHR3A6G</v>
          </cell>
        </row>
        <row r="1801">
          <cell r="D1801" t="str">
            <v>0F31284</v>
          </cell>
          <cell r="E1801" t="str">
            <v>9LHS7ERG</v>
          </cell>
        </row>
        <row r="1802">
          <cell r="D1802" t="str">
            <v>0F31284</v>
          </cell>
          <cell r="E1802" t="str">
            <v>9LJ5VZSG</v>
          </cell>
        </row>
        <row r="1803">
          <cell r="D1803" t="str">
            <v>0F31284</v>
          </cell>
          <cell r="E1803" t="str">
            <v>9LHMZKNG</v>
          </cell>
        </row>
        <row r="1804">
          <cell r="D1804" t="str">
            <v>0F31284</v>
          </cell>
          <cell r="E1804" t="str">
            <v>9LHRWDUG</v>
          </cell>
        </row>
        <row r="1805">
          <cell r="D1805" t="str">
            <v>0F31284</v>
          </cell>
          <cell r="E1805" t="str">
            <v>9LJ5PW6G</v>
          </cell>
        </row>
        <row r="1806">
          <cell r="D1806" t="str">
            <v>0F31284</v>
          </cell>
          <cell r="E1806" t="str">
            <v>9LJ5W56G</v>
          </cell>
        </row>
        <row r="1807">
          <cell r="D1807" t="str">
            <v>0F31284</v>
          </cell>
          <cell r="E1807" t="str">
            <v>9LHRARDG</v>
          </cell>
        </row>
        <row r="1808">
          <cell r="D1808" t="str">
            <v>0F31284</v>
          </cell>
          <cell r="E1808" t="str">
            <v>9LJ56SHG</v>
          </cell>
        </row>
        <row r="1809">
          <cell r="D1809" t="str">
            <v>0F31284</v>
          </cell>
          <cell r="E1809" t="str">
            <v>9LJ5W0HG</v>
          </cell>
        </row>
        <row r="1810">
          <cell r="D1810" t="str">
            <v>0F31284</v>
          </cell>
          <cell r="E1810" t="str">
            <v>9LHRZLBG</v>
          </cell>
        </row>
        <row r="1811">
          <cell r="D1811" t="str">
            <v>0F31284</v>
          </cell>
          <cell r="E1811" t="str">
            <v>9LJ5UWPG</v>
          </cell>
        </row>
        <row r="1812">
          <cell r="D1812" t="str">
            <v>0F31284</v>
          </cell>
          <cell r="E1812" t="str">
            <v>9LJ5W8AG</v>
          </cell>
        </row>
        <row r="1813">
          <cell r="D1813" t="str">
            <v>0F31284</v>
          </cell>
          <cell r="E1813" t="str">
            <v>9LJ5560G</v>
          </cell>
        </row>
        <row r="1814">
          <cell r="D1814" t="str">
            <v>0F31284</v>
          </cell>
          <cell r="E1814" t="str">
            <v>9LJ61NKG</v>
          </cell>
        </row>
        <row r="1815">
          <cell r="D1815" t="str">
            <v>0F31284</v>
          </cell>
          <cell r="E1815" t="str">
            <v>9LJ64H8G</v>
          </cell>
        </row>
        <row r="1816">
          <cell r="D1816" t="str">
            <v>0F31284</v>
          </cell>
          <cell r="E1816" t="str">
            <v>9LHRYW8G</v>
          </cell>
        </row>
        <row r="1817">
          <cell r="D1817" t="str">
            <v>0F31284</v>
          </cell>
          <cell r="E1817" t="str">
            <v>9LJ5LMXG</v>
          </cell>
        </row>
        <row r="1818">
          <cell r="D1818" t="str">
            <v>0F31284</v>
          </cell>
          <cell r="E1818" t="str">
            <v>9LJ64BUG</v>
          </cell>
        </row>
        <row r="1819">
          <cell r="D1819" t="str">
            <v>0F31284</v>
          </cell>
          <cell r="E1819" t="str">
            <v>9LJ6AG1G</v>
          </cell>
        </row>
        <row r="1820">
          <cell r="D1820" t="str">
            <v>0F31284</v>
          </cell>
          <cell r="E1820" t="str">
            <v>9LJ5D42G</v>
          </cell>
        </row>
        <row r="1821">
          <cell r="D1821" t="str">
            <v>0F31284</v>
          </cell>
          <cell r="E1821" t="str">
            <v>9LJ63B6G</v>
          </cell>
        </row>
        <row r="1822">
          <cell r="D1822" t="str">
            <v>0F31284</v>
          </cell>
          <cell r="E1822" t="str">
            <v>9LJ64RLG</v>
          </cell>
        </row>
        <row r="1823">
          <cell r="D1823" t="str">
            <v>0F31284</v>
          </cell>
          <cell r="E1823" t="str">
            <v>9LJ4NELG</v>
          </cell>
        </row>
        <row r="1824">
          <cell r="D1824" t="str">
            <v>0F31284</v>
          </cell>
          <cell r="E1824" t="str">
            <v>9LJ5UPTG</v>
          </cell>
        </row>
        <row r="1825">
          <cell r="D1825" t="str">
            <v>0F31284</v>
          </cell>
          <cell r="E1825" t="str">
            <v>9LJ64EVG</v>
          </cell>
        </row>
        <row r="1826">
          <cell r="D1826" t="str">
            <v>0F31284</v>
          </cell>
          <cell r="E1826" t="str">
            <v>9LJ6AGUG</v>
          </cell>
        </row>
        <row r="1827">
          <cell r="D1827" t="str">
            <v>0F31284</v>
          </cell>
          <cell r="E1827" t="str">
            <v>9LJ5DJXG</v>
          </cell>
        </row>
        <row r="1828">
          <cell r="D1828" t="str">
            <v>0F31284</v>
          </cell>
          <cell r="E1828" t="str">
            <v>9LJ63L7G</v>
          </cell>
        </row>
        <row r="1829">
          <cell r="D1829" t="str">
            <v>0F31284</v>
          </cell>
          <cell r="E1829" t="str">
            <v>9LJ65T9G</v>
          </cell>
        </row>
        <row r="1830">
          <cell r="D1830" t="str">
            <v>0F31284</v>
          </cell>
          <cell r="E1830" t="str">
            <v>9LJ5UXNG</v>
          </cell>
        </row>
        <row r="1831">
          <cell r="D1831" t="str">
            <v>0F31284</v>
          </cell>
          <cell r="E1831" t="str">
            <v>9LJ64EYG</v>
          </cell>
        </row>
        <row r="1832">
          <cell r="D1832" t="str">
            <v>0F31284</v>
          </cell>
          <cell r="E1832" t="str">
            <v>9LJ6AGYG</v>
          </cell>
        </row>
        <row r="1833">
          <cell r="D1833" t="str">
            <v>0F31284</v>
          </cell>
          <cell r="E1833" t="str">
            <v>9LJ4ND5G</v>
          </cell>
        </row>
        <row r="1834">
          <cell r="D1834" t="str">
            <v>0F31284</v>
          </cell>
          <cell r="E1834" t="str">
            <v>9LJ63BHG</v>
          </cell>
        </row>
        <row r="1835">
          <cell r="D1835" t="str">
            <v>0F31284</v>
          </cell>
          <cell r="E1835" t="str">
            <v>9LJ65WSG</v>
          </cell>
        </row>
        <row r="1836">
          <cell r="D1836" t="str">
            <v>0F31284</v>
          </cell>
          <cell r="E1836" t="str">
            <v>9LHZ6ERG</v>
          </cell>
        </row>
        <row r="1837">
          <cell r="D1837" t="str">
            <v>0F31284</v>
          </cell>
          <cell r="E1837" t="str">
            <v>9LJ57NLG</v>
          </cell>
        </row>
        <row r="1838">
          <cell r="D1838" t="str">
            <v>0F31284</v>
          </cell>
          <cell r="E1838" t="str">
            <v>9LJ64PPG</v>
          </cell>
        </row>
        <row r="1839">
          <cell r="D1839" t="str">
            <v>0F31284</v>
          </cell>
          <cell r="E1839" t="str">
            <v>9LJ6AM4G</v>
          </cell>
        </row>
        <row r="1840">
          <cell r="D1840" t="str">
            <v>0F31284</v>
          </cell>
          <cell r="E1840" t="str">
            <v>9LJ4NDWG</v>
          </cell>
        </row>
        <row r="1841">
          <cell r="D1841" t="str">
            <v>0F31284</v>
          </cell>
          <cell r="E1841" t="str">
            <v>9LJ63EXG</v>
          </cell>
        </row>
        <row r="1842">
          <cell r="D1842" t="str">
            <v>0F31284</v>
          </cell>
          <cell r="E1842" t="str">
            <v>9LJ6A9AG</v>
          </cell>
        </row>
        <row r="1843">
          <cell r="D1843" t="str">
            <v>0F31284</v>
          </cell>
          <cell r="E1843" t="str">
            <v>9LJ4NB5G</v>
          </cell>
        </row>
        <row r="1844">
          <cell r="D1844" t="str">
            <v>0F31284</v>
          </cell>
          <cell r="E1844" t="str">
            <v>9LJ6300G</v>
          </cell>
        </row>
        <row r="1845">
          <cell r="D1845" t="str">
            <v>0F31284</v>
          </cell>
          <cell r="E1845" t="str">
            <v>9LJ64UMG</v>
          </cell>
        </row>
        <row r="1846">
          <cell r="D1846" t="str">
            <v>0F31284</v>
          </cell>
          <cell r="E1846" t="str">
            <v>9LJ6AM5G</v>
          </cell>
        </row>
        <row r="1847">
          <cell r="D1847" t="str">
            <v>0F31284</v>
          </cell>
          <cell r="E1847" t="str">
            <v>9LJ53DBG</v>
          </cell>
        </row>
        <row r="1848">
          <cell r="D1848" t="str">
            <v>0F31284</v>
          </cell>
          <cell r="E1848" t="str">
            <v>9LJ64BMG</v>
          </cell>
        </row>
        <row r="1849">
          <cell r="D1849" t="str">
            <v>0F31284</v>
          </cell>
          <cell r="E1849" t="str">
            <v>9LJ6AHYG</v>
          </cell>
        </row>
        <row r="1850">
          <cell r="D1850" t="str">
            <v>0F31284</v>
          </cell>
          <cell r="E1850" t="str">
            <v>9LJ637TG</v>
          </cell>
        </row>
        <row r="1851">
          <cell r="D1851" t="str">
            <v>0F31284</v>
          </cell>
          <cell r="E1851" t="str">
            <v>9LJ65RKG</v>
          </cell>
        </row>
        <row r="1852">
          <cell r="D1852" t="str">
            <v>0F31284</v>
          </cell>
          <cell r="E1852" t="str">
            <v>9LJ6BWNG</v>
          </cell>
        </row>
        <row r="1853">
          <cell r="D1853" t="str">
            <v>0F31284</v>
          </cell>
          <cell r="E1853" t="str">
            <v>9LJ553ZG</v>
          </cell>
        </row>
        <row r="1854">
          <cell r="D1854" t="str">
            <v>0F31284</v>
          </cell>
          <cell r="E1854" t="str">
            <v>9LJ64LBG</v>
          </cell>
        </row>
        <row r="1855">
          <cell r="D1855" t="str">
            <v>0F31284</v>
          </cell>
          <cell r="E1855" t="str">
            <v>9LJ64NWG</v>
          </cell>
        </row>
        <row r="1856">
          <cell r="D1856" t="str">
            <v>0F31284</v>
          </cell>
          <cell r="E1856" t="str">
            <v>9LJ6339G</v>
          </cell>
        </row>
        <row r="1857">
          <cell r="D1857" t="str">
            <v>0F31284</v>
          </cell>
          <cell r="E1857" t="str">
            <v>9LJ63HXG</v>
          </cell>
        </row>
        <row r="1858">
          <cell r="D1858" t="str">
            <v>0F31284</v>
          </cell>
          <cell r="E1858" t="str">
            <v>9LJ69YLG</v>
          </cell>
        </row>
        <row r="1859">
          <cell r="D1859" t="str">
            <v>0F31284</v>
          </cell>
          <cell r="E1859" t="str">
            <v>9LJ6AGZG</v>
          </cell>
        </row>
        <row r="1860">
          <cell r="D1860" t="str">
            <v>0F31284</v>
          </cell>
          <cell r="E1860" t="str">
            <v>9LJ63HWG</v>
          </cell>
        </row>
        <row r="1861">
          <cell r="D1861" t="str">
            <v>0F31284</v>
          </cell>
          <cell r="E1861" t="str">
            <v>9LJ64UEG</v>
          </cell>
        </row>
        <row r="1862">
          <cell r="D1862" t="str">
            <v>0F31284</v>
          </cell>
          <cell r="E1862" t="str">
            <v>9LJ5S81G</v>
          </cell>
        </row>
        <row r="1863">
          <cell r="D1863" t="str">
            <v>0F31284</v>
          </cell>
          <cell r="E1863" t="str">
            <v>9LJ64DSG</v>
          </cell>
        </row>
        <row r="1864">
          <cell r="D1864" t="str">
            <v>0F31284</v>
          </cell>
          <cell r="E1864" t="str">
            <v>9LJ64AEG</v>
          </cell>
        </row>
        <row r="1865">
          <cell r="D1865" t="str">
            <v>0F31284</v>
          </cell>
          <cell r="E1865" t="str">
            <v>9LHRU66G</v>
          </cell>
        </row>
        <row r="1866">
          <cell r="D1866" t="str">
            <v>0F31284</v>
          </cell>
          <cell r="E1866" t="str">
            <v>9LJ63J1G</v>
          </cell>
        </row>
        <row r="1867">
          <cell r="D1867" t="str">
            <v>0F31284</v>
          </cell>
          <cell r="E1867" t="str">
            <v>9LJ6AE4G</v>
          </cell>
        </row>
        <row r="1868">
          <cell r="D1868" t="str">
            <v>0F31284</v>
          </cell>
          <cell r="E1868" t="str">
            <v>9LJ6DB0G</v>
          </cell>
        </row>
        <row r="1869">
          <cell r="D1869" t="str">
            <v>0F31284</v>
          </cell>
          <cell r="E1869" t="str">
            <v>9LJ6DAVG</v>
          </cell>
        </row>
        <row r="1870">
          <cell r="D1870" t="str">
            <v>0F31284</v>
          </cell>
          <cell r="E1870" t="str">
            <v>9LJ4NJHG</v>
          </cell>
        </row>
        <row r="1871">
          <cell r="D1871" t="str">
            <v>0F31284</v>
          </cell>
          <cell r="E1871" t="str">
            <v>9LJ64P4G</v>
          </cell>
        </row>
        <row r="1872">
          <cell r="D1872" t="str">
            <v>0F31284</v>
          </cell>
          <cell r="E1872" t="str">
            <v>9LJ6AJ8G</v>
          </cell>
        </row>
        <row r="1873">
          <cell r="D1873" t="str">
            <v>0F31284</v>
          </cell>
          <cell r="E1873" t="str">
            <v>9LHRP3TG</v>
          </cell>
        </row>
        <row r="1874">
          <cell r="D1874" t="str">
            <v>0F31284</v>
          </cell>
          <cell r="E1874" t="str">
            <v>9LJ536PG</v>
          </cell>
        </row>
        <row r="1875">
          <cell r="D1875" t="str">
            <v>0F31284</v>
          </cell>
          <cell r="E1875" t="str">
            <v>9LJ5UVNG</v>
          </cell>
        </row>
        <row r="1876">
          <cell r="D1876" t="str">
            <v>0F31284</v>
          </cell>
          <cell r="E1876" t="str">
            <v>9LHJVK1G</v>
          </cell>
        </row>
        <row r="1877">
          <cell r="D1877" t="str">
            <v>0F31284</v>
          </cell>
          <cell r="E1877" t="str">
            <v>9LHRYU5G</v>
          </cell>
        </row>
        <row r="1878">
          <cell r="D1878" t="str">
            <v>0F31284</v>
          </cell>
          <cell r="E1878" t="str">
            <v>9LJ5DKKG</v>
          </cell>
        </row>
        <row r="1879">
          <cell r="D1879" t="str">
            <v>0F31284</v>
          </cell>
          <cell r="E1879" t="str">
            <v>9LJ5V2EG</v>
          </cell>
        </row>
        <row r="1880">
          <cell r="D1880" t="str">
            <v>0F31284</v>
          </cell>
          <cell r="E1880" t="str">
            <v>9LHRUB9G</v>
          </cell>
        </row>
        <row r="1881">
          <cell r="D1881" t="str">
            <v>0F31284</v>
          </cell>
          <cell r="E1881" t="str">
            <v>9LJ59REG</v>
          </cell>
        </row>
        <row r="1882">
          <cell r="D1882" t="str">
            <v>0F31284</v>
          </cell>
          <cell r="E1882" t="str">
            <v>9LJ5V0BG</v>
          </cell>
        </row>
        <row r="1883">
          <cell r="D1883" t="str">
            <v>0F31284</v>
          </cell>
          <cell r="E1883" t="str">
            <v>9LHRBMXG</v>
          </cell>
        </row>
        <row r="1884">
          <cell r="D1884" t="str">
            <v>0F31284</v>
          </cell>
          <cell r="E1884" t="str">
            <v>9LHS1NKG</v>
          </cell>
        </row>
        <row r="1885">
          <cell r="D1885" t="str">
            <v>0F31284</v>
          </cell>
          <cell r="E1885" t="str">
            <v>9LJ5MPXG</v>
          </cell>
        </row>
        <row r="1886">
          <cell r="D1886" t="str">
            <v>0F31284</v>
          </cell>
          <cell r="E1886" t="str">
            <v>9LJ5V44G</v>
          </cell>
        </row>
        <row r="1887">
          <cell r="D1887" t="str">
            <v>0F31284</v>
          </cell>
          <cell r="E1887" t="str">
            <v>9LHRXHPG</v>
          </cell>
        </row>
        <row r="1888">
          <cell r="D1888" t="str">
            <v>0F31284</v>
          </cell>
          <cell r="E1888" t="str">
            <v>9LJ5AW9G</v>
          </cell>
        </row>
        <row r="1889">
          <cell r="D1889" t="str">
            <v>0F31284</v>
          </cell>
          <cell r="E1889" t="str">
            <v>9LJ5V1WG</v>
          </cell>
        </row>
        <row r="1890">
          <cell r="D1890" t="str">
            <v>0F31284</v>
          </cell>
          <cell r="E1890" t="str">
            <v>9LJ08R3G</v>
          </cell>
        </row>
        <row r="1891">
          <cell r="D1891" t="str">
            <v>0F31284</v>
          </cell>
          <cell r="E1891" t="str">
            <v>9LJ5UVMG</v>
          </cell>
        </row>
        <row r="1892">
          <cell r="D1892" t="str">
            <v>0F31284</v>
          </cell>
          <cell r="E1892" t="str">
            <v>9LJ5V6UG</v>
          </cell>
        </row>
        <row r="1893">
          <cell r="D1893" t="str">
            <v>0F31284</v>
          </cell>
          <cell r="E1893" t="str">
            <v>9LHS0MKG</v>
          </cell>
        </row>
        <row r="1894">
          <cell r="D1894" t="str">
            <v>0F31284</v>
          </cell>
          <cell r="E1894" t="str">
            <v>9LJ5UL7G</v>
          </cell>
        </row>
        <row r="1895">
          <cell r="D1895" t="str">
            <v>0F31284</v>
          </cell>
          <cell r="E1895" t="str">
            <v>9LJ5V1PG</v>
          </cell>
        </row>
        <row r="1896">
          <cell r="D1896" t="str">
            <v>0F31284</v>
          </cell>
          <cell r="E1896" t="str">
            <v>9LHPZB3G</v>
          </cell>
        </row>
        <row r="1897">
          <cell r="D1897" t="str">
            <v>0F31284</v>
          </cell>
          <cell r="E1897" t="str">
            <v>9LJ5DAKG</v>
          </cell>
        </row>
        <row r="1898">
          <cell r="D1898" t="str">
            <v>0F31284</v>
          </cell>
          <cell r="E1898" t="str">
            <v>9LJ5UWSG</v>
          </cell>
        </row>
        <row r="1899">
          <cell r="D1899" t="str">
            <v>0F31284</v>
          </cell>
          <cell r="E1899" t="str">
            <v>9LJ5W3TG</v>
          </cell>
        </row>
        <row r="1900">
          <cell r="D1900" t="str">
            <v>0F31284</v>
          </cell>
          <cell r="E1900" t="str">
            <v>9LHS3K7G</v>
          </cell>
        </row>
        <row r="1901">
          <cell r="D1901" t="str">
            <v>0F31284</v>
          </cell>
          <cell r="E1901" t="str">
            <v>9LJ5UL8G</v>
          </cell>
        </row>
        <row r="1902">
          <cell r="D1902" t="str">
            <v>0F31284</v>
          </cell>
          <cell r="E1902" t="str">
            <v>9LJ5V5AG</v>
          </cell>
        </row>
        <row r="1903">
          <cell r="D1903" t="str">
            <v>0F31284</v>
          </cell>
          <cell r="E1903" t="str">
            <v>9LHRXJZG</v>
          </cell>
        </row>
        <row r="1904">
          <cell r="D1904" t="str">
            <v>0F31284</v>
          </cell>
          <cell r="E1904" t="str">
            <v>9LJ5DE7G</v>
          </cell>
        </row>
        <row r="1905">
          <cell r="D1905" t="str">
            <v>0F31284</v>
          </cell>
          <cell r="E1905" t="str">
            <v>9LJ5V09G</v>
          </cell>
        </row>
        <row r="1906">
          <cell r="D1906" t="str">
            <v>0F31284</v>
          </cell>
          <cell r="E1906" t="str">
            <v>9LJ5W4SG</v>
          </cell>
        </row>
        <row r="1907">
          <cell r="D1907" t="str">
            <v>0F31284</v>
          </cell>
          <cell r="E1907" t="str">
            <v>9LHS7HDG</v>
          </cell>
        </row>
        <row r="1908">
          <cell r="D1908" t="str">
            <v>0F31284</v>
          </cell>
          <cell r="E1908" t="str">
            <v>9LJ5URAG</v>
          </cell>
        </row>
        <row r="1909">
          <cell r="D1909" t="str">
            <v>0F31284</v>
          </cell>
          <cell r="E1909" t="str">
            <v>9LJ5W23G</v>
          </cell>
        </row>
        <row r="1910">
          <cell r="D1910" t="str">
            <v>0F31284</v>
          </cell>
          <cell r="E1910" t="str">
            <v>9LJ5DX1G</v>
          </cell>
        </row>
        <row r="1911">
          <cell r="D1911" t="str">
            <v>0F31284</v>
          </cell>
          <cell r="E1911" t="str">
            <v>9LJ5V13G</v>
          </cell>
        </row>
        <row r="1912">
          <cell r="D1912" t="str">
            <v>0F31284</v>
          </cell>
          <cell r="E1912" t="str">
            <v>9LJ5W6SG</v>
          </cell>
        </row>
        <row r="1913">
          <cell r="D1913" t="str">
            <v>0F31284</v>
          </cell>
          <cell r="E1913" t="str">
            <v>9LHRSMYG</v>
          </cell>
        </row>
        <row r="1914">
          <cell r="D1914" t="str">
            <v>0F31284</v>
          </cell>
          <cell r="E1914" t="str">
            <v>9LJ552WG</v>
          </cell>
        </row>
        <row r="1915">
          <cell r="D1915" t="str">
            <v>0F31284</v>
          </cell>
          <cell r="E1915" t="str">
            <v>9LJ64HNG</v>
          </cell>
        </row>
        <row r="1916">
          <cell r="D1916" t="str">
            <v>0F31284</v>
          </cell>
          <cell r="E1916" t="str">
            <v>9LHR5D2G</v>
          </cell>
        </row>
        <row r="1917">
          <cell r="D1917" t="str">
            <v>0F31284</v>
          </cell>
          <cell r="E1917" t="str">
            <v>9LJ4G9KG</v>
          </cell>
        </row>
        <row r="1918">
          <cell r="D1918" t="str">
            <v>0F31284</v>
          </cell>
          <cell r="E1918" t="str">
            <v>9LJ5HX7G</v>
          </cell>
        </row>
        <row r="1919">
          <cell r="D1919" t="str">
            <v>0F31284</v>
          </cell>
          <cell r="E1919" t="str">
            <v>9LJ6AD1G</v>
          </cell>
        </row>
        <row r="1920">
          <cell r="D1920" t="str">
            <v>0F31284</v>
          </cell>
          <cell r="E1920" t="str">
            <v>9LJ1L54G</v>
          </cell>
        </row>
        <row r="1921">
          <cell r="D1921" t="str">
            <v>0F31284</v>
          </cell>
          <cell r="E1921" t="str">
            <v>9LJ5BX1G</v>
          </cell>
        </row>
        <row r="1922">
          <cell r="D1922" t="str">
            <v>0F31284</v>
          </cell>
          <cell r="E1922" t="str">
            <v>9LJ64M0G</v>
          </cell>
        </row>
        <row r="1923">
          <cell r="D1923" t="str">
            <v>0F31284</v>
          </cell>
          <cell r="E1923" t="str">
            <v>9LHRRKUG</v>
          </cell>
        </row>
        <row r="1924">
          <cell r="D1924" t="str">
            <v>0F31284</v>
          </cell>
          <cell r="E1924" t="str">
            <v>9LJ4N90G</v>
          </cell>
        </row>
        <row r="1925">
          <cell r="D1925" t="str">
            <v>0F31284</v>
          </cell>
          <cell r="E1925" t="str">
            <v>9LJ64GSG</v>
          </cell>
        </row>
        <row r="1926">
          <cell r="D1926" t="str">
            <v>0F31284</v>
          </cell>
          <cell r="E1926" t="str">
            <v>9LJ6AM0G</v>
          </cell>
        </row>
        <row r="1927">
          <cell r="D1927" t="str">
            <v>0F31284</v>
          </cell>
          <cell r="E1927" t="str">
            <v>9LJ1NS6G</v>
          </cell>
        </row>
        <row r="1928">
          <cell r="D1928" t="str">
            <v>0F31284</v>
          </cell>
          <cell r="E1928" t="str">
            <v>9LJ5DAGG</v>
          </cell>
        </row>
        <row r="1929">
          <cell r="D1929" t="str">
            <v>0F31284</v>
          </cell>
          <cell r="E1929" t="str">
            <v>9LJ6908G</v>
          </cell>
        </row>
        <row r="1930">
          <cell r="D1930" t="str">
            <v>0F31284</v>
          </cell>
          <cell r="E1930" t="str">
            <v>9LJ4TVNG</v>
          </cell>
        </row>
        <row r="1931">
          <cell r="D1931" t="str">
            <v>0F31284</v>
          </cell>
          <cell r="E1931" t="str">
            <v>9LJ64GUG</v>
          </cell>
        </row>
        <row r="1932">
          <cell r="D1932" t="str">
            <v>0F31284</v>
          </cell>
          <cell r="E1932" t="str">
            <v>9LJ6AM9G</v>
          </cell>
        </row>
        <row r="1933">
          <cell r="D1933" t="str">
            <v>0F31284</v>
          </cell>
          <cell r="E1933" t="str">
            <v>9LHRZRKG</v>
          </cell>
        </row>
        <row r="1934">
          <cell r="D1934" t="str">
            <v>0F31284</v>
          </cell>
          <cell r="E1934" t="str">
            <v>9LJ599WG</v>
          </cell>
        </row>
        <row r="1935">
          <cell r="D1935" t="str">
            <v>0F31284</v>
          </cell>
          <cell r="E1935" t="str">
            <v>9LJ5UREG</v>
          </cell>
        </row>
        <row r="1936">
          <cell r="D1936" t="str">
            <v>0F31284</v>
          </cell>
          <cell r="E1936" t="str">
            <v>9LHRRMAG</v>
          </cell>
        </row>
        <row r="1937">
          <cell r="D1937" t="str">
            <v>0F31284</v>
          </cell>
          <cell r="E1937" t="str">
            <v>9LHS8B8G</v>
          </cell>
        </row>
        <row r="1938">
          <cell r="D1938" t="str">
            <v>0F31284</v>
          </cell>
          <cell r="E1938" t="str">
            <v>9LJ5MT9G</v>
          </cell>
        </row>
        <row r="1939">
          <cell r="D1939" t="str">
            <v>0F31284</v>
          </cell>
          <cell r="E1939" t="str">
            <v>9LJ5V6MG</v>
          </cell>
        </row>
        <row r="1940">
          <cell r="D1940" t="str">
            <v>0F31284</v>
          </cell>
          <cell r="E1940" t="str">
            <v>9LHS4K4G</v>
          </cell>
        </row>
        <row r="1941">
          <cell r="D1941" t="str">
            <v>0F31284</v>
          </cell>
          <cell r="E1941" t="str">
            <v>9LJ5DBMG</v>
          </cell>
        </row>
        <row r="1942">
          <cell r="D1942" t="str">
            <v>0F31284</v>
          </cell>
          <cell r="E1942" t="str">
            <v>9LJ5UVPG</v>
          </cell>
        </row>
        <row r="1943">
          <cell r="D1943" t="str">
            <v>0F31284</v>
          </cell>
          <cell r="E1943" t="str">
            <v>9LHRZ1YG</v>
          </cell>
        </row>
        <row r="1944">
          <cell r="D1944" t="str">
            <v>0F31284</v>
          </cell>
          <cell r="E1944" t="str">
            <v>9LHS8TEG</v>
          </cell>
        </row>
        <row r="1945">
          <cell r="D1945" t="str">
            <v>0F31284</v>
          </cell>
          <cell r="E1945" t="str">
            <v>9LJ5N7VG</v>
          </cell>
        </row>
        <row r="1946">
          <cell r="D1946" t="str">
            <v>0F31284</v>
          </cell>
          <cell r="E1946" t="str">
            <v>9LJ5V72G</v>
          </cell>
        </row>
        <row r="1947">
          <cell r="D1947" t="str">
            <v>0F31284</v>
          </cell>
          <cell r="E1947" t="str">
            <v>9LHS89NG</v>
          </cell>
        </row>
        <row r="1948">
          <cell r="D1948" t="str">
            <v>0F31284</v>
          </cell>
          <cell r="E1948" t="str">
            <v>9LJ5DHJG</v>
          </cell>
        </row>
        <row r="1949">
          <cell r="D1949" t="str">
            <v>0F31284</v>
          </cell>
          <cell r="E1949" t="str">
            <v>9LJ5UZ3G</v>
          </cell>
        </row>
        <row r="1950">
          <cell r="D1950" t="str">
            <v>0F31284</v>
          </cell>
          <cell r="E1950" t="str">
            <v>9LJ4JA1G</v>
          </cell>
        </row>
        <row r="1951">
          <cell r="D1951" t="str">
            <v>0F31284</v>
          </cell>
          <cell r="E1951" t="str">
            <v>9LJ5UP8G</v>
          </cell>
        </row>
        <row r="1952">
          <cell r="D1952" t="str">
            <v>0F31284</v>
          </cell>
          <cell r="E1952" t="str">
            <v>9LJ5W08G</v>
          </cell>
        </row>
        <row r="1953">
          <cell r="D1953" t="str">
            <v>0F31284</v>
          </cell>
          <cell r="E1953" t="str">
            <v>9LJ51YKG</v>
          </cell>
        </row>
        <row r="1954">
          <cell r="D1954" t="str">
            <v>0F31284</v>
          </cell>
          <cell r="E1954" t="str">
            <v>9LJ5UDBG</v>
          </cell>
        </row>
        <row r="1955">
          <cell r="D1955" t="str">
            <v>0F31284</v>
          </cell>
          <cell r="E1955" t="str">
            <v>9LJ61N3G</v>
          </cell>
        </row>
        <row r="1956">
          <cell r="D1956" t="str">
            <v>0F31284</v>
          </cell>
          <cell r="E1956" t="str">
            <v>9LHS33BG</v>
          </cell>
        </row>
        <row r="1957">
          <cell r="D1957" t="str">
            <v>0F31284</v>
          </cell>
          <cell r="E1957" t="str">
            <v>9LJ556AG</v>
          </cell>
        </row>
        <row r="1958">
          <cell r="D1958" t="str">
            <v>0F31284</v>
          </cell>
          <cell r="E1958" t="str">
            <v>9LJ5WKRG</v>
          </cell>
        </row>
        <row r="1959">
          <cell r="D1959" t="str">
            <v>0F31284</v>
          </cell>
          <cell r="E1959" t="str">
            <v>9LJ63KJG</v>
          </cell>
        </row>
        <row r="1960">
          <cell r="D1960" t="str">
            <v>0F31284</v>
          </cell>
          <cell r="E1960" t="str">
            <v>9LJ553EG</v>
          </cell>
        </row>
        <row r="1961">
          <cell r="D1961" t="str">
            <v>0F31284</v>
          </cell>
          <cell r="E1961" t="str">
            <v>9LJ5UMKG</v>
          </cell>
        </row>
        <row r="1962">
          <cell r="D1962" t="str">
            <v>0F31284</v>
          </cell>
          <cell r="E1962" t="str">
            <v>9LJ637LG</v>
          </cell>
        </row>
        <row r="1963">
          <cell r="D1963" t="str">
            <v>0F31284</v>
          </cell>
          <cell r="E1963" t="str">
            <v>9LJ4TNHG</v>
          </cell>
        </row>
        <row r="1964">
          <cell r="D1964" t="str">
            <v>0F31284</v>
          </cell>
          <cell r="E1964" t="str">
            <v>9LJ5BW5G</v>
          </cell>
        </row>
        <row r="1965">
          <cell r="D1965" t="str">
            <v>0F31284</v>
          </cell>
          <cell r="E1965" t="str">
            <v>9LJ5WZ9G</v>
          </cell>
        </row>
        <row r="1966">
          <cell r="D1966" t="str">
            <v>0F31284</v>
          </cell>
          <cell r="E1966" t="str">
            <v>9LJ64VNG</v>
          </cell>
        </row>
        <row r="1967">
          <cell r="D1967" t="str">
            <v>0F31284</v>
          </cell>
          <cell r="E1967" t="str">
            <v>9LJ5551G</v>
          </cell>
        </row>
        <row r="1968">
          <cell r="D1968" t="str">
            <v>0F31284</v>
          </cell>
          <cell r="E1968" t="str">
            <v>9LJ5UP9G</v>
          </cell>
        </row>
        <row r="1969">
          <cell r="D1969" t="str">
            <v>0F31284</v>
          </cell>
          <cell r="E1969" t="str">
            <v>9LJ63KEG</v>
          </cell>
        </row>
        <row r="1970">
          <cell r="D1970" t="str">
            <v>0F31284</v>
          </cell>
          <cell r="E1970" t="str">
            <v>9LJ5TNYG</v>
          </cell>
        </row>
        <row r="1971">
          <cell r="D1971" t="str">
            <v>0F31284</v>
          </cell>
          <cell r="E1971" t="str">
            <v>9LJ614LG</v>
          </cell>
        </row>
        <row r="1972">
          <cell r="D1972" t="str">
            <v>0F31284</v>
          </cell>
          <cell r="E1972" t="str">
            <v>9LJ65REG</v>
          </cell>
        </row>
        <row r="1973">
          <cell r="D1973" t="str">
            <v>0F31284</v>
          </cell>
          <cell r="E1973" t="str">
            <v>9LJ553XG</v>
          </cell>
        </row>
        <row r="1974">
          <cell r="D1974" t="str">
            <v>0F31284</v>
          </cell>
          <cell r="E1974" t="str">
            <v>9LJ6367G</v>
          </cell>
        </row>
        <row r="1975">
          <cell r="D1975" t="str">
            <v>0F31284</v>
          </cell>
          <cell r="E1975" t="str">
            <v>9LJ65RUG</v>
          </cell>
        </row>
        <row r="1976">
          <cell r="D1976" t="str">
            <v>0F31284</v>
          </cell>
          <cell r="E1976" t="str">
            <v>9LJ4M5XG</v>
          </cell>
        </row>
        <row r="1977">
          <cell r="D1977" t="str">
            <v>0F31284</v>
          </cell>
          <cell r="E1977" t="str">
            <v>9LJ62ZPG</v>
          </cell>
        </row>
        <row r="1978">
          <cell r="D1978" t="str">
            <v>0F31284</v>
          </cell>
          <cell r="E1978" t="str">
            <v>9LJ64DVG</v>
          </cell>
        </row>
        <row r="1979">
          <cell r="D1979" t="str">
            <v>0F31284</v>
          </cell>
          <cell r="E1979" t="str">
            <v>9LJ6ASPG</v>
          </cell>
        </row>
        <row r="1980">
          <cell r="D1980" t="str">
            <v>0F31284</v>
          </cell>
          <cell r="E1980" t="str">
            <v>9LJ553YG</v>
          </cell>
        </row>
        <row r="1981">
          <cell r="D1981" t="str">
            <v>0F31284</v>
          </cell>
          <cell r="E1981" t="str">
            <v>9LJ63G5G</v>
          </cell>
        </row>
        <row r="1982">
          <cell r="D1982" t="str">
            <v>0F31284</v>
          </cell>
          <cell r="E1982" t="str">
            <v>9LJ65W9G</v>
          </cell>
        </row>
        <row r="1983">
          <cell r="D1983" t="str">
            <v>0F31284</v>
          </cell>
          <cell r="E1983" t="str">
            <v>9LJ553SG</v>
          </cell>
        </row>
        <row r="1984">
          <cell r="D1984" t="str">
            <v>0F31284</v>
          </cell>
          <cell r="E1984" t="str">
            <v>9LJ6308G</v>
          </cell>
        </row>
        <row r="1985">
          <cell r="D1985" t="str">
            <v>0F31284</v>
          </cell>
          <cell r="E1985" t="str">
            <v>9LJ64PJG</v>
          </cell>
        </row>
        <row r="1986">
          <cell r="D1986" t="str">
            <v>0F31284</v>
          </cell>
          <cell r="E1986" t="str">
            <v>9LJ6BWRG</v>
          </cell>
        </row>
        <row r="1987">
          <cell r="D1987" t="str">
            <v>0F31284</v>
          </cell>
          <cell r="E1987" t="str">
            <v>9LJ5PPPG</v>
          </cell>
        </row>
        <row r="1988">
          <cell r="D1988" t="str">
            <v>0F31284</v>
          </cell>
          <cell r="E1988" t="str">
            <v>9LJ64BEG</v>
          </cell>
        </row>
        <row r="1989">
          <cell r="D1989" t="str">
            <v>0F31284</v>
          </cell>
          <cell r="E1989" t="str">
            <v>9LJ6A9EG</v>
          </cell>
        </row>
        <row r="1990">
          <cell r="D1990" t="str">
            <v>0F31284</v>
          </cell>
          <cell r="E1990" t="str">
            <v>9LJ632WG</v>
          </cell>
        </row>
        <row r="1991">
          <cell r="D1991" t="str">
            <v>0F31284</v>
          </cell>
          <cell r="E1991" t="str">
            <v>9LJ65RLG</v>
          </cell>
        </row>
        <row r="1992">
          <cell r="D1992" t="str">
            <v>0F31284</v>
          </cell>
          <cell r="E1992" t="str">
            <v>9LJ6HLNG</v>
          </cell>
        </row>
        <row r="1993">
          <cell r="D1993" t="str">
            <v>0F31284</v>
          </cell>
          <cell r="E1993" t="str">
            <v>9LHRWWJG</v>
          </cell>
        </row>
        <row r="1994">
          <cell r="D1994" t="str">
            <v>0F31284</v>
          </cell>
          <cell r="E1994" t="str">
            <v>9LJ5DKXG</v>
          </cell>
        </row>
        <row r="1995">
          <cell r="D1995" t="str">
            <v>0F31284</v>
          </cell>
          <cell r="E1995" t="str">
            <v>9LJ5PUVG</v>
          </cell>
        </row>
        <row r="1996">
          <cell r="D1996" t="str">
            <v>0F31284</v>
          </cell>
          <cell r="E1996" t="str">
            <v>9LHKP5XG</v>
          </cell>
        </row>
        <row r="1997">
          <cell r="D1997" t="str">
            <v>0F31284</v>
          </cell>
          <cell r="E1997" t="str">
            <v>9LJ5DADG</v>
          </cell>
        </row>
        <row r="1998">
          <cell r="D1998" t="str">
            <v>0F31284</v>
          </cell>
          <cell r="E1998" t="str">
            <v>9LJ5MLDG</v>
          </cell>
        </row>
        <row r="1999">
          <cell r="D1999" t="str">
            <v>0F31284</v>
          </cell>
          <cell r="E1999" t="str">
            <v>9LJ5V73G</v>
          </cell>
        </row>
        <row r="2000">
          <cell r="D2000" t="str">
            <v>0F31284</v>
          </cell>
          <cell r="E2000" t="str">
            <v>9LJ547MG</v>
          </cell>
        </row>
        <row r="2001">
          <cell r="D2001" t="str">
            <v>0F31284</v>
          </cell>
          <cell r="E2001" t="str">
            <v>9LJ5EB9G</v>
          </cell>
        </row>
        <row r="2002">
          <cell r="D2002" t="str">
            <v>0F31284</v>
          </cell>
          <cell r="E2002" t="str">
            <v>9LJ5ULWG</v>
          </cell>
        </row>
        <row r="2003">
          <cell r="D2003" t="str">
            <v>0F31284</v>
          </cell>
          <cell r="E2003" t="str">
            <v>9LHP2SUG</v>
          </cell>
        </row>
        <row r="2004">
          <cell r="D2004" t="str">
            <v>0F31284</v>
          </cell>
          <cell r="E2004" t="str">
            <v>9LJ5DAUG</v>
          </cell>
        </row>
        <row r="2005">
          <cell r="D2005" t="str">
            <v>0F31284</v>
          </cell>
          <cell r="E2005" t="str">
            <v>9LJ5N2JG</v>
          </cell>
        </row>
        <row r="2006">
          <cell r="D2006" t="str">
            <v>0F31284</v>
          </cell>
          <cell r="E2006" t="str">
            <v>9LJ5W4RG</v>
          </cell>
        </row>
        <row r="2007">
          <cell r="D2007" t="str">
            <v>0F31284</v>
          </cell>
          <cell r="E2007" t="str">
            <v>9LJ59NBG</v>
          </cell>
        </row>
        <row r="2008">
          <cell r="D2008" t="str">
            <v>0F31284</v>
          </cell>
          <cell r="E2008" t="str">
            <v>9LJ5GPNG</v>
          </cell>
        </row>
        <row r="2009">
          <cell r="D2009" t="str">
            <v>0F31284</v>
          </cell>
          <cell r="E2009" t="str">
            <v>9LJ5V1TG</v>
          </cell>
        </row>
        <row r="2010">
          <cell r="D2010" t="str">
            <v>0F31284</v>
          </cell>
          <cell r="E2010" t="str">
            <v>9LJ5DDPG</v>
          </cell>
        </row>
        <row r="2011">
          <cell r="D2011" t="str">
            <v>0F31284</v>
          </cell>
          <cell r="E2011" t="str">
            <v>Y6GY2B0C</v>
          </cell>
        </row>
        <row r="2012">
          <cell r="D2012" t="str">
            <v>0F31284</v>
          </cell>
          <cell r="E2012" t="str">
            <v>9LJ5N4KG</v>
          </cell>
        </row>
        <row r="2013">
          <cell r="D2013" t="str">
            <v>0F31284</v>
          </cell>
          <cell r="E2013" t="str">
            <v>9LJ5DAWG</v>
          </cell>
        </row>
        <row r="2014">
          <cell r="D2014" t="str">
            <v>0F31284</v>
          </cell>
          <cell r="E2014" t="str">
            <v>9LJ5G07G</v>
          </cell>
        </row>
        <row r="2015">
          <cell r="D2015" t="str">
            <v>0F31284</v>
          </cell>
          <cell r="E2015" t="str">
            <v>9LJ5V4MG</v>
          </cell>
        </row>
        <row r="2016">
          <cell r="D2016" t="str">
            <v>0F31284</v>
          </cell>
          <cell r="E2016" t="str">
            <v>9LHRK1PG</v>
          </cell>
        </row>
        <row r="2017">
          <cell r="D2017" t="str">
            <v>0F31284</v>
          </cell>
          <cell r="E2017" t="str">
            <v>9LJ5DE5G</v>
          </cell>
        </row>
        <row r="2018">
          <cell r="D2018" t="str">
            <v>0F31284</v>
          </cell>
          <cell r="E2018" t="str">
            <v>9LJ5ULTG</v>
          </cell>
        </row>
        <row r="2019">
          <cell r="D2019" t="str">
            <v>0F31284</v>
          </cell>
          <cell r="E2019" t="str">
            <v>9LJ5V6LG</v>
          </cell>
        </row>
        <row r="2020">
          <cell r="D2020" t="str">
            <v>0F31284</v>
          </cell>
          <cell r="E2020" t="str">
            <v>9LJ5DBNG</v>
          </cell>
        </row>
        <row r="2021">
          <cell r="D2021" t="str">
            <v>0F31284</v>
          </cell>
          <cell r="E2021" t="str">
            <v>9LJ5MTAG</v>
          </cell>
        </row>
        <row r="2022">
          <cell r="D2022" t="str">
            <v>0F31284</v>
          </cell>
          <cell r="E2022" t="str">
            <v>9LJ5V59G</v>
          </cell>
        </row>
        <row r="2023">
          <cell r="D2023" t="str">
            <v>0F31284</v>
          </cell>
          <cell r="E2023" t="str">
            <v>9LJ547HG</v>
          </cell>
        </row>
        <row r="2024">
          <cell r="D2024" t="str">
            <v>0F31284</v>
          </cell>
          <cell r="E2024" t="str">
            <v>9LJ5DHPG</v>
          </cell>
        </row>
        <row r="2025">
          <cell r="D2025" t="str">
            <v>0F31284</v>
          </cell>
          <cell r="E2025" t="str">
            <v>9LJ5UR7G</v>
          </cell>
        </row>
        <row r="2026">
          <cell r="D2026" t="str">
            <v>0F31284</v>
          </cell>
          <cell r="E2026" t="str">
            <v>9LJ5W1LG</v>
          </cell>
        </row>
        <row r="2027">
          <cell r="D2027" t="str">
            <v>0F31284</v>
          </cell>
          <cell r="E2027" t="str">
            <v>9LJ5DBTG</v>
          </cell>
        </row>
        <row r="2028">
          <cell r="D2028" t="str">
            <v>0F31284</v>
          </cell>
          <cell r="E2028" t="str">
            <v>9LJ5N21G</v>
          </cell>
        </row>
        <row r="2029">
          <cell r="D2029" t="str">
            <v>0F31284</v>
          </cell>
          <cell r="E2029" t="str">
            <v>9LJ5V5BG</v>
          </cell>
        </row>
        <row r="2030">
          <cell r="D2030" t="str">
            <v>0F31284</v>
          </cell>
          <cell r="E2030" t="str">
            <v>9LJ5E56G</v>
          </cell>
        </row>
        <row r="2031">
          <cell r="D2031" t="str">
            <v>0F31284</v>
          </cell>
          <cell r="E2031" t="str">
            <v>9LJ5V4GG</v>
          </cell>
        </row>
        <row r="2032">
          <cell r="D2032" t="str">
            <v>0F31284</v>
          </cell>
          <cell r="E2032" t="str">
            <v>9LJ5W20G</v>
          </cell>
        </row>
        <row r="2033">
          <cell r="D2033" t="str">
            <v>HBA 9400-8E   05-50013-01</v>
          </cell>
          <cell r="E2033" t="str">
            <v>SPA2600284</v>
          </cell>
          <cell r="K2033" t="str">
            <v>05-50013-16  , INNE żRóDłO ?</v>
          </cell>
        </row>
        <row r="2034">
          <cell r="D2034" t="str">
            <v>HBA 9400-8E   05-50013-01</v>
          </cell>
          <cell r="E2034" t="str">
            <v>SPA2603643</v>
          </cell>
          <cell r="K2034" t="str">
            <v>05-50013-16  , INNE żRóDłO ?</v>
          </cell>
        </row>
        <row r="2035">
          <cell r="D2035" t="str">
            <v xml:space="preserve">M393A4K40DB2-CVF </v>
          </cell>
          <cell r="E2035" t="str">
            <v>SNK686</v>
          </cell>
        </row>
        <row r="2036">
          <cell r="D2036" t="str">
            <v xml:space="preserve">M393A4K40DB2-CVF </v>
          </cell>
          <cell r="E2036" t="str">
            <v>SNK687</v>
          </cell>
        </row>
        <row r="2037">
          <cell r="D2037" t="str">
            <v xml:space="preserve">M393A4K40DB2-CVF </v>
          </cell>
          <cell r="E2037" t="str">
            <v>SNK688</v>
          </cell>
        </row>
        <row r="2038">
          <cell r="D2038" t="str">
            <v xml:space="preserve">M393A4K40DB2-CVF </v>
          </cell>
          <cell r="E2038" t="str">
            <v>SNK689</v>
          </cell>
        </row>
        <row r="2039">
          <cell r="D2039" t="str">
            <v xml:space="preserve">M393A4K40DB2-CVF </v>
          </cell>
          <cell r="E2039" t="str">
            <v>SNK690</v>
          </cell>
        </row>
        <row r="2040">
          <cell r="D2040" t="str">
            <v xml:space="preserve">M393A4K40DB2-CVF </v>
          </cell>
          <cell r="E2040" t="str">
            <v>SNK691</v>
          </cell>
        </row>
        <row r="2041">
          <cell r="D2041" t="str">
            <v xml:space="preserve">M393A4K40DB2-CVF </v>
          </cell>
          <cell r="E2041" t="str">
            <v>SNK692</v>
          </cell>
        </row>
        <row r="2042">
          <cell r="D2042" t="str">
            <v xml:space="preserve">M393A4K40DB2-CVF </v>
          </cell>
          <cell r="E2042" t="str">
            <v>SNK693</v>
          </cell>
        </row>
        <row r="2043">
          <cell r="D2043" t="str">
            <v xml:space="preserve">M393A4K40DB2-CVF </v>
          </cell>
          <cell r="E2043" t="str">
            <v>SNK694</v>
          </cell>
        </row>
        <row r="2044">
          <cell r="D2044" t="str">
            <v xml:space="preserve">M393A4K40DB2-CVF </v>
          </cell>
          <cell r="E2044" t="str">
            <v>SNK695</v>
          </cell>
        </row>
        <row r="2045">
          <cell r="D2045" t="str">
            <v xml:space="preserve">M393A4K40DB2-CVF </v>
          </cell>
          <cell r="E2045" t="str">
            <v>SNK696</v>
          </cell>
        </row>
        <row r="2046">
          <cell r="D2046" t="str">
            <v xml:space="preserve">M393A4K40DB2-CVF </v>
          </cell>
          <cell r="E2046" t="str">
            <v>SNK697</v>
          </cell>
        </row>
        <row r="2047">
          <cell r="D2047" t="str">
            <v xml:space="preserve">M393A4K40DB2-CVF </v>
          </cell>
          <cell r="E2047" t="str">
            <v>SNK698</v>
          </cell>
        </row>
        <row r="2048">
          <cell r="D2048" t="str">
            <v xml:space="preserve">M393A4K40DB2-CVF </v>
          </cell>
          <cell r="E2048" t="str">
            <v>SNK699</v>
          </cell>
        </row>
        <row r="2049">
          <cell r="D2049" t="str">
            <v xml:space="preserve">M393A4K40DB2-CVF </v>
          </cell>
          <cell r="E2049" t="str">
            <v>SNK700</v>
          </cell>
        </row>
        <row r="2050">
          <cell r="D2050" t="str">
            <v xml:space="preserve">M393A4K40DB2-CVF </v>
          </cell>
          <cell r="E2050" t="str">
            <v>SNK701</v>
          </cell>
        </row>
        <row r="2051">
          <cell r="D2051" t="str">
            <v xml:space="preserve">M393A4K40DB2-CVF </v>
          </cell>
          <cell r="E2051" t="str">
            <v>SNK702</v>
          </cell>
        </row>
        <row r="2052">
          <cell r="D2052" t="str">
            <v xml:space="preserve">M393A4K40DB2-CVF </v>
          </cell>
          <cell r="E2052" t="str">
            <v>SNK703</v>
          </cell>
        </row>
        <row r="2053">
          <cell r="D2053" t="str">
            <v xml:space="preserve">M393A4K40DB2-CVF </v>
          </cell>
          <cell r="E2053" t="str">
            <v>SNK704</v>
          </cell>
        </row>
        <row r="2054">
          <cell r="D2054" t="str">
            <v xml:space="preserve">M393A4K40DB2-CVF </v>
          </cell>
          <cell r="E2054" t="str">
            <v>SNK705</v>
          </cell>
        </row>
        <row r="2055">
          <cell r="D2055" t="str">
            <v xml:space="preserve">M393A4K40DB2-CVF </v>
          </cell>
          <cell r="E2055" t="str">
            <v>SNK706</v>
          </cell>
        </row>
        <row r="2056">
          <cell r="D2056" t="str">
            <v xml:space="preserve">M393A4K40DB2-CVF </v>
          </cell>
          <cell r="E2056" t="str">
            <v>SNK707</v>
          </cell>
        </row>
        <row r="2057">
          <cell r="D2057" t="str">
            <v xml:space="preserve">M393A4K40DB2-CVF </v>
          </cell>
          <cell r="E2057" t="str">
            <v>SNK708</v>
          </cell>
        </row>
        <row r="2058">
          <cell r="D2058" t="str">
            <v xml:space="preserve">M393A4K40DB2-CVF </v>
          </cell>
          <cell r="E2058" t="str">
            <v>SNK709</v>
          </cell>
        </row>
        <row r="2059">
          <cell r="D2059" t="str">
            <v xml:space="preserve">M393A4K40DB2-CVF </v>
          </cell>
          <cell r="E2059" t="str">
            <v>SNK710</v>
          </cell>
        </row>
        <row r="2060">
          <cell r="D2060" t="str">
            <v xml:space="preserve">M393A4K40DB2-CVF </v>
          </cell>
          <cell r="E2060" t="str">
            <v>SNK711</v>
          </cell>
        </row>
        <row r="2061">
          <cell r="D2061" t="str">
            <v xml:space="preserve">M393A4K40DB2-CVF </v>
          </cell>
          <cell r="E2061" t="str">
            <v>SNK712</v>
          </cell>
        </row>
        <row r="2062">
          <cell r="D2062" t="str">
            <v xml:space="preserve">M393A4K40DB2-CVF </v>
          </cell>
          <cell r="E2062" t="str">
            <v>SNK713</v>
          </cell>
        </row>
        <row r="2063">
          <cell r="D2063" t="str">
            <v xml:space="preserve">M393A4K40DB2-CVF </v>
          </cell>
          <cell r="E2063" t="str">
            <v>SNK714</v>
          </cell>
        </row>
        <row r="2064">
          <cell r="D2064" t="str">
            <v xml:space="preserve">M393A4K40DB2-CVF </v>
          </cell>
          <cell r="E2064" t="str">
            <v>SNK715</v>
          </cell>
        </row>
        <row r="2065">
          <cell r="D2065" t="str">
            <v xml:space="preserve">M393A4K40DB2-CVF </v>
          </cell>
          <cell r="E2065" t="str">
            <v>SNK716</v>
          </cell>
        </row>
        <row r="2066">
          <cell r="D2066" t="str">
            <v xml:space="preserve">M393A4K40DB2-CVF </v>
          </cell>
          <cell r="E2066" t="str">
            <v>SNK717</v>
          </cell>
        </row>
        <row r="2067">
          <cell r="D2067" t="str">
            <v xml:space="preserve">M393A4K40DB2-CVF </v>
          </cell>
          <cell r="E2067" t="str">
            <v>SNK718</v>
          </cell>
        </row>
        <row r="2068">
          <cell r="D2068" t="str">
            <v xml:space="preserve">M393A4K40DB2-CVF </v>
          </cell>
          <cell r="E2068" t="str">
            <v>SNK719</v>
          </cell>
        </row>
        <row r="2069">
          <cell r="D2069" t="str">
            <v xml:space="preserve">M393A4K40DB2-CVF </v>
          </cell>
          <cell r="E2069" t="str">
            <v>SNK720</v>
          </cell>
        </row>
        <row r="2070">
          <cell r="D2070" t="str">
            <v xml:space="preserve">M393A4K40DB2-CVF </v>
          </cell>
          <cell r="E2070" t="str">
            <v>SNK721</v>
          </cell>
        </row>
        <row r="2071">
          <cell r="D2071" t="str">
            <v xml:space="preserve">M393A4K40DB2-CVF </v>
          </cell>
          <cell r="E2071" t="str">
            <v>SNK722</v>
          </cell>
        </row>
        <row r="2072">
          <cell r="D2072" t="str">
            <v xml:space="preserve">M393A4K40DB2-CVF </v>
          </cell>
          <cell r="E2072" t="str">
            <v>SNK723</v>
          </cell>
        </row>
        <row r="2073">
          <cell r="D2073" t="str">
            <v xml:space="preserve">M393A4K40DB2-CVF </v>
          </cell>
          <cell r="E2073" t="str">
            <v>SNK724</v>
          </cell>
        </row>
        <row r="2074">
          <cell r="D2074" t="str">
            <v xml:space="preserve">M393A4K40DB2-CVF </v>
          </cell>
          <cell r="E2074" t="str">
            <v>SNK725</v>
          </cell>
        </row>
        <row r="2075">
          <cell r="D2075" t="str">
            <v xml:space="preserve">M393A4K40DB2-CVF </v>
          </cell>
          <cell r="E2075" t="str">
            <v>SNK726</v>
          </cell>
        </row>
        <row r="2076">
          <cell r="D2076" t="str">
            <v xml:space="preserve">M393A4K40DB2-CVF </v>
          </cell>
          <cell r="E2076" t="str">
            <v>SNK727</v>
          </cell>
        </row>
        <row r="2077">
          <cell r="D2077" t="str">
            <v xml:space="preserve">M393A4K40DB2-CVF </v>
          </cell>
          <cell r="E2077" t="str">
            <v>SNK728</v>
          </cell>
        </row>
        <row r="2078">
          <cell r="D2078" t="str">
            <v xml:space="preserve">M393A4K40DB2-CVF </v>
          </cell>
          <cell r="E2078" t="str">
            <v>SNK729</v>
          </cell>
        </row>
        <row r="2079">
          <cell r="D2079" t="str">
            <v xml:space="preserve">M393A4K40DB2-CVF </v>
          </cell>
          <cell r="E2079" t="str">
            <v>SNK730</v>
          </cell>
        </row>
        <row r="2080">
          <cell r="D2080" t="str">
            <v xml:space="preserve">M393A4K40DB2-CVF </v>
          </cell>
          <cell r="E2080" t="str">
            <v>SNK731</v>
          </cell>
        </row>
        <row r="2081">
          <cell r="D2081" t="str">
            <v xml:space="preserve">M393A4K40DB2-CVF </v>
          </cell>
          <cell r="E2081" t="str">
            <v>SNK732</v>
          </cell>
        </row>
        <row r="2082">
          <cell r="D2082" t="str">
            <v xml:space="preserve">M393A4K40DB2-CVF </v>
          </cell>
          <cell r="E2082" t="str">
            <v>SNK733</v>
          </cell>
        </row>
        <row r="2083">
          <cell r="D2083" t="str">
            <v xml:space="preserve">M393A4K40DB2-CVF </v>
          </cell>
          <cell r="E2083" t="str">
            <v>SNK734</v>
          </cell>
        </row>
        <row r="2084">
          <cell r="D2084" t="str">
            <v xml:space="preserve">M393A4K40DB2-CVF </v>
          </cell>
          <cell r="E2084" t="str">
            <v>SNK735</v>
          </cell>
        </row>
        <row r="2085">
          <cell r="D2085" t="str">
            <v xml:space="preserve">M393A4K40DB2-CVF </v>
          </cell>
          <cell r="E2085" t="str">
            <v>SNK736</v>
          </cell>
        </row>
        <row r="2086">
          <cell r="D2086" t="str">
            <v xml:space="preserve">M393A4K40DB2-CVF </v>
          </cell>
          <cell r="E2086" t="str">
            <v>SNK737</v>
          </cell>
        </row>
        <row r="2087">
          <cell r="D2087" t="str">
            <v xml:space="preserve">M393A4K40DB2-CVF </v>
          </cell>
          <cell r="E2087" t="str">
            <v>SNK738</v>
          </cell>
        </row>
        <row r="2088">
          <cell r="D2088" t="str">
            <v xml:space="preserve">M393A4K40DB2-CVF </v>
          </cell>
          <cell r="E2088" t="str">
            <v>SNK739</v>
          </cell>
        </row>
        <row r="2089">
          <cell r="D2089" t="str">
            <v xml:space="preserve">M393A4K40DB2-CVF </v>
          </cell>
          <cell r="E2089" t="str">
            <v>SNK740</v>
          </cell>
        </row>
        <row r="2090">
          <cell r="D2090" t="str">
            <v xml:space="preserve">M393A4K40DB2-CVF </v>
          </cell>
          <cell r="E2090" t="str">
            <v>SNK741</v>
          </cell>
        </row>
        <row r="2091">
          <cell r="D2091" t="str">
            <v xml:space="preserve">M393A4K40DB2-CVF </v>
          </cell>
          <cell r="E2091" t="str">
            <v>SNK742</v>
          </cell>
        </row>
        <row r="2092">
          <cell r="D2092" t="str">
            <v xml:space="preserve">M393A4K40DB2-CVF </v>
          </cell>
          <cell r="E2092" t="str">
            <v>SNK743</v>
          </cell>
        </row>
        <row r="2093">
          <cell r="D2093" t="str">
            <v xml:space="preserve">M393A4K40DB2-CVF </v>
          </cell>
          <cell r="E2093" t="str">
            <v>SNK744</v>
          </cell>
        </row>
        <row r="2094">
          <cell r="D2094" t="str">
            <v xml:space="preserve">M393A4K40DB2-CVF </v>
          </cell>
          <cell r="E2094" t="str">
            <v>SNK745</v>
          </cell>
        </row>
        <row r="2095">
          <cell r="D2095" t="str">
            <v>TRX40D8-2N2T</v>
          </cell>
          <cell r="E2095" t="str">
            <v>E8S0XW015400</v>
          </cell>
        </row>
        <row r="2096">
          <cell r="D2096" t="str">
            <v>SSDPR-CX400-128-G2</v>
          </cell>
          <cell r="E2096" t="str">
            <v>GZ6001913</v>
          </cell>
        </row>
        <row r="2097">
          <cell r="D2097" t="str">
            <v>SSDPR-CX400-128-G2</v>
          </cell>
          <cell r="E2097" t="str">
            <v>GZ6002323</v>
          </cell>
        </row>
        <row r="2098">
          <cell r="D2098" t="str">
            <v>SSDPR-CX400-128-G2</v>
          </cell>
          <cell r="E2098" t="str">
            <v>GZ6002244</v>
          </cell>
        </row>
        <row r="2099">
          <cell r="D2099" t="str">
            <v>SSDPR-CX400-128-G2</v>
          </cell>
          <cell r="E2099" t="str">
            <v>GZ6001911</v>
          </cell>
        </row>
        <row r="2100">
          <cell r="D2100" t="str">
            <v>SSDPR-CX400-128-G2</v>
          </cell>
          <cell r="E2100" t="str">
            <v>GZ6001918</v>
          </cell>
        </row>
        <row r="2101">
          <cell r="D2101" t="str">
            <v>SSDPR-CX400-128-G2</v>
          </cell>
          <cell r="E2101" t="str">
            <v>GZ6001922</v>
          </cell>
        </row>
        <row r="2102">
          <cell r="D2102" t="str">
            <v>SSDPR-CX400-128-G2</v>
          </cell>
          <cell r="E2102" t="str">
            <v>GZ6001915</v>
          </cell>
        </row>
        <row r="2103">
          <cell r="D2103" t="str">
            <v>SSDPR-CX400-128-G2</v>
          </cell>
          <cell r="E2103" t="str">
            <v>GZ6001908</v>
          </cell>
        </row>
        <row r="2104">
          <cell r="D2104" t="str">
            <v>SSDPR-CX400-128-G2</v>
          </cell>
          <cell r="E2104" t="str">
            <v>GZ6002847</v>
          </cell>
        </row>
        <row r="2105">
          <cell r="D2105" t="str">
            <v>SSDPR-CX400-128-G2</v>
          </cell>
          <cell r="E2105" t="str">
            <v>GZ6002855</v>
          </cell>
        </row>
        <row r="2106">
          <cell r="D2106" t="str">
            <v>WD20PURZ-74AKKY0</v>
          </cell>
          <cell r="E2106" t="str">
            <v>WXB2D71CEND6</v>
          </cell>
        </row>
        <row r="2107">
          <cell r="D2107" t="str">
            <v>WD20PURZ-74AKKY0</v>
          </cell>
          <cell r="E2107" t="str">
            <v>WXA2D714TZ7H</v>
          </cell>
        </row>
        <row r="2108">
          <cell r="D2108" t="str">
            <v>WD20PURZ-74AKKY0</v>
          </cell>
          <cell r="E2108" t="str">
            <v>WX72D7158330</v>
          </cell>
        </row>
        <row r="2109">
          <cell r="D2109" t="str">
            <v>WD20PURZ-74AKKY0</v>
          </cell>
          <cell r="E2109" t="str">
            <v>WXB2D71JYF71</v>
          </cell>
        </row>
        <row r="2110">
          <cell r="D2110" t="str">
            <v>WD20PURZ-74AKKY0</v>
          </cell>
          <cell r="E2110" t="str">
            <v>WXB2D71JYFKX</v>
          </cell>
        </row>
        <row r="2111">
          <cell r="D2111" t="str">
            <v>WD20PURZ-74AKKY0</v>
          </cell>
          <cell r="E2111" t="str">
            <v>WXB2D71JYDV8</v>
          </cell>
        </row>
        <row r="2112">
          <cell r="D2112" t="str">
            <v>WD30PURZ-74AKKY0</v>
          </cell>
          <cell r="E2112" t="str">
            <v>WXB2D71CEZNV</v>
          </cell>
        </row>
        <row r="2113">
          <cell r="D2113" t="str">
            <v>WD30PURZ-74AKKY0</v>
          </cell>
          <cell r="E2113" t="str">
            <v>WXA2D71ERPS2</v>
          </cell>
        </row>
        <row r="2114">
          <cell r="D2114" t="str">
            <v>WD30PURZ-74AKKY0</v>
          </cell>
          <cell r="E2114" t="str">
            <v>WXA2D71AXUSK</v>
          </cell>
        </row>
        <row r="2115">
          <cell r="D2115" t="str">
            <v>WD30PURZ-74AKKY0</v>
          </cell>
          <cell r="E2115" t="str">
            <v>WXA2D71KDXTC</v>
          </cell>
        </row>
        <row r="2116">
          <cell r="D2116" t="str">
            <v>WD30PURZ-74AKKY0</v>
          </cell>
          <cell r="E2116" t="str">
            <v>WXB2D712ES99</v>
          </cell>
        </row>
        <row r="2117">
          <cell r="D2117" t="str">
            <v>WD30PURZ-74AKKY0</v>
          </cell>
          <cell r="E2117" t="str">
            <v>WX22D61J1C3J</v>
          </cell>
        </row>
        <row r="2118">
          <cell r="D2118" t="str">
            <v>WD30PURZ-74AKKY0</v>
          </cell>
          <cell r="E2118" t="str">
            <v>WXA2D714TX0V</v>
          </cell>
        </row>
        <row r="2119">
          <cell r="D2119" t="str">
            <v>MEGARAID 9580-8I8E  05-50076-00</v>
          </cell>
          <cell r="E2119" t="str">
            <v>SPB3006825</v>
          </cell>
        </row>
        <row r="2120">
          <cell r="D2120" t="str">
            <v>MEGARAID  9361-4I      05-25420-10</v>
          </cell>
          <cell r="E2120" t="str">
            <v>SKB3977175</v>
          </cell>
        </row>
        <row r="2121">
          <cell r="D2121" t="str">
            <v>MEGARAID  9361-4I      05-25420-10</v>
          </cell>
          <cell r="E2121" t="str">
            <v>SKB3976781</v>
          </cell>
        </row>
        <row r="2122">
          <cell r="D2122" t="str">
            <v>MEGARAID  9361-4I      05-25420-10</v>
          </cell>
          <cell r="E2122" t="str">
            <v>SKB3976646</v>
          </cell>
        </row>
        <row r="2123">
          <cell r="D2123" t="str">
            <v>MEGARAID  9361-4I      05-25420-10</v>
          </cell>
          <cell r="E2123" t="str">
            <v>SKB3977218</v>
          </cell>
        </row>
        <row r="2124">
          <cell r="D2124" t="str">
            <v>MEGARAID  9361-4I      05-25420-10</v>
          </cell>
          <cell r="E2124" t="str">
            <v>SKB3976133</v>
          </cell>
        </row>
        <row r="2125">
          <cell r="D2125" t="str">
            <v>MEGARAID  9361-4I      05-25420-10</v>
          </cell>
          <cell r="E2125" t="str">
            <v>SKB3571458</v>
          </cell>
        </row>
        <row r="2126">
          <cell r="D2126" t="str">
            <v>MEGARAID  9361-4I      05-25420-10</v>
          </cell>
          <cell r="E2126" t="str">
            <v>SKB3571484</v>
          </cell>
        </row>
        <row r="2127">
          <cell r="D2127" t="str">
            <v>MEGARAID  9361-4I      05-25420-10</v>
          </cell>
          <cell r="E2127" t="str">
            <v>SKB3571336</v>
          </cell>
        </row>
        <row r="2128">
          <cell r="D2128" t="str">
            <v>MEGARAID  9361-4I      05-25420-10</v>
          </cell>
          <cell r="E2128" t="str">
            <v>SKB3571740</v>
          </cell>
        </row>
        <row r="2129">
          <cell r="D2129" t="str">
            <v>MEGARAID  9361-4I      05-25420-10</v>
          </cell>
          <cell r="E2129" t="str">
            <v>SKB3571468</v>
          </cell>
        </row>
        <row r="2130">
          <cell r="D2130" t="str">
            <v>MEGARAID  9361-4I      05-25420-10</v>
          </cell>
          <cell r="E2130" t="str">
            <v>SKB3366743</v>
          </cell>
        </row>
        <row r="2131">
          <cell r="D2131" t="str">
            <v>MEGARAID  9361-4I      05-25420-10</v>
          </cell>
          <cell r="E2131" t="str">
            <v>SKB3479574</v>
          </cell>
        </row>
        <row r="2132">
          <cell r="D2132" t="str">
            <v>MEGARAID  9361-4I      05-25420-10</v>
          </cell>
          <cell r="E2132" t="str">
            <v>SKB3479506</v>
          </cell>
        </row>
        <row r="2133">
          <cell r="D2133" t="str">
            <v>MEGARAID  9361-4I      05-25420-10</v>
          </cell>
          <cell r="E2133" t="str">
            <v>SKB3479754</v>
          </cell>
        </row>
        <row r="2134">
          <cell r="D2134" t="str">
            <v>MEGARAID  9361-4I      05-25420-10</v>
          </cell>
          <cell r="E2134" t="str">
            <v>SKB3366782</v>
          </cell>
        </row>
        <row r="2135">
          <cell r="D2135" t="str">
            <v>MEGARAID  9361-4I      05-25420-10</v>
          </cell>
          <cell r="E2135" t="str">
            <v>SKB3974186</v>
          </cell>
        </row>
        <row r="2136">
          <cell r="D2136" t="str">
            <v>MEGARAID  9361-4I      05-25420-10</v>
          </cell>
          <cell r="E2136" t="str">
            <v>SKB3976350</v>
          </cell>
        </row>
        <row r="2137">
          <cell r="D2137" t="str">
            <v>MEGARAID  9361-4I      05-25420-10</v>
          </cell>
          <cell r="E2137" t="str">
            <v>SKB3976316</v>
          </cell>
        </row>
        <row r="2138">
          <cell r="D2138" t="str">
            <v>MEGARAID  9361-4I      05-25420-10</v>
          </cell>
          <cell r="E2138" t="str">
            <v>SKB3976094</v>
          </cell>
        </row>
        <row r="2139">
          <cell r="D2139" t="str">
            <v>MEGARAID  9361-4I      05-25420-10</v>
          </cell>
          <cell r="E2139" t="str">
            <v>SKB3976313</v>
          </cell>
        </row>
        <row r="2140">
          <cell r="D2140" t="str">
            <v>MEGARAID  9361-4I      05-25420-10</v>
          </cell>
          <cell r="E2140" t="str">
            <v>SKB3973880</v>
          </cell>
        </row>
        <row r="2141">
          <cell r="D2141" t="str">
            <v>MEGARAID  9361-4I      05-25420-10</v>
          </cell>
          <cell r="E2141" t="str">
            <v>SKB3976137</v>
          </cell>
        </row>
        <row r="2142">
          <cell r="D2142" t="str">
            <v>MEGARAID  9361-4I      05-25420-10</v>
          </cell>
          <cell r="E2142" t="str">
            <v>SKB3976709</v>
          </cell>
        </row>
        <row r="2143">
          <cell r="D2143" t="str">
            <v>MEGARAID  9361-4I      05-25420-10</v>
          </cell>
          <cell r="E2143" t="str">
            <v>SKB3977099</v>
          </cell>
        </row>
        <row r="2144">
          <cell r="D2144" t="str">
            <v>MEGARAID  9361-4I      05-25420-10</v>
          </cell>
          <cell r="E2144" t="str">
            <v>SKB3976199</v>
          </cell>
        </row>
        <row r="2145">
          <cell r="D2145" t="str">
            <v>MEGARAID  9361-4I      05-25420-10</v>
          </cell>
          <cell r="E2145" t="str">
            <v>SKB3977066</v>
          </cell>
        </row>
        <row r="2146">
          <cell r="D2146" t="str">
            <v>MEGARAID  9361-4I      05-25420-10</v>
          </cell>
          <cell r="E2146" t="str">
            <v>SKB3976128</v>
          </cell>
        </row>
        <row r="2147">
          <cell r="D2147" t="str">
            <v>MEGARAID  9361-4I      05-25420-10</v>
          </cell>
          <cell r="E2147" t="str">
            <v>SKB3976686</v>
          </cell>
        </row>
        <row r="2148">
          <cell r="D2148" t="str">
            <v>MEGARAID  9361-4I      05-25420-10</v>
          </cell>
          <cell r="E2148" t="str">
            <v>SKB3976193</v>
          </cell>
        </row>
        <row r="2149">
          <cell r="D2149" t="str">
            <v>MEGARAID  9361-4I      05-25420-10</v>
          </cell>
          <cell r="E2149" t="str">
            <v>SKB3977196</v>
          </cell>
        </row>
        <row r="2150">
          <cell r="D2150" t="str">
            <v>MEGARAID  9361-4I      05-25420-10</v>
          </cell>
          <cell r="E2150" t="str">
            <v>SKB3977312</v>
          </cell>
        </row>
        <row r="2151">
          <cell r="D2151" t="str">
            <v>MEGARAID  9361-4I      05-25420-10</v>
          </cell>
          <cell r="E2151" t="str">
            <v>SKB3976285</v>
          </cell>
        </row>
        <row r="2152">
          <cell r="D2152" t="str">
            <v>MEGARAID  9361-4I      05-25420-10</v>
          </cell>
          <cell r="E2152" t="str">
            <v>SKB3977344</v>
          </cell>
        </row>
        <row r="2153">
          <cell r="D2153" t="str">
            <v>MEGARAID  9361-4I      05-25420-10</v>
          </cell>
          <cell r="E2153" t="str">
            <v>SKB3977041</v>
          </cell>
        </row>
        <row r="2154">
          <cell r="D2154" t="str">
            <v>MEGARAID  9361-4I      05-25420-10</v>
          </cell>
          <cell r="E2154" t="str">
            <v>SKB3976059</v>
          </cell>
        </row>
        <row r="2155">
          <cell r="D2155" t="str">
            <v>MEGARAID  9361-4I      05-25420-10</v>
          </cell>
          <cell r="E2155" t="str">
            <v>SKB3976816</v>
          </cell>
        </row>
        <row r="2156">
          <cell r="D2156" t="str">
            <v>MEGARAID  9361-4I      05-25420-10</v>
          </cell>
          <cell r="E2156" t="str">
            <v>SKB3976144</v>
          </cell>
        </row>
        <row r="2157">
          <cell r="D2157" t="str">
            <v>MEGARAID  9361-4I      05-25420-10</v>
          </cell>
          <cell r="E2157" t="str">
            <v>SKB3976672</v>
          </cell>
        </row>
        <row r="2158">
          <cell r="D2158" t="str">
            <v>MEGARAID  9361-4I      05-25420-10</v>
          </cell>
          <cell r="E2158" t="str">
            <v>SKB3976148</v>
          </cell>
        </row>
        <row r="2159">
          <cell r="D2159" t="str">
            <v>MEGARAID  9361-4I      05-25420-10</v>
          </cell>
          <cell r="E2159" t="str">
            <v>SKB3976807</v>
          </cell>
        </row>
        <row r="2160">
          <cell r="D2160" t="str">
            <v>MEGARAID  9361-4I      05-25420-10</v>
          </cell>
          <cell r="E2160" t="str">
            <v>SKB3976355</v>
          </cell>
        </row>
        <row r="2161">
          <cell r="D2161" t="str">
            <v>MEGARAID  9361-4I      05-25420-10</v>
          </cell>
          <cell r="E2161" t="str">
            <v>SKB3976606</v>
          </cell>
        </row>
        <row r="2162">
          <cell r="D2162" t="str">
            <v>MEGARAID  9361-4I      05-25420-10</v>
          </cell>
          <cell r="E2162" t="str">
            <v>SKB3977048</v>
          </cell>
        </row>
        <row r="2163">
          <cell r="D2163" t="str">
            <v>MEGARAID  9361-4I      05-25420-10</v>
          </cell>
          <cell r="E2163" t="str">
            <v>SKB3976281</v>
          </cell>
        </row>
        <row r="2164">
          <cell r="D2164" t="str">
            <v>MEGARAID  9361-4I      05-25420-10</v>
          </cell>
          <cell r="E2164" t="str">
            <v>SKB3977038</v>
          </cell>
        </row>
        <row r="2165">
          <cell r="D2165" t="str">
            <v>MEGARAID  9361-4I      05-25420-10</v>
          </cell>
          <cell r="E2165" t="str">
            <v>SKB3976356</v>
          </cell>
        </row>
        <row r="2166">
          <cell r="D2166" t="str">
            <v>MEGARAID  9361-4I      05-25420-10</v>
          </cell>
          <cell r="E2166" t="str">
            <v>SKB3976674</v>
          </cell>
        </row>
        <row r="2167">
          <cell r="D2167" t="str">
            <v>MEGARAID  9361-4I      05-25420-10</v>
          </cell>
          <cell r="E2167" t="str">
            <v>SKB3976367</v>
          </cell>
        </row>
        <row r="2168">
          <cell r="D2168" t="str">
            <v>MEGARAID  9361-4I      05-25420-10</v>
          </cell>
          <cell r="E2168" t="str">
            <v>SKB3977346</v>
          </cell>
        </row>
        <row r="2169">
          <cell r="D2169" t="str">
            <v>MEGARAID  9361-4I      05-25420-10</v>
          </cell>
          <cell r="E2169" t="str">
            <v>SKB3976541</v>
          </cell>
        </row>
        <row r="2170">
          <cell r="D2170" t="str">
            <v>MEGARAID  9361-4I      05-25420-10</v>
          </cell>
          <cell r="E2170" t="str">
            <v>SKB3976604</v>
          </cell>
        </row>
        <row r="2171">
          <cell r="D2171" t="str">
            <v>MEGARAID  9361-4I      05-25420-10</v>
          </cell>
          <cell r="E2171" t="str">
            <v>SKB3977035</v>
          </cell>
        </row>
        <row r="2172">
          <cell r="D2172" t="str">
            <v>MEGARAID  9361-4I      05-25420-10</v>
          </cell>
          <cell r="E2172" t="str">
            <v>SKB3976590</v>
          </cell>
        </row>
        <row r="2173">
          <cell r="D2173" t="str">
            <v>MEGARAID  9361-4I      05-25420-10</v>
          </cell>
          <cell r="E2173" t="str">
            <v>SKB3976550</v>
          </cell>
        </row>
        <row r="2174">
          <cell r="D2174" t="str">
            <v>MEGARAID  9361-4I      05-25420-10</v>
          </cell>
          <cell r="E2174" t="str">
            <v>SKB3977043</v>
          </cell>
        </row>
        <row r="2175">
          <cell r="D2175" t="str">
            <v>MEGARAID  9361-4I      05-25420-10</v>
          </cell>
          <cell r="E2175" t="str">
            <v>SKB3976616</v>
          </cell>
        </row>
        <row r="2176">
          <cell r="D2176" t="str">
            <v>MEGARAID  9361-4I      05-25420-10</v>
          </cell>
          <cell r="E2176" t="str">
            <v>SKB3976204</v>
          </cell>
        </row>
        <row r="2177">
          <cell r="D2177" t="str">
            <v>MEGARAID  9361-4I      05-25420-10</v>
          </cell>
          <cell r="E2177" t="str">
            <v>SKB3973853</v>
          </cell>
        </row>
        <row r="2178">
          <cell r="D2178" t="str">
            <v>MEGARAID  9361-4I      05-25420-10</v>
          </cell>
          <cell r="E2178" t="str">
            <v>SKB3977261</v>
          </cell>
        </row>
        <row r="2179">
          <cell r="D2179" t="str">
            <v>MEGARAID  9361-4I      05-25420-10</v>
          </cell>
          <cell r="E2179" t="str">
            <v>SKB3977311</v>
          </cell>
        </row>
        <row r="2180">
          <cell r="D2180" t="str">
            <v>MEGARAID  9361-4I      05-25420-10</v>
          </cell>
          <cell r="E2180" t="str">
            <v>SKB3976659</v>
          </cell>
        </row>
        <row r="2181">
          <cell r="D2181" t="str">
            <v>MEGARAID  9361-4I      05-25420-10</v>
          </cell>
          <cell r="E2181" t="str">
            <v>SKB3976706</v>
          </cell>
        </row>
        <row r="2182">
          <cell r="D2182" t="str">
            <v>MEGARAID  9361-4I      05-25420-10</v>
          </cell>
          <cell r="E2182" t="str">
            <v>SKB3976136</v>
          </cell>
        </row>
        <row r="2183">
          <cell r="D2183" t="str">
            <v>MEGARAID  9361-4I      05-25420-10</v>
          </cell>
          <cell r="E2183" t="str">
            <v>SKB3976146</v>
          </cell>
        </row>
        <row r="2184">
          <cell r="D2184" t="str">
            <v>MEGARAID  9361-4I      05-25420-10</v>
          </cell>
          <cell r="E2184" t="str">
            <v>SKB3976662</v>
          </cell>
        </row>
        <row r="2185">
          <cell r="D2185" t="str">
            <v>MEGARAID  9361-4I      05-25420-10</v>
          </cell>
          <cell r="E2185" t="str">
            <v>SKB3976314</v>
          </cell>
        </row>
        <row r="2186">
          <cell r="D2186" t="str">
            <v>MEGARAID  9361-4I      05-25420-10</v>
          </cell>
          <cell r="E2186" t="str">
            <v>SKB3973849</v>
          </cell>
        </row>
        <row r="2187">
          <cell r="D2187" t="str">
            <v>MEGARAID  9361-4I      05-25420-10</v>
          </cell>
          <cell r="E2187" t="str">
            <v>SKB3974189</v>
          </cell>
        </row>
        <row r="2188">
          <cell r="D2188" t="str">
            <v>MEGARAID  9361-4I      05-25420-10</v>
          </cell>
          <cell r="E2188" t="str">
            <v>SKB3977122</v>
          </cell>
        </row>
        <row r="2189">
          <cell r="D2189" t="str">
            <v>MEGARAID  9361-4I      05-25420-10</v>
          </cell>
          <cell r="E2189" t="str">
            <v>SKB3976834</v>
          </cell>
        </row>
        <row r="2190">
          <cell r="D2190" t="str">
            <v>0F38353</v>
          </cell>
          <cell r="E2190" t="str">
            <v>4ZG1TK3V</v>
          </cell>
        </row>
        <row r="2191">
          <cell r="D2191" t="str">
            <v>HDS-IUN0-SSDPF2NV307TZ</v>
          </cell>
          <cell r="E2191" t="str">
            <v>BTAC1436050V30PGGN</v>
          </cell>
        </row>
        <row r="2192">
          <cell r="D2192" t="str">
            <v>HDS-IUN0-SSDPF2NV307TZ</v>
          </cell>
          <cell r="E2192" t="str">
            <v>BTAC143604LF30PGGN</v>
          </cell>
        </row>
        <row r="2193">
          <cell r="D2193" t="str">
            <v>HDS-IUN0-SSDPF2NV307TZ</v>
          </cell>
          <cell r="E2193" t="str">
            <v>BTAC1436058S30PGGN</v>
          </cell>
        </row>
        <row r="2194">
          <cell r="D2194" t="str">
            <v>HDS-IUN0-SSDPF2NV307TZ</v>
          </cell>
          <cell r="E2194" t="str">
            <v>BTAC143604XL30PGGN</v>
          </cell>
        </row>
        <row r="2195">
          <cell r="D2195" t="str">
            <v>HDS-IUN0-SSDPF2NV307TZ</v>
          </cell>
          <cell r="E2195" t="str">
            <v>BTAC143604WS30PGGN</v>
          </cell>
        </row>
        <row r="2196">
          <cell r="D2196" t="str">
            <v>HDS-IUN0-SSDPF2NV307TZ</v>
          </cell>
          <cell r="E2196" t="str">
            <v>BTAC1436056W30PGGN</v>
          </cell>
        </row>
        <row r="2197">
          <cell r="D2197" t="str">
            <v>HDS-IUN0-SSDPF2NV307TZ</v>
          </cell>
          <cell r="E2197" t="str">
            <v>BTAC143604JP30PGGN</v>
          </cell>
        </row>
        <row r="2198">
          <cell r="D2198" t="str">
            <v>MBD-X11DPI-M-B</v>
          </cell>
          <cell r="E2198" t="str">
            <v>HM219S011328</v>
          </cell>
        </row>
        <row r="2199">
          <cell r="D2199" t="str">
            <v>MBD-X11DPI-M-B</v>
          </cell>
          <cell r="E2199" t="str">
            <v>HM219S010615</v>
          </cell>
        </row>
        <row r="2200">
          <cell r="D2200" t="str">
            <v>MBD-X11DPI-M-B</v>
          </cell>
          <cell r="E2200" t="str">
            <v>HM219S011351</v>
          </cell>
        </row>
        <row r="2201">
          <cell r="D2201" t="str">
            <v>MBD-X11DPI-M-B</v>
          </cell>
          <cell r="E2201" t="str">
            <v>HM219S011809</v>
          </cell>
        </row>
        <row r="2202">
          <cell r="D2202" t="str">
            <v>MBD-X11DPI-M-B</v>
          </cell>
          <cell r="E2202" t="str">
            <v>HM219S011327</v>
          </cell>
        </row>
        <row r="2203">
          <cell r="D2203" t="str">
            <v>MBD-X11DPI-M-B</v>
          </cell>
          <cell r="E2203" t="str">
            <v>HM219S010674</v>
          </cell>
        </row>
        <row r="2204">
          <cell r="D2204" t="str">
            <v>MBD-X11DPI-M-B</v>
          </cell>
          <cell r="E2204" t="str">
            <v>HM219S010745</v>
          </cell>
        </row>
        <row r="2205">
          <cell r="D2205" t="str">
            <v>MBD-X11DPI-M-B</v>
          </cell>
          <cell r="E2205" t="str">
            <v>HM219S011487</v>
          </cell>
        </row>
        <row r="2206">
          <cell r="D2206" t="str">
            <v>AS-1124USTNRP</v>
          </cell>
          <cell r="E2206" t="str">
            <v>E407071X2101561</v>
          </cell>
        </row>
        <row r="2207">
          <cell r="D2207" t="str">
            <v>CSE</v>
          </cell>
          <cell r="E2207" t="str">
            <v>C119UAK21P40148</v>
          </cell>
        </row>
        <row r="2208">
          <cell r="D2208" t="str">
            <v>PWS</v>
          </cell>
          <cell r="E2208" t="str">
            <v>P1K3ACL22CB1538</v>
          </cell>
        </row>
        <row r="2209">
          <cell r="D2209" t="str">
            <v>PWS</v>
          </cell>
          <cell r="E2209" t="str">
            <v>P1K3ACL22CB1537</v>
          </cell>
        </row>
        <row r="2210">
          <cell r="D2210" t="str">
            <v>BPN</v>
          </cell>
          <cell r="E2210" t="str">
            <v>HB215S006591</v>
          </cell>
        </row>
        <row r="2211">
          <cell r="D2211" t="str">
            <v>MBD</v>
          </cell>
          <cell r="E2211" t="str">
            <v>UM21CS601696</v>
          </cell>
        </row>
        <row r="2212">
          <cell r="D2212" t="str">
            <v>RSC</v>
          </cell>
          <cell r="E2212" t="str">
            <v>ER216S013144</v>
          </cell>
        </row>
        <row r="2213">
          <cell r="D2213" t="str">
            <v>RSC</v>
          </cell>
          <cell r="E2213" t="str">
            <v>ER218S001452</v>
          </cell>
        </row>
        <row r="2214">
          <cell r="D2214" t="str">
            <v>AOC</v>
          </cell>
          <cell r="E2214" t="str">
            <v>OA214S011774</v>
          </cell>
        </row>
        <row r="2215">
          <cell r="D2215" t="str">
            <v>CPU</v>
          </cell>
          <cell r="E2215" t="str">
            <v>9JS9229W10044</v>
          </cell>
        </row>
        <row r="2216">
          <cell r="D2216" t="str">
            <v>CPU</v>
          </cell>
          <cell r="E2216" t="str">
            <v>9JS9229W10034</v>
          </cell>
        </row>
        <row r="2217">
          <cell r="D2217" t="str">
            <v>MEM</v>
          </cell>
          <cell r="E2217" t="str">
            <v>80AD02214825A4AD35</v>
          </cell>
        </row>
        <row r="2218">
          <cell r="D2218" t="str">
            <v>MEM</v>
          </cell>
          <cell r="E2218" t="str">
            <v>80AD02214825A4AD3F</v>
          </cell>
        </row>
        <row r="2219">
          <cell r="D2219" t="str">
            <v>MEM</v>
          </cell>
          <cell r="E2219" t="str">
            <v>80AD02214825A4AB97</v>
          </cell>
        </row>
        <row r="2220">
          <cell r="D2220" t="str">
            <v>MEM</v>
          </cell>
          <cell r="E2220" t="str">
            <v>80AD02214825A4AB87</v>
          </cell>
        </row>
        <row r="2221">
          <cell r="D2221" t="str">
            <v>MEM</v>
          </cell>
          <cell r="E2221" t="str">
            <v>80AD02214825A4AD47</v>
          </cell>
        </row>
        <row r="2222">
          <cell r="D2222" t="str">
            <v>MEM</v>
          </cell>
          <cell r="E2222" t="str">
            <v>80AD02214825A4AD2D</v>
          </cell>
        </row>
        <row r="2223">
          <cell r="D2223" t="str">
            <v>MEM</v>
          </cell>
          <cell r="E2223" t="str">
            <v>80AD02214825A4AD1D</v>
          </cell>
        </row>
        <row r="2224">
          <cell r="D2224" t="str">
            <v>MEM</v>
          </cell>
          <cell r="E2224" t="str">
            <v>80AD02214825A4ACB3</v>
          </cell>
        </row>
        <row r="2225">
          <cell r="D2225" t="str">
            <v>MEM</v>
          </cell>
          <cell r="E2225" t="str">
            <v>80AD02214825A4ABA7</v>
          </cell>
        </row>
        <row r="2226">
          <cell r="D2226" t="str">
            <v>MEM</v>
          </cell>
          <cell r="E2226" t="str">
            <v>80AD02214825A4AD43</v>
          </cell>
        </row>
        <row r="2227">
          <cell r="D2227" t="str">
            <v>MEM</v>
          </cell>
          <cell r="E2227" t="str">
            <v>80AD02214825A4AD0F</v>
          </cell>
        </row>
        <row r="2228">
          <cell r="D2228" t="str">
            <v>MEM</v>
          </cell>
          <cell r="E2228" t="str">
            <v>80AD02214825A56F21</v>
          </cell>
        </row>
        <row r="2229">
          <cell r="D2229" t="str">
            <v>MEM</v>
          </cell>
          <cell r="E2229" t="str">
            <v>80AD02214825A4ACAF</v>
          </cell>
        </row>
        <row r="2230">
          <cell r="D2230" t="str">
            <v>MEM</v>
          </cell>
          <cell r="E2230" t="str">
            <v>80AD02214825A4AD31</v>
          </cell>
        </row>
        <row r="2231">
          <cell r="D2231" t="str">
            <v>MEM</v>
          </cell>
          <cell r="E2231" t="str">
            <v>80AD02214825A4AD23</v>
          </cell>
        </row>
        <row r="2232">
          <cell r="D2232" t="str">
            <v>MEM</v>
          </cell>
          <cell r="E2232" t="str">
            <v>80AD02214825A56EF9</v>
          </cell>
        </row>
        <row r="2233">
          <cell r="D2233" t="str">
            <v>HDS</v>
          </cell>
          <cell r="E2233" t="str">
            <v>91B0A0U0T4T8</v>
          </cell>
        </row>
        <row r="2234">
          <cell r="D2234" t="str">
            <v>HDS</v>
          </cell>
          <cell r="E2234" t="str">
            <v>91B0A0URT4T8</v>
          </cell>
        </row>
        <row r="2235">
          <cell r="D2235" t="str">
            <v>HDS</v>
          </cell>
          <cell r="E2235" t="str">
            <v>91C0A0H5T4T8</v>
          </cell>
        </row>
        <row r="2236">
          <cell r="D2236" t="str">
            <v>HDS</v>
          </cell>
          <cell r="E2236" t="str">
            <v>91C0A0KTT4T8</v>
          </cell>
        </row>
        <row r="2237">
          <cell r="D2237" t="str">
            <v>HDS</v>
          </cell>
          <cell r="E2237" t="str">
            <v>91C0A0KST4T8</v>
          </cell>
        </row>
        <row r="2238">
          <cell r="D2238" t="str">
            <v>HDS</v>
          </cell>
          <cell r="E2238" t="str">
            <v>91B0A0V3T4T8</v>
          </cell>
        </row>
        <row r="2239">
          <cell r="D2239" t="str">
            <v>HDS</v>
          </cell>
          <cell r="E2239" t="str">
            <v>81IFC547FQA1</v>
          </cell>
        </row>
        <row r="2240">
          <cell r="D2240" t="str">
            <v>HDS</v>
          </cell>
          <cell r="E2240" t="str">
            <v>91B0A0U2T4T8</v>
          </cell>
        </row>
        <row r="2241">
          <cell r="D2241" t="str">
            <v>HDS</v>
          </cell>
          <cell r="E2241" t="str">
            <v>91C0A0L8T4T8</v>
          </cell>
        </row>
        <row r="2242">
          <cell r="D2242" t="str">
            <v>HDS</v>
          </cell>
          <cell r="E2242" t="str">
            <v>91C0A0JYT4T8</v>
          </cell>
        </row>
        <row r="2243">
          <cell r="D2243" t="str">
            <v>HDS</v>
          </cell>
          <cell r="E2243" t="str">
            <v>91C0A0KET4T8</v>
          </cell>
        </row>
        <row r="2244">
          <cell r="D2244" t="str">
            <v>HDS</v>
          </cell>
          <cell r="E2244" t="str">
            <v>91B0A0VBT4T8</v>
          </cell>
        </row>
        <row r="2245">
          <cell r="D2245" t="str">
            <v>HDS</v>
          </cell>
          <cell r="E2245" t="str">
            <v>91B0A0V0T4T8</v>
          </cell>
        </row>
        <row r="2246">
          <cell r="D2246" t="str">
            <v>HDS</v>
          </cell>
          <cell r="E2246" t="str">
            <v>81IFC4GMFQA1</v>
          </cell>
        </row>
        <row r="2247">
          <cell r="D2247" t="str">
            <v>AOC</v>
          </cell>
          <cell r="E2247" t="str">
            <v>VA21AS002442</v>
          </cell>
        </row>
        <row r="2248">
          <cell r="D2248" t="str">
            <v>AOC</v>
          </cell>
          <cell r="E2248" t="str">
            <v>OA196S031022</v>
          </cell>
        </row>
        <row r="2249">
          <cell r="D2249" t="str">
            <v>AS-1124USTNRP</v>
          </cell>
          <cell r="E2249" t="str">
            <v>E407071X2101562</v>
          </cell>
        </row>
        <row r="2250">
          <cell r="D2250" t="str">
            <v>CSE</v>
          </cell>
          <cell r="E2250" t="str">
            <v>C119UAK21P40149</v>
          </cell>
        </row>
        <row r="2251">
          <cell r="D2251" t="str">
            <v>PWS</v>
          </cell>
          <cell r="E2251" t="str">
            <v>P1K3ACL22CB1535</v>
          </cell>
        </row>
        <row r="2252">
          <cell r="D2252" t="str">
            <v>PWS</v>
          </cell>
          <cell r="E2252" t="str">
            <v>P1K3ACL22CB1533</v>
          </cell>
        </row>
        <row r="2253">
          <cell r="D2253" t="str">
            <v>BPN</v>
          </cell>
          <cell r="E2253" t="str">
            <v>HB215S006589</v>
          </cell>
        </row>
        <row r="2254">
          <cell r="D2254" t="str">
            <v>MBD</v>
          </cell>
          <cell r="E2254" t="str">
            <v>UM21CS601632</v>
          </cell>
        </row>
        <row r="2255">
          <cell r="D2255" t="str">
            <v>RSC</v>
          </cell>
          <cell r="E2255" t="str">
            <v>ER216S013162</v>
          </cell>
        </row>
        <row r="2256">
          <cell r="D2256" t="str">
            <v>RSC</v>
          </cell>
          <cell r="E2256" t="str">
            <v>ER218S001453</v>
          </cell>
        </row>
        <row r="2257">
          <cell r="D2257" t="str">
            <v>AOC</v>
          </cell>
          <cell r="E2257" t="str">
            <v>OA214S011598</v>
          </cell>
        </row>
        <row r="2258">
          <cell r="D2258" t="str">
            <v>CPU</v>
          </cell>
          <cell r="E2258" t="str">
            <v>9JS9229W10107</v>
          </cell>
        </row>
        <row r="2259">
          <cell r="D2259" t="str">
            <v>CPU</v>
          </cell>
          <cell r="E2259" t="str">
            <v>9JS9229W10114</v>
          </cell>
        </row>
        <row r="2260">
          <cell r="D2260" t="str">
            <v>MEM</v>
          </cell>
          <cell r="E2260" t="str">
            <v>80AD02214825A56E89</v>
          </cell>
        </row>
        <row r="2261">
          <cell r="D2261" t="str">
            <v>MEM</v>
          </cell>
          <cell r="E2261" t="str">
            <v>80AD02214825A56E45</v>
          </cell>
        </row>
        <row r="2262">
          <cell r="D2262" t="str">
            <v>MEM</v>
          </cell>
          <cell r="E2262" t="str">
            <v>80AD02214825A56E1C</v>
          </cell>
        </row>
        <row r="2263">
          <cell r="D2263" t="str">
            <v>MEM</v>
          </cell>
          <cell r="E2263" t="str">
            <v>80AD02214825A56F0D</v>
          </cell>
        </row>
        <row r="2264">
          <cell r="D2264" t="str">
            <v>MEM</v>
          </cell>
          <cell r="E2264" t="str">
            <v>80AD02214825A56E38</v>
          </cell>
        </row>
        <row r="2265">
          <cell r="D2265" t="str">
            <v>MEM</v>
          </cell>
          <cell r="E2265" t="str">
            <v>80AD02214825A56E2D</v>
          </cell>
        </row>
        <row r="2266">
          <cell r="D2266" t="str">
            <v>MEM</v>
          </cell>
          <cell r="E2266" t="str">
            <v>80AD02214825A56E92</v>
          </cell>
        </row>
        <row r="2267">
          <cell r="D2267" t="str">
            <v>MEM</v>
          </cell>
          <cell r="E2267" t="str">
            <v>80AD02214825A56F24</v>
          </cell>
        </row>
        <row r="2268">
          <cell r="D2268" t="str">
            <v>MEM</v>
          </cell>
          <cell r="E2268" t="str">
            <v>80AD02214825A56F11</v>
          </cell>
        </row>
        <row r="2269">
          <cell r="D2269" t="str">
            <v>MEM</v>
          </cell>
          <cell r="E2269" t="str">
            <v>80AD02214825A56EE5</v>
          </cell>
        </row>
        <row r="2270">
          <cell r="D2270" t="str">
            <v>MEM</v>
          </cell>
          <cell r="E2270" t="str">
            <v>80AD02214825A56EF3</v>
          </cell>
        </row>
        <row r="2271">
          <cell r="D2271" t="str">
            <v>MEM</v>
          </cell>
          <cell r="E2271" t="str">
            <v>80AD02214825A56E0D</v>
          </cell>
        </row>
        <row r="2272">
          <cell r="D2272" t="str">
            <v>MEM</v>
          </cell>
          <cell r="E2272" t="str">
            <v>80AD02214825A56E46</v>
          </cell>
        </row>
        <row r="2273">
          <cell r="D2273" t="str">
            <v>MEM</v>
          </cell>
          <cell r="E2273" t="str">
            <v>80AD02214825A56E2E</v>
          </cell>
        </row>
        <row r="2274">
          <cell r="D2274" t="str">
            <v>MEM</v>
          </cell>
          <cell r="E2274" t="str">
            <v>80AD02214825A56E23</v>
          </cell>
        </row>
        <row r="2275">
          <cell r="D2275" t="str">
            <v>MEM</v>
          </cell>
          <cell r="E2275" t="str">
            <v>80AD02214825A56E1B</v>
          </cell>
        </row>
        <row r="2276">
          <cell r="D2276" t="str">
            <v>HDS</v>
          </cell>
          <cell r="E2276" t="str">
            <v>91C0A0KNT4T8</v>
          </cell>
        </row>
        <row r="2277">
          <cell r="D2277" t="str">
            <v>HDS</v>
          </cell>
          <cell r="E2277" t="str">
            <v>91B0A0VCT4T8</v>
          </cell>
        </row>
        <row r="2278">
          <cell r="D2278" t="str">
            <v>HDS</v>
          </cell>
          <cell r="E2278" t="str">
            <v>91C0A0L6T4T8</v>
          </cell>
        </row>
        <row r="2279">
          <cell r="D2279" t="str">
            <v>HDS</v>
          </cell>
          <cell r="E2279" t="str">
            <v>91B0A1CMT4T8</v>
          </cell>
        </row>
        <row r="2280">
          <cell r="D2280" t="str">
            <v>HDS</v>
          </cell>
          <cell r="E2280" t="str">
            <v>9190A0CJT4T8</v>
          </cell>
        </row>
        <row r="2281">
          <cell r="D2281" t="str">
            <v>HDS</v>
          </cell>
          <cell r="E2281" t="str">
            <v>91C0A0L5T4T8</v>
          </cell>
        </row>
        <row r="2282">
          <cell r="D2282" t="str">
            <v>HDS</v>
          </cell>
          <cell r="E2282" t="str">
            <v>81IFC4EFFQA1</v>
          </cell>
        </row>
        <row r="2283">
          <cell r="D2283" t="str">
            <v>HDS</v>
          </cell>
          <cell r="E2283" t="str">
            <v>91B0A0V1T4T8</v>
          </cell>
        </row>
        <row r="2284">
          <cell r="D2284" t="str">
            <v>HDS</v>
          </cell>
          <cell r="E2284" t="str">
            <v>91B0A0VET4T8</v>
          </cell>
        </row>
        <row r="2285">
          <cell r="D2285" t="str">
            <v>HDS</v>
          </cell>
          <cell r="E2285" t="str">
            <v>91C0A0KVT4T8</v>
          </cell>
        </row>
        <row r="2286">
          <cell r="D2286" t="str">
            <v>HDS</v>
          </cell>
          <cell r="E2286" t="str">
            <v>9130A00LT4T8</v>
          </cell>
        </row>
        <row r="2287">
          <cell r="D2287" t="str">
            <v>HDS</v>
          </cell>
          <cell r="E2287" t="str">
            <v>91B0A0UYT4T8</v>
          </cell>
        </row>
        <row r="2288">
          <cell r="D2288" t="str">
            <v>HDS</v>
          </cell>
          <cell r="E2288" t="str">
            <v>91C0A0L7T4T8</v>
          </cell>
        </row>
        <row r="2289">
          <cell r="D2289" t="str">
            <v>HDS</v>
          </cell>
          <cell r="E2289" t="str">
            <v>81IFC55OFQA1</v>
          </cell>
        </row>
        <row r="2290">
          <cell r="D2290" t="str">
            <v>AOC</v>
          </cell>
          <cell r="E2290" t="str">
            <v>VA21AS002443</v>
          </cell>
        </row>
        <row r="2291">
          <cell r="D2291" t="str">
            <v>AOC</v>
          </cell>
          <cell r="E2291" t="str">
            <v>OA196S031049</v>
          </cell>
        </row>
        <row r="2292">
          <cell r="D2292" t="str">
            <v>AS-1124USTNRP</v>
          </cell>
          <cell r="E2292" t="str">
            <v>E407071X2101560</v>
          </cell>
        </row>
        <row r="2293">
          <cell r="D2293" t="str">
            <v>CSE</v>
          </cell>
          <cell r="E2293" t="str">
            <v>C119UAK21P40160</v>
          </cell>
        </row>
        <row r="2294">
          <cell r="D2294" t="str">
            <v>PWS</v>
          </cell>
          <cell r="E2294" t="str">
            <v>P1K3ACL22CB1529</v>
          </cell>
        </row>
        <row r="2295">
          <cell r="D2295" t="str">
            <v>PWS</v>
          </cell>
          <cell r="E2295" t="str">
            <v>P1K3ACL22CB1530</v>
          </cell>
        </row>
        <row r="2296">
          <cell r="D2296" t="str">
            <v>BPN</v>
          </cell>
          <cell r="E2296" t="str">
            <v>HB213S017544</v>
          </cell>
        </row>
        <row r="2297">
          <cell r="D2297" t="str">
            <v>MBD</v>
          </cell>
          <cell r="E2297" t="str">
            <v>UM219S602919</v>
          </cell>
        </row>
        <row r="2298">
          <cell r="D2298" t="str">
            <v>RSC</v>
          </cell>
          <cell r="E2298" t="str">
            <v>ER216S013161</v>
          </cell>
        </row>
        <row r="2299">
          <cell r="D2299" t="str">
            <v>RSC</v>
          </cell>
          <cell r="E2299" t="str">
            <v>ER218S001454</v>
          </cell>
        </row>
        <row r="2300">
          <cell r="D2300" t="str">
            <v>AOC</v>
          </cell>
          <cell r="E2300" t="str">
            <v>OA214S011594</v>
          </cell>
        </row>
        <row r="2301">
          <cell r="D2301" t="str">
            <v>CPU</v>
          </cell>
          <cell r="E2301" t="str">
            <v>9JS9229W10090</v>
          </cell>
        </row>
        <row r="2302">
          <cell r="D2302" t="str">
            <v>CPU</v>
          </cell>
          <cell r="E2302" t="str">
            <v>9JS9229W10110</v>
          </cell>
        </row>
        <row r="2303">
          <cell r="D2303" t="str">
            <v>MEM</v>
          </cell>
          <cell r="E2303" t="str">
            <v>80AD02214825A4AD77</v>
          </cell>
        </row>
        <row r="2304">
          <cell r="D2304" t="str">
            <v>MEM</v>
          </cell>
          <cell r="E2304" t="str">
            <v>80AD02214825A4AD33</v>
          </cell>
        </row>
        <row r="2305">
          <cell r="D2305" t="str">
            <v>MEM</v>
          </cell>
          <cell r="E2305" t="str">
            <v>80AD02214825A4AB07</v>
          </cell>
        </row>
        <row r="2306">
          <cell r="D2306" t="str">
            <v>MEM</v>
          </cell>
          <cell r="E2306" t="str">
            <v>80AD02214825A4ACCB</v>
          </cell>
        </row>
        <row r="2307">
          <cell r="D2307" t="str">
            <v>MEM</v>
          </cell>
          <cell r="E2307" t="str">
            <v>80AD02214825A4AD17</v>
          </cell>
        </row>
        <row r="2308">
          <cell r="D2308" t="str">
            <v>MEM</v>
          </cell>
          <cell r="E2308" t="str">
            <v>80AD02214825A4AD11</v>
          </cell>
        </row>
        <row r="2309">
          <cell r="D2309" t="str">
            <v>MEM</v>
          </cell>
          <cell r="E2309" t="str">
            <v>80AD02214825A4AAF9</v>
          </cell>
        </row>
        <row r="2310">
          <cell r="D2310" t="str">
            <v>MEM</v>
          </cell>
          <cell r="E2310" t="str">
            <v>80AD02214825A4AB25</v>
          </cell>
        </row>
        <row r="2311">
          <cell r="D2311" t="str">
            <v>MEM</v>
          </cell>
          <cell r="E2311" t="str">
            <v>80AD02214825A4AB17</v>
          </cell>
        </row>
        <row r="2312">
          <cell r="D2312" t="str">
            <v>MEM</v>
          </cell>
          <cell r="E2312" t="str">
            <v>80AD02214825A4AB09</v>
          </cell>
        </row>
        <row r="2313">
          <cell r="D2313" t="str">
            <v>MEM</v>
          </cell>
          <cell r="E2313" t="str">
            <v>80AD02214825A4AD13</v>
          </cell>
        </row>
        <row r="2314">
          <cell r="D2314" t="str">
            <v>MEM</v>
          </cell>
          <cell r="E2314" t="str">
            <v>80AD02214825A4AB27</v>
          </cell>
        </row>
        <row r="2315">
          <cell r="D2315" t="str">
            <v>MEM</v>
          </cell>
          <cell r="E2315" t="str">
            <v>80AD02214825A4AD25</v>
          </cell>
        </row>
        <row r="2316">
          <cell r="D2316" t="str">
            <v>MEM</v>
          </cell>
          <cell r="E2316" t="str">
            <v>80AD02214825A4ACAB</v>
          </cell>
        </row>
        <row r="2317">
          <cell r="D2317" t="str">
            <v>MEM</v>
          </cell>
          <cell r="E2317" t="str">
            <v>80AD02214825A4AB19</v>
          </cell>
        </row>
        <row r="2318">
          <cell r="D2318" t="str">
            <v>MEM</v>
          </cell>
          <cell r="E2318" t="str">
            <v>80AD02214825A4AD27</v>
          </cell>
        </row>
        <row r="2319">
          <cell r="D2319" t="str">
            <v>HDS</v>
          </cell>
          <cell r="E2319" t="str">
            <v>91B0A1CJT4T8</v>
          </cell>
        </row>
        <row r="2320">
          <cell r="D2320" t="str">
            <v>HDS</v>
          </cell>
          <cell r="E2320" t="str">
            <v>91B0A1CNT4T8</v>
          </cell>
        </row>
        <row r="2321">
          <cell r="D2321" t="str">
            <v>HDS</v>
          </cell>
          <cell r="E2321" t="str">
            <v>91B0A1D0T4T8</v>
          </cell>
        </row>
        <row r="2322">
          <cell r="D2322" t="str">
            <v>HDS</v>
          </cell>
          <cell r="E2322" t="str">
            <v>91B0A1CWT4T8</v>
          </cell>
        </row>
        <row r="2323">
          <cell r="D2323" t="str">
            <v>HDS</v>
          </cell>
          <cell r="E2323" t="str">
            <v>91B0A1CUT4T8</v>
          </cell>
        </row>
        <row r="2324">
          <cell r="D2324" t="str">
            <v>HDS</v>
          </cell>
          <cell r="E2324" t="str">
            <v>91B0A0THT4T8</v>
          </cell>
        </row>
        <row r="2325">
          <cell r="D2325" t="str">
            <v>HDS</v>
          </cell>
          <cell r="E2325" t="str">
            <v>81IFC4H3FQA1</v>
          </cell>
        </row>
        <row r="2326">
          <cell r="D2326" t="str">
            <v>HDS</v>
          </cell>
          <cell r="E2326" t="str">
            <v>91B0A1DAT4T8</v>
          </cell>
        </row>
        <row r="2327">
          <cell r="D2327" t="str">
            <v>HDS</v>
          </cell>
          <cell r="E2327" t="str">
            <v>91B0A1CDT4T8</v>
          </cell>
        </row>
        <row r="2328">
          <cell r="D2328" t="str">
            <v>HDS</v>
          </cell>
          <cell r="E2328" t="str">
            <v>91B0A1D4T4T8</v>
          </cell>
        </row>
        <row r="2329">
          <cell r="D2329" t="str">
            <v>HDS</v>
          </cell>
          <cell r="E2329" t="str">
            <v>91B0A1D3T4T8</v>
          </cell>
        </row>
        <row r="2330">
          <cell r="D2330" t="str">
            <v>HDS</v>
          </cell>
          <cell r="E2330" t="str">
            <v>91B0A1D1T4T8</v>
          </cell>
        </row>
        <row r="2331">
          <cell r="D2331" t="str">
            <v>HDS</v>
          </cell>
          <cell r="E2331" t="str">
            <v>91B0A1CHT4T8</v>
          </cell>
        </row>
        <row r="2332">
          <cell r="D2332" t="str">
            <v>HDS</v>
          </cell>
          <cell r="E2332" t="str">
            <v>81IFC532FQA1</v>
          </cell>
        </row>
        <row r="2333">
          <cell r="D2333" t="str">
            <v>AOC</v>
          </cell>
          <cell r="E2333" t="str">
            <v>VA21AS002445</v>
          </cell>
        </row>
        <row r="2334">
          <cell r="D2334" t="str">
            <v>AOC</v>
          </cell>
          <cell r="E2334" t="str">
            <v>OA19BS048424</v>
          </cell>
        </row>
        <row r="2335">
          <cell r="D2335" t="str">
            <v>AS-1124USTNRP</v>
          </cell>
          <cell r="E2335" t="str">
            <v>E407071X2101559</v>
          </cell>
        </row>
        <row r="2336">
          <cell r="D2336" t="str">
            <v>CSE</v>
          </cell>
          <cell r="E2336" t="str">
            <v>C119UAK21P40159</v>
          </cell>
        </row>
        <row r="2337">
          <cell r="D2337" t="str">
            <v>PWS</v>
          </cell>
          <cell r="E2337" t="str">
            <v>P1K3ACL22CB1531</v>
          </cell>
        </row>
        <row r="2338">
          <cell r="D2338" t="str">
            <v>PWS</v>
          </cell>
          <cell r="E2338" t="str">
            <v>P1K3ACL22CB1536</v>
          </cell>
        </row>
        <row r="2339">
          <cell r="D2339" t="str">
            <v>BPN</v>
          </cell>
          <cell r="E2339" t="str">
            <v>HB215S006592</v>
          </cell>
        </row>
        <row r="2340">
          <cell r="D2340" t="str">
            <v>MBD</v>
          </cell>
          <cell r="E2340" t="str">
            <v>UM21CS601569</v>
          </cell>
        </row>
        <row r="2341">
          <cell r="D2341" t="str">
            <v>RSC</v>
          </cell>
          <cell r="E2341" t="str">
            <v>ER217S052071</v>
          </cell>
        </row>
        <row r="2342">
          <cell r="D2342" t="str">
            <v>RSC</v>
          </cell>
          <cell r="E2342" t="str">
            <v>ER216S013142</v>
          </cell>
        </row>
        <row r="2343">
          <cell r="D2343" t="str">
            <v>AOC</v>
          </cell>
          <cell r="E2343" t="str">
            <v>OA214S011591</v>
          </cell>
        </row>
        <row r="2344">
          <cell r="D2344" t="str">
            <v>CPU</v>
          </cell>
          <cell r="E2344" t="str">
            <v>9JS9229W10109</v>
          </cell>
        </row>
        <row r="2345">
          <cell r="D2345" t="str">
            <v>CPU</v>
          </cell>
          <cell r="E2345" t="str">
            <v>9JS9229W10112</v>
          </cell>
        </row>
        <row r="2346">
          <cell r="D2346" t="str">
            <v>MEM</v>
          </cell>
          <cell r="E2346" t="str">
            <v>80AD02214825A56E14</v>
          </cell>
        </row>
        <row r="2347">
          <cell r="D2347" t="str">
            <v>MEM</v>
          </cell>
          <cell r="E2347" t="str">
            <v>80AD02214825A56E0B</v>
          </cell>
        </row>
        <row r="2348">
          <cell r="D2348" t="str">
            <v>MEM</v>
          </cell>
          <cell r="E2348" t="str">
            <v>80AD02214825A56E07</v>
          </cell>
        </row>
        <row r="2349">
          <cell r="D2349" t="str">
            <v>MEM</v>
          </cell>
          <cell r="E2349" t="str">
            <v>80AD02214825A56F56</v>
          </cell>
        </row>
        <row r="2350">
          <cell r="D2350" t="str">
            <v>MEM</v>
          </cell>
          <cell r="E2350" t="str">
            <v>80AD02214825A56F7A</v>
          </cell>
        </row>
        <row r="2351">
          <cell r="D2351" t="str">
            <v>MEM</v>
          </cell>
          <cell r="E2351" t="str">
            <v>80AD02214825A56F48</v>
          </cell>
        </row>
        <row r="2352">
          <cell r="D2352" t="str">
            <v>MEM</v>
          </cell>
          <cell r="E2352" t="str">
            <v>80AD02214825A56E1A</v>
          </cell>
        </row>
        <row r="2353">
          <cell r="D2353" t="str">
            <v>MEM</v>
          </cell>
          <cell r="E2353" t="str">
            <v>80AD02214825A56E22</v>
          </cell>
        </row>
        <row r="2354">
          <cell r="D2354" t="str">
            <v>MEM</v>
          </cell>
          <cell r="E2354" t="str">
            <v>80AD02214825A56F9D</v>
          </cell>
        </row>
        <row r="2355">
          <cell r="D2355" t="str">
            <v>MEM</v>
          </cell>
          <cell r="E2355" t="str">
            <v>80AD02214825A56FAD</v>
          </cell>
        </row>
        <row r="2356">
          <cell r="D2356" t="str">
            <v>MEM</v>
          </cell>
          <cell r="E2356" t="str">
            <v>80AD02214825A56F9F</v>
          </cell>
        </row>
        <row r="2357">
          <cell r="D2357" t="str">
            <v>MEM</v>
          </cell>
          <cell r="E2357" t="str">
            <v>80AD02214825A56FEE</v>
          </cell>
        </row>
        <row r="2358">
          <cell r="D2358" t="str">
            <v>MEM</v>
          </cell>
          <cell r="E2358" t="str">
            <v>80AD02214825A56FCB</v>
          </cell>
        </row>
        <row r="2359">
          <cell r="D2359" t="str">
            <v>MEM</v>
          </cell>
          <cell r="E2359" t="str">
            <v>80AD02214825A56FBB</v>
          </cell>
        </row>
        <row r="2360">
          <cell r="D2360" t="str">
            <v>MEM</v>
          </cell>
          <cell r="E2360" t="str">
            <v>80AD02214825A56F90</v>
          </cell>
        </row>
        <row r="2361">
          <cell r="D2361" t="str">
            <v>MEM</v>
          </cell>
          <cell r="E2361" t="str">
            <v>80AD02214825A56F1D</v>
          </cell>
        </row>
        <row r="2362">
          <cell r="D2362" t="str">
            <v>HDS</v>
          </cell>
          <cell r="E2362" t="str">
            <v>91B0A1CGT4T8</v>
          </cell>
        </row>
        <row r="2363">
          <cell r="D2363" t="str">
            <v>HDS</v>
          </cell>
          <cell r="E2363" t="str">
            <v>91B0A0TAT4T8</v>
          </cell>
        </row>
        <row r="2364">
          <cell r="D2364" t="str">
            <v>HDS</v>
          </cell>
          <cell r="E2364" t="str">
            <v>91B0A0U4T4T8</v>
          </cell>
        </row>
        <row r="2365">
          <cell r="D2365" t="str">
            <v>HDS</v>
          </cell>
          <cell r="E2365" t="str">
            <v>91B0A1D2T4T8</v>
          </cell>
        </row>
        <row r="2366">
          <cell r="D2366" t="str">
            <v>HDS</v>
          </cell>
          <cell r="E2366" t="str">
            <v>91B0A0TBT4T8</v>
          </cell>
        </row>
        <row r="2367">
          <cell r="D2367" t="str">
            <v>HDS</v>
          </cell>
          <cell r="E2367" t="str">
            <v>91B0A1CLT4T8</v>
          </cell>
        </row>
        <row r="2368">
          <cell r="D2368" t="str">
            <v>HDS</v>
          </cell>
          <cell r="E2368" t="str">
            <v>81IFC4DZFQA1</v>
          </cell>
        </row>
        <row r="2369">
          <cell r="D2369" t="str">
            <v>HDS</v>
          </cell>
          <cell r="E2369" t="str">
            <v>91B0A1CFT4T8</v>
          </cell>
        </row>
        <row r="2370">
          <cell r="D2370" t="str">
            <v>HDS</v>
          </cell>
          <cell r="E2370" t="str">
            <v>91B0A0VDT4T8</v>
          </cell>
        </row>
        <row r="2371">
          <cell r="D2371" t="str">
            <v>HDS</v>
          </cell>
          <cell r="E2371" t="str">
            <v>91B0A1CZT4T8</v>
          </cell>
        </row>
        <row r="2372">
          <cell r="D2372" t="str">
            <v>HDS</v>
          </cell>
          <cell r="E2372" t="str">
            <v>91B0A0U8T4T8</v>
          </cell>
        </row>
        <row r="2373">
          <cell r="D2373" t="str">
            <v>HDS</v>
          </cell>
          <cell r="E2373" t="str">
            <v>91B0A1CYT4T8</v>
          </cell>
        </row>
        <row r="2374">
          <cell r="D2374" t="str">
            <v>HDS</v>
          </cell>
          <cell r="E2374" t="str">
            <v>91B0A1CVT4T8</v>
          </cell>
        </row>
        <row r="2375">
          <cell r="D2375" t="str">
            <v>HDS</v>
          </cell>
          <cell r="E2375" t="str">
            <v>81IFC53KFQA1</v>
          </cell>
        </row>
        <row r="2376">
          <cell r="D2376" t="str">
            <v>AOC</v>
          </cell>
          <cell r="E2376" t="str">
            <v>VA21AS002433</v>
          </cell>
        </row>
        <row r="2377">
          <cell r="D2377" t="str">
            <v>AOC</v>
          </cell>
          <cell r="E2377" t="str">
            <v>OA196S031010</v>
          </cell>
        </row>
        <row r="2378">
          <cell r="D2378" t="str">
            <v>AS-1124USTNRP</v>
          </cell>
          <cell r="E2378" t="str">
            <v>E407071X2101558</v>
          </cell>
        </row>
        <row r="2379">
          <cell r="D2379" t="str">
            <v>CSE</v>
          </cell>
          <cell r="E2379" t="str">
            <v>C119UAK21P40158</v>
          </cell>
        </row>
        <row r="2380">
          <cell r="D2380" t="str">
            <v>PWS</v>
          </cell>
          <cell r="E2380" t="str">
            <v>P1K3ACL22CB1534</v>
          </cell>
        </row>
        <row r="2381">
          <cell r="D2381" t="str">
            <v>PWS</v>
          </cell>
          <cell r="E2381" t="str">
            <v>P1K3ACL22CB1532</v>
          </cell>
        </row>
        <row r="2382">
          <cell r="D2382" t="str">
            <v>BPN</v>
          </cell>
          <cell r="E2382" t="str">
            <v>HB215S006588</v>
          </cell>
        </row>
        <row r="2383">
          <cell r="D2383" t="str">
            <v>MBD</v>
          </cell>
          <cell r="E2383" t="str">
            <v>UM21CS601548</v>
          </cell>
        </row>
        <row r="2384">
          <cell r="D2384" t="str">
            <v>RSC</v>
          </cell>
          <cell r="E2384" t="str">
            <v>ER216S013143</v>
          </cell>
        </row>
        <row r="2385">
          <cell r="D2385" t="str">
            <v>RSC</v>
          </cell>
          <cell r="E2385" t="str">
            <v>ER218S001464</v>
          </cell>
        </row>
        <row r="2386">
          <cell r="D2386" t="str">
            <v>AOC</v>
          </cell>
          <cell r="E2386" t="str">
            <v>OA214S011666</v>
          </cell>
        </row>
        <row r="2387">
          <cell r="D2387" t="str">
            <v>CPU</v>
          </cell>
          <cell r="E2387" t="str">
            <v>9JS9229W10105</v>
          </cell>
        </row>
        <row r="2388">
          <cell r="D2388" t="str">
            <v>CPU</v>
          </cell>
          <cell r="E2388" t="str">
            <v>9JS9229W10106</v>
          </cell>
        </row>
        <row r="2389">
          <cell r="D2389" t="str">
            <v>MEM</v>
          </cell>
          <cell r="E2389" t="str">
            <v>80AD02214825A56ED1</v>
          </cell>
        </row>
        <row r="2390">
          <cell r="D2390" t="str">
            <v>MEM</v>
          </cell>
          <cell r="E2390" t="str">
            <v>80AD02214825A56F36</v>
          </cell>
        </row>
        <row r="2391">
          <cell r="D2391" t="str">
            <v>MEM</v>
          </cell>
          <cell r="E2391" t="str">
            <v>80AD02214825A56EC3</v>
          </cell>
        </row>
        <row r="2392">
          <cell r="D2392" t="str">
            <v>MEM</v>
          </cell>
          <cell r="E2392" t="str">
            <v>80AD02214825A56F38</v>
          </cell>
        </row>
        <row r="2393">
          <cell r="D2393" t="str">
            <v>MEM</v>
          </cell>
          <cell r="E2393" t="str">
            <v>80AD02214825A56E7C</v>
          </cell>
        </row>
        <row r="2394">
          <cell r="D2394" t="str">
            <v>MEM</v>
          </cell>
          <cell r="E2394" t="str">
            <v>80AD02214825A56E70</v>
          </cell>
        </row>
        <row r="2395">
          <cell r="D2395" t="str">
            <v>MEM</v>
          </cell>
          <cell r="E2395" t="str">
            <v>80AD02214825A56F28</v>
          </cell>
        </row>
        <row r="2396">
          <cell r="D2396" t="str">
            <v>MEM</v>
          </cell>
          <cell r="E2396" t="str">
            <v>80AD02214825A56F8C</v>
          </cell>
        </row>
        <row r="2397">
          <cell r="D2397" t="str">
            <v>MEM</v>
          </cell>
          <cell r="E2397" t="str">
            <v>80AD02214825A56E78</v>
          </cell>
        </row>
        <row r="2398">
          <cell r="D2398" t="str">
            <v>MEM</v>
          </cell>
          <cell r="E2398" t="str">
            <v>80AD02214825A56E82</v>
          </cell>
        </row>
        <row r="2399">
          <cell r="D2399" t="str">
            <v>MEM</v>
          </cell>
          <cell r="E2399" t="str">
            <v>80AD02214825A56E79</v>
          </cell>
        </row>
        <row r="2400">
          <cell r="D2400" t="str">
            <v>MEM</v>
          </cell>
          <cell r="E2400" t="str">
            <v>80AD02214825A56E98</v>
          </cell>
        </row>
        <row r="2401">
          <cell r="D2401" t="str">
            <v>MEM</v>
          </cell>
          <cell r="E2401" t="str">
            <v>80AD02214825A56E7E</v>
          </cell>
        </row>
        <row r="2402">
          <cell r="D2402" t="str">
            <v>MEM</v>
          </cell>
          <cell r="E2402" t="str">
            <v>80AD02214825A56E8D</v>
          </cell>
        </row>
        <row r="2403">
          <cell r="D2403" t="str">
            <v>MEM</v>
          </cell>
          <cell r="E2403" t="str">
            <v>80AD02214825A56E6D</v>
          </cell>
        </row>
        <row r="2404">
          <cell r="D2404" t="str">
            <v>MEM</v>
          </cell>
          <cell r="E2404" t="str">
            <v>80AD02214825A56E9A</v>
          </cell>
        </row>
        <row r="2405">
          <cell r="D2405" t="str">
            <v>HDS</v>
          </cell>
          <cell r="E2405" t="str">
            <v>91C0A0K6T4T8</v>
          </cell>
        </row>
        <row r="2406">
          <cell r="D2406" t="str">
            <v>HDS</v>
          </cell>
          <cell r="E2406" t="str">
            <v>91B0A1D5T4T8</v>
          </cell>
        </row>
        <row r="2407">
          <cell r="D2407" t="str">
            <v>HDS</v>
          </cell>
          <cell r="E2407" t="str">
            <v>91B0A1CXT4T8</v>
          </cell>
        </row>
        <row r="2408">
          <cell r="D2408" t="str">
            <v>HDS</v>
          </cell>
          <cell r="E2408" t="str">
            <v>91B0A0VGT4T8</v>
          </cell>
        </row>
        <row r="2409">
          <cell r="D2409" t="str">
            <v>HDS</v>
          </cell>
          <cell r="E2409" t="str">
            <v>91B0A1D9T4T8</v>
          </cell>
        </row>
        <row r="2410">
          <cell r="D2410" t="str">
            <v>HDS</v>
          </cell>
          <cell r="E2410" t="str">
            <v>91B0A1CQT4T8</v>
          </cell>
        </row>
        <row r="2411">
          <cell r="D2411" t="str">
            <v>HDS</v>
          </cell>
          <cell r="E2411" t="str">
            <v>81IFC4EQFQA1</v>
          </cell>
        </row>
        <row r="2412">
          <cell r="D2412" t="str">
            <v>HDS</v>
          </cell>
          <cell r="E2412" t="str">
            <v>91B0A1DBT4T8</v>
          </cell>
        </row>
        <row r="2413">
          <cell r="D2413" t="str">
            <v>HDS</v>
          </cell>
          <cell r="E2413" t="str">
            <v>91B0A1CRT4T8</v>
          </cell>
        </row>
        <row r="2414">
          <cell r="D2414" t="str">
            <v>HDS</v>
          </cell>
          <cell r="E2414" t="str">
            <v>91B0A1CKT4T8</v>
          </cell>
        </row>
        <row r="2415">
          <cell r="D2415" t="str">
            <v>HDS</v>
          </cell>
          <cell r="E2415" t="str">
            <v>91B0A1CTT4T8</v>
          </cell>
        </row>
        <row r="2416">
          <cell r="D2416" t="str">
            <v>HDS</v>
          </cell>
          <cell r="E2416" t="str">
            <v>91B0A0TGT4T8</v>
          </cell>
        </row>
        <row r="2417">
          <cell r="D2417" t="str">
            <v>HDS</v>
          </cell>
          <cell r="E2417" t="str">
            <v>91B0A1CET4T8</v>
          </cell>
        </row>
        <row r="2418">
          <cell r="D2418" t="str">
            <v>HDS</v>
          </cell>
          <cell r="E2418" t="str">
            <v>81IFC53YFQA1</v>
          </cell>
        </row>
        <row r="2419">
          <cell r="D2419" t="str">
            <v>AOC</v>
          </cell>
          <cell r="E2419" t="str">
            <v>VA21AS002444</v>
          </cell>
        </row>
        <row r="2420">
          <cell r="D2420" t="str">
            <v>AOC</v>
          </cell>
          <cell r="E2420" t="str">
            <v>OA19AS009562</v>
          </cell>
        </row>
        <row r="2421">
          <cell r="D2421" t="str">
            <v>AS-1124USTNRP</v>
          </cell>
          <cell r="E2421" t="str">
            <v>E407071X2101563</v>
          </cell>
        </row>
        <row r="2422">
          <cell r="D2422" t="str">
            <v>CSE</v>
          </cell>
          <cell r="E2422" t="str">
            <v>C119UAK21P40150</v>
          </cell>
        </row>
        <row r="2423">
          <cell r="D2423" t="str">
            <v>PWS</v>
          </cell>
          <cell r="E2423" t="str">
            <v>P1K3ACL22CB1501</v>
          </cell>
        </row>
        <row r="2424">
          <cell r="D2424" t="str">
            <v>PWS</v>
          </cell>
          <cell r="E2424" t="str">
            <v>P1K3ACL22CB1500</v>
          </cell>
        </row>
        <row r="2425">
          <cell r="D2425" t="str">
            <v>BPN</v>
          </cell>
          <cell r="E2425" t="str">
            <v>HB213S017543</v>
          </cell>
        </row>
        <row r="2426">
          <cell r="D2426" t="str">
            <v>MBD</v>
          </cell>
          <cell r="E2426" t="str">
            <v>UM21CS601725</v>
          </cell>
        </row>
        <row r="2427">
          <cell r="D2427" t="str">
            <v>RSC</v>
          </cell>
          <cell r="E2427" t="str">
            <v>ER216S013145</v>
          </cell>
        </row>
        <row r="2428">
          <cell r="D2428" t="str">
            <v>RSC</v>
          </cell>
          <cell r="E2428" t="str">
            <v>ER217S052073</v>
          </cell>
        </row>
        <row r="2429">
          <cell r="D2429" t="str">
            <v>AOC</v>
          </cell>
          <cell r="E2429" t="str">
            <v>OA214S011617</v>
          </cell>
        </row>
        <row r="2430">
          <cell r="D2430" t="str">
            <v>CPU</v>
          </cell>
          <cell r="E2430" t="str">
            <v>9JS9229W10042</v>
          </cell>
        </row>
        <row r="2431">
          <cell r="D2431" t="str">
            <v>CPU</v>
          </cell>
          <cell r="E2431" t="str">
            <v>9JS9229W10092</v>
          </cell>
        </row>
        <row r="2432">
          <cell r="D2432" t="str">
            <v>MEM</v>
          </cell>
          <cell r="E2432" t="str">
            <v>80AD02214825A4AD8A</v>
          </cell>
        </row>
        <row r="2433">
          <cell r="D2433" t="str">
            <v>MEM</v>
          </cell>
          <cell r="E2433" t="str">
            <v>80AD02214825A4ACFB</v>
          </cell>
        </row>
        <row r="2434">
          <cell r="D2434" t="str">
            <v>MEM</v>
          </cell>
          <cell r="E2434" t="str">
            <v>80AD02214825A4AD8C</v>
          </cell>
        </row>
        <row r="2435">
          <cell r="D2435" t="str">
            <v>MEM</v>
          </cell>
          <cell r="E2435" t="str">
            <v>80AD02214825A4ACDD</v>
          </cell>
        </row>
        <row r="2436">
          <cell r="D2436" t="str">
            <v>MEM</v>
          </cell>
          <cell r="E2436" t="str">
            <v>80AD02214825A4ACB1</v>
          </cell>
        </row>
        <row r="2437">
          <cell r="D2437" t="str">
            <v>MEM</v>
          </cell>
          <cell r="E2437" t="str">
            <v>80AD02214825A4ADB4</v>
          </cell>
        </row>
        <row r="2438">
          <cell r="D2438" t="str">
            <v>MEM</v>
          </cell>
          <cell r="E2438" t="str">
            <v>80AD02214825A4AD85</v>
          </cell>
        </row>
        <row r="2439">
          <cell r="D2439" t="str">
            <v>MEM</v>
          </cell>
          <cell r="E2439" t="str">
            <v>80AD02214825A4ACED</v>
          </cell>
        </row>
        <row r="2440">
          <cell r="D2440" t="str">
            <v>MEM</v>
          </cell>
          <cell r="E2440" t="str">
            <v>80AD02214825A4ACC1</v>
          </cell>
        </row>
        <row r="2441">
          <cell r="D2441" t="str">
            <v>MEM</v>
          </cell>
          <cell r="E2441" t="str">
            <v>80AD02214825A4AD98</v>
          </cell>
        </row>
        <row r="2442">
          <cell r="D2442" t="str">
            <v>MEM</v>
          </cell>
          <cell r="E2442" t="str">
            <v>80AD02214825A4ADA8</v>
          </cell>
        </row>
        <row r="2443">
          <cell r="D2443" t="str">
            <v>MEM</v>
          </cell>
          <cell r="E2443" t="str">
            <v>80AD02214825A4ACA1</v>
          </cell>
        </row>
        <row r="2444">
          <cell r="D2444" t="str">
            <v>MEM</v>
          </cell>
          <cell r="E2444" t="str">
            <v>80AD02214825A4AD87</v>
          </cell>
        </row>
        <row r="2445">
          <cell r="D2445" t="str">
            <v>MEM</v>
          </cell>
          <cell r="E2445" t="str">
            <v>80AD02214825A4ADB6</v>
          </cell>
        </row>
        <row r="2446">
          <cell r="D2446" t="str">
            <v>MEM</v>
          </cell>
          <cell r="E2446" t="str">
            <v>80AD02214825A4AD74</v>
          </cell>
        </row>
        <row r="2447">
          <cell r="D2447" t="str">
            <v>MEM</v>
          </cell>
          <cell r="E2447" t="str">
            <v>80AD02214825A4ADB8</v>
          </cell>
        </row>
        <row r="2448">
          <cell r="D2448" t="str">
            <v>HDS</v>
          </cell>
          <cell r="E2448" t="str">
            <v>91C0A0KKT4T8</v>
          </cell>
        </row>
        <row r="2449">
          <cell r="D2449" t="str">
            <v>HDS</v>
          </cell>
          <cell r="E2449" t="str">
            <v>91C0A0KLT4T8</v>
          </cell>
        </row>
        <row r="2450">
          <cell r="D2450" t="str">
            <v>HDS</v>
          </cell>
          <cell r="E2450" t="str">
            <v>91C0A0KCT4T8</v>
          </cell>
        </row>
        <row r="2451">
          <cell r="D2451" t="str">
            <v>HDS</v>
          </cell>
          <cell r="E2451" t="str">
            <v>91B0A0UAT4T8</v>
          </cell>
        </row>
        <row r="2452">
          <cell r="D2452" t="str">
            <v>HDS</v>
          </cell>
          <cell r="E2452" t="str">
            <v>91B0A0V8T4T8</v>
          </cell>
        </row>
        <row r="2453">
          <cell r="D2453" t="str">
            <v>HDS</v>
          </cell>
          <cell r="E2453" t="str">
            <v>91C0A0KUT4T8</v>
          </cell>
        </row>
        <row r="2454">
          <cell r="D2454" t="str">
            <v>HDS</v>
          </cell>
          <cell r="E2454" t="str">
            <v>81IFC54EFQA1</v>
          </cell>
        </row>
        <row r="2455">
          <cell r="D2455" t="str">
            <v>HDS</v>
          </cell>
          <cell r="E2455" t="str">
            <v>81IFC53TFQA1</v>
          </cell>
        </row>
        <row r="2456">
          <cell r="D2456" t="str">
            <v>HDS</v>
          </cell>
          <cell r="E2456" t="str">
            <v>91C0A0KJT4T8</v>
          </cell>
        </row>
        <row r="2457">
          <cell r="D2457" t="str">
            <v>HDS</v>
          </cell>
          <cell r="E2457" t="str">
            <v>91C0A0KZT4T8</v>
          </cell>
        </row>
        <row r="2458">
          <cell r="D2458" t="str">
            <v>HDS</v>
          </cell>
          <cell r="E2458" t="str">
            <v>91C0A0KFT4T8</v>
          </cell>
        </row>
        <row r="2459">
          <cell r="D2459" t="str">
            <v>HDS</v>
          </cell>
          <cell r="E2459" t="str">
            <v>91C0A0KQT4T8</v>
          </cell>
        </row>
        <row r="2460">
          <cell r="D2460" t="str">
            <v>HDS</v>
          </cell>
          <cell r="E2460" t="str">
            <v>91C0A0K5T4T8</v>
          </cell>
        </row>
        <row r="2461">
          <cell r="D2461" t="str">
            <v>HDS</v>
          </cell>
          <cell r="E2461" t="str">
            <v>91C0A0KPT4T8</v>
          </cell>
        </row>
        <row r="2462">
          <cell r="D2462" t="str">
            <v>AOC</v>
          </cell>
          <cell r="E2462" t="str">
            <v>VA21AS002432</v>
          </cell>
        </row>
        <row r="2463">
          <cell r="D2463" t="str">
            <v>AOC</v>
          </cell>
          <cell r="E2463" t="str">
            <v>OA196S031020</v>
          </cell>
        </row>
        <row r="2464">
          <cell r="D2464" t="str">
            <v>SYS-420GP-TNR</v>
          </cell>
          <cell r="E2464" t="str">
            <v>A425662X1B14109</v>
          </cell>
        </row>
        <row r="2465">
          <cell r="D2465" t="str">
            <v>CSE</v>
          </cell>
          <cell r="E2465" t="str">
            <v>C4180AK30A40847</v>
          </cell>
        </row>
        <row r="2466">
          <cell r="D2466" t="str">
            <v>PWS</v>
          </cell>
          <cell r="E2466" t="str">
            <v>P2K08CL33QB2042</v>
          </cell>
        </row>
        <row r="2467">
          <cell r="D2467" t="str">
            <v>PWS</v>
          </cell>
          <cell r="E2467" t="str">
            <v>P2K08CL33QB2048</v>
          </cell>
        </row>
        <row r="2468">
          <cell r="D2468" t="str">
            <v>PWS</v>
          </cell>
          <cell r="E2468" t="str">
            <v>P2K08CL33QB2046</v>
          </cell>
        </row>
        <row r="2469">
          <cell r="D2469" t="str">
            <v>PWS</v>
          </cell>
          <cell r="E2469" t="str">
            <v>P2K08CL33QB2047</v>
          </cell>
        </row>
        <row r="2470">
          <cell r="D2470" t="str">
            <v>MBD</v>
          </cell>
          <cell r="E2470" t="str">
            <v>UM219S007187</v>
          </cell>
        </row>
        <row r="2471">
          <cell r="D2471" t="str">
            <v>BPN</v>
          </cell>
          <cell r="E2471" t="str">
            <v>HB218S002637</v>
          </cell>
        </row>
        <row r="2472">
          <cell r="D2472" t="str">
            <v>AOC</v>
          </cell>
          <cell r="E2472" t="str">
            <v>OA217S029320</v>
          </cell>
        </row>
        <row r="2473">
          <cell r="D2473" t="str">
            <v>AOC</v>
          </cell>
          <cell r="E2473" t="str">
            <v>OA218S008830</v>
          </cell>
        </row>
        <row r="2474">
          <cell r="D2474" t="str">
            <v>CPU</v>
          </cell>
          <cell r="E2474" t="str">
            <v>71BX387401196</v>
          </cell>
        </row>
        <row r="2475">
          <cell r="D2475" t="str">
            <v>CPU</v>
          </cell>
          <cell r="E2475" t="str">
            <v>71FF037501090</v>
          </cell>
        </row>
        <row r="2476">
          <cell r="D2476" t="str">
            <v>MEM</v>
          </cell>
          <cell r="E2476" t="str">
            <v>80AD02214725975DC5</v>
          </cell>
        </row>
        <row r="2477">
          <cell r="D2477" t="str">
            <v>MEM</v>
          </cell>
          <cell r="E2477" t="str">
            <v>80AD02214725975DBB</v>
          </cell>
        </row>
        <row r="2478">
          <cell r="D2478" t="str">
            <v>MEM</v>
          </cell>
          <cell r="E2478" t="str">
            <v>80AD02214725975DAA</v>
          </cell>
        </row>
        <row r="2479">
          <cell r="D2479" t="str">
            <v>MEM</v>
          </cell>
          <cell r="E2479" t="str">
            <v>80AD02214725975DB3</v>
          </cell>
        </row>
        <row r="2480">
          <cell r="D2480" t="str">
            <v>AOC</v>
          </cell>
          <cell r="E2480" t="str">
            <v>OA216S051683</v>
          </cell>
        </row>
        <row r="2481">
          <cell r="D2481" t="str">
            <v>HDS</v>
          </cell>
          <cell r="E2481" t="str">
            <v>S45NNA0R722123</v>
          </cell>
        </row>
        <row r="2482">
          <cell r="D2482" t="str">
            <v>HDS</v>
          </cell>
          <cell r="E2482" t="str">
            <v>S45NNA0R722119</v>
          </cell>
        </row>
        <row r="2483">
          <cell r="D2483" t="str">
            <v>HDS</v>
          </cell>
          <cell r="E2483" t="str">
            <v>S45NNA0R722107</v>
          </cell>
        </row>
        <row r="2484">
          <cell r="D2484" t="str">
            <v>HDS</v>
          </cell>
          <cell r="E2484" t="str">
            <v>S45NNA0R722105</v>
          </cell>
        </row>
        <row r="2485">
          <cell r="D2485" t="str">
            <v>HDS</v>
          </cell>
          <cell r="E2485" t="str">
            <v>S45NNA0R722102</v>
          </cell>
        </row>
        <row r="2486">
          <cell r="D2486" t="str">
            <v>HDS</v>
          </cell>
          <cell r="E2486" t="str">
            <v>S45NNA0R722097</v>
          </cell>
        </row>
        <row r="2487">
          <cell r="D2487" t="str">
            <v>HDS</v>
          </cell>
          <cell r="E2487" t="str">
            <v>S45NNA0R722116</v>
          </cell>
        </row>
        <row r="2488">
          <cell r="D2488" t="str">
            <v>HDS</v>
          </cell>
          <cell r="E2488" t="str">
            <v>S45NNA0R722104</v>
          </cell>
        </row>
        <row r="2489">
          <cell r="D2489" t="str">
            <v>GPU</v>
          </cell>
          <cell r="E2489">
            <v>1654121004571</v>
          </cell>
        </row>
        <row r="2490">
          <cell r="D2490" t="str">
            <v>GPU</v>
          </cell>
          <cell r="E2490">
            <v>1654121003663</v>
          </cell>
        </row>
        <row r="2491">
          <cell r="D2491" t="str">
            <v>GPU</v>
          </cell>
          <cell r="E2491">
            <v>1654221003501</v>
          </cell>
        </row>
        <row r="2492">
          <cell r="D2492" t="str">
            <v>GPU</v>
          </cell>
          <cell r="E2492">
            <v>1654221003509</v>
          </cell>
        </row>
        <row r="2493">
          <cell r="D2493" t="str">
            <v>AOC-S3908L-H8IR-O</v>
          </cell>
          <cell r="E2493" t="str">
            <v>UA216S005133</v>
          </cell>
        </row>
        <row r="2494">
          <cell r="D2494" t="str">
            <v>MZ7LH960HAJR-00005</v>
          </cell>
          <cell r="E2494" t="str">
            <v>S45NNA0R722086</v>
          </cell>
        </row>
        <row r="2495">
          <cell r="D2495" t="str">
            <v>MZ7LH960HAJR-00005</v>
          </cell>
          <cell r="E2495" t="str">
            <v>S45NNA0R722100</v>
          </cell>
        </row>
        <row r="2496">
          <cell r="D2496" t="str">
            <v>SSG-6049P-E1Cr36H</v>
          </cell>
          <cell r="E2496" t="str">
            <v>A287680X1A02468</v>
          </cell>
        </row>
        <row r="2497">
          <cell r="D2497" t="str">
            <v>CSE</v>
          </cell>
          <cell r="E2497" t="str">
            <v>C8470FK20P10236</v>
          </cell>
        </row>
        <row r="2498">
          <cell r="D2498" t="str">
            <v>PWS</v>
          </cell>
          <cell r="E2498" t="str">
            <v>P1K2ACL38NB0017</v>
          </cell>
        </row>
        <row r="2499">
          <cell r="D2499" t="str">
            <v>PWS</v>
          </cell>
          <cell r="E2499" t="str">
            <v>P1K2ACL38NB0016</v>
          </cell>
        </row>
        <row r="2500">
          <cell r="D2500" t="str">
            <v>MBD</v>
          </cell>
          <cell r="E2500" t="str">
            <v>ZM216S015922</v>
          </cell>
        </row>
        <row r="2501">
          <cell r="D2501" t="str">
            <v>BPN</v>
          </cell>
          <cell r="E2501" t="str">
            <v>HB218S011073</v>
          </cell>
        </row>
        <row r="2502">
          <cell r="D2502" t="str">
            <v>BPN</v>
          </cell>
          <cell r="E2502" t="str">
            <v>HB216S032188</v>
          </cell>
        </row>
        <row r="2503">
          <cell r="D2503" t="str">
            <v>AOC</v>
          </cell>
          <cell r="E2503" t="str">
            <v>VA218S020314</v>
          </cell>
        </row>
        <row r="2504">
          <cell r="D2504" t="str">
            <v>AOC</v>
          </cell>
          <cell r="E2504" t="str">
            <v>JA215S000912</v>
          </cell>
        </row>
        <row r="2505">
          <cell r="D2505" t="str">
            <v>CPU</v>
          </cell>
          <cell r="E2505" t="str">
            <v>M1KK285300746</v>
          </cell>
        </row>
        <row r="2506">
          <cell r="D2506" t="str">
            <v>CPU</v>
          </cell>
          <cell r="E2506" t="str">
            <v>M1KK285300390</v>
          </cell>
        </row>
        <row r="2507">
          <cell r="D2507" t="str">
            <v>MEM</v>
          </cell>
          <cell r="E2507" t="str">
            <v>80AD01214595928804</v>
          </cell>
        </row>
        <row r="2508">
          <cell r="D2508" t="str">
            <v>MEM</v>
          </cell>
          <cell r="E2508" t="str">
            <v>80AD0121459592880E</v>
          </cell>
        </row>
        <row r="2509">
          <cell r="D2509" t="str">
            <v>MEM</v>
          </cell>
          <cell r="E2509" t="str">
            <v>80AD01214595928814</v>
          </cell>
        </row>
        <row r="2510">
          <cell r="D2510" t="str">
            <v>MEM</v>
          </cell>
          <cell r="E2510" t="str">
            <v>80AD01214595928811</v>
          </cell>
        </row>
        <row r="2511">
          <cell r="D2511" t="str">
            <v>HDS</v>
          </cell>
          <cell r="E2511" t="str">
            <v>2150335B359E</v>
          </cell>
        </row>
        <row r="2512">
          <cell r="D2512" t="str">
            <v>HDS</v>
          </cell>
          <cell r="E2512" t="str">
            <v>2150335B3599</v>
          </cell>
        </row>
        <row r="2513">
          <cell r="D2513" t="str">
            <v>CSE-813MTQ-350CB</v>
          </cell>
          <cell r="E2513" t="str">
            <v>C813MLJ23P00184</v>
          </cell>
        </row>
        <row r="2514">
          <cell r="D2514" t="str">
            <v>CSE-813MTQ-350CB</v>
          </cell>
          <cell r="E2514" t="str">
            <v>C813MLJ23P00191</v>
          </cell>
        </row>
        <row r="2515">
          <cell r="D2515" t="str">
            <v>CSE-813MTQ-350CB</v>
          </cell>
          <cell r="E2515" t="str">
            <v>C813MLJ23P00193</v>
          </cell>
        </row>
        <row r="2516">
          <cell r="D2516" t="str">
            <v>CSE-813MTQ-350CB</v>
          </cell>
          <cell r="E2516" t="str">
            <v>C813MLJ23P00185</v>
          </cell>
        </row>
        <row r="2517">
          <cell r="D2517" t="str">
            <v>CSE-813MTQ-350CB</v>
          </cell>
          <cell r="E2517" t="str">
            <v>C813MLJ23P00194</v>
          </cell>
        </row>
        <row r="2518">
          <cell r="D2518" t="str">
            <v>AS-2024S-TR</v>
          </cell>
          <cell r="E2518" t="str">
            <v>A450015X1C09663</v>
          </cell>
        </row>
        <row r="2519">
          <cell r="D2519" t="str">
            <v>CSE</v>
          </cell>
          <cell r="E2519" t="str">
            <v>CLA26FK35AD0078</v>
          </cell>
        </row>
        <row r="2520">
          <cell r="D2520" t="str">
            <v>PWS</v>
          </cell>
          <cell r="E2520" t="str">
            <v>P9202CL39AB0377</v>
          </cell>
        </row>
        <row r="2521">
          <cell r="D2521" t="str">
            <v>PWS</v>
          </cell>
          <cell r="E2521" t="str">
            <v>P9202CL39AB0361</v>
          </cell>
        </row>
        <row r="2522">
          <cell r="D2522" t="str">
            <v>MBD</v>
          </cell>
          <cell r="E2522" t="str">
            <v>WM21BS603107</v>
          </cell>
        </row>
        <row r="2523">
          <cell r="D2523" t="str">
            <v>BPN</v>
          </cell>
          <cell r="E2523" t="str">
            <v>HB217S019434</v>
          </cell>
        </row>
        <row r="2524">
          <cell r="D2524" t="str">
            <v>SMB-25G-100</v>
          </cell>
          <cell r="E2524" t="str">
            <v>S305964X2117586</v>
          </cell>
          <cell r="K2524" t="str">
            <v>RO/2021/005581/A</v>
          </cell>
        </row>
        <row r="2525">
          <cell r="D2525" t="str">
            <v>SBD</v>
          </cell>
          <cell r="E2525" t="str">
            <v>OD215S018843</v>
          </cell>
        </row>
        <row r="2526">
          <cell r="D2526" t="str">
            <v>MBM-CMM-FIO</v>
          </cell>
          <cell r="E2526" t="str">
            <v>S286942X1B31856</v>
          </cell>
        </row>
        <row r="2527">
          <cell r="D2527" t="str">
            <v>MBL</v>
          </cell>
          <cell r="E2527" t="str">
            <v>UD216S000279</v>
          </cell>
        </row>
        <row r="2528">
          <cell r="D2528" t="str">
            <v>SBM-25G-100</v>
          </cell>
          <cell r="E2528" t="str">
            <v>S305964X2117585</v>
          </cell>
        </row>
        <row r="2529">
          <cell r="D2529" t="str">
            <v>SBD</v>
          </cell>
          <cell r="E2529" t="str">
            <v>OD215S018845</v>
          </cell>
        </row>
        <row r="2530">
          <cell r="D2530" t="str">
            <v>SBE-820J-422</v>
          </cell>
          <cell r="E2530" t="str">
            <v>S310999X2117584</v>
          </cell>
        </row>
        <row r="2531">
          <cell r="D2531" t="str">
            <v>CSE</v>
          </cell>
          <cell r="E2531" t="str">
            <v>CB820AK41A50047</v>
          </cell>
        </row>
        <row r="2532">
          <cell r="D2532" t="str">
            <v>BPD</v>
          </cell>
          <cell r="E2532" t="str">
            <v>GB21AS004768</v>
          </cell>
        </row>
        <row r="2533">
          <cell r="D2533" t="str">
            <v>PWS</v>
          </cell>
          <cell r="E2533" t="str">
            <v>P2K21CL28PB1233</v>
          </cell>
        </row>
        <row r="2534">
          <cell r="D2534" t="str">
            <v>PWS</v>
          </cell>
          <cell r="E2534" t="str">
            <v>P2K21CL28PB1255</v>
          </cell>
        </row>
        <row r="2535">
          <cell r="D2535" t="str">
            <v>PWS</v>
          </cell>
          <cell r="E2535" t="str">
            <v>P2K21CL28PB1251</v>
          </cell>
        </row>
        <row r="2536">
          <cell r="D2536" t="str">
            <v>PWS</v>
          </cell>
          <cell r="E2536" t="str">
            <v>P2K21CL28PB1248</v>
          </cell>
        </row>
        <row r="2537">
          <cell r="D2537" t="str">
            <v>PWS</v>
          </cell>
          <cell r="E2537" t="str">
            <v>PDF61CL34JN1097</v>
          </cell>
        </row>
        <row r="2538">
          <cell r="D2538" t="str">
            <v>PWS</v>
          </cell>
          <cell r="E2538" t="str">
            <v>PDF61CL34JN1098</v>
          </cell>
        </row>
        <row r="2539">
          <cell r="D2539" t="str">
            <v>PWS</v>
          </cell>
          <cell r="E2539" t="str">
            <v>PDF61CL34JN1099</v>
          </cell>
        </row>
        <row r="2540">
          <cell r="D2540" t="str">
            <v>PWS</v>
          </cell>
          <cell r="E2540" t="str">
            <v>PDF61CL34JN1100</v>
          </cell>
        </row>
        <row r="2541">
          <cell r="D2541" t="str">
            <v>PWS</v>
          </cell>
          <cell r="E2541" t="str">
            <v>PDF05CJ42CT0272</v>
          </cell>
        </row>
        <row r="2542">
          <cell r="D2542" t="str">
            <v>PWS</v>
          </cell>
          <cell r="E2542" t="str">
            <v>PDF05CJ42CT0273</v>
          </cell>
        </row>
        <row r="2543">
          <cell r="D2543" t="str">
            <v>PWS</v>
          </cell>
          <cell r="E2543" t="str">
            <v>PDF05CJ42CT0274</v>
          </cell>
        </row>
        <row r="2544">
          <cell r="D2544" t="str">
            <v>SBI-420P-1T3N</v>
          </cell>
          <cell r="E2544" t="str">
            <v>S431717X0C05203</v>
          </cell>
        </row>
        <row r="2545">
          <cell r="D2545" t="str">
            <v>MCP</v>
          </cell>
          <cell r="E2545" t="str">
            <v>B4101JI49A01879</v>
          </cell>
        </row>
        <row r="2546">
          <cell r="D2546" t="str">
            <v>MBD</v>
          </cell>
          <cell r="E2546" t="str">
            <v>OD20AS022150</v>
          </cell>
        </row>
        <row r="2547">
          <cell r="D2547" t="str">
            <v>AOC</v>
          </cell>
          <cell r="E2547" t="str">
            <v>OA202S025216</v>
          </cell>
        </row>
        <row r="2548">
          <cell r="D2548" t="str">
            <v>AOC</v>
          </cell>
          <cell r="E2548" t="str">
            <v>OA207S036295</v>
          </cell>
        </row>
        <row r="2549">
          <cell r="D2549" t="str">
            <v>CPU</v>
          </cell>
          <cell r="E2549" t="str">
            <v>71VJ574500300</v>
          </cell>
        </row>
        <row r="2550">
          <cell r="D2550" t="str">
            <v>CPU</v>
          </cell>
          <cell r="E2550" t="str">
            <v>71VJ574500389</v>
          </cell>
        </row>
        <row r="2551">
          <cell r="D2551" t="str">
            <v>MEM</v>
          </cell>
          <cell r="E2551" t="str">
            <v>K17B00012019E4265C</v>
          </cell>
        </row>
        <row r="2552">
          <cell r="D2552" t="str">
            <v>MEM</v>
          </cell>
          <cell r="E2552" t="str">
            <v>K17B00012019E4274F</v>
          </cell>
        </row>
        <row r="2553">
          <cell r="D2553" t="str">
            <v>MEM</v>
          </cell>
          <cell r="E2553" t="str">
            <v>K17B00012019E4265F</v>
          </cell>
        </row>
        <row r="2554">
          <cell r="D2554" t="str">
            <v>MEM</v>
          </cell>
          <cell r="E2554" t="str">
            <v>K17B00012019E4274A</v>
          </cell>
        </row>
        <row r="2555">
          <cell r="D2555" t="str">
            <v>HDS</v>
          </cell>
          <cell r="E2555" t="str">
            <v>20372D8951DB</v>
          </cell>
        </row>
        <row r="2556">
          <cell r="D2556" t="str">
            <v>HDS</v>
          </cell>
          <cell r="E2556" t="str">
            <v>20372D8951E1</v>
          </cell>
        </row>
        <row r="2557">
          <cell r="D2557" t="str">
            <v>HDS</v>
          </cell>
          <cell r="E2557" t="str">
            <v>20372D895200</v>
          </cell>
        </row>
        <row r="2558">
          <cell r="D2558" t="str">
            <v>SBI-420P-1T3N</v>
          </cell>
          <cell r="E2558" t="str">
            <v>S431717X1117184</v>
          </cell>
        </row>
        <row r="2559">
          <cell r="D2559" t="str">
            <v>MCP</v>
          </cell>
          <cell r="E2559" t="str">
            <v>B4101JI33A00024</v>
          </cell>
        </row>
        <row r="2560">
          <cell r="D2560" t="str">
            <v>MBD</v>
          </cell>
          <cell r="E2560" t="str">
            <v>OD20CS020288</v>
          </cell>
        </row>
        <row r="2561">
          <cell r="D2561" t="str">
            <v>AOC</v>
          </cell>
          <cell r="E2561" t="str">
            <v>OA202S025007</v>
          </cell>
        </row>
        <row r="2562">
          <cell r="D2562" t="str">
            <v>AOC</v>
          </cell>
          <cell r="E2562" t="str">
            <v>OA207S035983</v>
          </cell>
        </row>
        <row r="2563">
          <cell r="D2563" t="str">
            <v>CPU</v>
          </cell>
          <cell r="E2563" t="str">
            <v>71VJ574500511</v>
          </cell>
        </row>
        <row r="2564">
          <cell r="D2564" t="str">
            <v>CPU</v>
          </cell>
          <cell r="E2564" t="str">
            <v>71VJ574500840</v>
          </cell>
        </row>
        <row r="2565">
          <cell r="D2565" t="str">
            <v>MEM</v>
          </cell>
          <cell r="E2565" t="str">
            <v>Y02J0S0149245462BE</v>
          </cell>
        </row>
        <row r="2566">
          <cell r="D2566" t="str">
            <v>MEM</v>
          </cell>
          <cell r="E2566" t="str">
            <v>Y02J0S014924546310</v>
          </cell>
        </row>
        <row r="2567">
          <cell r="D2567" t="str">
            <v>MEM</v>
          </cell>
          <cell r="E2567" t="str">
            <v>K17B00012019E4274B</v>
          </cell>
        </row>
        <row r="2568">
          <cell r="D2568" t="str">
            <v>MEM</v>
          </cell>
          <cell r="E2568" t="str">
            <v>Y02J0S01492454633B</v>
          </cell>
        </row>
        <row r="2569">
          <cell r="D2569" t="str">
            <v>HDS</v>
          </cell>
          <cell r="E2569" t="str">
            <v>20372D8951FD</v>
          </cell>
        </row>
        <row r="2570">
          <cell r="D2570" t="str">
            <v>HDS</v>
          </cell>
          <cell r="E2570" t="str">
            <v>20372D895333</v>
          </cell>
        </row>
        <row r="2571">
          <cell r="D2571" t="str">
            <v>HDS</v>
          </cell>
          <cell r="E2571" t="str">
            <v>20372D895755</v>
          </cell>
        </row>
        <row r="2572">
          <cell r="D2572" t="str">
            <v>HDS-2T1000-ST1000NX0313</v>
          </cell>
          <cell r="E2572" t="str">
            <v>W473GL8X</v>
          </cell>
        </row>
        <row r="2573">
          <cell r="D2573" t="str">
            <v>CSE-826BAC4-R920WB</v>
          </cell>
          <cell r="E2573" t="str">
            <v>C8260FK42P90047</v>
          </cell>
        </row>
        <row r="2574">
          <cell r="D2574" t="str">
            <v>CSE-826BAC4-R920WB</v>
          </cell>
          <cell r="E2574" t="str">
            <v>C8260FK42P90046</v>
          </cell>
        </row>
        <row r="2575">
          <cell r="D2575" t="str">
            <v>CSE-825TQ-563LPB</v>
          </cell>
          <cell r="E2575" t="str">
            <v>C8250FK31P20010</v>
          </cell>
        </row>
        <row r="2576">
          <cell r="D2576" t="str">
            <v>CSE-825TQ-563LPB</v>
          </cell>
          <cell r="E2576" t="str">
            <v>C8250FK24P20199</v>
          </cell>
        </row>
        <row r="2577">
          <cell r="D2577" t="str">
            <v>CSE-825TQ-563LPB</v>
          </cell>
          <cell r="E2577" t="str">
            <v>C8250FK24P20200</v>
          </cell>
        </row>
        <row r="2578">
          <cell r="D2578" t="str">
            <v>CSE-825TQ-563LPB</v>
          </cell>
          <cell r="E2578" t="str">
            <v>C8250FK24P20198</v>
          </cell>
        </row>
        <row r="2579">
          <cell r="D2579" t="str">
            <v>BX80684E2234</v>
          </cell>
          <cell r="E2579" t="str">
            <v>U1XD901000818</v>
          </cell>
        </row>
        <row r="2580">
          <cell r="D2580" t="str">
            <v>BX80684E2234</v>
          </cell>
          <cell r="E2580" t="str">
            <v>U1VC753101731</v>
          </cell>
        </row>
        <row r="2581">
          <cell r="D2581" t="str">
            <v>BX80684E2234</v>
          </cell>
          <cell r="E2581" t="str">
            <v>U1XD901000041</v>
          </cell>
        </row>
        <row r="2582">
          <cell r="D2582" t="str">
            <v>MZ7L3480HCHQ-00A07</v>
          </cell>
          <cell r="E2582" t="str">
            <v>S664NE0R906380</v>
          </cell>
        </row>
        <row r="2583">
          <cell r="D2583" t="str">
            <v>MZ7L3480HCHQ-00A07</v>
          </cell>
          <cell r="E2583" t="str">
            <v>S664NE0R906364</v>
          </cell>
        </row>
        <row r="2584">
          <cell r="D2584" t="str">
            <v>MZ7L3480HCHQ-00A07</v>
          </cell>
          <cell r="E2584" t="str">
            <v>S664NE0R906361</v>
          </cell>
        </row>
        <row r="2585">
          <cell r="D2585" t="str">
            <v>MZ7L3480HCHQ-00A07</v>
          </cell>
          <cell r="E2585" t="str">
            <v>S664NE0R906362</v>
          </cell>
        </row>
        <row r="2586">
          <cell r="D2586" t="str">
            <v>MZ7L3480HCHQ-00A07</v>
          </cell>
          <cell r="E2586" t="str">
            <v>S664NE0R906382</v>
          </cell>
        </row>
        <row r="2587">
          <cell r="D2587" t="str">
            <v>MZ7L3480HCHQ-00A07</v>
          </cell>
          <cell r="E2587" t="str">
            <v>S664NE0R906365</v>
          </cell>
        </row>
        <row r="2588">
          <cell r="D2588" t="str">
            <v>MZ7L3480HCHQ-00A07</v>
          </cell>
          <cell r="E2588" t="str">
            <v>S664NE0R906434</v>
          </cell>
        </row>
        <row r="2589">
          <cell r="D2589" t="str">
            <v>MZ7L3480HCHQ-00A07</v>
          </cell>
          <cell r="E2589" t="str">
            <v>S664NE0R906431</v>
          </cell>
        </row>
        <row r="2590">
          <cell r="D2590" t="str">
            <v>MZ7L3480HCHQ-00A07</v>
          </cell>
          <cell r="E2590" t="str">
            <v>S664NE0R906430</v>
          </cell>
        </row>
        <row r="2591">
          <cell r="D2591" t="str">
            <v>MZ7L3480HCHQ-00A07</v>
          </cell>
          <cell r="E2591" t="str">
            <v>S664NE0R906379</v>
          </cell>
        </row>
        <row r="2592">
          <cell r="D2592" t="str">
            <v>MZ7L3960HCJR-00A07</v>
          </cell>
          <cell r="E2592" t="str">
            <v>S662NE0R901309</v>
          </cell>
        </row>
        <row r="2593">
          <cell r="D2593" t="str">
            <v>MZ7L3960HCJR-00A07</v>
          </cell>
          <cell r="E2593" t="str">
            <v>S662NE0RC09878</v>
          </cell>
        </row>
        <row r="2594">
          <cell r="D2594" t="str">
            <v>MZ7L3960HCJR-00A07</v>
          </cell>
          <cell r="E2594" t="str">
            <v>S662NE0RC09874</v>
          </cell>
        </row>
        <row r="2595">
          <cell r="D2595" t="str">
            <v>MZ7L3960HCJR-00A07</v>
          </cell>
          <cell r="E2595" t="str">
            <v>S662NE0RC09877</v>
          </cell>
        </row>
        <row r="2596">
          <cell r="D2596" t="str">
            <v>MZ7L3480HCHQ-00A07</v>
          </cell>
          <cell r="E2596" t="str">
            <v>S664NE0RC02556</v>
          </cell>
        </row>
        <row r="2597">
          <cell r="D2597" t="str">
            <v>MZ7L3480HCHQ-00A07</v>
          </cell>
          <cell r="E2597" t="str">
            <v>S664NE0RC19611</v>
          </cell>
        </row>
        <row r="2598">
          <cell r="D2598" t="str">
            <v>MZ7L3480HCHQ-00A07</v>
          </cell>
          <cell r="E2598" t="str">
            <v>S664NE0RC02559</v>
          </cell>
        </row>
        <row r="2599">
          <cell r="D2599" t="str">
            <v>MegaRaid 9560-16I      05-50077-00</v>
          </cell>
          <cell r="E2599" t="str">
            <v>SKB3897218</v>
          </cell>
        </row>
        <row r="2600">
          <cell r="D2600" t="str">
            <v>MEGARAID 9580-8I8E  05-50076-00</v>
          </cell>
          <cell r="E2600" t="str">
            <v>SPB2809982</v>
          </cell>
        </row>
        <row r="2601">
          <cell r="D2601" t="str">
            <v>0F38460</v>
          </cell>
          <cell r="E2601" t="str">
            <v>3GG7ZHTK</v>
          </cell>
        </row>
        <row r="2602">
          <cell r="D2602" t="str">
            <v>0F38460</v>
          </cell>
          <cell r="E2602" t="str">
            <v>3GG0KT7F</v>
          </cell>
        </row>
        <row r="2603">
          <cell r="D2603" t="str">
            <v>0F38460</v>
          </cell>
          <cell r="E2603" t="str">
            <v>2CJSV9JN</v>
          </cell>
        </row>
        <row r="2604">
          <cell r="D2604" t="str">
            <v>0F38460</v>
          </cell>
          <cell r="E2604" t="str">
            <v>2CJPTNUL</v>
          </cell>
        </row>
        <row r="2605">
          <cell r="D2605" t="str">
            <v>M393A4K40DB3-CWE</v>
          </cell>
          <cell r="E2605" t="str">
            <v>SNK746</v>
          </cell>
        </row>
        <row r="2606">
          <cell r="D2606" t="str">
            <v>M393A4K40DB3-CWE</v>
          </cell>
          <cell r="E2606" t="str">
            <v>SNK747</v>
          </cell>
        </row>
        <row r="2607">
          <cell r="D2607" t="str">
            <v>M393A4K40DB3-CWE</v>
          </cell>
          <cell r="E2607" t="str">
            <v>SNK748</v>
          </cell>
        </row>
        <row r="2608">
          <cell r="D2608" t="str">
            <v>M393A4K40DB3-CWE</v>
          </cell>
          <cell r="E2608" t="str">
            <v>SNK749</v>
          </cell>
        </row>
        <row r="2609">
          <cell r="D2609" t="str">
            <v>M393A4K40DB3-CWE</v>
          </cell>
          <cell r="E2609" t="str">
            <v>SNK750</v>
          </cell>
        </row>
        <row r="2610">
          <cell r="D2610" t="str">
            <v>M393A4K40DB3-CWE</v>
          </cell>
          <cell r="E2610" t="str">
            <v>SNK751</v>
          </cell>
        </row>
        <row r="2611">
          <cell r="D2611" t="str">
            <v>M393A4K40DB3-CWE</v>
          </cell>
          <cell r="E2611" t="str">
            <v>SNK752</v>
          </cell>
        </row>
        <row r="2612">
          <cell r="D2612" t="str">
            <v>M393A4K40DB3-CWE</v>
          </cell>
          <cell r="E2612" t="str">
            <v>SNK753</v>
          </cell>
        </row>
        <row r="2613">
          <cell r="D2613" t="str">
            <v>M393A4K40DB3-CWE</v>
          </cell>
          <cell r="E2613" t="str">
            <v>SNK754</v>
          </cell>
        </row>
        <row r="2614">
          <cell r="D2614" t="str">
            <v>M393A4K40DB3-CWE</v>
          </cell>
          <cell r="E2614" t="str">
            <v>SNK755</v>
          </cell>
        </row>
        <row r="2615">
          <cell r="D2615" t="str">
            <v>M393A4K40DB3-CWE</v>
          </cell>
          <cell r="E2615" t="str">
            <v>SNK756</v>
          </cell>
        </row>
        <row r="2616">
          <cell r="D2616" t="str">
            <v>M393A4K40DB3-CWE</v>
          </cell>
          <cell r="E2616" t="str">
            <v>SNK757</v>
          </cell>
        </row>
        <row r="2617">
          <cell r="D2617" t="str">
            <v>MegaRaid SAS 9361-8i  05-25420-17</v>
          </cell>
          <cell r="E2617" t="str">
            <v>SKB0473198</v>
          </cell>
        </row>
        <row r="2618">
          <cell r="D2618" t="str">
            <v>E810XXVDA2OCPV3</v>
          </cell>
          <cell r="E2618" t="str">
            <v>B49691DE0F940045221ADK71121004</v>
          </cell>
        </row>
        <row r="2619">
          <cell r="D2619" t="str">
            <v>E810XXVDA2OCPV3</v>
          </cell>
          <cell r="E2619" t="str">
            <v>B49691DE0F640045221ADK71121004</v>
          </cell>
        </row>
        <row r="2620">
          <cell r="D2620" t="str">
            <v>E810XXVDA2OCPV3</v>
          </cell>
          <cell r="E2620" t="str">
            <v>B49691DE14740045221ADK71121004</v>
          </cell>
        </row>
        <row r="2621">
          <cell r="D2621" t="str">
            <v>ROMED8-2T</v>
          </cell>
          <cell r="E2621" t="str">
            <v>ECS0XW000050</v>
          </cell>
        </row>
        <row r="2622">
          <cell r="D2622" t="str">
            <v>0F31284</v>
          </cell>
          <cell r="E2622" t="str">
            <v>9LJ6DAZG</v>
          </cell>
        </row>
        <row r="2623">
          <cell r="D2623" t="str">
            <v>AMD Ryzen 9 5900X</v>
          </cell>
          <cell r="E2623" t="str">
            <v>9KG9713W10014</v>
          </cell>
          <cell r="K2623" t="str">
            <v>RO/2021/005541/A #10/12</v>
          </cell>
        </row>
        <row r="2624">
          <cell r="D2624" t="str">
            <v>AMD Ryzen 9 5900X</v>
          </cell>
          <cell r="E2624" t="str">
            <v>9KG9201W10121</v>
          </cell>
          <cell r="K2624" t="str">
            <v>RO/2021/005541/A #9/12</v>
          </cell>
        </row>
        <row r="2625">
          <cell r="D2625" t="str">
            <v>AMD Ryzen 9 5900X</v>
          </cell>
          <cell r="E2625" t="str">
            <v>9KG9713W10003</v>
          </cell>
          <cell r="K2625" t="str">
            <v>RO/2021/005541/A #8/12</v>
          </cell>
        </row>
        <row r="2626">
          <cell r="D2626" t="str">
            <v>AMD Ryzen 9 5900X</v>
          </cell>
          <cell r="E2626" t="str">
            <v>9KG9201W10111</v>
          </cell>
          <cell r="K2626" t="str">
            <v>RO/2021/005541/A #7/12</v>
          </cell>
        </row>
        <row r="2627">
          <cell r="D2627" t="str">
            <v>AMD Ryzen 9 5900X</v>
          </cell>
          <cell r="E2627" t="str">
            <v>9KG9713W10007</v>
          </cell>
          <cell r="K2627" t="str">
            <v>RO/2021/005541/A #6/12</v>
          </cell>
        </row>
        <row r="2628">
          <cell r="D2628" t="str">
            <v>AMD Ryzen 9 5900X</v>
          </cell>
          <cell r="E2628" t="str">
            <v>9KG9201W10114</v>
          </cell>
          <cell r="K2628" t="str">
            <v>RO/2021/005541/A #5/12</v>
          </cell>
        </row>
        <row r="2629">
          <cell r="D2629" t="str">
            <v>AMD Ryzen 9 5900X</v>
          </cell>
          <cell r="E2629" t="str">
            <v>9KG9713W10018</v>
          </cell>
          <cell r="K2629" t="str">
            <v>RO/2021/005541/A #4/12</v>
          </cell>
        </row>
        <row r="2630">
          <cell r="D2630" t="str">
            <v>AMD Ryzen 9 5900X</v>
          </cell>
          <cell r="E2630" t="str">
            <v>9KG9713W10010</v>
          </cell>
          <cell r="K2630" t="str">
            <v>RO/2021/005541/A #3/12</v>
          </cell>
        </row>
        <row r="2631">
          <cell r="D2631" t="str">
            <v>AMD Ryzen 9 5900X</v>
          </cell>
          <cell r="E2631" t="str">
            <v>9KG9861W10181</v>
          </cell>
          <cell r="K2631" t="str">
            <v>RO/2021/005541/A #2/12</v>
          </cell>
        </row>
        <row r="2632">
          <cell r="D2632" t="str">
            <v>AMD Ryzen 9 5900X</v>
          </cell>
          <cell r="E2632" t="str">
            <v>9KH0034W10108</v>
          </cell>
          <cell r="K2632" t="str">
            <v>RO/2021/005541/A #1/12</v>
          </cell>
        </row>
        <row r="2633">
          <cell r="D2633" t="str">
            <v>0F31284</v>
          </cell>
          <cell r="E2633" t="str">
            <v>9LHMNLZG</v>
          </cell>
        </row>
        <row r="2634">
          <cell r="D2634" t="str">
            <v>0F31284</v>
          </cell>
          <cell r="E2634" t="str">
            <v>9LHMYMDG</v>
          </cell>
        </row>
        <row r="2635">
          <cell r="D2635" t="str">
            <v>0F31284</v>
          </cell>
          <cell r="E2635" t="str">
            <v>9LHN6BMG</v>
          </cell>
        </row>
        <row r="2636">
          <cell r="D2636" t="str">
            <v>0F31284</v>
          </cell>
          <cell r="E2636" t="str">
            <v>9LHM7YKG</v>
          </cell>
        </row>
        <row r="2637">
          <cell r="D2637" t="str">
            <v>0F31284</v>
          </cell>
          <cell r="E2637" t="str">
            <v>9LHMW24G</v>
          </cell>
        </row>
        <row r="2638">
          <cell r="D2638" t="str">
            <v>0F31284</v>
          </cell>
          <cell r="E2638" t="str">
            <v>9LHN3ASG</v>
          </cell>
        </row>
        <row r="2639">
          <cell r="D2639" t="str">
            <v>0F31284</v>
          </cell>
          <cell r="E2639" t="str">
            <v>9LHNBH6G</v>
          </cell>
        </row>
        <row r="2640">
          <cell r="D2640" t="str">
            <v>0F31284</v>
          </cell>
          <cell r="E2640" t="str">
            <v>9LHMNPLG</v>
          </cell>
        </row>
        <row r="2641">
          <cell r="D2641" t="str">
            <v>0F31284</v>
          </cell>
          <cell r="E2641" t="str">
            <v>9LHMZ5SG</v>
          </cell>
        </row>
        <row r="2642">
          <cell r="D2642" t="str">
            <v>0F31284</v>
          </cell>
          <cell r="E2642" t="str">
            <v>9LHN8KEG</v>
          </cell>
        </row>
        <row r="2643">
          <cell r="D2643" t="str">
            <v>0F31284</v>
          </cell>
          <cell r="E2643" t="str">
            <v>9LHMLSTG</v>
          </cell>
        </row>
        <row r="2644">
          <cell r="D2644" t="str">
            <v>0F31284</v>
          </cell>
          <cell r="E2644" t="str">
            <v>9LHMW83G</v>
          </cell>
        </row>
        <row r="2645">
          <cell r="D2645" t="str">
            <v>0F31284</v>
          </cell>
          <cell r="E2645" t="str">
            <v>9LHN50UG</v>
          </cell>
        </row>
        <row r="2646">
          <cell r="D2646" t="str">
            <v>0F31284</v>
          </cell>
          <cell r="E2646" t="str">
            <v>9LHNDLGG</v>
          </cell>
        </row>
        <row r="2647">
          <cell r="D2647" t="str">
            <v>0F31284</v>
          </cell>
          <cell r="E2647" t="str">
            <v>9LHMR1DG</v>
          </cell>
        </row>
        <row r="2648">
          <cell r="D2648" t="str">
            <v>0F31284</v>
          </cell>
          <cell r="E2648" t="str">
            <v>9LHN0N3G</v>
          </cell>
        </row>
        <row r="2649">
          <cell r="D2649" t="str">
            <v>0F31284</v>
          </cell>
          <cell r="E2649" t="str">
            <v>9LHN8KSG</v>
          </cell>
        </row>
        <row r="2650">
          <cell r="D2650" t="str">
            <v>0F31284</v>
          </cell>
          <cell r="E2650" t="str">
            <v>9LHMY8RG</v>
          </cell>
        </row>
        <row r="2651">
          <cell r="D2651" t="str">
            <v>0F31284</v>
          </cell>
          <cell r="E2651" t="str">
            <v>9LHQ5AUG</v>
          </cell>
        </row>
        <row r="2652">
          <cell r="D2652" t="str">
            <v>0F31284</v>
          </cell>
          <cell r="E2652" t="str">
            <v>9LHNDNTG</v>
          </cell>
        </row>
        <row r="2653">
          <cell r="D2653" t="str">
            <v>0F31284</v>
          </cell>
          <cell r="E2653" t="str">
            <v>9LJ6AAEG</v>
          </cell>
        </row>
        <row r="2654">
          <cell r="D2654" t="str">
            <v>0F31284</v>
          </cell>
          <cell r="E2654" t="str">
            <v>9LHMG5SG</v>
          </cell>
        </row>
        <row r="2655">
          <cell r="D2655" t="str">
            <v>0F31284</v>
          </cell>
          <cell r="E2655" t="str">
            <v>9LHM80WG</v>
          </cell>
        </row>
        <row r="2656">
          <cell r="D2656" t="str">
            <v>0F31284</v>
          </cell>
          <cell r="E2656" t="str">
            <v>9LJ65TEG</v>
          </cell>
        </row>
        <row r="2657">
          <cell r="D2657" t="str">
            <v>0F31284</v>
          </cell>
          <cell r="E2657" t="str">
            <v>9LHN7U5G</v>
          </cell>
        </row>
        <row r="2658">
          <cell r="D2658" t="str">
            <v>0F31284</v>
          </cell>
          <cell r="E2658" t="str">
            <v>9LHN69RG</v>
          </cell>
        </row>
        <row r="2659">
          <cell r="D2659" t="str">
            <v>0F31284</v>
          </cell>
          <cell r="E2659" t="str">
            <v>9LJ6HLHG</v>
          </cell>
        </row>
        <row r="2660">
          <cell r="D2660" t="str">
            <v>0F31284</v>
          </cell>
          <cell r="E2660" t="str">
            <v>9LJ64URG</v>
          </cell>
        </row>
        <row r="2661">
          <cell r="D2661" t="str">
            <v>0F31284</v>
          </cell>
          <cell r="E2661" t="str">
            <v>9LHMNMGG</v>
          </cell>
        </row>
        <row r="2662">
          <cell r="D2662" t="str">
            <v>0F31284</v>
          </cell>
          <cell r="E2662" t="str">
            <v>9LJ6ALWG</v>
          </cell>
        </row>
        <row r="2663">
          <cell r="D2663" t="str">
            <v>0F31284</v>
          </cell>
          <cell r="E2663" t="str">
            <v>9LHMNLKG</v>
          </cell>
        </row>
        <row r="2664">
          <cell r="D2664" t="str">
            <v>0F31284</v>
          </cell>
          <cell r="E2664" t="str">
            <v>9LHMV87G</v>
          </cell>
        </row>
        <row r="2665">
          <cell r="D2665" t="str">
            <v>0F31284</v>
          </cell>
          <cell r="E2665" t="str">
            <v>9LHNEWMG</v>
          </cell>
        </row>
        <row r="2666">
          <cell r="D2666" t="str">
            <v>0F31284</v>
          </cell>
          <cell r="E2666" t="str">
            <v>9LHN7HJG</v>
          </cell>
        </row>
        <row r="2667">
          <cell r="D2667" t="str">
            <v>0F31284</v>
          </cell>
          <cell r="E2667" t="str">
            <v>9LHN9G6G</v>
          </cell>
        </row>
        <row r="2668">
          <cell r="D2668" t="str">
            <v>0F31284</v>
          </cell>
          <cell r="E2668" t="str">
            <v>9LHLJ2ZG</v>
          </cell>
        </row>
        <row r="2669">
          <cell r="D2669" t="str">
            <v>0F31284</v>
          </cell>
          <cell r="E2669" t="str">
            <v>9LHNL3GG</v>
          </cell>
        </row>
        <row r="2670">
          <cell r="D2670" t="str">
            <v>0F31284</v>
          </cell>
          <cell r="E2670" t="str">
            <v>9LHMG9VG</v>
          </cell>
        </row>
        <row r="2671">
          <cell r="D2671" t="str">
            <v>0F31284</v>
          </cell>
          <cell r="E2671" t="str">
            <v>9LHNBDLG</v>
          </cell>
        </row>
        <row r="2672">
          <cell r="D2672" t="str">
            <v>0F31284</v>
          </cell>
          <cell r="E2672" t="str">
            <v>9LHN6ASG</v>
          </cell>
        </row>
        <row r="2673">
          <cell r="D2673" t="str">
            <v>0F31284</v>
          </cell>
          <cell r="E2673" t="str">
            <v>9LJ6302G</v>
          </cell>
        </row>
        <row r="2674">
          <cell r="D2674" t="str">
            <v>0F31284</v>
          </cell>
          <cell r="E2674" t="str">
            <v>9LJ64M4G</v>
          </cell>
        </row>
        <row r="2675">
          <cell r="D2675" t="str">
            <v>0F31284</v>
          </cell>
          <cell r="E2675" t="str">
            <v>9LJ63J7G</v>
          </cell>
        </row>
        <row r="2676">
          <cell r="D2676" t="str">
            <v>0F31284</v>
          </cell>
          <cell r="E2676" t="str">
            <v>9LJ651YG</v>
          </cell>
        </row>
        <row r="2677">
          <cell r="D2677" t="str">
            <v>0F31284</v>
          </cell>
          <cell r="E2677" t="str">
            <v>9LJ5550G</v>
          </cell>
        </row>
        <row r="2678">
          <cell r="D2678" t="str">
            <v>0F31284</v>
          </cell>
          <cell r="E2678" t="str">
            <v>9LJ64BAG</v>
          </cell>
        </row>
        <row r="2679">
          <cell r="D2679" t="str">
            <v>0F31284</v>
          </cell>
          <cell r="E2679" t="str">
            <v>9LJ6AJZG</v>
          </cell>
        </row>
        <row r="2680">
          <cell r="D2680" t="str">
            <v>0F31284</v>
          </cell>
          <cell r="E2680" t="str">
            <v>9LJ62Y0G</v>
          </cell>
        </row>
        <row r="2681">
          <cell r="D2681" t="str">
            <v>0F31284</v>
          </cell>
          <cell r="E2681" t="str">
            <v>9LJ4NN9G</v>
          </cell>
        </row>
        <row r="2682">
          <cell r="D2682" t="str">
            <v>0F31284</v>
          </cell>
          <cell r="E2682" t="str">
            <v>9LJ65TRG</v>
          </cell>
        </row>
        <row r="2683">
          <cell r="D2683" t="str">
            <v>MegaRaid  9361-8i   05-25420-08</v>
          </cell>
          <cell r="E2683" t="str">
            <v>SKB1169096</v>
          </cell>
        </row>
        <row r="2684">
          <cell r="D2684" t="str">
            <v>MegaRaid  9361-8i   05-25420-08</v>
          </cell>
          <cell r="E2684" t="str">
            <v>SKB0574072</v>
          </cell>
        </row>
        <row r="2685">
          <cell r="D2685" t="str">
            <v>MegaRaid  9361-8i   05-25420-08</v>
          </cell>
          <cell r="E2685" t="str">
            <v>SKB1965731</v>
          </cell>
        </row>
        <row r="2686">
          <cell r="D2686" t="str">
            <v>MegaRaid  9361-8i   05-25420-08</v>
          </cell>
          <cell r="E2686" t="str">
            <v>SKB2082654</v>
          </cell>
        </row>
        <row r="2687">
          <cell r="D2687" t="str">
            <v>MegaRaid  9361-8i   05-25420-08</v>
          </cell>
          <cell r="E2687" t="str">
            <v>SKB2070158</v>
          </cell>
        </row>
        <row r="2688">
          <cell r="D2688" t="str">
            <v>MegaRaid  9361-8i   05-25420-08</v>
          </cell>
          <cell r="E2688" t="str">
            <v>SKA4966537</v>
          </cell>
        </row>
        <row r="2689">
          <cell r="D2689" t="str">
            <v>MegaRaid  9361-8i   05-25420-08</v>
          </cell>
          <cell r="E2689" t="str">
            <v>SKB1965643</v>
          </cell>
        </row>
        <row r="2690">
          <cell r="D2690" t="str">
            <v>MegaRaid  9361-8i   05-25420-08</v>
          </cell>
          <cell r="E2690" t="str">
            <v>SKB1186268</v>
          </cell>
        </row>
        <row r="2691">
          <cell r="D2691" t="str">
            <v>MegaRaid  9361-8i   05-25420-08</v>
          </cell>
          <cell r="E2691" t="str">
            <v>SKB1368621</v>
          </cell>
        </row>
        <row r="2692">
          <cell r="D2692" t="str">
            <v>MegaRaid  9361-8i   05-25420-08</v>
          </cell>
          <cell r="E2692" t="str">
            <v>SKB1374258</v>
          </cell>
        </row>
        <row r="2693">
          <cell r="D2693" t="str">
            <v>MegaRaid  9361-8i   05-25420-08</v>
          </cell>
          <cell r="E2693" t="str">
            <v>SKB1368535</v>
          </cell>
        </row>
        <row r="2694">
          <cell r="D2694" t="str">
            <v>MegaRaid  9361-8i   05-25420-08</v>
          </cell>
          <cell r="E2694" t="str">
            <v>SKB1079495</v>
          </cell>
        </row>
        <row r="2695">
          <cell r="D2695" t="str">
            <v>MegaRaid  9361-8i   05-25420-08</v>
          </cell>
          <cell r="E2695" t="str">
            <v>SKB1169210</v>
          </cell>
        </row>
        <row r="2696">
          <cell r="D2696" t="str">
            <v>MegaRaid  9361-8i   05-25420-08</v>
          </cell>
          <cell r="E2696" t="str">
            <v>SKB1185946</v>
          </cell>
        </row>
        <row r="2697">
          <cell r="D2697" t="str">
            <v>MegaRaid  9361-8i   05-25420-08</v>
          </cell>
          <cell r="E2697" t="str">
            <v>SKB1368639</v>
          </cell>
        </row>
        <row r="2698">
          <cell r="D2698" t="str">
            <v>MegaRaid  9361-8i   05-25420-08</v>
          </cell>
          <cell r="E2698" t="str">
            <v>SKB1185901</v>
          </cell>
        </row>
        <row r="2699">
          <cell r="D2699" t="str">
            <v>MegaRaid  9361-8i   05-25420-08</v>
          </cell>
          <cell r="E2699" t="str">
            <v>SKB0973140</v>
          </cell>
        </row>
        <row r="2700">
          <cell r="D2700" t="str">
            <v>MegaRaid  9361-8i   05-25420-08</v>
          </cell>
          <cell r="E2700" t="str">
            <v>SKB0470666</v>
          </cell>
        </row>
        <row r="2701">
          <cell r="D2701" t="str">
            <v>MegaRaid  9361-8i   05-25420-08</v>
          </cell>
          <cell r="E2701" t="str">
            <v>SKB0577260</v>
          </cell>
        </row>
        <row r="2702">
          <cell r="D2702" t="str">
            <v>MegaRaid  9361-8i   05-25420-08</v>
          </cell>
          <cell r="E2702" t="str">
            <v>SKB1965194</v>
          </cell>
        </row>
        <row r="2703">
          <cell r="D2703" t="str">
            <v>MegaRaid  9361-8i   05-25420-08</v>
          </cell>
          <cell r="E2703" t="str">
            <v>SKB1169110</v>
          </cell>
        </row>
        <row r="2704">
          <cell r="D2704" t="str">
            <v>MegaRaid  9361-8i   05-25420-08</v>
          </cell>
          <cell r="E2704" t="str">
            <v>SKB0577754</v>
          </cell>
        </row>
        <row r="2705">
          <cell r="D2705" t="str">
            <v>MegaRaid  9361-8i   05-25420-08</v>
          </cell>
          <cell r="E2705" t="str">
            <v>SKA4966489</v>
          </cell>
        </row>
        <row r="2706">
          <cell r="D2706" t="str">
            <v>MegaRaid  9361-8i   05-25420-08</v>
          </cell>
          <cell r="E2706" t="str">
            <v>SKB0973160</v>
          </cell>
        </row>
        <row r="2707">
          <cell r="D2707" t="str">
            <v>MegaRaid  9361-8i   05-25420-08</v>
          </cell>
          <cell r="E2707" t="str">
            <v>SKB0973215</v>
          </cell>
        </row>
        <row r="2708">
          <cell r="D2708" t="str">
            <v>MegaRaid  9361-8i   05-25420-08</v>
          </cell>
          <cell r="E2708" t="str">
            <v>SKB0973024</v>
          </cell>
        </row>
        <row r="2709">
          <cell r="D2709" t="str">
            <v>MegaRaid  9361-8i   05-25420-08</v>
          </cell>
          <cell r="E2709" t="str">
            <v>SKB0973769</v>
          </cell>
        </row>
        <row r="2710">
          <cell r="D2710" t="str">
            <v>MegaRaid  9361-8i   05-25420-08</v>
          </cell>
          <cell r="E2710" t="str">
            <v>SKB0691078</v>
          </cell>
        </row>
        <row r="2711">
          <cell r="D2711" t="str">
            <v>MegaRaid  9361-8i   05-25420-08</v>
          </cell>
          <cell r="E2711" t="str">
            <v>SKB0973664</v>
          </cell>
        </row>
        <row r="2712">
          <cell r="D2712" t="str">
            <v>MegaRaid  9361-8i   05-25420-08</v>
          </cell>
          <cell r="E2712" t="str">
            <v>SKB0691089</v>
          </cell>
        </row>
        <row r="2713">
          <cell r="D2713" t="str">
            <v>MegaRaid  9361-8i   05-25420-08</v>
          </cell>
          <cell r="E2713" t="str">
            <v>SKB0691177</v>
          </cell>
        </row>
        <row r="2714">
          <cell r="D2714" t="str">
            <v>MegaRaid  9361-8i   05-25420-08</v>
          </cell>
          <cell r="E2714" t="str">
            <v>SKB0691122</v>
          </cell>
        </row>
        <row r="2715">
          <cell r="D2715" t="str">
            <v>MegaRaid  9361-8i   05-25420-08</v>
          </cell>
          <cell r="E2715" t="str">
            <v>SKB0691276</v>
          </cell>
        </row>
        <row r="2716">
          <cell r="D2716" t="str">
            <v>MegaRaid  9361-8i   05-25420-08</v>
          </cell>
          <cell r="E2716" t="str">
            <v>SKB0691199</v>
          </cell>
        </row>
        <row r="2717">
          <cell r="D2717" t="str">
            <v>MegaRaid  9361-8i   05-25420-08</v>
          </cell>
          <cell r="E2717" t="str">
            <v>SKB0691034</v>
          </cell>
        </row>
        <row r="2718">
          <cell r="D2718" t="str">
            <v>MegaRaid  9361-8i   05-25420-08</v>
          </cell>
          <cell r="E2718" t="str">
            <v>SKB0691331</v>
          </cell>
        </row>
        <row r="2719">
          <cell r="D2719" t="str">
            <v>MegaRaid  9361-8i   05-25420-08</v>
          </cell>
          <cell r="E2719" t="str">
            <v>SKB0691298</v>
          </cell>
        </row>
        <row r="2720">
          <cell r="D2720" t="str">
            <v>MegaRaid  9361-8i   05-25420-08</v>
          </cell>
          <cell r="E2720" t="str">
            <v>SKB0691023</v>
          </cell>
        </row>
        <row r="2721">
          <cell r="D2721" t="str">
            <v>MegaRaid  9361-8i   05-25420-08</v>
          </cell>
          <cell r="E2721" t="str">
            <v>SKB0691353</v>
          </cell>
        </row>
        <row r="2722">
          <cell r="D2722" t="str">
            <v>MegaRaid  9361-8i   05-25420-08</v>
          </cell>
          <cell r="E2722" t="str">
            <v>SKB0691254</v>
          </cell>
        </row>
        <row r="2723">
          <cell r="D2723" t="str">
            <v>MegaRaid  9361-8i   05-25420-08</v>
          </cell>
          <cell r="E2723" t="str">
            <v>SKB0691210</v>
          </cell>
        </row>
        <row r="2724">
          <cell r="D2724" t="str">
            <v>MegaRaid  9361-8i   05-25420-08</v>
          </cell>
          <cell r="E2724" t="str">
            <v>SKB0691243</v>
          </cell>
        </row>
        <row r="2725">
          <cell r="D2725" t="str">
            <v>MegaRaid  9361-8i   05-25420-08</v>
          </cell>
          <cell r="E2725" t="str">
            <v>SKB0691309</v>
          </cell>
        </row>
        <row r="2726">
          <cell r="D2726" t="str">
            <v>MegaRaid  9361-8i   05-25420-08</v>
          </cell>
          <cell r="E2726" t="str">
            <v>SKB0691056</v>
          </cell>
        </row>
        <row r="2727">
          <cell r="D2727" t="str">
            <v>MegaRaid  9361-8i   05-25420-08</v>
          </cell>
          <cell r="E2727" t="str">
            <v>SKB0691287</v>
          </cell>
        </row>
        <row r="2728">
          <cell r="D2728" t="str">
            <v>MegaRaid  9361-8i   05-25420-08</v>
          </cell>
          <cell r="E2728" t="str">
            <v>SKB0691100</v>
          </cell>
        </row>
        <row r="2729">
          <cell r="D2729" t="str">
            <v>MegaRaid  9361-8i   05-25420-08</v>
          </cell>
          <cell r="E2729" t="str">
            <v>SKB0691188</v>
          </cell>
        </row>
        <row r="2730">
          <cell r="D2730" t="str">
            <v>MegaRaid  9361-8i   05-25420-08</v>
          </cell>
          <cell r="E2730" t="str">
            <v>SKB1173652</v>
          </cell>
          <cell r="K2730" t="str">
            <v xml:space="preserve">w serwerze interia wyporzyczenie </v>
          </cell>
        </row>
        <row r="2731">
          <cell r="D2731" t="str">
            <v>MegaRaid  9361-8i   05-25420-08</v>
          </cell>
          <cell r="E2731" t="str">
            <v>SKB0691133</v>
          </cell>
        </row>
        <row r="2732">
          <cell r="D2732" t="str">
            <v>MegaRaid  9361-8i   05-25420-08</v>
          </cell>
          <cell r="E2732" t="str">
            <v>SKB0691166</v>
          </cell>
        </row>
        <row r="2733">
          <cell r="D2733" t="str">
            <v>MegaRaid  9361-8i   05-25420-08</v>
          </cell>
          <cell r="E2733" t="str">
            <v>SKB0691111</v>
          </cell>
        </row>
        <row r="2734">
          <cell r="D2734" t="str">
            <v>MegaRaid  9361-8i   05-25420-08</v>
          </cell>
          <cell r="E2734" t="str">
            <v>SKB0691045</v>
          </cell>
        </row>
        <row r="2735">
          <cell r="D2735" t="str">
            <v>MegaRaid  9361-8i   05-25420-08</v>
          </cell>
          <cell r="E2735" t="str">
            <v>SKB0691155</v>
          </cell>
        </row>
        <row r="2736">
          <cell r="D2736" t="str">
            <v>MegaRaid  9361-8i   05-25420-08</v>
          </cell>
          <cell r="E2736" t="str">
            <v>SKB0691232</v>
          </cell>
        </row>
        <row r="2737">
          <cell r="D2737" t="str">
            <v>MegaRaid  9361-8i   05-25420-08</v>
          </cell>
          <cell r="E2737" t="str">
            <v>SKB0691265</v>
          </cell>
        </row>
        <row r="2738">
          <cell r="D2738" t="str">
            <v>MegaRaid  9361-8i   05-25420-08</v>
          </cell>
          <cell r="E2738" t="str">
            <v>SKB0691320</v>
          </cell>
        </row>
        <row r="2739">
          <cell r="D2739" t="str">
            <v>MegaRaid  9361-8i   05-25420-08</v>
          </cell>
          <cell r="E2739" t="str">
            <v>SKB0691221</v>
          </cell>
        </row>
        <row r="2740">
          <cell r="D2740" t="str">
            <v>MegaRaid  9361-8i   05-25420-08</v>
          </cell>
          <cell r="E2740" t="str">
            <v>SKB0691012</v>
          </cell>
        </row>
        <row r="2741">
          <cell r="D2741" t="str">
            <v>MegaRaid  9361-8i   05-25420-08</v>
          </cell>
          <cell r="E2741" t="str">
            <v>SKB0691067</v>
          </cell>
        </row>
        <row r="2742">
          <cell r="D2742" t="str">
            <v>MegaRaid  9361-8i   05-25420-08</v>
          </cell>
          <cell r="E2742" t="str">
            <v>SKB0691144</v>
          </cell>
        </row>
        <row r="2743">
          <cell r="D2743" t="str">
            <v>MegaRaid  9361-8i   05-25420-08</v>
          </cell>
          <cell r="E2743" t="str">
            <v>SKB1079266</v>
          </cell>
        </row>
        <row r="2744">
          <cell r="D2744" t="str">
            <v>MegaRaid  9361-8i   05-25420-08</v>
          </cell>
          <cell r="E2744" t="str">
            <v>SKB0889178</v>
          </cell>
        </row>
        <row r="2745">
          <cell r="D2745" t="str">
            <v>MegaRaid  9361-8i   05-25420-08</v>
          </cell>
          <cell r="E2745" t="str">
            <v>SKB0579703</v>
          </cell>
        </row>
        <row r="2746">
          <cell r="D2746" t="str">
            <v>MegaRaid  9361-8i   05-25420-08</v>
          </cell>
          <cell r="E2746" t="str">
            <v>SKB0973367</v>
          </cell>
        </row>
        <row r="2747">
          <cell r="D2747" t="str">
            <v>MegaRaid  9361-8i   05-25420-08</v>
          </cell>
          <cell r="E2747" t="str">
            <v>SKB2065712</v>
          </cell>
        </row>
        <row r="2748">
          <cell r="D2748" t="str">
            <v>MegaRaid  9361-8i   05-25420-08</v>
          </cell>
          <cell r="E2748" t="str">
            <v>SKB1467880</v>
          </cell>
        </row>
        <row r="2749">
          <cell r="D2749" t="str">
            <v>MegaRaid  9361-8i   05-25420-08</v>
          </cell>
          <cell r="E2749" t="str">
            <v>SKB1369088</v>
          </cell>
        </row>
        <row r="2750">
          <cell r="D2750" t="str">
            <v>MegaRaid  9361-8i   05-25420-08</v>
          </cell>
          <cell r="E2750" t="str">
            <v>SKB3167785</v>
          </cell>
        </row>
        <row r="2751">
          <cell r="D2751" t="str">
            <v>MegaRaid  9361-8i   05-25420-08</v>
          </cell>
          <cell r="E2751" t="str">
            <v>SKB0470667</v>
          </cell>
        </row>
        <row r="2752">
          <cell r="D2752" t="str">
            <v>MegaRaid  9361-8i   05-25420-08</v>
          </cell>
          <cell r="E2752" t="str">
            <v>SKB1468978</v>
          </cell>
        </row>
        <row r="2753">
          <cell r="D2753" t="str">
            <v>MegaRaid  9361-8i   05-25420-08</v>
          </cell>
          <cell r="E2753" t="str">
            <v>SKB2073272</v>
          </cell>
        </row>
        <row r="2754">
          <cell r="D2754" t="str">
            <v>MegaRaid  9361-8i   05-25420-08</v>
          </cell>
          <cell r="E2754" t="str">
            <v>SKB0573946</v>
          </cell>
        </row>
        <row r="2755">
          <cell r="D2755" t="str">
            <v>MegaRaid  9361-8i   05-25420-08</v>
          </cell>
          <cell r="E2755" t="str">
            <v>SKB3176406</v>
          </cell>
        </row>
        <row r="2756">
          <cell r="D2756" t="str">
            <v>MegaRaid  9361-8i   05-25420-08</v>
          </cell>
          <cell r="E2756" t="str">
            <v>SKB1965795</v>
          </cell>
        </row>
        <row r="2757">
          <cell r="D2757" t="str">
            <v>MegaRaid  9361-8i   05-25420-08</v>
          </cell>
          <cell r="E2757" t="str">
            <v>SKB2073029</v>
          </cell>
        </row>
        <row r="2758">
          <cell r="D2758" t="str">
            <v>MegaRaid  9361-8i   05-25420-08</v>
          </cell>
          <cell r="E2758" t="str">
            <v>SKA4671222</v>
          </cell>
        </row>
        <row r="2759">
          <cell r="D2759" t="str">
            <v>MegaRaid  9361-8i   05-25420-08</v>
          </cell>
          <cell r="E2759" t="str">
            <v>SKB0579580</v>
          </cell>
        </row>
        <row r="2760">
          <cell r="D2760" t="str">
            <v>MegaRaid  9361-8i   05-25420-08</v>
          </cell>
          <cell r="E2760" t="str">
            <v>SKA4966828</v>
          </cell>
        </row>
        <row r="2761">
          <cell r="D2761" t="str">
            <v>MegaRaid  9361-8i   05-25420-08</v>
          </cell>
          <cell r="E2761" t="str">
            <v>SKB1078802</v>
          </cell>
        </row>
        <row r="2762">
          <cell r="D2762" t="str">
            <v>MegaRaid  9361-8i   05-25420-08</v>
          </cell>
          <cell r="E2762" t="str">
            <v>SKB1078884</v>
          </cell>
        </row>
        <row r="2763">
          <cell r="D2763" t="str">
            <v>MegaRaid  9361-8i   05-25420-08</v>
          </cell>
          <cell r="E2763" t="str">
            <v>SKB1169384</v>
          </cell>
        </row>
        <row r="2764">
          <cell r="D2764" t="str">
            <v>MegaRaid  9361-8i   05-25420-08</v>
          </cell>
          <cell r="E2764" t="str">
            <v>SKB1368697</v>
          </cell>
        </row>
        <row r="2765">
          <cell r="D2765" t="str">
            <v>MegaRaid  9361-8i   05-25420-08</v>
          </cell>
          <cell r="E2765" t="str">
            <v>SKB0577254</v>
          </cell>
        </row>
        <row r="2766">
          <cell r="D2766" t="str">
            <v>MegaRaid  9361-8i   05-25420-08</v>
          </cell>
          <cell r="E2766" t="str">
            <v>SKB0579643</v>
          </cell>
        </row>
        <row r="2767">
          <cell r="D2767" t="str">
            <v>MegaRaid  9361-8i   05-25420-08</v>
          </cell>
          <cell r="E2767" t="str">
            <v>SKB0576896</v>
          </cell>
        </row>
        <row r="2768">
          <cell r="D2768" t="str">
            <v>MegaRaid  9361-8i   05-25420-08</v>
          </cell>
          <cell r="E2768" t="str">
            <v>SKB0574009</v>
          </cell>
        </row>
        <row r="2769">
          <cell r="D2769" t="str">
            <v>MegaRaid  9361-8i   05-25420-08</v>
          </cell>
          <cell r="E2769" t="str">
            <v>SKB1169740</v>
          </cell>
        </row>
        <row r="2770">
          <cell r="D2770" t="str">
            <v>MegaRaid  9361-8i   05-25420-08</v>
          </cell>
          <cell r="E2770" t="str">
            <v>SKB1079247</v>
          </cell>
        </row>
        <row r="2771">
          <cell r="D2771" t="str">
            <v>MegaRaid  9361-8i   05-25420-08</v>
          </cell>
          <cell r="E2771" t="str">
            <v>SKB1079336</v>
          </cell>
        </row>
        <row r="2772">
          <cell r="D2772" t="str">
            <v>MegaRaid  9361-8i   05-25420-08</v>
          </cell>
          <cell r="E2772" t="str">
            <v>SKB1269557</v>
          </cell>
        </row>
        <row r="2773">
          <cell r="D2773" t="str">
            <v>MegaRaid  9361-8i   05-25420-08</v>
          </cell>
          <cell r="E2773" t="str">
            <v>SKB0572613</v>
          </cell>
        </row>
        <row r="2774">
          <cell r="D2774" t="str">
            <v>MegaRaid  9361-8i   05-25420-08</v>
          </cell>
          <cell r="E2774" t="str">
            <v>SKB0579826</v>
          </cell>
        </row>
        <row r="2775">
          <cell r="D2775" t="str">
            <v>MegaRaid  9361-8i   05-25420-08</v>
          </cell>
          <cell r="E2775" t="str">
            <v>SKB2081312</v>
          </cell>
        </row>
        <row r="2776">
          <cell r="D2776" t="str">
            <v>MegaRaid  9361-8i   05-25420-08</v>
          </cell>
          <cell r="E2776" t="str">
            <v>SKB1169590</v>
          </cell>
        </row>
        <row r="2777">
          <cell r="D2777" t="str">
            <v>MegaRaid  9361-8i   05-25420-08</v>
          </cell>
          <cell r="E2777" t="str">
            <v>SKB1965592</v>
          </cell>
        </row>
        <row r="2778">
          <cell r="D2778" t="str">
            <v>MegaRaid  9361-8i   05-25420-08</v>
          </cell>
          <cell r="E2778" t="str">
            <v>SKB2082600</v>
          </cell>
        </row>
        <row r="2779">
          <cell r="D2779" t="str">
            <v>MegaRaid  9361-8i   05-25420-08</v>
          </cell>
          <cell r="E2779" t="str">
            <v>SKB2073158</v>
          </cell>
        </row>
        <row r="2780">
          <cell r="D2780" t="str">
            <v>MegaRaid  9361-8i   05-25420-08</v>
          </cell>
          <cell r="E2780" t="str">
            <v>SKB0888879</v>
          </cell>
        </row>
        <row r="2781">
          <cell r="D2781" t="str">
            <v>MegaRaid  9361-8i   05-25420-08</v>
          </cell>
          <cell r="E2781" t="str">
            <v>SKB1171951</v>
          </cell>
        </row>
        <row r="2782">
          <cell r="D2782" t="str">
            <v>MegaRaid  9361-8i   05-25420-08</v>
          </cell>
          <cell r="E2782" t="str">
            <v>SKB1185962</v>
          </cell>
        </row>
        <row r="2783">
          <cell r="D2783" t="str">
            <v>MegaRaid  9361-8i   05-25420-08</v>
          </cell>
          <cell r="E2783" t="str">
            <v>SKB0973663</v>
          </cell>
        </row>
        <row r="2784">
          <cell r="D2784" t="str">
            <v>MegaRaid  9361-8i   05-25420-08</v>
          </cell>
          <cell r="E2784" t="str">
            <v>SKB0582203</v>
          </cell>
        </row>
        <row r="2785">
          <cell r="D2785" t="str">
            <v>MegaRaid  9361-8i   05-25420-08</v>
          </cell>
          <cell r="E2785" t="str">
            <v>SKB2070143</v>
          </cell>
        </row>
        <row r="2786">
          <cell r="D2786" t="str">
            <v>MegaRaid  9361-8i   05-25420-08</v>
          </cell>
          <cell r="E2786" t="str">
            <v>SKB1965335</v>
          </cell>
        </row>
        <row r="2787">
          <cell r="D2787" t="str">
            <v>MegaRaid  9361-8i   05-25420-08</v>
          </cell>
          <cell r="E2787" t="str">
            <v>SKB2082419</v>
          </cell>
        </row>
        <row r="2788">
          <cell r="D2788" t="str">
            <v>MegaRaid  9361-8i   05-25420-08</v>
          </cell>
          <cell r="E2788" t="str">
            <v>SKB2073178</v>
          </cell>
        </row>
        <row r="2789">
          <cell r="D2789" t="str">
            <v>MegaRaid  9361-8i   05-25420-08</v>
          </cell>
          <cell r="E2789" t="str">
            <v>SKB2073218</v>
          </cell>
        </row>
        <row r="2790">
          <cell r="D2790" t="str">
            <v>MegaRaid  9361-8i   05-25420-08</v>
          </cell>
          <cell r="E2790" t="str">
            <v>SKB0672269</v>
          </cell>
        </row>
        <row r="2791">
          <cell r="D2791" t="str">
            <v>MegaRaid  9361-8i   05-25420-08</v>
          </cell>
          <cell r="E2791" t="str">
            <v>SKB1468731</v>
          </cell>
        </row>
        <row r="2792">
          <cell r="D2792" t="str">
            <v>MegaRaid  9361-8i   05-25420-08</v>
          </cell>
          <cell r="E2792" t="str">
            <v>SKB1078763</v>
          </cell>
        </row>
        <row r="2793">
          <cell r="D2793" t="str">
            <v>MegaRaid  9361-8i   05-25420-08</v>
          </cell>
          <cell r="E2793" t="str">
            <v>SKB1078837</v>
          </cell>
        </row>
        <row r="2794">
          <cell r="D2794" t="str">
            <v>MegaRaid  9361-8i   05-25420-08</v>
          </cell>
          <cell r="E2794" t="str">
            <v>SKB0579928</v>
          </cell>
        </row>
        <row r="2795">
          <cell r="D2795" t="str">
            <v>MegaRaid  9361-8i   05-25420-08</v>
          </cell>
          <cell r="E2795" t="str">
            <v>SKB0579743</v>
          </cell>
        </row>
        <row r="2796">
          <cell r="D2796" t="str">
            <v>MegaRaid  9361-8i   05-25420-08</v>
          </cell>
          <cell r="E2796" t="str">
            <v>SKB0572537</v>
          </cell>
        </row>
        <row r="2797">
          <cell r="D2797" t="str">
            <v>MegaRaid  9361-8i   05-25420-08</v>
          </cell>
          <cell r="E2797" t="str">
            <v>SKB0579914</v>
          </cell>
        </row>
        <row r="2798">
          <cell r="D2798" t="str">
            <v>MegaRaid  9361-8i   05-25420-08</v>
          </cell>
          <cell r="E2798" t="str">
            <v>SKB0579847</v>
          </cell>
        </row>
        <row r="2799">
          <cell r="D2799" t="str">
            <v>MegaRaid  9361-8i   05-25420-08</v>
          </cell>
          <cell r="E2799" t="str">
            <v>SKA5269252</v>
          </cell>
        </row>
        <row r="2800">
          <cell r="D2800" t="str">
            <v>MegaRaid  9361-8i   05-25420-08</v>
          </cell>
          <cell r="E2800" t="str">
            <v>SKB0579818</v>
          </cell>
        </row>
        <row r="2801">
          <cell r="D2801" t="str">
            <v>MegaRaid  9361-8i   05-25420-08</v>
          </cell>
          <cell r="E2801" t="str">
            <v>SKB0577677</v>
          </cell>
        </row>
        <row r="2802">
          <cell r="D2802" t="str">
            <v>MegaRaid  9361-8i   05-25420-08</v>
          </cell>
          <cell r="E2802" t="str">
            <v>SKB2070018</v>
          </cell>
        </row>
        <row r="2803">
          <cell r="D2803" t="str">
            <v>MegaRaid  9361-8i   05-25420-08</v>
          </cell>
          <cell r="E2803" t="str">
            <v>SKB2082055</v>
          </cell>
        </row>
        <row r="2804">
          <cell r="D2804" t="str">
            <v>MegaRaid  9361-8i   05-25420-08</v>
          </cell>
          <cell r="E2804" t="str">
            <v>SKA5269130</v>
          </cell>
        </row>
        <row r="2805">
          <cell r="D2805" t="str">
            <v>MegaRaid  9361-8i   05-25420-08</v>
          </cell>
          <cell r="E2805" t="str">
            <v>SKB3176703</v>
          </cell>
        </row>
        <row r="2806">
          <cell r="D2806" t="str">
            <v>MegaRaid  9361-8i   05-25420-08</v>
          </cell>
          <cell r="E2806" t="str">
            <v>SKB3176387</v>
          </cell>
        </row>
        <row r="2807">
          <cell r="D2807" t="str">
            <v>MegaRaid  9361-8i   05-25420-08</v>
          </cell>
          <cell r="E2807" t="str">
            <v>SKB3176526</v>
          </cell>
        </row>
        <row r="2808">
          <cell r="D2808" t="str">
            <v>MegaRaid  9361-8i   05-25420-08</v>
          </cell>
          <cell r="E2808" t="str">
            <v>SKB1467809</v>
          </cell>
        </row>
        <row r="2809">
          <cell r="D2809" t="str">
            <v>MegaRaid  9361-8i   05-25420-08</v>
          </cell>
          <cell r="E2809" t="str">
            <v>SKB1467951</v>
          </cell>
        </row>
        <row r="2810">
          <cell r="D2810" t="str">
            <v>MegaRaid  9361-8i   05-25420-08</v>
          </cell>
          <cell r="E2810" t="str">
            <v>SKB1468846</v>
          </cell>
        </row>
        <row r="2811">
          <cell r="D2811" t="str">
            <v>MegaRaid  9361-8i   05-25420-08</v>
          </cell>
          <cell r="E2811" t="str">
            <v>SKB1468953</v>
          </cell>
        </row>
        <row r="2812">
          <cell r="D2812" t="str">
            <v>MegaRaid  9361-8i   05-25420-08</v>
          </cell>
          <cell r="E2812" t="str">
            <v>SKB0579782</v>
          </cell>
        </row>
        <row r="2813">
          <cell r="D2813" t="str">
            <v>MegaRaid  9361-8i   05-25420-08</v>
          </cell>
          <cell r="E2813" t="str">
            <v>SKB0572493</v>
          </cell>
        </row>
        <row r="2814">
          <cell r="D2814" t="str">
            <v>MegaRaid  9361-8i   05-25420-08</v>
          </cell>
          <cell r="E2814" t="str">
            <v>SKB0580143</v>
          </cell>
        </row>
        <row r="2815">
          <cell r="D2815" t="str">
            <v>MegaRaid  9361-8i   05-25420-08</v>
          </cell>
          <cell r="E2815" t="str">
            <v>SKB0577319</v>
          </cell>
        </row>
        <row r="2816">
          <cell r="D2816" t="str">
            <v>MegaRaid  9361-8i   05-25420-08</v>
          </cell>
          <cell r="E2816" t="str">
            <v>SKB3167907</v>
          </cell>
        </row>
        <row r="2817">
          <cell r="D2817" t="str">
            <v>MegaRaid  9361-8i   05-25420-08</v>
          </cell>
          <cell r="E2817" t="str">
            <v>SKB3167668</v>
          </cell>
        </row>
        <row r="2818">
          <cell r="D2818" t="str">
            <v>MegaRaid  9361-8i   05-25420-08</v>
          </cell>
          <cell r="E2818" t="str">
            <v>SKB3170685</v>
          </cell>
        </row>
        <row r="2819">
          <cell r="D2819" t="str">
            <v>MegaRaid  9361-8i   05-25420-08</v>
          </cell>
          <cell r="E2819" t="str">
            <v>SKB0665809</v>
          </cell>
        </row>
        <row r="2820">
          <cell r="D2820" t="str">
            <v>MegaRaid  9361-8i   05-25420-08</v>
          </cell>
          <cell r="E2820" t="str">
            <v>SKB0579757</v>
          </cell>
        </row>
        <row r="2821">
          <cell r="D2821" t="str">
            <v>MegaRaid  9361-8i   05-25420-08</v>
          </cell>
          <cell r="E2821" t="str">
            <v>SKB0579725</v>
          </cell>
        </row>
        <row r="2822">
          <cell r="D2822" t="str">
            <v>MegaRaid  9361-8i   05-25420-08</v>
          </cell>
          <cell r="E2822" t="str">
            <v>SKB0579791</v>
          </cell>
        </row>
        <row r="2823">
          <cell r="D2823" t="str">
            <v>MegaRaid  9361-8i   05-25420-08</v>
          </cell>
          <cell r="E2823" t="str">
            <v>SKB0582577</v>
          </cell>
        </row>
        <row r="2824">
          <cell r="D2824" t="str">
            <v>MegaRaid  9361-8i   05-25420-08</v>
          </cell>
          <cell r="E2824" t="str">
            <v>SKB0672461</v>
          </cell>
        </row>
        <row r="2825">
          <cell r="D2825" t="str">
            <v>MegaRaid  9361-8i   05-25420-08</v>
          </cell>
          <cell r="E2825" t="str">
            <v>SKB0577310</v>
          </cell>
        </row>
        <row r="2826">
          <cell r="D2826" t="str">
            <v>MegaRaid  9361-8i   05-25420-08</v>
          </cell>
          <cell r="E2826" t="str">
            <v>SKB0577459</v>
          </cell>
        </row>
        <row r="2827">
          <cell r="D2827" t="str">
            <v>MegaRaid  9361-8i   05-25420-08</v>
          </cell>
          <cell r="E2827" t="str">
            <v>SKB0580112</v>
          </cell>
        </row>
        <row r="2828">
          <cell r="D2828" t="str">
            <v>MegaRaid  9361-8i   05-25420-08</v>
          </cell>
          <cell r="E2828" t="str">
            <v>SKB0577576</v>
          </cell>
        </row>
        <row r="2829">
          <cell r="D2829" t="str">
            <v>MegaRaid  9361-8i   05-25420-08</v>
          </cell>
          <cell r="E2829" t="str">
            <v>SKB0574083</v>
          </cell>
        </row>
        <row r="2830">
          <cell r="D2830" t="str">
            <v>MegaRaid  9361-8i   05-25420-08</v>
          </cell>
          <cell r="E2830" t="str">
            <v>SKB0889126</v>
          </cell>
        </row>
        <row r="2831">
          <cell r="D2831" t="str">
            <v>MegaRaid  9361-8i   05-25420-08</v>
          </cell>
          <cell r="E2831" t="str">
            <v>SKB1373769</v>
          </cell>
        </row>
        <row r="2832">
          <cell r="D2832" t="str">
            <v>MegaRaid  9361-8i   05-25420-08</v>
          </cell>
          <cell r="E2832" t="str">
            <v>SKB1269703</v>
          </cell>
        </row>
        <row r="2833">
          <cell r="D2833" t="str">
            <v>MegaRaid  9361-8i   05-25420-08</v>
          </cell>
          <cell r="E2833" t="str">
            <v>SKB0665714</v>
          </cell>
        </row>
        <row r="2834">
          <cell r="D2834" t="str">
            <v>MegaRaid  9361-8i   05-25420-08</v>
          </cell>
          <cell r="E2834" t="str">
            <v>SKB0580245</v>
          </cell>
        </row>
        <row r="2835">
          <cell r="D2835" t="str">
            <v>MegaRaid  9361-8i   05-25420-08</v>
          </cell>
          <cell r="E2835" t="str">
            <v>SKB2069538</v>
          </cell>
        </row>
        <row r="2836">
          <cell r="D2836" t="str">
            <v>MegaRaid  9361-8i   05-25420-08</v>
          </cell>
          <cell r="E2836" t="str">
            <v>SKA4968215</v>
          </cell>
        </row>
        <row r="2837">
          <cell r="D2837" t="str">
            <v>MegaRaid  9361-8i   05-25420-08</v>
          </cell>
          <cell r="E2837" t="str">
            <v>SKA4968703</v>
          </cell>
        </row>
        <row r="2838">
          <cell r="D2838" t="str">
            <v>MegaRaid  9361-8i   05-25420-08</v>
          </cell>
          <cell r="E2838" t="str">
            <v>SKA4169017</v>
          </cell>
        </row>
        <row r="2839">
          <cell r="D2839" t="str">
            <v>MegaRaid  9361-8i   05-25420-08</v>
          </cell>
          <cell r="E2839" t="str">
            <v>SKA4170711</v>
          </cell>
        </row>
        <row r="2840">
          <cell r="D2840" t="str">
            <v>MegaRaid  9361-8i   05-25420-08</v>
          </cell>
          <cell r="E2840" t="str">
            <v>SKA4671555</v>
          </cell>
        </row>
        <row r="2841">
          <cell r="D2841" t="str">
            <v>MegaRaid  9361-8i   05-25420-08</v>
          </cell>
          <cell r="E2841" t="str">
            <v>SKA4268490</v>
          </cell>
        </row>
        <row r="2842">
          <cell r="D2842" t="str">
            <v>MegaRaid  9361-8i   05-25420-08</v>
          </cell>
          <cell r="E2842" t="str">
            <v>SKB0580066</v>
          </cell>
        </row>
        <row r="2843">
          <cell r="D2843" t="str">
            <v>MegaRaid  9361-8i   05-25420-08</v>
          </cell>
          <cell r="E2843" t="str">
            <v>SKB0580119</v>
          </cell>
        </row>
        <row r="2844">
          <cell r="D2844" t="str">
            <v>MegaRaid  9361-8i   05-25420-08</v>
          </cell>
          <cell r="E2844" t="str">
            <v>SKB0577424</v>
          </cell>
        </row>
        <row r="2845">
          <cell r="D2845" t="str">
            <v>MegaRaid  9361-8i   05-25420-08</v>
          </cell>
          <cell r="E2845" t="str">
            <v>SKB0579545</v>
          </cell>
        </row>
        <row r="2846">
          <cell r="D2846" t="str">
            <v>MegaRaid  9361-8i   05-25420-08</v>
          </cell>
          <cell r="E2846" t="str">
            <v>SKB0574347</v>
          </cell>
        </row>
        <row r="2847">
          <cell r="D2847" t="str">
            <v>MegaRaid  9361-8i   05-25420-08</v>
          </cell>
          <cell r="E2847" t="str">
            <v>SKB0669125</v>
          </cell>
        </row>
        <row r="2848">
          <cell r="D2848" t="str">
            <v>MegaRaid  9361-8i   05-25420-08</v>
          </cell>
          <cell r="E2848" t="str">
            <v>SKB0577673</v>
          </cell>
        </row>
        <row r="2849">
          <cell r="D2849" t="str">
            <v>MegaRaid  9361-8i   05-25420-08</v>
          </cell>
          <cell r="E2849" t="str">
            <v>SKB1468481</v>
          </cell>
        </row>
        <row r="2850">
          <cell r="D2850" t="str">
            <v>MegaRaid  9361-8i   05-25420-08</v>
          </cell>
          <cell r="E2850" t="str">
            <v>SKB0577612</v>
          </cell>
        </row>
        <row r="2851">
          <cell r="D2851" t="str">
            <v>MegaRaid  9361-8i   05-25420-08</v>
          </cell>
          <cell r="E2851" t="str">
            <v>SKB0582561</v>
          </cell>
        </row>
        <row r="2852">
          <cell r="D2852" t="str">
            <v>MegaRaid  9361-8i   05-25420-08</v>
          </cell>
          <cell r="E2852" t="str">
            <v>SKB0666075</v>
          </cell>
        </row>
        <row r="2853">
          <cell r="D2853" t="str">
            <v>MegaRaid  9361-8i   05-25420-08</v>
          </cell>
          <cell r="E2853" t="str">
            <v>SKB0572590</v>
          </cell>
        </row>
        <row r="2854">
          <cell r="D2854" t="str">
            <v>MegaRaid  9361-8i   05-25420-08</v>
          </cell>
          <cell r="E2854" t="str">
            <v>SKB0572615</v>
          </cell>
        </row>
        <row r="2855">
          <cell r="D2855" t="str">
            <v>MegaRaid  9361-8i   05-25420-08</v>
          </cell>
          <cell r="E2855" t="str">
            <v>SKB1185791</v>
          </cell>
        </row>
        <row r="2856">
          <cell r="D2856" t="str">
            <v>MegaRaid  9361-8i   05-25420-08</v>
          </cell>
          <cell r="E2856" t="str">
            <v>SKB3167948</v>
          </cell>
        </row>
        <row r="2857">
          <cell r="D2857" t="str">
            <v>MegaRaid  9361-8i   05-25420-08</v>
          </cell>
          <cell r="E2857" t="str">
            <v>SKB2082532</v>
          </cell>
        </row>
        <row r="2858">
          <cell r="D2858" t="str">
            <v>MegaRaid  9361-8i   05-25420-08</v>
          </cell>
          <cell r="E2858" t="str">
            <v>SKB2065462</v>
          </cell>
        </row>
        <row r="2859">
          <cell r="D2859" t="str">
            <v>MegaRaid  9361-8i   05-25420-08</v>
          </cell>
          <cell r="E2859" t="str">
            <v>SKB2082490</v>
          </cell>
        </row>
        <row r="2860">
          <cell r="D2860" t="str">
            <v>MegaRaid  9361-8i   05-25420-08</v>
          </cell>
          <cell r="E2860" t="str">
            <v>SKB1965546</v>
          </cell>
        </row>
        <row r="2861">
          <cell r="D2861" t="str">
            <v>MegaRaid  9361-8i   05-25420-08</v>
          </cell>
          <cell r="E2861" t="str">
            <v>SKB1171827</v>
          </cell>
        </row>
        <row r="2862">
          <cell r="D2862" t="str">
            <v>MegaRaid  9361-8i   05-25420-08</v>
          </cell>
          <cell r="E2862" t="str">
            <v>SKB1185968</v>
          </cell>
        </row>
        <row r="2863">
          <cell r="D2863" t="str">
            <v>MegaRaid  9361-8i   05-25420-08</v>
          </cell>
          <cell r="E2863" t="str">
            <v>SKB0574222</v>
          </cell>
        </row>
        <row r="2864">
          <cell r="D2864" t="str">
            <v>MegaRaid  9361-8i   05-25420-08</v>
          </cell>
          <cell r="E2864" t="str">
            <v>SKB0579823</v>
          </cell>
        </row>
        <row r="2865">
          <cell r="D2865" t="str">
            <v>MegaRaid  9361-8i   05-25420-08</v>
          </cell>
          <cell r="E2865" t="str">
            <v>SKB0672093</v>
          </cell>
        </row>
        <row r="2866">
          <cell r="D2866" t="str">
            <v>MegaRaid  9361-8i   05-25420-08</v>
          </cell>
          <cell r="E2866" t="str">
            <v>SKA4670937</v>
          </cell>
        </row>
        <row r="2867">
          <cell r="D2867" t="str">
            <v>MegaRaid  9361-8i   05-25420-08</v>
          </cell>
          <cell r="E2867" t="str">
            <v>SKB0580008</v>
          </cell>
        </row>
        <row r="2868">
          <cell r="D2868" t="str">
            <v>MegaRaid  9361-8i   05-25420-08</v>
          </cell>
          <cell r="E2868" t="str">
            <v>SKB1186130</v>
          </cell>
        </row>
        <row r="2869">
          <cell r="D2869" t="str">
            <v>MegaRaid  9361-8i   05-25420-08</v>
          </cell>
          <cell r="E2869" t="str">
            <v>SKB1373648</v>
          </cell>
        </row>
        <row r="2870">
          <cell r="D2870" t="str">
            <v>MegaRaid  9361-8i   05-25420-08</v>
          </cell>
          <cell r="E2870" t="str">
            <v>SKB1368548</v>
          </cell>
        </row>
        <row r="2871">
          <cell r="D2871" t="str">
            <v>MegaRaid  9361-8i   05-25420-08</v>
          </cell>
          <cell r="E2871" t="str">
            <v>SKB1369243</v>
          </cell>
        </row>
        <row r="2872">
          <cell r="D2872" t="str">
            <v>MegaRaid  9361-8i   05-25420-08</v>
          </cell>
          <cell r="E2872" t="str">
            <v>SKA5269157</v>
          </cell>
        </row>
        <row r="2873">
          <cell r="D2873" t="str">
            <v>MegaRaid  9361-8i   05-25420-08</v>
          </cell>
          <cell r="E2873" t="str">
            <v>SKB0579621</v>
          </cell>
        </row>
        <row r="2874">
          <cell r="D2874" t="str">
            <v>MegaRaid  9361-8i   05-25420-08</v>
          </cell>
          <cell r="E2874" t="str">
            <v>SKB0577458</v>
          </cell>
        </row>
        <row r="2875">
          <cell r="D2875" t="str">
            <v>MegaRaid  9361-8i   05-25420-08</v>
          </cell>
          <cell r="E2875" t="str">
            <v>SKB0672181</v>
          </cell>
        </row>
        <row r="2876">
          <cell r="D2876" t="str">
            <v>MegaRaid  9361-8i   05-25420-08</v>
          </cell>
          <cell r="E2876" t="str">
            <v>SKA4968212</v>
          </cell>
        </row>
        <row r="2877">
          <cell r="D2877" t="str">
            <v>MegaRaid  9361-8i   05-25420-08</v>
          </cell>
          <cell r="E2877" t="str">
            <v>SKB2073281</v>
          </cell>
        </row>
        <row r="2878">
          <cell r="D2878" t="str">
            <v>MegaRaid  9361-8i   05-25420-08</v>
          </cell>
          <cell r="E2878" t="str">
            <v>SKB2065639</v>
          </cell>
        </row>
        <row r="2879">
          <cell r="D2879" t="str">
            <v>MegaRaid  9361-8i   05-25420-08</v>
          </cell>
          <cell r="E2879" t="str">
            <v>SK94872110</v>
          </cell>
        </row>
        <row r="2880">
          <cell r="D2880" t="str">
            <v>MegaRaid  9361-8i   05-25420-08</v>
          </cell>
          <cell r="E2880" t="str">
            <v>SKB1965618</v>
          </cell>
        </row>
        <row r="2881">
          <cell r="D2881" t="str">
            <v>MegaRaid  9361-8i   05-25420-08</v>
          </cell>
          <cell r="E2881" t="str">
            <v>SKB1467849</v>
          </cell>
        </row>
        <row r="2882">
          <cell r="D2882" t="str">
            <v>MegaRaid  9361-8i   05-25420-08</v>
          </cell>
          <cell r="E2882" t="str">
            <v>SKB2072862</v>
          </cell>
        </row>
        <row r="2883">
          <cell r="D2883" t="str">
            <v>AMD EPYC 7352</v>
          </cell>
          <cell r="E2883" t="str">
            <v>9HM5850Q90103_100-000000077</v>
          </cell>
        </row>
        <row r="2884">
          <cell r="D2884" t="str">
            <v>SSDSC2KB960G801</v>
          </cell>
          <cell r="E2884" t="str">
            <v>PHYF150302KF960CGN</v>
          </cell>
        </row>
        <row r="2885">
          <cell r="D2885" t="str">
            <v>SSDSC2KB960G801</v>
          </cell>
          <cell r="E2885" t="str">
            <v>PHYF150302KH960CGN</v>
          </cell>
        </row>
        <row r="2886">
          <cell r="D2886" t="str">
            <v>SSDSC2KB960G801</v>
          </cell>
          <cell r="E2886" t="str">
            <v>PHYF150302KN960CGN</v>
          </cell>
        </row>
        <row r="2887">
          <cell r="D2887" t="str">
            <v>SSDSC2KB960G801</v>
          </cell>
          <cell r="E2887" t="str">
            <v>PHYF150302SS960CGN</v>
          </cell>
        </row>
        <row r="2888">
          <cell r="D2888" t="str">
            <v>SSDSC2KB960G801</v>
          </cell>
          <cell r="E2888" t="str">
            <v>PHYF150303YN960CGN</v>
          </cell>
        </row>
        <row r="2889">
          <cell r="D2889" t="str">
            <v>SSDSC2KB960G801</v>
          </cell>
          <cell r="E2889" t="str">
            <v>PHYF150303YR960CGN</v>
          </cell>
        </row>
        <row r="2890">
          <cell r="D2890" t="str">
            <v>SSDSC2KB960G801</v>
          </cell>
          <cell r="E2890" t="str">
            <v>PHYF15030430960CGN</v>
          </cell>
        </row>
        <row r="2891">
          <cell r="D2891" t="str">
            <v>SSDSC2KB960G801</v>
          </cell>
          <cell r="E2891" t="str">
            <v>PHYF150304JT960CGN</v>
          </cell>
        </row>
        <row r="2892">
          <cell r="D2892" t="str">
            <v>SSDSC2KB960G801</v>
          </cell>
          <cell r="E2892" t="str">
            <v>PHYF150305EF960CGN</v>
          </cell>
        </row>
        <row r="2893">
          <cell r="D2893" t="str">
            <v>SSDSC2KB960G801</v>
          </cell>
          <cell r="E2893" t="str">
            <v>PHYF150305EH960CGN</v>
          </cell>
        </row>
        <row r="2894">
          <cell r="D2894" t="str">
            <v>SSDSC2KB960G801</v>
          </cell>
          <cell r="E2894" t="str">
            <v>PHYF150305EJ960CGN</v>
          </cell>
        </row>
        <row r="2895">
          <cell r="D2895" t="str">
            <v>SSDSC2KB960G801</v>
          </cell>
          <cell r="E2895" t="str">
            <v>PHYF150305EK960CGN</v>
          </cell>
        </row>
        <row r="2896">
          <cell r="D2896" t="str">
            <v>SSDSC2KB960G801</v>
          </cell>
          <cell r="E2896" t="str">
            <v>PHYF150305FC960CGN</v>
          </cell>
        </row>
        <row r="2897">
          <cell r="D2897" t="str">
            <v>SSDSC2KB960G801</v>
          </cell>
          <cell r="E2897" t="str">
            <v>PHYF150305GG960CGN</v>
          </cell>
        </row>
        <row r="2898">
          <cell r="D2898" t="str">
            <v>SSDSC2KB960G801</v>
          </cell>
          <cell r="E2898" t="str">
            <v>PHYF150305LY960CGN</v>
          </cell>
        </row>
        <row r="2899">
          <cell r="D2899" t="str">
            <v>SSDSC2KB960G801</v>
          </cell>
          <cell r="E2899" t="str">
            <v>PHYF150305M6960CGN</v>
          </cell>
        </row>
        <row r="2900">
          <cell r="D2900" t="str">
            <v>SSDSC2KB960G801</v>
          </cell>
          <cell r="E2900" t="str">
            <v>PHYF150305PV960CGN</v>
          </cell>
        </row>
        <row r="2901">
          <cell r="D2901" t="str">
            <v>SSDSC2KB960G801</v>
          </cell>
          <cell r="E2901" t="str">
            <v>PHYF150305PZ960CGN</v>
          </cell>
        </row>
        <row r="2902">
          <cell r="D2902" t="str">
            <v>SSDSC2KB960G801</v>
          </cell>
          <cell r="E2902" t="str">
            <v>PHYF15050005960CGN</v>
          </cell>
        </row>
        <row r="2903">
          <cell r="D2903" t="str">
            <v>SSDSC2KB960G801</v>
          </cell>
          <cell r="E2903" t="str">
            <v>PHYF15050009960CGN</v>
          </cell>
        </row>
        <row r="2904">
          <cell r="D2904" t="str">
            <v>SSDSC2KB960G801</v>
          </cell>
          <cell r="E2904" t="str">
            <v>PHYF15050010960CGN</v>
          </cell>
        </row>
        <row r="2905">
          <cell r="D2905" t="str">
            <v>SSDSC2KB960G801</v>
          </cell>
          <cell r="E2905" t="str">
            <v>PHYF1505001T960CGN</v>
          </cell>
        </row>
        <row r="2906">
          <cell r="D2906" t="str">
            <v>SSDSC2KB960G801</v>
          </cell>
          <cell r="E2906" t="str">
            <v>PHYF1505002A960CGN</v>
          </cell>
        </row>
        <row r="2907">
          <cell r="D2907" t="str">
            <v>SSDSC2KB960G801</v>
          </cell>
          <cell r="E2907" t="str">
            <v>PHYF1505002B960CGN</v>
          </cell>
        </row>
        <row r="2908">
          <cell r="D2908" t="str">
            <v>SSDSC2KB960G801</v>
          </cell>
          <cell r="E2908" t="str">
            <v>PHYF1505002C960CGN</v>
          </cell>
        </row>
        <row r="2909">
          <cell r="D2909" t="str">
            <v>SSDSC2KB960G801</v>
          </cell>
          <cell r="E2909" t="str">
            <v>PHYF1505002G960CGN</v>
          </cell>
        </row>
        <row r="2910">
          <cell r="D2910" t="str">
            <v>SSDSC2KB960G801</v>
          </cell>
          <cell r="E2910" t="str">
            <v>PHYF1505002Q960CGN</v>
          </cell>
        </row>
        <row r="2911">
          <cell r="D2911" t="str">
            <v>SSDSC2KB960G801</v>
          </cell>
          <cell r="E2911" t="str">
            <v>PHYF1505002S960CGN</v>
          </cell>
        </row>
        <row r="2912">
          <cell r="D2912" t="str">
            <v>SSDSC2KB960G801</v>
          </cell>
          <cell r="E2912" t="str">
            <v>PHYF1505002X960CGN</v>
          </cell>
        </row>
        <row r="2913">
          <cell r="D2913" t="str">
            <v>SSDSC2KB960G801</v>
          </cell>
          <cell r="E2913" t="str">
            <v>PHYF15050033960CGN</v>
          </cell>
        </row>
        <row r="2914">
          <cell r="D2914" t="str">
            <v>SSDSC2KB960G801</v>
          </cell>
          <cell r="E2914" t="str">
            <v>PHYF1505003A960CGN</v>
          </cell>
        </row>
        <row r="2915">
          <cell r="D2915" t="str">
            <v>SSDSC2KB960G801</v>
          </cell>
          <cell r="E2915" t="str">
            <v>PHYF15050044960CGN</v>
          </cell>
        </row>
        <row r="2916">
          <cell r="D2916" t="str">
            <v>SSDSC2KB960G801</v>
          </cell>
          <cell r="E2916" t="str">
            <v>PHYF1505004W960CGN</v>
          </cell>
        </row>
        <row r="2917">
          <cell r="D2917" t="str">
            <v>SSDSC2KB960G801</v>
          </cell>
          <cell r="E2917" t="str">
            <v>PHYF1511029S960CGN</v>
          </cell>
        </row>
        <row r="2918">
          <cell r="D2918" t="str">
            <v>SSDSC2KB960G801</v>
          </cell>
          <cell r="E2918" t="str">
            <v>PHYF151102KJ960CGN</v>
          </cell>
        </row>
        <row r="2919">
          <cell r="D2919" t="str">
            <v>SSDSC2KB960G801</v>
          </cell>
          <cell r="E2919" t="str">
            <v>PHYF151102KL960CGN</v>
          </cell>
        </row>
        <row r="2920">
          <cell r="D2920" t="str">
            <v>SSDSC2KB960G801</v>
          </cell>
          <cell r="E2920" t="str">
            <v>PHYF151102L2960CGN</v>
          </cell>
        </row>
        <row r="2921">
          <cell r="D2921" t="str">
            <v>SSDSC2KB960G801</v>
          </cell>
          <cell r="E2921" t="str">
            <v>PHYF151102LH960CGN</v>
          </cell>
        </row>
        <row r="2922">
          <cell r="D2922" t="str">
            <v>SSDSC2KB960G801</v>
          </cell>
          <cell r="E2922" t="str">
            <v>PHYF151102PW960CGN</v>
          </cell>
        </row>
        <row r="2923">
          <cell r="D2923" t="str">
            <v>SSDSC2KB960G801</v>
          </cell>
          <cell r="E2923" t="str">
            <v>PHYF151102Q0960CGN</v>
          </cell>
        </row>
        <row r="2924">
          <cell r="D2924" t="str">
            <v>SSDSC2KB960G801</v>
          </cell>
          <cell r="E2924" t="str">
            <v>PHYF151102Q1960CGN</v>
          </cell>
        </row>
        <row r="2925">
          <cell r="D2925" t="str">
            <v>SSDSC2KB960G801</v>
          </cell>
          <cell r="E2925" t="str">
            <v>PHYF151102Q6960CGN</v>
          </cell>
        </row>
        <row r="2926">
          <cell r="D2926" t="str">
            <v>SSDSC2KB960G801</v>
          </cell>
          <cell r="E2926" t="str">
            <v>PHYF151102Q7960CGN</v>
          </cell>
        </row>
        <row r="2927">
          <cell r="D2927" t="str">
            <v>SSDSC2KB960G801</v>
          </cell>
          <cell r="E2927" t="str">
            <v>PHYF151102QR960CGN</v>
          </cell>
        </row>
        <row r="2928">
          <cell r="D2928" t="str">
            <v>SSDSC2KB960G801</v>
          </cell>
          <cell r="E2928" t="str">
            <v>PHYF151102R0960CGN</v>
          </cell>
        </row>
        <row r="2929">
          <cell r="D2929" t="str">
            <v>SSDSC2KB960G801</v>
          </cell>
          <cell r="E2929" t="str">
            <v>PHYF151102R5960CGN</v>
          </cell>
        </row>
        <row r="2930">
          <cell r="D2930" t="str">
            <v>SSDSC2KB960G801</v>
          </cell>
          <cell r="E2930" t="str">
            <v>PHYF151102RH960CGN</v>
          </cell>
        </row>
        <row r="2931">
          <cell r="D2931" t="str">
            <v>SSDSC2KB960G801</v>
          </cell>
          <cell r="E2931" t="str">
            <v>PHYF151102RL960CGN</v>
          </cell>
        </row>
        <row r="2932">
          <cell r="D2932" t="str">
            <v>SSDSC2KB960G801</v>
          </cell>
          <cell r="E2932" t="str">
            <v>PHYF151102U0960CGN</v>
          </cell>
        </row>
        <row r="2933">
          <cell r="D2933" t="str">
            <v>SSDSC2KB960G801</v>
          </cell>
          <cell r="E2933" t="str">
            <v>PHYF151102XE960CGN</v>
          </cell>
        </row>
        <row r="2934">
          <cell r="D2934" t="str">
            <v>SSDSC2KB960G801</v>
          </cell>
          <cell r="E2934" t="str">
            <v>PHYF151102YY960CGN</v>
          </cell>
        </row>
        <row r="2935">
          <cell r="D2935" t="str">
            <v>SSDSC2KB960G801</v>
          </cell>
          <cell r="E2935" t="str">
            <v>PHYF151103KM960CGN</v>
          </cell>
        </row>
        <row r="2936">
          <cell r="D2936" t="str">
            <v>SSDSC2KB960G801</v>
          </cell>
          <cell r="E2936" t="str">
            <v>PHYF151103KN960CGN</v>
          </cell>
        </row>
        <row r="2937">
          <cell r="D2937" t="str">
            <v>SSDSC2KB960G801</v>
          </cell>
          <cell r="E2937" t="str">
            <v>PHYF151103KP960CGN</v>
          </cell>
        </row>
        <row r="2938">
          <cell r="D2938" t="str">
            <v>SSDSC2KB960G801</v>
          </cell>
          <cell r="E2938" t="str">
            <v>PHYF151103KQ960CGN</v>
          </cell>
        </row>
        <row r="2939">
          <cell r="D2939" t="str">
            <v>SSDSC2KB960G801</v>
          </cell>
          <cell r="E2939" t="str">
            <v>PHYF151103KR960CGN</v>
          </cell>
        </row>
        <row r="2940">
          <cell r="D2940" t="str">
            <v>SSDSC2KB960G801</v>
          </cell>
          <cell r="E2940" t="str">
            <v>PHYF151103KS960CGN</v>
          </cell>
        </row>
        <row r="2941">
          <cell r="D2941" t="str">
            <v>SSDSC2KB960G801</v>
          </cell>
          <cell r="E2941" t="str">
            <v>PHYF151103KU960CGN</v>
          </cell>
        </row>
        <row r="2942">
          <cell r="D2942" t="str">
            <v>SSDSC2KB960G801</v>
          </cell>
          <cell r="E2942" t="str">
            <v>PHYF151103KW960CGN</v>
          </cell>
        </row>
        <row r="2943">
          <cell r="D2943" t="str">
            <v>SSDSC2KB960G801</v>
          </cell>
          <cell r="E2943" t="str">
            <v>PHYF151103KZ960CGN</v>
          </cell>
        </row>
        <row r="2944">
          <cell r="D2944" t="str">
            <v>SSDSC2KB960G801</v>
          </cell>
          <cell r="E2944" t="str">
            <v>PHYF1512003P960CGN</v>
          </cell>
        </row>
        <row r="2945">
          <cell r="D2945" t="str">
            <v>SSDSC2KB960G801</v>
          </cell>
          <cell r="E2945" t="str">
            <v>PHYF1512004R960CGN</v>
          </cell>
        </row>
        <row r="2946">
          <cell r="D2946" t="str">
            <v>SSDSC2KB960G801</v>
          </cell>
          <cell r="E2946" t="str">
            <v>PHYF1512005R960CGN</v>
          </cell>
        </row>
        <row r="2947">
          <cell r="D2947" t="str">
            <v>SSDSC2KB960G801</v>
          </cell>
          <cell r="E2947" t="str">
            <v>PHYF1512005T960CGN</v>
          </cell>
        </row>
        <row r="2948">
          <cell r="D2948" t="str">
            <v>SSDSC2KB960G801</v>
          </cell>
          <cell r="E2948" t="str">
            <v>PHYF1512005U960CGN</v>
          </cell>
        </row>
        <row r="2949">
          <cell r="D2949" t="str">
            <v>SSDSC2KB960G801</v>
          </cell>
          <cell r="E2949" t="str">
            <v>PHYF1512006Z960CGN</v>
          </cell>
        </row>
        <row r="2950">
          <cell r="D2950" t="str">
            <v>SSDSC2KB960G801</v>
          </cell>
          <cell r="E2950" t="str">
            <v>PHYF1512007T960CGN</v>
          </cell>
        </row>
        <row r="2951">
          <cell r="D2951" t="str">
            <v>SSDSC2KB960G801</v>
          </cell>
          <cell r="E2951" t="str">
            <v>PHYF1512007U960CGN</v>
          </cell>
        </row>
        <row r="2952">
          <cell r="D2952" t="str">
            <v>SSDSC2KB960G801</v>
          </cell>
          <cell r="E2952" t="str">
            <v>PHYF1512007V960CGN</v>
          </cell>
        </row>
        <row r="2953">
          <cell r="D2953" t="str">
            <v>SSDSC2KB960G801</v>
          </cell>
          <cell r="E2953" t="str">
            <v>PHYF1512007W960CGN</v>
          </cell>
        </row>
        <row r="2954">
          <cell r="D2954" t="str">
            <v>SSDSC2KB960G801</v>
          </cell>
          <cell r="E2954" t="str">
            <v>PHYF15120080960CGN</v>
          </cell>
        </row>
        <row r="2955">
          <cell r="D2955" t="str">
            <v>SSDSC2KB960G801</v>
          </cell>
          <cell r="E2955" t="str">
            <v>PHYF15120087960CGN</v>
          </cell>
        </row>
        <row r="2956">
          <cell r="D2956" t="str">
            <v>SSDSC2KB960G801</v>
          </cell>
          <cell r="E2956" t="str">
            <v>PHYF15120088960CGN</v>
          </cell>
        </row>
        <row r="2957">
          <cell r="D2957" t="str">
            <v>SSDSC2KB960G801</v>
          </cell>
          <cell r="E2957" t="str">
            <v>PHYF1512008D960CGN</v>
          </cell>
        </row>
        <row r="2958">
          <cell r="D2958" t="str">
            <v>SSDSC2KB960G801</v>
          </cell>
          <cell r="E2958" t="str">
            <v>PHYF1512009H960CGN</v>
          </cell>
        </row>
        <row r="2959">
          <cell r="D2959" t="str">
            <v>SSDSC2KB960G801</v>
          </cell>
          <cell r="E2959" t="str">
            <v>PHYF151200AP960CGN</v>
          </cell>
        </row>
        <row r="2960">
          <cell r="D2960" t="str">
            <v>SSDSC2KB960G801</v>
          </cell>
          <cell r="E2960" t="str">
            <v>PHYF151200AQ960CGN</v>
          </cell>
        </row>
        <row r="2961">
          <cell r="D2961" t="str">
            <v>SSDSC2KB960G801</v>
          </cell>
          <cell r="E2961" t="str">
            <v>PHYF151200AV960CGN</v>
          </cell>
        </row>
        <row r="2962">
          <cell r="D2962" t="str">
            <v>SSDSC2KB960G801</v>
          </cell>
          <cell r="E2962" t="str">
            <v>PHYF151200AX960CGN</v>
          </cell>
        </row>
        <row r="2963">
          <cell r="D2963" t="str">
            <v>SSDSC2KB960G801</v>
          </cell>
          <cell r="E2963" t="str">
            <v>PHYF151200AY960CGN</v>
          </cell>
        </row>
        <row r="2964">
          <cell r="D2964" t="str">
            <v>SSDSC2KB960G801</v>
          </cell>
          <cell r="E2964" t="str">
            <v>PHYF151200B1960CGN</v>
          </cell>
        </row>
        <row r="2965">
          <cell r="D2965" t="str">
            <v>SSDSC2KB960G801</v>
          </cell>
          <cell r="E2965" t="str">
            <v>PHYF151200EB960CGN</v>
          </cell>
        </row>
        <row r="2966">
          <cell r="D2966" t="str">
            <v>SSDSC2KB960G801</v>
          </cell>
          <cell r="E2966" t="str">
            <v>PHYF151200KR960CGN</v>
          </cell>
        </row>
        <row r="2967">
          <cell r="D2967" t="str">
            <v>SSDSC2KB960G801</v>
          </cell>
          <cell r="E2967" t="str">
            <v>PHYF151200KU960CGN</v>
          </cell>
        </row>
        <row r="2968">
          <cell r="D2968" t="str">
            <v>SSDSC2KB960G801</v>
          </cell>
          <cell r="E2968" t="str">
            <v>PHYF151200KX960CGN</v>
          </cell>
        </row>
        <row r="2969">
          <cell r="D2969" t="str">
            <v>SSDSC2KB960G801</v>
          </cell>
          <cell r="E2969" t="str">
            <v>PHYF151200NB960CGN</v>
          </cell>
        </row>
        <row r="2970">
          <cell r="D2970" t="str">
            <v>SSDSC2KB960G801</v>
          </cell>
          <cell r="E2970" t="str">
            <v>PHYF151200ND960CGN</v>
          </cell>
        </row>
        <row r="2971">
          <cell r="D2971" t="str">
            <v>SSDSC2KB960G801</v>
          </cell>
          <cell r="E2971" t="str">
            <v>PHYF151200NG960CGN</v>
          </cell>
        </row>
        <row r="2972">
          <cell r="D2972" t="str">
            <v>SSDSC2KB960G801</v>
          </cell>
          <cell r="E2972" t="str">
            <v>PHYF151200NL960CGN</v>
          </cell>
        </row>
        <row r="2973">
          <cell r="D2973" t="str">
            <v>SSDSC2KB960G801</v>
          </cell>
          <cell r="E2973" t="str">
            <v>PHYF151200NQ960CGN</v>
          </cell>
        </row>
        <row r="2974">
          <cell r="D2974" t="str">
            <v>SSDSC2KB960G801</v>
          </cell>
          <cell r="E2974" t="str">
            <v>PHYF151200NS960CGN</v>
          </cell>
        </row>
        <row r="2975">
          <cell r="D2975" t="str">
            <v>SSDSC2KB960G801</v>
          </cell>
          <cell r="E2975" t="str">
            <v>PHYF151201W4960CGN</v>
          </cell>
        </row>
        <row r="2976">
          <cell r="D2976" t="str">
            <v>SSDSC2KB960G801</v>
          </cell>
          <cell r="E2976" t="str">
            <v>PHYF151201WJ960CGN</v>
          </cell>
        </row>
        <row r="2977">
          <cell r="D2977" t="str">
            <v>SSDSC2KB960G801</v>
          </cell>
          <cell r="E2977" t="str">
            <v>PHYF151201WL960CGN</v>
          </cell>
        </row>
        <row r="2978">
          <cell r="D2978" t="str">
            <v>SSDSC2KB960G801</v>
          </cell>
          <cell r="E2978" t="str">
            <v>PHYF151201X4960CGN</v>
          </cell>
        </row>
        <row r="2979">
          <cell r="D2979" t="str">
            <v>SSDSC2KB960G801</v>
          </cell>
          <cell r="E2979" t="str">
            <v>PHYF151201XD960CGN</v>
          </cell>
        </row>
        <row r="2980">
          <cell r="D2980" t="str">
            <v>SSDSC2KB960G801</v>
          </cell>
          <cell r="E2980" t="str">
            <v>PHYF151201XP960CGN</v>
          </cell>
        </row>
        <row r="2981">
          <cell r="D2981" t="str">
            <v>SSDSC2KB960G801</v>
          </cell>
          <cell r="E2981" t="str">
            <v>PHYF151201YQ960CGN</v>
          </cell>
        </row>
        <row r="2982">
          <cell r="D2982" t="str">
            <v>SSDSC2KB960G801</v>
          </cell>
          <cell r="E2982" t="str">
            <v>PHYF151201YR960CGN</v>
          </cell>
        </row>
        <row r="2983">
          <cell r="D2983" t="str">
            <v>SSDSC2KB960G801</v>
          </cell>
          <cell r="E2983" t="str">
            <v>PHYF151201YS960CGN</v>
          </cell>
        </row>
        <row r="2984">
          <cell r="D2984" t="str">
            <v>SSDSC2KB960G801</v>
          </cell>
          <cell r="E2984" t="str">
            <v>PHYF151201YT960CGN</v>
          </cell>
        </row>
        <row r="2985">
          <cell r="D2985" t="str">
            <v>SSDSC2KB960G801</v>
          </cell>
          <cell r="E2985" t="str">
            <v>PHYF151201YZ960CGN</v>
          </cell>
        </row>
        <row r="2986">
          <cell r="D2986" t="str">
            <v>SSDSC2KB960G801</v>
          </cell>
          <cell r="E2986" t="str">
            <v>PHYF151201Z6960CGN</v>
          </cell>
        </row>
        <row r="2987">
          <cell r="D2987" t="str">
            <v>SSDSC2KB960G801</v>
          </cell>
          <cell r="E2987" t="str">
            <v>PHYF151201Z8960CGN</v>
          </cell>
        </row>
        <row r="2988">
          <cell r="D2988" t="str">
            <v>SSDSC2KB960G801</v>
          </cell>
          <cell r="E2988" t="str">
            <v>PHYF151201ZB960CGN</v>
          </cell>
        </row>
        <row r="2989">
          <cell r="D2989" t="str">
            <v>SSDSC2KB960G801</v>
          </cell>
          <cell r="E2989" t="str">
            <v>PHYF15120203960CGN</v>
          </cell>
        </row>
        <row r="2990">
          <cell r="D2990" t="str">
            <v>SSDSC2KB960G801</v>
          </cell>
          <cell r="E2990" t="str">
            <v>PHYF15120206960CGN</v>
          </cell>
        </row>
        <row r="2991">
          <cell r="D2991" t="str">
            <v>SSDSC2KB960G801</v>
          </cell>
          <cell r="E2991" t="str">
            <v>PHYF1512020F960CGN</v>
          </cell>
        </row>
        <row r="2992">
          <cell r="D2992" t="str">
            <v>SSDSC2KB960G801</v>
          </cell>
          <cell r="E2992" t="str">
            <v>PHYF1512020G960CGN</v>
          </cell>
        </row>
        <row r="2993">
          <cell r="D2993" t="str">
            <v>SSDSC2KB960G801</v>
          </cell>
          <cell r="E2993" t="str">
            <v>PHYF1512020V960CGN</v>
          </cell>
        </row>
        <row r="2994">
          <cell r="D2994" t="str">
            <v>SSDSC2KB960G801</v>
          </cell>
          <cell r="E2994" t="str">
            <v>PHYF15120219960CGN</v>
          </cell>
        </row>
        <row r="2995">
          <cell r="D2995" t="str">
            <v>SSDSC2KB960G801</v>
          </cell>
          <cell r="E2995" t="str">
            <v>PHYF1512021D960CGN</v>
          </cell>
        </row>
        <row r="2996">
          <cell r="D2996" t="str">
            <v>SSDSC2KB960G801</v>
          </cell>
          <cell r="E2996" t="str">
            <v>PHYF1512021J960CGN</v>
          </cell>
        </row>
        <row r="2997">
          <cell r="D2997" t="str">
            <v>SSDSC2KB960G801</v>
          </cell>
          <cell r="E2997" t="str">
            <v>PHYF1512021N960CGN</v>
          </cell>
        </row>
        <row r="2998">
          <cell r="D2998" t="str">
            <v>SSDSC2KB960G801</v>
          </cell>
          <cell r="E2998" t="str">
            <v>PHYF1512021Q960CGN</v>
          </cell>
        </row>
        <row r="2999">
          <cell r="D2999" t="str">
            <v>SSDSC2KB960G801</v>
          </cell>
          <cell r="E2999" t="str">
            <v>PHYF15120224960CGN</v>
          </cell>
        </row>
        <row r="3000">
          <cell r="D3000" t="str">
            <v>SSDSC2KB960G801</v>
          </cell>
          <cell r="E3000" t="str">
            <v>PHYF15120225960CGN</v>
          </cell>
        </row>
        <row r="3001">
          <cell r="D3001" t="str">
            <v>SSDSC2KB960G801</v>
          </cell>
          <cell r="E3001" t="str">
            <v>PHYF15120228960CGN</v>
          </cell>
        </row>
        <row r="3002">
          <cell r="D3002" t="str">
            <v>SSDSC2KB960G801</v>
          </cell>
          <cell r="E3002" t="str">
            <v>PHYF15120229960CGN</v>
          </cell>
        </row>
        <row r="3003">
          <cell r="D3003" t="str">
            <v>SSDSC2KB960G801</v>
          </cell>
          <cell r="E3003" t="str">
            <v>PHYF1512022H960CGN</v>
          </cell>
        </row>
        <row r="3004">
          <cell r="D3004" t="str">
            <v>SSDSC2KB960G801</v>
          </cell>
          <cell r="E3004" t="str">
            <v>PHYF1512022S960CGN</v>
          </cell>
        </row>
        <row r="3005">
          <cell r="D3005" t="str">
            <v>SSDSC2KB960G801</v>
          </cell>
          <cell r="E3005" t="str">
            <v>PHYF15120230960CGN</v>
          </cell>
        </row>
        <row r="3006">
          <cell r="D3006" t="str">
            <v>SSDSC2KB960G801</v>
          </cell>
          <cell r="E3006" t="str">
            <v>PHYF15120231960CGN</v>
          </cell>
        </row>
        <row r="3007">
          <cell r="D3007" t="str">
            <v>SSDSC2KB960G801</v>
          </cell>
          <cell r="E3007" t="str">
            <v>PHYF15120235960CGN</v>
          </cell>
        </row>
        <row r="3008">
          <cell r="D3008" t="str">
            <v>SSDSC2KB960G801</v>
          </cell>
          <cell r="E3008" t="str">
            <v>PHYF1512024B960CGN</v>
          </cell>
        </row>
        <row r="3009">
          <cell r="D3009" t="str">
            <v>SSDSC2KB960G801</v>
          </cell>
          <cell r="E3009" t="str">
            <v>PHYF1512024D960CGN</v>
          </cell>
        </row>
        <row r="3010">
          <cell r="D3010" t="str">
            <v>SSDSC2KB960G801</v>
          </cell>
          <cell r="E3010" t="str">
            <v>PHYF1512025S960CGN</v>
          </cell>
        </row>
        <row r="3011">
          <cell r="D3011" t="str">
            <v>SSDSC2KB960G801</v>
          </cell>
          <cell r="E3011" t="str">
            <v>PHYF15120263960CGN</v>
          </cell>
        </row>
        <row r="3012">
          <cell r="D3012" t="str">
            <v>SSDSC2KB960G801</v>
          </cell>
          <cell r="E3012" t="str">
            <v>PHYF1512026B960CGN</v>
          </cell>
        </row>
        <row r="3013">
          <cell r="D3013" t="str">
            <v>SSDSC2KB960G801</v>
          </cell>
          <cell r="E3013" t="str">
            <v>PHYF1512026W960CGN</v>
          </cell>
        </row>
        <row r="3014">
          <cell r="D3014" t="str">
            <v>SSDSC2KB960G801</v>
          </cell>
          <cell r="E3014" t="str">
            <v>PHYF1512026X960CGN</v>
          </cell>
        </row>
        <row r="3015">
          <cell r="D3015" t="str">
            <v>SSDSC2KB960G801</v>
          </cell>
          <cell r="E3015" t="str">
            <v>PHYF1512026Y960CGN</v>
          </cell>
        </row>
        <row r="3016">
          <cell r="D3016" t="str">
            <v>SSDSC2KB960G801</v>
          </cell>
          <cell r="E3016" t="str">
            <v>PHYF1512027P960CGN</v>
          </cell>
        </row>
        <row r="3017">
          <cell r="D3017" t="str">
            <v>SSDSC2KB960G801</v>
          </cell>
          <cell r="E3017" t="str">
            <v>PHYF1512027S960CGN</v>
          </cell>
        </row>
        <row r="3018">
          <cell r="D3018" t="str">
            <v>SSDSC2KB960G801</v>
          </cell>
          <cell r="E3018" t="str">
            <v>PHYF1512027U960CGN</v>
          </cell>
        </row>
        <row r="3019">
          <cell r="D3019" t="str">
            <v>SSDSC2KB960G801</v>
          </cell>
          <cell r="E3019" t="str">
            <v>PHYF1512027V960CGN</v>
          </cell>
        </row>
        <row r="3020">
          <cell r="D3020" t="str">
            <v>SSDSC2KB960G801</v>
          </cell>
          <cell r="E3020" t="str">
            <v>PHYF1512027X960CGN</v>
          </cell>
        </row>
        <row r="3021">
          <cell r="D3021" t="str">
            <v>SSDSC2KB960G801</v>
          </cell>
          <cell r="E3021" t="str">
            <v>PHYF15130001960CGN</v>
          </cell>
        </row>
        <row r="3022">
          <cell r="D3022" t="str">
            <v>SSDSC2KB960G801</v>
          </cell>
          <cell r="E3022" t="str">
            <v>PHYF15130008960CGN</v>
          </cell>
        </row>
        <row r="3023">
          <cell r="D3023" t="str">
            <v>SSDSC2KB960G801</v>
          </cell>
          <cell r="E3023" t="str">
            <v>PHYF1513000A960CGN</v>
          </cell>
        </row>
        <row r="3024">
          <cell r="D3024" t="str">
            <v>SSDSC2KB960G801</v>
          </cell>
          <cell r="E3024" t="str">
            <v>PHYF15130016960CGN</v>
          </cell>
        </row>
        <row r="3025">
          <cell r="D3025" t="str">
            <v>SSDSC2KB960G801</v>
          </cell>
          <cell r="E3025" t="str">
            <v>PHYF15130018960CGN</v>
          </cell>
        </row>
        <row r="3026">
          <cell r="D3026" t="str">
            <v>SSDSC2KB960G801</v>
          </cell>
          <cell r="E3026" t="str">
            <v>PHYF15130038960CGN</v>
          </cell>
        </row>
        <row r="3027">
          <cell r="D3027" t="str">
            <v>SSDSC2KB960G801</v>
          </cell>
          <cell r="E3027" t="str">
            <v>PHYF15130039960CGN</v>
          </cell>
        </row>
        <row r="3028">
          <cell r="D3028" t="str">
            <v>SSDSC2KB960G801</v>
          </cell>
          <cell r="E3028" t="str">
            <v>PHYF1513003A960CGN</v>
          </cell>
        </row>
        <row r="3029">
          <cell r="D3029" t="str">
            <v>SSDSC2KB960G801</v>
          </cell>
          <cell r="E3029" t="str">
            <v>PHYF1513003Z960CGN</v>
          </cell>
        </row>
        <row r="3030">
          <cell r="D3030" t="str">
            <v>SSDSC2KB960G801</v>
          </cell>
          <cell r="E3030" t="str">
            <v>PHYF15130070960CGN</v>
          </cell>
        </row>
        <row r="3031">
          <cell r="D3031" t="str">
            <v>SSDSC2KB960G801</v>
          </cell>
          <cell r="E3031" t="str">
            <v>PHYF1513009V960CGN</v>
          </cell>
        </row>
        <row r="3032">
          <cell r="D3032" t="str">
            <v>SSDSC2KB960G801</v>
          </cell>
          <cell r="E3032" t="str">
            <v>PHYF151300A1960CGN</v>
          </cell>
        </row>
        <row r="3033">
          <cell r="D3033" t="str">
            <v>SSDSC2KB960G801</v>
          </cell>
          <cell r="E3033" t="str">
            <v>PHYF151300A8960CGN</v>
          </cell>
        </row>
        <row r="3034">
          <cell r="D3034" t="str">
            <v>SSDSC2KB960G801</v>
          </cell>
          <cell r="E3034" t="str">
            <v>PHYF150304K0960CGN</v>
          </cell>
        </row>
        <row r="3035">
          <cell r="D3035" t="str">
            <v>SSDSC2KB960G801</v>
          </cell>
          <cell r="E3035" t="str">
            <v>BTYF202304WD960CGN</v>
          </cell>
        </row>
        <row r="3036">
          <cell r="D3036" t="str">
            <v>SSDSC2KB960G801</v>
          </cell>
          <cell r="E3036" t="str">
            <v>BTYF202304X5960CGN</v>
          </cell>
        </row>
        <row r="3037">
          <cell r="D3037" t="str">
            <v>SSDSC2KB960G801</v>
          </cell>
          <cell r="E3037" t="str">
            <v>BTYF202304XB960CGN</v>
          </cell>
        </row>
        <row r="3038">
          <cell r="D3038" t="str">
            <v>SSDSC2KB960G801</v>
          </cell>
          <cell r="E3038" t="str">
            <v>BTYF202304XV960CGN</v>
          </cell>
        </row>
        <row r="3039">
          <cell r="D3039" t="str">
            <v>SSDSC2KB960G801</v>
          </cell>
          <cell r="E3039" t="str">
            <v>PHYF151200B2960CGN</v>
          </cell>
        </row>
        <row r="3040">
          <cell r="D3040" t="str">
            <v>SSDSC2KB960G801</v>
          </cell>
          <cell r="E3040" t="str">
            <v>PHYF152400PG960CGN</v>
          </cell>
        </row>
        <row r="3041">
          <cell r="D3041" t="str">
            <v>SSDSC2KB960G801</v>
          </cell>
          <cell r="E3041" t="str">
            <v>PHYF15250023960CGN</v>
          </cell>
        </row>
        <row r="3042">
          <cell r="D3042" t="str">
            <v>SSDSC2KB960G801</v>
          </cell>
          <cell r="E3042" t="str">
            <v>BTYF202304WT960CGN</v>
          </cell>
        </row>
        <row r="3043">
          <cell r="D3043" t="str">
            <v>SSDSC2KB960G801</v>
          </cell>
          <cell r="E3043" t="str">
            <v>BTYF202304VG960CGN</v>
          </cell>
        </row>
        <row r="3044">
          <cell r="D3044" t="str">
            <v>SSDSC2KB960G801</v>
          </cell>
          <cell r="E3044" t="str">
            <v>BTYF202303G8960CGN</v>
          </cell>
        </row>
        <row r="3045">
          <cell r="D3045" t="str">
            <v>SSDSC2KB960G801</v>
          </cell>
          <cell r="E3045" t="str">
            <v>BTYF202304VK960CGN</v>
          </cell>
        </row>
        <row r="3046">
          <cell r="D3046" t="str">
            <v>SSDSC2KB960G801</v>
          </cell>
          <cell r="E3046" t="str">
            <v>BTYF202303HL960CGN</v>
          </cell>
        </row>
        <row r="3047">
          <cell r="D3047" t="str">
            <v>SSDSC2KB960G801</v>
          </cell>
          <cell r="E3047" t="str">
            <v>BTYF202304Y3960CGN</v>
          </cell>
        </row>
        <row r="3048">
          <cell r="D3048" t="str">
            <v>SSDSC2KB960G801</v>
          </cell>
          <cell r="E3048" t="str">
            <v>BTYF20230392960CGN</v>
          </cell>
        </row>
        <row r="3049">
          <cell r="D3049" t="str">
            <v>SSDSC2KB960G801</v>
          </cell>
          <cell r="E3049" t="str">
            <v>BTYF202304XA960CGN</v>
          </cell>
        </row>
        <row r="3050">
          <cell r="D3050" t="str">
            <v>SSDSC2KB960G801</v>
          </cell>
          <cell r="E3050" t="str">
            <v>BTYF202304WW960CGN</v>
          </cell>
        </row>
        <row r="3051">
          <cell r="D3051" t="str">
            <v>SSDSC2KB960G801</v>
          </cell>
          <cell r="E3051" t="str">
            <v>BTYF202304XK960CGN</v>
          </cell>
        </row>
        <row r="3052">
          <cell r="D3052" t="str">
            <v>SSDSC2KB960G801</v>
          </cell>
          <cell r="E3052" t="str">
            <v>BTYF202304XN960CGN</v>
          </cell>
        </row>
        <row r="3053">
          <cell r="D3053" t="str">
            <v>SSDSC2KB960G801</v>
          </cell>
          <cell r="E3053" t="str">
            <v>BTYF202304XS960CGN</v>
          </cell>
        </row>
        <row r="3054">
          <cell r="D3054" t="str">
            <v>SSDSC2KB960G801</v>
          </cell>
          <cell r="E3054" t="str">
            <v>BTYF202304X6960CGN</v>
          </cell>
        </row>
        <row r="3055">
          <cell r="D3055" t="str">
            <v>SSDSC2KB960G801</v>
          </cell>
          <cell r="E3055" t="str">
            <v>BTYF202304X7960CGN</v>
          </cell>
        </row>
        <row r="3056">
          <cell r="D3056" t="str">
            <v>SSDSC2KB960G801</v>
          </cell>
          <cell r="E3056" t="str">
            <v>BTYF202304W1960CGN</v>
          </cell>
        </row>
        <row r="3057">
          <cell r="D3057" t="str">
            <v>SSDSC2KB960G801</v>
          </cell>
          <cell r="E3057" t="str">
            <v>BTYF202304XL960CGN</v>
          </cell>
        </row>
        <row r="3058">
          <cell r="D3058" t="str">
            <v>SSDSC2KB960G801</v>
          </cell>
          <cell r="E3058" t="str">
            <v>BTYF202303G4960CGN</v>
          </cell>
        </row>
        <row r="3059">
          <cell r="D3059" t="str">
            <v>SSDSC2KB960G801</v>
          </cell>
          <cell r="E3059" t="str">
            <v>BTYF2023038F960CGN</v>
          </cell>
        </row>
        <row r="3060">
          <cell r="D3060" t="str">
            <v>SSDSC2KB960G801</v>
          </cell>
          <cell r="E3060" t="str">
            <v>BTYF202304W9960CGN</v>
          </cell>
        </row>
        <row r="3061">
          <cell r="D3061" t="str">
            <v>SSDSC2KB960G801</v>
          </cell>
          <cell r="E3061" t="str">
            <v>BTYF202304VM960CGN</v>
          </cell>
        </row>
        <row r="3062">
          <cell r="D3062" t="str">
            <v>SSDSC2KB960G801</v>
          </cell>
          <cell r="E3062" t="str">
            <v>PHYF1512004X960CGN</v>
          </cell>
        </row>
        <row r="3063">
          <cell r="D3063" t="str">
            <v>SSDSC2KB960G801</v>
          </cell>
          <cell r="E3063" t="str">
            <v>PHYF15050052960CGN</v>
          </cell>
        </row>
        <row r="3064">
          <cell r="D3064" t="str">
            <v>SSDSC2KB960G801</v>
          </cell>
          <cell r="E3064" t="str">
            <v>PHYF150303UW960CGN</v>
          </cell>
        </row>
        <row r="3065">
          <cell r="D3065" t="str">
            <v>SSDSC2KB960G801</v>
          </cell>
          <cell r="E3065" t="str">
            <v>BTYF202304WN960CGN</v>
          </cell>
        </row>
        <row r="3066">
          <cell r="D3066" t="str">
            <v>SSDSC2KB960G801</v>
          </cell>
          <cell r="E3066" t="str">
            <v>PHYF1503042T960CGN</v>
          </cell>
        </row>
        <row r="3067">
          <cell r="D3067" t="str">
            <v>SSDSC2KB960G801</v>
          </cell>
          <cell r="E3067" t="str">
            <v>PHYF150305EU960CGN</v>
          </cell>
        </row>
        <row r="3068">
          <cell r="D3068" t="str">
            <v>SSDSC2KB960G801</v>
          </cell>
          <cell r="E3068" t="str">
            <v>PHYF150305EY960CGN</v>
          </cell>
        </row>
        <row r="3069">
          <cell r="D3069" t="str">
            <v>SSDSC2KB960G801</v>
          </cell>
          <cell r="E3069" t="str">
            <v>PHYF150305LA960CGN</v>
          </cell>
        </row>
        <row r="3070">
          <cell r="D3070" t="str">
            <v>SSDSC2KB960G801</v>
          </cell>
          <cell r="E3070" t="str">
            <v>PHYF151300A6960CGN</v>
          </cell>
        </row>
        <row r="3071">
          <cell r="D3071" t="str">
            <v>SSDSC2KB960G801</v>
          </cell>
          <cell r="E3071" t="str">
            <v>PHYF1505004E960CGN</v>
          </cell>
        </row>
        <row r="3072">
          <cell r="D3072" t="str">
            <v>SSDSC2KB960G801</v>
          </cell>
          <cell r="E3072" t="str">
            <v>PHYF15050060960CGN</v>
          </cell>
        </row>
        <row r="3073">
          <cell r="D3073" t="str">
            <v>SSDSC2KB960G801</v>
          </cell>
          <cell r="E3073" t="str">
            <v>PHYF1505003C960CGN</v>
          </cell>
        </row>
        <row r="3074">
          <cell r="D3074" t="str">
            <v>SSDSC2KB960G801</v>
          </cell>
          <cell r="E3074" t="str">
            <v>PHYF1505002T960CGN</v>
          </cell>
        </row>
        <row r="3075">
          <cell r="D3075" t="str">
            <v>SSDSC2KB960G801</v>
          </cell>
          <cell r="E3075" t="str">
            <v>PHYF1505003F960CGN</v>
          </cell>
        </row>
        <row r="3076">
          <cell r="D3076" t="str">
            <v>SSDSC2KB960G801</v>
          </cell>
          <cell r="E3076" t="str">
            <v>PHYF1505002U960CGN</v>
          </cell>
        </row>
        <row r="3077">
          <cell r="D3077" t="str">
            <v>SSDSC2KB960G801</v>
          </cell>
          <cell r="E3077" t="str">
            <v>PHYF15120051960CGN</v>
          </cell>
        </row>
        <row r="3078">
          <cell r="D3078" t="str">
            <v>SSDSC2KB960G801</v>
          </cell>
          <cell r="E3078" t="str">
            <v>PHYF1505002Y960CGN</v>
          </cell>
        </row>
        <row r="3079">
          <cell r="D3079" t="str">
            <v>SSDSC2KB960G801</v>
          </cell>
          <cell r="E3079" t="str">
            <v>PHYF15050021960CGN</v>
          </cell>
        </row>
        <row r="3080">
          <cell r="D3080" t="str">
            <v>SSDSC2KB960G801</v>
          </cell>
          <cell r="E3080" t="str">
            <v>PHYF1512004Z960CGN</v>
          </cell>
        </row>
        <row r="3081">
          <cell r="D3081" t="str">
            <v>SSDSC2KB960G801</v>
          </cell>
          <cell r="E3081" t="str">
            <v>PHYF1505006E960CGN</v>
          </cell>
        </row>
        <row r="3082">
          <cell r="D3082" t="str">
            <v>SSDSC2KB960G801</v>
          </cell>
          <cell r="E3082" t="str">
            <v>PHYF151200AT960CGN</v>
          </cell>
        </row>
        <row r="3083">
          <cell r="D3083" t="str">
            <v>SSDSC2KB960G801</v>
          </cell>
          <cell r="E3083" t="str">
            <v>PHYF1505003G960CGN</v>
          </cell>
        </row>
        <row r="3084">
          <cell r="D3084" t="str">
            <v>SSDSC2KB960G801</v>
          </cell>
          <cell r="E3084" t="str">
            <v>PHYF1505006B960CGN</v>
          </cell>
        </row>
        <row r="3085">
          <cell r="D3085" t="str">
            <v>SSDSC2KB960G801</v>
          </cell>
          <cell r="E3085" t="str">
            <v>PHYF150305JG960CGN</v>
          </cell>
        </row>
        <row r="3086">
          <cell r="D3086" t="str">
            <v>SSDSC2KB960G801</v>
          </cell>
          <cell r="E3086" t="str">
            <v>PHYF150305JT960CGN</v>
          </cell>
        </row>
        <row r="3087">
          <cell r="D3087" t="str">
            <v>SSDSC2KB960G801</v>
          </cell>
          <cell r="E3087" t="str">
            <v>PHYF150305FM960CGN</v>
          </cell>
        </row>
        <row r="3088">
          <cell r="D3088" t="str">
            <v>SSDSC2KB960G801</v>
          </cell>
          <cell r="E3088" t="str">
            <v>PHYF1505004L960CGN</v>
          </cell>
        </row>
        <row r="3089">
          <cell r="D3089" t="str">
            <v>SSDSC2KB960G801</v>
          </cell>
          <cell r="E3089" t="str">
            <v>PHYF1505005F960CGN</v>
          </cell>
        </row>
        <row r="3090">
          <cell r="D3090" t="str">
            <v>SSDSC2KB960G801</v>
          </cell>
          <cell r="E3090" t="str">
            <v>PHYF15050046960CGN</v>
          </cell>
        </row>
        <row r="3091">
          <cell r="D3091" t="str">
            <v>SSDSC2KB960G801</v>
          </cell>
          <cell r="E3091" t="str">
            <v>PHYF1505003V960CGN</v>
          </cell>
        </row>
        <row r="3092">
          <cell r="D3092" t="str">
            <v>SSDSC2KB960G801</v>
          </cell>
          <cell r="E3092" t="str">
            <v>PHYF1505006F960CGN</v>
          </cell>
        </row>
        <row r="3093">
          <cell r="D3093" t="str">
            <v>SSDSC2KB960G801</v>
          </cell>
          <cell r="E3093" t="str">
            <v>PHYF15050055960CGN</v>
          </cell>
        </row>
        <row r="3094">
          <cell r="D3094" t="str">
            <v>SSDSC2KB960G801</v>
          </cell>
          <cell r="E3094" t="str">
            <v>PHYF150305FD960CGN</v>
          </cell>
        </row>
        <row r="3095">
          <cell r="D3095" t="str">
            <v>SSDSC2KB960G801</v>
          </cell>
          <cell r="E3095" t="str">
            <v>PHYF15050047960CGN</v>
          </cell>
        </row>
        <row r="3096">
          <cell r="D3096" t="str">
            <v>SSDSC2KB960G801</v>
          </cell>
          <cell r="E3096" t="str">
            <v>PHYF15050041960CGN</v>
          </cell>
        </row>
        <row r="3097">
          <cell r="D3097" t="str">
            <v>SSDSC2KB960G801</v>
          </cell>
          <cell r="E3097" t="str">
            <v>PHYF15050049960CGN</v>
          </cell>
        </row>
        <row r="3098">
          <cell r="D3098" t="str">
            <v>SSDSC2KB960G801</v>
          </cell>
          <cell r="E3098" t="str">
            <v>PHYF150305JF960CGN</v>
          </cell>
        </row>
        <row r="3099">
          <cell r="D3099" t="str">
            <v>SSDSC2KB960G801</v>
          </cell>
          <cell r="E3099" t="str">
            <v>PHYF15050062960CGN</v>
          </cell>
        </row>
        <row r="3100">
          <cell r="D3100" t="str">
            <v>SSDSC2KB960G801</v>
          </cell>
          <cell r="E3100" t="str">
            <v>PHYF1505004A960CGN</v>
          </cell>
        </row>
        <row r="3101">
          <cell r="D3101" t="str">
            <v>SSDSC2KB960G801</v>
          </cell>
          <cell r="E3101" t="str">
            <v>PHYF15050004960CGN</v>
          </cell>
        </row>
        <row r="3102">
          <cell r="D3102" t="str">
            <v>SSDSC2KB960G801</v>
          </cell>
          <cell r="E3102" t="str">
            <v>PHYF1505006J960CGN</v>
          </cell>
        </row>
        <row r="3103">
          <cell r="D3103" t="str">
            <v>SSDSC2KB960G801</v>
          </cell>
          <cell r="E3103" t="str">
            <v>PHYF15050063960CGN</v>
          </cell>
        </row>
        <row r="3104">
          <cell r="D3104" t="str">
            <v>SSDSC2KB960G801</v>
          </cell>
          <cell r="E3104" t="str">
            <v>PHYF15050073960CGN</v>
          </cell>
        </row>
        <row r="3105">
          <cell r="D3105" t="str">
            <v>SSDSC2KB960G801</v>
          </cell>
          <cell r="E3105" t="str">
            <v>PHYF1505004K960CGN</v>
          </cell>
        </row>
        <row r="3106">
          <cell r="D3106" t="str">
            <v>SSDSC2KB960G801</v>
          </cell>
          <cell r="E3106" t="str">
            <v>PHYF1505006M960CGN</v>
          </cell>
        </row>
        <row r="3107">
          <cell r="D3107" t="str">
            <v>SSDSC2KB960G801</v>
          </cell>
          <cell r="E3107" t="str">
            <v>PHYF1505004S960CGN</v>
          </cell>
        </row>
        <row r="3108">
          <cell r="D3108" t="str">
            <v>SSDSC2KB960G801</v>
          </cell>
          <cell r="E3108" t="str">
            <v>PHYF1512007A960CGN</v>
          </cell>
        </row>
        <row r="3109">
          <cell r="D3109" t="str">
            <v>SSDSC2KB960G801</v>
          </cell>
          <cell r="E3109" t="str">
            <v>PHYF1505004M960CGN</v>
          </cell>
        </row>
        <row r="3110">
          <cell r="D3110" t="str">
            <v>SSDSC2KB960G801</v>
          </cell>
          <cell r="E3110" t="str">
            <v>PHYF15050077960CGN</v>
          </cell>
        </row>
        <row r="3111">
          <cell r="D3111" t="str">
            <v>SSDSC2KB960G801</v>
          </cell>
          <cell r="E3111" t="str">
            <v>PHYF1505003Q960CGN</v>
          </cell>
        </row>
        <row r="3112">
          <cell r="D3112" t="str">
            <v>SSDSC2KB960G801</v>
          </cell>
          <cell r="E3112" t="str">
            <v>PHYF1505005X960CGN</v>
          </cell>
        </row>
        <row r="3113">
          <cell r="D3113" t="str">
            <v>SSDSC2KB960G801</v>
          </cell>
          <cell r="E3113" t="str">
            <v>PHYF1505003Y960CGN</v>
          </cell>
        </row>
        <row r="3114">
          <cell r="D3114" t="str">
            <v>SSDSC2KB960G801</v>
          </cell>
          <cell r="E3114" t="str">
            <v>PHYF1512008A960CGN</v>
          </cell>
        </row>
        <row r="3115">
          <cell r="D3115" t="str">
            <v>SSDSC2KB960G801</v>
          </cell>
          <cell r="E3115" t="str">
            <v>PHYF15050002960CGN</v>
          </cell>
        </row>
        <row r="3116">
          <cell r="D3116" t="str">
            <v>SSDSC2KB960G801</v>
          </cell>
          <cell r="E3116" t="str">
            <v>PHYF1505005J960CGN</v>
          </cell>
        </row>
        <row r="3117">
          <cell r="D3117" t="str">
            <v>SSDSC2KB960G801</v>
          </cell>
          <cell r="E3117" t="str">
            <v>PHYF1505006V960CGN</v>
          </cell>
        </row>
        <row r="3118">
          <cell r="D3118" t="str">
            <v>SSDSC2KB960G801</v>
          </cell>
          <cell r="E3118" t="str">
            <v>PHYF1505006U960CGN</v>
          </cell>
        </row>
        <row r="3119">
          <cell r="D3119" t="str">
            <v>SSDSC2KB960G801</v>
          </cell>
          <cell r="E3119" t="str">
            <v>PHYF1505005W960CGN</v>
          </cell>
        </row>
        <row r="3120">
          <cell r="D3120" t="str">
            <v>SSDSC2KB960G801</v>
          </cell>
          <cell r="E3120" t="str">
            <v>PHYF1505004Z960CGN</v>
          </cell>
        </row>
        <row r="3121">
          <cell r="D3121" t="str">
            <v>SSDSC2KB960G801</v>
          </cell>
          <cell r="E3121" t="str">
            <v>PHYF150305G0960CGN</v>
          </cell>
        </row>
        <row r="3122">
          <cell r="D3122" t="str">
            <v>SSDSC2KB960G801</v>
          </cell>
          <cell r="E3122" t="str">
            <v>PHYF150305DA960CGN</v>
          </cell>
        </row>
        <row r="3123">
          <cell r="D3123" t="str">
            <v>SSDSC2KB960G801</v>
          </cell>
          <cell r="E3123" t="str">
            <v>PHYF150305GY960CGN</v>
          </cell>
        </row>
        <row r="3124">
          <cell r="D3124" t="str">
            <v>SSDSC2KB960G801</v>
          </cell>
          <cell r="E3124" t="str">
            <v>PHYF1505005T960CGN</v>
          </cell>
        </row>
        <row r="3125">
          <cell r="D3125" t="str">
            <v>SSDSC2KB960G801</v>
          </cell>
          <cell r="E3125" t="str">
            <v>PHYF15050074960CGN</v>
          </cell>
        </row>
        <row r="3126">
          <cell r="D3126" t="str">
            <v>SSDSC2KB960G801</v>
          </cell>
          <cell r="E3126" t="str">
            <v>PHYF150305G4960CGN</v>
          </cell>
        </row>
        <row r="3127">
          <cell r="D3127" t="str">
            <v>SSDSC2KB960G801</v>
          </cell>
          <cell r="E3127" t="str">
            <v>PHYF150305G8960CGN</v>
          </cell>
        </row>
        <row r="3128">
          <cell r="D3128" t="str">
            <v>SSDSC2KB960G801</v>
          </cell>
          <cell r="E3128" t="str">
            <v>PHYF15050072960CGN</v>
          </cell>
        </row>
        <row r="3129">
          <cell r="D3129" t="str">
            <v>SSDSC2KB960G801</v>
          </cell>
          <cell r="E3129" t="str">
            <v>PHYF15050075960CGN</v>
          </cell>
        </row>
        <row r="3130">
          <cell r="D3130" t="str">
            <v>SSDSC2KB960G801</v>
          </cell>
          <cell r="E3130" t="str">
            <v>PHYF150305FJ960CGN</v>
          </cell>
        </row>
        <row r="3131">
          <cell r="D3131" t="str">
            <v>SSDSC2KB960G801</v>
          </cell>
          <cell r="E3131" t="str">
            <v>PHYF150305JX960CGN</v>
          </cell>
        </row>
        <row r="3132">
          <cell r="D3132" t="str">
            <v>SSDSC2KB960G801</v>
          </cell>
          <cell r="E3132" t="str">
            <v>PHYF1505006N960CGN</v>
          </cell>
        </row>
        <row r="3133">
          <cell r="D3133" t="str">
            <v>SSDSC2KB960G801</v>
          </cell>
          <cell r="E3133" t="str">
            <v>PHYF150305G6960CGN</v>
          </cell>
        </row>
        <row r="3134">
          <cell r="D3134" t="str">
            <v>SSDSC2KB960G801</v>
          </cell>
          <cell r="E3134" t="str">
            <v>PHYF151102WT960CGN</v>
          </cell>
        </row>
        <row r="3135">
          <cell r="D3135" t="str">
            <v>SSDSC2KB960G801</v>
          </cell>
          <cell r="E3135" t="str">
            <v>PHYF151102S6960CGN</v>
          </cell>
        </row>
        <row r="3136">
          <cell r="D3136" t="str">
            <v>SSDSC2KB960G801</v>
          </cell>
          <cell r="E3136" t="str">
            <v>PHYF151102X3960CGN</v>
          </cell>
        </row>
        <row r="3137">
          <cell r="D3137" t="str">
            <v>SSDSC2KB960G801</v>
          </cell>
          <cell r="E3137" t="str">
            <v>PHYF1512002G960CGN</v>
          </cell>
        </row>
        <row r="3138">
          <cell r="D3138" t="str">
            <v>SSDSC2KB960G801</v>
          </cell>
          <cell r="E3138" t="str">
            <v>PHYF1503043Z960CGN</v>
          </cell>
        </row>
        <row r="3139">
          <cell r="D3139" t="str">
            <v>SSDSC2KB960G801</v>
          </cell>
          <cell r="E3139" t="str">
            <v>PHYF151102NP960CGN</v>
          </cell>
        </row>
        <row r="3140">
          <cell r="D3140" t="str">
            <v>SSDSC2KB960G801</v>
          </cell>
          <cell r="E3140" t="str">
            <v>PHYF151102SH960CGN</v>
          </cell>
        </row>
        <row r="3141">
          <cell r="D3141" t="str">
            <v>SSDSC2KB960G801</v>
          </cell>
          <cell r="E3141" t="str">
            <v>PHYF1503043V960CGN</v>
          </cell>
        </row>
        <row r="3142">
          <cell r="D3142" t="str">
            <v>SSDSC2KB960G801</v>
          </cell>
          <cell r="E3142" t="str">
            <v>PHYF15030440960CGN</v>
          </cell>
        </row>
        <row r="3143">
          <cell r="D3143" t="str">
            <v>SSDSC2KB960G801</v>
          </cell>
          <cell r="E3143" t="str">
            <v>PHYF150303UZ960CGN</v>
          </cell>
        </row>
        <row r="3144">
          <cell r="D3144" t="str">
            <v>SSDSC2KB960G801</v>
          </cell>
          <cell r="E3144" t="str">
            <v>PHYF150303V4960CGN</v>
          </cell>
        </row>
        <row r="3145">
          <cell r="D3145" t="str">
            <v>SSDSC2KB960G801</v>
          </cell>
          <cell r="E3145" t="str">
            <v>PHYF15030449960CGN</v>
          </cell>
        </row>
        <row r="3146">
          <cell r="D3146" t="str">
            <v>SSDSC2KB960G801</v>
          </cell>
          <cell r="E3146" t="str">
            <v>PHYF151102NJ960CGN</v>
          </cell>
        </row>
        <row r="3147">
          <cell r="D3147" t="str">
            <v>SSDSC2KB960G801</v>
          </cell>
          <cell r="E3147" t="str">
            <v>PHYF151102V8960CGN</v>
          </cell>
        </row>
        <row r="3148">
          <cell r="D3148" t="str">
            <v>SSDSC2KB960G801</v>
          </cell>
          <cell r="E3148" t="str">
            <v>PHYF151102T8960CGN</v>
          </cell>
        </row>
        <row r="3149">
          <cell r="D3149" t="str">
            <v>SSDSC2KB960G801</v>
          </cell>
          <cell r="E3149" t="str">
            <v>PHYF151102T3960CGN</v>
          </cell>
        </row>
        <row r="3150">
          <cell r="D3150" t="str">
            <v>SSDSC2KB960G801</v>
          </cell>
          <cell r="E3150" t="str">
            <v>PHYF1512002R960CGN</v>
          </cell>
        </row>
        <row r="3151">
          <cell r="D3151" t="str">
            <v>SSDSC2KB960G801</v>
          </cell>
          <cell r="E3151" t="str">
            <v>PHYF1512002D960CGN</v>
          </cell>
        </row>
        <row r="3152">
          <cell r="D3152" t="str">
            <v>SSDSC2KB960G801</v>
          </cell>
          <cell r="E3152" t="str">
            <v>PHYF151102V6960CGN</v>
          </cell>
        </row>
        <row r="3153">
          <cell r="D3153" t="str">
            <v>SSDSC2KB960G801</v>
          </cell>
          <cell r="E3153" t="str">
            <v>PHYF151102WJ960CGN</v>
          </cell>
        </row>
        <row r="3154">
          <cell r="D3154" t="str">
            <v>SSDSC2KB960G801</v>
          </cell>
          <cell r="E3154" t="str">
            <v>PHYF151102V1960CGN</v>
          </cell>
        </row>
        <row r="3155">
          <cell r="D3155" t="str">
            <v>SSDSC2KB960G801</v>
          </cell>
          <cell r="E3155" t="str">
            <v>PHYF151102V7960CGN</v>
          </cell>
        </row>
        <row r="3156">
          <cell r="D3156" t="str">
            <v>SSDSC2KB960G801</v>
          </cell>
          <cell r="E3156" t="str">
            <v>PHYF151102XA960CGN</v>
          </cell>
        </row>
        <row r="3157">
          <cell r="D3157" t="str">
            <v>SSDSC2KB960G801</v>
          </cell>
          <cell r="E3157" t="str">
            <v>PHYF151102SE960CGN</v>
          </cell>
        </row>
        <row r="3158">
          <cell r="D3158" t="str">
            <v>SSDSC2KB960G801</v>
          </cell>
          <cell r="E3158" t="str">
            <v>PHYF151102SC960CGN</v>
          </cell>
        </row>
        <row r="3159">
          <cell r="D3159" t="str">
            <v>SSDSC2KB960G801</v>
          </cell>
          <cell r="E3159" t="str">
            <v>PHYF151102S9960CGN</v>
          </cell>
        </row>
        <row r="3160">
          <cell r="D3160" t="str">
            <v>SSDSC2KB960G801</v>
          </cell>
          <cell r="E3160" t="str">
            <v>PHYF151102S7960CGN</v>
          </cell>
        </row>
        <row r="3161">
          <cell r="D3161" t="str">
            <v>SSDSC2KB960G801</v>
          </cell>
          <cell r="E3161" t="str">
            <v>PHYF151102VC960CGN</v>
          </cell>
        </row>
        <row r="3162">
          <cell r="D3162" t="str">
            <v>SSDSC2KB960G801</v>
          </cell>
          <cell r="E3162" t="str">
            <v>PHYF151102VF960CGN</v>
          </cell>
        </row>
        <row r="3163">
          <cell r="D3163" t="str">
            <v>SSDSC2KB960G801</v>
          </cell>
          <cell r="E3163" t="str">
            <v>PHYF151102VS960CGN</v>
          </cell>
        </row>
        <row r="3164">
          <cell r="D3164" t="str">
            <v>SSDSC2KB960G801</v>
          </cell>
          <cell r="E3164" t="str">
            <v>PHYF151102VP960CGN</v>
          </cell>
        </row>
        <row r="3165">
          <cell r="D3165" t="str">
            <v>SSDSC2KB960G801</v>
          </cell>
          <cell r="E3165" t="str">
            <v>PHYF151102SJ960CGN</v>
          </cell>
        </row>
        <row r="3166">
          <cell r="D3166" t="str">
            <v>SSDSC2KB960G801</v>
          </cell>
          <cell r="E3166" t="str">
            <v>PHYF151102VZ960CGN</v>
          </cell>
        </row>
        <row r="3167">
          <cell r="D3167" t="str">
            <v>SSDSC2KB960G801</v>
          </cell>
          <cell r="E3167" t="str">
            <v>PHYF151102WZ960CGN</v>
          </cell>
        </row>
        <row r="3168">
          <cell r="D3168" t="str">
            <v>SSDSC2KB960G801</v>
          </cell>
          <cell r="E3168" t="str">
            <v>PHYF151102WL960CGN</v>
          </cell>
        </row>
        <row r="3169">
          <cell r="D3169" t="str">
            <v>SSDSC2KB960G801</v>
          </cell>
          <cell r="E3169" t="str">
            <v>PHYF1512002F960CGN</v>
          </cell>
        </row>
        <row r="3170">
          <cell r="D3170" t="str">
            <v>SSDSC2KB960G801</v>
          </cell>
          <cell r="E3170" t="str">
            <v>PHYF151102NG960CGN</v>
          </cell>
        </row>
        <row r="3171">
          <cell r="D3171" t="str">
            <v>SSDSC2KB960G801</v>
          </cell>
          <cell r="E3171" t="str">
            <v>PHYF151102NT960CGN</v>
          </cell>
        </row>
        <row r="3172">
          <cell r="D3172" t="str">
            <v>SSDSC2KB960G801</v>
          </cell>
          <cell r="E3172" t="str">
            <v>PHYF15120026960CGN</v>
          </cell>
        </row>
        <row r="3173">
          <cell r="D3173" t="str">
            <v>SSDSC2KB960G801</v>
          </cell>
          <cell r="E3173" t="str">
            <v>PHYF1512003S960CGN</v>
          </cell>
        </row>
        <row r="3174">
          <cell r="D3174" t="str">
            <v>SSDSC2KB960G801</v>
          </cell>
          <cell r="E3174" t="str">
            <v>PHYF151102NU960CGN</v>
          </cell>
        </row>
        <row r="3175">
          <cell r="D3175" t="str">
            <v>SSDSC2KB960G801</v>
          </cell>
          <cell r="E3175" t="str">
            <v>PHYF151102UG960CGN</v>
          </cell>
        </row>
        <row r="3176">
          <cell r="D3176" t="str">
            <v>SSDSC2KB960G801</v>
          </cell>
          <cell r="E3176" t="str">
            <v>PHYF151102X9960CGN</v>
          </cell>
        </row>
        <row r="3177">
          <cell r="D3177" t="str">
            <v>SSDSC2KB960G801</v>
          </cell>
          <cell r="E3177" t="str">
            <v>PHYF1512002N960CGN</v>
          </cell>
        </row>
        <row r="3178">
          <cell r="D3178" t="str">
            <v>SSDSC2KB960G801</v>
          </cell>
          <cell r="E3178" t="str">
            <v>PHYF151102V5960CGN</v>
          </cell>
        </row>
        <row r="3179">
          <cell r="D3179" t="str">
            <v>SSDSC2KB960G801</v>
          </cell>
          <cell r="E3179" t="str">
            <v>PHYF151102V4960CGN</v>
          </cell>
        </row>
        <row r="3180">
          <cell r="D3180" t="str">
            <v>SSDSC2KB960G801</v>
          </cell>
          <cell r="E3180" t="str">
            <v>PHYF151102WS960CGN</v>
          </cell>
        </row>
        <row r="3181">
          <cell r="D3181" t="str">
            <v>SSDSC2KB960G801</v>
          </cell>
          <cell r="E3181" t="str">
            <v>PHYF151102XN960CGN</v>
          </cell>
        </row>
        <row r="3182">
          <cell r="D3182" t="str">
            <v>SSDSC2KB960G801</v>
          </cell>
          <cell r="E3182" t="str">
            <v>PHYF151102VT960CGN</v>
          </cell>
        </row>
        <row r="3183">
          <cell r="D3183" t="str">
            <v>SSDSC2KB960G801</v>
          </cell>
          <cell r="E3183" t="str">
            <v>PHYF151102WX960CGN</v>
          </cell>
        </row>
        <row r="3184">
          <cell r="D3184" t="str">
            <v>SSDSC2KB019T801</v>
          </cell>
          <cell r="E3184" t="str">
            <v>PHYF151301G61P9DGN</v>
          </cell>
        </row>
        <row r="3185">
          <cell r="D3185" t="str">
            <v>SSDSC2KB019T801</v>
          </cell>
          <cell r="E3185" t="str">
            <v>PHYF151303641P9DGN</v>
          </cell>
        </row>
        <row r="3186">
          <cell r="D3186" t="str">
            <v>SSDSC2KB019T801</v>
          </cell>
          <cell r="E3186" t="str">
            <v>PHYF1513036C1P9DGN</v>
          </cell>
        </row>
        <row r="3187">
          <cell r="D3187" t="str">
            <v>SSDSC2KB019T801</v>
          </cell>
          <cell r="E3187" t="str">
            <v>PHYF151303751P9DGN</v>
          </cell>
        </row>
        <row r="3188">
          <cell r="D3188" t="str">
            <v>SSDSC2KB019T801</v>
          </cell>
          <cell r="E3188" t="str">
            <v>PHYF151303791P9DGN</v>
          </cell>
        </row>
        <row r="3189">
          <cell r="D3189" t="str">
            <v>SSDSC2KB019T801</v>
          </cell>
          <cell r="E3189" t="str">
            <v>PHYF1513037V1P9DGN</v>
          </cell>
        </row>
        <row r="3190">
          <cell r="D3190" t="str">
            <v>SSDSC2KB019T801</v>
          </cell>
          <cell r="E3190" t="str">
            <v>PHYF152300AF1P9DGN</v>
          </cell>
        </row>
        <row r="3191">
          <cell r="D3191" t="str">
            <v>SSDSC2KB019T801</v>
          </cell>
          <cell r="E3191" t="str">
            <v>PHYF152300D51P9DGN</v>
          </cell>
        </row>
        <row r="3192">
          <cell r="D3192" t="str">
            <v>SSDSC2KB019T801</v>
          </cell>
          <cell r="E3192" t="str">
            <v>PHYF152300H91P9DGN</v>
          </cell>
        </row>
        <row r="3193">
          <cell r="D3193" t="str">
            <v>SSDSC2KB019T801</v>
          </cell>
          <cell r="E3193" t="str">
            <v>PHYF152300JG1P9DGN</v>
          </cell>
        </row>
        <row r="3194">
          <cell r="D3194" t="str">
            <v>SSDSC2KB019T801</v>
          </cell>
          <cell r="E3194" t="str">
            <v>PHYF151302LQ1P9DGN</v>
          </cell>
        </row>
        <row r="3195">
          <cell r="D3195" t="str">
            <v>SSDSC2KB019T801</v>
          </cell>
          <cell r="E3195" t="str">
            <v>PHYF151301L61P9DGN</v>
          </cell>
        </row>
        <row r="3196">
          <cell r="D3196" t="str">
            <v>SSDSC2KB019T801</v>
          </cell>
          <cell r="E3196" t="str">
            <v>PHYF151301HK1P9DGN</v>
          </cell>
        </row>
        <row r="3197">
          <cell r="D3197" t="str">
            <v>SSDSC2KB019T801</v>
          </cell>
          <cell r="E3197" t="str">
            <v>PHYF152300HB1P9DGN</v>
          </cell>
        </row>
        <row r="3198">
          <cell r="D3198" t="str">
            <v>SSDSC2KB019T801</v>
          </cell>
          <cell r="E3198" t="str">
            <v>PHYF151301QZ1P9DGN</v>
          </cell>
        </row>
        <row r="3199">
          <cell r="D3199" t="str">
            <v>SSDSC2KB019T801</v>
          </cell>
          <cell r="E3199" t="str">
            <v>PHYF1513032G1P9DGN</v>
          </cell>
        </row>
        <row r="3200">
          <cell r="D3200" t="str">
            <v>SSDSC2KB019T801</v>
          </cell>
          <cell r="E3200" t="str">
            <v>PHYF151301G81P9DGN</v>
          </cell>
        </row>
        <row r="3201">
          <cell r="D3201" t="str">
            <v>SSDSC2KB019T801</v>
          </cell>
          <cell r="E3201" t="str">
            <v>PHYF151301KB1P9DGN</v>
          </cell>
        </row>
        <row r="3202">
          <cell r="D3202" t="str">
            <v>SSDSC2KB019T801</v>
          </cell>
          <cell r="E3202" t="str">
            <v>PHYF151301G31P9DGN</v>
          </cell>
        </row>
        <row r="3203">
          <cell r="D3203" t="str">
            <v>SSDSC2KB019T801</v>
          </cell>
          <cell r="E3203" t="str">
            <v>PHYF151301FW1P9DGN</v>
          </cell>
        </row>
        <row r="3204">
          <cell r="D3204" t="str">
            <v>SSDSC2KB019T801</v>
          </cell>
          <cell r="E3204" t="str">
            <v>PHYF151302M01P9DGN</v>
          </cell>
        </row>
        <row r="3205">
          <cell r="D3205" t="str">
            <v>SSDSC2KB019T801</v>
          </cell>
          <cell r="E3205" t="str">
            <v>PHYF151301EY1P9DGN</v>
          </cell>
        </row>
        <row r="3206">
          <cell r="D3206" t="str">
            <v>SSDSC2KB019T801</v>
          </cell>
          <cell r="E3206" t="str">
            <v>PHYF151303271P9DGN</v>
          </cell>
        </row>
        <row r="3207">
          <cell r="D3207" t="str">
            <v>SSDSC2KB019T801</v>
          </cell>
          <cell r="E3207" t="str">
            <v>PHYF151301QR1P9DGN</v>
          </cell>
        </row>
        <row r="3208">
          <cell r="D3208" t="str">
            <v>SSDSC2KB019T801</v>
          </cell>
          <cell r="E3208" t="str">
            <v>PHYF151302LX1P9DGN</v>
          </cell>
        </row>
        <row r="3209">
          <cell r="D3209" t="str">
            <v>SSDSC2KB019T801</v>
          </cell>
          <cell r="E3209" t="str">
            <v>PHYF151301R01P9DGN</v>
          </cell>
        </row>
        <row r="3210">
          <cell r="D3210" t="str">
            <v>SSDSC2KB019T801</v>
          </cell>
          <cell r="E3210" t="str">
            <v>PHYF151301PW1P9DGN</v>
          </cell>
        </row>
        <row r="3211">
          <cell r="D3211" t="str">
            <v>SSDSC2KB019T801</v>
          </cell>
          <cell r="E3211" t="str">
            <v>PHYF151301QV1P9DGN</v>
          </cell>
        </row>
        <row r="3212">
          <cell r="D3212" t="str">
            <v>SSDSC2KB019T801</v>
          </cell>
          <cell r="E3212" t="str">
            <v>PHYF201301KQ1P9DGN</v>
          </cell>
        </row>
        <row r="3213">
          <cell r="D3213" t="str">
            <v>SSDSC2KB019T801</v>
          </cell>
          <cell r="E3213" t="str">
            <v>PHYF152300781P9DGN</v>
          </cell>
        </row>
        <row r="3214">
          <cell r="D3214" t="str">
            <v>SSDSC2KB019T801</v>
          </cell>
          <cell r="E3214" t="str">
            <v>PHYF152300H11P9DGN</v>
          </cell>
        </row>
        <row r="3215">
          <cell r="D3215" t="str">
            <v>SSDSC2KB019T801</v>
          </cell>
          <cell r="E3215" t="str">
            <v>PHYF152300GZ1P9DGN</v>
          </cell>
        </row>
        <row r="3216">
          <cell r="D3216" t="str">
            <v>SSDSC2KB019T801</v>
          </cell>
          <cell r="E3216" t="str">
            <v>PHYF151301G01P9DGN</v>
          </cell>
        </row>
        <row r="3217">
          <cell r="D3217" t="str">
            <v>SSDSC2KB019T801</v>
          </cell>
          <cell r="E3217" t="str">
            <v>PHYF151301MV1P9DGN</v>
          </cell>
        </row>
        <row r="3218">
          <cell r="D3218" t="str">
            <v>SSDSC2KB019T801</v>
          </cell>
          <cell r="E3218" t="str">
            <v>PHYF151301K11P9DGN</v>
          </cell>
        </row>
        <row r="3219">
          <cell r="D3219" t="str">
            <v>SSDSC2KB019T801</v>
          </cell>
          <cell r="E3219" t="str">
            <v>PHYF1513036Q1P9DGN</v>
          </cell>
        </row>
        <row r="3220">
          <cell r="D3220" t="str">
            <v>SSDSC2KB019T801</v>
          </cell>
          <cell r="E3220" t="str">
            <v>PHYF151301N41P9DGN</v>
          </cell>
        </row>
        <row r="3221">
          <cell r="D3221" t="str">
            <v>SSDSC2KB019T801</v>
          </cell>
          <cell r="E3221" t="str">
            <v>PHYF151301NC1P9DGN</v>
          </cell>
        </row>
        <row r="3222">
          <cell r="D3222" t="str">
            <v>SSDSC2KB019T801</v>
          </cell>
          <cell r="E3222" t="str">
            <v>PHYF151301FA1P9DGN</v>
          </cell>
        </row>
        <row r="3223">
          <cell r="D3223" t="str">
            <v>SSDSC2KB019T801</v>
          </cell>
          <cell r="E3223" t="str">
            <v>PHYF151301S31P9DGN</v>
          </cell>
        </row>
        <row r="3224">
          <cell r="D3224" t="str">
            <v>SSDSC2KB019T801</v>
          </cell>
          <cell r="E3224" t="str">
            <v>PHYF151301NV1P9DGN</v>
          </cell>
        </row>
        <row r="3225">
          <cell r="D3225" t="str">
            <v>SSDSC2KB019T801</v>
          </cell>
          <cell r="E3225" t="str">
            <v>PHYF152300CV1P9DGN</v>
          </cell>
        </row>
        <row r="3226">
          <cell r="D3226" t="str">
            <v>SSDSC2KB019T801</v>
          </cell>
          <cell r="E3226" t="str">
            <v>PHYF151301PR1P9DGN</v>
          </cell>
        </row>
        <row r="3227">
          <cell r="D3227" t="str">
            <v>SSDSC2KB019T801</v>
          </cell>
          <cell r="E3227" t="str">
            <v>PHYF151301L01P9DGN</v>
          </cell>
        </row>
        <row r="3228">
          <cell r="D3228" t="str">
            <v>SSDSC2KB019T801</v>
          </cell>
          <cell r="E3228" t="str">
            <v>PHYF151301GN1P9DGN</v>
          </cell>
        </row>
        <row r="3229">
          <cell r="D3229" t="str">
            <v>SSDSC2KB019T801</v>
          </cell>
          <cell r="E3229" t="str">
            <v>PHYF151301F61P9DGN</v>
          </cell>
        </row>
        <row r="3230">
          <cell r="D3230" t="str">
            <v>SSDSC2KB019T801</v>
          </cell>
          <cell r="E3230" t="str">
            <v>PHYF151301KV1P9DGN</v>
          </cell>
        </row>
        <row r="3231">
          <cell r="D3231" t="str">
            <v>SSDSC2KB019T801</v>
          </cell>
          <cell r="E3231" t="str">
            <v>PHYF152300CH1P9DGN</v>
          </cell>
        </row>
        <row r="3232">
          <cell r="D3232" t="str">
            <v>SSDSC2KB019T801</v>
          </cell>
          <cell r="E3232" t="str">
            <v>PHYF151301FN1P9DGN</v>
          </cell>
        </row>
        <row r="3233">
          <cell r="D3233" t="str">
            <v>SSDSC2KB019T801</v>
          </cell>
          <cell r="E3233" t="str">
            <v>PHYF151301FF1P9DGN</v>
          </cell>
        </row>
        <row r="3234">
          <cell r="D3234" t="str">
            <v>SSDSC2KG019T801</v>
          </cell>
          <cell r="E3234" t="str">
            <v>PHYG152200MZ1P9DGN</v>
          </cell>
        </row>
        <row r="3235">
          <cell r="D3235" t="str">
            <v>SSDSC2KG019T801</v>
          </cell>
          <cell r="E3235" t="str">
            <v>PHYG152200DP1P9DGN</v>
          </cell>
        </row>
        <row r="3236">
          <cell r="D3236" t="str">
            <v>SSDSC2KG019T801</v>
          </cell>
          <cell r="E3236" t="str">
            <v>PHYG152200CH1P9DGN</v>
          </cell>
        </row>
        <row r="3237">
          <cell r="D3237" t="str">
            <v>SSDSC2KG019T801</v>
          </cell>
          <cell r="E3237" t="str">
            <v>PHYG1522000F1P9DGN</v>
          </cell>
        </row>
        <row r="3238">
          <cell r="D3238" t="str">
            <v>SSDSC2KG019T801</v>
          </cell>
          <cell r="E3238" t="str">
            <v>PHYG152200EW1P9DGN</v>
          </cell>
        </row>
        <row r="3239">
          <cell r="D3239" t="str">
            <v>SSDSC2KG019T801</v>
          </cell>
          <cell r="E3239" t="str">
            <v>PHYG201100331P9DGN</v>
          </cell>
        </row>
        <row r="3240">
          <cell r="D3240" t="str">
            <v>SSDSC2KG019T801</v>
          </cell>
          <cell r="E3240" t="str">
            <v>PHYG152200LK1P9DGN</v>
          </cell>
        </row>
        <row r="3241">
          <cell r="D3241" t="str">
            <v>SSDSC2KG019T801</v>
          </cell>
          <cell r="E3241" t="str">
            <v>PHYG152200L81P9DGN</v>
          </cell>
        </row>
        <row r="3242">
          <cell r="D3242" t="str">
            <v>SSDSC2KG019T801</v>
          </cell>
          <cell r="E3242" t="str">
            <v>PHYG201100211P9DGN</v>
          </cell>
        </row>
        <row r="3243">
          <cell r="D3243" t="str">
            <v>SSDSC2KG019T801</v>
          </cell>
          <cell r="E3243" t="str">
            <v>PHYG201100AU1P9DGN</v>
          </cell>
        </row>
        <row r="3244">
          <cell r="D3244" t="str">
            <v>SSDSC2KG019T801</v>
          </cell>
          <cell r="E3244" t="str">
            <v>PHYG152200GZ1P9DGN</v>
          </cell>
        </row>
        <row r="3245">
          <cell r="D3245" t="str">
            <v>SSDSC2KG019T801</v>
          </cell>
          <cell r="E3245" t="str">
            <v>PHYG152200GL1P9DGN</v>
          </cell>
        </row>
        <row r="3246">
          <cell r="D3246" t="str">
            <v>MZ7L30960HCJR-00A07</v>
          </cell>
          <cell r="E3246" t="str">
            <v>S662NE0RC10740</v>
          </cell>
        </row>
        <row r="3247">
          <cell r="D3247" t="str">
            <v>MZ7L30960HCJR-00A07</v>
          </cell>
          <cell r="E3247" t="str">
            <v>S662NE0RC10741</v>
          </cell>
        </row>
        <row r="3248">
          <cell r="D3248" t="str">
            <v>MZ7L30960HCJR-00A07</v>
          </cell>
          <cell r="E3248" t="str">
            <v>S662NE0RC10742</v>
          </cell>
        </row>
        <row r="3249">
          <cell r="D3249" t="str">
            <v>MZ7L30960HCJR-00A07</v>
          </cell>
          <cell r="E3249" t="str">
            <v>S662NE0RC10739</v>
          </cell>
        </row>
        <row r="3250">
          <cell r="D3250" t="str">
            <v>MZ7L30960HCJR-00A07</v>
          </cell>
          <cell r="E3250" t="str">
            <v>S662NE0RC10738</v>
          </cell>
        </row>
        <row r="3251">
          <cell r="D3251" t="str">
            <v>MZ7L30960HCJR-00A07</v>
          </cell>
          <cell r="E3251" t="str">
            <v>S662NE0RC10737</v>
          </cell>
        </row>
        <row r="3252">
          <cell r="D3252" t="str">
            <v>MZ7L30960HCJR-00A07</v>
          </cell>
          <cell r="E3252" t="str">
            <v>S662NE0RC10731</v>
          </cell>
        </row>
        <row r="3253">
          <cell r="D3253" t="str">
            <v>MZ7L3480HCHQ-00A07</v>
          </cell>
          <cell r="E3253" t="str">
            <v>S664NE0RC09373</v>
          </cell>
        </row>
        <row r="3254">
          <cell r="D3254" t="str">
            <v>MZ7L3480HCHQ-00A07</v>
          </cell>
          <cell r="E3254" t="str">
            <v>S664NE0RC09374</v>
          </cell>
        </row>
        <row r="3255">
          <cell r="D3255" t="str">
            <v>MZ7L3480HCHQ-00A07</v>
          </cell>
          <cell r="E3255" t="str">
            <v>S664NE0RC09385</v>
          </cell>
        </row>
        <row r="3256">
          <cell r="D3256" t="str">
            <v>MZ7L3480HCHQ-00A07</v>
          </cell>
          <cell r="E3256" t="str">
            <v>S664NE0RC09386</v>
          </cell>
        </row>
        <row r="3257">
          <cell r="D3257" t="str">
            <v>MZ7L3480HCHQ-00A07</v>
          </cell>
          <cell r="E3257" t="str">
            <v>S664NE0RC09387</v>
          </cell>
        </row>
        <row r="3258">
          <cell r="D3258" t="str">
            <v>MZ7L3480HCHQ-00A07</v>
          </cell>
          <cell r="E3258" t="str">
            <v>S664NE0RC10423</v>
          </cell>
        </row>
        <row r="3259">
          <cell r="D3259" t="str">
            <v>MZ7L3480HCHQ-00A07</v>
          </cell>
          <cell r="E3259" t="str">
            <v>S664NE0RC10442</v>
          </cell>
        </row>
        <row r="3260">
          <cell r="D3260" t="str">
            <v>MZ7L3480HCHQ-00A07</v>
          </cell>
          <cell r="E3260" t="str">
            <v>S664NE0RC10450</v>
          </cell>
        </row>
        <row r="3261">
          <cell r="D3261" t="str">
            <v>MZ7L3480HCHQ-00A07</v>
          </cell>
          <cell r="E3261" t="str">
            <v>S664NE0RC10440</v>
          </cell>
        </row>
        <row r="3262">
          <cell r="D3262" t="str">
            <v>MZ7L3480HCHQ-00A07</v>
          </cell>
          <cell r="E3262" t="str">
            <v>S664NE0RC09372</v>
          </cell>
        </row>
        <row r="3263">
          <cell r="D3263" t="str">
            <v>MZ7L33T8HBLT-00A07</v>
          </cell>
          <cell r="E3263" t="str">
            <v>S6ERNE0RA00128</v>
          </cell>
        </row>
        <row r="3264">
          <cell r="D3264" t="str">
            <v>1U4LW-X570/2L2T</v>
          </cell>
          <cell r="E3264" t="str">
            <v>ECS0R8000336</v>
          </cell>
          <cell r="K3264" t="str">
            <v>RO/2021/005541/A #1/12</v>
          </cell>
        </row>
        <row r="3265">
          <cell r="D3265" t="str">
            <v>X570D4U-2L2T</v>
          </cell>
          <cell r="E3265" t="str">
            <v>M80-E5001001786</v>
          </cell>
          <cell r="K3265" t="str">
            <v>RO/2021/005541/A #1/12</v>
          </cell>
        </row>
        <row r="3266">
          <cell r="D3266" t="str">
            <v>1U4LW-X570/2L2T</v>
          </cell>
          <cell r="E3266" t="str">
            <v>ECS0R8000335</v>
          </cell>
          <cell r="K3266" t="str">
            <v>RO/2021/005541/A #2/12</v>
          </cell>
        </row>
        <row r="3267">
          <cell r="D3267" t="str">
            <v>X570D4U-2L2T</v>
          </cell>
          <cell r="E3267" t="str">
            <v>M80-E5001001210</v>
          </cell>
          <cell r="K3267" t="str">
            <v>RO/2021/005541/A #2/12</v>
          </cell>
        </row>
        <row r="3268">
          <cell r="D3268" t="str">
            <v>1U4LW-X570/2L2T</v>
          </cell>
          <cell r="E3268" t="str">
            <v>ECS0R8000334</v>
          </cell>
          <cell r="K3268" t="str">
            <v>RO/2021/005541/A #3/12</v>
          </cell>
        </row>
        <row r="3269">
          <cell r="D3269" t="str">
            <v>X570D4U-2L2T</v>
          </cell>
          <cell r="E3269" t="str">
            <v>M80-E5001000543</v>
          </cell>
          <cell r="K3269" t="str">
            <v>RO/2021/005541/A #3/12</v>
          </cell>
        </row>
        <row r="3270">
          <cell r="D3270" t="str">
            <v>1U4LW-X570/2L2T</v>
          </cell>
          <cell r="E3270" t="str">
            <v>ECS0R8000338</v>
          </cell>
          <cell r="K3270" t="str">
            <v>RO/2021/005541/A #6/12</v>
          </cell>
        </row>
        <row r="3271">
          <cell r="D3271" t="str">
            <v>X570D4U-2L2T</v>
          </cell>
          <cell r="E3271" t="str">
            <v>M80-E5001001118</v>
          </cell>
          <cell r="K3271" t="str">
            <v>RO/2021/005541/A #6/12</v>
          </cell>
        </row>
        <row r="3272">
          <cell r="D3272" t="str">
            <v>1U4LW-X570/2L2T</v>
          </cell>
          <cell r="E3272" t="str">
            <v>ECS0R8000331</v>
          </cell>
          <cell r="K3272" t="str">
            <v>RO/2021/005541/A #7/12</v>
          </cell>
        </row>
        <row r="3273">
          <cell r="D3273" t="str">
            <v>X570D4U-2L2T</v>
          </cell>
          <cell r="E3273" t="str">
            <v>M80-E5001001428</v>
          </cell>
          <cell r="K3273" t="str">
            <v>RO/2021/005541/A #7/12</v>
          </cell>
        </row>
        <row r="3274">
          <cell r="D3274" t="str">
            <v>1U4LW-X570/2L2T</v>
          </cell>
          <cell r="E3274" t="str">
            <v>ECS0R8000332</v>
          </cell>
          <cell r="K3274" t="str">
            <v>RO/2021/005541/A #4/12</v>
          </cell>
        </row>
        <row r="3275">
          <cell r="D3275" t="str">
            <v>X570D4U-2L2T</v>
          </cell>
          <cell r="E3275" t="str">
            <v>M80-E5001000992</v>
          </cell>
          <cell r="K3275" t="str">
            <v>RO/2021/005541/A #4/12</v>
          </cell>
        </row>
        <row r="3276">
          <cell r="D3276" t="str">
            <v>1U4LW-X570/2L2T</v>
          </cell>
          <cell r="E3276" t="str">
            <v>ECS0R8000327</v>
          </cell>
          <cell r="K3276" t="str">
            <v>RO/2021/005541/A #5/12</v>
          </cell>
        </row>
        <row r="3277">
          <cell r="D3277" t="str">
            <v>X570D4U-2L2T</v>
          </cell>
          <cell r="E3277" t="str">
            <v>M80-E5001001637</v>
          </cell>
          <cell r="K3277" t="str">
            <v>RO/2021/005541/A #5/12</v>
          </cell>
        </row>
        <row r="3278">
          <cell r="D3278" t="str">
            <v>1U4LW-X570/2L2T</v>
          </cell>
          <cell r="E3278" t="str">
            <v>ECS0R8000339</v>
          </cell>
          <cell r="K3278" t="str">
            <v>RO/2021/005541/A #8/12</v>
          </cell>
        </row>
        <row r="3279">
          <cell r="D3279" t="str">
            <v>X570D4U-2L2T</v>
          </cell>
          <cell r="E3279" t="str">
            <v>M80-E5001001359</v>
          </cell>
          <cell r="K3279" t="str">
            <v>RO/2021/005541/A #8/12</v>
          </cell>
        </row>
        <row r="3280">
          <cell r="D3280" t="str">
            <v>1U4LW-X570/2L2T</v>
          </cell>
          <cell r="E3280" t="str">
            <v>ECS0R8000341</v>
          </cell>
          <cell r="K3280" t="str">
            <v>RO/2021/005541/A #9/12</v>
          </cell>
        </row>
        <row r="3281">
          <cell r="D3281" t="str">
            <v>X570D4U-2L2T</v>
          </cell>
          <cell r="E3281" t="str">
            <v>M80-E5001001784</v>
          </cell>
          <cell r="K3281" t="str">
            <v>RO/2021/005541/A #9/12</v>
          </cell>
        </row>
        <row r="3282">
          <cell r="D3282" t="str">
            <v>1U4LW-X570/2L2T</v>
          </cell>
          <cell r="E3282" t="str">
            <v>ECS0R8000340</v>
          </cell>
          <cell r="K3282" t="str">
            <v>RO/2021/005541/A #10/12</v>
          </cell>
        </row>
        <row r="3283">
          <cell r="D3283" t="str">
            <v>X570D4U-2L2T</v>
          </cell>
          <cell r="E3283" t="str">
            <v>M80-E5001000616</v>
          </cell>
          <cell r="K3283" t="str">
            <v>RO/2021/005541/A #10/12</v>
          </cell>
        </row>
        <row r="3284">
          <cell r="D3284" t="str">
            <v>X470D4U</v>
          </cell>
          <cell r="E3284" t="str">
            <v>E9S0XW012677</v>
          </cell>
        </row>
        <row r="3285">
          <cell r="D3285" t="str">
            <v>X470D4U</v>
          </cell>
          <cell r="E3285" t="str">
            <v>E9S0XW012676</v>
          </cell>
        </row>
        <row r="3286">
          <cell r="D3286" t="str">
            <v>X470D4U</v>
          </cell>
          <cell r="E3286" t="str">
            <v>E9S0XW012675</v>
          </cell>
        </row>
        <row r="3287">
          <cell r="D3287" t="str">
            <v>C246M WS</v>
          </cell>
          <cell r="E3287" t="str">
            <v>ECS0XW008301</v>
          </cell>
        </row>
        <row r="3288">
          <cell r="D3288" t="str">
            <v>EPYC3101D4I-2T</v>
          </cell>
          <cell r="E3288" t="str">
            <v>08S0XW016505</v>
          </cell>
        </row>
        <row r="3289">
          <cell r="D3289" t="str">
            <v>EPC621D8A</v>
          </cell>
          <cell r="E3289" t="str">
            <v>E9S0XW010329</v>
          </cell>
        </row>
        <row r="3290">
          <cell r="D3290" t="str">
            <v>MegaRaid 9361-8i   05-25420-08</v>
          </cell>
          <cell r="E3290" t="str">
            <v>SKB2082038</v>
          </cell>
        </row>
        <row r="3291">
          <cell r="D3291" t="str">
            <v>M471A1K43CB1-CTD</v>
          </cell>
          <cell r="E3291" t="str">
            <v>S0FFA10934339BF25F</v>
          </cell>
        </row>
        <row r="3292">
          <cell r="D3292" t="str">
            <v>MZ7L33T8HBLT-00A07</v>
          </cell>
          <cell r="E3292" t="str">
            <v>S6ERNE0RC06137</v>
          </cell>
        </row>
        <row r="3293">
          <cell r="D3293" t="str">
            <v>CD8069503956401 SILVER 4208</v>
          </cell>
          <cell r="E3293" t="str">
            <v>J201G989</v>
          </cell>
        </row>
        <row r="3294">
          <cell r="D3294" t="str">
            <v>CD8069503956401 SILVER 4208</v>
          </cell>
          <cell r="E3294" t="str">
            <v>J201G989</v>
          </cell>
        </row>
        <row r="3295">
          <cell r="D3295" t="str">
            <v>CD8069503956401 SILVER 4208</v>
          </cell>
          <cell r="E3295" t="str">
            <v>J201G989</v>
          </cell>
        </row>
        <row r="3296">
          <cell r="D3296" t="str">
            <v>CD8069503956401 SILVER 4208</v>
          </cell>
          <cell r="E3296" t="str">
            <v>J201G989</v>
          </cell>
        </row>
        <row r="3297">
          <cell r="D3297" t="str">
            <v>CD8069503956401 SILVER 4208</v>
          </cell>
          <cell r="E3297" t="str">
            <v>J201G989</v>
          </cell>
        </row>
        <row r="3298">
          <cell r="D3298" t="str">
            <v>CD8069503956401 SILVER 4208</v>
          </cell>
          <cell r="E3298" t="str">
            <v>J201G989</v>
          </cell>
        </row>
        <row r="3299">
          <cell r="D3299" t="str">
            <v>CD8069503956401 SILVER 4208</v>
          </cell>
          <cell r="E3299" t="str">
            <v>J201G989</v>
          </cell>
        </row>
        <row r="3300">
          <cell r="D3300" t="str">
            <v>CD8069503956401 SILVER 4208</v>
          </cell>
          <cell r="E3300" t="str">
            <v>J201G989</v>
          </cell>
        </row>
        <row r="3301">
          <cell r="D3301" t="str">
            <v>CD8069503956401 SILVER 4208</v>
          </cell>
          <cell r="E3301" t="str">
            <v>J201G989</v>
          </cell>
        </row>
        <row r="3302">
          <cell r="D3302" t="str">
            <v>CD8069503956401 SILVER 4208</v>
          </cell>
          <cell r="E3302" t="str">
            <v>J201G989</v>
          </cell>
        </row>
        <row r="3303">
          <cell r="D3303" t="str">
            <v>CD8069503956401 SILVER 4208</v>
          </cell>
          <cell r="E3303" t="str">
            <v>J201G989</v>
          </cell>
        </row>
        <row r="3304">
          <cell r="D3304" t="str">
            <v>CD8069503956401 SILVER 4208</v>
          </cell>
          <cell r="E3304" t="str">
            <v>J201G989</v>
          </cell>
        </row>
        <row r="3305">
          <cell r="D3305" t="str">
            <v>CD8069503956401 SILVER 4208</v>
          </cell>
          <cell r="E3305" t="str">
            <v>J201G989</v>
          </cell>
        </row>
        <row r="3306">
          <cell r="D3306" t="str">
            <v>CD8069503956401 SILVER 4208</v>
          </cell>
          <cell r="E3306" t="str">
            <v>J201G989</v>
          </cell>
        </row>
        <row r="3307">
          <cell r="D3307" t="str">
            <v>CD8069503956401 SILVER 4208</v>
          </cell>
          <cell r="E3307" t="str">
            <v>J201G989</v>
          </cell>
        </row>
        <row r="3308">
          <cell r="D3308" t="str">
            <v>CD8069503956401 SILVER 4208</v>
          </cell>
          <cell r="E3308" t="str">
            <v>J201G989</v>
          </cell>
        </row>
        <row r="3309">
          <cell r="D3309" t="str">
            <v>CD8069503956401 SILVER 4208</v>
          </cell>
          <cell r="E3309" t="str">
            <v>J201G989</v>
          </cell>
        </row>
        <row r="3310">
          <cell r="D3310" t="str">
            <v>CD8069503956401 SILVER 4208</v>
          </cell>
          <cell r="E3310" t="str">
            <v>J201G989</v>
          </cell>
        </row>
        <row r="3311">
          <cell r="D3311" t="str">
            <v>CD8069503956401 SILVER 4208</v>
          </cell>
          <cell r="E3311" t="str">
            <v>J201G989</v>
          </cell>
        </row>
        <row r="3312">
          <cell r="D3312" t="str">
            <v>CD8069503956401 SILVER 4208</v>
          </cell>
          <cell r="E3312" t="str">
            <v>J201G989</v>
          </cell>
        </row>
        <row r="3313">
          <cell r="D3313" t="str">
            <v>CD8069503956401 SILVER 4208</v>
          </cell>
          <cell r="E3313" t="str">
            <v>J201G989</v>
          </cell>
        </row>
        <row r="3314">
          <cell r="D3314" t="str">
            <v>CD8069503956401 SILVER 4208</v>
          </cell>
          <cell r="E3314" t="str">
            <v>J201G989</v>
          </cell>
        </row>
        <row r="3315">
          <cell r="D3315" t="str">
            <v>CD8069503956401 SILVER 4208</v>
          </cell>
          <cell r="E3315" t="str">
            <v>J201G989</v>
          </cell>
        </row>
        <row r="3316">
          <cell r="D3316" t="str">
            <v>CD8069503956401 SILVER 4208</v>
          </cell>
          <cell r="E3316" t="str">
            <v>J201G989</v>
          </cell>
        </row>
        <row r="3317">
          <cell r="D3317" t="str">
            <v>CD8069503956401 SILVER 4208</v>
          </cell>
          <cell r="E3317" t="str">
            <v>J201G989</v>
          </cell>
        </row>
        <row r="3318">
          <cell r="D3318" t="str">
            <v>CD8069503956401 SILVER 4208</v>
          </cell>
          <cell r="E3318" t="str">
            <v>J201G989</v>
          </cell>
        </row>
        <row r="3319">
          <cell r="D3319" t="str">
            <v>CD8069503956401 SILVER 4208</v>
          </cell>
          <cell r="E3319" t="str">
            <v>J201G989</v>
          </cell>
        </row>
        <row r="3320">
          <cell r="D3320" t="str">
            <v>CD8069503956401 SILVER 4208</v>
          </cell>
          <cell r="E3320" t="str">
            <v>J201G989</v>
          </cell>
        </row>
        <row r="3321">
          <cell r="D3321" t="str">
            <v>CD8069503956401 SILVER 4208</v>
          </cell>
          <cell r="E3321" t="str">
            <v>J201G989</v>
          </cell>
        </row>
        <row r="3322">
          <cell r="D3322" t="str">
            <v>CD8069503956401 SILVER 4208</v>
          </cell>
          <cell r="E3322" t="str">
            <v>J201G989</v>
          </cell>
        </row>
        <row r="3323">
          <cell r="D3323" t="str">
            <v>CD8069503956401 SILVER 4208</v>
          </cell>
          <cell r="E3323" t="str">
            <v>J201G989</v>
          </cell>
        </row>
        <row r="3324">
          <cell r="D3324" t="str">
            <v>CD8069503956401 SILVER 4208</v>
          </cell>
          <cell r="E3324" t="str">
            <v>J201G989</v>
          </cell>
        </row>
        <row r="3325">
          <cell r="D3325" t="str">
            <v>CD8069503956401 SILVER 4208</v>
          </cell>
          <cell r="E3325" t="str">
            <v>J201G989</v>
          </cell>
        </row>
        <row r="3326">
          <cell r="D3326" t="str">
            <v>CD8069503956401 SILVER 4208</v>
          </cell>
          <cell r="E3326" t="str">
            <v>J201G989</v>
          </cell>
        </row>
        <row r="3327">
          <cell r="D3327" t="str">
            <v>CD8069503956401 SILVER 4208</v>
          </cell>
          <cell r="E3327" t="str">
            <v>J201G989</v>
          </cell>
        </row>
        <row r="3328">
          <cell r="D3328" t="str">
            <v>CD8069503956401 SILVER 4208</v>
          </cell>
          <cell r="E3328" t="str">
            <v>J201G989</v>
          </cell>
        </row>
        <row r="3329">
          <cell r="D3329" t="str">
            <v>CD8069503956401 SILVER 4208</v>
          </cell>
          <cell r="E3329" t="str">
            <v>J201G989</v>
          </cell>
        </row>
        <row r="3330">
          <cell r="D3330" t="str">
            <v>CD8069503956401 SILVER 4208</v>
          </cell>
          <cell r="E3330" t="str">
            <v>J201G989</v>
          </cell>
        </row>
        <row r="3331">
          <cell r="D3331" t="str">
            <v>CD8069503956401 SILVER 4208</v>
          </cell>
          <cell r="E3331" t="str">
            <v>J201G989</v>
          </cell>
        </row>
        <row r="3332">
          <cell r="D3332" t="str">
            <v>CD8069503956401 SILVER 4208</v>
          </cell>
          <cell r="E3332" t="str">
            <v>J201G989</v>
          </cell>
        </row>
        <row r="3333">
          <cell r="D3333" t="str">
            <v>CD8069503956401 SILVER 4208</v>
          </cell>
          <cell r="E3333" t="str">
            <v>J201G989</v>
          </cell>
        </row>
        <row r="3334">
          <cell r="D3334" t="str">
            <v>CD8069503956401 SILVER 4208</v>
          </cell>
          <cell r="E3334" t="str">
            <v>J201G989</v>
          </cell>
        </row>
        <row r="3335">
          <cell r="D3335" t="str">
            <v>CD8069503956401 SILVER 4208</v>
          </cell>
          <cell r="E3335" t="str">
            <v>J201G989</v>
          </cell>
        </row>
        <row r="3336">
          <cell r="D3336" t="str">
            <v>CD8069503956401 SILVER 4208</v>
          </cell>
          <cell r="E3336" t="str">
            <v>J201G989</v>
          </cell>
        </row>
        <row r="3337">
          <cell r="D3337" t="str">
            <v>CD8069503956401 SILVER 4208</v>
          </cell>
          <cell r="E3337" t="str">
            <v>J201G989</v>
          </cell>
        </row>
        <row r="3338">
          <cell r="D3338" t="str">
            <v>CD8069503956401 SILVER 4208</v>
          </cell>
          <cell r="E3338" t="str">
            <v>J201G989</v>
          </cell>
        </row>
        <row r="3339">
          <cell r="D3339" t="str">
            <v>CD8069503956401 SILVER 4208</v>
          </cell>
          <cell r="E3339" t="str">
            <v>J201G989</v>
          </cell>
        </row>
        <row r="3340">
          <cell r="D3340" t="str">
            <v>CD8069503956401 SILVER 4208</v>
          </cell>
          <cell r="E3340" t="str">
            <v>J201G989</v>
          </cell>
        </row>
        <row r="3341">
          <cell r="D3341" t="str">
            <v>CD8069503956401 SILVER 4208</v>
          </cell>
          <cell r="E3341" t="str">
            <v>J201G989</v>
          </cell>
        </row>
        <row r="3342">
          <cell r="D3342" t="str">
            <v>CD8069503956401 SILVER 4208</v>
          </cell>
          <cell r="E3342" t="str">
            <v>J201G989</v>
          </cell>
        </row>
        <row r="3343">
          <cell r="D3343" t="str">
            <v>CD8069503956401 SILVER 4208</v>
          </cell>
          <cell r="E3343" t="str">
            <v>J201G989</v>
          </cell>
        </row>
        <row r="3344">
          <cell r="D3344" t="str">
            <v>CD8069503956401 SILVER 4208</v>
          </cell>
          <cell r="E3344" t="str">
            <v>J201G989</v>
          </cell>
        </row>
        <row r="3345">
          <cell r="D3345" t="str">
            <v>CD8069503956401 SILVER 4208</v>
          </cell>
          <cell r="E3345" t="str">
            <v>J201G989</v>
          </cell>
        </row>
        <row r="3346">
          <cell r="D3346" t="str">
            <v>CD8069503956401 SILVER 4208</v>
          </cell>
          <cell r="E3346" t="str">
            <v>J201G989</v>
          </cell>
        </row>
        <row r="3347">
          <cell r="D3347" t="str">
            <v>CD8069503956401 SILVER 4208</v>
          </cell>
          <cell r="E3347" t="str">
            <v>J201G989</v>
          </cell>
        </row>
        <row r="3348">
          <cell r="D3348" t="str">
            <v>CD8069503956401 SILVER 4208</v>
          </cell>
          <cell r="E3348" t="str">
            <v>J201G989</v>
          </cell>
        </row>
        <row r="3349">
          <cell r="D3349" t="str">
            <v>CD8069503956401 SILVER 4208</v>
          </cell>
          <cell r="E3349" t="str">
            <v>J201G989</v>
          </cell>
        </row>
        <row r="3350">
          <cell r="D3350" t="str">
            <v>CD8069503956401 SILVER 4208</v>
          </cell>
          <cell r="E3350" t="str">
            <v>J201G989</v>
          </cell>
        </row>
        <row r="3351">
          <cell r="D3351" t="str">
            <v>CD8069503956401 SILVER 4208</v>
          </cell>
          <cell r="E3351" t="str">
            <v>J201G989</v>
          </cell>
        </row>
        <row r="3352">
          <cell r="D3352" t="str">
            <v>CD8069503956401 SILVER 4208</v>
          </cell>
          <cell r="E3352" t="str">
            <v>J201G989</v>
          </cell>
        </row>
        <row r="3353">
          <cell r="D3353" t="str">
            <v>CD8069503956401 SILVER 4208</v>
          </cell>
          <cell r="E3353" t="str">
            <v>J201G989</v>
          </cell>
        </row>
        <row r="3354">
          <cell r="D3354" t="str">
            <v>CD8069503956401 SILVER 4208</v>
          </cell>
          <cell r="E3354" t="str">
            <v>J201G989</v>
          </cell>
        </row>
        <row r="3355">
          <cell r="D3355" t="str">
            <v>CD8069503956401 SILVER 4208</v>
          </cell>
          <cell r="E3355" t="str">
            <v>J201G989</v>
          </cell>
        </row>
        <row r="3356">
          <cell r="D3356" t="str">
            <v>CD8069503956401 SILVER 4208</v>
          </cell>
          <cell r="E3356" t="str">
            <v>J201G989</v>
          </cell>
        </row>
        <row r="3357">
          <cell r="D3357" t="str">
            <v>CD8069503956401 SILVER 4208</v>
          </cell>
          <cell r="E3357" t="str">
            <v>J201G989</v>
          </cell>
        </row>
        <row r="3358">
          <cell r="D3358" t="str">
            <v>CD8069503956401 SILVER 4208</v>
          </cell>
          <cell r="E3358" t="str">
            <v>J201G989</v>
          </cell>
        </row>
        <row r="3359">
          <cell r="D3359" t="str">
            <v>CD8069503956401 SILVER 4208</v>
          </cell>
          <cell r="E3359" t="str">
            <v>J201G989</v>
          </cell>
        </row>
        <row r="3360">
          <cell r="D3360" t="str">
            <v>CD8069503956401 SILVER 4208</v>
          </cell>
          <cell r="E3360" t="str">
            <v>J201G989</v>
          </cell>
        </row>
        <row r="3361">
          <cell r="D3361" t="str">
            <v>CD8069503956401 SILVER 4208</v>
          </cell>
          <cell r="E3361" t="str">
            <v>J201G989</v>
          </cell>
        </row>
        <row r="3362">
          <cell r="D3362" t="str">
            <v>CD8069503956401 SILVER 4208</v>
          </cell>
          <cell r="E3362" t="str">
            <v>J201G989</v>
          </cell>
        </row>
        <row r="3363">
          <cell r="D3363" t="str">
            <v>CD8069503956401 SILVER 4208</v>
          </cell>
          <cell r="E3363" t="str">
            <v>J201G989</v>
          </cell>
        </row>
        <row r="3364">
          <cell r="D3364" t="str">
            <v>CD8069503956401 SILVER 4208</v>
          </cell>
          <cell r="E3364" t="str">
            <v>J201G989</v>
          </cell>
        </row>
        <row r="3365">
          <cell r="D3365" t="str">
            <v>CD8069503956401 SILVER 4208</v>
          </cell>
          <cell r="E3365" t="str">
            <v>J201G989</v>
          </cell>
        </row>
        <row r="3366">
          <cell r="D3366" t="str">
            <v>CD8069503956401 SILVER 4208</v>
          </cell>
          <cell r="E3366" t="str">
            <v>J201G989</v>
          </cell>
        </row>
        <row r="3367">
          <cell r="D3367" t="str">
            <v>CD8069503956401 SILVER 4208</v>
          </cell>
          <cell r="E3367" t="str">
            <v>J201G989</v>
          </cell>
        </row>
        <row r="3368">
          <cell r="D3368" t="str">
            <v>CD8069503956401 SILVER 4208</v>
          </cell>
          <cell r="E3368" t="str">
            <v>J201G989</v>
          </cell>
        </row>
        <row r="3369">
          <cell r="D3369" t="str">
            <v>CD8069503956401 SILVER 4208</v>
          </cell>
          <cell r="E3369" t="str">
            <v>J201G989</v>
          </cell>
        </row>
        <row r="3370">
          <cell r="D3370" t="str">
            <v>CD8069503956401 SILVER 4208</v>
          </cell>
          <cell r="E3370" t="str">
            <v>J201G989</v>
          </cell>
        </row>
        <row r="3371">
          <cell r="D3371" t="str">
            <v>CD8069503956401 SILVER 4208</v>
          </cell>
          <cell r="E3371" t="str">
            <v>J201G989</v>
          </cell>
        </row>
        <row r="3372">
          <cell r="D3372" t="str">
            <v>CD8069503956401 SILVER 4208</v>
          </cell>
          <cell r="E3372" t="str">
            <v>J201G989</v>
          </cell>
        </row>
        <row r="3373">
          <cell r="D3373" t="str">
            <v>CD8069503956401 SILVER 4208</v>
          </cell>
          <cell r="E3373" t="str">
            <v>J201G989</v>
          </cell>
        </row>
        <row r="3374">
          <cell r="D3374" t="str">
            <v>CD8069503956401 SILVER 4208</v>
          </cell>
          <cell r="E3374" t="str">
            <v>J201G989</v>
          </cell>
        </row>
        <row r="3375">
          <cell r="D3375" t="str">
            <v>CD8069503956401 SILVER 4208</v>
          </cell>
          <cell r="E3375" t="str">
            <v>J201G989</v>
          </cell>
        </row>
        <row r="3376">
          <cell r="D3376" t="str">
            <v>CD8069503956401 SILVER 4208</v>
          </cell>
          <cell r="E3376" t="str">
            <v>J201G989</v>
          </cell>
        </row>
        <row r="3377">
          <cell r="D3377" t="str">
            <v>CD8069503956401 SILVER 4208</v>
          </cell>
          <cell r="E3377" t="str">
            <v>J201G989</v>
          </cell>
        </row>
        <row r="3378">
          <cell r="D3378" t="str">
            <v>CD8069503956401 SILVER 4208</v>
          </cell>
          <cell r="E3378" t="str">
            <v>J201G989</v>
          </cell>
        </row>
        <row r="3379">
          <cell r="D3379" t="str">
            <v>CD8069503956401 SILVER 4208</v>
          </cell>
          <cell r="E3379" t="str">
            <v>J201G989</v>
          </cell>
        </row>
        <row r="3380">
          <cell r="D3380" t="str">
            <v>CD8069503956401 SILVER 4208</v>
          </cell>
          <cell r="E3380" t="str">
            <v>J201G989</v>
          </cell>
        </row>
        <row r="3381">
          <cell r="D3381" t="str">
            <v>CD8069503956401 SILVER 4208</v>
          </cell>
          <cell r="E3381" t="str">
            <v>J201G989</v>
          </cell>
        </row>
        <row r="3382">
          <cell r="D3382" t="str">
            <v>CD8069503956401 SILVER 4208</v>
          </cell>
          <cell r="E3382" t="str">
            <v>J201G989</v>
          </cell>
        </row>
        <row r="3383">
          <cell r="D3383" t="str">
            <v>CD8069503956401 SILVER 4208</v>
          </cell>
          <cell r="E3383" t="str">
            <v>J152H660</v>
          </cell>
        </row>
        <row r="3384">
          <cell r="D3384" t="str">
            <v>CD8069503956401 SILVER 4208</v>
          </cell>
          <cell r="E3384" t="str">
            <v>J152H660</v>
          </cell>
        </row>
        <row r="3385">
          <cell r="D3385" t="str">
            <v>CD8069503956401 SILVER 4208</v>
          </cell>
          <cell r="E3385" t="str">
            <v>J152H660</v>
          </cell>
        </row>
        <row r="3386">
          <cell r="D3386" t="str">
            <v>CD8069503956401 SILVER 4208</v>
          </cell>
          <cell r="E3386" t="str">
            <v>J152H660</v>
          </cell>
        </row>
        <row r="3387">
          <cell r="D3387" t="str">
            <v>CD8069503956401 SILVER 4208</v>
          </cell>
          <cell r="E3387" t="str">
            <v>J152H660</v>
          </cell>
        </row>
        <row r="3388">
          <cell r="D3388" t="str">
            <v>CD8069503956401 SILVER 4208</v>
          </cell>
          <cell r="E3388" t="str">
            <v>J152H660</v>
          </cell>
        </row>
        <row r="3389">
          <cell r="D3389" t="str">
            <v>CD8069503956401 SILVER 4208</v>
          </cell>
          <cell r="E3389" t="str">
            <v>J152H660</v>
          </cell>
        </row>
        <row r="3390">
          <cell r="D3390" t="str">
            <v>CD8069503956401 SILVER 4208</v>
          </cell>
          <cell r="E3390" t="str">
            <v>J152H660</v>
          </cell>
        </row>
        <row r="3391">
          <cell r="D3391" t="str">
            <v>CD8069503956401 SILVER 4208</v>
          </cell>
          <cell r="E3391" t="str">
            <v>J152H660</v>
          </cell>
        </row>
        <row r="3392">
          <cell r="D3392" t="str">
            <v>CD8069503956401 SILVER 4208</v>
          </cell>
          <cell r="E3392" t="str">
            <v>J152H660</v>
          </cell>
        </row>
        <row r="3393">
          <cell r="D3393" t="str">
            <v>CD8069503956401 SILVER 4208</v>
          </cell>
          <cell r="E3393" t="str">
            <v>J152H660</v>
          </cell>
        </row>
        <row r="3394">
          <cell r="D3394" t="str">
            <v>CD8069503956401 SILVER 4208</v>
          </cell>
          <cell r="E3394" t="str">
            <v>J152H660</v>
          </cell>
        </row>
        <row r="3395">
          <cell r="D3395" t="str">
            <v>MegaRaid 9361-8i   05-25420-17</v>
          </cell>
          <cell r="E3395" t="str">
            <v>SKB2085392</v>
          </cell>
        </row>
        <row r="3396">
          <cell r="D3396" t="str">
            <v>MegaRaid 9361-8i   05-25420-17</v>
          </cell>
          <cell r="E3396" t="str">
            <v>SKB2071814</v>
          </cell>
        </row>
        <row r="3397">
          <cell r="D3397" t="str">
            <v>0B36404</v>
          </cell>
          <cell r="E3397" t="str">
            <v>VYG42EEM</v>
          </cell>
        </row>
        <row r="3398">
          <cell r="D3398" t="str">
            <v>0B36404</v>
          </cell>
          <cell r="E3398" t="str">
            <v>VYG3L0XM</v>
          </cell>
        </row>
        <row r="3399">
          <cell r="D3399" t="str">
            <v>0B42266</v>
          </cell>
          <cell r="E3399" t="str">
            <v>VCJT08VP</v>
          </cell>
        </row>
        <row r="3400">
          <cell r="D3400" t="str">
            <v>0B42266</v>
          </cell>
          <cell r="E3400" t="str">
            <v>VCJSXBWP</v>
          </cell>
        </row>
        <row r="3401">
          <cell r="D3401" t="str">
            <v>0B36039</v>
          </cell>
          <cell r="E3401" t="str">
            <v>V9KLTNBL</v>
          </cell>
        </row>
        <row r="3402">
          <cell r="D3402" t="str">
            <v>0B36039</v>
          </cell>
          <cell r="E3402" t="str">
            <v>V9KM15UL</v>
          </cell>
        </row>
        <row r="3403">
          <cell r="D3403" t="str">
            <v>0B36039</v>
          </cell>
          <cell r="E3403" t="str">
            <v>V9KLZSEL</v>
          </cell>
        </row>
        <row r="3404">
          <cell r="D3404" t="str">
            <v>0B36039</v>
          </cell>
          <cell r="E3404" t="str">
            <v>V9KM1M5L</v>
          </cell>
        </row>
        <row r="3405">
          <cell r="D3405" t="str">
            <v>MBD X10DRG-Q</v>
          </cell>
          <cell r="E3405" t="str">
            <v>UM218S001376</v>
          </cell>
        </row>
        <row r="3406">
          <cell r="D3406" t="str">
            <v>HBA 9500-16i     05-50077-02</v>
          </cell>
          <cell r="E3406" t="str">
            <v>SKB3893349</v>
          </cell>
        </row>
        <row r="3407">
          <cell r="D3407" t="str">
            <v>HBA 9500-16i     05-50077-02</v>
          </cell>
          <cell r="E3407" t="str">
            <v>SKB3893767</v>
          </cell>
        </row>
        <row r="3408">
          <cell r="D3408" t="str">
            <v>CSE-825TQC-R1K03LPB</v>
          </cell>
          <cell r="E3408" t="str">
            <v>C8250FK16P10573</v>
          </cell>
        </row>
        <row r="3409">
          <cell r="D3409" t="str">
            <v>MZ7LH240HAHQ-00005</v>
          </cell>
          <cell r="E3409" t="str">
            <v>S45RNC0T132325</v>
          </cell>
        </row>
        <row r="3410">
          <cell r="D3410" t="str">
            <v>MZ7LH240HAHQ-00005</v>
          </cell>
          <cell r="E3410" t="str">
            <v>S45RNC0T132324</v>
          </cell>
        </row>
        <row r="3411">
          <cell r="D3411" t="str">
            <v>Intel Xeon E-2274G</v>
          </cell>
          <cell r="E3411" t="str">
            <v>X140F457  00722    U1347TR201316</v>
          </cell>
        </row>
        <row r="3412">
          <cell r="D3412" t="str">
            <v>Intel Xeon E-2274G</v>
          </cell>
          <cell r="E3412" t="str">
            <v>X140F457  01316    U1347TR200722</v>
          </cell>
        </row>
        <row r="3413">
          <cell r="D3413" t="str">
            <v>SSDSC2KG960G801</v>
          </cell>
          <cell r="E3413" t="str">
            <v>PHYG150604W1960CGN</v>
          </cell>
        </row>
        <row r="3414">
          <cell r="D3414" t="str">
            <v>SSDSC2KG960G801</v>
          </cell>
          <cell r="E3414" t="str">
            <v>PHYG15060519960CGN</v>
          </cell>
        </row>
        <row r="3415">
          <cell r="D3415" t="str">
            <v>SSDSC2KG960G801</v>
          </cell>
          <cell r="E3415" t="str">
            <v>PHYG150604Z8960CGN</v>
          </cell>
        </row>
        <row r="3416">
          <cell r="D3416" t="str">
            <v>SSDSC2KG960G801</v>
          </cell>
          <cell r="E3416" t="str">
            <v>PHYG150607XC960CGN</v>
          </cell>
        </row>
        <row r="3417">
          <cell r="D3417" t="str">
            <v>SSDSC2KG960G801</v>
          </cell>
          <cell r="E3417" t="str">
            <v>PHYG150604YT960CGN</v>
          </cell>
        </row>
        <row r="3418">
          <cell r="D3418" t="str">
            <v>SSDSC2KG960G801</v>
          </cell>
          <cell r="E3418" t="str">
            <v>PHYG150604T1960CGN</v>
          </cell>
        </row>
        <row r="3419">
          <cell r="D3419" t="str">
            <v>1U4LW-X470</v>
          </cell>
          <cell r="E3419" t="str">
            <v>EBS0R8000199</v>
          </cell>
        </row>
        <row r="3420">
          <cell r="D3420" t="str">
            <v>1U4LW-X470</v>
          </cell>
          <cell r="E3420" t="str">
            <v>EBS0R8000219</v>
          </cell>
        </row>
        <row r="3421">
          <cell r="D3421" t="str">
            <v>MZ7LH480HAHQ-00005</v>
          </cell>
          <cell r="E3421" t="str">
            <v>S45PNC1T101769</v>
          </cell>
        </row>
        <row r="3422">
          <cell r="D3422" t="str">
            <v>MZ7LH480HAHQ-00005</v>
          </cell>
          <cell r="E3422" t="str">
            <v>S45PNC1T101783</v>
          </cell>
        </row>
        <row r="3423">
          <cell r="D3423" t="str">
            <v>0F38459</v>
          </cell>
          <cell r="E3423" t="str">
            <v>3FJ940DT</v>
          </cell>
        </row>
        <row r="3424">
          <cell r="D3424" t="str">
            <v>0F38459</v>
          </cell>
          <cell r="E3424" t="str">
            <v>3RH6J47C</v>
          </cell>
        </row>
        <row r="3425">
          <cell r="D3425" t="str">
            <v>0F38459</v>
          </cell>
          <cell r="E3425" t="str">
            <v>3FJ7W5MT</v>
          </cell>
        </row>
        <row r="3426">
          <cell r="D3426" t="str">
            <v>0F38459</v>
          </cell>
          <cell r="E3426" t="str">
            <v>3FJ8X28T</v>
          </cell>
        </row>
        <row r="3427">
          <cell r="D3427" t="str">
            <v>0F38459</v>
          </cell>
          <cell r="E3427" t="str">
            <v>3RJAJJDA</v>
          </cell>
        </row>
        <row r="3428">
          <cell r="D3428" t="str">
            <v>0B36404</v>
          </cell>
          <cell r="E3428" t="str">
            <v>VYG3L1GM</v>
          </cell>
        </row>
        <row r="3429">
          <cell r="D3429" t="str">
            <v>MBD-X11SCL-F-B</v>
          </cell>
          <cell r="E3429" t="str">
            <v>VM21CS000949</v>
          </cell>
        </row>
        <row r="3430">
          <cell r="D3430" t="str">
            <v>MBD-X11SCL-F-B</v>
          </cell>
          <cell r="E3430" t="str">
            <v>VM21CS000351</v>
          </cell>
        </row>
        <row r="3431">
          <cell r="D3431" t="str">
            <v>1U4LW-X470</v>
          </cell>
          <cell r="E3431" t="str">
            <v>EBS0R8000197</v>
          </cell>
        </row>
        <row r="3432">
          <cell r="D3432" t="str">
            <v>1U4LW-X470</v>
          </cell>
          <cell r="E3432" t="str">
            <v>EBS0R8000211</v>
          </cell>
        </row>
        <row r="3433">
          <cell r="D3433" t="str">
            <v xml:space="preserve">M393A8G40MB2-CVF </v>
          </cell>
          <cell r="E3433" t="str">
            <v>SNK758</v>
          </cell>
          <cell r="K3433" t="str">
            <v xml:space="preserve">SO/2022/005746/A </v>
          </cell>
        </row>
        <row r="3434">
          <cell r="D3434" t="str">
            <v xml:space="preserve">M393A8G40MB2-CVF </v>
          </cell>
          <cell r="E3434" t="str">
            <v>SNK759</v>
          </cell>
          <cell r="K3434" t="str">
            <v xml:space="preserve">SO/2022/005746/A </v>
          </cell>
        </row>
        <row r="3435">
          <cell r="D3435" t="str">
            <v xml:space="preserve">M393A8G40MB2-CVF </v>
          </cell>
          <cell r="E3435" t="str">
            <v>SNK760</v>
          </cell>
          <cell r="K3435" t="str">
            <v xml:space="preserve">SO/2022/005746/A </v>
          </cell>
        </row>
        <row r="3436">
          <cell r="D3436" t="str">
            <v xml:space="preserve">M393A8G40MB2-CVF </v>
          </cell>
          <cell r="E3436" t="str">
            <v>SNK761</v>
          </cell>
          <cell r="K3436" t="str">
            <v xml:space="preserve">SO/2022/005746/A </v>
          </cell>
        </row>
        <row r="3437">
          <cell r="D3437" t="str">
            <v xml:space="preserve">M393A8G40MB2-CVF </v>
          </cell>
          <cell r="E3437" t="str">
            <v>SNK762</v>
          </cell>
          <cell r="K3437" t="str">
            <v xml:space="preserve">SO/2022/005746/A </v>
          </cell>
        </row>
        <row r="3438">
          <cell r="D3438" t="str">
            <v xml:space="preserve">M393A8G40MB2-CVF </v>
          </cell>
          <cell r="E3438" t="str">
            <v>SNK763</v>
          </cell>
          <cell r="K3438" t="str">
            <v xml:space="preserve">SO/2022/005746/A </v>
          </cell>
        </row>
        <row r="3439">
          <cell r="D3439" t="str">
            <v>MG09ACA18TE</v>
          </cell>
          <cell r="E3439" t="str">
            <v>Y1Q0A099FJDH</v>
          </cell>
        </row>
        <row r="3440">
          <cell r="D3440" t="str">
            <v>MG09ACA18TE</v>
          </cell>
          <cell r="E3440" t="str">
            <v>Y1Q0A0B1FJDH</v>
          </cell>
        </row>
        <row r="3441">
          <cell r="D3441" t="str">
            <v xml:space="preserve">M391A2K43BB1-CTD </v>
          </cell>
          <cell r="E3441" t="str">
            <v>SNK764</v>
          </cell>
        </row>
        <row r="3442">
          <cell r="D3442" t="str">
            <v xml:space="preserve">M391A2K43BB1-CTD </v>
          </cell>
          <cell r="E3442" t="str">
            <v>SNK765</v>
          </cell>
        </row>
        <row r="3443">
          <cell r="D3443" t="str">
            <v xml:space="preserve">M391A2K43BB1-CTD </v>
          </cell>
          <cell r="E3443" t="str">
            <v>SNK766</v>
          </cell>
        </row>
        <row r="3444">
          <cell r="D3444" t="str">
            <v xml:space="preserve">M391A2K43BB1-CTD </v>
          </cell>
          <cell r="E3444" t="str">
            <v>SNK767</v>
          </cell>
        </row>
        <row r="3445">
          <cell r="D3445" t="str">
            <v>MZ7LH240HAHQ-00005</v>
          </cell>
          <cell r="E3445" t="str">
            <v>S45RNC0T140182</v>
          </cell>
        </row>
        <row r="3446">
          <cell r="D3446" t="str">
            <v>MZ7LH240HAHQ-00005</v>
          </cell>
          <cell r="E3446" t="str">
            <v>S45RNC0RC37112</v>
          </cell>
        </row>
        <row r="3447">
          <cell r="D3447" t="str">
            <v>MZ7LH240HAHQ-00005</v>
          </cell>
          <cell r="E3447" t="str">
            <v>S45RNC0RA21589</v>
          </cell>
        </row>
        <row r="3448">
          <cell r="D3448" t="str">
            <v>MZ7LH240HAHQ-00005</v>
          </cell>
          <cell r="E3448" t="str">
            <v>S45RNC0T139591</v>
          </cell>
        </row>
        <row r="3449">
          <cell r="D3449" t="str">
            <v>BCM957412A4120AC</v>
          </cell>
          <cell r="E3449" t="str">
            <v>A41202144000KQFV</v>
          </cell>
        </row>
        <row r="3450">
          <cell r="D3450" t="str">
            <v>BCM957412A4120AC</v>
          </cell>
          <cell r="E3450" t="str">
            <v>A41202144000L2FV</v>
          </cell>
        </row>
        <row r="3451">
          <cell r="D3451" t="str">
            <v>BCM957412A4120AC</v>
          </cell>
          <cell r="E3451" t="str">
            <v>A41202144000R7FV</v>
          </cell>
        </row>
        <row r="3452">
          <cell r="D3452" t="str">
            <v>BCM957412A4120AC</v>
          </cell>
          <cell r="E3452" t="str">
            <v>A41202144000KZFV</v>
          </cell>
        </row>
        <row r="3453">
          <cell r="D3453" t="str">
            <v>BCM957412A4120AC</v>
          </cell>
          <cell r="E3453" t="str">
            <v>A41202144000L3FV</v>
          </cell>
        </row>
        <row r="3454">
          <cell r="D3454" t="str">
            <v>BCM957412A4120AC</v>
          </cell>
          <cell r="E3454" t="str">
            <v>A41202144000L1FV</v>
          </cell>
        </row>
        <row r="3455">
          <cell r="D3455" t="str">
            <v>BCM957412A4120AC</v>
          </cell>
          <cell r="E3455" t="str">
            <v>A41202144000L4FV</v>
          </cell>
        </row>
        <row r="3456">
          <cell r="D3456" t="str">
            <v>BCM957412A4120AC</v>
          </cell>
          <cell r="E3456" t="str">
            <v>A41202144000KWFV</v>
          </cell>
        </row>
        <row r="3457">
          <cell r="D3457" t="str">
            <v>BCM957412A4120AC</v>
          </cell>
          <cell r="E3457" t="str">
            <v>A41202144000NKFV</v>
          </cell>
        </row>
        <row r="3458">
          <cell r="D3458" t="str">
            <v>BCM957412A4120AC</v>
          </cell>
          <cell r="E3458" t="str">
            <v>A41202144000M0FV</v>
          </cell>
        </row>
        <row r="3459">
          <cell r="D3459" t="str">
            <v>BCM957412A4120AC</v>
          </cell>
          <cell r="E3459" t="str">
            <v>A41202144000MVFV</v>
          </cell>
        </row>
        <row r="3460">
          <cell r="D3460" t="str">
            <v>BCM957412A4120AC</v>
          </cell>
          <cell r="E3460" t="str">
            <v>A41202144000MTFV</v>
          </cell>
        </row>
        <row r="3461">
          <cell r="D3461" t="str">
            <v>BCM957412A4120AC</v>
          </cell>
          <cell r="E3461" t="str">
            <v>A41202144000MRFV</v>
          </cell>
        </row>
        <row r="3462">
          <cell r="D3462" t="str">
            <v>BCM957412A4120AC</v>
          </cell>
          <cell r="E3462" t="str">
            <v>A41202144000NUFV</v>
          </cell>
        </row>
        <row r="3463">
          <cell r="D3463" t="str">
            <v>BCM957412A4120AC</v>
          </cell>
          <cell r="E3463" t="str">
            <v>A41202144000MQFV</v>
          </cell>
        </row>
        <row r="3464">
          <cell r="D3464" t="str">
            <v>BCM957412A4120AC</v>
          </cell>
          <cell r="E3464" t="str">
            <v>A41202144000NSFV</v>
          </cell>
        </row>
        <row r="3465">
          <cell r="D3465" t="str">
            <v>BCM957412A4120AC</v>
          </cell>
          <cell r="E3465" t="str">
            <v>A41202144000MPFV</v>
          </cell>
        </row>
        <row r="3466">
          <cell r="D3466" t="str">
            <v>BCM957412A4120AC</v>
          </cell>
          <cell r="E3466" t="str">
            <v>A41202144000MZFV</v>
          </cell>
        </row>
        <row r="3467">
          <cell r="D3467" t="str">
            <v>BCM957412A4120AC</v>
          </cell>
          <cell r="E3467" t="str">
            <v>A41202144000KXFV</v>
          </cell>
        </row>
        <row r="3468">
          <cell r="D3468" t="str">
            <v>BCM957412A4120AC</v>
          </cell>
          <cell r="E3468" t="str">
            <v>A41202144000MIFV</v>
          </cell>
        </row>
        <row r="3469">
          <cell r="D3469" t="str">
            <v>BCM957412A4120AC</v>
          </cell>
          <cell r="E3469" t="str">
            <v>A41202144000Q4FV</v>
          </cell>
        </row>
        <row r="3470">
          <cell r="D3470" t="str">
            <v>BCM957412A4120AC</v>
          </cell>
          <cell r="E3470" t="str">
            <v>A41202144000Q6FV</v>
          </cell>
        </row>
        <row r="3471">
          <cell r="D3471" t="str">
            <v>BCM957412A4120AC</v>
          </cell>
          <cell r="E3471" t="str">
            <v>A41202144000Q8FV</v>
          </cell>
        </row>
        <row r="3472">
          <cell r="D3472" t="str">
            <v>BCM957412A4120AC</v>
          </cell>
          <cell r="E3472" t="str">
            <v>A41202144000PNFV</v>
          </cell>
        </row>
        <row r="3473">
          <cell r="D3473" t="str">
            <v>BCM957412A4120AC</v>
          </cell>
          <cell r="E3473" t="str">
            <v>A41202144000QAFV</v>
          </cell>
        </row>
        <row r="3474">
          <cell r="D3474" t="str">
            <v>BCM957412A4120AC</v>
          </cell>
          <cell r="E3474" t="str">
            <v>A41202144000NVFV</v>
          </cell>
        </row>
        <row r="3475">
          <cell r="D3475" t="str">
            <v>BCM957412A4120AC</v>
          </cell>
          <cell r="E3475" t="str">
            <v>A41202144000PYFV</v>
          </cell>
        </row>
        <row r="3476">
          <cell r="D3476" t="str">
            <v>BCM957412A4120AC</v>
          </cell>
          <cell r="E3476" t="str">
            <v>A41202144000OKFV</v>
          </cell>
        </row>
        <row r="3477">
          <cell r="D3477" t="str">
            <v>BCM957412A4120AC</v>
          </cell>
          <cell r="E3477" t="str">
            <v>A41202144000SJFV</v>
          </cell>
        </row>
        <row r="3478">
          <cell r="D3478" t="str">
            <v>BCM957412A4120AC</v>
          </cell>
          <cell r="E3478" t="str">
            <v>A41202144000QCFV</v>
          </cell>
        </row>
        <row r="3479">
          <cell r="D3479" t="str">
            <v>BCM957412A4120AC</v>
          </cell>
          <cell r="E3479" t="str">
            <v>A41202144000IHFV</v>
          </cell>
        </row>
        <row r="3480">
          <cell r="D3480" t="str">
            <v>BCM957412A4120AC</v>
          </cell>
          <cell r="E3480" t="str">
            <v>A41202144000ICFV</v>
          </cell>
        </row>
        <row r="3481">
          <cell r="D3481" t="str">
            <v>BCM957412A4120AC</v>
          </cell>
          <cell r="E3481" t="str">
            <v>A41202144000HXFV</v>
          </cell>
        </row>
        <row r="3482">
          <cell r="D3482" t="str">
            <v>BCM957412A4120AC</v>
          </cell>
          <cell r="E3482" t="str">
            <v>A41202144000DBFV</v>
          </cell>
        </row>
        <row r="3483">
          <cell r="D3483" t="str">
            <v>BCM957412A4120AC</v>
          </cell>
          <cell r="E3483" t="str">
            <v>A41202144000P2FV</v>
          </cell>
        </row>
        <row r="3484">
          <cell r="D3484" t="str">
            <v>BCM957412A4120AC</v>
          </cell>
          <cell r="E3484" t="str">
            <v>A41202144000I5FV</v>
          </cell>
        </row>
        <row r="3485">
          <cell r="D3485" t="str">
            <v>BCM957412A4120AC</v>
          </cell>
          <cell r="E3485" t="str">
            <v>A41202144000I3FV</v>
          </cell>
        </row>
        <row r="3486">
          <cell r="D3486" t="str">
            <v>BCM957412A4120AC</v>
          </cell>
          <cell r="E3486" t="str">
            <v>A41202144000FBFV</v>
          </cell>
        </row>
        <row r="3487">
          <cell r="D3487" t="str">
            <v>BCM957412A4120AC</v>
          </cell>
          <cell r="E3487" t="str">
            <v>A41202144000JLFV</v>
          </cell>
        </row>
        <row r="3488">
          <cell r="D3488" t="str">
            <v>BCM957412A4120AC</v>
          </cell>
          <cell r="E3488" t="str">
            <v>A41202144000P0FV</v>
          </cell>
        </row>
        <row r="3489">
          <cell r="D3489" t="str">
            <v>BCM957412A4120AC</v>
          </cell>
          <cell r="E3489" t="str">
            <v>A41202144000JEFV</v>
          </cell>
        </row>
        <row r="3490">
          <cell r="D3490" t="str">
            <v>BCM957412A4120AC</v>
          </cell>
          <cell r="E3490" t="str">
            <v>A41202144000M5FV</v>
          </cell>
        </row>
        <row r="3491">
          <cell r="D3491" t="str">
            <v>BCM957412A4120AC</v>
          </cell>
          <cell r="E3491" t="str">
            <v>A41202144000MKFV</v>
          </cell>
        </row>
        <row r="3492">
          <cell r="D3492" t="str">
            <v>BCM957412A4120AC</v>
          </cell>
          <cell r="E3492" t="str">
            <v>A41202144000RWFV</v>
          </cell>
        </row>
        <row r="3493">
          <cell r="D3493" t="str">
            <v>BCM957412A4120AC</v>
          </cell>
          <cell r="E3493" t="str">
            <v>A41202144000MNFV</v>
          </cell>
        </row>
        <row r="3494">
          <cell r="D3494" t="str">
            <v>BCM957412A4120AC</v>
          </cell>
          <cell r="E3494" t="str">
            <v>A41202144000S2FV</v>
          </cell>
        </row>
        <row r="3495">
          <cell r="D3495" t="str">
            <v>BCM957412A4120AC</v>
          </cell>
          <cell r="E3495" t="str">
            <v>A41202144000RUFV</v>
          </cell>
        </row>
        <row r="3496">
          <cell r="D3496" t="str">
            <v>BCM957412A4120AC</v>
          </cell>
          <cell r="E3496" t="str">
            <v>A41202144000KAFV</v>
          </cell>
        </row>
        <row r="3497">
          <cell r="D3497" t="str">
            <v>BCM957412A4120AC</v>
          </cell>
          <cell r="E3497" t="str">
            <v>A41202144000JPFV</v>
          </cell>
        </row>
        <row r="3498">
          <cell r="D3498" t="str">
            <v>BCM957412A4120AC</v>
          </cell>
          <cell r="E3498" t="str">
            <v>A41202144000JGFV</v>
          </cell>
        </row>
        <row r="3499">
          <cell r="D3499" t="str">
            <v>BCM957412A4120AC</v>
          </cell>
          <cell r="E3499" t="str">
            <v>A41202144000PSFV</v>
          </cell>
        </row>
        <row r="3500">
          <cell r="D3500" t="str">
            <v>BCM957412A4120AC</v>
          </cell>
          <cell r="E3500" t="str">
            <v>A41202144000POFV</v>
          </cell>
        </row>
        <row r="3501">
          <cell r="D3501" t="str">
            <v>BCM957412A4120AC</v>
          </cell>
          <cell r="E3501" t="str">
            <v>A41202144000JUFV</v>
          </cell>
        </row>
        <row r="3502">
          <cell r="D3502" t="str">
            <v>BCM957412A4120AC</v>
          </cell>
          <cell r="E3502" t="str">
            <v>A41202144000PMFV</v>
          </cell>
        </row>
        <row r="3503">
          <cell r="D3503" t="str">
            <v>BCM957412A4120AC</v>
          </cell>
          <cell r="E3503" t="str">
            <v>A41202144000O4FV</v>
          </cell>
        </row>
        <row r="3504">
          <cell r="D3504" t="str">
            <v>BCM957412A4120AC</v>
          </cell>
          <cell r="E3504" t="str">
            <v>A41202144000PIFV</v>
          </cell>
        </row>
        <row r="3505">
          <cell r="D3505" t="str">
            <v>BCM957412A4120AC</v>
          </cell>
          <cell r="E3505" t="str">
            <v>A41202144000OPFV</v>
          </cell>
        </row>
        <row r="3506">
          <cell r="D3506" t="str">
            <v>BCM957412A4120AC</v>
          </cell>
          <cell r="E3506" t="str">
            <v>A41202144000LKFV</v>
          </cell>
        </row>
        <row r="3507">
          <cell r="D3507" t="str">
            <v>BCM957412A4120AC</v>
          </cell>
          <cell r="E3507" t="str">
            <v>A41202144000NBFV</v>
          </cell>
        </row>
        <row r="3508">
          <cell r="D3508" t="str">
            <v>BCM957412A4120AC</v>
          </cell>
          <cell r="E3508" t="str">
            <v>A41202144000JYFV</v>
          </cell>
        </row>
        <row r="3509">
          <cell r="D3509" t="str">
            <v>BCM957412A4120AC</v>
          </cell>
          <cell r="E3509" t="str">
            <v>A41202144000B3FV</v>
          </cell>
        </row>
        <row r="3510">
          <cell r="D3510" t="str">
            <v>BCM957412A4120AC</v>
          </cell>
          <cell r="E3510" t="str">
            <v>A41202144000DOFV</v>
          </cell>
        </row>
        <row r="3511">
          <cell r="D3511" t="str">
            <v>BCM957412A4120AC</v>
          </cell>
          <cell r="E3511" t="str">
            <v>A41202144000E0FV</v>
          </cell>
        </row>
        <row r="3512">
          <cell r="D3512" t="str">
            <v>BCM957412A4120AC</v>
          </cell>
          <cell r="E3512" t="str">
            <v>A41202144000G8FV</v>
          </cell>
        </row>
        <row r="3513">
          <cell r="D3513" t="str">
            <v>BCM957412A4120AC</v>
          </cell>
          <cell r="E3513" t="str">
            <v>A41202144000DQFV</v>
          </cell>
        </row>
        <row r="3514">
          <cell r="D3514" t="str">
            <v>BCM957412A4120AC</v>
          </cell>
          <cell r="E3514" t="str">
            <v>A41202144000DYFV</v>
          </cell>
        </row>
        <row r="3515">
          <cell r="D3515" t="str">
            <v>BCM957412A4120AC</v>
          </cell>
          <cell r="E3515" t="str">
            <v>A41202144000GGFV</v>
          </cell>
        </row>
        <row r="3516">
          <cell r="D3516" t="str">
            <v>BCM957412A4120AC</v>
          </cell>
          <cell r="E3516" t="str">
            <v>A41202144000G6FV</v>
          </cell>
        </row>
        <row r="3517">
          <cell r="D3517" t="str">
            <v>BCM957412A4120AC</v>
          </cell>
          <cell r="E3517" t="str">
            <v>A41202144000GEFV</v>
          </cell>
        </row>
        <row r="3518">
          <cell r="D3518" t="str">
            <v>BCM957412A4120AC</v>
          </cell>
          <cell r="E3518" t="str">
            <v>A41202144000GAFV</v>
          </cell>
        </row>
        <row r="3519">
          <cell r="D3519" t="str">
            <v>BCM957412A4120AC</v>
          </cell>
          <cell r="E3519" t="str">
            <v>A41202144000BLFV</v>
          </cell>
        </row>
        <row r="3520">
          <cell r="D3520" t="str">
            <v>BCM957412A4120AC</v>
          </cell>
          <cell r="E3520" t="str">
            <v>A41202144000C4FV</v>
          </cell>
        </row>
        <row r="3521">
          <cell r="D3521" t="str">
            <v>BCM957412A4120AC</v>
          </cell>
          <cell r="E3521" t="str">
            <v>A412021440009KFV</v>
          </cell>
        </row>
        <row r="3522">
          <cell r="D3522" t="str">
            <v>BCM957412A4120AC</v>
          </cell>
          <cell r="E3522" t="str">
            <v>A41202144000A0FV</v>
          </cell>
        </row>
        <row r="3523">
          <cell r="D3523" t="str">
            <v>BCM957412A4120AC</v>
          </cell>
          <cell r="E3523" t="str">
            <v>A4120214400097FV</v>
          </cell>
        </row>
        <row r="3524">
          <cell r="D3524" t="str">
            <v>BCM957412A4120AC</v>
          </cell>
          <cell r="E3524" t="str">
            <v>A412021440009BFV</v>
          </cell>
        </row>
        <row r="3525">
          <cell r="D3525" t="str">
            <v>BCM957412A4120AC</v>
          </cell>
          <cell r="E3525" t="str">
            <v>A412021440009SFV</v>
          </cell>
        </row>
        <row r="3526">
          <cell r="D3526" t="str">
            <v>BCM957412A4120AC</v>
          </cell>
          <cell r="E3526" t="str">
            <v>A412021440009FFV</v>
          </cell>
        </row>
        <row r="3527">
          <cell r="D3527" t="str">
            <v>BCM957412A4120AC</v>
          </cell>
          <cell r="E3527" t="str">
            <v>A41202144000A4FV</v>
          </cell>
        </row>
        <row r="3528">
          <cell r="D3528" t="str">
            <v>BCM957412A4120AC</v>
          </cell>
          <cell r="E3528" t="str">
            <v>A4120214400099FV</v>
          </cell>
        </row>
        <row r="3529">
          <cell r="D3529" t="str">
            <v>BCM957412A4120AC</v>
          </cell>
          <cell r="E3529" t="str">
            <v>A41202144000EMFV</v>
          </cell>
        </row>
        <row r="3530">
          <cell r="D3530" t="str">
            <v>BCM957412A4120AC</v>
          </cell>
          <cell r="E3530" t="str">
            <v>A41202144000NLFV</v>
          </cell>
        </row>
        <row r="3531">
          <cell r="D3531" t="str">
            <v>BCM957412A4120AC</v>
          </cell>
          <cell r="E3531" t="str">
            <v>A41202144000EGFV</v>
          </cell>
        </row>
        <row r="3532">
          <cell r="D3532" t="str">
            <v>BCM957412A4120AC</v>
          </cell>
          <cell r="E3532" t="str">
            <v>A41202144000C7FV</v>
          </cell>
        </row>
        <row r="3533">
          <cell r="D3533" t="str">
            <v>BCM957412A4120AC</v>
          </cell>
          <cell r="E3533" t="str">
            <v>A41202144000BSFV</v>
          </cell>
        </row>
        <row r="3534">
          <cell r="D3534" t="str">
            <v>BCM957412A4120AC</v>
          </cell>
          <cell r="E3534" t="str">
            <v>A412021440009ZFV</v>
          </cell>
        </row>
        <row r="3535">
          <cell r="D3535" t="str">
            <v>BCM957412A4120AC</v>
          </cell>
          <cell r="E3535" t="str">
            <v>A41202144000A7FV</v>
          </cell>
        </row>
        <row r="3536">
          <cell r="D3536" t="str">
            <v>BCM957412A4120AC</v>
          </cell>
          <cell r="E3536" t="str">
            <v>A41202144000C0FV</v>
          </cell>
        </row>
        <row r="3537">
          <cell r="D3537" t="str">
            <v>BCM957412A4120AC</v>
          </cell>
          <cell r="E3537" t="str">
            <v>A41202144000BYFV</v>
          </cell>
        </row>
        <row r="3538">
          <cell r="D3538" t="str">
            <v>BCM957412A4120AC</v>
          </cell>
          <cell r="E3538" t="str">
            <v>A41202144000C6FV</v>
          </cell>
        </row>
        <row r="3539">
          <cell r="D3539" t="str">
            <v>BCM957412A4120AC</v>
          </cell>
          <cell r="E3539" t="str">
            <v>A41202144000KGFV</v>
          </cell>
        </row>
        <row r="3540">
          <cell r="D3540" t="str">
            <v>BCM957412A4120AC</v>
          </cell>
          <cell r="E3540" t="str">
            <v>A41202144000KSFV</v>
          </cell>
        </row>
        <row r="3541">
          <cell r="D3541" t="str">
            <v>BCM957412A4120AC</v>
          </cell>
          <cell r="E3541" t="str">
            <v>A41202144000L0FV</v>
          </cell>
        </row>
        <row r="3542">
          <cell r="D3542" t="str">
            <v>BCM957412A4120AC</v>
          </cell>
          <cell r="E3542" t="str">
            <v>A41202144000OIFV</v>
          </cell>
        </row>
        <row r="3543">
          <cell r="D3543" t="str">
            <v>BCM957412A4120AC</v>
          </cell>
          <cell r="E3543" t="str">
            <v>A41202144000L9FV</v>
          </cell>
        </row>
        <row r="3544">
          <cell r="D3544" t="str">
            <v>BCM957412A4120AC</v>
          </cell>
          <cell r="E3544" t="str">
            <v>A41202144000M1FV</v>
          </cell>
        </row>
        <row r="3545">
          <cell r="D3545" t="str">
            <v>BCM957412A4120AC</v>
          </cell>
          <cell r="E3545" t="str">
            <v>A41202144000NYFV</v>
          </cell>
        </row>
        <row r="3546">
          <cell r="D3546" t="str">
            <v>BCM957412A4120AC</v>
          </cell>
          <cell r="E3546" t="str">
            <v>A41202144000M8FV</v>
          </cell>
        </row>
        <row r="3547">
          <cell r="D3547" t="str">
            <v>BCM957412A4120AC</v>
          </cell>
          <cell r="E3547" t="str">
            <v>A41202144000LZFV</v>
          </cell>
        </row>
        <row r="3548">
          <cell r="D3548" t="str">
            <v>BCM957412A4120AC</v>
          </cell>
          <cell r="E3548" t="str">
            <v>A41202144000M9FV</v>
          </cell>
        </row>
        <row r="3549">
          <cell r="D3549" t="str">
            <v>BCM957412A4120AC</v>
          </cell>
          <cell r="E3549" t="str">
            <v>A41202144000MDFV</v>
          </cell>
        </row>
        <row r="3550">
          <cell r="D3550" t="str">
            <v>BCM957412A4120AC</v>
          </cell>
          <cell r="E3550" t="str">
            <v>A41202144000RYFV</v>
          </cell>
        </row>
        <row r="3551">
          <cell r="D3551" t="str">
            <v>BCM957412A4120AC</v>
          </cell>
          <cell r="E3551" t="str">
            <v>A41202144000LFFV</v>
          </cell>
        </row>
        <row r="3552">
          <cell r="D3552" t="str">
            <v>BCM957412A4120AC</v>
          </cell>
          <cell r="E3552" t="str">
            <v>A41202144000Q1FV</v>
          </cell>
        </row>
        <row r="3553">
          <cell r="D3553" t="str">
            <v>BCM957412A4120AC</v>
          </cell>
          <cell r="E3553" t="str">
            <v>A41202144000LCFV</v>
          </cell>
        </row>
        <row r="3554">
          <cell r="D3554" t="str">
            <v>BCM957412A4120AC</v>
          </cell>
          <cell r="E3554" t="str">
            <v>A41202144000M4FV</v>
          </cell>
        </row>
        <row r="3555">
          <cell r="D3555" t="str">
            <v>BCM957412A4120AC</v>
          </cell>
          <cell r="E3555" t="str">
            <v>A41202144000MGFV</v>
          </cell>
        </row>
        <row r="3556">
          <cell r="D3556" t="str">
            <v>BCM957412A4120AC</v>
          </cell>
          <cell r="E3556" t="str">
            <v>A41202144000L8FV</v>
          </cell>
        </row>
        <row r="3557">
          <cell r="D3557" t="str">
            <v>BCM957412A4120AC</v>
          </cell>
          <cell r="E3557" t="str">
            <v>A41202144000S6FV</v>
          </cell>
        </row>
        <row r="3558">
          <cell r="D3558" t="str">
            <v>BCM957412A4120AC</v>
          </cell>
          <cell r="E3558" t="str">
            <v>A41202144000MFFV</v>
          </cell>
        </row>
        <row r="3559">
          <cell r="D3559" t="str">
            <v>BCM957412A4120AC</v>
          </cell>
          <cell r="E3559" t="str">
            <v>A41202144000D5FV</v>
          </cell>
        </row>
        <row r="3560">
          <cell r="D3560" t="str">
            <v>BCM957412A4120AC</v>
          </cell>
          <cell r="E3560" t="str">
            <v>A41202144000NJFV</v>
          </cell>
        </row>
        <row r="3561">
          <cell r="D3561" t="str">
            <v>BCM957412A4120AC</v>
          </cell>
          <cell r="E3561" t="str">
            <v>A41202144000H5FV</v>
          </cell>
        </row>
        <row r="3562">
          <cell r="D3562" t="str">
            <v>BCM957412A4120AC</v>
          </cell>
          <cell r="E3562" t="str">
            <v>A41202144000CKFV</v>
          </cell>
        </row>
        <row r="3563">
          <cell r="D3563" t="str">
            <v>BCM957412A4120AC</v>
          </cell>
          <cell r="E3563" t="str">
            <v>A41202144000CIFV</v>
          </cell>
        </row>
        <row r="3564">
          <cell r="D3564" t="str">
            <v>BCM957412A4120AC</v>
          </cell>
          <cell r="E3564" t="str">
            <v>A41202144000HMFV</v>
          </cell>
        </row>
        <row r="3565">
          <cell r="D3565" t="str">
            <v>BCM957412A4120AC</v>
          </cell>
          <cell r="E3565" t="str">
            <v>A41202144000BXFV</v>
          </cell>
        </row>
        <row r="3566">
          <cell r="D3566" t="str">
            <v>BCM957412A4120AC</v>
          </cell>
          <cell r="E3566" t="str">
            <v>A41202144000C3FV</v>
          </cell>
        </row>
        <row r="3567">
          <cell r="D3567" t="str">
            <v>BCM957412A4120AC</v>
          </cell>
          <cell r="E3567" t="str">
            <v>A41202144000CMFV</v>
          </cell>
        </row>
        <row r="3568">
          <cell r="D3568" t="str">
            <v>BCM957412A4120AC</v>
          </cell>
          <cell r="E3568" t="str">
            <v>A41202144000J0FV</v>
          </cell>
        </row>
        <row r="3569">
          <cell r="D3569" t="str">
            <v>BCM957412A4120AC</v>
          </cell>
          <cell r="E3569" t="str">
            <v>A41202144000EKFV</v>
          </cell>
        </row>
        <row r="3570">
          <cell r="D3570" t="str">
            <v>BCM957412A4120AC</v>
          </cell>
          <cell r="E3570" t="str">
            <v>A41202144000E3FV</v>
          </cell>
        </row>
        <row r="3571">
          <cell r="D3571" t="str">
            <v>BCM957412A4120AC</v>
          </cell>
          <cell r="E3571" t="str">
            <v>A41202144000LTFV</v>
          </cell>
        </row>
        <row r="3572">
          <cell r="D3572" t="str">
            <v>BCM957412A4120AC</v>
          </cell>
          <cell r="E3572" t="str">
            <v>A41202144000N2FV</v>
          </cell>
        </row>
        <row r="3573">
          <cell r="D3573" t="str">
            <v>BCM957412A4120AC</v>
          </cell>
          <cell r="E3573" t="str">
            <v>A41202144000HAFV</v>
          </cell>
        </row>
        <row r="3574">
          <cell r="D3574" t="str">
            <v>BCM957412A4120AC</v>
          </cell>
          <cell r="E3574" t="str">
            <v>A41202144000D0FV</v>
          </cell>
        </row>
        <row r="3575">
          <cell r="D3575" t="str">
            <v>BCM957412A4120AC</v>
          </cell>
          <cell r="E3575" t="str">
            <v>A41202144000MCFV</v>
          </cell>
        </row>
        <row r="3576">
          <cell r="D3576" t="str">
            <v>BCM957412A4120AC</v>
          </cell>
          <cell r="E3576" t="str">
            <v>A41202144000CYFV</v>
          </cell>
        </row>
        <row r="3577">
          <cell r="D3577" t="str">
            <v>BCM957412A4120AC</v>
          </cell>
          <cell r="E3577" t="str">
            <v>A41202144000EIFV</v>
          </cell>
        </row>
        <row r="3578">
          <cell r="D3578" t="str">
            <v>BCM957412A4120AC</v>
          </cell>
          <cell r="E3578" t="str">
            <v>A41202144000H8FV</v>
          </cell>
        </row>
        <row r="3579">
          <cell r="D3579" t="str">
            <v>BCM957412A4120AC</v>
          </cell>
          <cell r="E3579" t="str">
            <v>A41202144000I7FV</v>
          </cell>
        </row>
        <row r="3580">
          <cell r="D3580" t="str">
            <v>BCM957412A4120AC</v>
          </cell>
          <cell r="E3580" t="str">
            <v>A41202144000GZFV</v>
          </cell>
        </row>
        <row r="3581">
          <cell r="D3581" t="str">
            <v>BCM957412A4120AC</v>
          </cell>
          <cell r="E3581" t="str">
            <v>A41202144000GYFV</v>
          </cell>
        </row>
        <row r="3582">
          <cell r="D3582" t="str">
            <v>BCM957412A4120AC</v>
          </cell>
          <cell r="E3582" t="str">
            <v>A41202144000HOFV</v>
          </cell>
        </row>
        <row r="3583">
          <cell r="D3583" t="str">
            <v>BCM957412A4120AC</v>
          </cell>
          <cell r="E3583" t="str">
            <v>A41202144000HQFV</v>
          </cell>
        </row>
        <row r="3584">
          <cell r="D3584" t="str">
            <v>BCM957412A4120AC</v>
          </cell>
          <cell r="E3584" t="str">
            <v>A41202144000GPFV</v>
          </cell>
        </row>
        <row r="3585">
          <cell r="D3585" t="str">
            <v>BCM957412A4120AC</v>
          </cell>
          <cell r="E3585" t="str">
            <v>A41202144000GSFV</v>
          </cell>
        </row>
        <row r="3586">
          <cell r="D3586" t="str">
            <v>BCM957412A4120AC</v>
          </cell>
          <cell r="E3586" t="str">
            <v>A41202144000GUFV</v>
          </cell>
        </row>
        <row r="3587">
          <cell r="D3587" t="str">
            <v>BCM957412A4120AC</v>
          </cell>
          <cell r="E3587" t="str">
            <v>A41202144000GOFV</v>
          </cell>
        </row>
        <row r="3588">
          <cell r="D3588" t="str">
            <v>BCM957412A4120AC</v>
          </cell>
          <cell r="E3588" t="str">
            <v>A41202144000GQFV</v>
          </cell>
        </row>
        <row r="3589">
          <cell r="D3589" t="str">
            <v>BCM957412A4120AC</v>
          </cell>
          <cell r="E3589" t="str">
            <v>A41202144001BZFV</v>
          </cell>
        </row>
        <row r="3590">
          <cell r="D3590" t="str">
            <v>BCM957412A4120AC</v>
          </cell>
          <cell r="E3590" t="str">
            <v>A41202144000EAFV</v>
          </cell>
        </row>
        <row r="3591">
          <cell r="D3591" t="str">
            <v>BCM957412A4120AC</v>
          </cell>
          <cell r="E3591" t="str">
            <v>A41202144000EJFV</v>
          </cell>
        </row>
        <row r="3592">
          <cell r="D3592" t="str">
            <v>BCM957412A4120AC</v>
          </cell>
          <cell r="E3592" t="str">
            <v>A41202144000EEFV</v>
          </cell>
        </row>
        <row r="3593">
          <cell r="D3593" t="str">
            <v>BCM957412A4120AC</v>
          </cell>
          <cell r="E3593" t="str">
            <v>A41202144000ECFV</v>
          </cell>
        </row>
        <row r="3594">
          <cell r="D3594" t="str">
            <v>BCM957412A4120AC</v>
          </cell>
          <cell r="E3594" t="str">
            <v>A41202144000D3FV</v>
          </cell>
        </row>
        <row r="3595">
          <cell r="D3595" t="str">
            <v>BCM957412A4120AC</v>
          </cell>
          <cell r="E3595" t="str">
            <v>A41202144000EHFV</v>
          </cell>
        </row>
        <row r="3596">
          <cell r="D3596" t="str">
            <v>BCM957412A4120AC</v>
          </cell>
          <cell r="E3596" t="str">
            <v>A41202144000EFFV</v>
          </cell>
        </row>
        <row r="3597">
          <cell r="D3597" t="str">
            <v>BCM957412A4120AC</v>
          </cell>
          <cell r="E3597" t="str">
            <v>A41202144000E9FV</v>
          </cell>
        </row>
        <row r="3598">
          <cell r="D3598" t="str">
            <v>BCM957412A4120AC</v>
          </cell>
          <cell r="E3598" t="str">
            <v>A41202144000EBFV</v>
          </cell>
        </row>
        <row r="3599">
          <cell r="D3599" t="str">
            <v>BCM957412A4120AC</v>
          </cell>
          <cell r="E3599" t="str">
            <v>A41202140000CTFV</v>
          </cell>
        </row>
        <row r="3600">
          <cell r="D3600" t="str">
            <v>BCM957412A4120AC</v>
          </cell>
          <cell r="E3600" t="str">
            <v>A41202140000EBFV</v>
          </cell>
        </row>
        <row r="3601">
          <cell r="D3601" t="str">
            <v>BCM957412A4120AC</v>
          </cell>
          <cell r="E3601" t="str">
            <v>A41202140000ESFV</v>
          </cell>
        </row>
        <row r="3602">
          <cell r="D3602" t="str">
            <v>BCM957412A4120AC</v>
          </cell>
          <cell r="E3602" t="str">
            <v>A41202140000EZFV</v>
          </cell>
        </row>
        <row r="3603">
          <cell r="D3603" t="str">
            <v>BCM957412A4120AC</v>
          </cell>
          <cell r="E3603" t="str">
            <v>A41202140000EHFV</v>
          </cell>
        </row>
        <row r="3604">
          <cell r="D3604" t="str">
            <v>BCM957412A4120AC</v>
          </cell>
          <cell r="E3604" t="str">
            <v>A41202140000ENFV</v>
          </cell>
        </row>
        <row r="3605">
          <cell r="D3605" t="str">
            <v>BCM957412A4120AC</v>
          </cell>
          <cell r="E3605" t="str">
            <v>A41202140000DPFV</v>
          </cell>
        </row>
        <row r="3606">
          <cell r="D3606" t="str">
            <v>BCM957412A4120AC</v>
          </cell>
          <cell r="E3606" t="str">
            <v>A41202141000SSFV</v>
          </cell>
        </row>
        <row r="3607">
          <cell r="D3607" t="str">
            <v>BCM957412A4120AC</v>
          </cell>
          <cell r="E3607" t="str">
            <v>A41202140000G7FV</v>
          </cell>
        </row>
        <row r="3608">
          <cell r="D3608" t="str">
            <v>BCM957412A4120AC</v>
          </cell>
          <cell r="E3608" t="str">
            <v>A41202141000R8FV</v>
          </cell>
        </row>
        <row r="3609">
          <cell r="D3609" t="str">
            <v>0B36404</v>
          </cell>
          <cell r="E3609" t="str">
            <v>VYG3VZYM</v>
          </cell>
        </row>
        <row r="3610">
          <cell r="D3610" t="str">
            <v>0B36404</v>
          </cell>
          <cell r="E3610" t="str">
            <v>VR051APK</v>
          </cell>
        </row>
        <row r="3611">
          <cell r="D3611" t="str">
            <v>0B35950</v>
          </cell>
          <cell r="E3611" t="str">
            <v>VBH98W5H</v>
          </cell>
        </row>
        <row r="3612">
          <cell r="D3612" t="str">
            <v>0B35950</v>
          </cell>
          <cell r="E3612" t="str">
            <v>VBH98YKH</v>
          </cell>
        </row>
        <row r="3613">
          <cell r="D3613" t="str">
            <v>0F38459</v>
          </cell>
          <cell r="E3613" t="str">
            <v>3FHVKBBT</v>
          </cell>
        </row>
        <row r="3614">
          <cell r="D3614" t="str">
            <v>0F38459</v>
          </cell>
          <cell r="E3614" t="str">
            <v>3FGS5SYU</v>
          </cell>
        </row>
        <row r="3615">
          <cell r="D3615" t="str">
            <v>0F38459</v>
          </cell>
          <cell r="E3615" t="str">
            <v>3RJBLDYA</v>
          </cell>
        </row>
        <row r="3616">
          <cell r="D3616" t="str">
            <v>0F38459</v>
          </cell>
          <cell r="E3616" t="str">
            <v>3RJ39L2A</v>
          </cell>
        </row>
        <row r="3617">
          <cell r="D3617" t="str">
            <v>CM8070804494617  XeonE-2388G</v>
          </cell>
          <cell r="E3617" t="str">
            <v>V144H920</v>
          </cell>
        </row>
        <row r="3618">
          <cell r="D3618" t="str">
            <v>CM8070804494617  XeonE-2388G</v>
          </cell>
          <cell r="E3618" t="str">
            <v>V144H920</v>
          </cell>
        </row>
        <row r="3619">
          <cell r="D3619" t="str">
            <v>CM8070804494617  XeonE-2388G</v>
          </cell>
          <cell r="E3619" t="str">
            <v>V144H920</v>
          </cell>
        </row>
        <row r="3620">
          <cell r="D3620" t="str">
            <v>CM8070804494617  XeonE-2388G</v>
          </cell>
          <cell r="E3620" t="str">
            <v>V144H920</v>
          </cell>
        </row>
        <row r="3621">
          <cell r="D3621" t="str">
            <v>CM8070804494617  XeonE-2388G</v>
          </cell>
          <cell r="E3621" t="str">
            <v>V144H920</v>
          </cell>
        </row>
        <row r="3622">
          <cell r="D3622" t="str">
            <v>CM8070804494617  XeonE-2388G</v>
          </cell>
          <cell r="E3622" t="str">
            <v>V144H920</v>
          </cell>
        </row>
        <row r="3623">
          <cell r="D3623" t="str">
            <v>CM8070804494617  XeonE-2388G</v>
          </cell>
          <cell r="E3623" t="str">
            <v>V144H920</v>
          </cell>
        </row>
        <row r="3624">
          <cell r="D3624" t="str">
            <v>CM8070804494617  XeonE-2388G</v>
          </cell>
          <cell r="E3624" t="str">
            <v>V144H920</v>
          </cell>
        </row>
        <row r="3625">
          <cell r="D3625" t="str">
            <v>CM8070804494617  XeonE-2388G</v>
          </cell>
          <cell r="E3625" t="str">
            <v>V144H920</v>
          </cell>
        </row>
        <row r="3626">
          <cell r="D3626" t="str">
            <v>CM8070804494617  XeonE-2388G</v>
          </cell>
          <cell r="E3626" t="str">
            <v>V144H920</v>
          </cell>
        </row>
        <row r="3627">
          <cell r="D3627" t="str">
            <v>CM8070804494617  XeonE-2388G</v>
          </cell>
          <cell r="E3627" t="str">
            <v>V144H920</v>
          </cell>
        </row>
        <row r="3628">
          <cell r="D3628" t="str">
            <v>CM8070804494617  XeonE-2388G</v>
          </cell>
          <cell r="E3628" t="str">
            <v>V144H920</v>
          </cell>
        </row>
        <row r="3629">
          <cell r="D3629" t="str">
            <v>CM8070804494617  XeonE-2388G</v>
          </cell>
          <cell r="E3629" t="str">
            <v>V144H920</v>
          </cell>
        </row>
        <row r="3630">
          <cell r="D3630" t="str">
            <v>CM8070804494617  XeonE-2388G</v>
          </cell>
          <cell r="E3630" t="str">
            <v>V144H920</v>
          </cell>
        </row>
        <row r="3631">
          <cell r="D3631" t="str">
            <v>CM8070804494617  XeonE-2388G</v>
          </cell>
          <cell r="E3631" t="str">
            <v>V144H920</v>
          </cell>
        </row>
        <row r="3632">
          <cell r="D3632" t="str">
            <v>CM8070804494617  XeonE-2388G</v>
          </cell>
          <cell r="E3632" t="str">
            <v>V144H920</v>
          </cell>
        </row>
        <row r="3633">
          <cell r="D3633" t="str">
            <v>CM8070804494617  XeonE-2388G</v>
          </cell>
          <cell r="E3633" t="str">
            <v>V144H920</v>
          </cell>
        </row>
        <row r="3634">
          <cell r="D3634" t="str">
            <v>CM8070804494617  XeonE-2388G</v>
          </cell>
          <cell r="E3634" t="str">
            <v>V144H920</v>
          </cell>
        </row>
        <row r="3635">
          <cell r="D3635" t="str">
            <v>CM8070804494617  XeonE-2388G</v>
          </cell>
          <cell r="E3635" t="str">
            <v>V144H920</v>
          </cell>
        </row>
        <row r="3636">
          <cell r="D3636" t="str">
            <v>CM8070804494617  XeonE-2388G</v>
          </cell>
          <cell r="E3636" t="str">
            <v>V144H920</v>
          </cell>
        </row>
        <row r="3637">
          <cell r="D3637" t="str">
            <v>GO PRO HERO 10</v>
          </cell>
          <cell r="E3637" t="str">
            <v>C3461324635105</v>
          </cell>
        </row>
        <row r="3638">
          <cell r="D3638" t="str">
            <v>CD8069504449200 Xeon Silver 4215R</v>
          </cell>
          <cell r="E3638" t="str">
            <v>0C5B9A0E95727D68RGZE 72853VV100230</v>
          </cell>
        </row>
        <row r="3639">
          <cell r="D3639" t="str">
            <v>CD8069504449200 Xeon Silver 4215R</v>
          </cell>
          <cell r="E3639" t="str">
            <v>0C597E0E6BE23B52RGZE  72853VV101365</v>
          </cell>
        </row>
        <row r="3640">
          <cell r="D3640" t="str">
            <v>CD8069504449200 Xeon Silver 4215R</v>
          </cell>
          <cell r="E3640" t="str">
            <v>0C586E0E6383A569RGZE  72853VV100239</v>
          </cell>
        </row>
        <row r="3641">
          <cell r="D3641" t="str">
            <v>CD8069504449200 Xeon Silver 4215R</v>
          </cell>
          <cell r="E3641" t="str">
            <v>0C585F0E0D4349EERGZE  72853VV101309</v>
          </cell>
        </row>
        <row r="3642">
          <cell r="D3642" t="str">
            <v>CD8069504449200 Xeon Silver 4215R</v>
          </cell>
          <cell r="E3642" t="str">
            <v>0B3B990E532C019DRGZE  72JH672800726</v>
          </cell>
        </row>
        <row r="3643">
          <cell r="D3643" t="str">
            <v>CD8069504449200 Xeon Silver 4215R</v>
          </cell>
          <cell r="E3643" t="str">
            <v>0B3A8F0E6FCEF1B0RGZE  72JH672801339</v>
          </cell>
        </row>
        <row r="3644">
          <cell r="D3644" t="str">
            <v>CD8069504449200 Xeon Silver 4215R</v>
          </cell>
          <cell r="E3644" t="str">
            <v>0C63600E3FAE1BCFRGZE  72853VV100249</v>
          </cell>
        </row>
        <row r="3645">
          <cell r="D3645" t="str">
            <v>CD8069504449200 Xeon Silver 4215R</v>
          </cell>
          <cell r="E3645" t="str">
            <v>0C616A0EE311FF38RGZE  72853VV101120</v>
          </cell>
        </row>
        <row r="3646">
          <cell r="D3646" t="str">
            <v>CD8069504449200 Xeon Silver 4215R</v>
          </cell>
          <cell r="E3646" t="str">
            <v>0C5D950ED5B683EBRGZE  72853VV100085</v>
          </cell>
        </row>
        <row r="3647">
          <cell r="D3647" t="str">
            <v>CD8069504449200 Xeon Silver 4215R</v>
          </cell>
          <cell r="E3647" t="str">
            <v>0C5C990E7169EB11RGZE  72853VV100283</v>
          </cell>
        </row>
        <row r="3648">
          <cell r="D3648" t="str">
            <v>CD8069504449200 Xeon Silver 4215R</v>
          </cell>
          <cell r="E3648" t="str">
            <v>0C5B900E75B54AD5RGZE  72853VV100083</v>
          </cell>
        </row>
        <row r="3649">
          <cell r="D3649" t="str">
            <v>CD8069504449200 Xeon Silver 4215R</v>
          </cell>
          <cell r="E3649" t="str">
            <v>0C5C900EE581329DRGZE  72853VV101314</v>
          </cell>
        </row>
        <row r="3650">
          <cell r="D3650" t="str">
            <v>CD8069504449200 Xeon Silver 4215R</v>
          </cell>
          <cell r="E3650" t="str">
            <v>0C5E560EDD82F519RGZE  72853VV100258</v>
          </cell>
        </row>
        <row r="3651">
          <cell r="D3651" t="str">
            <v>MZ7L3960HCJR-00A07</v>
          </cell>
          <cell r="E3651" t="str">
            <v>S662NE0T101064</v>
          </cell>
        </row>
        <row r="3652">
          <cell r="D3652" t="str">
            <v>MZ7L3960HCJR-00A07</v>
          </cell>
          <cell r="E3652" t="str">
            <v>S662NE0T100836</v>
          </cell>
        </row>
        <row r="3653">
          <cell r="D3653" t="str">
            <v>MZ7L3960HCJR-00A07</v>
          </cell>
          <cell r="E3653" t="str">
            <v>S662NE0T100840</v>
          </cell>
        </row>
        <row r="3654">
          <cell r="D3654" t="str">
            <v>MZ7L3960HCJR-00A07</v>
          </cell>
          <cell r="E3654" t="str">
            <v>S662NE0T100835</v>
          </cell>
        </row>
        <row r="3655">
          <cell r="D3655" t="str">
            <v>MZ7L3960HCJR-00A07</v>
          </cell>
          <cell r="E3655" t="str">
            <v>S662NE0T100843</v>
          </cell>
        </row>
        <row r="3656">
          <cell r="D3656" t="str">
            <v>MZ7L3960HCJR-00A07</v>
          </cell>
          <cell r="E3656" t="str">
            <v>S662NE0T100815</v>
          </cell>
        </row>
        <row r="3657">
          <cell r="D3657" t="str">
            <v>MZ7L3960HCJR-00A07</v>
          </cell>
          <cell r="E3657" t="str">
            <v>S662NE0T100781</v>
          </cell>
        </row>
        <row r="3658">
          <cell r="D3658" t="str">
            <v>MZ7L3960HCJR-00A07</v>
          </cell>
          <cell r="E3658" t="str">
            <v>S662NE0T100785</v>
          </cell>
        </row>
        <row r="3659">
          <cell r="D3659" t="str">
            <v>MZ7L3960HCJR-00A07</v>
          </cell>
          <cell r="E3659" t="str">
            <v>S662NE0T100722</v>
          </cell>
        </row>
        <row r="3660">
          <cell r="D3660" t="str">
            <v>MZ7L3960HCJR-00A07</v>
          </cell>
          <cell r="E3660" t="str">
            <v>S662NE0T100842</v>
          </cell>
        </row>
        <row r="3661">
          <cell r="D3661" t="str">
            <v>MZ7L3960HCJR-00A07</v>
          </cell>
          <cell r="E3661" t="str">
            <v>S662NE0T100841</v>
          </cell>
        </row>
        <row r="3662">
          <cell r="D3662" t="str">
            <v>MZ7L3960HCJR-00A07</v>
          </cell>
          <cell r="E3662" t="str">
            <v>S662NE0T100830</v>
          </cell>
        </row>
        <row r="3663">
          <cell r="D3663" t="str">
            <v>MZ7L3960HCJR-00A07</v>
          </cell>
          <cell r="E3663" t="str">
            <v>S662NE0T100762</v>
          </cell>
        </row>
        <row r="3664">
          <cell r="D3664" t="str">
            <v>M393A8G40AB2-CWE</v>
          </cell>
          <cell r="E3664" t="str">
            <v>SNK768</v>
          </cell>
        </row>
        <row r="3665">
          <cell r="D3665" t="str">
            <v>M393A8G40AB2-CWE</v>
          </cell>
          <cell r="E3665" t="str">
            <v>SNK769</v>
          </cell>
        </row>
        <row r="3666">
          <cell r="D3666" t="str">
            <v>M393A8G40AB2-CWE</v>
          </cell>
          <cell r="E3666" t="str">
            <v>SNK770</v>
          </cell>
        </row>
        <row r="3667">
          <cell r="D3667" t="str">
            <v>M393A8G40AB2-CWE</v>
          </cell>
          <cell r="E3667" t="str">
            <v>SNK771</v>
          </cell>
        </row>
        <row r="3668">
          <cell r="D3668" t="str">
            <v>M393A8G40AB2-CWE</v>
          </cell>
          <cell r="E3668" t="str">
            <v>SNK772</v>
          </cell>
        </row>
        <row r="3669">
          <cell r="D3669" t="str">
            <v>M393A8G40AB2-CWE</v>
          </cell>
          <cell r="E3669" t="str">
            <v>SNK773</v>
          </cell>
        </row>
        <row r="3670">
          <cell r="D3670" t="str">
            <v>M393A8G40AB2-CWE</v>
          </cell>
          <cell r="E3670" t="str">
            <v>SNK774</v>
          </cell>
        </row>
        <row r="3671">
          <cell r="D3671" t="str">
            <v>M393A8G40AB2-CWE</v>
          </cell>
          <cell r="E3671" t="str">
            <v>SNK775</v>
          </cell>
        </row>
        <row r="3672">
          <cell r="D3672" t="str">
            <v>M393A8G40AB2-CWE</v>
          </cell>
          <cell r="E3672" t="str">
            <v>SNK776</v>
          </cell>
        </row>
        <row r="3673">
          <cell r="D3673" t="str">
            <v>M393A8G40AB2-CWE</v>
          </cell>
          <cell r="E3673" t="str">
            <v>SNK777</v>
          </cell>
        </row>
        <row r="3674">
          <cell r="D3674" t="str">
            <v>M393A8G40AB2-CWE</v>
          </cell>
          <cell r="E3674" t="str">
            <v>SNK778</v>
          </cell>
        </row>
        <row r="3675">
          <cell r="D3675" t="str">
            <v>M393A8G40AB2-CWE</v>
          </cell>
          <cell r="E3675" t="str">
            <v>SNK779</v>
          </cell>
        </row>
        <row r="3676">
          <cell r="D3676" t="str">
            <v>CSE-743AC-668B</v>
          </cell>
          <cell r="E3676" t="str">
            <v>C7430FK43P10080</v>
          </cell>
          <cell r="K3676" t="str">
            <v>SO/2022/005746/A  3 LATA GWARANCJI</v>
          </cell>
        </row>
        <row r="3677">
          <cell r="D3677" t="str">
            <v>PWS</v>
          </cell>
          <cell r="E3677" t="str">
            <v>P668PAL38A02591</v>
          </cell>
          <cell r="K3677" t="str">
            <v xml:space="preserve">SO/2022/005746/A </v>
          </cell>
        </row>
        <row r="3678">
          <cell r="D3678" t="str">
            <v>BPN</v>
          </cell>
          <cell r="E3678" t="str">
            <v>PB218S012058</v>
          </cell>
          <cell r="K3678" t="str">
            <v xml:space="preserve">SO/2022/005746/A </v>
          </cell>
        </row>
        <row r="3679">
          <cell r="D3679" t="str">
            <v>SYS-5039MS-H12TRF</v>
          </cell>
          <cell r="E3679" t="str">
            <v>E211678X2201016</v>
          </cell>
        </row>
        <row r="3680">
          <cell r="D3680" t="str">
            <v>CSE</v>
          </cell>
          <cell r="E3680" t="str">
            <v>C9390AH12A40051</v>
          </cell>
        </row>
        <row r="3681">
          <cell r="D3681" t="str">
            <v>AOC</v>
          </cell>
          <cell r="E3681" t="str">
            <v>WA216S012376</v>
          </cell>
        </row>
        <row r="3682">
          <cell r="D3682" t="str">
            <v>AOC</v>
          </cell>
          <cell r="E3682" t="str">
            <v>WA196S004637</v>
          </cell>
        </row>
        <row r="3683">
          <cell r="D3683" t="str">
            <v>BPN</v>
          </cell>
          <cell r="E3683" t="str">
            <v>JB217S000198</v>
          </cell>
        </row>
        <row r="3684">
          <cell r="D3684" t="str">
            <v>PWS</v>
          </cell>
          <cell r="E3684" t="str">
            <v>P2K4FCK18HN0393</v>
          </cell>
        </row>
        <row r="3685">
          <cell r="D3685" t="str">
            <v>PWS</v>
          </cell>
          <cell r="E3685" t="str">
            <v>P2K4FCK18HN0392</v>
          </cell>
        </row>
        <row r="3686">
          <cell r="D3686" t="str">
            <v>MBD</v>
          </cell>
          <cell r="E3686" t="str">
            <v>ZM195S055240</v>
          </cell>
        </row>
        <row r="3687">
          <cell r="D3687" t="str">
            <v>AOC</v>
          </cell>
          <cell r="E3687" t="str">
            <v>ZA218S005185</v>
          </cell>
        </row>
        <row r="3688">
          <cell r="D3688" t="str">
            <v>AOC</v>
          </cell>
          <cell r="E3688" t="str">
            <v>VA202S008821</v>
          </cell>
        </row>
        <row r="3689">
          <cell r="D3689" t="str">
            <v>AOC</v>
          </cell>
          <cell r="E3689" t="str">
            <v>ZA21AS006299</v>
          </cell>
        </row>
        <row r="3690">
          <cell r="D3690" t="str">
            <v>MBD</v>
          </cell>
          <cell r="E3690" t="str">
            <v>ZM195S055191</v>
          </cell>
        </row>
        <row r="3691">
          <cell r="D3691" t="str">
            <v>AOC</v>
          </cell>
          <cell r="E3691" t="str">
            <v>ZA219S002798</v>
          </cell>
        </row>
        <row r="3692">
          <cell r="D3692" t="str">
            <v>AOC</v>
          </cell>
          <cell r="E3692" t="str">
            <v>VA202S008826</v>
          </cell>
        </row>
        <row r="3693">
          <cell r="D3693" t="str">
            <v>AOC</v>
          </cell>
          <cell r="E3693" t="str">
            <v>ZA21AS007320</v>
          </cell>
        </row>
        <row r="3694">
          <cell r="D3694" t="str">
            <v>MBD</v>
          </cell>
          <cell r="E3694" t="str">
            <v>ZM195S055310</v>
          </cell>
        </row>
        <row r="3695">
          <cell r="D3695" t="str">
            <v>AOC</v>
          </cell>
          <cell r="E3695" t="str">
            <v>ZA218S005182</v>
          </cell>
        </row>
        <row r="3696">
          <cell r="D3696" t="str">
            <v>AOC</v>
          </cell>
          <cell r="E3696" t="str">
            <v>VA202S008835</v>
          </cell>
        </row>
        <row r="3697">
          <cell r="D3697" t="str">
            <v>AOC</v>
          </cell>
          <cell r="E3697" t="str">
            <v>ZA21AS007282</v>
          </cell>
        </row>
        <row r="3698">
          <cell r="D3698" t="str">
            <v>MBD</v>
          </cell>
          <cell r="E3698" t="str">
            <v>ZM195S055062</v>
          </cell>
        </row>
        <row r="3699">
          <cell r="D3699" t="str">
            <v>AOC</v>
          </cell>
          <cell r="E3699" t="str">
            <v>ZA218S003691</v>
          </cell>
        </row>
        <row r="3700">
          <cell r="D3700" t="str">
            <v>AOC</v>
          </cell>
          <cell r="E3700" t="str">
            <v>VA202S008818</v>
          </cell>
        </row>
        <row r="3701">
          <cell r="D3701" t="str">
            <v>AOC</v>
          </cell>
          <cell r="E3701" t="str">
            <v>ZA21AS006892</v>
          </cell>
        </row>
        <row r="3702">
          <cell r="D3702" t="str">
            <v>MBD</v>
          </cell>
          <cell r="E3702" t="str">
            <v>ZM195S055302</v>
          </cell>
        </row>
        <row r="3703">
          <cell r="D3703" t="str">
            <v>AOC</v>
          </cell>
          <cell r="E3703" t="str">
            <v>ZA218S003682</v>
          </cell>
        </row>
        <row r="3704">
          <cell r="D3704" t="str">
            <v>AOC</v>
          </cell>
          <cell r="E3704" t="str">
            <v>VA202S008824</v>
          </cell>
        </row>
        <row r="3705">
          <cell r="D3705" t="str">
            <v>AOC</v>
          </cell>
          <cell r="E3705" t="str">
            <v>ZA221S000449</v>
          </cell>
        </row>
        <row r="3706">
          <cell r="D3706" t="str">
            <v>MBD</v>
          </cell>
          <cell r="E3706" t="str">
            <v>ZM195S055084</v>
          </cell>
        </row>
        <row r="3707">
          <cell r="D3707" t="str">
            <v>AOC</v>
          </cell>
          <cell r="E3707" t="str">
            <v>ZA219S002553</v>
          </cell>
        </row>
        <row r="3708">
          <cell r="D3708" t="str">
            <v>AOC</v>
          </cell>
          <cell r="E3708" t="str">
            <v>VA202S008831</v>
          </cell>
        </row>
        <row r="3709">
          <cell r="D3709" t="str">
            <v>AOC</v>
          </cell>
          <cell r="E3709" t="str">
            <v>ZA221S000400</v>
          </cell>
        </row>
        <row r="3710">
          <cell r="D3710" t="str">
            <v>MBD</v>
          </cell>
          <cell r="E3710" t="str">
            <v>ZM195S055206</v>
          </cell>
        </row>
        <row r="3711">
          <cell r="D3711" t="str">
            <v>AOC</v>
          </cell>
          <cell r="E3711" t="str">
            <v>ZA219S002801</v>
          </cell>
        </row>
        <row r="3712">
          <cell r="D3712" t="str">
            <v>AOC</v>
          </cell>
          <cell r="E3712" t="str">
            <v>VA202S008828</v>
          </cell>
        </row>
        <row r="3713">
          <cell r="D3713" t="str">
            <v>AOC</v>
          </cell>
          <cell r="E3713" t="str">
            <v>ZA221S000393</v>
          </cell>
        </row>
        <row r="3714">
          <cell r="D3714" t="str">
            <v>MBD</v>
          </cell>
          <cell r="E3714" t="str">
            <v>ZM195S055217</v>
          </cell>
        </row>
        <row r="3715">
          <cell r="D3715" t="str">
            <v>AOC</v>
          </cell>
          <cell r="E3715" t="str">
            <v>ZA219S002799</v>
          </cell>
        </row>
        <row r="3716">
          <cell r="D3716" t="str">
            <v>AOC</v>
          </cell>
          <cell r="E3716" t="str">
            <v>VA202S008820</v>
          </cell>
        </row>
        <row r="3717">
          <cell r="D3717" t="str">
            <v>AOC</v>
          </cell>
          <cell r="E3717" t="str">
            <v>ZA221S000395</v>
          </cell>
        </row>
        <row r="3718">
          <cell r="D3718" t="str">
            <v>MBD</v>
          </cell>
          <cell r="E3718" t="str">
            <v>ZM195S055218</v>
          </cell>
        </row>
        <row r="3719">
          <cell r="D3719" t="str">
            <v>AOC</v>
          </cell>
          <cell r="E3719" t="str">
            <v>ZA218S003693</v>
          </cell>
        </row>
        <row r="3720">
          <cell r="D3720" t="str">
            <v>AOC</v>
          </cell>
          <cell r="E3720" t="str">
            <v>VA202S008827</v>
          </cell>
        </row>
        <row r="3721">
          <cell r="D3721" t="str">
            <v>AOC</v>
          </cell>
          <cell r="E3721" t="str">
            <v>ZA21AS007280</v>
          </cell>
        </row>
        <row r="3722">
          <cell r="D3722" t="str">
            <v>MBD</v>
          </cell>
          <cell r="E3722" t="str">
            <v>ZM195S055242</v>
          </cell>
        </row>
        <row r="3723">
          <cell r="D3723" t="str">
            <v>AOC</v>
          </cell>
          <cell r="E3723" t="str">
            <v>ZA218S004344</v>
          </cell>
        </row>
        <row r="3724">
          <cell r="D3724" t="str">
            <v>AOC</v>
          </cell>
          <cell r="E3724" t="str">
            <v>VA202S008829</v>
          </cell>
        </row>
        <row r="3725">
          <cell r="D3725" t="str">
            <v>AOC</v>
          </cell>
          <cell r="E3725" t="str">
            <v>ZA21AS006879</v>
          </cell>
        </row>
        <row r="3726">
          <cell r="D3726" t="str">
            <v>MBD</v>
          </cell>
          <cell r="E3726" t="str">
            <v>ZM195S055308</v>
          </cell>
        </row>
        <row r="3727">
          <cell r="D3727" t="str">
            <v>AOC</v>
          </cell>
          <cell r="E3727" t="str">
            <v>ZA218S003688</v>
          </cell>
        </row>
        <row r="3728">
          <cell r="D3728" t="str">
            <v>AOC</v>
          </cell>
          <cell r="E3728" t="str">
            <v>VA202S008837</v>
          </cell>
        </row>
        <row r="3729">
          <cell r="D3729" t="str">
            <v>AOC</v>
          </cell>
          <cell r="E3729" t="str">
            <v>ZA221S000401</v>
          </cell>
        </row>
        <row r="3730">
          <cell r="D3730" t="str">
            <v>MBD</v>
          </cell>
          <cell r="E3730" t="str">
            <v>ZM195S055299</v>
          </cell>
        </row>
        <row r="3731">
          <cell r="D3731" t="str">
            <v>AOC</v>
          </cell>
          <cell r="E3731" t="str">
            <v>ZA218S003690</v>
          </cell>
        </row>
        <row r="3732">
          <cell r="D3732" t="str">
            <v>AOC</v>
          </cell>
          <cell r="E3732" t="str">
            <v>VA202S008816</v>
          </cell>
        </row>
        <row r="3733">
          <cell r="D3733" t="str">
            <v>AOC</v>
          </cell>
          <cell r="E3733" t="str">
            <v>ZA21AS006915</v>
          </cell>
        </row>
        <row r="3734">
          <cell r="D3734" t="str">
            <v>CSE-815TQC4-R504WB3</v>
          </cell>
          <cell r="E3734" t="str">
            <v>C8150LK33P80321</v>
          </cell>
          <cell r="K3734" t="str">
            <v>C8150LK33P80321</v>
          </cell>
        </row>
        <row r="3735">
          <cell r="D3735" t="str">
            <v>PWS-504P-1R2</v>
          </cell>
          <cell r="E3735" t="str">
            <v>P5042CL03KB2302</v>
          </cell>
          <cell r="K3735" t="str">
            <v>C8150LK33P80321</v>
          </cell>
        </row>
        <row r="3736">
          <cell r="D3736" t="str">
            <v>PWS-504P-1R2</v>
          </cell>
          <cell r="E3736" t="str">
            <v>P5042CL03KB2307</v>
          </cell>
          <cell r="K3736" t="str">
            <v>C8150LK33P80321</v>
          </cell>
        </row>
        <row r="3737">
          <cell r="D3737" t="str">
            <v>BPN-SAS3-815TQ-N4</v>
          </cell>
          <cell r="E3737" t="str">
            <v>HB214S014396</v>
          </cell>
          <cell r="K3737" t="str">
            <v>C8150LK33P80321</v>
          </cell>
        </row>
        <row r="3738">
          <cell r="D3738" t="str">
            <v>VFG-SYS-510T-WTR-15</v>
          </cell>
          <cell r="E3738" t="str">
            <v>A459148X2118340</v>
          </cell>
          <cell r="K3738" t="str">
            <v>A459148X2118340</v>
          </cell>
        </row>
        <row r="3739">
          <cell r="D3739" t="str">
            <v>CSE-815TS-R504WBP7</v>
          </cell>
          <cell r="E3739" t="str">
            <v>C815FLK39P80262</v>
          </cell>
          <cell r="K3739" t="str">
            <v>A459148X2118340</v>
          </cell>
        </row>
        <row r="3740">
          <cell r="D3740" t="str">
            <v>PWS-504P-1R</v>
          </cell>
          <cell r="E3740" t="str">
            <v>P5042CL03KB0774</v>
          </cell>
          <cell r="K3740" t="str">
            <v>A459148X2118340</v>
          </cell>
        </row>
        <row r="3741">
          <cell r="D3741" t="str">
            <v>PWS-504P-1R</v>
          </cell>
          <cell r="E3741" t="str">
            <v>P5042CL03KB0794</v>
          </cell>
          <cell r="K3741" t="str">
            <v>A459148X2118340</v>
          </cell>
        </row>
        <row r="3742">
          <cell r="D3742" t="str">
            <v>BPN-SAS3-815TQ-N4</v>
          </cell>
          <cell r="E3742" t="str">
            <v>HB21BS026474</v>
          </cell>
          <cell r="K3742" t="str">
            <v>A459148X2118340</v>
          </cell>
        </row>
        <row r="3743">
          <cell r="D3743" t="str">
            <v>MBD-X12STW-TF</v>
          </cell>
          <cell r="E3743" t="str">
            <v>WM21CS012904</v>
          </cell>
          <cell r="K3743" t="str">
            <v>A459148X2118340</v>
          </cell>
        </row>
        <row r="3744">
          <cell r="D3744" t="str">
            <v>RSC-W-68G4</v>
          </cell>
          <cell r="E3744" t="str">
            <v>VR218S020195</v>
          </cell>
          <cell r="K3744" t="str">
            <v>A459148X2118340</v>
          </cell>
        </row>
        <row r="3745">
          <cell r="D3745" t="str">
            <v>RSC-R1UW-E8R</v>
          </cell>
          <cell r="E3745" t="str">
            <v>WR219S005228</v>
          </cell>
          <cell r="K3745" t="str">
            <v>A459148X2118340</v>
          </cell>
        </row>
        <row r="3746">
          <cell r="D3746" t="str">
            <v>Intel Xeon E-2388G</v>
          </cell>
          <cell r="E3746" t="str">
            <v>81B828V202049</v>
          </cell>
          <cell r="K3746" t="str">
            <v>A459148X2118340</v>
          </cell>
        </row>
        <row r="3747">
          <cell r="D3747" t="str">
            <v>HMAA4GU7AJR8N</v>
          </cell>
          <cell r="E3747" t="str">
            <v>80AD01212074BE03F9</v>
          </cell>
          <cell r="K3747" t="str">
            <v>C8150LK33P80321</v>
          </cell>
        </row>
        <row r="3748">
          <cell r="D3748" t="str">
            <v>HMAA4GU7AJR8N</v>
          </cell>
          <cell r="E3748" t="str">
            <v>80AD01212074BE03F8</v>
          </cell>
          <cell r="K3748" t="str">
            <v>C8150LK33P80321</v>
          </cell>
        </row>
        <row r="3749">
          <cell r="D3749" t="str">
            <v>HMAA4GU7AJR8N</v>
          </cell>
          <cell r="E3749" t="str">
            <v>80AD01212074BE03E7</v>
          </cell>
          <cell r="K3749" t="str">
            <v>C8150LK33P80321</v>
          </cell>
        </row>
        <row r="3750">
          <cell r="D3750" t="str">
            <v>HMAA4GU7AJR8N</v>
          </cell>
          <cell r="E3750" t="str">
            <v>80AD01212074BE03ED</v>
          </cell>
          <cell r="K3750" t="str">
            <v>C8150LK33P80321</v>
          </cell>
        </row>
        <row r="3751">
          <cell r="D3751" t="str">
            <v>1W10001</v>
          </cell>
          <cell r="E3751" t="str">
            <v>WCC6M6SPFRJR</v>
          </cell>
          <cell r="K3751" t="str">
            <v>C8150LK33P80321</v>
          </cell>
        </row>
        <row r="3752">
          <cell r="D3752" t="str">
            <v>1W10001</v>
          </cell>
          <cell r="E3752" t="str">
            <v>WCC6M6SPFEJ7</v>
          </cell>
          <cell r="K3752" t="str">
            <v>C8150LK33P80321</v>
          </cell>
        </row>
        <row r="3753">
          <cell r="D3753" t="str">
            <v>AS-1113S-WN10RT</v>
          </cell>
          <cell r="E3753" t="str">
            <v>E338207X1C02042</v>
          </cell>
        </row>
        <row r="3754">
          <cell r="D3754" t="str">
            <v>CSE</v>
          </cell>
          <cell r="E3754" t="str">
            <v>C1160LJ51P00608</v>
          </cell>
        </row>
        <row r="3755">
          <cell r="D3755" t="str">
            <v>PWS</v>
          </cell>
          <cell r="E3755" t="str">
            <v>P7061VL45IB0412</v>
          </cell>
        </row>
        <row r="3756">
          <cell r="D3756" t="str">
            <v>PWS</v>
          </cell>
          <cell r="E3756" t="str">
            <v>P7061VL45IB0411</v>
          </cell>
        </row>
        <row r="3757">
          <cell r="D3757" t="str">
            <v>BPN</v>
          </cell>
          <cell r="E3757" t="str">
            <v>PB213S000646</v>
          </cell>
        </row>
        <row r="3758">
          <cell r="D3758" t="str">
            <v>MBD</v>
          </cell>
          <cell r="E3758" t="str">
            <v>WM20BS600567</v>
          </cell>
        </row>
        <row r="3759">
          <cell r="D3759" t="str">
            <v>RSC</v>
          </cell>
          <cell r="E3759" t="str">
            <v>ER217S043019</v>
          </cell>
        </row>
        <row r="3760">
          <cell r="D3760" t="str">
            <v>RSC</v>
          </cell>
          <cell r="E3760" t="str">
            <v>VR215S025872</v>
          </cell>
        </row>
        <row r="3761">
          <cell r="D3761" t="str">
            <v>CPU</v>
          </cell>
          <cell r="E3761" t="str">
            <v>9KH6542M20202</v>
          </cell>
        </row>
        <row r="3762">
          <cell r="D3762" t="str">
            <v>MEM</v>
          </cell>
          <cell r="E3762" t="str">
            <v>80AD012143360B8892</v>
          </cell>
        </row>
        <row r="3763">
          <cell r="D3763" t="str">
            <v>MEM</v>
          </cell>
          <cell r="E3763" t="str">
            <v>80AD012143360B889B</v>
          </cell>
        </row>
        <row r="3764">
          <cell r="D3764" t="str">
            <v>MEM</v>
          </cell>
          <cell r="E3764" t="str">
            <v>80AD012121852EAE27</v>
          </cell>
        </row>
        <row r="3765">
          <cell r="D3765" t="str">
            <v>MEM</v>
          </cell>
          <cell r="E3765" t="str">
            <v>80AD012121852EAE7E</v>
          </cell>
        </row>
        <row r="3766">
          <cell r="D3766" t="str">
            <v>MEM</v>
          </cell>
          <cell r="E3766" t="str">
            <v>80AD012143360B889A</v>
          </cell>
        </row>
        <row r="3767">
          <cell r="D3767" t="str">
            <v>MEM</v>
          </cell>
          <cell r="E3767" t="str">
            <v>80AD012121852EAE7D</v>
          </cell>
        </row>
        <row r="3768">
          <cell r="D3768" t="str">
            <v>MEM</v>
          </cell>
          <cell r="E3768" t="str">
            <v>80AD012121852EAE5B</v>
          </cell>
        </row>
        <row r="3769">
          <cell r="D3769" t="str">
            <v>MEM</v>
          </cell>
          <cell r="E3769" t="str">
            <v>80AD012121852EAE5C</v>
          </cell>
        </row>
        <row r="3770">
          <cell r="D3770" t="str">
            <v>HDS</v>
          </cell>
          <cell r="E3770" t="str">
            <v>PHLJ1345015A8P0HGN</v>
          </cell>
        </row>
        <row r="3771">
          <cell r="D3771" t="str">
            <v>HDS</v>
          </cell>
          <cell r="E3771" t="str">
            <v>PHLJ138408JG8P0HGN</v>
          </cell>
        </row>
        <row r="3772">
          <cell r="D3772" t="str">
            <v>HDS</v>
          </cell>
          <cell r="E3772" t="str">
            <v>S4BGNW0R702709</v>
          </cell>
        </row>
        <row r="3773">
          <cell r="D3773" t="str">
            <v>HDS</v>
          </cell>
          <cell r="E3773" t="str">
            <v>S4BGNW0R702711</v>
          </cell>
        </row>
        <row r="3774">
          <cell r="D3774" t="str">
            <v>AS-1114S-WTRT</v>
          </cell>
          <cell r="E3774" t="str">
            <v>E367023X1C00678</v>
          </cell>
        </row>
        <row r="3775">
          <cell r="D3775" t="str">
            <v>CSE</v>
          </cell>
          <cell r="E3775" t="str">
            <v>C1160LJ19NR0606</v>
          </cell>
        </row>
        <row r="3776">
          <cell r="D3776" t="str">
            <v>PWS</v>
          </cell>
          <cell r="E3776" t="str">
            <v>P5041CL47KB0357</v>
          </cell>
        </row>
        <row r="3777">
          <cell r="D3777" t="str">
            <v>PWS</v>
          </cell>
          <cell r="E3777" t="str">
            <v>P5041CL47KB0358</v>
          </cell>
        </row>
        <row r="3778">
          <cell r="D3778" t="str">
            <v>BPN</v>
          </cell>
          <cell r="E3778" t="str">
            <v>HB218S035025</v>
          </cell>
        </row>
        <row r="3779">
          <cell r="D3779" t="str">
            <v>PDB</v>
          </cell>
          <cell r="E3779" t="str">
            <v>PT1125L15LN1903</v>
          </cell>
        </row>
        <row r="3780">
          <cell r="D3780" t="str">
            <v>MBD</v>
          </cell>
          <cell r="E3780" t="str">
            <v>ZM218S600366</v>
          </cell>
        </row>
        <row r="3781">
          <cell r="D3781" t="str">
            <v>RSC</v>
          </cell>
          <cell r="E3781" t="str">
            <v>ER218S014182</v>
          </cell>
        </row>
        <row r="3782">
          <cell r="D3782" t="str">
            <v>RSC</v>
          </cell>
          <cell r="E3782" t="str">
            <v>ER216S008208</v>
          </cell>
        </row>
        <row r="3783">
          <cell r="D3783" t="str">
            <v>CPU</v>
          </cell>
          <cell r="E3783" t="str">
            <v>9KH4638M20035</v>
          </cell>
        </row>
        <row r="3784">
          <cell r="D3784" t="str">
            <v>MEM</v>
          </cell>
          <cell r="E3784" t="str">
            <v>T0B400014848CD3C40</v>
          </cell>
        </row>
        <row r="3785">
          <cell r="D3785" t="str">
            <v>MEM</v>
          </cell>
          <cell r="E3785" t="str">
            <v>T0B400014848CCFD22</v>
          </cell>
        </row>
        <row r="3786">
          <cell r="D3786" t="str">
            <v>MEM</v>
          </cell>
          <cell r="E3786" t="str">
            <v>T0B400014848CCFED6</v>
          </cell>
        </row>
        <row r="3787">
          <cell r="D3787" t="str">
            <v>MEM</v>
          </cell>
          <cell r="E3787" t="str">
            <v>T0B400014848CC6ADB</v>
          </cell>
        </row>
        <row r="3788">
          <cell r="D3788" t="str">
            <v>HDS</v>
          </cell>
          <cell r="E3788" t="str">
            <v>S439NC0R801391</v>
          </cell>
        </row>
        <row r="3789">
          <cell r="D3789" t="str">
            <v>HDS</v>
          </cell>
          <cell r="E3789" t="str">
            <v>S439NC0R801400</v>
          </cell>
        </row>
        <row r="3790">
          <cell r="D3790" t="str">
            <v>AOC</v>
          </cell>
          <cell r="E3790" t="str">
            <v>MT2051J04666</v>
          </cell>
        </row>
        <row r="3791">
          <cell r="D3791" t="str">
            <v>AS-1114S-WTRT</v>
          </cell>
          <cell r="E3791" t="str">
            <v>E367023X1C00672</v>
          </cell>
        </row>
        <row r="3792">
          <cell r="D3792" t="str">
            <v>CSE</v>
          </cell>
          <cell r="E3792" t="str">
            <v>C1160LK21P50769</v>
          </cell>
        </row>
        <row r="3793">
          <cell r="D3793" t="str">
            <v>PWS</v>
          </cell>
          <cell r="E3793" t="str">
            <v>P5041CL47KB0412</v>
          </cell>
        </row>
        <row r="3794">
          <cell r="D3794" t="str">
            <v>PWS</v>
          </cell>
          <cell r="E3794" t="str">
            <v>P5041CL47KB0406</v>
          </cell>
        </row>
        <row r="3795">
          <cell r="D3795" t="str">
            <v>BPN</v>
          </cell>
          <cell r="E3795" t="str">
            <v>HB218S034785</v>
          </cell>
        </row>
        <row r="3796">
          <cell r="D3796" t="str">
            <v>PDB</v>
          </cell>
          <cell r="E3796" t="str">
            <v>PT1125L14LN1846</v>
          </cell>
        </row>
        <row r="3797">
          <cell r="D3797" t="str">
            <v>MBD</v>
          </cell>
          <cell r="E3797" t="str">
            <v>ZM218S600155</v>
          </cell>
        </row>
        <row r="3798">
          <cell r="D3798" t="str">
            <v>RSC</v>
          </cell>
          <cell r="E3798" t="str">
            <v>ER216S011905</v>
          </cell>
        </row>
        <row r="3799">
          <cell r="D3799" t="str">
            <v>RSC</v>
          </cell>
          <cell r="E3799" t="str">
            <v>ER216S008186</v>
          </cell>
        </row>
        <row r="3800">
          <cell r="D3800" t="str">
            <v>CPU</v>
          </cell>
          <cell r="E3800" t="str">
            <v>9KH4638M20075</v>
          </cell>
        </row>
        <row r="3801">
          <cell r="D3801" t="str">
            <v>MEM</v>
          </cell>
          <cell r="E3801" t="str">
            <v>T0B400014848CD5F54</v>
          </cell>
        </row>
        <row r="3802">
          <cell r="D3802" t="str">
            <v>MEM</v>
          </cell>
          <cell r="E3802" t="str">
            <v>T0B400014848CD3529</v>
          </cell>
        </row>
        <row r="3803">
          <cell r="D3803" t="str">
            <v>MEM</v>
          </cell>
          <cell r="E3803" t="str">
            <v>T0B400014848CD267C</v>
          </cell>
        </row>
        <row r="3804">
          <cell r="D3804" t="str">
            <v>MEM</v>
          </cell>
          <cell r="E3804" t="str">
            <v>T0B400014848CD5B1C</v>
          </cell>
        </row>
        <row r="3805">
          <cell r="D3805" t="str">
            <v>HDS</v>
          </cell>
          <cell r="E3805" t="str">
            <v>S439NC0R801393</v>
          </cell>
        </row>
        <row r="3806">
          <cell r="D3806" t="str">
            <v>HDS</v>
          </cell>
          <cell r="E3806" t="str">
            <v>S439NC0R801388</v>
          </cell>
        </row>
        <row r="3807">
          <cell r="D3807" t="str">
            <v>AOC</v>
          </cell>
          <cell r="E3807" t="str">
            <v>MT2051J04692</v>
          </cell>
        </row>
        <row r="3808">
          <cell r="D3808" t="str">
            <v>AS-1114S-WTRT</v>
          </cell>
          <cell r="E3808" t="str">
            <v>E367023X2103680</v>
          </cell>
        </row>
        <row r="3809">
          <cell r="D3809" t="str">
            <v>CSE</v>
          </cell>
          <cell r="E3809" t="str">
            <v>C1160LK09P10863</v>
          </cell>
        </row>
        <row r="3810">
          <cell r="D3810" t="str">
            <v>PWS</v>
          </cell>
          <cell r="E3810" t="str">
            <v>P5041CM03KB1087</v>
          </cell>
        </row>
        <row r="3811">
          <cell r="D3811" t="str">
            <v>PWS</v>
          </cell>
          <cell r="E3811" t="str">
            <v>P5041CM03KB1086</v>
          </cell>
        </row>
        <row r="3812">
          <cell r="D3812" t="str">
            <v>BPN</v>
          </cell>
          <cell r="E3812" t="str">
            <v>HB218S035284</v>
          </cell>
        </row>
        <row r="3813">
          <cell r="D3813" t="str">
            <v>PDB</v>
          </cell>
          <cell r="E3813" t="str">
            <v>PT1125K53LN2397</v>
          </cell>
        </row>
        <row r="3814">
          <cell r="D3814" t="str">
            <v>MBD</v>
          </cell>
          <cell r="E3814" t="str">
            <v>ZM221S600288</v>
          </cell>
        </row>
        <row r="3815">
          <cell r="D3815" t="str">
            <v>RSC</v>
          </cell>
          <cell r="E3815" t="str">
            <v>ER21AS003542</v>
          </cell>
        </row>
        <row r="3816">
          <cell r="D3816" t="str">
            <v>RSC</v>
          </cell>
          <cell r="E3816" t="str">
            <v>ER218S016118</v>
          </cell>
        </row>
        <row r="3817">
          <cell r="D3817" t="str">
            <v>CPU</v>
          </cell>
          <cell r="E3817" t="str">
            <v>9KH4638M20037</v>
          </cell>
        </row>
        <row r="3818">
          <cell r="D3818" t="str">
            <v>MEM</v>
          </cell>
          <cell r="E3818" t="str">
            <v>T0B400014848CC6AD4</v>
          </cell>
        </row>
        <row r="3819">
          <cell r="D3819" t="str">
            <v>MEM</v>
          </cell>
          <cell r="E3819" t="str">
            <v>T0B400014848CC6ADA</v>
          </cell>
        </row>
        <row r="3820">
          <cell r="D3820" t="str">
            <v>MEM</v>
          </cell>
          <cell r="E3820" t="str">
            <v>T0B400014848CD5AD6</v>
          </cell>
        </row>
        <row r="3821">
          <cell r="D3821" t="str">
            <v>MEM</v>
          </cell>
          <cell r="E3821" t="str">
            <v>T0B400014848CD5AE7</v>
          </cell>
        </row>
        <row r="3822">
          <cell r="D3822" t="str">
            <v>HDS</v>
          </cell>
          <cell r="E3822" t="str">
            <v>S439NC0R801399</v>
          </cell>
        </row>
        <row r="3823">
          <cell r="D3823" t="str">
            <v>HDS</v>
          </cell>
          <cell r="E3823" t="str">
            <v>S439NC0R801392</v>
          </cell>
        </row>
        <row r="3824">
          <cell r="D3824" t="str">
            <v>AOC</v>
          </cell>
          <cell r="E3824" t="str">
            <v>MT2051J04658</v>
          </cell>
        </row>
        <row r="3825">
          <cell r="D3825" t="str">
            <v>AS-4023S-TRT</v>
          </cell>
          <cell r="E3825" t="str">
            <v>E296347X1C02971</v>
          </cell>
        </row>
        <row r="3826">
          <cell r="D3826" t="str">
            <v>CSE</v>
          </cell>
          <cell r="E3826" t="str">
            <v>C7450FK35P30014</v>
          </cell>
        </row>
        <row r="3827">
          <cell r="D3827" t="str">
            <v>PWS</v>
          </cell>
          <cell r="E3827" t="str">
            <v>P1K2QCL47NB0550</v>
          </cell>
        </row>
        <row r="3828">
          <cell r="D3828" t="str">
            <v>PWS</v>
          </cell>
          <cell r="E3828" t="str">
            <v>P1K2QCL47NB0551</v>
          </cell>
        </row>
        <row r="3829">
          <cell r="D3829" t="str">
            <v>BPN</v>
          </cell>
          <cell r="E3829" t="str">
            <v>PB217S004843</v>
          </cell>
        </row>
        <row r="3830">
          <cell r="D3830" t="str">
            <v>MBD</v>
          </cell>
          <cell r="E3830" t="str">
            <v>ZM20CS600497</v>
          </cell>
        </row>
        <row r="3831">
          <cell r="D3831" t="str">
            <v>CPU</v>
          </cell>
          <cell r="E3831" t="str">
            <v>9KH6542M20201</v>
          </cell>
        </row>
        <row r="3832">
          <cell r="D3832" t="str">
            <v>CPU</v>
          </cell>
          <cell r="E3832" t="str">
            <v>9KH6542M20157</v>
          </cell>
        </row>
        <row r="3833">
          <cell r="D3833" t="str">
            <v>MEM</v>
          </cell>
          <cell r="E3833" t="str">
            <v>Y1204Q01472452C57B</v>
          </cell>
        </row>
        <row r="3834">
          <cell r="D3834" t="str">
            <v>MEM</v>
          </cell>
          <cell r="E3834" t="str">
            <v>Y1204Q01472452C610</v>
          </cell>
        </row>
        <row r="3835">
          <cell r="D3835" t="str">
            <v>MEM</v>
          </cell>
          <cell r="E3835" t="str">
            <v>Y1204Q01472452C52B</v>
          </cell>
        </row>
        <row r="3836">
          <cell r="D3836" t="str">
            <v>MEM</v>
          </cell>
          <cell r="E3836" t="str">
            <v>Y1204Q01472452C5B5</v>
          </cell>
        </row>
        <row r="3837">
          <cell r="D3837" t="str">
            <v>MEM</v>
          </cell>
          <cell r="E3837" t="str">
            <v>Y1204Q01472452C5D6</v>
          </cell>
        </row>
        <row r="3838">
          <cell r="D3838" t="str">
            <v>MEM</v>
          </cell>
          <cell r="E3838" t="str">
            <v>Y1204Q01472452C51E</v>
          </cell>
        </row>
        <row r="3839">
          <cell r="D3839" t="str">
            <v>MEM</v>
          </cell>
          <cell r="E3839" t="str">
            <v>Y1204Q01472452C3D1</v>
          </cell>
        </row>
        <row r="3840">
          <cell r="D3840" t="str">
            <v>MEM</v>
          </cell>
          <cell r="E3840" t="str">
            <v>Y1204Q01472452C5B4</v>
          </cell>
        </row>
        <row r="3841">
          <cell r="D3841" t="str">
            <v>MEM</v>
          </cell>
          <cell r="E3841" t="str">
            <v>Y1204Q01472452C711</v>
          </cell>
        </row>
        <row r="3842">
          <cell r="D3842" t="str">
            <v>MEM</v>
          </cell>
          <cell r="E3842" t="str">
            <v>Y1204Q01472452C5B1</v>
          </cell>
        </row>
        <row r="3843">
          <cell r="D3843" t="str">
            <v>MEM</v>
          </cell>
          <cell r="E3843" t="str">
            <v>Y1204Q01472452C5F4</v>
          </cell>
        </row>
        <row r="3844">
          <cell r="D3844" t="str">
            <v>MEM</v>
          </cell>
          <cell r="E3844" t="str">
            <v>Y1204Q01472452C4C8</v>
          </cell>
        </row>
        <row r="3845">
          <cell r="D3845" t="str">
            <v>MEM</v>
          </cell>
          <cell r="E3845" t="str">
            <v>Y1204Q01472452C4D0</v>
          </cell>
        </row>
        <row r="3846">
          <cell r="D3846" t="str">
            <v>MEM</v>
          </cell>
          <cell r="E3846" t="str">
            <v>Y1204Q01472452C49B</v>
          </cell>
        </row>
        <row r="3847">
          <cell r="D3847" t="str">
            <v>MEM</v>
          </cell>
          <cell r="E3847" t="str">
            <v>Y1204Q01472452C611</v>
          </cell>
        </row>
        <row r="3848">
          <cell r="D3848" t="str">
            <v>MEM</v>
          </cell>
          <cell r="E3848" t="str">
            <v>Y1204Q01472452C51F</v>
          </cell>
        </row>
        <row r="3849">
          <cell r="D3849" t="str">
            <v>HDS</v>
          </cell>
          <cell r="E3849" t="str">
            <v>PHYF1255032E1P9DGN</v>
          </cell>
        </row>
        <row r="3850">
          <cell r="D3850" t="str">
            <v>HDS</v>
          </cell>
          <cell r="E3850" t="str">
            <v>PHYF125600LT1P9DGN</v>
          </cell>
        </row>
        <row r="3851">
          <cell r="D3851" t="str">
            <v>HDS</v>
          </cell>
          <cell r="E3851" t="str">
            <v>PHYF125600PM1P9DGN</v>
          </cell>
        </row>
        <row r="3852">
          <cell r="D3852" t="str">
            <v>HDS</v>
          </cell>
          <cell r="E3852" t="str">
            <v>PHYF1256029G1P9DGN</v>
          </cell>
        </row>
        <row r="3853">
          <cell r="D3853" t="str">
            <v>SSG-2029P-E1CR24H</v>
          </cell>
          <cell r="E3853" t="str">
            <v>A287048X2111752</v>
          </cell>
        </row>
        <row r="3854">
          <cell r="D3854" t="str">
            <v>CSE</v>
          </cell>
          <cell r="E3854" t="str">
            <v>C2160DJ45NB0067</v>
          </cell>
        </row>
        <row r="3855">
          <cell r="D3855" t="str">
            <v>PWS</v>
          </cell>
          <cell r="E3855" t="str">
            <v>P1K2ACL44RB0251</v>
          </cell>
        </row>
        <row r="3856">
          <cell r="D3856" t="str">
            <v>PWS</v>
          </cell>
          <cell r="E3856" t="str">
            <v>P1K2ACL44RB0289</v>
          </cell>
        </row>
        <row r="3857">
          <cell r="D3857" t="str">
            <v>BPN</v>
          </cell>
          <cell r="E3857" t="str">
            <v>HB21AS002837</v>
          </cell>
        </row>
        <row r="3858">
          <cell r="D3858" t="str">
            <v>MBD</v>
          </cell>
          <cell r="E3858" t="str">
            <v>ZM21AS015623</v>
          </cell>
        </row>
        <row r="3859">
          <cell r="D3859" t="str">
            <v>AOC</v>
          </cell>
          <cell r="E3859" t="str">
            <v>VA217S018944</v>
          </cell>
        </row>
        <row r="3860">
          <cell r="D3860" t="str">
            <v>AOC</v>
          </cell>
          <cell r="E3860" t="str">
            <v>JA218S002119</v>
          </cell>
        </row>
        <row r="3861">
          <cell r="D3861" t="str">
            <v>MCP</v>
          </cell>
          <cell r="E3861" t="str">
            <v>CDK01FK32A00734</v>
          </cell>
        </row>
        <row r="3862">
          <cell r="D3862" t="str">
            <v>CPU</v>
          </cell>
          <cell r="E3862" t="str">
            <v>71FN328000127</v>
          </cell>
        </row>
        <row r="3863">
          <cell r="D3863" t="str">
            <v>MEM</v>
          </cell>
          <cell r="E3863" t="str">
            <v>H1QD00011445A88E41</v>
          </cell>
        </row>
        <row r="3864">
          <cell r="D3864" t="str">
            <v>MEM</v>
          </cell>
          <cell r="E3864" t="str">
            <v>H1QD00011445A88D05</v>
          </cell>
        </row>
        <row r="3865">
          <cell r="D3865" t="str">
            <v>HDD</v>
          </cell>
          <cell r="E3865" t="str">
            <v>Y1G0A02DF7KF</v>
          </cell>
        </row>
        <row r="3866">
          <cell r="D3866" t="str">
            <v>HDD</v>
          </cell>
          <cell r="E3866" t="str">
            <v>Y1E0A01KF7KF</v>
          </cell>
        </row>
        <row r="3867">
          <cell r="D3867" t="str">
            <v>HDD</v>
          </cell>
          <cell r="E3867" t="str">
            <v>Y1E0A01GF7KF</v>
          </cell>
        </row>
        <row r="3868">
          <cell r="D3868" t="str">
            <v>HDD</v>
          </cell>
          <cell r="E3868" t="str">
            <v>Y1G0A02VF7KF</v>
          </cell>
        </row>
        <row r="3869">
          <cell r="D3869" t="str">
            <v>HDD</v>
          </cell>
          <cell r="E3869" t="str">
            <v>Y1G0A02QF7KF</v>
          </cell>
        </row>
        <row r="3870">
          <cell r="D3870" t="str">
            <v>HDD</v>
          </cell>
          <cell r="E3870" t="str">
            <v>Y1E0A022F7KF</v>
          </cell>
        </row>
        <row r="3871">
          <cell r="D3871" t="str">
            <v>HDD</v>
          </cell>
          <cell r="E3871" t="str">
            <v>Y1G0A02MF7KF</v>
          </cell>
        </row>
        <row r="3872">
          <cell r="D3872" t="str">
            <v>HDD</v>
          </cell>
          <cell r="E3872" t="str">
            <v>Y1G0A02WF7KF</v>
          </cell>
        </row>
        <row r="3873">
          <cell r="D3873" t="str">
            <v>HDD</v>
          </cell>
          <cell r="E3873" t="str">
            <v>Y1E0A01QF7KF</v>
          </cell>
        </row>
        <row r="3874">
          <cell r="D3874" t="str">
            <v>HDD</v>
          </cell>
          <cell r="E3874" t="str">
            <v>Y1G0A02GF7KF</v>
          </cell>
        </row>
        <row r="3875">
          <cell r="D3875" t="str">
            <v>HDD</v>
          </cell>
          <cell r="E3875" t="str">
            <v>Y1G0A033F7KF</v>
          </cell>
        </row>
        <row r="3876">
          <cell r="D3876" t="str">
            <v>HDD</v>
          </cell>
          <cell r="E3876" t="str">
            <v>Y1G0A03DF7KF</v>
          </cell>
        </row>
        <row r="3877">
          <cell r="D3877" t="str">
            <v>HDD</v>
          </cell>
          <cell r="E3877" t="str">
            <v>Y1E0A01NF7KF</v>
          </cell>
        </row>
        <row r="3878">
          <cell r="D3878" t="str">
            <v>HDD</v>
          </cell>
          <cell r="E3878" t="str">
            <v>Y1G0A03CF7KF</v>
          </cell>
        </row>
        <row r="3879">
          <cell r="D3879" t="str">
            <v>HDD</v>
          </cell>
          <cell r="E3879" t="str">
            <v>Y1G0A02RF7KF</v>
          </cell>
        </row>
        <row r="3880">
          <cell r="D3880" t="str">
            <v>HDD</v>
          </cell>
          <cell r="E3880" t="str">
            <v>Y1G0A02PF7KF</v>
          </cell>
        </row>
        <row r="3881">
          <cell r="D3881" t="str">
            <v>AOC</v>
          </cell>
          <cell r="E3881" t="str">
            <v>OA217S017106</v>
          </cell>
        </row>
        <row r="3882">
          <cell r="D3882" t="str">
            <v>HDS</v>
          </cell>
          <cell r="E3882" t="str">
            <v>81QFC1HHFQB1</v>
          </cell>
        </row>
        <row r="3883">
          <cell r="D3883" t="str">
            <v>HDD-A2000-ST2000NM004A</v>
          </cell>
          <cell r="E3883" t="str">
            <v>WS10P6E8</v>
          </cell>
        </row>
        <row r="3884">
          <cell r="D3884" t="str">
            <v>HDD-A2000-ST2000NM004A</v>
          </cell>
          <cell r="E3884" t="str">
            <v>WS10P6BY</v>
          </cell>
        </row>
        <row r="3885">
          <cell r="D3885" t="str">
            <v>HDD-A2000-ST2000NM004A</v>
          </cell>
          <cell r="E3885" t="str">
            <v>WS10P6F3</v>
          </cell>
        </row>
        <row r="3886">
          <cell r="D3886" t="str">
            <v>HDD-A2000-ST2000NM004A</v>
          </cell>
          <cell r="E3886" t="str">
            <v>WS10KW70</v>
          </cell>
        </row>
        <row r="3887">
          <cell r="D3887" t="str">
            <v>HDD-A2000-ST2000NM004A</v>
          </cell>
          <cell r="E3887" t="str">
            <v>WS10NW1N</v>
          </cell>
        </row>
        <row r="3888">
          <cell r="D3888" t="str">
            <v>HDD-A2000-ST2000NM004A</v>
          </cell>
          <cell r="E3888" t="str">
            <v>WS10NKY1</v>
          </cell>
        </row>
        <row r="3889">
          <cell r="D3889" t="str">
            <v>HDD-A2000-ST2000NM004A</v>
          </cell>
          <cell r="E3889" t="str">
            <v>WS10KVY3</v>
          </cell>
        </row>
        <row r="3890">
          <cell r="D3890" t="str">
            <v>HDD-A2000-ST2000NM004A</v>
          </cell>
          <cell r="E3890" t="str">
            <v>WS10D8T7</v>
          </cell>
        </row>
        <row r="3891">
          <cell r="D3891" t="str">
            <v>HDD-T2000-ST2000NM001A</v>
          </cell>
          <cell r="E3891" t="str">
            <v>WS109J6G</v>
          </cell>
        </row>
        <row r="3892">
          <cell r="D3892" t="str">
            <v>HDD-T2000-ST2000NM001A</v>
          </cell>
          <cell r="E3892" t="str">
            <v>WS109LKS</v>
          </cell>
        </row>
        <row r="3893">
          <cell r="D3893" t="str">
            <v>HDD-T2000-ST2000NM001A</v>
          </cell>
          <cell r="E3893" t="str">
            <v>WS109LKQ</v>
          </cell>
        </row>
        <row r="3894">
          <cell r="D3894" t="str">
            <v>HDD-T2000-ST2000NM001A</v>
          </cell>
          <cell r="E3894" t="str">
            <v>WS108835</v>
          </cell>
        </row>
        <row r="3895">
          <cell r="D3895" t="str">
            <v>MEM-DR432L-CV01-EU32</v>
          </cell>
          <cell r="E3895" t="str">
            <v>S802C252149F2FFACBF</v>
          </cell>
        </row>
        <row r="3896">
          <cell r="D3896" t="str">
            <v>MBD-X11SPI-TF-B</v>
          </cell>
          <cell r="E3896" t="str">
            <v>OM21BS062546</v>
          </cell>
          <cell r="K3896" t="str">
            <v>SO/2022/005746/A  3 LATA GWARANCJI</v>
          </cell>
        </row>
        <row r="3897">
          <cell r="D3897" t="str">
            <v>Intel Xeon Gold 6226R</v>
          </cell>
          <cell r="E3897" t="str">
            <v>26746DBF2D2BECABRGZC  711E7K6600081</v>
          </cell>
          <cell r="K3897" t="str">
            <v xml:space="preserve">SO/2022/005746/A </v>
          </cell>
        </row>
        <row r="3898">
          <cell r="D3898" t="str">
            <v xml:space="preserve">B550D4-4L/VN  </v>
          </cell>
          <cell r="E3898" t="str">
            <v>F1S0XE000026</v>
          </cell>
        </row>
        <row r="3899">
          <cell r="D3899" t="str">
            <v>MG06ACA800E</v>
          </cell>
          <cell r="E3899" t="str">
            <v>41P0A0SBFKRE</v>
          </cell>
        </row>
        <row r="3900">
          <cell r="D3900" t="str">
            <v>CSE-826BW1C-R920LPB</v>
          </cell>
          <cell r="E3900" t="str">
            <v>C8260FK29P50160</v>
          </cell>
        </row>
        <row r="3901">
          <cell r="D3901" t="str">
            <v>CSE-846BE1C-R1K23B</v>
          </cell>
          <cell r="E3901" t="str">
            <v>C8460FK48MR0046</v>
          </cell>
        </row>
        <row r="3902">
          <cell r="D3902" t="str">
            <v>CSE</v>
          </cell>
          <cell r="E3902" t="str">
            <v>C8460FK48MR0046</v>
          </cell>
        </row>
        <row r="3903">
          <cell r="D3903" t="str">
            <v>PWS</v>
          </cell>
          <cell r="E3903" t="str">
            <v>P1K2ACL51RN0348</v>
          </cell>
        </row>
        <row r="3904">
          <cell r="D3904" t="str">
            <v>PWS</v>
          </cell>
          <cell r="E3904" t="str">
            <v>P1K2ACL51RN0346</v>
          </cell>
        </row>
        <row r="3905">
          <cell r="D3905" t="str">
            <v>BPN</v>
          </cell>
          <cell r="E3905" t="str">
            <v>HB219S014433</v>
          </cell>
        </row>
        <row r="3906">
          <cell r="D3906" t="str">
            <v>0TS2048</v>
          </cell>
          <cell r="E3906" t="str">
            <v>A0711BD1</v>
          </cell>
        </row>
        <row r="3907">
          <cell r="D3907" t="str">
            <v>0TS2048</v>
          </cell>
          <cell r="E3907" t="str">
            <v>A0711BCF</v>
          </cell>
        </row>
        <row r="3908">
          <cell r="D3908" t="str">
            <v>0TS2048</v>
          </cell>
          <cell r="E3908" t="str">
            <v>A0711BDA</v>
          </cell>
        </row>
        <row r="3909">
          <cell r="D3909" t="str">
            <v>0TS2048</v>
          </cell>
          <cell r="E3909" t="str">
            <v>A0711BC2</v>
          </cell>
        </row>
        <row r="3910">
          <cell r="D3910" t="str">
            <v>AMD EPYC 7763</v>
          </cell>
          <cell r="E3910" t="str">
            <v>9JS2260V10143_100-000000312</v>
          </cell>
        </row>
        <row r="3911">
          <cell r="D3911" t="str">
            <v>AMD EPYC 7763</v>
          </cell>
          <cell r="E3911" t="str">
            <v>9JS2260V10002_100-000000312</v>
          </cell>
        </row>
        <row r="3912">
          <cell r="D3912" t="str">
            <v>AMD EPYC 7763</v>
          </cell>
          <cell r="E3912" t="str">
            <v>9JS2260V10148_100-000000312</v>
          </cell>
        </row>
        <row r="3913">
          <cell r="D3913" t="str">
            <v>MZ7L3480HCHQ-00A07</v>
          </cell>
          <cell r="E3913" t="str">
            <v>S664NE0RC08523</v>
          </cell>
        </row>
        <row r="3914">
          <cell r="D3914" t="str">
            <v>MZ7L3480HCHQ-00A07</v>
          </cell>
          <cell r="E3914" t="str">
            <v>S664NE0RC08528</v>
          </cell>
        </row>
        <row r="3915">
          <cell r="D3915" t="str">
            <v>MZ7L3480HCHQ-00A07</v>
          </cell>
          <cell r="E3915" t="str">
            <v>S664NE0RC08509</v>
          </cell>
        </row>
        <row r="3916">
          <cell r="D3916" t="str">
            <v>MZ7L3480HCHQ-00A07</v>
          </cell>
          <cell r="E3916" t="str">
            <v>S664NE0RC08502</v>
          </cell>
        </row>
        <row r="3917">
          <cell r="D3917" t="str">
            <v>MZ7L3480HCHQ-00A07</v>
          </cell>
          <cell r="E3917" t="str">
            <v>S664NE0RC08512</v>
          </cell>
        </row>
        <row r="3918">
          <cell r="D3918" t="str">
            <v>MZ7L3480HCHQ-00A07</v>
          </cell>
          <cell r="E3918" t="str">
            <v>S664NE0RC08507</v>
          </cell>
        </row>
        <row r="3919">
          <cell r="D3919" t="str">
            <v>MZ7L3480HCHQ-00A07</v>
          </cell>
          <cell r="E3919" t="str">
            <v>S664NE0RC08503</v>
          </cell>
        </row>
        <row r="3920">
          <cell r="D3920" t="str">
            <v>MZ7L3480HCHQ-00A07</v>
          </cell>
          <cell r="E3920" t="str">
            <v>S664NE0RC08513</v>
          </cell>
        </row>
        <row r="3921">
          <cell r="D3921" t="str">
            <v>MZ7L3480HCHQ-00A07</v>
          </cell>
          <cell r="E3921" t="str">
            <v>S664NE0RC08514</v>
          </cell>
        </row>
        <row r="3922">
          <cell r="D3922" t="str">
            <v>MZ7L3480HCHQ-00A07</v>
          </cell>
          <cell r="E3922" t="str">
            <v>S664NE0RC08515</v>
          </cell>
        </row>
        <row r="3923">
          <cell r="D3923" t="str">
            <v>MZ7L3480HCHQ-00A07</v>
          </cell>
          <cell r="E3923" t="str">
            <v>S664NE0RC08516</v>
          </cell>
        </row>
        <row r="3924">
          <cell r="D3924" t="str">
            <v>MZ7L3480HCHQ-00A07</v>
          </cell>
          <cell r="E3924" t="str">
            <v>S664NE0RC08520</v>
          </cell>
        </row>
        <row r="3925">
          <cell r="D3925" t="str">
            <v>MZ7L3480HCHQ-00A07</v>
          </cell>
          <cell r="E3925" t="str">
            <v>S664NE0RC08518</v>
          </cell>
        </row>
        <row r="3926">
          <cell r="D3926" t="str">
            <v>MZ7L3480HCHQ-00A07</v>
          </cell>
          <cell r="E3926" t="str">
            <v>S664NE0RC08517</v>
          </cell>
        </row>
        <row r="3927">
          <cell r="D3927" t="str">
            <v>MZ7L3480HCHQ-00A07</v>
          </cell>
          <cell r="E3927" t="str">
            <v>S664NE0RC08430</v>
          </cell>
        </row>
        <row r="3928">
          <cell r="D3928" t="str">
            <v>MZ7L3480HCHQ-00A07</v>
          </cell>
          <cell r="E3928" t="str">
            <v>S664NE0RC08431</v>
          </cell>
        </row>
        <row r="3929">
          <cell r="D3929" t="str">
            <v>MZ7L3480HCHQ-00A07</v>
          </cell>
          <cell r="E3929" t="str">
            <v>S664NE0RC08432</v>
          </cell>
        </row>
        <row r="3930">
          <cell r="D3930" t="str">
            <v>MZ7L3480HCHQ-00A07</v>
          </cell>
          <cell r="E3930" t="str">
            <v>S664NE0RC08440</v>
          </cell>
        </row>
        <row r="3931">
          <cell r="D3931" t="str">
            <v>MZ7L3480HCHQ-00A07</v>
          </cell>
          <cell r="E3931" t="str">
            <v>S664NE0RC08434</v>
          </cell>
        </row>
        <row r="3932">
          <cell r="D3932" t="str">
            <v>MZ7L3480HCHQ-00A07</v>
          </cell>
          <cell r="E3932" t="str">
            <v>S664NE0RC08433</v>
          </cell>
        </row>
        <row r="3933">
          <cell r="D3933" t="str">
            <v>MZ7L3480HCHQ-00A07</v>
          </cell>
          <cell r="E3933" t="str">
            <v>S664NE0RC08794</v>
          </cell>
        </row>
        <row r="3934">
          <cell r="D3934" t="str">
            <v>MZ7L3480HCHQ-00A07</v>
          </cell>
          <cell r="E3934" t="str">
            <v>S664NE0RC08795</v>
          </cell>
        </row>
        <row r="3935">
          <cell r="D3935" t="str">
            <v>MZ7L3480HCHQ-00A07</v>
          </cell>
          <cell r="E3935" t="str">
            <v>S664NE0RC08796</v>
          </cell>
        </row>
        <row r="3936">
          <cell r="D3936" t="str">
            <v>MZ7L3480HCHQ-00A07</v>
          </cell>
          <cell r="E3936" t="str">
            <v>S664NE0RC08429</v>
          </cell>
        </row>
        <row r="3937">
          <cell r="D3937" t="str">
            <v>MZ7L3480HCHQ-00A07</v>
          </cell>
          <cell r="E3937" t="str">
            <v>S664NE0RC08798</v>
          </cell>
        </row>
        <row r="3938">
          <cell r="D3938" t="str">
            <v>MZ7L3480HCHQ-00A07</v>
          </cell>
          <cell r="E3938" t="str">
            <v>S664NE0RC08797</v>
          </cell>
        </row>
        <row r="3939">
          <cell r="D3939" t="str">
            <v>MZ7L3480HCHQ-00A07</v>
          </cell>
          <cell r="E3939" t="str">
            <v>S664NE0RC08788</v>
          </cell>
        </row>
        <row r="3940">
          <cell r="D3940" t="str">
            <v>MZ7L3480HCHQ-00A07</v>
          </cell>
          <cell r="E3940" t="str">
            <v>S664NE0RC08789</v>
          </cell>
        </row>
        <row r="3941">
          <cell r="D3941" t="str">
            <v>MZ7L3480HCHQ-00A07</v>
          </cell>
          <cell r="E3941" t="str">
            <v>S664NE0RC08790</v>
          </cell>
        </row>
        <row r="3942">
          <cell r="D3942" t="str">
            <v>MZ7L3480HCHQ-00A07</v>
          </cell>
          <cell r="E3942" t="str">
            <v>S664NE0RC08793</v>
          </cell>
        </row>
        <row r="3943">
          <cell r="D3943" t="str">
            <v>MZ7L3480HCHQ-00A07</v>
          </cell>
          <cell r="E3943" t="str">
            <v>S664NE0RC08792</v>
          </cell>
        </row>
        <row r="3944">
          <cell r="D3944" t="str">
            <v>MZ7L3480HCHQ-00A07</v>
          </cell>
          <cell r="E3944" t="str">
            <v>S664NE0RC08791</v>
          </cell>
        </row>
        <row r="3945">
          <cell r="D3945" t="str">
            <v>MZ7L3480HCHQ-00A07</v>
          </cell>
          <cell r="E3945" t="str">
            <v>S664NE0RC08254</v>
          </cell>
        </row>
        <row r="3946">
          <cell r="D3946" t="str">
            <v>MZ7L3480HCHQ-00A07</v>
          </cell>
          <cell r="E3946" t="str">
            <v>S664NE0RC08267</v>
          </cell>
        </row>
        <row r="3947">
          <cell r="D3947" t="str">
            <v>MZ7L3480HCHQ-00A07</v>
          </cell>
          <cell r="E3947" t="str">
            <v>S664NE0RC08273</v>
          </cell>
        </row>
        <row r="3948">
          <cell r="D3948" t="str">
            <v>MZ7L3480HCHQ-00A07</v>
          </cell>
          <cell r="E3948" t="str">
            <v>S664NE0RC08271</v>
          </cell>
        </row>
        <row r="3949">
          <cell r="D3949" t="str">
            <v>MZ7L3480HCHQ-00A07</v>
          </cell>
          <cell r="E3949" t="str">
            <v>S664NE0RC08270</v>
          </cell>
        </row>
        <row r="3950">
          <cell r="D3950" t="str">
            <v>MZ7L3480HCHQ-00A07</v>
          </cell>
          <cell r="E3950" t="str">
            <v>S664NE0RC08274</v>
          </cell>
        </row>
        <row r="3951">
          <cell r="D3951" t="str">
            <v>MZ7L3480HCHQ-00A07</v>
          </cell>
          <cell r="E3951" t="str">
            <v>S664NE0RC08253</v>
          </cell>
        </row>
        <row r="3952">
          <cell r="D3952" t="str">
            <v>MZ7L3480HCHQ-00A07</v>
          </cell>
          <cell r="E3952" t="str">
            <v>S664NE0RC08249</v>
          </cell>
        </row>
        <row r="3953">
          <cell r="D3953" t="str">
            <v>MZ7L3480HCHQ-00A07</v>
          </cell>
          <cell r="E3953" t="str">
            <v>S664NE0RC08258</v>
          </cell>
        </row>
        <row r="3954">
          <cell r="D3954" t="str">
            <v>MZ7L3480HCHQ-00A07</v>
          </cell>
          <cell r="E3954" t="str">
            <v>S664NE0RC08257</v>
          </cell>
        </row>
        <row r="3955">
          <cell r="D3955" t="str">
            <v>MZ7L3480HCHQ-00A07</v>
          </cell>
          <cell r="E3955" t="str">
            <v>S664NE0RC08256</v>
          </cell>
        </row>
        <row r="3956">
          <cell r="D3956" t="str">
            <v>MZ7L3480HCHQ-00A07</v>
          </cell>
          <cell r="E3956" t="str">
            <v>S664NE0RC08259</v>
          </cell>
        </row>
        <row r="3957">
          <cell r="D3957" t="str">
            <v>MZ7L3480HCHQ-00A07</v>
          </cell>
          <cell r="E3957" t="str">
            <v>S664NE0RC08424</v>
          </cell>
        </row>
        <row r="3958">
          <cell r="D3958" t="str">
            <v>MZ7L3480HCHQ-00A07</v>
          </cell>
          <cell r="E3958" t="str">
            <v>S664NE0RC08260</v>
          </cell>
        </row>
        <row r="3959">
          <cell r="D3959" t="str">
            <v>MZ7L3480HCHQ-00A07</v>
          </cell>
          <cell r="E3959" t="str">
            <v>S664NE0RC08255</v>
          </cell>
        </row>
        <row r="3960">
          <cell r="D3960" t="str">
            <v>MZ7L3480HCHQ-00A07</v>
          </cell>
          <cell r="E3960" t="str">
            <v>S664NE0RC08251</v>
          </cell>
        </row>
        <row r="3961">
          <cell r="D3961" t="str">
            <v>MZ7L3480HCHQ-00A07</v>
          </cell>
          <cell r="E3961" t="str">
            <v>S664NE0RC08250</v>
          </cell>
        </row>
        <row r="3962">
          <cell r="D3962" t="str">
            <v>MZ7L3480HCHQ-00A07</v>
          </cell>
          <cell r="E3962" t="str">
            <v>S664NE0RC08252</v>
          </cell>
        </row>
        <row r="3963">
          <cell r="D3963" t="str">
            <v>MZ7L3480HCHQ-00A07</v>
          </cell>
          <cell r="E3963" t="str">
            <v>S664NE0RC08542</v>
          </cell>
        </row>
        <row r="3964">
          <cell r="D3964" t="str">
            <v>MZ7L3480HCHQ-00A07</v>
          </cell>
          <cell r="E3964" t="str">
            <v>S664NE0RC08426</v>
          </cell>
        </row>
        <row r="3965">
          <cell r="D3965" t="str">
            <v>MZ7L3480HCHQ-00A07</v>
          </cell>
          <cell r="E3965" t="str">
            <v>S664NE0RC08427</v>
          </cell>
        </row>
        <row r="3966">
          <cell r="D3966" t="str">
            <v>MZ7L3480HCHQ-00A07</v>
          </cell>
          <cell r="E3966" t="str">
            <v>S664NE0RC08423</v>
          </cell>
        </row>
        <row r="3967">
          <cell r="D3967" t="str">
            <v>MZ7L3480HCHQ-00A07</v>
          </cell>
          <cell r="E3967" t="str">
            <v>S664NE0RC08428</v>
          </cell>
        </row>
        <row r="3968">
          <cell r="D3968" t="str">
            <v>MZ7L3480HCHQ-00A07</v>
          </cell>
          <cell r="E3968" t="str">
            <v>S664NE0RC08425</v>
          </cell>
        </row>
        <row r="3969">
          <cell r="D3969" t="str">
            <v>MZ7L3480HCHQ-00A07</v>
          </cell>
          <cell r="E3969" t="str">
            <v>S664NE0RC08547</v>
          </cell>
        </row>
        <row r="3970">
          <cell r="D3970" t="str">
            <v>MZ7L3480HCHQ-00A07</v>
          </cell>
          <cell r="E3970" t="str">
            <v>S664NE0RC08543</v>
          </cell>
        </row>
        <row r="3971">
          <cell r="D3971" t="str">
            <v>MZ7L3480HCHQ-00A07</v>
          </cell>
          <cell r="E3971" t="str">
            <v>S664NE0RC08538</v>
          </cell>
        </row>
        <row r="3972">
          <cell r="D3972" t="str">
            <v>MZ7L3480HCHQ-00A07</v>
          </cell>
          <cell r="E3972" t="str">
            <v>S664NE0RC08541</v>
          </cell>
        </row>
        <row r="3973">
          <cell r="D3973" t="str">
            <v>MZ7L3480HCHQ-00A07</v>
          </cell>
          <cell r="E3973" t="str">
            <v>S664NE0RC08540</v>
          </cell>
        </row>
        <row r="3974">
          <cell r="D3974" t="str">
            <v>MZ7L3480HCHQ-00A07</v>
          </cell>
          <cell r="E3974" t="str">
            <v>S664NE0RC08539</v>
          </cell>
        </row>
        <row r="3975">
          <cell r="D3975" t="str">
            <v>MZ7L3480HCHQ-00A07</v>
          </cell>
          <cell r="E3975" t="str">
            <v>S664NE0RC08534</v>
          </cell>
        </row>
        <row r="3976">
          <cell r="D3976" t="str">
            <v>MZ7L3480HCHQ-00A07</v>
          </cell>
          <cell r="E3976" t="str">
            <v>S664NE0RC08535</v>
          </cell>
        </row>
        <row r="3977">
          <cell r="D3977" t="str">
            <v>MZ7L3480HCHQ-00A07</v>
          </cell>
          <cell r="E3977" t="str">
            <v>S664NE0RC08544</v>
          </cell>
        </row>
        <row r="3978">
          <cell r="D3978" t="str">
            <v>MZ7L3480HCHQ-00A07</v>
          </cell>
          <cell r="E3978" t="str">
            <v>S664NE0RC08546</v>
          </cell>
        </row>
        <row r="3979">
          <cell r="D3979" t="str">
            <v>MZ7L3480HCHQ-00A07</v>
          </cell>
          <cell r="E3979" t="str">
            <v>S664NE0RC08548</v>
          </cell>
        </row>
        <row r="3980">
          <cell r="D3980" t="str">
            <v>MZ7L3480HCHQ-00A07</v>
          </cell>
          <cell r="E3980" t="str">
            <v>S664NE0RC08545</v>
          </cell>
        </row>
        <row r="3981">
          <cell r="D3981" t="str">
            <v>MZ7L3480HCHQ-00A07</v>
          </cell>
          <cell r="E3981" t="str">
            <v>S664NE0RC08526</v>
          </cell>
        </row>
        <row r="3982">
          <cell r="D3982" t="str">
            <v>MZ7L3480HCHQ-00A07</v>
          </cell>
          <cell r="E3982" t="str">
            <v>S664NE0RC08530</v>
          </cell>
        </row>
        <row r="3983">
          <cell r="D3983" t="str">
            <v>MZ7L3480HCHQ-00A07</v>
          </cell>
          <cell r="E3983" t="str">
            <v>S664NE0RC08525</v>
          </cell>
        </row>
        <row r="3984">
          <cell r="D3984" t="str">
            <v>MZ7L3480HCHQ-00A07</v>
          </cell>
          <cell r="E3984" t="str">
            <v>S664NE0RC08533</v>
          </cell>
        </row>
        <row r="3985">
          <cell r="D3985" t="str">
            <v>MZ7L3480HCHQ-00A07</v>
          </cell>
          <cell r="E3985" t="str">
            <v>S664NE0RC08531</v>
          </cell>
        </row>
        <row r="3986">
          <cell r="D3986" t="str">
            <v>MZ7L3480HCHQ-00A07</v>
          </cell>
          <cell r="E3986" t="str">
            <v>S664NE0RC08527</v>
          </cell>
        </row>
        <row r="3987">
          <cell r="D3987" t="str">
            <v>M393A8G40AB2-CWE</v>
          </cell>
          <cell r="E3987" t="str">
            <v>SNK780</v>
          </cell>
        </row>
        <row r="3988">
          <cell r="D3988" t="str">
            <v>M393A8G40AB2-CWE</v>
          </cell>
          <cell r="E3988" t="str">
            <v>SNK781</v>
          </cell>
        </row>
        <row r="3989">
          <cell r="D3989" t="str">
            <v>M393A8G40AB2-CWE</v>
          </cell>
          <cell r="E3989" t="str">
            <v>SNK782</v>
          </cell>
        </row>
        <row r="3990">
          <cell r="D3990" t="str">
            <v>M393A8G40AB2-CWE</v>
          </cell>
          <cell r="E3990" t="str">
            <v>SNK783</v>
          </cell>
        </row>
        <row r="3991">
          <cell r="D3991" t="str">
            <v>M393A8G40AB2-CWE</v>
          </cell>
          <cell r="E3991" t="str">
            <v>SNK784</v>
          </cell>
        </row>
        <row r="3992">
          <cell r="D3992" t="str">
            <v>M393A8G40AB2-CWE</v>
          </cell>
          <cell r="E3992" t="str">
            <v>SNK785</v>
          </cell>
        </row>
        <row r="3993">
          <cell r="D3993" t="str">
            <v>M393A8G40AB2-CWE</v>
          </cell>
          <cell r="E3993" t="str">
            <v>SNK786</v>
          </cell>
        </row>
        <row r="3994">
          <cell r="D3994" t="str">
            <v>M393A8G40AB2-CWE</v>
          </cell>
          <cell r="E3994" t="str">
            <v>SNK787</v>
          </cell>
        </row>
        <row r="3995">
          <cell r="D3995" t="str">
            <v>M393A8G40AB2-CWE</v>
          </cell>
          <cell r="E3995" t="str">
            <v>SNK788</v>
          </cell>
        </row>
        <row r="3996">
          <cell r="D3996" t="str">
            <v>M393A8G40AB2-CWE</v>
          </cell>
          <cell r="E3996" t="str">
            <v>SNK789</v>
          </cell>
        </row>
        <row r="3997">
          <cell r="D3997" t="str">
            <v>M393A8G40AB2-CWE</v>
          </cell>
          <cell r="E3997" t="str">
            <v>SNK790</v>
          </cell>
        </row>
        <row r="3998">
          <cell r="D3998" t="str">
            <v>M393A8G40AB2-CWE</v>
          </cell>
          <cell r="E3998" t="str">
            <v>SNK791</v>
          </cell>
        </row>
        <row r="3999">
          <cell r="D3999" t="str">
            <v>M393A8G40AB2-CWE</v>
          </cell>
          <cell r="E3999" t="str">
            <v>SNK792</v>
          </cell>
        </row>
        <row r="4000">
          <cell r="D4000" t="str">
            <v>M393A8G40AB2-CWE</v>
          </cell>
          <cell r="E4000" t="str">
            <v>SNK793</v>
          </cell>
        </row>
        <row r="4001">
          <cell r="D4001" t="str">
            <v>M393A8G40AB2-CWE</v>
          </cell>
          <cell r="E4001" t="str">
            <v>SNK794</v>
          </cell>
        </row>
        <row r="4002">
          <cell r="D4002" t="str">
            <v>M393A8G40AB2-CWE</v>
          </cell>
          <cell r="E4002" t="str">
            <v>SNK795</v>
          </cell>
        </row>
        <row r="4003">
          <cell r="D4003" t="str">
            <v>M393A8G40AB2-CWE</v>
          </cell>
          <cell r="E4003" t="str">
            <v>SNK796</v>
          </cell>
        </row>
        <row r="4004">
          <cell r="D4004" t="str">
            <v>M393A8G40AB2-CWE</v>
          </cell>
          <cell r="E4004" t="str">
            <v>SNK797</v>
          </cell>
        </row>
        <row r="4005">
          <cell r="D4005" t="str">
            <v>M393A8G40AB2-CWE</v>
          </cell>
          <cell r="E4005" t="str">
            <v>SNK798</v>
          </cell>
        </row>
        <row r="4006">
          <cell r="D4006" t="str">
            <v>M393A8G40AB2-CWE</v>
          </cell>
          <cell r="E4006" t="str">
            <v>SNK799</v>
          </cell>
        </row>
        <row r="4007">
          <cell r="D4007" t="str">
            <v>M393A8G40AB2-CWE</v>
          </cell>
          <cell r="E4007" t="str">
            <v>SNK800</v>
          </cell>
        </row>
        <row r="4008">
          <cell r="D4008" t="str">
            <v>M393A8G40AB2-CWE</v>
          </cell>
          <cell r="E4008" t="str">
            <v>SNK801</v>
          </cell>
        </row>
        <row r="4009">
          <cell r="D4009" t="str">
            <v>M393A8G40AB2-CWE</v>
          </cell>
          <cell r="E4009" t="str">
            <v>SNK802</v>
          </cell>
        </row>
        <row r="4010">
          <cell r="D4010" t="str">
            <v>M393A8G40AB2-CWE</v>
          </cell>
          <cell r="E4010" t="str">
            <v>SNK803</v>
          </cell>
        </row>
        <row r="4011">
          <cell r="D4011" t="str">
            <v>M393A8G40AB2-CWE</v>
          </cell>
          <cell r="E4011" t="str">
            <v>SNK804</v>
          </cell>
        </row>
        <row r="4012">
          <cell r="D4012" t="str">
            <v>M393A8G40AB2-CWE</v>
          </cell>
          <cell r="E4012" t="str">
            <v>SNK805</v>
          </cell>
        </row>
        <row r="4013">
          <cell r="D4013" t="str">
            <v>M393A8G40AB2-CWE</v>
          </cell>
          <cell r="E4013" t="str">
            <v>SNK806</v>
          </cell>
        </row>
        <row r="4014">
          <cell r="D4014" t="str">
            <v>M393A8G40AB2-CWE</v>
          </cell>
          <cell r="E4014" t="str">
            <v>SNK807</v>
          </cell>
        </row>
        <row r="4015">
          <cell r="D4015" t="str">
            <v>M393A8G40AB2-CWE</v>
          </cell>
          <cell r="E4015" t="str">
            <v>SNK808</v>
          </cell>
        </row>
        <row r="4016">
          <cell r="D4016" t="str">
            <v>M393A8G40AB2-CWE</v>
          </cell>
          <cell r="E4016" t="str">
            <v>SNK809</v>
          </cell>
        </row>
        <row r="4017">
          <cell r="D4017" t="str">
            <v>M393A8G40AB2-CWE</v>
          </cell>
          <cell r="E4017" t="str">
            <v>SNK810</v>
          </cell>
        </row>
        <row r="4018">
          <cell r="D4018" t="str">
            <v>M393A8G40AB2-CWE</v>
          </cell>
          <cell r="E4018" t="str">
            <v>SNK811</v>
          </cell>
        </row>
        <row r="4019">
          <cell r="D4019" t="str">
            <v>M393A8G40AB2-CWE</v>
          </cell>
          <cell r="E4019" t="str">
            <v>SNK812</v>
          </cell>
        </row>
        <row r="4020">
          <cell r="D4020" t="str">
            <v>M393A8G40AB2-CWE</v>
          </cell>
          <cell r="E4020" t="str">
            <v>SNK813</v>
          </cell>
        </row>
        <row r="4021">
          <cell r="D4021" t="str">
            <v>M393A8G40AB2-CWE</v>
          </cell>
          <cell r="E4021" t="str">
            <v>SNK814</v>
          </cell>
        </row>
        <row r="4022">
          <cell r="D4022" t="str">
            <v>M393A8G40AB2-CWE</v>
          </cell>
          <cell r="E4022" t="str">
            <v>SNK815</v>
          </cell>
        </row>
        <row r="4023">
          <cell r="D4023" t="str">
            <v>M393A8G40AB2-CWE</v>
          </cell>
          <cell r="E4023" t="str">
            <v>SNK816</v>
          </cell>
        </row>
        <row r="4024">
          <cell r="D4024" t="str">
            <v>M393A8G40AB2-CWE</v>
          </cell>
          <cell r="E4024" t="str">
            <v>SNK817</v>
          </cell>
        </row>
        <row r="4025">
          <cell r="D4025" t="str">
            <v>M393A8G40AB2-CWE</v>
          </cell>
          <cell r="E4025" t="str">
            <v>SNK818</v>
          </cell>
        </row>
        <row r="4026">
          <cell r="D4026" t="str">
            <v>M393A8G40AB2-CWE</v>
          </cell>
          <cell r="E4026" t="str">
            <v>SNK819</v>
          </cell>
        </row>
        <row r="4027">
          <cell r="D4027" t="str">
            <v>M393A8G40AB2-CWE</v>
          </cell>
          <cell r="E4027" t="str">
            <v>SNK820</v>
          </cell>
        </row>
        <row r="4028">
          <cell r="D4028" t="str">
            <v>M393A8G40AB2-CWE</v>
          </cell>
          <cell r="E4028" t="str">
            <v>SNK821</v>
          </cell>
        </row>
        <row r="4029">
          <cell r="D4029" t="str">
            <v>M393A8G40AB2-CWE</v>
          </cell>
          <cell r="E4029" t="str">
            <v>SNK822</v>
          </cell>
        </row>
        <row r="4030">
          <cell r="D4030" t="str">
            <v>M393A8G40AB2-CWE</v>
          </cell>
          <cell r="E4030" t="str">
            <v>SNK823</v>
          </cell>
        </row>
        <row r="4031">
          <cell r="D4031" t="str">
            <v>M393A8G40AB2-CWE</v>
          </cell>
          <cell r="E4031" t="str">
            <v>SNK824</v>
          </cell>
        </row>
        <row r="4032">
          <cell r="D4032" t="str">
            <v>M393A8G40AB2-CWE</v>
          </cell>
          <cell r="E4032" t="str">
            <v>SNK825</v>
          </cell>
        </row>
        <row r="4033">
          <cell r="D4033" t="str">
            <v>M393A8G40AB2-CWE</v>
          </cell>
          <cell r="E4033" t="str">
            <v>SNK826</v>
          </cell>
        </row>
        <row r="4034">
          <cell r="D4034" t="str">
            <v>M393A8G40AB2-CWE</v>
          </cell>
          <cell r="E4034" t="str">
            <v>SNK827</v>
          </cell>
        </row>
        <row r="4035">
          <cell r="D4035" t="str">
            <v>M393A8G40AB2-CWE</v>
          </cell>
          <cell r="E4035" t="str">
            <v>SNK828</v>
          </cell>
        </row>
        <row r="4036">
          <cell r="D4036" t="str">
            <v>M393A8G40AB2-CWE</v>
          </cell>
          <cell r="E4036" t="str">
            <v>SNK829</v>
          </cell>
        </row>
        <row r="4037">
          <cell r="D4037" t="str">
            <v>M393A8G40AB2-CWE</v>
          </cell>
          <cell r="E4037" t="str">
            <v>SNK830</v>
          </cell>
        </row>
        <row r="4038">
          <cell r="D4038" t="str">
            <v>M393A8G40AB2-CWE</v>
          </cell>
          <cell r="E4038" t="str">
            <v>SNK831</v>
          </cell>
        </row>
        <row r="4039">
          <cell r="D4039" t="str">
            <v>M393A8G40AB2-CWE</v>
          </cell>
          <cell r="E4039" t="str">
            <v>SNK832</v>
          </cell>
        </row>
        <row r="4040">
          <cell r="D4040" t="str">
            <v>M393A8G40AB2-CWE</v>
          </cell>
          <cell r="E4040" t="str">
            <v>SNK833</v>
          </cell>
        </row>
        <row r="4041">
          <cell r="D4041" t="str">
            <v>M393A8G40AB2-CWE</v>
          </cell>
          <cell r="E4041" t="str">
            <v>SNK834</v>
          </cell>
        </row>
        <row r="4042">
          <cell r="D4042" t="str">
            <v>M393A8G40AB2-CWE</v>
          </cell>
          <cell r="E4042" t="str">
            <v>SNK835</v>
          </cell>
        </row>
        <row r="4043">
          <cell r="D4043" t="str">
            <v>M393A8G40AB2-CWE</v>
          </cell>
          <cell r="E4043" t="str">
            <v>SNK836</v>
          </cell>
        </row>
        <row r="4044">
          <cell r="D4044" t="str">
            <v>M393A8G40AB2-CWE</v>
          </cell>
          <cell r="E4044" t="str">
            <v>SNK837</v>
          </cell>
        </row>
        <row r="4045">
          <cell r="D4045" t="str">
            <v>M393A8G40AB2-CWE</v>
          </cell>
          <cell r="E4045" t="str">
            <v>SNK838</v>
          </cell>
        </row>
        <row r="4046">
          <cell r="D4046" t="str">
            <v>M393A8G40AB2-CWE</v>
          </cell>
          <cell r="E4046" t="str">
            <v>SNK839</v>
          </cell>
        </row>
        <row r="4047">
          <cell r="D4047" t="str">
            <v>M393A8G40AB2-CWE</v>
          </cell>
          <cell r="E4047" t="str">
            <v>SNK840</v>
          </cell>
        </row>
        <row r="4048">
          <cell r="D4048" t="str">
            <v>M393A8G40AB2-CWE</v>
          </cell>
          <cell r="E4048" t="str">
            <v>SNK841</v>
          </cell>
        </row>
        <row r="4049">
          <cell r="D4049" t="str">
            <v>M393A8G40AB2-CWE</v>
          </cell>
          <cell r="E4049" t="str">
            <v>SNK842</v>
          </cell>
        </row>
        <row r="4050">
          <cell r="D4050" t="str">
            <v>M393A8G40AB2-CWE</v>
          </cell>
          <cell r="E4050" t="str">
            <v>SNK843</v>
          </cell>
        </row>
        <row r="4051">
          <cell r="D4051" t="str">
            <v>M393A8G40AB2-CWE</v>
          </cell>
          <cell r="E4051" t="str">
            <v>SNK844</v>
          </cell>
        </row>
        <row r="4052">
          <cell r="D4052" t="str">
            <v>M393A8G40AB2-CWE</v>
          </cell>
          <cell r="E4052" t="str">
            <v>SNK845</v>
          </cell>
        </row>
        <row r="4053">
          <cell r="D4053" t="str">
            <v>M393A8G40AB2-CWE</v>
          </cell>
          <cell r="E4053" t="str">
            <v>SNK846</v>
          </cell>
        </row>
        <row r="4054">
          <cell r="D4054" t="str">
            <v>M393A8G40AB2-CWE</v>
          </cell>
          <cell r="E4054" t="str">
            <v>SNK847</v>
          </cell>
        </row>
        <row r="4055">
          <cell r="D4055" t="str">
            <v>M393A8G40AB2-CWE</v>
          </cell>
          <cell r="E4055" t="str">
            <v>SNK848</v>
          </cell>
        </row>
        <row r="4056">
          <cell r="D4056" t="str">
            <v>M393A8G40AB2-CWE</v>
          </cell>
          <cell r="E4056" t="str">
            <v>SNK849</v>
          </cell>
        </row>
        <row r="4057">
          <cell r="D4057" t="str">
            <v>M393A8G40AB2-CWE</v>
          </cell>
          <cell r="E4057" t="str">
            <v>SNK850</v>
          </cell>
        </row>
        <row r="4058">
          <cell r="D4058" t="str">
            <v>M393A8G40AB2-CWE</v>
          </cell>
          <cell r="E4058" t="str">
            <v>SNK851</v>
          </cell>
        </row>
        <row r="4059">
          <cell r="D4059" t="str">
            <v>M393A8G40AB2-CWE</v>
          </cell>
          <cell r="E4059" t="str">
            <v>SNK852</v>
          </cell>
        </row>
        <row r="4060">
          <cell r="D4060" t="str">
            <v>M393A8G40AB2-CWE</v>
          </cell>
          <cell r="E4060" t="str">
            <v>SNK853</v>
          </cell>
        </row>
        <row r="4061">
          <cell r="D4061" t="str">
            <v>M393A8G40AB2-CWE</v>
          </cell>
          <cell r="E4061" t="str">
            <v>SNK854</v>
          </cell>
        </row>
        <row r="4062">
          <cell r="D4062" t="str">
            <v>M393A8G40AB2-CWE</v>
          </cell>
          <cell r="E4062" t="str">
            <v>SNK855</v>
          </cell>
        </row>
        <row r="4063">
          <cell r="D4063" t="str">
            <v>M393A8G40AB2-CWE</v>
          </cell>
          <cell r="E4063" t="str">
            <v>SNK856</v>
          </cell>
        </row>
        <row r="4064">
          <cell r="D4064" t="str">
            <v>M393A8G40AB2-CWE</v>
          </cell>
          <cell r="E4064" t="str">
            <v>SNK857</v>
          </cell>
        </row>
        <row r="4065">
          <cell r="D4065" t="str">
            <v>M393A8G40AB2-CWE</v>
          </cell>
          <cell r="E4065" t="str">
            <v>SNK858</v>
          </cell>
        </row>
        <row r="4066">
          <cell r="D4066" t="str">
            <v>M393A8G40AB2-CWE</v>
          </cell>
          <cell r="E4066" t="str">
            <v>SNK859</v>
          </cell>
        </row>
        <row r="4067">
          <cell r="D4067" t="str">
            <v>M393A8G40AB2-CWE</v>
          </cell>
          <cell r="E4067" t="str">
            <v>SNK860</v>
          </cell>
        </row>
        <row r="4068">
          <cell r="D4068" t="str">
            <v>M393A8G40AB2-CWE</v>
          </cell>
          <cell r="E4068" t="str">
            <v>SNK861</v>
          </cell>
        </row>
        <row r="4069">
          <cell r="D4069" t="str">
            <v>M393A8G40AB2-CWE</v>
          </cell>
          <cell r="E4069" t="str">
            <v>SNK862</v>
          </cell>
        </row>
        <row r="4070">
          <cell r="D4070" t="str">
            <v>M393A8G40AB2-CWE</v>
          </cell>
          <cell r="E4070" t="str">
            <v>SNK863</v>
          </cell>
        </row>
        <row r="4071">
          <cell r="D4071" t="str">
            <v>M393A8G40AB2-CWE</v>
          </cell>
          <cell r="E4071" t="str">
            <v>SNK864</v>
          </cell>
        </row>
        <row r="4072">
          <cell r="D4072" t="str">
            <v>M393A8G40AB2-CWE</v>
          </cell>
          <cell r="E4072" t="str">
            <v>SNK865</v>
          </cell>
        </row>
        <row r="4073">
          <cell r="D4073" t="str">
            <v>M393A8G40AB2-CWE</v>
          </cell>
          <cell r="E4073" t="str">
            <v>SNK866</v>
          </cell>
        </row>
        <row r="4074">
          <cell r="D4074" t="str">
            <v>M393A8G40AB2-CWE</v>
          </cell>
          <cell r="E4074" t="str">
            <v>SNK867</v>
          </cell>
        </row>
        <row r="4075">
          <cell r="D4075" t="str">
            <v>M393A8G40AB2-CWE</v>
          </cell>
          <cell r="E4075" t="str">
            <v>SNK868</v>
          </cell>
        </row>
        <row r="4076">
          <cell r="D4076" t="str">
            <v>M393A8G40AB2-CWE</v>
          </cell>
          <cell r="E4076" t="str">
            <v>SNK869</v>
          </cell>
        </row>
        <row r="4077">
          <cell r="D4077" t="str">
            <v>M393A8G40AB2-CWE</v>
          </cell>
          <cell r="E4077" t="str">
            <v>SNK870</v>
          </cell>
        </row>
        <row r="4078">
          <cell r="D4078" t="str">
            <v>M393A8G40AB2-CWE</v>
          </cell>
          <cell r="E4078" t="str">
            <v>SNK871</v>
          </cell>
        </row>
        <row r="4079">
          <cell r="D4079" t="str">
            <v>M393A8G40AB2-CWE</v>
          </cell>
          <cell r="E4079" t="str">
            <v>SNK872</v>
          </cell>
        </row>
        <row r="4080">
          <cell r="D4080" t="str">
            <v>M393A8G40AB2-CWE</v>
          </cell>
          <cell r="E4080" t="str">
            <v>SNK873</v>
          </cell>
        </row>
        <row r="4081">
          <cell r="D4081" t="str">
            <v>M393A8G40AB2-CWE</v>
          </cell>
          <cell r="E4081" t="str">
            <v>SNK874</v>
          </cell>
        </row>
        <row r="4082">
          <cell r="D4082" t="str">
            <v>M393A8G40AB2-CWE</v>
          </cell>
          <cell r="E4082" t="str">
            <v>SNK875</v>
          </cell>
        </row>
        <row r="4083">
          <cell r="D4083" t="str">
            <v>M393A8G40AB2-CWE</v>
          </cell>
          <cell r="E4083" t="str">
            <v>SNK876</v>
          </cell>
        </row>
        <row r="4084">
          <cell r="D4084" t="str">
            <v>M393A8G40AB2-CWE</v>
          </cell>
          <cell r="E4084" t="str">
            <v>SNK877</v>
          </cell>
        </row>
        <row r="4085">
          <cell r="D4085" t="str">
            <v>M393A8G40AB2-CWE</v>
          </cell>
          <cell r="E4085" t="str">
            <v>SNK878</v>
          </cell>
        </row>
        <row r="4086">
          <cell r="D4086" t="str">
            <v>M393A8G40AB2-CWE</v>
          </cell>
          <cell r="E4086" t="str">
            <v>SNK879</v>
          </cell>
        </row>
        <row r="4087">
          <cell r="D4087" t="str">
            <v>M393A8G40AB2-CWE</v>
          </cell>
          <cell r="E4087" t="str">
            <v>SNK880</v>
          </cell>
        </row>
        <row r="4088">
          <cell r="D4088" t="str">
            <v>M393A8G40AB2-CWE</v>
          </cell>
          <cell r="E4088" t="str">
            <v>SNK881</v>
          </cell>
        </row>
        <row r="4089">
          <cell r="D4089" t="str">
            <v>M393A8G40AB2-CWE</v>
          </cell>
          <cell r="E4089" t="str">
            <v>SNK882</v>
          </cell>
        </row>
        <row r="4090">
          <cell r="D4090" t="str">
            <v>M393A8G40AB2-CWE</v>
          </cell>
          <cell r="E4090" t="str">
            <v>SNK883</v>
          </cell>
        </row>
        <row r="4091">
          <cell r="D4091" t="str">
            <v>M393A8G40AB2-CWE</v>
          </cell>
          <cell r="E4091" t="str">
            <v>SNK884</v>
          </cell>
        </row>
        <row r="4092">
          <cell r="D4092" t="str">
            <v>M393A8G40AB2-CWE</v>
          </cell>
          <cell r="E4092" t="str">
            <v>SNK885</v>
          </cell>
        </row>
        <row r="4093">
          <cell r="D4093" t="str">
            <v>M393A8G40AB2-CWE</v>
          </cell>
          <cell r="E4093" t="str">
            <v>SNK886</v>
          </cell>
        </row>
        <row r="4094">
          <cell r="D4094" t="str">
            <v>M393A8G40AB2-CWE</v>
          </cell>
          <cell r="E4094" t="str">
            <v>SNK887</v>
          </cell>
        </row>
        <row r="4095">
          <cell r="D4095" t="str">
            <v>M393A8G40AB2-CWE</v>
          </cell>
          <cell r="E4095" t="str">
            <v>SNK888</v>
          </cell>
        </row>
        <row r="4096">
          <cell r="D4096" t="str">
            <v>M393A8G40AB2-CWE</v>
          </cell>
          <cell r="E4096" t="str">
            <v>SNK889</v>
          </cell>
        </row>
        <row r="4097">
          <cell r="D4097" t="str">
            <v>M393A8G40AB2-CWE</v>
          </cell>
          <cell r="E4097" t="str">
            <v>SNK890</v>
          </cell>
        </row>
        <row r="4098">
          <cell r="D4098" t="str">
            <v>M393A8G40AB2-CWE</v>
          </cell>
          <cell r="E4098" t="str">
            <v>SNK891</v>
          </cell>
        </row>
        <row r="4099">
          <cell r="D4099" t="str">
            <v>M393A8G40AB2-CWE</v>
          </cell>
          <cell r="E4099" t="str">
            <v>SNK892</v>
          </cell>
        </row>
        <row r="4100">
          <cell r="D4100" t="str">
            <v>M393A8G40AB2-CWE</v>
          </cell>
          <cell r="E4100" t="str">
            <v>SNK893</v>
          </cell>
        </row>
        <row r="4101">
          <cell r="D4101" t="str">
            <v>M393A8G40AB2-CWE</v>
          </cell>
          <cell r="E4101" t="str">
            <v>SNK894</v>
          </cell>
        </row>
        <row r="4102">
          <cell r="D4102" t="str">
            <v>M393A8G40AB2-CWE</v>
          </cell>
          <cell r="E4102" t="str">
            <v>SNK895</v>
          </cell>
        </row>
        <row r="4103">
          <cell r="D4103" t="str">
            <v>M393A8G40AB2-CWE</v>
          </cell>
          <cell r="E4103" t="str">
            <v>SNK896</v>
          </cell>
        </row>
        <row r="4104">
          <cell r="D4104" t="str">
            <v>M393A8G40AB2-CWE</v>
          </cell>
          <cell r="E4104" t="str">
            <v>SNK897</v>
          </cell>
        </row>
        <row r="4105">
          <cell r="D4105" t="str">
            <v>M393A8G40AB2-CWE</v>
          </cell>
          <cell r="E4105" t="str">
            <v>SNK898</v>
          </cell>
        </row>
        <row r="4106">
          <cell r="D4106" t="str">
            <v>M393A8G40AB2-CWE</v>
          </cell>
          <cell r="E4106" t="str">
            <v>SNK899</v>
          </cell>
        </row>
        <row r="4107">
          <cell r="D4107" t="str">
            <v>M393A8G40AB2-CWE</v>
          </cell>
          <cell r="E4107" t="str">
            <v>SNK900</v>
          </cell>
        </row>
        <row r="4108">
          <cell r="D4108" t="str">
            <v>M393A8G40AB2-CWE</v>
          </cell>
          <cell r="E4108" t="str">
            <v>SNK901</v>
          </cell>
        </row>
        <row r="4109">
          <cell r="D4109" t="str">
            <v>M393A8G40AB2-CWE</v>
          </cell>
          <cell r="E4109" t="str">
            <v>SNK902</v>
          </cell>
        </row>
        <row r="4110">
          <cell r="D4110" t="str">
            <v>M393A8G40AB2-CWE</v>
          </cell>
          <cell r="E4110" t="str">
            <v>SNK903</v>
          </cell>
        </row>
        <row r="4111">
          <cell r="D4111" t="str">
            <v>M393A8G40AB2-CWE</v>
          </cell>
          <cell r="E4111" t="str">
            <v>SNK904</v>
          </cell>
        </row>
        <row r="4112">
          <cell r="D4112" t="str">
            <v>M393A8G40AB2-CWE</v>
          </cell>
          <cell r="E4112" t="str">
            <v>SNK905</v>
          </cell>
        </row>
        <row r="4113">
          <cell r="D4113" t="str">
            <v>M393A8G40AB2-CWE</v>
          </cell>
          <cell r="E4113" t="str">
            <v>SNK906</v>
          </cell>
        </row>
        <row r="4114">
          <cell r="D4114" t="str">
            <v>M393A8G40AB2-CWE</v>
          </cell>
          <cell r="E4114" t="str">
            <v>SNK907</v>
          </cell>
        </row>
        <row r="4115">
          <cell r="D4115" t="str">
            <v>M393A8G40AB2-CWE</v>
          </cell>
          <cell r="E4115" t="str">
            <v>SNK908</v>
          </cell>
        </row>
        <row r="4116">
          <cell r="D4116" t="str">
            <v>M393A8G40AB2-CWE</v>
          </cell>
          <cell r="E4116" t="str">
            <v>SNK909</v>
          </cell>
        </row>
        <row r="4117">
          <cell r="D4117" t="str">
            <v>M393A8G40AB2-CWE</v>
          </cell>
          <cell r="E4117" t="str">
            <v>SNK910</v>
          </cell>
        </row>
        <row r="4118">
          <cell r="D4118" t="str">
            <v>M393A8G40AB2-CWE</v>
          </cell>
          <cell r="E4118" t="str">
            <v>SNK911</v>
          </cell>
        </row>
        <row r="4119">
          <cell r="D4119" t="str">
            <v>M393A8G40AB2-CWE</v>
          </cell>
          <cell r="E4119" t="str">
            <v>SNK912</v>
          </cell>
        </row>
        <row r="4120">
          <cell r="D4120" t="str">
            <v>M393A8G40AB2-CWE</v>
          </cell>
          <cell r="E4120" t="str">
            <v>SNK913</v>
          </cell>
        </row>
        <row r="4121">
          <cell r="D4121" t="str">
            <v>M393A8G40AB2-CWE</v>
          </cell>
          <cell r="E4121" t="str">
            <v>SNK914</v>
          </cell>
        </row>
        <row r="4122">
          <cell r="D4122" t="str">
            <v>M393A8G40AB2-CWE</v>
          </cell>
          <cell r="E4122" t="str">
            <v>SNK915</v>
          </cell>
        </row>
        <row r="4123">
          <cell r="D4123" t="str">
            <v>M393A8G40AB2-CWE</v>
          </cell>
          <cell r="E4123" t="str">
            <v>SNK916</v>
          </cell>
        </row>
        <row r="4124">
          <cell r="D4124" t="str">
            <v>M393A8G40AB2-CWE</v>
          </cell>
          <cell r="E4124" t="str">
            <v>SNK917</v>
          </cell>
        </row>
        <row r="4125">
          <cell r="D4125" t="str">
            <v>M393A8G40AB2-CWE</v>
          </cell>
          <cell r="E4125" t="str">
            <v>SNK918</v>
          </cell>
        </row>
        <row r="4126">
          <cell r="D4126" t="str">
            <v>M393A8G40AB2-CWE</v>
          </cell>
          <cell r="E4126" t="str">
            <v>SNK919</v>
          </cell>
        </row>
        <row r="4127">
          <cell r="D4127" t="str">
            <v>M393A8G40AB2-CWE</v>
          </cell>
          <cell r="E4127" t="str">
            <v>SNK920</v>
          </cell>
        </row>
        <row r="4128">
          <cell r="D4128" t="str">
            <v>M393A8G40AB2-CWE</v>
          </cell>
          <cell r="E4128" t="str">
            <v>SNK921</v>
          </cell>
        </row>
        <row r="4129">
          <cell r="D4129" t="str">
            <v>M393A8G40AB2-CWE</v>
          </cell>
          <cell r="E4129" t="str">
            <v>SNK922</v>
          </cell>
        </row>
        <row r="4130">
          <cell r="D4130" t="str">
            <v>M393A8G40AB2-CWE</v>
          </cell>
          <cell r="E4130" t="str">
            <v>SNK923</v>
          </cell>
        </row>
        <row r="4131">
          <cell r="D4131" t="str">
            <v>M393A8G40AB2-CWE</v>
          </cell>
          <cell r="E4131" t="str">
            <v>SNK924</v>
          </cell>
        </row>
        <row r="4132">
          <cell r="D4132" t="str">
            <v>M393A8G40AB2-CWE</v>
          </cell>
          <cell r="E4132" t="str">
            <v>SNK925</v>
          </cell>
        </row>
        <row r="4133">
          <cell r="D4133" t="str">
            <v>M393A8G40AB2-CWE</v>
          </cell>
          <cell r="E4133" t="str">
            <v>SNK926</v>
          </cell>
        </row>
        <row r="4134">
          <cell r="D4134" t="str">
            <v>M393A8G40AB2-CWE</v>
          </cell>
          <cell r="E4134" t="str">
            <v>SNK927</v>
          </cell>
        </row>
        <row r="4135">
          <cell r="D4135" t="str">
            <v>M393A8G40AB2-CWE</v>
          </cell>
          <cell r="E4135" t="str">
            <v>SNK928</v>
          </cell>
        </row>
        <row r="4136">
          <cell r="D4136" t="str">
            <v>M393A8G40AB2-CWE</v>
          </cell>
          <cell r="E4136" t="str">
            <v>SNK929</v>
          </cell>
        </row>
        <row r="4137">
          <cell r="D4137" t="str">
            <v>M393A8G40AB2-CWE</v>
          </cell>
          <cell r="E4137" t="str">
            <v>SNK930</v>
          </cell>
        </row>
        <row r="4138">
          <cell r="D4138" t="str">
            <v>M393A8G40AB2-CWE</v>
          </cell>
          <cell r="E4138" t="str">
            <v>SNK931</v>
          </cell>
        </row>
        <row r="4139">
          <cell r="D4139" t="str">
            <v>M393A8G40AB2-CWE</v>
          </cell>
          <cell r="E4139" t="str">
            <v>SNK932</v>
          </cell>
        </row>
        <row r="4140">
          <cell r="D4140" t="str">
            <v>M393A8G40AB2-CWE</v>
          </cell>
          <cell r="E4140" t="str">
            <v>SNK933</v>
          </cell>
        </row>
        <row r="4141">
          <cell r="D4141" t="str">
            <v>M393A8G40AB2-CWE</v>
          </cell>
          <cell r="E4141" t="str">
            <v>SNK934</v>
          </cell>
        </row>
        <row r="4142">
          <cell r="D4142" t="str">
            <v>M393A8G40AB2-CWE</v>
          </cell>
          <cell r="E4142" t="str">
            <v>SNK935</v>
          </cell>
        </row>
        <row r="4143">
          <cell r="D4143" t="str">
            <v>M393A8G40AB2-CWE</v>
          </cell>
          <cell r="E4143" t="str">
            <v>SNK936</v>
          </cell>
        </row>
        <row r="4144">
          <cell r="D4144" t="str">
            <v>M393A8G40AB2-CWE</v>
          </cell>
          <cell r="E4144" t="str">
            <v>SNK937</v>
          </cell>
        </row>
        <row r="4145">
          <cell r="D4145" t="str">
            <v>M393A8G40AB2-CWE</v>
          </cell>
          <cell r="E4145" t="str">
            <v>SNK938</v>
          </cell>
        </row>
        <row r="4146">
          <cell r="D4146" t="str">
            <v>M393A8G40AB2-CWE</v>
          </cell>
          <cell r="E4146" t="str">
            <v>SNK939</v>
          </cell>
        </row>
        <row r="4147">
          <cell r="D4147" t="str">
            <v>M393A8G40AB2-CWE</v>
          </cell>
          <cell r="E4147" t="str">
            <v>SNK940</v>
          </cell>
        </row>
        <row r="4148">
          <cell r="D4148" t="str">
            <v>M393A8G40AB2-CWE</v>
          </cell>
          <cell r="E4148" t="str">
            <v>SNK941</v>
          </cell>
        </row>
        <row r="4149">
          <cell r="D4149" t="str">
            <v>M393A8G40AB2-CWE</v>
          </cell>
          <cell r="E4149" t="str">
            <v>SNK942</v>
          </cell>
        </row>
        <row r="4150">
          <cell r="D4150" t="str">
            <v>M393A8G40AB2-CWE</v>
          </cell>
          <cell r="E4150" t="str">
            <v>SNK943</v>
          </cell>
        </row>
        <row r="4151">
          <cell r="D4151" t="str">
            <v>M393A8G40AB2-CWE</v>
          </cell>
          <cell r="E4151" t="str">
            <v>SNK944</v>
          </cell>
        </row>
        <row r="4152">
          <cell r="D4152" t="str">
            <v>M393A8G40AB2-CWE</v>
          </cell>
          <cell r="E4152" t="str">
            <v>SNK945</v>
          </cell>
        </row>
        <row r="4153">
          <cell r="D4153" t="str">
            <v>M393A8G40AB2-CWE</v>
          </cell>
          <cell r="E4153" t="str">
            <v>SNK946</v>
          </cell>
        </row>
        <row r="4154">
          <cell r="D4154" t="str">
            <v>M393A8G40AB2-CWE</v>
          </cell>
          <cell r="E4154" t="str">
            <v>SNK947</v>
          </cell>
        </row>
        <row r="4155">
          <cell r="D4155" t="str">
            <v>M393A8G40AB2-CWE</v>
          </cell>
          <cell r="E4155" t="str">
            <v>SNK948</v>
          </cell>
        </row>
        <row r="4156">
          <cell r="D4156" t="str">
            <v>M393A8G40AB2-CWE</v>
          </cell>
          <cell r="E4156" t="str">
            <v>SNK949</v>
          </cell>
        </row>
        <row r="4157">
          <cell r="D4157" t="str">
            <v>M393A8G40AB2-CWE</v>
          </cell>
          <cell r="E4157" t="str">
            <v>SNK950</v>
          </cell>
        </row>
        <row r="4158">
          <cell r="D4158" t="str">
            <v>M393A8G40AB2-CWE</v>
          </cell>
          <cell r="E4158" t="str">
            <v>SNK951</v>
          </cell>
        </row>
        <row r="4159">
          <cell r="D4159" t="str">
            <v>M393A8G40AB2-CWE</v>
          </cell>
          <cell r="E4159" t="str">
            <v>SNK952</v>
          </cell>
        </row>
        <row r="4160">
          <cell r="D4160" t="str">
            <v>M393A8G40AB2-CWE</v>
          </cell>
          <cell r="E4160" t="str">
            <v>SNK953</v>
          </cell>
        </row>
        <row r="4161">
          <cell r="D4161" t="str">
            <v>M393A8G40AB2-CWE</v>
          </cell>
          <cell r="E4161" t="str">
            <v>SNK954</v>
          </cell>
        </row>
        <row r="4162">
          <cell r="D4162" t="str">
            <v>M393A8G40AB2-CWE</v>
          </cell>
          <cell r="E4162" t="str">
            <v>SNK955</v>
          </cell>
        </row>
        <row r="4163">
          <cell r="D4163" t="str">
            <v>M393A8G40AB2-CWE</v>
          </cell>
          <cell r="E4163" t="str">
            <v>SNK956</v>
          </cell>
        </row>
        <row r="4164">
          <cell r="D4164" t="str">
            <v>M393A8G40AB2-CWE</v>
          </cell>
          <cell r="E4164" t="str">
            <v>SNK957</v>
          </cell>
        </row>
        <row r="4165">
          <cell r="D4165" t="str">
            <v>M393A8G40AB2-CWE</v>
          </cell>
          <cell r="E4165" t="str">
            <v>SNK958</v>
          </cell>
        </row>
        <row r="4166">
          <cell r="D4166" t="str">
            <v>M393A8G40AB2-CWE</v>
          </cell>
          <cell r="E4166" t="str">
            <v>SNK959</v>
          </cell>
        </row>
        <row r="4167">
          <cell r="D4167" t="str">
            <v>M393A8G40AB2-CWE</v>
          </cell>
          <cell r="E4167" t="str">
            <v>SNK960</v>
          </cell>
        </row>
        <row r="4168">
          <cell r="D4168" t="str">
            <v>M393A8G40AB2-CWE</v>
          </cell>
          <cell r="E4168" t="str">
            <v>SNK961</v>
          </cell>
        </row>
        <row r="4169">
          <cell r="D4169" t="str">
            <v>M393A8G40AB2-CWE</v>
          </cell>
          <cell r="E4169" t="str">
            <v>SNK962</v>
          </cell>
        </row>
        <row r="4170">
          <cell r="D4170" t="str">
            <v>M393A8G40AB2-CWE</v>
          </cell>
          <cell r="E4170" t="str">
            <v>SNK963</v>
          </cell>
        </row>
        <row r="4171">
          <cell r="D4171" t="str">
            <v>M393A8G40AB2-CWE</v>
          </cell>
          <cell r="E4171" t="str">
            <v>SNK964</v>
          </cell>
        </row>
        <row r="4172">
          <cell r="D4172" t="str">
            <v>M393A8G40AB2-CWE</v>
          </cell>
          <cell r="E4172" t="str">
            <v>SNK965</v>
          </cell>
        </row>
        <row r="4173">
          <cell r="D4173" t="str">
            <v>M393A8G40AB2-CWE</v>
          </cell>
          <cell r="E4173" t="str">
            <v>SNK966</v>
          </cell>
        </row>
        <row r="4174">
          <cell r="D4174" t="str">
            <v>M393A8G40AB2-CWE</v>
          </cell>
          <cell r="E4174" t="str">
            <v>SNK967</v>
          </cell>
        </row>
        <row r="4175">
          <cell r="D4175" t="str">
            <v>M393A8G40AB2-CWE</v>
          </cell>
          <cell r="E4175" t="str">
            <v>SNK968</v>
          </cell>
        </row>
        <row r="4176">
          <cell r="D4176" t="str">
            <v>M393A8G40AB2-CWE</v>
          </cell>
          <cell r="E4176" t="str">
            <v>SNK969</v>
          </cell>
        </row>
        <row r="4177">
          <cell r="D4177" t="str">
            <v>M393A8G40AB2-CWE</v>
          </cell>
          <cell r="E4177" t="str">
            <v>SNK970</v>
          </cell>
        </row>
        <row r="4178">
          <cell r="D4178" t="str">
            <v>M393A8G40AB2-CWE</v>
          </cell>
          <cell r="E4178" t="str">
            <v>SNK971</v>
          </cell>
        </row>
        <row r="4179">
          <cell r="D4179" t="str">
            <v>M393A8G40AB2-CWE</v>
          </cell>
          <cell r="E4179" t="str">
            <v>SNK972</v>
          </cell>
        </row>
        <row r="4180">
          <cell r="D4180" t="str">
            <v>M393A8G40AB2-CWE</v>
          </cell>
          <cell r="E4180" t="str">
            <v>SNK973</v>
          </cell>
        </row>
        <row r="4181">
          <cell r="D4181" t="str">
            <v>M393A8G40AB2-CWE</v>
          </cell>
          <cell r="E4181" t="str">
            <v>SNK974</v>
          </cell>
        </row>
        <row r="4182">
          <cell r="D4182" t="str">
            <v>M393A8G40AB2-CWE</v>
          </cell>
          <cell r="E4182" t="str">
            <v>SNK975</v>
          </cell>
        </row>
        <row r="4183">
          <cell r="D4183" t="str">
            <v>M393A8G40AB2-CWE</v>
          </cell>
          <cell r="E4183" t="str">
            <v>SNK976</v>
          </cell>
        </row>
        <row r="4184">
          <cell r="D4184" t="str">
            <v>M393A8G40AB2-CWE</v>
          </cell>
          <cell r="E4184" t="str">
            <v>SNK977</v>
          </cell>
        </row>
        <row r="4185">
          <cell r="D4185" t="str">
            <v>M393A8G40AB2-CWE</v>
          </cell>
          <cell r="E4185" t="str">
            <v>SNK978</v>
          </cell>
        </row>
        <row r="4186">
          <cell r="D4186" t="str">
            <v>M393A8G40AB2-CWE</v>
          </cell>
          <cell r="E4186" t="str">
            <v>SNK979</v>
          </cell>
        </row>
        <row r="4187">
          <cell r="D4187" t="str">
            <v>M393A8G40AB2-CWE</v>
          </cell>
          <cell r="E4187" t="str">
            <v>SNK980</v>
          </cell>
        </row>
        <row r="4188">
          <cell r="D4188" t="str">
            <v>M393A8G40AB2-CWE</v>
          </cell>
          <cell r="E4188" t="str">
            <v>SNK981</v>
          </cell>
        </row>
        <row r="4189">
          <cell r="D4189" t="str">
            <v>M393A8G40AB2-CWE</v>
          </cell>
          <cell r="E4189" t="str">
            <v>SNK982</v>
          </cell>
        </row>
        <row r="4190">
          <cell r="D4190" t="str">
            <v>M393A8G40AB2-CWE</v>
          </cell>
          <cell r="E4190" t="str">
            <v>SNK983</v>
          </cell>
        </row>
        <row r="4191">
          <cell r="D4191" t="str">
            <v>M393A8G40AB2-CWE</v>
          </cell>
          <cell r="E4191" t="str">
            <v>SNK984</v>
          </cell>
        </row>
        <row r="4192">
          <cell r="D4192" t="str">
            <v>M393A8G40AB2-CWE</v>
          </cell>
          <cell r="E4192" t="str">
            <v>SNK985</v>
          </cell>
        </row>
        <row r="4193">
          <cell r="D4193" t="str">
            <v>M393A8G40AB2-CWE</v>
          </cell>
          <cell r="E4193" t="str">
            <v>SNK986</v>
          </cell>
        </row>
        <row r="4194">
          <cell r="D4194" t="str">
            <v>M393A8G40AB2-CWE</v>
          </cell>
          <cell r="E4194" t="str">
            <v>SNK987</v>
          </cell>
        </row>
        <row r="4195">
          <cell r="D4195" t="str">
            <v>M393A8G40AB2-CWE</v>
          </cell>
          <cell r="E4195" t="str">
            <v>SNK988</v>
          </cell>
        </row>
        <row r="4196">
          <cell r="D4196" t="str">
            <v>M393A8G40AB2-CWE</v>
          </cell>
          <cell r="E4196" t="str">
            <v>SNK989</v>
          </cell>
        </row>
        <row r="4197">
          <cell r="D4197" t="str">
            <v>M393A8G40AB2-CWE</v>
          </cell>
          <cell r="E4197" t="str">
            <v>SNK990</v>
          </cell>
        </row>
        <row r="4198">
          <cell r="D4198" t="str">
            <v>M393A8G40AB2-CWE</v>
          </cell>
          <cell r="E4198" t="str">
            <v>SNK991</v>
          </cell>
        </row>
        <row r="4199">
          <cell r="D4199" t="str">
            <v>M393A8G40AB2-CWE</v>
          </cell>
          <cell r="E4199" t="str">
            <v>SNK992</v>
          </cell>
        </row>
        <row r="4200">
          <cell r="D4200" t="str">
            <v>M393A8G40AB2-CWE</v>
          </cell>
          <cell r="E4200" t="str">
            <v>SNK993</v>
          </cell>
        </row>
        <row r="4201">
          <cell r="D4201" t="str">
            <v>M393A8G40AB2-CWE</v>
          </cell>
          <cell r="E4201" t="str">
            <v>SNK994</v>
          </cell>
        </row>
        <row r="4202">
          <cell r="D4202" t="str">
            <v>M393A8G40AB2-CWE</v>
          </cell>
          <cell r="E4202" t="str">
            <v>SNK995</v>
          </cell>
        </row>
        <row r="4203">
          <cell r="D4203" t="str">
            <v>M393A8G40AB2-CWE</v>
          </cell>
          <cell r="E4203" t="str">
            <v>SNK996</v>
          </cell>
        </row>
        <row r="4204">
          <cell r="D4204" t="str">
            <v>M393A8G40AB2-CWE</v>
          </cell>
          <cell r="E4204" t="str">
            <v>SNK997</v>
          </cell>
        </row>
        <row r="4205">
          <cell r="D4205" t="str">
            <v>M393A8G40AB2-CWE</v>
          </cell>
          <cell r="E4205" t="str">
            <v>SNK998</v>
          </cell>
        </row>
        <row r="4206">
          <cell r="D4206" t="str">
            <v>M393A8G40AB2-CWE</v>
          </cell>
          <cell r="E4206" t="str">
            <v>SNK999</v>
          </cell>
        </row>
        <row r="4207">
          <cell r="D4207" t="str">
            <v>M393A8G40AB2-CWE</v>
          </cell>
          <cell r="E4207" t="str">
            <v>SNL000</v>
          </cell>
        </row>
        <row r="4208">
          <cell r="D4208" t="str">
            <v>M393A8G40AB2-CWE</v>
          </cell>
          <cell r="E4208" t="str">
            <v>SNL001</v>
          </cell>
        </row>
        <row r="4209">
          <cell r="D4209" t="str">
            <v>M393A8G40AB2-CWE</v>
          </cell>
          <cell r="E4209" t="str">
            <v>SNL002</v>
          </cell>
        </row>
        <row r="4210">
          <cell r="D4210" t="str">
            <v>M393A8G40AB2-CWE</v>
          </cell>
          <cell r="E4210" t="str">
            <v>SNL003</v>
          </cell>
        </row>
        <row r="4211">
          <cell r="D4211" t="str">
            <v>M393A8G40AB2-CWE</v>
          </cell>
          <cell r="E4211" t="str">
            <v>SNL004</v>
          </cell>
        </row>
        <row r="4212">
          <cell r="D4212" t="str">
            <v>M393A8G40AB2-CWE</v>
          </cell>
          <cell r="E4212" t="str">
            <v>SNL005</v>
          </cell>
        </row>
        <row r="4213">
          <cell r="D4213" t="str">
            <v>M393A8G40AB2-CWE</v>
          </cell>
          <cell r="E4213" t="str">
            <v>SNL006</v>
          </cell>
        </row>
        <row r="4214">
          <cell r="D4214" t="str">
            <v>M393A8G40AB2-CWE</v>
          </cell>
          <cell r="E4214" t="str">
            <v>SNL007</v>
          </cell>
        </row>
        <row r="4215">
          <cell r="D4215" t="str">
            <v>M393A8G40AB2-CWE</v>
          </cell>
          <cell r="E4215" t="str">
            <v>SNL008</v>
          </cell>
        </row>
        <row r="4216">
          <cell r="D4216" t="str">
            <v>M393A8G40AB2-CWE</v>
          </cell>
          <cell r="E4216" t="str">
            <v>SNL009</v>
          </cell>
        </row>
        <row r="4217">
          <cell r="D4217" t="str">
            <v>M393A8G40AB2-CWE</v>
          </cell>
          <cell r="E4217" t="str">
            <v>SNL010</v>
          </cell>
        </row>
        <row r="4218">
          <cell r="D4218" t="str">
            <v>M393A8G40AB2-CWE</v>
          </cell>
          <cell r="E4218" t="str">
            <v>SNL011</v>
          </cell>
        </row>
        <row r="4219">
          <cell r="D4219" t="str">
            <v>M393A8G40AB2-CWE</v>
          </cell>
          <cell r="E4219" t="str">
            <v>SNL012</v>
          </cell>
        </row>
        <row r="4220">
          <cell r="D4220" t="str">
            <v>M393A8G40AB2-CWE</v>
          </cell>
          <cell r="E4220" t="str">
            <v>SNL013</v>
          </cell>
        </row>
        <row r="4221">
          <cell r="D4221" t="str">
            <v>M393A8G40AB2-CWE</v>
          </cell>
          <cell r="E4221" t="str">
            <v>SNL014</v>
          </cell>
        </row>
        <row r="4222">
          <cell r="D4222" t="str">
            <v>M393A8G40AB2-CWE</v>
          </cell>
          <cell r="E4222" t="str">
            <v>SNL015</v>
          </cell>
        </row>
        <row r="4223">
          <cell r="D4223" t="str">
            <v>M393A8G40AB2-CWE</v>
          </cell>
          <cell r="E4223" t="str">
            <v>SNL016</v>
          </cell>
        </row>
        <row r="4224">
          <cell r="D4224" t="str">
            <v>M393A8G40AB2-CWE</v>
          </cell>
          <cell r="E4224" t="str">
            <v>SNL017</v>
          </cell>
        </row>
        <row r="4225">
          <cell r="D4225" t="str">
            <v>M393A8G40AB2-CWE</v>
          </cell>
          <cell r="E4225" t="str">
            <v>SNL018</v>
          </cell>
        </row>
        <row r="4226">
          <cell r="D4226" t="str">
            <v>M393A8G40AB2-CWE</v>
          </cell>
          <cell r="E4226" t="str">
            <v>SNL019</v>
          </cell>
        </row>
        <row r="4227">
          <cell r="D4227" t="str">
            <v>M393A8G40AB2-CWE</v>
          </cell>
          <cell r="E4227" t="str">
            <v>SNL020</v>
          </cell>
        </row>
        <row r="4228">
          <cell r="D4228" t="str">
            <v>M393A8G40AB2-CWE</v>
          </cell>
          <cell r="E4228" t="str">
            <v>SNL021</v>
          </cell>
        </row>
        <row r="4229">
          <cell r="D4229" t="str">
            <v>M393A8G40AB2-CWE</v>
          </cell>
          <cell r="E4229" t="str">
            <v>SNL022</v>
          </cell>
        </row>
        <row r="4230">
          <cell r="D4230" t="str">
            <v>M393A8G40AB2-CWE</v>
          </cell>
          <cell r="E4230" t="str">
            <v>SNL023</v>
          </cell>
        </row>
        <row r="4231">
          <cell r="D4231" t="str">
            <v>M393A8G40AB2-CWE</v>
          </cell>
          <cell r="E4231" t="str">
            <v>SNL024</v>
          </cell>
        </row>
        <row r="4232">
          <cell r="D4232" t="str">
            <v>M393A8G40AB2-CWE</v>
          </cell>
          <cell r="E4232" t="str">
            <v>SNL025</v>
          </cell>
        </row>
        <row r="4233">
          <cell r="D4233" t="str">
            <v>M393A8G40AB2-CWE</v>
          </cell>
          <cell r="E4233" t="str">
            <v>SNL026</v>
          </cell>
        </row>
        <row r="4234">
          <cell r="D4234" t="str">
            <v>M393A8G40AB2-CWE</v>
          </cell>
          <cell r="E4234" t="str">
            <v>SNL027</v>
          </cell>
        </row>
        <row r="4235">
          <cell r="D4235" t="str">
            <v>M393A8G40AB2-CWE</v>
          </cell>
          <cell r="E4235" t="str">
            <v>SNL028</v>
          </cell>
        </row>
        <row r="4236">
          <cell r="D4236" t="str">
            <v>M393A8G40AB2-CWE</v>
          </cell>
          <cell r="E4236" t="str">
            <v>SNL029</v>
          </cell>
        </row>
        <row r="4237">
          <cell r="D4237" t="str">
            <v>M393A8G40AB2-CWE</v>
          </cell>
          <cell r="E4237" t="str">
            <v>SNL030</v>
          </cell>
        </row>
        <row r="4238">
          <cell r="D4238" t="str">
            <v>M393A8G40AB2-CWE</v>
          </cell>
          <cell r="E4238" t="str">
            <v>SNL031</v>
          </cell>
        </row>
        <row r="4239">
          <cell r="D4239" t="str">
            <v>M393A8G40AB2-CWE</v>
          </cell>
          <cell r="E4239" t="str">
            <v>SNL032</v>
          </cell>
        </row>
        <row r="4240">
          <cell r="D4240" t="str">
            <v>M393A8G40AB2-CWE</v>
          </cell>
          <cell r="E4240" t="str">
            <v>SNL033</v>
          </cell>
        </row>
        <row r="4241">
          <cell r="D4241" t="str">
            <v>M393A8G40AB2-CWE</v>
          </cell>
          <cell r="E4241" t="str">
            <v>SNL034</v>
          </cell>
        </row>
        <row r="4242">
          <cell r="D4242" t="str">
            <v>M393A8G40AB2-CWE</v>
          </cell>
          <cell r="E4242" t="str">
            <v>SNL035</v>
          </cell>
        </row>
        <row r="4243">
          <cell r="D4243" t="str">
            <v>M393A8G40AB2-CWE</v>
          </cell>
          <cell r="E4243" t="str">
            <v>SNL036</v>
          </cell>
        </row>
        <row r="4244">
          <cell r="D4244" t="str">
            <v>M393A8G40AB2-CWE</v>
          </cell>
          <cell r="E4244" t="str">
            <v>SNL037</v>
          </cell>
        </row>
        <row r="4245">
          <cell r="D4245" t="str">
            <v>M393A8G40AB2-CWE</v>
          </cell>
          <cell r="E4245" t="str">
            <v>SNL038</v>
          </cell>
        </row>
        <row r="4246">
          <cell r="D4246" t="str">
            <v>M393A8G40AB2-CWE</v>
          </cell>
          <cell r="E4246" t="str">
            <v>SNL039</v>
          </cell>
        </row>
        <row r="4247">
          <cell r="D4247" t="str">
            <v>M393A8G40AB2-CWE</v>
          </cell>
          <cell r="E4247" t="str">
            <v>SNL040</v>
          </cell>
        </row>
        <row r="4248">
          <cell r="D4248" t="str">
            <v>M393A8G40AB2-CWE</v>
          </cell>
          <cell r="E4248" t="str">
            <v>SNL041</v>
          </cell>
        </row>
        <row r="4249">
          <cell r="D4249" t="str">
            <v>M393A8G40AB2-CWE</v>
          </cell>
          <cell r="E4249" t="str">
            <v>SNL042</v>
          </cell>
        </row>
        <row r="4250">
          <cell r="D4250" t="str">
            <v>M393A8G40AB2-CWE</v>
          </cell>
          <cell r="E4250" t="str">
            <v>SNL043</v>
          </cell>
        </row>
        <row r="4251">
          <cell r="D4251" t="str">
            <v>M393A8G40AB2-CWE</v>
          </cell>
          <cell r="E4251" t="str">
            <v>SNL044</v>
          </cell>
        </row>
        <row r="4252">
          <cell r="D4252" t="str">
            <v>BX80684E2226G</v>
          </cell>
          <cell r="E4252" t="str">
            <v>U17TX50401824</v>
          </cell>
          <cell r="K4252" t="str">
            <v>RO/2021/005385/A 2z2</v>
          </cell>
        </row>
        <row r="4253">
          <cell r="D4253" t="str">
            <v>Intel Xeon E-2226G</v>
          </cell>
          <cell r="E4253" t="str">
            <v>X152J979 00258  U1020PX200258</v>
          </cell>
          <cell r="K4253" t="str">
            <v>RO/2021/005385/A 1z2</v>
          </cell>
        </row>
        <row r="4254">
          <cell r="D4254" t="str">
            <v>LSI00418    03-25444-05</v>
          </cell>
          <cell r="E4254" t="str">
            <v>SK11123103</v>
          </cell>
        </row>
        <row r="4255">
          <cell r="D4255" t="str">
            <v>LSI00418    03-25444-06</v>
          </cell>
          <cell r="E4255" t="str">
            <v>SK11659108</v>
          </cell>
        </row>
        <row r="4256">
          <cell r="D4256" t="str">
            <v>LSI00418    03-25444-06</v>
          </cell>
          <cell r="E4256" t="str">
            <v>ST11602412</v>
          </cell>
        </row>
        <row r="4257">
          <cell r="D4257" t="str">
            <v>LSI00418    03-25444-06</v>
          </cell>
          <cell r="E4257" t="str">
            <v>SK11658862</v>
          </cell>
        </row>
        <row r="4258">
          <cell r="D4258" t="str">
            <v>LSI00418    03-25444-06</v>
          </cell>
          <cell r="E4258" t="str">
            <v>SK11659062</v>
          </cell>
        </row>
        <row r="4259">
          <cell r="D4259" t="str">
            <v>LSI00418    03-25444-06</v>
          </cell>
          <cell r="E4259" t="str">
            <v>SK11658950</v>
          </cell>
        </row>
        <row r="4260">
          <cell r="D4260" t="str">
            <v>LSI00418    03-25444-06</v>
          </cell>
          <cell r="E4260" t="str">
            <v>SK11658844</v>
          </cell>
        </row>
        <row r="4261">
          <cell r="D4261" t="str">
            <v>LSI00418    03-25444-06</v>
          </cell>
          <cell r="E4261" t="str">
            <v>SK11659086</v>
          </cell>
        </row>
        <row r="4262">
          <cell r="D4262" t="str">
            <v>LSI00418    03-25444-06</v>
          </cell>
          <cell r="E4262" t="str">
            <v>SK11659088</v>
          </cell>
        </row>
        <row r="4263">
          <cell r="D4263" t="str">
            <v>LSI00418    03-25444-06</v>
          </cell>
          <cell r="E4263" t="str">
            <v>SK11659064</v>
          </cell>
        </row>
        <row r="4264">
          <cell r="D4264" t="str">
            <v>LSI00418    03-25444-06</v>
          </cell>
          <cell r="E4264" t="str">
            <v>SK11659070</v>
          </cell>
        </row>
        <row r="4265">
          <cell r="D4265" t="str">
            <v>LSI SAS 9300-8i     H5-25573-00</v>
          </cell>
          <cell r="E4265" t="str">
            <v>SPA2706553</v>
          </cell>
        </row>
        <row r="4266">
          <cell r="D4266" t="str">
            <v>LSI SAS 9300-8i     H5-25573-00</v>
          </cell>
          <cell r="E4266" t="str">
            <v>SPA2704995</v>
          </cell>
        </row>
        <row r="4267">
          <cell r="D4267" t="str">
            <v>LSI SAS 9300-8i     H5-25573-00</v>
          </cell>
          <cell r="E4267" t="str">
            <v>SPA2701745</v>
          </cell>
        </row>
        <row r="4268">
          <cell r="D4268" t="str">
            <v>LSI SAS 9300-8i     H5-25573-00</v>
          </cell>
          <cell r="E4268" t="str">
            <v>SPA2703885</v>
          </cell>
        </row>
        <row r="4269">
          <cell r="D4269" t="str">
            <v>LSI SAS 9300-8i     H5-25573-00</v>
          </cell>
          <cell r="E4269" t="str">
            <v>SPA2702581</v>
          </cell>
        </row>
        <row r="4270">
          <cell r="D4270" t="str">
            <v>LSI SAS 9300-8i     H5-25573-00</v>
          </cell>
          <cell r="E4270" t="str">
            <v>SPA2700241</v>
          </cell>
        </row>
        <row r="4271">
          <cell r="D4271" t="str">
            <v>LSI SAS 9300-8i     H5-25573-00</v>
          </cell>
          <cell r="E4271" t="str">
            <v>SPA2702758</v>
          </cell>
        </row>
        <row r="4272">
          <cell r="D4272" t="str">
            <v>LSI SAS 9300-8i     H5-25573-00</v>
          </cell>
          <cell r="E4272" t="str">
            <v>SPA2705986</v>
          </cell>
        </row>
        <row r="4273">
          <cell r="D4273" t="str">
            <v>LSI SAS 9300-8i     H5-25573-00</v>
          </cell>
          <cell r="E4273" t="str">
            <v>SPA2702753</v>
          </cell>
        </row>
        <row r="4274">
          <cell r="D4274" t="str">
            <v>LSI SAS 9300-8i     H5-25573-00</v>
          </cell>
          <cell r="E4274" t="str">
            <v>SPA2700221</v>
          </cell>
          <cell r="K4274" t="str">
            <v>AWARIA</v>
          </cell>
        </row>
        <row r="4275">
          <cell r="D4275" t="str">
            <v>LSI SAS 9300-8i     H5-25573-00</v>
          </cell>
          <cell r="E4275" t="str">
            <v>SPA2700098</v>
          </cell>
        </row>
        <row r="4276">
          <cell r="D4276" t="str">
            <v>LSI SAS 9300-8i     H5-25573-00</v>
          </cell>
          <cell r="E4276" t="str">
            <v>SPA2705309</v>
          </cell>
        </row>
        <row r="4277">
          <cell r="D4277" t="str">
            <v>LSI SAS 9300-8i     H5-25573-00</v>
          </cell>
          <cell r="E4277" t="str">
            <v>SPA2700577</v>
          </cell>
        </row>
        <row r="4278">
          <cell r="D4278" t="str">
            <v>LSI SAS 9300-8i     H5-25573-00</v>
          </cell>
          <cell r="E4278" t="str">
            <v>SPA2703549</v>
          </cell>
        </row>
        <row r="4279">
          <cell r="D4279" t="str">
            <v>LSI SAS 9300-8i     H5-25573-00</v>
          </cell>
          <cell r="E4279" t="str">
            <v>SPA2702395</v>
          </cell>
        </row>
        <row r="4280">
          <cell r="D4280" t="str">
            <v>LSI SAS 9300-8i     H5-25573-00</v>
          </cell>
          <cell r="E4280" t="str">
            <v>SPA2705967</v>
          </cell>
        </row>
        <row r="4281">
          <cell r="D4281" t="str">
            <v>LSI SAS 9300-8i     H5-25573-00</v>
          </cell>
          <cell r="E4281" t="str">
            <v>SPA2701702</v>
          </cell>
        </row>
        <row r="4282">
          <cell r="D4282" t="str">
            <v>LSI SAS 9300-8i     H5-25573-00</v>
          </cell>
          <cell r="E4282" t="str">
            <v>SPA2702765</v>
          </cell>
        </row>
        <row r="4283">
          <cell r="D4283" t="str">
            <v>LSI SAS 9300-8i     H5-25573-00</v>
          </cell>
          <cell r="E4283" t="str">
            <v>SPA2701331</v>
          </cell>
        </row>
        <row r="4284">
          <cell r="D4284" t="str">
            <v>LSI SAS 9300-8i     H5-25573-00</v>
          </cell>
          <cell r="E4284" t="str">
            <v>SPA2701688</v>
          </cell>
        </row>
        <row r="4285">
          <cell r="D4285" t="str">
            <v>SSDPE2KE016T801</v>
          </cell>
          <cell r="E4285" t="str">
            <v>PHLN148503JV1P6AGN</v>
          </cell>
        </row>
        <row r="4286">
          <cell r="D4286" t="str">
            <v>SSDPE2KE016T801</v>
          </cell>
          <cell r="E4286" t="str">
            <v>PHLN1485015Q1P6AGN</v>
          </cell>
        </row>
        <row r="4287">
          <cell r="D4287" t="str">
            <v>SSDPE2KE016T801</v>
          </cell>
          <cell r="E4287" t="str">
            <v>PHLN148503EM1P6AGN</v>
          </cell>
        </row>
        <row r="4288">
          <cell r="D4288" t="str">
            <v>SSDPE2KE016T801</v>
          </cell>
          <cell r="E4288" t="str">
            <v>PHLN148501PP1P6AGN</v>
          </cell>
        </row>
        <row r="4289">
          <cell r="D4289" t="str">
            <v>SSDPE2KE016T801</v>
          </cell>
          <cell r="E4289" t="str">
            <v>PHLN148503EH1P6AGN</v>
          </cell>
        </row>
        <row r="4290">
          <cell r="D4290" t="str">
            <v>SSDPE2KE016T801</v>
          </cell>
          <cell r="E4290" t="str">
            <v>PHLN148506Y71P6AGN</v>
          </cell>
        </row>
        <row r="4291">
          <cell r="D4291" t="str">
            <v>SSDPE2KE016T801</v>
          </cell>
          <cell r="E4291" t="str">
            <v>PHLN148503LF1P6AGN</v>
          </cell>
        </row>
        <row r="4292">
          <cell r="D4292" t="str">
            <v>SSDPE2KE016T801</v>
          </cell>
          <cell r="E4292" t="str">
            <v>PHLN148506NF1P6AGN</v>
          </cell>
        </row>
        <row r="4293">
          <cell r="D4293" t="str">
            <v>SSDPE2KE016T801</v>
          </cell>
          <cell r="E4293" t="str">
            <v>PHLN148501PX1P6AGN</v>
          </cell>
        </row>
        <row r="4294">
          <cell r="D4294" t="str">
            <v>SSDPE2KE016T801</v>
          </cell>
          <cell r="E4294" t="str">
            <v>PHLN148501PN1P6AGN</v>
          </cell>
        </row>
        <row r="4295">
          <cell r="D4295" t="str">
            <v>SSDPE2KE016T801</v>
          </cell>
          <cell r="E4295" t="str">
            <v>PHLN1485014F1P6AGN</v>
          </cell>
        </row>
        <row r="4296">
          <cell r="D4296" t="str">
            <v>SSDPE2KE016T801</v>
          </cell>
          <cell r="E4296" t="str">
            <v>PHLN148501NL1P6AGN</v>
          </cell>
        </row>
        <row r="4297">
          <cell r="D4297" t="str">
            <v>SSDPE2KE016T801</v>
          </cell>
          <cell r="E4297" t="str">
            <v>PHLN1485013D1P6AGN</v>
          </cell>
        </row>
        <row r="4298">
          <cell r="D4298" t="str">
            <v>SSDPE2KE016T801</v>
          </cell>
          <cell r="E4298" t="str">
            <v>PHLN148503E11P6AGN</v>
          </cell>
        </row>
        <row r="4299">
          <cell r="D4299" t="str">
            <v>SSDPE2KE016T801</v>
          </cell>
          <cell r="E4299" t="str">
            <v>PHLN148506F11P6AGN</v>
          </cell>
        </row>
        <row r="4300">
          <cell r="D4300" t="str">
            <v>SSDPE2KE016T801</v>
          </cell>
          <cell r="E4300" t="str">
            <v>PHLN148503WS1P6AGN</v>
          </cell>
        </row>
        <row r="4301">
          <cell r="D4301" t="str">
            <v>SSDPE2KE016T801</v>
          </cell>
          <cell r="E4301" t="str">
            <v>PHLN1485015M1P6AGN</v>
          </cell>
        </row>
        <row r="4302">
          <cell r="D4302" t="str">
            <v>SSDPE2KE016T801</v>
          </cell>
          <cell r="E4302" t="str">
            <v>PHLN1485013R1P6AGN</v>
          </cell>
        </row>
        <row r="4303">
          <cell r="D4303" t="str">
            <v>SSDPE2KE016T801</v>
          </cell>
          <cell r="E4303" t="str">
            <v>PHLN148506Y81P6AGN</v>
          </cell>
        </row>
        <row r="4304">
          <cell r="D4304" t="str">
            <v>SSDPE2KE016T801</v>
          </cell>
          <cell r="E4304" t="str">
            <v>PHLN1485015T1P6AGN</v>
          </cell>
        </row>
        <row r="4305">
          <cell r="D4305" t="str">
            <v>SSDSC2KG960G801</v>
          </cell>
          <cell r="E4305" t="str">
            <v>BTYG2043072X960CGN</v>
          </cell>
        </row>
        <row r="4306">
          <cell r="D4306" t="str">
            <v>SSDSC2KG960G801</v>
          </cell>
          <cell r="E4306" t="str">
            <v>BTYG20430739960CGN</v>
          </cell>
        </row>
        <row r="4307">
          <cell r="D4307" t="str">
            <v>SSDSC2KG960G801</v>
          </cell>
          <cell r="E4307" t="str">
            <v>BTYG20430738960CGN</v>
          </cell>
        </row>
        <row r="4308">
          <cell r="D4308" t="str">
            <v>SSDSC2KG960G801</v>
          </cell>
          <cell r="E4308" t="str">
            <v>BTYG2043072M960CGN</v>
          </cell>
        </row>
        <row r="4309">
          <cell r="D4309" t="str">
            <v>SSDSC2KG960G801</v>
          </cell>
          <cell r="E4309" t="str">
            <v>BTYG2043073N960CGN</v>
          </cell>
        </row>
        <row r="4310">
          <cell r="D4310" t="str">
            <v>SSDSC2KG960G801</v>
          </cell>
          <cell r="E4310" t="str">
            <v>BTYG2043072U960CGN</v>
          </cell>
        </row>
        <row r="4311">
          <cell r="D4311" t="str">
            <v>SSDSC2KG960G801</v>
          </cell>
          <cell r="E4311" t="str">
            <v>BTYG2043073W960CGN</v>
          </cell>
        </row>
        <row r="4312">
          <cell r="D4312" t="str">
            <v>SSDSC2KG960G801</v>
          </cell>
          <cell r="E4312" t="str">
            <v>BTYG2043072Z960CGN</v>
          </cell>
        </row>
        <row r="4313">
          <cell r="D4313" t="str">
            <v>SSDSC2KG960G801</v>
          </cell>
          <cell r="E4313" t="str">
            <v>BTYG2043072K960CGN</v>
          </cell>
        </row>
        <row r="4314">
          <cell r="D4314" t="str">
            <v>SSDSC2KG960G801</v>
          </cell>
          <cell r="E4314" t="str">
            <v>BTYG2043073M960CGN</v>
          </cell>
        </row>
        <row r="4315">
          <cell r="D4315" t="str">
            <v>SSDSC2KG960G801</v>
          </cell>
          <cell r="E4315" t="str">
            <v>BTYG2043073S960CGN</v>
          </cell>
        </row>
        <row r="4316">
          <cell r="D4316" t="str">
            <v>SSDSC2KG960G801</v>
          </cell>
          <cell r="E4316" t="str">
            <v>BTYG201400X4960CGN</v>
          </cell>
        </row>
        <row r="4317">
          <cell r="D4317" t="str">
            <v>SSDSC2KG960G801</v>
          </cell>
          <cell r="E4317" t="str">
            <v>BTYG201400X3960CGN</v>
          </cell>
        </row>
        <row r="4318">
          <cell r="D4318" t="str">
            <v>SSDSC2KG960G801</v>
          </cell>
          <cell r="E4318" t="str">
            <v>BTYG201400WG960CGN</v>
          </cell>
        </row>
        <row r="4319">
          <cell r="D4319" t="str">
            <v>SSDSC2KG960G801</v>
          </cell>
          <cell r="E4319" t="str">
            <v>BTYG201400X7960CGN</v>
          </cell>
        </row>
        <row r="4320">
          <cell r="D4320" t="str">
            <v>SSDSC2KG960G801</v>
          </cell>
          <cell r="E4320" t="str">
            <v>BTYG201400XT960CGN</v>
          </cell>
        </row>
        <row r="4321">
          <cell r="D4321" t="str">
            <v>SSDSC2KG960G801</v>
          </cell>
          <cell r="E4321" t="str">
            <v>BTYG201400XS960CGN</v>
          </cell>
        </row>
        <row r="4322">
          <cell r="D4322" t="str">
            <v>SSDSC2KG960G801</v>
          </cell>
          <cell r="E4322" t="str">
            <v>BTYG201400WJ960CGN</v>
          </cell>
        </row>
        <row r="4323">
          <cell r="D4323" t="str">
            <v>SSDSC2KG960G801</v>
          </cell>
          <cell r="E4323" t="str">
            <v>BTYG201400XV960CGN</v>
          </cell>
        </row>
        <row r="4324">
          <cell r="D4324" t="str">
            <v>SSDSC2KG960G801</v>
          </cell>
          <cell r="E4324" t="str">
            <v>BTYG201400YB960CGN</v>
          </cell>
        </row>
        <row r="4325">
          <cell r="D4325" t="str">
            <v>SSDSC2KG960G801</v>
          </cell>
          <cell r="E4325" t="str">
            <v>BTYG2014011T960CGN</v>
          </cell>
        </row>
        <row r="4326">
          <cell r="D4326" t="str">
            <v>SSDSC2KG960G801</v>
          </cell>
          <cell r="E4326" t="str">
            <v>BTYG201400YW960CGN</v>
          </cell>
        </row>
        <row r="4327">
          <cell r="D4327" t="str">
            <v>SSDSC2KG960G801</v>
          </cell>
          <cell r="E4327" t="str">
            <v>BTYG2014019K960CGN</v>
          </cell>
        </row>
        <row r="4328">
          <cell r="D4328" t="str">
            <v>SSDSC2KG960G801</v>
          </cell>
          <cell r="E4328" t="str">
            <v>BTYG201400YK960CGN</v>
          </cell>
        </row>
        <row r="4329">
          <cell r="D4329" t="str">
            <v>SSDSC2KG960G801</v>
          </cell>
          <cell r="E4329" t="str">
            <v>BTYG201400WL960CGN</v>
          </cell>
        </row>
        <row r="4330">
          <cell r="D4330" t="str">
            <v>SSDSC2KG960G801</v>
          </cell>
          <cell r="E4330" t="str">
            <v>BTYG201400YG960CGN</v>
          </cell>
        </row>
        <row r="4331">
          <cell r="D4331" t="str">
            <v>SSDSC2KG960G801</v>
          </cell>
          <cell r="E4331" t="str">
            <v>BTYG2014017Q960CGN</v>
          </cell>
        </row>
        <row r="4332">
          <cell r="D4332" t="str">
            <v>SSDSC2KG960G801</v>
          </cell>
          <cell r="E4332" t="str">
            <v>BTYG201400YF960CGN</v>
          </cell>
        </row>
        <row r="4333">
          <cell r="D4333" t="str">
            <v>SSDSC2KG960G801</v>
          </cell>
          <cell r="E4333" t="str">
            <v>BTYG201400X8960CGN</v>
          </cell>
        </row>
        <row r="4334">
          <cell r="D4334" t="str">
            <v>SSDSC2KG960G801</v>
          </cell>
          <cell r="E4334" t="str">
            <v>BTYG201400XQ960CGN</v>
          </cell>
        </row>
        <row r="4335">
          <cell r="D4335" t="str">
            <v>SSDSC2KG960G801</v>
          </cell>
          <cell r="E4335" t="str">
            <v>BTYG201400WX960CGN</v>
          </cell>
        </row>
        <row r="4336">
          <cell r="D4336" t="str">
            <v>SSDSC2KG960G801</v>
          </cell>
          <cell r="E4336" t="str">
            <v>BTYG2014017C960CGN</v>
          </cell>
        </row>
        <row r="4337">
          <cell r="D4337" t="str">
            <v>SSDSC2KG960G801</v>
          </cell>
          <cell r="E4337" t="str">
            <v>BTYG2014018A960CGN</v>
          </cell>
        </row>
        <row r="4338">
          <cell r="D4338" t="str">
            <v>SSDSC2KG960G801</v>
          </cell>
          <cell r="E4338" t="str">
            <v>BTYG2014018J960CGN</v>
          </cell>
        </row>
        <row r="4339">
          <cell r="D4339" t="str">
            <v>SSDSC2KG960G801</v>
          </cell>
          <cell r="E4339" t="str">
            <v>BTYG201401A2960CGN</v>
          </cell>
        </row>
        <row r="4340">
          <cell r="D4340" t="str">
            <v>SSDSC2KG960G801</v>
          </cell>
          <cell r="E4340" t="str">
            <v>BTYG2014018E960CGN</v>
          </cell>
        </row>
        <row r="4341">
          <cell r="D4341" t="str">
            <v>SSDSC2KG960G801</v>
          </cell>
          <cell r="E4341" t="str">
            <v>BTYG201400WU960CGN</v>
          </cell>
        </row>
        <row r="4342">
          <cell r="D4342" t="str">
            <v>SSDSC2KG960G801</v>
          </cell>
          <cell r="E4342" t="str">
            <v>BTYG201400XU960CGN</v>
          </cell>
        </row>
        <row r="4343">
          <cell r="D4343" t="str">
            <v>SSDSC2KG960G801</v>
          </cell>
          <cell r="E4343" t="str">
            <v>BTYG20140120960CGN</v>
          </cell>
        </row>
        <row r="4344">
          <cell r="D4344" t="str">
            <v>SSDSC2KG960G801</v>
          </cell>
          <cell r="E4344" t="str">
            <v>BTYG201400YM960CGN</v>
          </cell>
        </row>
        <row r="4345">
          <cell r="D4345" t="str">
            <v>SSDSC2KG960G801</v>
          </cell>
          <cell r="E4345" t="str">
            <v>BTYG20140125960CGN</v>
          </cell>
        </row>
        <row r="4346">
          <cell r="D4346" t="str">
            <v>SSDSC2KG960G801</v>
          </cell>
          <cell r="E4346" t="str">
            <v>BTYG201400X1960CGN</v>
          </cell>
        </row>
        <row r="4347">
          <cell r="D4347" t="str">
            <v>SSDSC2KG960G801</v>
          </cell>
          <cell r="E4347" t="str">
            <v>BTYG201400XR960CGN</v>
          </cell>
        </row>
        <row r="4348">
          <cell r="D4348" t="str">
            <v>SSDSC2KG960G801</v>
          </cell>
          <cell r="E4348" t="str">
            <v>BTYG2014019V960CGN</v>
          </cell>
        </row>
        <row r="4349">
          <cell r="D4349" t="str">
            <v>SSDSC2KG960G801</v>
          </cell>
          <cell r="E4349" t="str">
            <v>BTYG201400YP960CGN</v>
          </cell>
        </row>
        <row r="4350">
          <cell r="D4350" t="str">
            <v>SSDSC2KG960G801</v>
          </cell>
          <cell r="E4350" t="str">
            <v>BTYG2014012M960CGN</v>
          </cell>
        </row>
        <row r="4351">
          <cell r="D4351" t="str">
            <v>SSDSC2KG960G801</v>
          </cell>
          <cell r="E4351" t="str">
            <v>BTYG201400XW960CGN</v>
          </cell>
        </row>
        <row r="4352">
          <cell r="D4352" t="str">
            <v>SSDSC2KG960G801</v>
          </cell>
          <cell r="E4352" t="str">
            <v>BTYG2014017U960CGN</v>
          </cell>
        </row>
        <row r="4353">
          <cell r="D4353" t="str">
            <v>SSDSC2KG960G801</v>
          </cell>
          <cell r="E4353" t="str">
            <v>BTYG20140186960CGN</v>
          </cell>
        </row>
        <row r="4354">
          <cell r="D4354" t="str">
            <v>SSDSC2KG960G801</v>
          </cell>
          <cell r="E4354" t="str">
            <v>BTYG201400YH960CGN</v>
          </cell>
        </row>
        <row r="4355">
          <cell r="D4355" t="str">
            <v>SSDSC2KG960G801</v>
          </cell>
          <cell r="E4355" t="str">
            <v>BTYG2014017W960CGN</v>
          </cell>
        </row>
        <row r="4356">
          <cell r="D4356" t="str">
            <v>SSDSC2KG960G801</v>
          </cell>
          <cell r="E4356" t="str">
            <v>BTYG201400XP960CGN</v>
          </cell>
        </row>
        <row r="4357">
          <cell r="D4357" t="str">
            <v>SSDSC2KG960G801</v>
          </cell>
          <cell r="E4357" t="str">
            <v>BTYG201400XF960CGN</v>
          </cell>
        </row>
        <row r="4358">
          <cell r="D4358" t="str">
            <v>SSDSC2KG960G801</v>
          </cell>
          <cell r="E4358" t="str">
            <v>BTYG201400YY960CGN</v>
          </cell>
        </row>
        <row r="4359">
          <cell r="D4359" t="str">
            <v>SSDSC2KG960G801</v>
          </cell>
          <cell r="E4359" t="str">
            <v>BTYG201400XG960CGN</v>
          </cell>
        </row>
        <row r="4360">
          <cell r="D4360" t="str">
            <v>SSDSC2KG960G801</v>
          </cell>
          <cell r="E4360" t="str">
            <v>BTYG201400XH960CGN</v>
          </cell>
        </row>
        <row r="4361">
          <cell r="D4361" t="str">
            <v>SSDSC2KG960G801</v>
          </cell>
          <cell r="E4361" t="str">
            <v>BTYG201400YJ960CGN</v>
          </cell>
        </row>
        <row r="4362">
          <cell r="D4362" t="str">
            <v>SSDSC2KG960G801</v>
          </cell>
          <cell r="E4362" t="str">
            <v>BTYG2014012N960CGN</v>
          </cell>
        </row>
        <row r="4363">
          <cell r="D4363" t="str">
            <v>SSDSC2KG960G801</v>
          </cell>
          <cell r="E4363" t="str">
            <v>BTYG2014011Z960CGN</v>
          </cell>
        </row>
        <row r="4364">
          <cell r="D4364" t="str">
            <v>SSDSC2KG960G801</v>
          </cell>
          <cell r="E4364" t="str">
            <v>BTYG2014017V960CGN</v>
          </cell>
        </row>
        <row r="4365">
          <cell r="D4365" t="str">
            <v>SSDSC2KG960G801</v>
          </cell>
          <cell r="E4365" t="str">
            <v>BTYG201400WK960CGN</v>
          </cell>
        </row>
        <row r="4366">
          <cell r="D4366" t="str">
            <v>SSDSC2KG960G801</v>
          </cell>
          <cell r="E4366" t="str">
            <v>BTYG201306BM960CGN</v>
          </cell>
        </row>
        <row r="4367">
          <cell r="D4367" t="str">
            <v>SSDSC2KG960G801</v>
          </cell>
          <cell r="E4367" t="str">
            <v>BTYG201306BE960CGN</v>
          </cell>
        </row>
        <row r="4368">
          <cell r="D4368" t="str">
            <v>SSDSC2KG960G801</v>
          </cell>
          <cell r="E4368" t="str">
            <v>BTYG201306BZ960CGN</v>
          </cell>
        </row>
        <row r="4369">
          <cell r="D4369" t="str">
            <v>SSDSC2KG960G801</v>
          </cell>
          <cell r="E4369" t="str">
            <v>BTYG201306BL960CGN</v>
          </cell>
        </row>
        <row r="4370">
          <cell r="D4370" t="str">
            <v>SSDSC2KG960G801</v>
          </cell>
          <cell r="E4370" t="str">
            <v>BTYG201306CX960CGN</v>
          </cell>
        </row>
        <row r="4371">
          <cell r="D4371" t="str">
            <v>SSDSC2KG960G801</v>
          </cell>
          <cell r="E4371" t="str">
            <v>BTYG201306AE960CGN</v>
          </cell>
        </row>
        <row r="4372">
          <cell r="D4372" t="str">
            <v>SSDSC2KG960G801</v>
          </cell>
          <cell r="E4372" t="str">
            <v>BTYG201306C6960CGN</v>
          </cell>
        </row>
        <row r="4373">
          <cell r="D4373" t="str">
            <v>SSDSC2KG960G801</v>
          </cell>
          <cell r="E4373" t="str">
            <v>BTYG201306CG960CGN</v>
          </cell>
        </row>
        <row r="4374">
          <cell r="D4374" t="str">
            <v>SSDSC2KG960G801</v>
          </cell>
          <cell r="E4374" t="str">
            <v>BTYG201306C0960CGN</v>
          </cell>
        </row>
        <row r="4375">
          <cell r="D4375" t="str">
            <v>SSDSC2KG960G801</v>
          </cell>
          <cell r="E4375" t="str">
            <v>BTYG201306BX960CGN</v>
          </cell>
        </row>
        <row r="4376">
          <cell r="D4376" t="str">
            <v>SSDSC2KG960G801</v>
          </cell>
          <cell r="E4376" t="str">
            <v>BTYG201306C2960CGN</v>
          </cell>
        </row>
        <row r="4377">
          <cell r="D4377" t="str">
            <v>SSDSC2KG960G801</v>
          </cell>
          <cell r="E4377" t="str">
            <v>BTYG201306BW960CGN</v>
          </cell>
        </row>
        <row r="4378">
          <cell r="D4378" t="str">
            <v>SSDSC2KG960G801</v>
          </cell>
          <cell r="E4378" t="str">
            <v>BTYG201306BF960CGN</v>
          </cell>
        </row>
        <row r="4379">
          <cell r="D4379" t="str">
            <v>SSDSC2KG960G801</v>
          </cell>
          <cell r="E4379" t="str">
            <v>BTYG201306AA960CGN</v>
          </cell>
        </row>
        <row r="4380">
          <cell r="D4380" t="str">
            <v>SSDSC2KG960G801</v>
          </cell>
          <cell r="E4380" t="str">
            <v>BTYG201306BC960CGN</v>
          </cell>
        </row>
        <row r="4381">
          <cell r="D4381" t="str">
            <v>SSDSC2KG960G801</v>
          </cell>
          <cell r="E4381" t="str">
            <v>BTYG201306ES960CGN</v>
          </cell>
        </row>
        <row r="4382">
          <cell r="D4382" t="str">
            <v>SSDSC2KG960G801</v>
          </cell>
          <cell r="E4382" t="str">
            <v>BTYG201306BD960CGN</v>
          </cell>
        </row>
        <row r="4383">
          <cell r="D4383" t="str">
            <v>SSDSC2KG960G801</v>
          </cell>
          <cell r="E4383" t="str">
            <v>BTYG201306EK960CGN</v>
          </cell>
        </row>
        <row r="4384">
          <cell r="D4384" t="str">
            <v>SSDSC2KG960G801</v>
          </cell>
          <cell r="E4384" t="str">
            <v>BTYG201306CW960CGN</v>
          </cell>
        </row>
        <row r="4385">
          <cell r="D4385" t="str">
            <v>SSDSC2KG960G801</v>
          </cell>
          <cell r="E4385" t="str">
            <v>BTYG201306CP960CGN</v>
          </cell>
        </row>
        <row r="4386">
          <cell r="D4386" t="str">
            <v>SSDSC2KG960G801</v>
          </cell>
          <cell r="E4386" t="str">
            <v>BTYG201306AB960CGN</v>
          </cell>
        </row>
        <row r="4387">
          <cell r="D4387" t="str">
            <v>SSDSC2KG960G801</v>
          </cell>
          <cell r="E4387" t="str">
            <v>BTYG201306CN960CGN</v>
          </cell>
        </row>
        <row r="4388">
          <cell r="D4388" t="str">
            <v>SSDSC2KG960G801</v>
          </cell>
          <cell r="E4388" t="str">
            <v>BTYG201306A9960CGN</v>
          </cell>
        </row>
        <row r="4389">
          <cell r="D4389" t="str">
            <v>SSDSC2KG960G801</v>
          </cell>
          <cell r="E4389" t="str">
            <v>BTYG201306CV960CGN</v>
          </cell>
        </row>
        <row r="4390">
          <cell r="D4390" t="str">
            <v>SSDSC2KG960G801</v>
          </cell>
          <cell r="E4390" t="str">
            <v>BTYG201306CM960CGN</v>
          </cell>
        </row>
        <row r="4391">
          <cell r="D4391" t="str">
            <v>SSDSC2KG960G801</v>
          </cell>
          <cell r="E4391" t="str">
            <v>BTYG201306C1960CGN</v>
          </cell>
        </row>
        <row r="4392">
          <cell r="D4392" t="str">
            <v>SSDSC2KG960G801</v>
          </cell>
          <cell r="E4392" t="str">
            <v>BTYG201306CJ960CGN</v>
          </cell>
        </row>
        <row r="4393">
          <cell r="D4393" t="str">
            <v>SSDSC2KG960G801</v>
          </cell>
          <cell r="E4393" t="str">
            <v>BTYG201306CB960CGN</v>
          </cell>
        </row>
        <row r="4394">
          <cell r="D4394" t="str">
            <v>SSDSC2KG960G801</v>
          </cell>
          <cell r="E4394" t="str">
            <v>BTYG201306C7960CGN</v>
          </cell>
        </row>
        <row r="4395">
          <cell r="D4395" t="str">
            <v>SSDSC2KG960G801</v>
          </cell>
          <cell r="E4395" t="str">
            <v>BTYG201306CF960CGN</v>
          </cell>
        </row>
        <row r="4396">
          <cell r="D4396" t="str">
            <v>SSDSC2KG960G801</v>
          </cell>
          <cell r="E4396" t="str">
            <v>BTYG201306C3960CGN</v>
          </cell>
        </row>
        <row r="4397">
          <cell r="D4397" t="str">
            <v>SSDSC2KG960G801</v>
          </cell>
          <cell r="E4397" t="str">
            <v>BTYG201306EU960CGN</v>
          </cell>
        </row>
        <row r="4398">
          <cell r="D4398" t="str">
            <v>SSDSC2KG960G801</v>
          </cell>
          <cell r="E4398" t="str">
            <v>BTYG201306BH960CGN</v>
          </cell>
        </row>
        <row r="4399">
          <cell r="D4399" t="str">
            <v>SSDSC2KG960G801</v>
          </cell>
          <cell r="E4399" t="str">
            <v>BTYG201306C8960CGN</v>
          </cell>
        </row>
        <row r="4400">
          <cell r="D4400" t="str">
            <v>SSDSC2KG960G801</v>
          </cell>
          <cell r="E4400" t="str">
            <v>BTYG201306BG960CGN</v>
          </cell>
        </row>
        <row r="4401">
          <cell r="D4401" t="str">
            <v>SSDSC2KG960G801</v>
          </cell>
          <cell r="E4401" t="str">
            <v>BTYG201306CC960CGN</v>
          </cell>
        </row>
        <row r="4402">
          <cell r="D4402" t="str">
            <v>SSDSC2KG960G801</v>
          </cell>
          <cell r="E4402" t="str">
            <v>BTYG2013066B960CGN</v>
          </cell>
        </row>
        <row r="4403">
          <cell r="D4403" t="str">
            <v>SSDSC2KG960G801</v>
          </cell>
          <cell r="E4403" t="str">
            <v>BTYG201306C9960CGN</v>
          </cell>
        </row>
        <row r="4404">
          <cell r="D4404" t="str">
            <v>SSDSC2KG960G801</v>
          </cell>
          <cell r="E4404" t="str">
            <v>BTYG201306CA960CGN</v>
          </cell>
        </row>
        <row r="4405">
          <cell r="D4405" t="str">
            <v>SSDSC2KG960G801</v>
          </cell>
          <cell r="E4405" t="str">
            <v>BTYG201306AZ960CGN</v>
          </cell>
        </row>
        <row r="4406">
          <cell r="D4406" t="str">
            <v>SSDSC2KG960G801</v>
          </cell>
          <cell r="E4406" t="str">
            <v>BTYG201306BY960CGN</v>
          </cell>
        </row>
        <row r="4407">
          <cell r="D4407" t="str">
            <v>SSDSC2KG960G801</v>
          </cell>
          <cell r="E4407" t="str">
            <v>BTYG201306CD960CGN</v>
          </cell>
        </row>
        <row r="4408">
          <cell r="D4408" t="str">
            <v>SSDSC2KG960G801</v>
          </cell>
          <cell r="E4408" t="str">
            <v>BTYG201306BU960CGN</v>
          </cell>
        </row>
        <row r="4409">
          <cell r="D4409" t="str">
            <v>SSDSC2KG960G801</v>
          </cell>
          <cell r="E4409" t="str">
            <v>BTYG201306BQ960CGN</v>
          </cell>
        </row>
        <row r="4410">
          <cell r="D4410" t="str">
            <v>SSDSC2KG960G801</v>
          </cell>
          <cell r="E4410" t="str">
            <v>BTYG20130669960CGN</v>
          </cell>
        </row>
        <row r="4411">
          <cell r="D4411" t="str">
            <v>SSDSC2KG960G801</v>
          </cell>
          <cell r="E4411" t="str">
            <v>BTYG201306CQ960CGN</v>
          </cell>
        </row>
        <row r="4412">
          <cell r="D4412" t="str">
            <v>SSDSC2KG960G801</v>
          </cell>
          <cell r="E4412" t="str">
            <v>BTYG201306AY960CGN</v>
          </cell>
        </row>
        <row r="4413">
          <cell r="D4413" t="str">
            <v>SSDSC2KG960G801</v>
          </cell>
          <cell r="E4413" t="str">
            <v>BTYG201306C5960CGN</v>
          </cell>
        </row>
        <row r="4414">
          <cell r="D4414" t="str">
            <v>SSDSC2KG960G801</v>
          </cell>
          <cell r="E4414" t="str">
            <v>BTYG201306BK960CGN</v>
          </cell>
        </row>
        <row r="4415">
          <cell r="D4415" t="str">
            <v>SSDSC2KG960G801</v>
          </cell>
          <cell r="E4415" t="str">
            <v>BTYG201306C4960CGN</v>
          </cell>
        </row>
        <row r="4416">
          <cell r="D4416" t="str">
            <v>MZ7KH240HAHQ-00005</v>
          </cell>
          <cell r="E4416" t="str">
            <v>S47LNA0RC09889</v>
          </cell>
        </row>
        <row r="4417">
          <cell r="D4417" t="str">
            <v>MZ7KH240HAHQ-00005</v>
          </cell>
          <cell r="E4417" t="str">
            <v>S47LNA0RC10167</v>
          </cell>
        </row>
        <row r="4418">
          <cell r="D4418" t="str">
            <v>MZ7KH240HAHQ-00005</v>
          </cell>
          <cell r="E4418" t="str">
            <v>S47LNA0RC10176</v>
          </cell>
        </row>
        <row r="4419">
          <cell r="D4419" t="str">
            <v>MZ7KH240HAHQ-00005</v>
          </cell>
          <cell r="E4419" t="str">
            <v>S47LNA0RC10177</v>
          </cell>
        </row>
        <row r="4420">
          <cell r="D4420" t="str">
            <v>MZ7KH240HAHQ-00005</v>
          </cell>
          <cell r="E4420" t="str">
            <v>S47LNA0RC10178</v>
          </cell>
        </row>
        <row r="4421">
          <cell r="D4421" t="str">
            <v>MZ7KH240HAHQ-00005</v>
          </cell>
          <cell r="E4421" t="str">
            <v>S47LNA0RC10180</v>
          </cell>
        </row>
        <row r="4422">
          <cell r="D4422" t="str">
            <v>MZ7KH240HAHQ-00005</v>
          </cell>
          <cell r="E4422" t="str">
            <v>S47LNA0RC10179</v>
          </cell>
        </row>
        <row r="4423">
          <cell r="D4423" t="str">
            <v>MZ7KH240HAHQ-00005</v>
          </cell>
          <cell r="E4423" t="str">
            <v>S47LNA0RC10170</v>
          </cell>
        </row>
        <row r="4424">
          <cell r="D4424" t="str">
            <v>MZ7KH240HAHQ-00005</v>
          </cell>
          <cell r="E4424" t="str">
            <v>S47LNA0RC10159</v>
          </cell>
        </row>
        <row r="4425">
          <cell r="D4425" t="str">
            <v>MZ7KH240HAHQ-00005</v>
          </cell>
          <cell r="E4425" t="str">
            <v>S47LNA0RC10172</v>
          </cell>
        </row>
        <row r="4426">
          <cell r="D4426" t="str">
            <v>MZ7KH240HAHQ-00005</v>
          </cell>
          <cell r="E4426" t="str">
            <v>S47LNA0RC10173</v>
          </cell>
        </row>
        <row r="4427">
          <cell r="D4427" t="str">
            <v>MZ7KH240HAHQ-00005</v>
          </cell>
          <cell r="E4427" t="str">
            <v>S47LNA0RC10175</v>
          </cell>
        </row>
        <row r="4428">
          <cell r="D4428" t="str">
            <v>MZ7KH240HAHQ-00005</v>
          </cell>
          <cell r="E4428" t="str">
            <v>S47LNA0RC10174</v>
          </cell>
        </row>
        <row r="4429">
          <cell r="D4429" t="str">
            <v>MZ7KH240HAHQ-00005</v>
          </cell>
          <cell r="E4429" t="str">
            <v>S47LNA0RC10169</v>
          </cell>
        </row>
        <row r="4430">
          <cell r="D4430" t="str">
            <v>MZ7KH240HAHQ-00005</v>
          </cell>
          <cell r="E4430" t="str">
            <v>S47LNA0RC10099</v>
          </cell>
        </row>
        <row r="4431">
          <cell r="D4431" t="str">
            <v>MZ7KH240HAHQ-00005</v>
          </cell>
          <cell r="E4431" t="str">
            <v>S47LNA0RC10224</v>
          </cell>
        </row>
        <row r="4432">
          <cell r="D4432" t="str">
            <v>MZ7KH240HAHQ-00005</v>
          </cell>
          <cell r="E4432" t="str">
            <v>S47LNA0RC10225</v>
          </cell>
        </row>
        <row r="4433">
          <cell r="D4433" t="str">
            <v>MZ7KH240HAHQ-00005</v>
          </cell>
          <cell r="E4433" t="str">
            <v>S47LNA0RC10228</v>
          </cell>
        </row>
        <row r="4434">
          <cell r="D4434" t="str">
            <v>MZ7KH240HAHQ-00005</v>
          </cell>
          <cell r="E4434" t="str">
            <v>S47LNA0RC10227</v>
          </cell>
        </row>
        <row r="4435">
          <cell r="D4435" t="str">
            <v>MZ7KH240HAHQ-00005</v>
          </cell>
          <cell r="E4435" t="str">
            <v>S47LNA0RC10226</v>
          </cell>
        </row>
        <row r="4436">
          <cell r="D4436" t="str">
            <v xml:space="preserve">MZPLJ1T6HBJR-000    </v>
          </cell>
          <cell r="E4436" t="str">
            <v>S55JNC0T100017</v>
          </cell>
        </row>
        <row r="4437">
          <cell r="D4437" t="str">
            <v xml:space="preserve">MZPLJ1T6HBJR-000    </v>
          </cell>
          <cell r="E4437" t="str">
            <v>S55JNC0T100075</v>
          </cell>
        </row>
        <row r="4438">
          <cell r="D4438" t="str">
            <v xml:space="preserve">MZPLJ1T6HBJR-000    </v>
          </cell>
          <cell r="E4438" t="str">
            <v>S55JNC0T100415</v>
          </cell>
        </row>
        <row r="4439">
          <cell r="D4439" t="str">
            <v xml:space="preserve">MZPLJ1T6HBJR-000    </v>
          </cell>
          <cell r="E4439" t="str">
            <v>S55JNC0T100036</v>
          </cell>
        </row>
        <row r="4440">
          <cell r="D4440" t="str">
            <v xml:space="preserve">MZPLJ1T6HBJR-000    </v>
          </cell>
          <cell r="E4440" t="str">
            <v>S55JNC0T100016</v>
          </cell>
        </row>
        <row r="4441">
          <cell r="D4441" t="str">
            <v xml:space="preserve">MZPLJ1T6HBJR-000    </v>
          </cell>
          <cell r="E4441" t="str">
            <v>S55JNC0T100035</v>
          </cell>
        </row>
        <row r="4442">
          <cell r="D4442" t="str">
            <v xml:space="preserve">MZPLJ1T6HBJR-000    </v>
          </cell>
          <cell r="E4442" t="str">
            <v>S55JNC0T100015</v>
          </cell>
        </row>
        <row r="4443">
          <cell r="D4443" t="str">
            <v xml:space="preserve">MZPLJ1T6HBJR-000    </v>
          </cell>
          <cell r="E4443" t="str">
            <v>S55JNC0T100022</v>
          </cell>
        </row>
        <row r="4444">
          <cell r="D4444" t="str">
            <v>BX8071512900K</v>
          </cell>
          <cell r="E4444" t="str">
            <v>81KG537601235</v>
          </cell>
        </row>
        <row r="4445">
          <cell r="D4445" t="str">
            <v>BX8071512700K</v>
          </cell>
          <cell r="E4445" t="str">
            <v>818B32G701171</v>
          </cell>
        </row>
        <row r="4446">
          <cell r="D4446" t="str">
            <v>MCP2M00-A002E30N</v>
          </cell>
          <cell r="E4446" t="str">
            <v>MT2124VS01084</v>
          </cell>
        </row>
        <row r="4447">
          <cell r="D4447" t="str">
            <v>MCP2M00-A002E30N</v>
          </cell>
          <cell r="E4447" t="str">
            <v>MT2124VS01058</v>
          </cell>
        </row>
        <row r="4448">
          <cell r="D4448" t="str">
            <v>43PUS7906/12</v>
          </cell>
          <cell r="E4448" t="str">
            <v>FZ6A2148001635</v>
          </cell>
        </row>
        <row r="4449">
          <cell r="D4449" t="str">
            <v>43PUS7906/12</v>
          </cell>
          <cell r="E4449" t="str">
            <v>FZ6A2148001636</v>
          </cell>
        </row>
        <row r="4450">
          <cell r="D4450" t="str">
            <v>0F27352</v>
          </cell>
          <cell r="E4450" t="str">
            <v>1EJL6A1Z</v>
          </cell>
        </row>
        <row r="4451">
          <cell r="D4451" t="str">
            <v>MegaRaid SAS9361-8i   03-25420-08</v>
          </cell>
          <cell r="E4451" t="str">
            <v>SKA2576122</v>
          </cell>
        </row>
        <row r="4452">
          <cell r="D4452" t="str">
            <v>MCX4121A-ACAT</v>
          </cell>
          <cell r="E4452" t="str">
            <v>MT2148K01324</v>
          </cell>
        </row>
        <row r="4453">
          <cell r="D4453" t="str">
            <v>MCX4121A-ACAT</v>
          </cell>
          <cell r="E4453" t="str">
            <v>MT2148K01253</v>
          </cell>
        </row>
        <row r="4454">
          <cell r="D4454" t="str">
            <v>MCX4121A-ACAT</v>
          </cell>
          <cell r="E4454" t="str">
            <v>MT2148K01529</v>
          </cell>
        </row>
        <row r="4455">
          <cell r="D4455" t="str">
            <v>MCX4121A-ACAT</v>
          </cell>
          <cell r="E4455" t="str">
            <v>MT2148K01325</v>
          </cell>
        </row>
        <row r="4456">
          <cell r="D4456" t="str">
            <v>WD4003FFBX-68MU3N0</v>
          </cell>
          <cell r="E4456" t="str">
            <v>VBHBRX8F</v>
          </cell>
        </row>
        <row r="4457">
          <cell r="D4457" t="str">
            <v>WD4003FFBX-68MU3N0</v>
          </cell>
          <cell r="E4457" t="str">
            <v>VBHBRUKF</v>
          </cell>
        </row>
        <row r="4458">
          <cell r="D4458" t="str">
            <v>WD4003FFBX-68MU3N0</v>
          </cell>
          <cell r="E4458" t="str">
            <v>VBHBRWDF</v>
          </cell>
        </row>
        <row r="4459">
          <cell r="D4459" t="str">
            <v>WD4003FFBX-68MU3N0</v>
          </cell>
          <cell r="E4459" t="str">
            <v>VBHBRU1F</v>
          </cell>
        </row>
        <row r="4460">
          <cell r="D4460" t="str">
            <v>WD4003FFBX-68MU3N0</v>
          </cell>
          <cell r="E4460" t="str">
            <v>VBHBRV9F</v>
          </cell>
        </row>
        <row r="4461">
          <cell r="D4461" t="str">
            <v>MZ7KH480HAHQ-00005</v>
          </cell>
          <cell r="E4461" t="str">
            <v>S47MNA0T105483</v>
          </cell>
        </row>
        <row r="4462">
          <cell r="D4462" t="str">
            <v>MZ7KH480HAHQ-00005</v>
          </cell>
          <cell r="E4462" t="str">
            <v>S47MNA0T105488</v>
          </cell>
        </row>
        <row r="4463">
          <cell r="D4463" t="str">
            <v>M393A8G40AB2-CWE</v>
          </cell>
          <cell r="E4463" t="str">
            <v>SNL045</v>
          </cell>
        </row>
        <row r="4464">
          <cell r="D4464" t="str">
            <v>M393A8G40AB2-CWE</v>
          </cell>
          <cell r="E4464" t="str">
            <v>SNL046</v>
          </cell>
        </row>
        <row r="4465">
          <cell r="D4465" t="str">
            <v>M393A8G40AB2-CWE</v>
          </cell>
          <cell r="E4465" t="str">
            <v>SNL047</v>
          </cell>
        </row>
        <row r="4466">
          <cell r="D4466" t="str">
            <v>M393A8G40AB2-CWE</v>
          </cell>
          <cell r="E4466" t="str">
            <v>SNL048</v>
          </cell>
        </row>
        <row r="4467">
          <cell r="D4467" t="str">
            <v>M393A8G40AB2-CWE</v>
          </cell>
          <cell r="E4467" t="str">
            <v>SNL049</v>
          </cell>
        </row>
        <row r="4468">
          <cell r="D4468" t="str">
            <v>M393A8G40AB2-CWE</v>
          </cell>
          <cell r="E4468" t="str">
            <v>SNL050</v>
          </cell>
        </row>
        <row r="4469">
          <cell r="D4469" t="str">
            <v>M393A8G40AB2-CWE</v>
          </cell>
          <cell r="E4469" t="str">
            <v>SNL051</v>
          </cell>
        </row>
        <row r="4470">
          <cell r="D4470" t="str">
            <v>M393A8G40AB2-CWE</v>
          </cell>
          <cell r="E4470" t="str">
            <v>SNL052</v>
          </cell>
        </row>
        <row r="4471">
          <cell r="D4471" t="str">
            <v>M393A8G40AB2-CWE</v>
          </cell>
          <cell r="E4471" t="str">
            <v>SNL053</v>
          </cell>
        </row>
        <row r="4472">
          <cell r="D4472" t="str">
            <v>M393A8G40AB2-CWE</v>
          </cell>
          <cell r="E4472" t="str">
            <v>SNL054</v>
          </cell>
        </row>
        <row r="4473">
          <cell r="D4473" t="str">
            <v>M393A8G40AB2-CWE</v>
          </cell>
          <cell r="E4473" t="str">
            <v>SNL055</v>
          </cell>
        </row>
        <row r="4474">
          <cell r="D4474" t="str">
            <v>M393A8G40AB2-CWE</v>
          </cell>
          <cell r="E4474" t="str">
            <v>SNL056</v>
          </cell>
        </row>
        <row r="4475">
          <cell r="D4475" t="str">
            <v>M393A8G40AB2-CWE</v>
          </cell>
          <cell r="E4475" t="str">
            <v>SNL057</v>
          </cell>
        </row>
        <row r="4476">
          <cell r="D4476" t="str">
            <v>M393A8G40AB2-CWE</v>
          </cell>
          <cell r="E4476" t="str">
            <v>SNL058</v>
          </cell>
        </row>
        <row r="4477">
          <cell r="D4477" t="str">
            <v>M393A8G40AB2-CWE</v>
          </cell>
          <cell r="E4477" t="str">
            <v>SNL059</v>
          </cell>
        </row>
        <row r="4478">
          <cell r="D4478" t="str">
            <v>M393A8G40AB2-CWE</v>
          </cell>
          <cell r="E4478" t="str">
            <v>SNL060</v>
          </cell>
        </row>
        <row r="4479">
          <cell r="D4479" t="str">
            <v>M393A8G40AB2-CWE</v>
          </cell>
          <cell r="E4479" t="str">
            <v>SNL061</v>
          </cell>
        </row>
        <row r="4480">
          <cell r="D4480" t="str">
            <v>M393A8G40AB2-CWE</v>
          </cell>
          <cell r="E4480" t="str">
            <v>SNL062</v>
          </cell>
        </row>
        <row r="4481">
          <cell r="D4481" t="str">
            <v>M393A8G40AB2-CWE</v>
          </cell>
          <cell r="E4481" t="str">
            <v>SNL063</v>
          </cell>
        </row>
        <row r="4482">
          <cell r="D4482" t="str">
            <v>M393A8G40AB2-CWE</v>
          </cell>
          <cell r="E4482" t="str">
            <v>SNL064</v>
          </cell>
        </row>
        <row r="4483">
          <cell r="D4483" t="str">
            <v>M393A8G40AB2-CWE</v>
          </cell>
          <cell r="E4483" t="str">
            <v>SNL065</v>
          </cell>
        </row>
        <row r="4484">
          <cell r="D4484" t="str">
            <v>M393A8G40AB2-CWE</v>
          </cell>
          <cell r="E4484" t="str">
            <v>SNL066</v>
          </cell>
        </row>
        <row r="4485">
          <cell r="D4485" t="str">
            <v>M393A8G40AB2-CWE</v>
          </cell>
          <cell r="E4485" t="str">
            <v>SNL067</v>
          </cell>
        </row>
        <row r="4486">
          <cell r="D4486" t="str">
            <v>M393A8G40AB2-CWE</v>
          </cell>
          <cell r="E4486" t="str">
            <v>SNL068</v>
          </cell>
        </row>
        <row r="4487">
          <cell r="D4487" t="str">
            <v>M393A8G40AB2-CWE</v>
          </cell>
          <cell r="E4487" t="str">
            <v>SNL069</v>
          </cell>
        </row>
        <row r="4488">
          <cell r="D4488" t="str">
            <v>M393A8G40AB2-CWE</v>
          </cell>
          <cell r="E4488" t="str">
            <v>SNL070</v>
          </cell>
        </row>
        <row r="4489">
          <cell r="D4489" t="str">
            <v>M393A8G40AB2-CWE</v>
          </cell>
          <cell r="E4489" t="str">
            <v>SNL071</v>
          </cell>
        </row>
        <row r="4490">
          <cell r="D4490" t="str">
            <v>M393A8G40AB2-CWE</v>
          </cell>
          <cell r="E4490" t="str">
            <v>SNL072</v>
          </cell>
        </row>
        <row r="4491">
          <cell r="D4491" t="str">
            <v>M393A8G40AB2-CWE</v>
          </cell>
          <cell r="E4491" t="str">
            <v>SNL073</v>
          </cell>
        </row>
        <row r="4492">
          <cell r="D4492" t="str">
            <v>M393A8G40AB2-CWE</v>
          </cell>
          <cell r="E4492" t="str">
            <v>SNL074</v>
          </cell>
        </row>
        <row r="4493">
          <cell r="D4493" t="str">
            <v>M393A8G40AB2-CWE</v>
          </cell>
          <cell r="E4493" t="str">
            <v>SNL075</v>
          </cell>
        </row>
        <row r="4494">
          <cell r="D4494" t="str">
            <v>M393A8G40AB2-CWE</v>
          </cell>
          <cell r="E4494" t="str">
            <v>SNL076</v>
          </cell>
        </row>
        <row r="4495">
          <cell r="D4495" t="str">
            <v>M393A8G40AB2-CWE</v>
          </cell>
          <cell r="E4495" t="str">
            <v>SNL077</v>
          </cell>
        </row>
        <row r="4496">
          <cell r="D4496" t="str">
            <v>M393A8G40AB2-CWE</v>
          </cell>
          <cell r="E4496" t="str">
            <v>SNL078</v>
          </cell>
        </row>
        <row r="4497">
          <cell r="D4497" t="str">
            <v>M393A8G40AB2-CWE</v>
          </cell>
          <cell r="E4497" t="str">
            <v>SNL079</v>
          </cell>
        </row>
        <row r="4498">
          <cell r="D4498" t="str">
            <v>M393A8G40AB2-CWE</v>
          </cell>
          <cell r="E4498" t="str">
            <v>SNL080</v>
          </cell>
        </row>
        <row r="4499">
          <cell r="D4499" t="str">
            <v>M393A8G40AB2-CWE</v>
          </cell>
          <cell r="E4499" t="str">
            <v>SNL081</v>
          </cell>
        </row>
        <row r="4500">
          <cell r="D4500" t="str">
            <v>M393A8G40AB2-CWE</v>
          </cell>
          <cell r="E4500" t="str">
            <v>SNL082</v>
          </cell>
        </row>
        <row r="4501">
          <cell r="D4501" t="str">
            <v>M393A8G40AB2-CWE</v>
          </cell>
          <cell r="E4501" t="str">
            <v>SNL083</v>
          </cell>
        </row>
        <row r="4502">
          <cell r="D4502" t="str">
            <v>M393A8G40AB2-CWE</v>
          </cell>
          <cell r="E4502" t="str">
            <v>SNL084</v>
          </cell>
        </row>
        <row r="4503">
          <cell r="D4503" t="str">
            <v>M393A8G40AB2-CWE</v>
          </cell>
          <cell r="E4503" t="str">
            <v>SNL085</v>
          </cell>
        </row>
        <row r="4504">
          <cell r="D4504" t="str">
            <v>M393A8G40AB2-CWE</v>
          </cell>
          <cell r="E4504" t="str">
            <v>SNL086</v>
          </cell>
        </row>
        <row r="4505">
          <cell r="D4505" t="str">
            <v>M393A8G40AB2-CWE</v>
          </cell>
          <cell r="E4505" t="str">
            <v>SNL087</v>
          </cell>
        </row>
        <row r="4506">
          <cell r="D4506" t="str">
            <v>M393A8G40AB2-CWE</v>
          </cell>
          <cell r="E4506" t="str">
            <v>SNL088</v>
          </cell>
        </row>
        <row r="4507">
          <cell r="D4507" t="str">
            <v>M393A8G40AB2-CWE</v>
          </cell>
          <cell r="E4507" t="str">
            <v>SNL089</v>
          </cell>
        </row>
        <row r="4508">
          <cell r="D4508" t="str">
            <v>M393A8G40AB2-CWE</v>
          </cell>
          <cell r="E4508" t="str">
            <v>SNL090</v>
          </cell>
        </row>
        <row r="4509">
          <cell r="D4509" t="str">
            <v>M393A8G40AB2-CWE</v>
          </cell>
          <cell r="E4509" t="str">
            <v>SNL091</v>
          </cell>
        </row>
        <row r="4510">
          <cell r="D4510" t="str">
            <v>M393A8G40AB2-CWE</v>
          </cell>
          <cell r="E4510" t="str">
            <v>SNL092</v>
          </cell>
        </row>
        <row r="4511">
          <cell r="D4511" t="str">
            <v>M393A8G40AB2-CWE</v>
          </cell>
          <cell r="E4511" t="str">
            <v>SNL093</v>
          </cell>
        </row>
        <row r="4512">
          <cell r="D4512" t="str">
            <v>M393A8G40AB2-CWE</v>
          </cell>
          <cell r="E4512" t="str">
            <v>SNL094</v>
          </cell>
        </row>
        <row r="4513">
          <cell r="D4513" t="str">
            <v>M393A8G40AB2-CWE</v>
          </cell>
          <cell r="E4513" t="str">
            <v>SNL095</v>
          </cell>
        </row>
        <row r="4514">
          <cell r="D4514" t="str">
            <v>M393A8G40AB2-CWE</v>
          </cell>
          <cell r="E4514" t="str">
            <v>SNL096</v>
          </cell>
        </row>
        <row r="4515">
          <cell r="D4515" t="str">
            <v>M393A8G40AB2-CWE</v>
          </cell>
          <cell r="E4515" t="str">
            <v>SNL097</v>
          </cell>
        </row>
        <row r="4516">
          <cell r="D4516" t="str">
            <v>M393A8G40AB2-CWE</v>
          </cell>
          <cell r="E4516" t="str">
            <v>SNL098</v>
          </cell>
        </row>
        <row r="4517">
          <cell r="D4517" t="str">
            <v>M393A8G40AB2-CWE</v>
          </cell>
          <cell r="E4517" t="str">
            <v>SNL099</v>
          </cell>
        </row>
        <row r="4518">
          <cell r="D4518" t="str">
            <v>M393A8G40AB2-CWE</v>
          </cell>
          <cell r="E4518" t="str">
            <v>SNL100</v>
          </cell>
        </row>
        <row r="4519">
          <cell r="D4519" t="str">
            <v>M393A8G40AB2-CWE</v>
          </cell>
          <cell r="E4519" t="str">
            <v>SNL101</v>
          </cell>
        </row>
        <row r="4520">
          <cell r="D4520" t="str">
            <v>M393A8G40AB2-CWE</v>
          </cell>
          <cell r="E4520" t="str">
            <v>SNL102</v>
          </cell>
        </row>
        <row r="4521">
          <cell r="D4521" t="str">
            <v>M393A8G40AB2-CWE</v>
          </cell>
          <cell r="E4521" t="str">
            <v>SNL103</v>
          </cell>
        </row>
        <row r="4522">
          <cell r="D4522" t="str">
            <v>M393A8G40AB2-CWE</v>
          </cell>
          <cell r="E4522" t="str">
            <v>SNL104</v>
          </cell>
        </row>
        <row r="4523">
          <cell r="D4523" t="str">
            <v>M393A8G40AB2-CWE</v>
          </cell>
          <cell r="E4523" t="str">
            <v>SNL105</v>
          </cell>
        </row>
        <row r="4524">
          <cell r="D4524" t="str">
            <v>M393A8G40AB2-CWE</v>
          </cell>
          <cell r="E4524" t="str">
            <v>SNL106</v>
          </cell>
        </row>
        <row r="4525">
          <cell r="D4525" t="str">
            <v>M393A8G40AB2-CWE</v>
          </cell>
          <cell r="E4525" t="str">
            <v>SNL107</v>
          </cell>
        </row>
        <row r="4526">
          <cell r="D4526" t="str">
            <v>M393A8G40AB2-CWE</v>
          </cell>
          <cell r="E4526" t="str">
            <v>SNL108</v>
          </cell>
        </row>
        <row r="4527">
          <cell r="D4527" t="str">
            <v>M393A8G40AB2-CWE</v>
          </cell>
          <cell r="E4527" t="str">
            <v>SNL109</v>
          </cell>
        </row>
        <row r="4528">
          <cell r="D4528" t="str">
            <v>M393A8G40AB2-CWE</v>
          </cell>
          <cell r="E4528" t="str">
            <v>SNL110</v>
          </cell>
        </row>
        <row r="4529">
          <cell r="D4529" t="str">
            <v>M393A8G40AB2-CWE</v>
          </cell>
          <cell r="E4529" t="str">
            <v>SNL111</v>
          </cell>
        </row>
        <row r="4530">
          <cell r="D4530" t="str">
            <v>M393A8G40AB2-CWE</v>
          </cell>
          <cell r="E4530" t="str">
            <v>SNL112</v>
          </cell>
        </row>
        <row r="4531">
          <cell r="D4531" t="str">
            <v>M393A8G40AB2-CWE</v>
          </cell>
          <cell r="E4531" t="str">
            <v>SNL113</v>
          </cell>
        </row>
        <row r="4532">
          <cell r="D4532" t="str">
            <v>M393A8G40AB2-CWE</v>
          </cell>
          <cell r="E4532" t="str">
            <v>SNL114</v>
          </cell>
        </row>
        <row r="4533">
          <cell r="D4533" t="str">
            <v>M393A8G40AB2-CWE</v>
          </cell>
          <cell r="E4533" t="str">
            <v>SNL115</v>
          </cell>
        </row>
        <row r="4534">
          <cell r="D4534" t="str">
            <v>M393A8G40AB2-CWE</v>
          </cell>
          <cell r="E4534" t="str">
            <v>SNL116</v>
          </cell>
        </row>
        <row r="4535">
          <cell r="D4535" t="str">
            <v>M393A8G40AB2-CWE</v>
          </cell>
          <cell r="E4535" t="str">
            <v>SNL117</v>
          </cell>
        </row>
        <row r="4536">
          <cell r="D4536" t="str">
            <v>M393A8G40AB2-CWE</v>
          </cell>
          <cell r="E4536" t="str">
            <v>SNL118</v>
          </cell>
        </row>
        <row r="4537">
          <cell r="D4537" t="str">
            <v>M393A8G40AB2-CWE</v>
          </cell>
          <cell r="E4537" t="str">
            <v>SNL119</v>
          </cell>
        </row>
        <row r="4538">
          <cell r="D4538" t="str">
            <v>M393A8G40AB2-CWE</v>
          </cell>
          <cell r="E4538" t="str">
            <v>SNL120</v>
          </cell>
        </row>
        <row r="4539">
          <cell r="D4539" t="str">
            <v>M393A8G40AB2-CWE</v>
          </cell>
          <cell r="E4539" t="str">
            <v>SNL121</v>
          </cell>
        </row>
        <row r="4540">
          <cell r="D4540" t="str">
            <v>M393A8G40AB2-CWE</v>
          </cell>
          <cell r="E4540" t="str">
            <v>SNL122</v>
          </cell>
        </row>
        <row r="4541">
          <cell r="D4541" t="str">
            <v>M393A8G40AB2-CWE</v>
          </cell>
          <cell r="E4541" t="str">
            <v>SNL123</v>
          </cell>
        </row>
        <row r="4542">
          <cell r="D4542" t="str">
            <v>M393A8G40AB2-CWE</v>
          </cell>
          <cell r="E4542" t="str">
            <v>SNL124</v>
          </cell>
        </row>
        <row r="4543">
          <cell r="D4543" t="str">
            <v>M393A8G40AB2-CWE</v>
          </cell>
          <cell r="E4543" t="str">
            <v>SNL125</v>
          </cell>
        </row>
        <row r="4544">
          <cell r="D4544" t="str">
            <v>M393A8G40AB2-CWE</v>
          </cell>
          <cell r="E4544" t="str">
            <v>SNL126</v>
          </cell>
        </row>
        <row r="4545">
          <cell r="D4545" t="str">
            <v>M393A8G40AB2-CWE</v>
          </cell>
          <cell r="E4545" t="str">
            <v>SNL127</v>
          </cell>
        </row>
        <row r="4546">
          <cell r="D4546" t="str">
            <v>M393A8G40AB2-CWE</v>
          </cell>
          <cell r="E4546" t="str">
            <v>SNL128</v>
          </cell>
        </row>
        <row r="4547">
          <cell r="D4547" t="str">
            <v>M393A8G40AB2-CWE</v>
          </cell>
          <cell r="E4547" t="str">
            <v>SNL129</v>
          </cell>
        </row>
        <row r="4548">
          <cell r="D4548" t="str">
            <v>M393A8G40AB2-CWE</v>
          </cell>
          <cell r="E4548" t="str">
            <v>SNL130</v>
          </cell>
        </row>
        <row r="4549">
          <cell r="D4549" t="str">
            <v>M393A8G40AB2-CWE</v>
          </cell>
          <cell r="E4549" t="str">
            <v>SNL131</v>
          </cell>
        </row>
        <row r="4550">
          <cell r="D4550" t="str">
            <v>M393A8G40AB2-CWE</v>
          </cell>
          <cell r="E4550" t="str">
            <v>SNL132</v>
          </cell>
        </row>
        <row r="4551">
          <cell r="D4551" t="str">
            <v>M393A8G40AB2-CWE</v>
          </cell>
          <cell r="E4551" t="str">
            <v>SNL133</v>
          </cell>
        </row>
        <row r="4552">
          <cell r="D4552" t="str">
            <v>M393A8G40AB2-CWE</v>
          </cell>
          <cell r="E4552" t="str">
            <v>SNL134</v>
          </cell>
        </row>
        <row r="4553">
          <cell r="D4553" t="str">
            <v>M393A8G40AB2-CWE</v>
          </cell>
          <cell r="E4553" t="str">
            <v>SNL135</v>
          </cell>
        </row>
        <row r="4554">
          <cell r="D4554" t="str">
            <v>M393A8G40AB2-CWE</v>
          </cell>
          <cell r="E4554" t="str">
            <v>SNL136</v>
          </cell>
        </row>
        <row r="4555">
          <cell r="D4555" t="str">
            <v>M393A8G40AB2-CWE</v>
          </cell>
          <cell r="E4555" t="str">
            <v>SNL137</v>
          </cell>
        </row>
        <row r="4556">
          <cell r="D4556" t="str">
            <v>M393A8G40AB2-CWE</v>
          </cell>
          <cell r="E4556" t="str">
            <v>SNL138</v>
          </cell>
        </row>
        <row r="4557">
          <cell r="D4557" t="str">
            <v>M393A8G40AB2-CWE</v>
          </cell>
          <cell r="E4557" t="str">
            <v>SNL139</v>
          </cell>
        </row>
        <row r="4558">
          <cell r="D4558" t="str">
            <v>M393A8G40AB2-CWE</v>
          </cell>
          <cell r="E4558" t="str">
            <v>SNL140</v>
          </cell>
        </row>
        <row r="4559">
          <cell r="D4559" t="str">
            <v>M393A8G40AB2-CWE</v>
          </cell>
          <cell r="E4559" t="str">
            <v>SNL141</v>
          </cell>
        </row>
        <row r="4560">
          <cell r="D4560" t="str">
            <v>M393A8G40AB2-CWE</v>
          </cell>
          <cell r="E4560" t="str">
            <v>SNL142</v>
          </cell>
        </row>
        <row r="4561">
          <cell r="D4561" t="str">
            <v>M393A8G40AB2-CWE</v>
          </cell>
          <cell r="E4561" t="str">
            <v>SNL143</v>
          </cell>
        </row>
        <row r="4562">
          <cell r="D4562" t="str">
            <v>M393A8G40AB2-CWE</v>
          </cell>
          <cell r="E4562" t="str">
            <v>SNL144</v>
          </cell>
        </row>
        <row r="4563">
          <cell r="D4563" t="str">
            <v>M393A8G40AB2-CWE</v>
          </cell>
          <cell r="E4563" t="str">
            <v>SNL145</v>
          </cell>
        </row>
        <row r="4564">
          <cell r="D4564" t="str">
            <v>M393A8G40AB2-CWE</v>
          </cell>
          <cell r="E4564" t="str">
            <v>SNL146</v>
          </cell>
        </row>
        <row r="4565">
          <cell r="D4565" t="str">
            <v>M393A8G40AB2-CWE</v>
          </cell>
          <cell r="E4565" t="str">
            <v>SNL147</v>
          </cell>
        </row>
        <row r="4566">
          <cell r="D4566" t="str">
            <v>M393A8G40AB2-CWE</v>
          </cell>
          <cell r="E4566" t="str">
            <v>SNL148</v>
          </cell>
        </row>
        <row r="4567">
          <cell r="D4567" t="str">
            <v>M393A8G40AB2-CWE</v>
          </cell>
          <cell r="E4567" t="str">
            <v>SNL149</v>
          </cell>
        </row>
        <row r="4568">
          <cell r="D4568" t="str">
            <v>M393A8G40AB2-CWE</v>
          </cell>
          <cell r="E4568" t="str">
            <v>SNL150</v>
          </cell>
        </row>
        <row r="4569">
          <cell r="D4569" t="str">
            <v>M393A8G40AB2-CWE</v>
          </cell>
          <cell r="E4569" t="str">
            <v>SNL151</v>
          </cell>
        </row>
        <row r="4570">
          <cell r="D4570" t="str">
            <v>M393A8G40AB2-CWE</v>
          </cell>
          <cell r="E4570" t="str">
            <v>SNL152</v>
          </cell>
        </row>
        <row r="4571">
          <cell r="D4571" t="str">
            <v>M393A8G40AB2-CWE</v>
          </cell>
          <cell r="E4571" t="str">
            <v>SNL153</v>
          </cell>
        </row>
        <row r="4572">
          <cell r="D4572" t="str">
            <v>M393A8G40AB2-CWE</v>
          </cell>
          <cell r="E4572" t="str">
            <v>SNL154</v>
          </cell>
        </row>
        <row r="4573">
          <cell r="D4573" t="str">
            <v>M393A8G40AB2-CWE</v>
          </cell>
          <cell r="E4573" t="str">
            <v>SNL155</v>
          </cell>
        </row>
        <row r="4574">
          <cell r="D4574" t="str">
            <v>M393A8G40AB2-CWE</v>
          </cell>
          <cell r="E4574" t="str">
            <v>SNL156</v>
          </cell>
        </row>
        <row r="4575">
          <cell r="D4575" t="str">
            <v>M393A8G40AB2-CWE</v>
          </cell>
          <cell r="E4575" t="str">
            <v>SNL157</v>
          </cell>
        </row>
        <row r="4576">
          <cell r="D4576" t="str">
            <v>M393A8G40AB2-CWE</v>
          </cell>
          <cell r="E4576" t="str">
            <v>SNL158</v>
          </cell>
        </row>
        <row r="4577">
          <cell r="D4577" t="str">
            <v>M393A8G40AB2-CWE</v>
          </cell>
          <cell r="E4577" t="str">
            <v>SNL159</v>
          </cell>
        </row>
        <row r="4578">
          <cell r="D4578" t="str">
            <v>M393A8G40AB2-CWE</v>
          </cell>
          <cell r="E4578" t="str">
            <v>SNL160</v>
          </cell>
        </row>
        <row r="4579">
          <cell r="D4579" t="str">
            <v>M393A8G40AB2-CWE</v>
          </cell>
          <cell r="E4579" t="str">
            <v>SNL161</v>
          </cell>
        </row>
        <row r="4580">
          <cell r="D4580" t="str">
            <v>M393A8G40AB2-CWE</v>
          </cell>
          <cell r="E4580" t="str">
            <v>SNL162</v>
          </cell>
        </row>
        <row r="4581">
          <cell r="D4581" t="str">
            <v>M393A8G40AB2-CWE</v>
          </cell>
          <cell r="E4581" t="str">
            <v>SNL163</v>
          </cell>
        </row>
        <row r="4582">
          <cell r="D4582" t="str">
            <v xml:space="preserve">M393A4K40CB2-CTD </v>
          </cell>
          <cell r="E4582" t="str">
            <v>SNL164</v>
          </cell>
        </row>
        <row r="4583">
          <cell r="D4583" t="str">
            <v xml:space="preserve">M393A4K40CB2-CTD </v>
          </cell>
          <cell r="E4583" t="str">
            <v>SNL165</v>
          </cell>
        </row>
        <row r="4584">
          <cell r="D4584" t="str">
            <v xml:space="preserve">M393A4K40CB2-CTD </v>
          </cell>
          <cell r="E4584" t="str">
            <v>SNL166</v>
          </cell>
        </row>
        <row r="4585">
          <cell r="D4585" t="str">
            <v xml:space="preserve">M393A4K40CB2-CTD </v>
          </cell>
          <cell r="E4585" t="str">
            <v>SNL167</v>
          </cell>
        </row>
        <row r="4586">
          <cell r="D4586" t="str">
            <v xml:space="preserve">M393A4K40CB2-CTD </v>
          </cell>
          <cell r="E4586" t="str">
            <v>SNL168</v>
          </cell>
        </row>
        <row r="4587">
          <cell r="D4587" t="str">
            <v xml:space="preserve">M393A4K40CB2-CTD </v>
          </cell>
          <cell r="E4587" t="str">
            <v>SNL169</v>
          </cell>
        </row>
        <row r="4588">
          <cell r="D4588" t="str">
            <v xml:space="preserve">M393A4K40CB2-CTD </v>
          </cell>
          <cell r="E4588" t="str">
            <v>SNL170</v>
          </cell>
        </row>
        <row r="4589">
          <cell r="D4589" t="str">
            <v xml:space="preserve">M393A4K40CB2-CTD </v>
          </cell>
          <cell r="E4589" t="str">
            <v>SNL171</v>
          </cell>
        </row>
        <row r="4590">
          <cell r="D4590" t="str">
            <v xml:space="preserve">M393A4K40CB2-CTD </v>
          </cell>
          <cell r="E4590" t="str">
            <v>SNL172</v>
          </cell>
        </row>
        <row r="4591">
          <cell r="D4591" t="str">
            <v xml:space="preserve">M393A4K40CB2-CTD </v>
          </cell>
          <cell r="E4591" t="str">
            <v>SNL173</v>
          </cell>
        </row>
        <row r="4592">
          <cell r="D4592" t="str">
            <v xml:space="preserve">M393A4K40CB2-CTD </v>
          </cell>
          <cell r="E4592" t="str">
            <v>SNL174</v>
          </cell>
        </row>
        <row r="4593">
          <cell r="D4593" t="str">
            <v xml:space="preserve">M393A4K40CB2-CTD </v>
          </cell>
          <cell r="E4593" t="str">
            <v>SNL175</v>
          </cell>
        </row>
        <row r="4594">
          <cell r="D4594" t="str">
            <v xml:space="preserve">M393A4K40CB2-CTD </v>
          </cell>
          <cell r="E4594" t="str">
            <v>SNL176</v>
          </cell>
        </row>
        <row r="4595">
          <cell r="D4595" t="str">
            <v xml:space="preserve">M393A4K40CB2-CTD </v>
          </cell>
          <cell r="E4595" t="str">
            <v>SNL177</v>
          </cell>
        </row>
        <row r="4596">
          <cell r="D4596" t="str">
            <v xml:space="preserve">M393A4K40CB2-CTD </v>
          </cell>
          <cell r="E4596" t="str">
            <v>SNL178</v>
          </cell>
        </row>
        <row r="4597">
          <cell r="D4597" t="str">
            <v xml:space="preserve">M393A4K40CB2-CTD </v>
          </cell>
          <cell r="E4597" t="str">
            <v>SNL179</v>
          </cell>
        </row>
        <row r="4598">
          <cell r="D4598" t="str">
            <v xml:space="preserve">M393A4K40CB2-CTD </v>
          </cell>
          <cell r="E4598" t="str">
            <v>SNL180</v>
          </cell>
        </row>
        <row r="4599">
          <cell r="D4599" t="str">
            <v xml:space="preserve">M393A4K40CB2-CTD </v>
          </cell>
          <cell r="E4599" t="str">
            <v>SNL181</v>
          </cell>
        </row>
        <row r="4600">
          <cell r="D4600" t="str">
            <v xml:space="preserve">M393A4K40CB2-CTD </v>
          </cell>
          <cell r="E4600" t="str">
            <v>SNL182</v>
          </cell>
        </row>
        <row r="4601">
          <cell r="D4601" t="str">
            <v xml:space="preserve">M393A4K40CB2-CTD </v>
          </cell>
          <cell r="E4601" t="str">
            <v>SNL183</v>
          </cell>
        </row>
        <row r="4602">
          <cell r="D4602" t="str">
            <v xml:space="preserve">M393A4K40CB2-CTD </v>
          </cell>
          <cell r="E4602" t="str">
            <v>SNL184</v>
          </cell>
        </row>
        <row r="4603">
          <cell r="D4603" t="str">
            <v xml:space="preserve">M393A4K40CB2-CTD </v>
          </cell>
          <cell r="E4603" t="str">
            <v>SNL185</v>
          </cell>
        </row>
        <row r="4604">
          <cell r="D4604" t="str">
            <v xml:space="preserve">M393A4K40CB2-CTD </v>
          </cell>
          <cell r="E4604" t="str">
            <v>SNL186</v>
          </cell>
        </row>
        <row r="4605">
          <cell r="D4605" t="str">
            <v xml:space="preserve">M393A4K40CB2-CTD </v>
          </cell>
          <cell r="E4605" t="str">
            <v>SNL187</v>
          </cell>
        </row>
        <row r="4606">
          <cell r="D4606" t="str">
            <v xml:space="preserve">M393A4K40CB2-CTD </v>
          </cell>
          <cell r="E4606" t="str">
            <v>SNL188</v>
          </cell>
        </row>
        <row r="4607">
          <cell r="D4607" t="str">
            <v xml:space="preserve">M393A4K40CB2-CTD </v>
          </cell>
          <cell r="E4607" t="str">
            <v>SNL189</v>
          </cell>
        </row>
        <row r="4608">
          <cell r="D4608" t="str">
            <v xml:space="preserve">M393A4K40CB2-CTD </v>
          </cell>
          <cell r="E4608" t="str">
            <v>SNL190</v>
          </cell>
        </row>
        <row r="4609">
          <cell r="D4609" t="str">
            <v xml:space="preserve">M393A4K40CB2-CTD </v>
          </cell>
          <cell r="E4609" t="str">
            <v>SNL191</v>
          </cell>
        </row>
        <row r="4610">
          <cell r="D4610" t="str">
            <v xml:space="preserve">M393A4K40CB2-CTD </v>
          </cell>
          <cell r="E4610" t="str">
            <v>SNL192</v>
          </cell>
        </row>
        <row r="4611">
          <cell r="D4611" t="str">
            <v xml:space="preserve">M393A4K40CB2-CTD </v>
          </cell>
          <cell r="E4611" t="str">
            <v>SNL193</v>
          </cell>
        </row>
        <row r="4612">
          <cell r="D4612" t="str">
            <v xml:space="preserve">M393A4K40CB2-CTD </v>
          </cell>
          <cell r="E4612" t="str">
            <v>SNL194</v>
          </cell>
        </row>
        <row r="4613">
          <cell r="D4613" t="str">
            <v xml:space="preserve">M393A4K40CB2-CTD </v>
          </cell>
          <cell r="E4613" t="str">
            <v>SNL195</v>
          </cell>
        </row>
        <row r="4614">
          <cell r="D4614" t="str">
            <v xml:space="preserve">M393A4K40CB2-CTD </v>
          </cell>
          <cell r="E4614" t="str">
            <v>SNL196</v>
          </cell>
        </row>
        <row r="4615">
          <cell r="D4615" t="str">
            <v xml:space="preserve">M393A4K40CB2-CTD </v>
          </cell>
          <cell r="E4615" t="str">
            <v>SNL197</v>
          </cell>
        </row>
        <row r="4616">
          <cell r="D4616" t="str">
            <v xml:space="preserve">M393A4K40CB2-CTD </v>
          </cell>
          <cell r="E4616" t="str">
            <v>SNL198</v>
          </cell>
        </row>
        <row r="4617">
          <cell r="D4617" t="str">
            <v xml:space="preserve">M393A4K40CB2-CTD </v>
          </cell>
          <cell r="E4617" t="str">
            <v>SNL199</v>
          </cell>
        </row>
        <row r="4618">
          <cell r="D4618" t="str">
            <v xml:space="preserve">M393A4K40CB2-CTD </v>
          </cell>
          <cell r="E4618" t="str">
            <v>SNL200</v>
          </cell>
        </row>
        <row r="4619">
          <cell r="D4619" t="str">
            <v xml:space="preserve">M393A4K40CB2-CTD </v>
          </cell>
          <cell r="E4619" t="str">
            <v>SNL201</v>
          </cell>
        </row>
        <row r="4620">
          <cell r="D4620" t="str">
            <v xml:space="preserve">M393A4K40CB2-CTD </v>
          </cell>
          <cell r="E4620" t="str">
            <v>SNL202</v>
          </cell>
        </row>
        <row r="4621">
          <cell r="D4621" t="str">
            <v xml:space="preserve">M393A4K40CB2-CTD </v>
          </cell>
          <cell r="E4621" t="str">
            <v>SNL203</v>
          </cell>
        </row>
        <row r="4622">
          <cell r="D4622" t="str">
            <v xml:space="preserve">M393A4K40CB2-CTD </v>
          </cell>
          <cell r="E4622" t="str">
            <v>SNL204</v>
          </cell>
        </row>
        <row r="4623">
          <cell r="D4623" t="str">
            <v xml:space="preserve">M393A4K40CB2-CTD </v>
          </cell>
          <cell r="E4623" t="str">
            <v>SNL205</v>
          </cell>
        </row>
        <row r="4624">
          <cell r="D4624" t="str">
            <v xml:space="preserve">M393A4K40CB2-CTD </v>
          </cell>
          <cell r="E4624" t="str">
            <v>SNL206</v>
          </cell>
        </row>
        <row r="4625">
          <cell r="D4625" t="str">
            <v xml:space="preserve">M393A4K40CB2-CTD </v>
          </cell>
          <cell r="E4625" t="str">
            <v>SNL207</v>
          </cell>
        </row>
        <row r="4626">
          <cell r="D4626" t="str">
            <v xml:space="preserve">M393A4K40CB2-CTD </v>
          </cell>
          <cell r="E4626" t="str">
            <v>SNL208</v>
          </cell>
        </row>
        <row r="4627">
          <cell r="D4627" t="str">
            <v xml:space="preserve">M393A4K40CB2-CTD </v>
          </cell>
          <cell r="E4627" t="str">
            <v>SNL209</v>
          </cell>
        </row>
        <row r="4628">
          <cell r="D4628" t="str">
            <v xml:space="preserve">M393A4K40CB2-CTD </v>
          </cell>
          <cell r="E4628" t="str">
            <v>SNL210</v>
          </cell>
        </row>
        <row r="4629">
          <cell r="D4629" t="str">
            <v xml:space="preserve">M393A4K40CB2-CTD </v>
          </cell>
          <cell r="E4629" t="str">
            <v>SNL211</v>
          </cell>
        </row>
        <row r="4630">
          <cell r="D4630" t="str">
            <v xml:space="preserve">M393A4K40CB2-CTD </v>
          </cell>
          <cell r="E4630" t="str">
            <v>SNL212</v>
          </cell>
        </row>
        <row r="4631">
          <cell r="D4631" t="str">
            <v xml:space="preserve">M393A4K40CB2-CTD </v>
          </cell>
          <cell r="E4631" t="str">
            <v>SNL213</v>
          </cell>
        </row>
        <row r="4632">
          <cell r="D4632" t="str">
            <v xml:space="preserve">M393A4K40CB2-CTD </v>
          </cell>
          <cell r="E4632" t="str">
            <v>SNL214</v>
          </cell>
        </row>
        <row r="4633">
          <cell r="D4633" t="str">
            <v xml:space="preserve">M393A4K40CB2-CTD </v>
          </cell>
          <cell r="E4633" t="str">
            <v>SNL215</v>
          </cell>
        </row>
        <row r="4634">
          <cell r="D4634" t="str">
            <v xml:space="preserve">M393A4K40CB2-CTD </v>
          </cell>
          <cell r="E4634" t="str">
            <v>SNL216</v>
          </cell>
        </row>
        <row r="4635">
          <cell r="D4635" t="str">
            <v xml:space="preserve">M393A4K40CB2-CTD </v>
          </cell>
          <cell r="E4635" t="str">
            <v>SNL217</v>
          </cell>
        </row>
        <row r="4636">
          <cell r="D4636" t="str">
            <v xml:space="preserve">M393A4K40CB2-CTD </v>
          </cell>
          <cell r="E4636" t="str">
            <v>SNL218</v>
          </cell>
        </row>
        <row r="4637">
          <cell r="D4637" t="str">
            <v xml:space="preserve">M393A4K40CB2-CTD </v>
          </cell>
          <cell r="E4637" t="str">
            <v>SNL219</v>
          </cell>
        </row>
        <row r="4638">
          <cell r="D4638" t="str">
            <v xml:space="preserve">M393A4K40CB2-CTD </v>
          </cell>
          <cell r="E4638" t="str">
            <v>SNL220</v>
          </cell>
        </row>
        <row r="4639">
          <cell r="D4639" t="str">
            <v xml:space="preserve">M393A4K40CB2-CTD </v>
          </cell>
          <cell r="E4639" t="str">
            <v>SNL221</v>
          </cell>
        </row>
        <row r="4640">
          <cell r="D4640" t="str">
            <v xml:space="preserve">M393A4K40CB2-CTD </v>
          </cell>
          <cell r="E4640" t="str">
            <v>SNL222</v>
          </cell>
        </row>
        <row r="4641">
          <cell r="D4641" t="str">
            <v xml:space="preserve">M393A4K40CB2-CTD </v>
          </cell>
          <cell r="E4641" t="str">
            <v>SNL223</v>
          </cell>
        </row>
        <row r="4642">
          <cell r="D4642" t="str">
            <v xml:space="preserve">M393A4K40CB2-CTD </v>
          </cell>
          <cell r="E4642" t="str">
            <v>SNL224</v>
          </cell>
        </row>
        <row r="4643">
          <cell r="D4643" t="str">
            <v xml:space="preserve">M393A4K40CB2-CTD </v>
          </cell>
          <cell r="E4643" t="str">
            <v>SNL225</v>
          </cell>
        </row>
        <row r="4644">
          <cell r="D4644" t="str">
            <v xml:space="preserve">M393A4K40CB2-CTD </v>
          </cell>
          <cell r="E4644" t="str">
            <v>SNL226</v>
          </cell>
        </row>
        <row r="4645">
          <cell r="D4645" t="str">
            <v xml:space="preserve">M393A4K40CB2-CTD </v>
          </cell>
          <cell r="E4645" t="str">
            <v>SNL227</v>
          </cell>
        </row>
        <row r="4646">
          <cell r="D4646" t="str">
            <v>MB705M2P-B</v>
          </cell>
          <cell r="E4646" t="str">
            <v>S/N:21301881</v>
          </cell>
        </row>
        <row r="4647">
          <cell r="D4647" t="str">
            <v>MB705M2P-B</v>
          </cell>
          <cell r="E4647" t="str">
            <v>S/N:21301882</v>
          </cell>
        </row>
        <row r="4648">
          <cell r="D4648" t="str">
            <v>MB705M2P-B</v>
          </cell>
          <cell r="E4648" t="str">
            <v>S/N:21301886</v>
          </cell>
        </row>
        <row r="4649">
          <cell r="D4649" t="str">
            <v>MB705M2P-B</v>
          </cell>
          <cell r="E4649" t="str">
            <v>S/N:21301883</v>
          </cell>
        </row>
        <row r="4650">
          <cell r="D4650" t="str">
            <v>MB705M2P-B</v>
          </cell>
          <cell r="E4650" t="str">
            <v>S/N:21301885</v>
          </cell>
        </row>
        <row r="4651">
          <cell r="D4651" t="str">
            <v>MB705M2P-B</v>
          </cell>
          <cell r="E4651" t="str">
            <v>S/N:21301887</v>
          </cell>
        </row>
        <row r="4652">
          <cell r="D4652" t="str">
            <v>1W10002</v>
          </cell>
          <cell r="E4652" t="str">
            <v>WCC6N1FXU82N</v>
          </cell>
        </row>
        <row r="4653">
          <cell r="D4653" t="str">
            <v>1W10002</v>
          </cell>
          <cell r="E4653" t="str">
            <v>WCC6N1FXU9R3</v>
          </cell>
        </row>
        <row r="4654">
          <cell r="D4654" t="str">
            <v>0TS2048</v>
          </cell>
          <cell r="E4654" t="str">
            <v>A0711B98</v>
          </cell>
        </row>
        <row r="4655">
          <cell r="D4655" t="str">
            <v>0TS2048</v>
          </cell>
          <cell r="E4655" t="str">
            <v>A0711BAA</v>
          </cell>
        </row>
        <row r="4656">
          <cell r="D4656" t="str">
            <v>0F30144</v>
          </cell>
          <cell r="E4656" t="str">
            <v>5QJE1Z6B</v>
          </cell>
        </row>
        <row r="4657">
          <cell r="D4657" t="str">
            <v>0F30144</v>
          </cell>
          <cell r="E4657" t="str">
            <v>5QJD1ZPB</v>
          </cell>
        </row>
        <row r="4658">
          <cell r="D4658" t="str">
            <v>0F30144</v>
          </cell>
          <cell r="E4658" t="str">
            <v>5QJ7YYMB</v>
          </cell>
        </row>
        <row r="4659">
          <cell r="D4659" t="str">
            <v>0F30144</v>
          </cell>
          <cell r="E4659" t="str">
            <v>5QJBP2GB</v>
          </cell>
        </row>
        <row r="4660">
          <cell r="D4660" t="str">
            <v>0F30144</v>
          </cell>
          <cell r="E4660" t="str">
            <v>5QJBZR6B</v>
          </cell>
        </row>
        <row r="4661">
          <cell r="D4661" t="str">
            <v>0F30144</v>
          </cell>
          <cell r="E4661" t="str">
            <v>5QJE6GKB</v>
          </cell>
        </row>
        <row r="4662">
          <cell r="D4662" t="str">
            <v>0F30144</v>
          </cell>
          <cell r="E4662" t="str">
            <v>5QJE95EB</v>
          </cell>
        </row>
        <row r="4663">
          <cell r="D4663" t="str">
            <v>0F30144</v>
          </cell>
          <cell r="E4663" t="str">
            <v>5QJD3DJB</v>
          </cell>
        </row>
        <row r="4664">
          <cell r="D4664" t="str">
            <v>0F30144</v>
          </cell>
          <cell r="E4664" t="str">
            <v>5QJE3TLB</v>
          </cell>
        </row>
        <row r="4665">
          <cell r="D4665" t="str">
            <v>0F30144</v>
          </cell>
          <cell r="E4665" t="str">
            <v>5QJDWZTB</v>
          </cell>
        </row>
        <row r="4666">
          <cell r="D4666" t="str">
            <v>0F30144</v>
          </cell>
          <cell r="E4666" t="str">
            <v>5QJE8SZB</v>
          </cell>
        </row>
        <row r="4667">
          <cell r="D4667" t="str">
            <v>0F30144</v>
          </cell>
          <cell r="E4667" t="str">
            <v>5QJDWUJB</v>
          </cell>
        </row>
        <row r="4668">
          <cell r="D4668" t="str">
            <v>0F30144</v>
          </cell>
          <cell r="E4668" t="str">
            <v>5QJE6LYB</v>
          </cell>
        </row>
        <row r="4669">
          <cell r="D4669" t="str">
            <v>0F30144</v>
          </cell>
          <cell r="E4669" t="str">
            <v>5QJE3KPB</v>
          </cell>
        </row>
        <row r="4670">
          <cell r="D4670" t="str">
            <v>0F30144</v>
          </cell>
          <cell r="E4670" t="str">
            <v>5QJED22B</v>
          </cell>
        </row>
        <row r="4671">
          <cell r="D4671" t="str">
            <v>0F30144</v>
          </cell>
          <cell r="E4671" t="str">
            <v>5QJDPN9B</v>
          </cell>
        </row>
        <row r="4672">
          <cell r="D4672" t="str">
            <v>0F30144</v>
          </cell>
          <cell r="E4672" t="str">
            <v>5QJDJVLB</v>
          </cell>
        </row>
        <row r="4673">
          <cell r="D4673" t="str">
            <v>0F30144</v>
          </cell>
          <cell r="E4673" t="str">
            <v>5QJE829B</v>
          </cell>
        </row>
        <row r="4674">
          <cell r="D4674" t="str">
            <v>0F30144</v>
          </cell>
          <cell r="E4674" t="str">
            <v>5QJE9V4B</v>
          </cell>
        </row>
        <row r="4675">
          <cell r="D4675" t="str">
            <v>0F30144</v>
          </cell>
          <cell r="E4675" t="str">
            <v>5QJAZKKB</v>
          </cell>
        </row>
        <row r="4676">
          <cell r="D4676" t="str">
            <v>0F30144</v>
          </cell>
          <cell r="E4676" t="str">
            <v>5QJE8T1B</v>
          </cell>
        </row>
        <row r="4677">
          <cell r="D4677" t="str">
            <v>0F30144</v>
          </cell>
          <cell r="E4677" t="str">
            <v>5QJE330B</v>
          </cell>
        </row>
        <row r="4678">
          <cell r="D4678" t="str">
            <v>0F30144</v>
          </cell>
          <cell r="E4678" t="str">
            <v>5QJE28BB</v>
          </cell>
        </row>
        <row r="4679">
          <cell r="D4679" t="str">
            <v>0F30144</v>
          </cell>
          <cell r="E4679" t="str">
            <v>5QJA4ZMB</v>
          </cell>
        </row>
        <row r="4680">
          <cell r="D4680" t="str">
            <v>0F30144</v>
          </cell>
          <cell r="E4680" t="str">
            <v>5QJE3MKB</v>
          </cell>
        </row>
        <row r="4681">
          <cell r="D4681" t="str">
            <v>0F30144</v>
          </cell>
          <cell r="E4681" t="str">
            <v>5QJE6N1B</v>
          </cell>
        </row>
        <row r="4682">
          <cell r="D4682" t="str">
            <v>0F30144</v>
          </cell>
          <cell r="E4682" t="str">
            <v>5QJE2EEB</v>
          </cell>
        </row>
        <row r="4683">
          <cell r="D4683" t="str">
            <v>0F30144</v>
          </cell>
          <cell r="E4683" t="str">
            <v>5QJDM3GB</v>
          </cell>
        </row>
        <row r="4684">
          <cell r="D4684" t="str">
            <v>EPC621D4I-2M</v>
          </cell>
          <cell r="E4684" t="str">
            <v>07S0XW003876</v>
          </cell>
        </row>
        <row r="4685">
          <cell r="D4685" t="str">
            <v>AOC-SLG3-2E4R</v>
          </cell>
          <cell r="E4685" t="str">
            <v>PA181S003386</v>
          </cell>
        </row>
        <row r="4686">
          <cell r="D4686" t="str">
            <v>AOC-SLG3-2E4R</v>
          </cell>
          <cell r="E4686" t="str">
            <v>PA181S003384</v>
          </cell>
        </row>
        <row r="4687">
          <cell r="D4687" t="str">
            <v>AOC-SLG3-2E4R</v>
          </cell>
          <cell r="E4687" t="str">
            <v>PA17BS007637</v>
          </cell>
        </row>
        <row r="4688">
          <cell r="D4688" t="str">
            <v>0B42266</v>
          </cell>
          <cell r="E4688" t="str">
            <v>VCJSZR6P</v>
          </cell>
        </row>
        <row r="4689">
          <cell r="D4689" t="str">
            <v>0B42266</v>
          </cell>
          <cell r="E4689" t="str">
            <v>VCJSRK0P</v>
          </cell>
        </row>
        <row r="4690">
          <cell r="D4690" t="str">
            <v>0B42266</v>
          </cell>
          <cell r="E4690" t="str">
            <v>VCJSWT9P</v>
          </cell>
        </row>
        <row r="4691">
          <cell r="D4691" t="str">
            <v>0B42266</v>
          </cell>
          <cell r="E4691" t="str">
            <v>VCJT1PBP</v>
          </cell>
        </row>
        <row r="4692">
          <cell r="D4692" t="str">
            <v>0B42266</v>
          </cell>
          <cell r="E4692" t="str">
            <v>VCJT5JZP</v>
          </cell>
        </row>
        <row r="4693">
          <cell r="D4693" t="str">
            <v>0F30144</v>
          </cell>
          <cell r="E4693" t="str">
            <v>5QJDH76B</v>
          </cell>
        </row>
        <row r="4694">
          <cell r="D4694" t="str">
            <v>0F30144</v>
          </cell>
          <cell r="E4694" t="str">
            <v>5QJE28RB</v>
          </cell>
        </row>
        <row r="4695">
          <cell r="D4695" t="str">
            <v>0F30144</v>
          </cell>
          <cell r="E4695" t="str">
            <v>5QJA7GDB</v>
          </cell>
        </row>
        <row r="4696">
          <cell r="D4696" t="str">
            <v>0F30144</v>
          </cell>
          <cell r="E4696" t="str">
            <v>5QJDLVAB</v>
          </cell>
        </row>
        <row r="4697">
          <cell r="D4697" t="str">
            <v>0F30144</v>
          </cell>
          <cell r="E4697" t="str">
            <v>5QJE4VUB</v>
          </cell>
        </row>
        <row r="4698">
          <cell r="D4698" t="str">
            <v>0F30144</v>
          </cell>
          <cell r="E4698" t="str">
            <v>5QJ60ZJB</v>
          </cell>
        </row>
        <row r="4699">
          <cell r="D4699" t="str">
            <v>0F30144</v>
          </cell>
          <cell r="E4699" t="str">
            <v>5QJASTSB</v>
          </cell>
        </row>
        <row r="4700">
          <cell r="D4700" t="str">
            <v>0F30144</v>
          </cell>
          <cell r="E4700" t="str">
            <v>5QJE0YPB</v>
          </cell>
        </row>
        <row r="4701">
          <cell r="D4701" t="str">
            <v>0F30144</v>
          </cell>
          <cell r="E4701" t="str">
            <v>5QJE6WSB</v>
          </cell>
        </row>
        <row r="4702">
          <cell r="D4702" t="str">
            <v>0F30144</v>
          </cell>
          <cell r="E4702" t="str">
            <v>5QJAAUBB</v>
          </cell>
        </row>
        <row r="4703">
          <cell r="D4703" t="str">
            <v>0F30144</v>
          </cell>
          <cell r="E4703" t="str">
            <v>5QJDR56B</v>
          </cell>
        </row>
        <row r="4704">
          <cell r="D4704" t="str">
            <v>0F30144</v>
          </cell>
          <cell r="E4704" t="str">
            <v>5QJE6GDB</v>
          </cell>
        </row>
        <row r="4705">
          <cell r="D4705" t="str">
            <v>0F30144</v>
          </cell>
          <cell r="E4705" t="str">
            <v>5QJ9T3GB</v>
          </cell>
        </row>
        <row r="4706">
          <cell r="D4706" t="str">
            <v>0F30144</v>
          </cell>
          <cell r="E4706" t="str">
            <v>5QJB37VB</v>
          </cell>
        </row>
        <row r="4707">
          <cell r="D4707" t="str">
            <v>0F30144</v>
          </cell>
          <cell r="E4707" t="str">
            <v>5QJE190B</v>
          </cell>
        </row>
        <row r="4708">
          <cell r="D4708" t="str">
            <v>0F30144</v>
          </cell>
          <cell r="E4708" t="str">
            <v>5QJE95RB</v>
          </cell>
        </row>
        <row r="4709">
          <cell r="D4709" t="str">
            <v>0F30144</v>
          </cell>
          <cell r="E4709" t="str">
            <v>5QJAE7KB</v>
          </cell>
        </row>
        <row r="4710">
          <cell r="D4710" t="str">
            <v>0F30144</v>
          </cell>
          <cell r="E4710" t="str">
            <v>5QJDUS0B</v>
          </cell>
        </row>
        <row r="4711">
          <cell r="D4711" t="str">
            <v>0F30144</v>
          </cell>
          <cell r="E4711" t="str">
            <v>5QJE6RMB</v>
          </cell>
        </row>
        <row r="4712">
          <cell r="D4712" t="str">
            <v>0F30144</v>
          </cell>
          <cell r="E4712" t="str">
            <v>5QJBMJLB</v>
          </cell>
        </row>
        <row r="4713">
          <cell r="D4713" t="str">
            <v>0F30144</v>
          </cell>
          <cell r="E4713" t="str">
            <v>5QJE226B</v>
          </cell>
        </row>
        <row r="4714">
          <cell r="D4714" t="str">
            <v>0F30144</v>
          </cell>
          <cell r="E4714" t="str">
            <v>D5HAK5NF</v>
          </cell>
        </row>
        <row r="4715">
          <cell r="D4715" t="str">
            <v>1W10002</v>
          </cell>
          <cell r="E4715" t="str">
            <v>WCC6N1FXUHVN</v>
          </cell>
        </row>
        <row r="4716">
          <cell r="D4716" t="str">
            <v>1W10002</v>
          </cell>
          <cell r="E4716" t="str">
            <v>WCC6N1FXUYY1</v>
          </cell>
        </row>
        <row r="4717">
          <cell r="D4717" t="str">
            <v>1W10002</v>
          </cell>
          <cell r="E4717" t="str">
            <v>WCC6N5JXVVAK</v>
          </cell>
        </row>
        <row r="4718">
          <cell r="D4718" t="str">
            <v>1W10002</v>
          </cell>
          <cell r="E4718" t="str">
            <v>WCC6N1FXU5RV</v>
          </cell>
        </row>
        <row r="4719">
          <cell r="D4719" t="str">
            <v>1W10002</v>
          </cell>
          <cell r="E4719" t="str">
            <v>WCC6N1FXUY32</v>
          </cell>
        </row>
        <row r="4720">
          <cell r="D4720" t="str">
            <v>1W10002</v>
          </cell>
          <cell r="E4720" t="str">
            <v>WCC6N3PX82AV</v>
          </cell>
        </row>
        <row r="4721">
          <cell r="D4721" t="str">
            <v>1W10002</v>
          </cell>
          <cell r="E4721" t="str">
            <v>WCC6N1FXUDLA</v>
          </cell>
        </row>
        <row r="4722">
          <cell r="D4722" t="str">
            <v>1W10002</v>
          </cell>
          <cell r="E4722" t="str">
            <v>WCC6N1FXUPT7</v>
          </cell>
        </row>
        <row r="4723">
          <cell r="D4723" t="str">
            <v>1W10002</v>
          </cell>
          <cell r="E4723" t="str">
            <v>WCC6N1FXU9SL</v>
          </cell>
        </row>
        <row r="4724">
          <cell r="D4724" t="str">
            <v>1W10002</v>
          </cell>
          <cell r="E4724" t="str">
            <v>WCC6N3PX8VK4</v>
          </cell>
        </row>
        <row r="4725">
          <cell r="D4725" t="str">
            <v>1W10002</v>
          </cell>
          <cell r="E4725" t="str">
            <v>WCC6N1FXU1SU</v>
          </cell>
        </row>
        <row r="4726">
          <cell r="D4726" t="str">
            <v>1W10002</v>
          </cell>
          <cell r="E4726" t="str">
            <v>WCC6N1FXUSA1</v>
          </cell>
        </row>
        <row r="4727">
          <cell r="D4727" t="str">
            <v>1W10002</v>
          </cell>
          <cell r="E4727" t="str">
            <v>WCC6N0CYNVRD</v>
          </cell>
        </row>
        <row r="4728">
          <cell r="D4728" t="str">
            <v>1W10002</v>
          </cell>
          <cell r="E4728" t="str">
            <v>WCC6N1FXU16L</v>
          </cell>
        </row>
        <row r="4729">
          <cell r="D4729" t="str">
            <v>1W10002</v>
          </cell>
          <cell r="E4729" t="str">
            <v>WCC6N4YRYU63</v>
          </cell>
        </row>
        <row r="4730">
          <cell r="D4730" t="str">
            <v>1W10002</v>
          </cell>
          <cell r="E4730" t="str">
            <v>WCC6N1FXU1LS</v>
          </cell>
        </row>
        <row r="4731">
          <cell r="D4731" t="str">
            <v>1W10002</v>
          </cell>
          <cell r="E4731" t="str">
            <v>WCC6N0CYNPZU</v>
          </cell>
        </row>
        <row r="4732">
          <cell r="D4732" t="str">
            <v>1W10002</v>
          </cell>
          <cell r="E4732" t="str">
            <v>WCC6N1FXUEHE</v>
          </cell>
        </row>
        <row r="4733">
          <cell r="D4733" t="str">
            <v>1W10002</v>
          </cell>
          <cell r="E4733" t="str">
            <v>WCC6N1FXUU04</v>
          </cell>
        </row>
        <row r="4734">
          <cell r="D4734" t="str">
            <v>1W10002</v>
          </cell>
          <cell r="E4734" t="str">
            <v>WCC6N1FXU2AU</v>
          </cell>
        </row>
        <row r="4735">
          <cell r="D4735" t="str">
            <v>1W10002</v>
          </cell>
          <cell r="E4735" t="str">
            <v>WCC6N0CYNHH9</v>
          </cell>
        </row>
        <row r="4736">
          <cell r="D4736" t="str">
            <v>1W10002</v>
          </cell>
          <cell r="E4736" t="str">
            <v>WCC6N1FXUVU0</v>
          </cell>
        </row>
        <row r="4737">
          <cell r="D4737" t="str">
            <v>1W10002</v>
          </cell>
          <cell r="E4737" t="str">
            <v>WCC6N1FXU3SC</v>
          </cell>
        </row>
        <row r="4738">
          <cell r="D4738" t="str">
            <v>1W10002</v>
          </cell>
          <cell r="E4738" t="str">
            <v>WCC6N1FXULN3</v>
          </cell>
        </row>
        <row r="4739">
          <cell r="D4739" t="str">
            <v>1W10002</v>
          </cell>
          <cell r="E4739" t="str">
            <v>WCC6N1FXUUSD</v>
          </cell>
        </row>
        <row r="4740">
          <cell r="D4740" t="str">
            <v>1W10002</v>
          </cell>
          <cell r="E4740" t="str">
            <v>WCC6N3EKZ9CY</v>
          </cell>
        </row>
        <row r="4741">
          <cell r="D4741" t="str">
            <v>1W10002</v>
          </cell>
          <cell r="E4741" t="str">
            <v>WCC6N1FXUCT4</v>
          </cell>
        </row>
        <row r="4742">
          <cell r="D4742" t="str">
            <v>1W10002</v>
          </cell>
          <cell r="E4742" t="str">
            <v>WCC6N6YSJ4RY</v>
          </cell>
        </row>
        <row r="4743">
          <cell r="D4743" t="str">
            <v>1W10002</v>
          </cell>
          <cell r="E4743" t="str">
            <v>WCC6N4EZ80X1</v>
          </cell>
        </row>
        <row r="4744">
          <cell r="D4744" t="str">
            <v>1W10002</v>
          </cell>
          <cell r="E4744" t="str">
            <v>WCC6N3PX8N09</v>
          </cell>
        </row>
        <row r="4745">
          <cell r="D4745" t="str">
            <v>1W10002</v>
          </cell>
          <cell r="E4745" t="str">
            <v>WCC6N1FXUU05</v>
          </cell>
        </row>
        <row r="4746">
          <cell r="D4746" t="str">
            <v>1W10002</v>
          </cell>
          <cell r="E4746" t="str">
            <v>WCC6N1FXU1SR</v>
          </cell>
        </row>
        <row r="4747">
          <cell r="D4747" t="str">
            <v>1W10002</v>
          </cell>
          <cell r="E4747" t="str">
            <v>WCC6N1FXUKK4</v>
          </cell>
        </row>
        <row r="4748">
          <cell r="D4748" t="str">
            <v>1W10002</v>
          </cell>
          <cell r="E4748" t="str">
            <v>WCC6N1FXUX78</v>
          </cell>
        </row>
        <row r="4749">
          <cell r="D4749" t="str">
            <v>1W10002</v>
          </cell>
          <cell r="E4749" t="str">
            <v>WCC6N1FXU6V4</v>
          </cell>
        </row>
        <row r="4750">
          <cell r="D4750" t="str">
            <v>1W10002</v>
          </cell>
          <cell r="E4750" t="str">
            <v>WCC6N1FXUVJL</v>
          </cell>
        </row>
        <row r="4751">
          <cell r="D4751" t="str">
            <v>1W10002</v>
          </cell>
          <cell r="E4751" t="str">
            <v>WCC6N1FXUP84</v>
          </cell>
        </row>
        <row r="4752">
          <cell r="D4752" t="str">
            <v>1W10002</v>
          </cell>
          <cell r="E4752" t="str">
            <v>WCC6N1FXUYCA</v>
          </cell>
        </row>
        <row r="4753">
          <cell r="D4753" t="str">
            <v>1W10002</v>
          </cell>
          <cell r="E4753" t="str">
            <v>WCC6N1FXUU29</v>
          </cell>
        </row>
        <row r="4754">
          <cell r="D4754" t="str">
            <v>1W10002</v>
          </cell>
          <cell r="E4754" t="str">
            <v>WCC6N1FXUYR7</v>
          </cell>
        </row>
        <row r="4755">
          <cell r="D4755" t="str">
            <v>VROCSTANMOD</v>
          </cell>
          <cell r="E4755" t="str">
            <v>QSVC735S010O</v>
          </cell>
        </row>
        <row r="4756">
          <cell r="D4756" t="str">
            <v>VROCSTANMOD</v>
          </cell>
          <cell r="E4756" t="str">
            <v>QSVC735S010Q</v>
          </cell>
        </row>
        <row r="4757">
          <cell r="D4757" t="str">
            <v>VROCSTANMOD</v>
          </cell>
          <cell r="E4757" t="str">
            <v>QSVC735S0127</v>
          </cell>
        </row>
        <row r="4758">
          <cell r="D4758" t="str">
            <v>VROCSTANMOD</v>
          </cell>
          <cell r="E4758" t="str">
            <v>QSVC735S010R</v>
          </cell>
        </row>
        <row r="4759">
          <cell r="D4759" t="str">
            <v>VROCSTANMOD</v>
          </cell>
          <cell r="E4759" t="str">
            <v>QSVC735S010Z</v>
          </cell>
        </row>
        <row r="4760">
          <cell r="D4760" t="str">
            <v>VROCSTANMOD</v>
          </cell>
          <cell r="E4760" t="str">
            <v>QSVC735S0217</v>
          </cell>
        </row>
        <row r="4761">
          <cell r="D4761" t="str">
            <v>VROCSTANMOD</v>
          </cell>
          <cell r="E4761" t="str">
            <v>QSVC735S020U</v>
          </cell>
        </row>
        <row r="4762">
          <cell r="D4762" t="str">
            <v>VROCSTANMOD</v>
          </cell>
          <cell r="E4762" t="str">
            <v>QSVC735S0211</v>
          </cell>
        </row>
        <row r="4763">
          <cell r="D4763" t="str">
            <v>VROCSTANMOD</v>
          </cell>
          <cell r="E4763" t="str">
            <v>QSVC735S020Q</v>
          </cell>
        </row>
        <row r="4764">
          <cell r="D4764" t="str">
            <v>VROCSTANMOD</v>
          </cell>
          <cell r="E4764" t="str">
            <v>QSVC735S0214</v>
          </cell>
        </row>
        <row r="4765">
          <cell r="D4765" t="str">
            <v>VROCSTANMOD</v>
          </cell>
          <cell r="E4765" t="str">
            <v>QSVC735S01B5</v>
          </cell>
        </row>
        <row r="4766">
          <cell r="D4766" t="str">
            <v>VROCSTANMOD</v>
          </cell>
          <cell r="E4766" t="str">
            <v>QSVC735S00GW</v>
          </cell>
        </row>
        <row r="4767">
          <cell r="D4767" t="str">
            <v>VROCSTANMOD</v>
          </cell>
          <cell r="E4767" t="str">
            <v>QSVC735S01BQ</v>
          </cell>
        </row>
        <row r="4768">
          <cell r="D4768" t="str">
            <v>VROCSTANMOD</v>
          </cell>
          <cell r="E4768" t="str">
            <v>QSVC735S01BA</v>
          </cell>
        </row>
        <row r="4769">
          <cell r="D4769" t="str">
            <v>VROCSTANMOD</v>
          </cell>
          <cell r="E4769" t="str">
            <v>QSVC735S018O</v>
          </cell>
        </row>
        <row r="4770">
          <cell r="D4770" t="str">
            <v>VROCSTANMOD</v>
          </cell>
          <cell r="E4770" t="str">
            <v>QSVC735S01V8</v>
          </cell>
        </row>
        <row r="4771">
          <cell r="D4771" t="str">
            <v>VROCSTANMOD</v>
          </cell>
          <cell r="E4771" t="str">
            <v>QSVC735S01UT</v>
          </cell>
        </row>
        <row r="4772">
          <cell r="D4772" t="str">
            <v>VROCSTANMOD</v>
          </cell>
          <cell r="E4772" t="str">
            <v>QSVC735S01V3</v>
          </cell>
        </row>
        <row r="4773">
          <cell r="D4773" t="str">
            <v>VROCSTANMOD</v>
          </cell>
          <cell r="E4773" t="str">
            <v>QSVC735S01UY</v>
          </cell>
        </row>
        <row r="4774">
          <cell r="D4774" t="str">
            <v>VROCSTANMOD</v>
          </cell>
          <cell r="E4774" t="str">
            <v>QSVC735S01UK</v>
          </cell>
        </row>
        <row r="4775">
          <cell r="D4775" t="str">
            <v>VROCSTANMOD</v>
          </cell>
          <cell r="E4775" t="str">
            <v>QSVC735S0190</v>
          </cell>
        </row>
        <row r="4776">
          <cell r="D4776" t="str">
            <v>VROCSTANMOD</v>
          </cell>
          <cell r="E4776" t="str">
            <v>QSVC735S018Z</v>
          </cell>
        </row>
        <row r="4777">
          <cell r="D4777" t="str">
            <v>VROCSTANMOD</v>
          </cell>
          <cell r="E4777" t="str">
            <v>QSVC735S018V</v>
          </cell>
        </row>
        <row r="4778">
          <cell r="D4778" t="str">
            <v>VROCSTANMOD</v>
          </cell>
          <cell r="E4778" t="str">
            <v>QSVC735S018Y</v>
          </cell>
        </row>
        <row r="4779">
          <cell r="D4779" t="str">
            <v>VROCSTANMOD</v>
          </cell>
          <cell r="E4779" t="str">
            <v>QSVC735S0194</v>
          </cell>
        </row>
        <row r="4780">
          <cell r="D4780" t="str">
            <v>VROCSTANMOD</v>
          </cell>
          <cell r="E4780" t="str">
            <v>QSVC735S016E</v>
          </cell>
        </row>
        <row r="4781">
          <cell r="D4781" t="str">
            <v>VROCSTANMOD</v>
          </cell>
          <cell r="E4781" t="str">
            <v>QSVC735S016B</v>
          </cell>
        </row>
        <row r="4782">
          <cell r="D4782" t="str">
            <v>VROCSTANMOD</v>
          </cell>
          <cell r="E4782" t="str">
            <v>QSVC735S0153</v>
          </cell>
        </row>
        <row r="4783">
          <cell r="D4783" t="str">
            <v>VROCSTANMOD</v>
          </cell>
          <cell r="E4783" t="str">
            <v>QSVC735S016A</v>
          </cell>
        </row>
        <row r="4784">
          <cell r="D4784" t="str">
            <v>VROCSTANMOD</v>
          </cell>
          <cell r="E4784" t="str">
            <v>QSVC735S016C</v>
          </cell>
        </row>
        <row r="4785">
          <cell r="D4785" t="str">
            <v>VROCSTANMOD</v>
          </cell>
          <cell r="E4785" t="str">
            <v>QSVC735S016P</v>
          </cell>
        </row>
        <row r="4786">
          <cell r="D4786" t="str">
            <v>VROCSTANMOD</v>
          </cell>
          <cell r="E4786" t="str">
            <v>QSVC735S016Q</v>
          </cell>
        </row>
        <row r="4787">
          <cell r="D4787" t="str">
            <v>VROCSTANMOD</v>
          </cell>
          <cell r="E4787" t="str">
            <v>QSVC735S016T</v>
          </cell>
        </row>
        <row r="4788">
          <cell r="D4788" t="str">
            <v>VROCSTANMOD</v>
          </cell>
          <cell r="E4788" t="str">
            <v>QSVC735S0177</v>
          </cell>
        </row>
        <row r="4789">
          <cell r="D4789" t="str">
            <v>VROCSTANMOD</v>
          </cell>
          <cell r="E4789" t="str">
            <v>QSVC735S016W</v>
          </cell>
        </row>
        <row r="4790">
          <cell r="D4790" t="str">
            <v>VROCSTANMOD</v>
          </cell>
          <cell r="E4790" t="str">
            <v>QSVC735S012I</v>
          </cell>
        </row>
        <row r="4791">
          <cell r="D4791" t="str">
            <v>VROCSTANMOD</v>
          </cell>
          <cell r="E4791" t="str">
            <v>QSVC735S0128</v>
          </cell>
        </row>
        <row r="4792">
          <cell r="D4792" t="str">
            <v>VROCSTANMOD</v>
          </cell>
          <cell r="E4792" t="str">
            <v>QSVC735S00XM</v>
          </cell>
        </row>
        <row r="4793">
          <cell r="D4793" t="str">
            <v>VROCSTANMOD</v>
          </cell>
          <cell r="E4793" t="str">
            <v>QSVC735S00XI</v>
          </cell>
        </row>
        <row r="4794">
          <cell r="D4794" t="str">
            <v>VROCSTANMOD</v>
          </cell>
          <cell r="E4794" t="str">
            <v>QSVC735S00XP</v>
          </cell>
        </row>
        <row r="4795">
          <cell r="D4795" t="str">
            <v>VROCSTANMOD</v>
          </cell>
          <cell r="E4795" t="str">
            <v>QSVC735S0210</v>
          </cell>
        </row>
        <row r="4796">
          <cell r="D4796" t="str">
            <v>VROCSTANMOD</v>
          </cell>
          <cell r="E4796" t="str">
            <v>QSVC735S021B</v>
          </cell>
        </row>
        <row r="4797">
          <cell r="D4797" t="str">
            <v>VROCSTANMOD</v>
          </cell>
          <cell r="E4797" t="str">
            <v>QSVC735S021A</v>
          </cell>
        </row>
        <row r="4798">
          <cell r="D4798" t="str">
            <v>VROCSTANMOD</v>
          </cell>
          <cell r="E4798" t="str">
            <v>QSVC735S021C</v>
          </cell>
        </row>
        <row r="4799">
          <cell r="D4799" t="str">
            <v>VROCSTANMOD</v>
          </cell>
          <cell r="E4799" t="str">
            <v>QSVC735S0219</v>
          </cell>
        </row>
        <row r="4800">
          <cell r="D4800" t="str">
            <v>VROCSTANMOD</v>
          </cell>
          <cell r="E4800" t="str">
            <v>QSVC735S0176</v>
          </cell>
        </row>
        <row r="4801">
          <cell r="D4801" t="str">
            <v>VROCSTANMOD</v>
          </cell>
          <cell r="E4801" t="str">
            <v>QSVC735S0173</v>
          </cell>
        </row>
        <row r="4802">
          <cell r="D4802" t="str">
            <v>VROCSTANMOD</v>
          </cell>
          <cell r="E4802" t="str">
            <v>QSVC735S0175</v>
          </cell>
        </row>
        <row r="4803">
          <cell r="D4803" t="str">
            <v>VROCSTANMOD</v>
          </cell>
          <cell r="E4803" t="str">
            <v>QSVC735S016X</v>
          </cell>
        </row>
        <row r="4804">
          <cell r="D4804" t="str">
            <v>VROCSTANMOD</v>
          </cell>
          <cell r="E4804" t="str">
            <v>QSVC735S016S</v>
          </cell>
        </row>
        <row r="4805">
          <cell r="D4805" t="str">
            <v>VROCSTANMOD</v>
          </cell>
          <cell r="E4805" t="str">
            <v>QSVC735S016V</v>
          </cell>
        </row>
        <row r="4806">
          <cell r="D4806" t="str">
            <v>VROCSTANMOD</v>
          </cell>
          <cell r="E4806" t="str">
            <v>QSVC735S016U</v>
          </cell>
        </row>
        <row r="4807">
          <cell r="D4807" t="str">
            <v>VROCSTANMOD</v>
          </cell>
          <cell r="E4807" t="str">
            <v>QSVC735S0172</v>
          </cell>
        </row>
        <row r="4808">
          <cell r="D4808" t="str">
            <v>VROCSTANMOD</v>
          </cell>
          <cell r="E4808" t="str">
            <v>QSVC735S0170</v>
          </cell>
        </row>
        <row r="4809">
          <cell r="D4809" t="str">
            <v>VROCSTANMOD</v>
          </cell>
          <cell r="E4809" t="str">
            <v>QSVC735S0174</v>
          </cell>
        </row>
        <row r="4810">
          <cell r="D4810" t="str">
            <v>VROCSTANMOD</v>
          </cell>
          <cell r="E4810" t="str">
            <v>QSVC735S01HV</v>
          </cell>
        </row>
        <row r="4811">
          <cell r="D4811" t="str">
            <v>VROCSTANMOD</v>
          </cell>
          <cell r="E4811" t="str">
            <v>QSVC735S01HT</v>
          </cell>
        </row>
        <row r="4812">
          <cell r="D4812" t="str">
            <v>VROCSTANMOD</v>
          </cell>
          <cell r="E4812" t="str">
            <v>QSVC735S01HY</v>
          </cell>
        </row>
        <row r="4813">
          <cell r="D4813" t="str">
            <v>VROCSTANMOD</v>
          </cell>
          <cell r="E4813" t="str">
            <v>QSVC735S01HR</v>
          </cell>
        </row>
        <row r="4814">
          <cell r="D4814" t="str">
            <v>VROCSTANMOD</v>
          </cell>
          <cell r="E4814" t="str">
            <v>QSVC735S01I2</v>
          </cell>
        </row>
        <row r="4815">
          <cell r="D4815" t="str">
            <v>HDD-2A600-ST600MM00009</v>
          </cell>
          <cell r="E4815" t="str">
            <v>WFJ4YM2R</v>
          </cell>
        </row>
        <row r="4816">
          <cell r="D4816" t="str">
            <v>AOC-SLG3-2M2-O</v>
          </cell>
          <cell r="E4816" t="str">
            <v>VA21AS002398</v>
          </cell>
        </row>
        <row r="4817">
          <cell r="D4817" t="str">
            <v>AOC-SLG3-2M2-O</v>
          </cell>
          <cell r="E4817" t="str">
            <v>VA21AS002389</v>
          </cell>
        </row>
        <row r="4818">
          <cell r="D4818" t="str">
            <v>AOC-SLG3-2M2-O</v>
          </cell>
          <cell r="E4818" t="str">
            <v>VA21AS002402</v>
          </cell>
        </row>
        <row r="4819">
          <cell r="D4819" t="str">
            <v>AOC-SLG3-2M2-O</v>
          </cell>
          <cell r="E4819" t="str">
            <v>VA21AS002386</v>
          </cell>
        </row>
        <row r="4820">
          <cell r="D4820" t="str">
            <v>AOC-SLG3-2M2-O</v>
          </cell>
          <cell r="E4820" t="str">
            <v>VA21AS002388</v>
          </cell>
        </row>
        <row r="4821">
          <cell r="D4821" t="str">
            <v>AOC-SLG3-2M2-O</v>
          </cell>
          <cell r="E4821" t="str">
            <v>VA218S000605</v>
          </cell>
        </row>
        <row r="4822">
          <cell r="D4822" t="str">
            <v>AOC-SLG3-2M2-O</v>
          </cell>
          <cell r="E4822" t="str">
            <v>VA218S000604</v>
          </cell>
        </row>
        <row r="4823">
          <cell r="D4823" t="str">
            <v>AOC-SLG3-2M2-O</v>
          </cell>
          <cell r="E4823" t="str">
            <v>VA218S000564</v>
          </cell>
        </row>
        <row r="4824">
          <cell r="D4824" t="str">
            <v>AOC-SLG3-2M2-O</v>
          </cell>
          <cell r="E4824" t="str">
            <v>VA218S000607</v>
          </cell>
        </row>
        <row r="4825">
          <cell r="D4825" t="str">
            <v>AOC-SLG3-2M2-O</v>
          </cell>
          <cell r="E4825" t="str">
            <v>VA218S000608</v>
          </cell>
        </row>
        <row r="4826">
          <cell r="D4826" t="str">
            <v>MBD-X11DDW-NT-B</v>
          </cell>
          <cell r="E4826" t="str">
            <v>NM21BS006515</v>
          </cell>
        </row>
        <row r="4827">
          <cell r="D4827" t="str">
            <v>MBD-X11DDW-NT-B</v>
          </cell>
          <cell r="E4827" t="str">
            <v>NM21BS006514</v>
          </cell>
        </row>
        <row r="4828">
          <cell r="D4828" t="str">
            <v>MBD-X11DDW-NT-B</v>
          </cell>
          <cell r="E4828" t="str">
            <v>NM21BS006384</v>
          </cell>
        </row>
        <row r="4829">
          <cell r="D4829" t="str">
            <v>MBD-X11DDW-NT-B</v>
          </cell>
          <cell r="E4829" t="str">
            <v>NM21BS006383</v>
          </cell>
        </row>
        <row r="4830">
          <cell r="D4830" t="str">
            <v>MBD-X11DDW-NT-B</v>
          </cell>
          <cell r="E4830" t="str">
            <v>NM21BS006516</v>
          </cell>
        </row>
        <row r="4831">
          <cell r="D4831" t="str">
            <v>MBD-X11DDW-NT-B</v>
          </cell>
          <cell r="E4831" t="str">
            <v>NM21BS006292</v>
          </cell>
        </row>
        <row r="4832">
          <cell r="D4832" t="str">
            <v>MBD-X11DDW-NT-B</v>
          </cell>
          <cell r="E4832" t="str">
            <v>NM21BS006557</v>
          </cell>
        </row>
        <row r="4833">
          <cell r="D4833" t="str">
            <v>MBD-X11DDW-NT-B</v>
          </cell>
          <cell r="E4833" t="str">
            <v>NM21BS006556</v>
          </cell>
        </row>
        <row r="4834">
          <cell r="D4834" t="str">
            <v>MBD-X11DDW-NT-B</v>
          </cell>
          <cell r="E4834" t="str">
            <v>NM21BS006705</v>
          </cell>
        </row>
        <row r="4835">
          <cell r="D4835" t="str">
            <v>MBD-X11DDW-NT-B</v>
          </cell>
          <cell r="E4835" t="str">
            <v>NM21BS006385</v>
          </cell>
        </row>
        <row r="4836">
          <cell r="D4836" t="str">
            <v>MBD-X11DDW-NT-B</v>
          </cell>
          <cell r="E4836" t="str">
            <v>NM21BS006642</v>
          </cell>
        </row>
        <row r="4837">
          <cell r="D4837" t="str">
            <v>MBD-X11DDW-NT-B</v>
          </cell>
          <cell r="E4837" t="str">
            <v>NM21BS006869</v>
          </cell>
        </row>
        <row r="4838">
          <cell r="D4838" t="str">
            <v>MBD-X11DDW-NT-B</v>
          </cell>
          <cell r="E4838" t="str">
            <v>NM21BS006644</v>
          </cell>
        </row>
        <row r="4839">
          <cell r="D4839" t="str">
            <v>MBD-X11DDW-NT-B</v>
          </cell>
          <cell r="E4839" t="str">
            <v>NM21BS006870</v>
          </cell>
        </row>
        <row r="4840">
          <cell r="D4840" t="str">
            <v>MBD-X11DDW-NT-B</v>
          </cell>
          <cell r="E4840" t="str">
            <v>NM21BS006871</v>
          </cell>
        </row>
        <row r="4841">
          <cell r="D4841" t="str">
            <v>MBD-X11DDW-NT-B</v>
          </cell>
          <cell r="E4841" t="str">
            <v>NM21BS006885</v>
          </cell>
        </row>
        <row r="4842">
          <cell r="D4842" t="str">
            <v>MBD-X11DDW-NT-B</v>
          </cell>
          <cell r="E4842" t="str">
            <v>NM21BS006884</v>
          </cell>
        </row>
        <row r="4843">
          <cell r="D4843" t="str">
            <v>MBD-X11DDW-NT-B</v>
          </cell>
          <cell r="E4843" t="str">
            <v>NM21BS006648</v>
          </cell>
        </row>
        <row r="4844">
          <cell r="D4844" t="str">
            <v>MBD-X11DDW-NT-B</v>
          </cell>
          <cell r="E4844" t="str">
            <v>NM21BS006658</v>
          </cell>
        </row>
        <row r="4845">
          <cell r="D4845" t="str">
            <v>MBD-X11DDW-NT-B</v>
          </cell>
          <cell r="E4845" t="str">
            <v>NM21BS006656</v>
          </cell>
        </row>
        <row r="4846">
          <cell r="D4846" t="str">
            <v>MBD-X11DDW-NT-B</v>
          </cell>
          <cell r="E4846" t="str">
            <v>NM21BS006675</v>
          </cell>
        </row>
        <row r="4847">
          <cell r="D4847" t="str">
            <v>MBD-X11DDW-NT-B</v>
          </cell>
          <cell r="E4847" t="str">
            <v>NM21BS006673</v>
          </cell>
        </row>
        <row r="4848">
          <cell r="D4848" t="str">
            <v>MBD-X11DDW-NT-B</v>
          </cell>
          <cell r="E4848" t="str">
            <v>NM21BS006671</v>
          </cell>
        </row>
        <row r="4849">
          <cell r="D4849" t="str">
            <v>MBD-X11DDW-NT-B</v>
          </cell>
          <cell r="E4849" t="str">
            <v>NM21BS006663</v>
          </cell>
        </row>
        <row r="4850">
          <cell r="D4850" t="str">
            <v>MBD-X11DDW-NT-B</v>
          </cell>
          <cell r="E4850" t="str">
            <v>NM21BS006669</v>
          </cell>
        </row>
        <row r="4851">
          <cell r="D4851" t="str">
            <v>MBD-X11DDW-NT-B</v>
          </cell>
          <cell r="E4851" t="str">
            <v>NM21BS006691</v>
          </cell>
        </row>
        <row r="4852">
          <cell r="D4852" t="str">
            <v>MBD-X11DDW-NT-B</v>
          </cell>
          <cell r="E4852" t="str">
            <v>NM21BS006400</v>
          </cell>
        </row>
        <row r="4853">
          <cell r="D4853" t="str">
            <v>MBD-X11DDW-NT-B</v>
          </cell>
          <cell r="E4853" t="str">
            <v>NM21BS006659</v>
          </cell>
        </row>
        <row r="4854">
          <cell r="D4854" t="str">
            <v>MBD-X11DDW-NT-B</v>
          </cell>
          <cell r="E4854" t="str">
            <v>NM21BS006661</v>
          </cell>
        </row>
        <row r="4855">
          <cell r="D4855" t="str">
            <v>MBD-X11DDW-NT-B</v>
          </cell>
          <cell r="E4855" t="str">
            <v>NM21BS006677</v>
          </cell>
        </row>
        <row r="4856">
          <cell r="D4856" t="str">
            <v>MBD-X11DDW-NT-B</v>
          </cell>
          <cell r="E4856" t="str">
            <v>NM21BS006388</v>
          </cell>
        </row>
        <row r="4857">
          <cell r="D4857" t="str">
            <v>MBD-X11DDW-NT-B</v>
          </cell>
          <cell r="E4857" t="str">
            <v>NM21BS006248</v>
          </cell>
        </row>
        <row r="4858">
          <cell r="D4858" t="str">
            <v>MBD-X11DDW-NT-B</v>
          </cell>
          <cell r="E4858" t="str">
            <v>NM21BS006159</v>
          </cell>
        </row>
        <row r="4859">
          <cell r="D4859" t="str">
            <v>MBD-X11DDW-NT-B</v>
          </cell>
          <cell r="E4859" t="str">
            <v>NM21BS006399</v>
          </cell>
        </row>
        <row r="4860">
          <cell r="D4860" t="str">
            <v>MBD-X11DDW-NT-B</v>
          </cell>
          <cell r="E4860" t="str">
            <v>NM21BS006623</v>
          </cell>
        </row>
        <row r="4861">
          <cell r="D4861" t="str">
            <v>MBD-X11DDW-NT-B</v>
          </cell>
          <cell r="E4861" t="str">
            <v>NM21BS006597</v>
          </cell>
        </row>
        <row r="4862">
          <cell r="D4862" t="str">
            <v>MBD-X11DDW-NT-B</v>
          </cell>
          <cell r="E4862" t="str">
            <v>NM21BS006596</v>
          </cell>
        </row>
        <row r="4863">
          <cell r="D4863" t="str">
            <v>MBD-X11DDW-NT-B</v>
          </cell>
          <cell r="E4863" t="str">
            <v>NM21BS006595</v>
          </cell>
        </row>
        <row r="4864">
          <cell r="D4864" t="str">
            <v>MBD-X11DDW-NT-B</v>
          </cell>
          <cell r="E4864" t="str">
            <v>NM21BS006594</v>
          </cell>
        </row>
        <row r="4865">
          <cell r="D4865" t="str">
            <v>MBD-X11DDW-NT-B</v>
          </cell>
          <cell r="E4865" t="str">
            <v>NM21BS006247</v>
          </cell>
        </row>
        <row r="4866">
          <cell r="D4866" t="str">
            <v>MBD-X11DDW-NT-B</v>
          </cell>
          <cell r="E4866" t="str">
            <v>NM21BS006198</v>
          </cell>
        </row>
        <row r="4867">
          <cell r="D4867" t="str">
            <v>MBD-X11DDW-NT-B</v>
          </cell>
          <cell r="E4867" t="str">
            <v>NM21BS006199</v>
          </cell>
        </row>
        <row r="4868">
          <cell r="D4868" t="str">
            <v>MBD-X11DDW-NT-B</v>
          </cell>
          <cell r="E4868" t="str">
            <v>NM21BS006197</v>
          </cell>
        </row>
        <row r="4869">
          <cell r="D4869" t="str">
            <v>MBD-X11DDW-NT-B</v>
          </cell>
          <cell r="E4869" t="str">
            <v>NM21BS006844</v>
          </cell>
        </row>
        <row r="4870">
          <cell r="D4870" t="str">
            <v>MBD-X11DDW-NT-B</v>
          </cell>
          <cell r="E4870" t="str">
            <v>NM21BS006845</v>
          </cell>
        </row>
        <row r="4871">
          <cell r="D4871" t="str">
            <v>MBD-X11DDW-NT-B</v>
          </cell>
          <cell r="E4871" t="str">
            <v>NM21BS006200</v>
          </cell>
        </row>
        <row r="4872">
          <cell r="D4872" t="str">
            <v>MBD-X11DDW-NT-B</v>
          </cell>
          <cell r="E4872" t="str">
            <v>NM21BS006201</v>
          </cell>
        </row>
        <row r="4873">
          <cell r="D4873" t="str">
            <v>MBD-X11DDW-NT-B</v>
          </cell>
          <cell r="E4873" t="str">
            <v>NM21BS006202</v>
          </cell>
        </row>
        <row r="4874">
          <cell r="D4874" t="str">
            <v>MBD-X11DDW-NT-B</v>
          </cell>
          <cell r="E4874" t="str">
            <v>NM21BS006733</v>
          </cell>
        </row>
        <row r="4875">
          <cell r="D4875" t="str">
            <v>MBD-X11DDW-NT-B</v>
          </cell>
          <cell r="E4875" t="str">
            <v>NM21BS006711</v>
          </cell>
        </row>
        <row r="4876">
          <cell r="D4876" t="str">
            <v>MBD-X11DDW-NT-B</v>
          </cell>
          <cell r="E4876" t="str">
            <v>NM21BS006162</v>
          </cell>
        </row>
        <row r="4877">
          <cell r="D4877" t="str">
            <v>MBD-X11DDW-NT-B</v>
          </cell>
          <cell r="E4877" t="str">
            <v>NM21BS006624</v>
          </cell>
        </row>
        <row r="4878">
          <cell r="D4878" t="str">
            <v>MBD-X11DDW-NT-B</v>
          </cell>
          <cell r="E4878" t="str">
            <v>NM21BS006163</v>
          </cell>
        </row>
        <row r="4879">
          <cell r="D4879" t="str">
            <v>MBD-X11DDW-NT-B</v>
          </cell>
          <cell r="E4879" t="str">
            <v>NM21BS006627</v>
          </cell>
        </row>
        <row r="4880">
          <cell r="D4880" t="str">
            <v>MBD-X11DDW-NT-B</v>
          </cell>
          <cell r="E4880" t="str">
            <v>NM21BS006628</v>
          </cell>
        </row>
        <row r="4881">
          <cell r="D4881" t="str">
            <v>MBD-X11DDW-NT-B</v>
          </cell>
          <cell r="E4881" t="str">
            <v>NM21BS006161</v>
          </cell>
        </row>
        <row r="4882">
          <cell r="D4882" t="str">
            <v>MBD-X11DDW-NT-B</v>
          </cell>
          <cell r="E4882" t="str">
            <v>NM21BS006160</v>
          </cell>
        </row>
        <row r="4883">
          <cell r="D4883" t="str">
            <v>MBD-X11DDW-NT-B</v>
          </cell>
          <cell r="E4883" t="str">
            <v>NM21BS006732</v>
          </cell>
        </row>
        <row r="4884">
          <cell r="D4884" t="str">
            <v>MBD-X11DDW-NT-B</v>
          </cell>
          <cell r="E4884" t="str">
            <v>NM21BS006678</v>
          </cell>
        </row>
        <row r="4885">
          <cell r="D4885" t="str">
            <v>MBD-X11DDW-NT-B</v>
          </cell>
          <cell r="E4885" t="str">
            <v>NM21BS006676</v>
          </cell>
        </row>
        <row r="4886">
          <cell r="D4886" t="str">
            <v>MBD-X11DDW-NT-B</v>
          </cell>
          <cell r="E4886" t="str">
            <v>NM21BS006381</v>
          </cell>
        </row>
        <row r="4887">
          <cell r="D4887" t="str">
            <v>MBD-X11DDW-NT-B</v>
          </cell>
          <cell r="E4887" t="str">
            <v>NM21BS006380</v>
          </cell>
        </row>
        <row r="4888">
          <cell r="D4888" t="str">
            <v>MBD-X11DDW-NT-B</v>
          </cell>
          <cell r="E4888" t="str">
            <v>NM21BS006543</v>
          </cell>
        </row>
        <row r="4889">
          <cell r="D4889" t="str">
            <v>MBD-X11DDW-NT-B</v>
          </cell>
          <cell r="E4889" t="str">
            <v>NM21BS006510</v>
          </cell>
        </row>
        <row r="4890">
          <cell r="D4890" t="str">
            <v>MBD-X11DDW-NT-B</v>
          </cell>
          <cell r="E4890" t="str">
            <v>NM21BS006509</v>
          </cell>
        </row>
        <row r="4891">
          <cell r="D4891" t="str">
            <v>MBD-X11DDW-NT-B</v>
          </cell>
          <cell r="E4891" t="str">
            <v>NM21BS006379</v>
          </cell>
        </row>
        <row r="4892">
          <cell r="D4892" t="str">
            <v>MBD-X11DDW-NT-B</v>
          </cell>
          <cell r="E4892" t="str">
            <v>NM21BS006547</v>
          </cell>
        </row>
        <row r="4893">
          <cell r="D4893" t="str">
            <v>MBD-X11DDW-NT-B</v>
          </cell>
          <cell r="E4893" t="str">
            <v>NM21BS006396</v>
          </cell>
        </row>
        <row r="4894">
          <cell r="D4894" t="str">
            <v>MBD-X11DDW-NT-B</v>
          </cell>
          <cell r="E4894" t="str">
            <v>NM21BS006127</v>
          </cell>
        </row>
        <row r="4895">
          <cell r="D4895" t="str">
            <v>MBD-X11DDW-NT-B</v>
          </cell>
          <cell r="E4895" t="str">
            <v>NM21BS006126</v>
          </cell>
        </row>
        <row r="4896">
          <cell r="D4896" t="str">
            <v>MBD-X11DDW-NT-B</v>
          </cell>
          <cell r="E4896" t="str">
            <v>NM21BS006683</v>
          </cell>
        </row>
        <row r="4897">
          <cell r="D4897" t="str">
            <v>MBD-X11DDW-NT-B</v>
          </cell>
          <cell r="E4897" t="str">
            <v>NM21BS006889</v>
          </cell>
        </row>
        <row r="4898">
          <cell r="D4898" t="str">
            <v>MBD-X11DDW-NT-B</v>
          </cell>
          <cell r="E4898" t="str">
            <v>NM21BS006888</v>
          </cell>
        </row>
        <row r="4899">
          <cell r="D4899" t="str">
            <v>MBD-X11DDW-NT-B</v>
          </cell>
          <cell r="E4899" t="str">
            <v>NM21BS006548</v>
          </cell>
        </row>
        <row r="4900">
          <cell r="D4900" t="str">
            <v>MBD-X11DDW-NT-B</v>
          </cell>
          <cell r="E4900" t="str">
            <v>NM21BS006866</v>
          </cell>
        </row>
        <row r="4901">
          <cell r="D4901" t="str">
            <v>MBD-X11DDW-NT-B</v>
          </cell>
          <cell r="E4901" t="str">
            <v>NM21BS006819</v>
          </cell>
        </row>
        <row r="4902">
          <cell r="D4902" t="str">
            <v>MBD-X11DDW-NT-B</v>
          </cell>
          <cell r="E4902" t="str">
            <v>NM21BS006928</v>
          </cell>
        </row>
        <row r="4903">
          <cell r="D4903" t="str">
            <v>MBD-X11DDW-NT-B</v>
          </cell>
          <cell r="E4903" t="str">
            <v>NM21BS006837</v>
          </cell>
        </row>
        <row r="4904">
          <cell r="D4904" t="str">
            <v>MBD-X11DDW-NT-B</v>
          </cell>
          <cell r="E4904" t="str">
            <v>NM21BS006841</v>
          </cell>
        </row>
        <row r="4905">
          <cell r="D4905" t="str">
            <v>MBD-X11DDW-NT-B</v>
          </cell>
          <cell r="E4905" t="str">
            <v>NM21BS006838</v>
          </cell>
        </row>
        <row r="4906">
          <cell r="D4906" t="str">
            <v>MBD-X11DDW-NT-B</v>
          </cell>
          <cell r="E4906" t="str">
            <v>NM21BS006178</v>
          </cell>
        </row>
        <row r="4907">
          <cell r="D4907" t="str">
            <v>MBD-X11DDW-NT-B</v>
          </cell>
          <cell r="E4907" t="str">
            <v>NM21BS006129</v>
          </cell>
        </row>
        <row r="4908">
          <cell r="D4908" t="str">
            <v>MBD-X11DDW-NT-B</v>
          </cell>
          <cell r="E4908" t="str">
            <v>NM21BS006690</v>
          </cell>
        </row>
        <row r="4909">
          <cell r="D4909" t="str">
            <v>MBD-X11DDW-NT-B</v>
          </cell>
          <cell r="E4909" t="str">
            <v>NM21BS006694</v>
          </cell>
        </row>
        <row r="4910">
          <cell r="D4910" t="str">
            <v>MBD-X11DDW-NT-B</v>
          </cell>
          <cell r="E4910" t="str">
            <v>NM21BS006298</v>
          </cell>
        </row>
        <row r="4911">
          <cell r="D4911" t="str">
            <v>MBD-X11DDW-NT-B</v>
          </cell>
          <cell r="E4911" t="str">
            <v>NM21BS006686</v>
          </cell>
        </row>
        <row r="4912">
          <cell r="D4912" t="str">
            <v>MBD-X11DDW-NT-B</v>
          </cell>
          <cell r="E4912" t="str">
            <v>NM21BS006688</v>
          </cell>
        </row>
        <row r="4913">
          <cell r="D4913" t="str">
            <v>MBD-X11DDW-NT-B</v>
          </cell>
          <cell r="E4913" t="str">
            <v>NM21BS006680</v>
          </cell>
        </row>
        <row r="4914">
          <cell r="D4914" t="str">
            <v>MBD-X11DDW-NT-B</v>
          </cell>
          <cell r="E4914" t="str">
            <v>NM21BS006696</v>
          </cell>
        </row>
        <row r="4915">
          <cell r="D4915" t="str">
            <v>MBD-X11DDW-NT-B</v>
          </cell>
          <cell r="E4915" t="str">
            <v>NM21BS006761</v>
          </cell>
        </row>
        <row r="4916">
          <cell r="D4916" t="str">
            <v>MBD-X11DDW-NT-B</v>
          </cell>
          <cell r="E4916" t="str">
            <v>NM21BS006177</v>
          </cell>
        </row>
        <row r="4917">
          <cell r="D4917" t="str">
            <v>MBD-X11DDW-NT-B</v>
          </cell>
          <cell r="E4917" t="str">
            <v>NM21BS006133</v>
          </cell>
        </row>
        <row r="4918">
          <cell r="D4918" t="str">
            <v>MBD-X11DDW-NT-B</v>
          </cell>
          <cell r="E4918" t="str">
            <v>NM21BS006132</v>
          </cell>
        </row>
        <row r="4919">
          <cell r="D4919" t="str">
            <v>MBD-X11DDW-NT-B</v>
          </cell>
          <cell r="E4919" t="str">
            <v>NM21BS006692</v>
          </cell>
        </row>
        <row r="4920">
          <cell r="D4920" t="str">
            <v>MBD-X11DDW-NT-B</v>
          </cell>
          <cell r="E4920" t="str">
            <v>NM21BS006131</v>
          </cell>
        </row>
        <row r="4921">
          <cell r="D4921" t="str">
            <v>CSE-113AC2-R706WB2</v>
          </cell>
          <cell r="E4921" t="str">
            <v>C1130LK35P60173</v>
          </cell>
        </row>
        <row r="4922">
          <cell r="D4922" t="str">
            <v>CSE-113AC2-R706WB2</v>
          </cell>
          <cell r="E4922" t="str">
            <v>C1130LK35P60174</v>
          </cell>
        </row>
        <row r="4923">
          <cell r="D4923" t="str">
            <v>CSE-113AC2-R706WB2</v>
          </cell>
          <cell r="E4923" t="str">
            <v>C1130LK35P60175</v>
          </cell>
        </row>
        <row r="4924">
          <cell r="D4924" t="str">
            <v>CSE-113AC2-R706WB2</v>
          </cell>
          <cell r="E4924" t="str">
            <v>C1130LK35P60176</v>
          </cell>
        </row>
        <row r="4925">
          <cell r="D4925" t="str">
            <v>CSE-113AC2-R706WB2</v>
          </cell>
          <cell r="E4925" t="str">
            <v>C1130LK35P60177</v>
          </cell>
        </row>
        <row r="4926">
          <cell r="D4926" t="str">
            <v>CSE-113AC2-R706WB2</v>
          </cell>
          <cell r="E4926" t="str">
            <v>C1130LK35P60178</v>
          </cell>
        </row>
        <row r="4927">
          <cell r="D4927" t="str">
            <v>CSE-113AC2-R706WB2</v>
          </cell>
          <cell r="E4927" t="str">
            <v>C1130LK35P60179</v>
          </cell>
        </row>
        <row r="4928">
          <cell r="D4928" t="str">
            <v>CSE-113AC2-R706WB2</v>
          </cell>
          <cell r="E4928" t="str">
            <v>C1130LK35P60180</v>
          </cell>
        </row>
        <row r="4929">
          <cell r="D4929" t="str">
            <v>CSE-113AC2-R706WB2</v>
          </cell>
          <cell r="E4929" t="str">
            <v>C1130LK35P60182</v>
          </cell>
        </row>
        <row r="4930">
          <cell r="D4930" t="str">
            <v>CSE-113AC2-R706WB2</v>
          </cell>
          <cell r="E4930" t="str">
            <v>C1130LK35P60183</v>
          </cell>
        </row>
        <row r="4931">
          <cell r="D4931" t="str">
            <v>CSE-113AC2-R706WB2</v>
          </cell>
          <cell r="E4931" t="str">
            <v>C1130LK35P60156</v>
          </cell>
        </row>
        <row r="4932">
          <cell r="D4932" t="str">
            <v>CSE-113AC2-R706WB2</v>
          </cell>
          <cell r="E4932" t="str">
            <v>C1130LK35P60172</v>
          </cell>
        </row>
        <row r="4933">
          <cell r="D4933" t="str">
            <v>CSE-113AC2-R706WB2</v>
          </cell>
          <cell r="E4933" t="str">
            <v>C1130LK35P60171</v>
          </cell>
        </row>
        <row r="4934">
          <cell r="D4934" t="str">
            <v>CSE-113AC2-R706WB2</v>
          </cell>
          <cell r="E4934" t="str">
            <v>C1130LK35P60170</v>
          </cell>
        </row>
        <row r="4935">
          <cell r="D4935" t="str">
            <v>CSE-113AC2-R706WB2</v>
          </cell>
          <cell r="E4935" t="str">
            <v>C1130LK35P60169</v>
          </cell>
        </row>
        <row r="4936">
          <cell r="D4936" t="str">
            <v>CSE-113AC2-R706WB2</v>
          </cell>
          <cell r="E4936" t="str">
            <v>C1130LK35P60168</v>
          </cell>
        </row>
        <row r="4937">
          <cell r="D4937" t="str">
            <v>CSE-113AC2-R706WB2</v>
          </cell>
          <cell r="E4937" t="str">
            <v>C1130LK35P60167</v>
          </cell>
        </row>
        <row r="4938">
          <cell r="D4938" t="str">
            <v>CSE-113AC2-R706WB2</v>
          </cell>
          <cell r="E4938" t="str">
            <v>C1130LK35P60166</v>
          </cell>
        </row>
        <row r="4939">
          <cell r="D4939" t="str">
            <v>CSE-113AC2-R706WB2</v>
          </cell>
          <cell r="E4939" t="str">
            <v>C1130LK35P60165</v>
          </cell>
        </row>
        <row r="4940">
          <cell r="D4940" t="str">
            <v>CSE-113AC2-R706WB2</v>
          </cell>
          <cell r="E4940" t="str">
            <v>C1130LK35P60163</v>
          </cell>
        </row>
        <row r="4941">
          <cell r="D4941" t="str">
            <v>CSE-113AC2-R706WB2</v>
          </cell>
          <cell r="E4941" t="str">
            <v>C1130LK28P60036</v>
          </cell>
        </row>
        <row r="4942">
          <cell r="D4942" t="str">
            <v>CSE-113AC2-R706WB2</v>
          </cell>
          <cell r="E4942" t="str">
            <v>C1130LK28P60052</v>
          </cell>
        </row>
        <row r="4943">
          <cell r="D4943" t="str">
            <v>CSE-113AC2-R706WB2</v>
          </cell>
          <cell r="E4943" t="str">
            <v>C1130LK28P60054</v>
          </cell>
        </row>
        <row r="4944">
          <cell r="D4944" t="str">
            <v>CSE-113AC2-R706WB2</v>
          </cell>
          <cell r="E4944" t="str">
            <v>C1130LK28P60055</v>
          </cell>
        </row>
        <row r="4945">
          <cell r="D4945" t="str">
            <v>CSE-113AC2-R706WB2</v>
          </cell>
          <cell r="E4945" t="str">
            <v>C1130LK28P60056</v>
          </cell>
        </row>
        <row r="4946">
          <cell r="D4946" t="str">
            <v>CSE-113AC2-R706WB2</v>
          </cell>
          <cell r="E4946" t="str">
            <v>C1130LK28P60057</v>
          </cell>
        </row>
        <row r="4947">
          <cell r="D4947" t="str">
            <v>CSE-113AC2-R706WB2</v>
          </cell>
          <cell r="E4947" t="str">
            <v>C1130LK28P60058</v>
          </cell>
        </row>
        <row r="4948">
          <cell r="D4948" t="str">
            <v>CSE-113AC2-R706WB2</v>
          </cell>
          <cell r="E4948" t="str">
            <v>C1130LK28P60060</v>
          </cell>
        </row>
        <row r="4949">
          <cell r="D4949" t="str">
            <v>CSE-113AC2-R706WB2</v>
          </cell>
          <cell r="E4949" t="str">
            <v>C1130LK28P60062</v>
          </cell>
        </row>
        <row r="4950">
          <cell r="D4950" t="str">
            <v>CSE-113AC2-R706WB2</v>
          </cell>
          <cell r="E4950" t="str">
            <v>C1130LK28P60063</v>
          </cell>
        </row>
        <row r="4951">
          <cell r="D4951" t="str">
            <v>CSE-113AC2-R706WB2</v>
          </cell>
          <cell r="E4951" t="str">
            <v>C1130LK28P60032</v>
          </cell>
        </row>
        <row r="4952">
          <cell r="D4952" t="str">
            <v>CSE-113AC2-R706WB2</v>
          </cell>
          <cell r="E4952" t="str">
            <v>C1130LK28P60072</v>
          </cell>
        </row>
        <row r="4953">
          <cell r="D4953" t="str">
            <v>CSE-113AC2-R706WB2</v>
          </cell>
          <cell r="E4953" t="str">
            <v>C1130LK28P60061</v>
          </cell>
        </row>
        <row r="4954">
          <cell r="D4954" t="str">
            <v>CSE-113AC2-R706WB2</v>
          </cell>
          <cell r="E4954" t="str">
            <v>C1130LK28P60071</v>
          </cell>
        </row>
        <row r="4955">
          <cell r="D4955" t="str">
            <v>CSE-113AC2-R706WB2</v>
          </cell>
          <cell r="E4955" t="str">
            <v>C1130LK28P60070</v>
          </cell>
        </row>
        <row r="4956">
          <cell r="D4956" t="str">
            <v>CSE-113AC2-R706WB2</v>
          </cell>
          <cell r="E4956" t="str">
            <v>C1130LK28P60069</v>
          </cell>
        </row>
        <row r="4957">
          <cell r="D4957" t="str">
            <v>CSE-113AC2-R706WB2</v>
          </cell>
          <cell r="E4957" t="str">
            <v>C1130LK28P60065</v>
          </cell>
        </row>
        <row r="4958">
          <cell r="D4958" t="str">
            <v>CSE-113AC2-R706WB2</v>
          </cell>
          <cell r="E4958" t="str">
            <v>C1130LK28P60068</v>
          </cell>
        </row>
        <row r="4959">
          <cell r="D4959" t="str">
            <v>CSE-113AC2-R706WB2</v>
          </cell>
          <cell r="E4959" t="str">
            <v>C1130LK28P60067</v>
          </cell>
        </row>
        <row r="4960">
          <cell r="D4960" t="str">
            <v>CSE-113AC2-R706WB2</v>
          </cell>
          <cell r="E4960" t="str">
            <v>C1130LK28P60064</v>
          </cell>
        </row>
        <row r="4961">
          <cell r="D4961" t="str">
            <v>CSE-113AC2-R706WB2</v>
          </cell>
          <cell r="E4961" t="str">
            <v>C1130LK28P60074</v>
          </cell>
        </row>
        <row r="4962">
          <cell r="D4962" t="str">
            <v>CSE-113AC2-R706WB2</v>
          </cell>
          <cell r="E4962" t="str">
            <v>C1130LK28P60076</v>
          </cell>
        </row>
        <row r="4963">
          <cell r="D4963" t="str">
            <v>CSE-113AC2-R706WB2</v>
          </cell>
          <cell r="E4963" t="str">
            <v>C1130LK24P70361</v>
          </cell>
        </row>
        <row r="4964">
          <cell r="D4964" t="str">
            <v>CSE-113AC2-R706WB2</v>
          </cell>
          <cell r="E4964" t="str">
            <v>C1130LK24P70364</v>
          </cell>
        </row>
        <row r="4965">
          <cell r="D4965" t="str">
            <v>CSE-113AC2-R706WB2</v>
          </cell>
          <cell r="E4965" t="str">
            <v>C1130LK24P70349</v>
          </cell>
        </row>
        <row r="4966">
          <cell r="D4966" t="str">
            <v>CSE-113AC2-R706WB2</v>
          </cell>
          <cell r="E4966" t="str">
            <v>C1130LK24P70355</v>
          </cell>
        </row>
        <row r="4967">
          <cell r="D4967" t="str">
            <v>CSE-113AC2-R706WB2</v>
          </cell>
          <cell r="E4967" t="str">
            <v>C1130LK24P70310</v>
          </cell>
        </row>
        <row r="4968">
          <cell r="D4968" t="str">
            <v>CSE-113AC2-R706WB2</v>
          </cell>
          <cell r="E4968" t="str">
            <v>C1130LK24P70312</v>
          </cell>
        </row>
        <row r="4969">
          <cell r="D4969" t="str">
            <v>CSE-113AC2-R706WB2</v>
          </cell>
          <cell r="E4969" t="str">
            <v>C1130LK24P70347</v>
          </cell>
        </row>
        <row r="4970">
          <cell r="D4970" t="str">
            <v>CSE-113AC2-R706WB2</v>
          </cell>
          <cell r="E4970" t="str">
            <v>C1130LK24P70357</v>
          </cell>
        </row>
        <row r="4971">
          <cell r="D4971" t="str">
            <v>CSE-113AC2-R706WB2</v>
          </cell>
          <cell r="E4971" t="str">
            <v>C1130LK24P70302</v>
          </cell>
        </row>
        <row r="4972">
          <cell r="D4972" t="str">
            <v>CSE-113AC2-R706WB2</v>
          </cell>
          <cell r="E4972" t="str">
            <v>C1130LK24P70304</v>
          </cell>
        </row>
        <row r="4973">
          <cell r="D4973" t="str">
            <v>CSE-113AC2-R706WB2</v>
          </cell>
          <cell r="E4973" t="str">
            <v>C1130LK24P70440</v>
          </cell>
        </row>
        <row r="4974">
          <cell r="D4974" t="str">
            <v>CSE-113AC2-R706WB2</v>
          </cell>
          <cell r="E4974" t="str">
            <v>C1130LK24P70442</v>
          </cell>
        </row>
        <row r="4975">
          <cell r="D4975" t="str">
            <v>CSE-113AC2-R706WB2</v>
          </cell>
          <cell r="E4975" t="str">
            <v>C1130LK24P70444</v>
          </cell>
        </row>
        <row r="4976">
          <cell r="D4976" t="str">
            <v>CSE-113AC2-R706WB2</v>
          </cell>
          <cell r="E4976" t="str">
            <v>C1130LK24P70447</v>
          </cell>
        </row>
        <row r="4977">
          <cell r="D4977" t="str">
            <v>CSE-113AC2-R706WB2</v>
          </cell>
          <cell r="E4977" t="str">
            <v>C1130LK24P70354</v>
          </cell>
        </row>
        <row r="4978">
          <cell r="D4978" t="str">
            <v>CSE-113AC2-R706WB2</v>
          </cell>
          <cell r="E4978" t="str">
            <v>C1130LK24P70341</v>
          </cell>
        </row>
        <row r="4979">
          <cell r="D4979" t="str">
            <v>CSE-113AC2-R706WB2</v>
          </cell>
          <cell r="E4979" t="str">
            <v>C1130LK35P60151</v>
          </cell>
        </row>
        <row r="4980">
          <cell r="D4980" t="str">
            <v>CSE-113AC2-R706WB2</v>
          </cell>
          <cell r="E4980" t="str">
            <v>C1130LK35P60150</v>
          </cell>
        </row>
        <row r="4981">
          <cell r="D4981" t="str">
            <v>CSE-113AC2-R706WB2</v>
          </cell>
          <cell r="E4981" t="str">
            <v>C1130LK35P60149</v>
          </cell>
        </row>
        <row r="4982">
          <cell r="D4982" t="str">
            <v>CSE-113AC2-R706WB2</v>
          </cell>
          <cell r="E4982" t="str">
            <v>C1130LK35P60148</v>
          </cell>
        </row>
        <row r="4983">
          <cell r="D4983" t="str">
            <v>CSE-113AC2-R706WB2</v>
          </cell>
          <cell r="E4983" t="str">
            <v>C1130LK35P60147</v>
          </cell>
        </row>
        <row r="4984">
          <cell r="D4984" t="str">
            <v>CSE-113AC2-R706WB2</v>
          </cell>
          <cell r="E4984" t="str">
            <v>C1130LK35P60138</v>
          </cell>
        </row>
        <row r="4985">
          <cell r="D4985" t="str">
            <v>CSE-113AC2-R706WB2</v>
          </cell>
          <cell r="E4985" t="str">
            <v>C1130LK35P60145</v>
          </cell>
        </row>
        <row r="4986">
          <cell r="D4986" t="str">
            <v>CSE-113AC2-R706WB2</v>
          </cell>
          <cell r="E4986" t="str">
            <v>C1130LK35P60144</v>
          </cell>
        </row>
        <row r="4987">
          <cell r="D4987" t="str">
            <v>CSE-113AC2-R706WB2</v>
          </cell>
          <cell r="E4987" t="str">
            <v>C1130LK35P60143</v>
          </cell>
        </row>
        <row r="4988">
          <cell r="D4988" t="str">
            <v>CSE-113AC2-R706WB2</v>
          </cell>
          <cell r="E4988" t="str">
            <v>C1130LK35P60142</v>
          </cell>
        </row>
        <row r="4989">
          <cell r="D4989" t="str">
            <v>CSE-113AC2-R706WB2</v>
          </cell>
          <cell r="E4989" t="str">
            <v>C1130LK35P60152</v>
          </cell>
        </row>
        <row r="4990">
          <cell r="D4990" t="str">
            <v>CSE-113AC2-R706WB2</v>
          </cell>
          <cell r="E4990" t="str">
            <v>C1130LK35P60153</v>
          </cell>
        </row>
        <row r="4991">
          <cell r="D4991" t="str">
            <v>CSE-113AC2-R706WB2</v>
          </cell>
          <cell r="E4991" t="str">
            <v>C1130LK35P60154</v>
          </cell>
        </row>
        <row r="4992">
          <cell r="D4992" t="str">
            <v>CSE-113AC2-R706WB2</v>
          </cell>
          <cell r="E4992" t="str">
            <v>C1130LK35P60155</v>
          </cell>
        </row>
        <row r="4993">
          <cell r="D4993" t="str">
            <v>CSE-113AC2-R706WB2</v>
          </cell>
          <cell r="E4993" t="str">
            <v>C1130LK35P60157</v>
          </cell>
        </row>
        <row r="4994">
          <cell r="D4994" t="str">
            <v>CSE-113AC2-R706WB2</v>
          </cell>
          <cell r="E4994" t="str">
            <v>C1130LK35P60158</v>
          </cell>
        </row>
        <row r="4995">
          <cell r="D4995" t="str">
            <v>CSE-113AC2-R706WB2</v>
          </cell>
          <cell r="E4995" t="str">
            <v>C1130LK35P60159</v>
          </cell>
        </row>
        <row r="4996">
          <cell r="D4996" t="str">
            <v>CSE-113AC2-R706WB2</v>
          </cell>
          <cell r="E4996" t="str">
            <v>C1130LK35P60160</v>
          </cell>
        </row>
        <row r="4997">
          <cell r="D4997" t="str">
            <v>CSE-113AC2-R706WB2</v>
          </cell>
          <cell r="E4997" t="str">
            <v>C1130LK35P60161</v>
          </cell>
        </row>
        <row r="4998">
          <cell r="D4998" t="str">
            <v>CSE-113AC2-R706WB2</v>
          </cell>
          <cell r="E4998" t="str">
            <v>C1130LK35P60162</v>
          </cell>
        </row>
        <row r="4999">
          <cell r="D4999" t="str">
            <v>CSE-113AC2-R706WB2</v>
          </cell>
          <cell r="E4999" t="str">
            <v>C1130LK24P70478</v>
          </cell>
        </row>
        <row r="5000">
          <cell r="D5000" t="str">
            <v>CSE-113AC2-R706WB2</v>
          </cell>
          <cell r="E5000" t="str">
            <v>C1130LK24P70494</v>
          </cell>
        </row>
        <row r="5001">
          <cell r="D5001" t="str">
            <v>CSE-113AC2-R706WB2</v>
          </cell>
          <cell r="E5001" t="str">
            <v>C1130LK24P70327</v>
          </cell>
        </row>
        <row r="5002">
          <cell r="D5002" t="str">
            <v>CSE-113AC2-R706WB2</v>
          </cell>
          <cell r="E5002" t="str">
            <v>C1130LK24P70488</v>
          </cell>
        </row>
        <row r="5003">
          <cell r="D5003" t="str">
            <v>CSE-113AC2-R706WB2</v>
          </cell>
          <cell r="E5003" t="str">
            <v>C1130LK35P60189</v>
          </cell>
        </row>
        <row r="5004">
          <cell r="D5004" t="str">
            <v>CSE-113AC2-R706WB2</v>
          </cell>
          <cell r="E5004" t="str">
            <v>C1130LK35P60190</v>
          </cell>
        </row>
        <row r="5005">
          <cell r="D5005" t="str">
            <v>CSE-113AC2-R706WB2</v>
          </cell>
          <cell r="E5005" t="str">
            <v>C1130LK35P60164</v>
          </cell>
        </row>
        <row r="5006">
          <cell r="D5006" t="str">
            <v>CSE-113AC2-R706WB2</v>
          </cell>
          <cell r="E5006" t="str">
            <v>C1130LK35P60191</v>
          </cell>
        </row>
        <row r="5007">
          <cell r="D5007" t="str">
            <v>CSE-113AC2-R706WB2</v>
          </cell>
          <cell r="E5007" t="str">
            <v>C1130LK35P60146</v>
          </cell>
        </row>
        <row r="5008">
          <cell r="D5008" t="str">
            <v>CSE-113AC2-R706WB2</v>
          </cell>
          <cell r="E5008" t="str">
            <v>C1130LK35P60200</v>
          </cell>
        </row>
        <row r="5009">
          <cell r="D5009" t="str">
            <v>CSE-113AC2-R706WB2</v>
          </cell>
          <cell r="E5009" t="str">
            <v>C1130LK35P60199</v>
          </cell>
        </row>
        <row r="5010">
          <cell r="D5010" t="str">
            <v>CSE-113AC2-R706WB2</v>
          </cell>
          <cell r="E5010" t="str">
            <v>C1130LK24P70345</v>
          </cell>
        </row>
        <row r="5011">
          <cell r="D5011" t="str">
            <v>CSE-113AC2-R706WB2</v>
          </cell>
          <cell r="E5011" t="str">
            <v>C1130LK24P70486</v>
          </cell>
        </row>
        <row r="5012">
          <cell r="D5012" t="str">
            <v>CSE-113AC2-R706WB2</v>
          </cell>
          <cell r="E5012" t="str">
            <v>C1130LK24P70484</v>
          </cell>
        </row>
        <row r="5013">
          <cell r="D5013" t="str">
            <v>CSE-113AC2-R706WB2</v>
          </cell>
          <cell r="E5013" t="str">
            <v>C1130LK24P70479</v>
          </cell>
        </row>
        <row r="5014">
          <cell r="D5014" t="str">
            <v>CSE-113AC2-R706WB2</v>
          </cell>
          <cell r="E5014" t="str">
            <v>C1130LK28P60075</v>
          </cell>
        </row>
        <row r="5015">
          <cell r="D5015" t="str">
            <v>CSE-113AC2-R706WB2</v>
          </cell>
          <cell r="E5015" t="str">
            <v>C1130LK28P60077</v>
          </cell>
        </row>
        <row r="5016">
          <cell r="D5016" t="str">
            <v>CSE-113AC2-R706WB2</v>
          </cell>
          <cell r="E5016" t="str">
            <v>C1130LK24P70340</v>
          </cell>
        </row>
        <row r="5017">
          <cell r="D5017" t="str">
            <v>SSG-6049P-E1CR36L</v>
          </cell>
          <cell r="E5017" t="str">
            <v>E287161X2202555</v>
          </cell>
        </row>
        <row r="5018">
          <cell r="D5018" t="str">
            <v>CSE</v>
          </cell>
          <cell r="E5018" t="str">
            <v>C8470FK24P10213</v>
          </cell>
        </row>
        <row r="5019">
          <cell r="D5019" t="str">
            <v>PWS</v>
          </cell>
          <cell r="E5019" t="str">
            <v>P1K2ACM03SB2444</v>
          </cell>
        </row>
        <row r="5020">
          <cell r="D5020" t="str">
            <v>PWS</v>
          </cell>
          <cell r="E5020" t="str">
            <v>P1K2ACM03SB2445</v>
          </cell>
        </row>
        <row r="5021">
          <cell r="D5021" t="str">
            <v>BPN</v>
          </cell>
          <cell r="E5021" t="str">
            <v>HB21CS007054</v>
          </cell>
        </row>
        <row r="5022">
          <cell r="D5022" t="str">
            <v>BPN</v>
          </cell>
          <cell r="E5022" t="str">
            <v>HB21CS015049</v>
          </cell>
        </row>
        <row r="5023">
          <cell r="D5023" t="str">
            <v>MBD</v>
          </cell>
          <cell r="E5023" t="str">
            <v>ZM21CS011001</v>
          </cell>
        </row>
        <row r="5024">
          <cell r="D5024" t="str">
            <v>AOC</v>
          </cell>
          <cell r="E5024" t="str">
            <v>VA218S021519</v>
          </cell>
        </row>
        <row r="5025">
          <cell r="D5025" t="str">
            <v>AOC</v>
          </cell>
          <cell r="E5025" t="str">
            <v>JA219S001463</v>
          </cell>
        </row>
        <row r="5026">
          <cell r="D5026" t="str">
            <v>SSG-6049P-E1CR36L</v>
          </cell>
          <cell r="E5026" t="str">
            <v>E287161X2202546</v>
          </cell>
        </row>
        <row r="5027">
          <cell r="D5027" t="str">
            <v>CSE</v>
          </cell>
          <cell r="E5027" t="str">
            <v>C8470FK24P10216</v>
          </cell>
        </row>
        <row r="5028">
          <cell r="D5028" t="str">
            <v>PWS</v>
          </cell>
          <cell r="E5028" t="str">
            <v>P1K2ACM03SB2172</v>
          </cell>
        </row>
        <row r="5029">
          <cell r="D5029" t="str">
            <v>PWS</v>
          </cell>
          <cell r="E5029" t="str">
            <v>P1K2ACM03SB2175</v>
          </cell>
        </row>
        <row r="5030">
          <cell r="D5030" t="str">
            <v>BPN</v>
          </cell>
          <cell r="E5030" t="str">
            <v>HB21CS006931</v>
          </cell>
        </row>
        <row r="5031">
          <cell r="D5031" t="str">
            <v>BPN</v>
          </cell>
          <cell r="E5031" t="str">
            <v>HB21CS014917</v>
          </cell>
        </row>
        <row r="5032">
          <cell r="D5032" t="str">
            <v>MBD</v>
          </cell>
          <cell r="E5032" t="str">
            <v>ZM21CS011134</v>
          </cell>
        </row>
        <row r="5033">
          <cell r="D5033" t="str">
            <v>AOC</v>
          </cell>
          <cell r="E5033" t="str">
            <v>VA218S021529</v>
          </cell>
        </row>
        <row r="5034">
          <cell r="D5034" t="str">
            <v>AOC</v>
          </cell>
          <cell r="E5034" t="str">
            <v>JA219S001427</v>
          </cell>
        </row>
        <row r="5035">
          <cell r="D5035" t="str">
            <v>SSG-6049P-E1CR36L</v>
          </cell>
          <cell r="E5035" t="str">
            <v>E287161X2202550</v>
          </cell>
        </row>
        <row r="5036">
          <cell r="D5036" t="str">
            <v>CSE</v>
          </cell>
          <cell r="E5036" t="str">
            <v>C8470FK24P10214</v>
          </cell>
        </row>
        <row r="5037">
          <cell r="D5037" t="str">
            <v>PWS</v>
          </cell>
          <cell r="E5037" t="str">
            <v>P1K2ACM03SB2177</v>
          </cell>
        </row>
        <row r="5038">
          <cell r="D5038" t="str">
            <v>PWS</v>
          </cell>
          <cell r="E5038" t="str">
            <v>P1K2ACM03SB2178</v>
          </cell>
        </row>
        <row r="5039">
          <cell r="D5039" t="str">
            <v>BPN</v>
          </cell>
          <cell r="E5039" t="str">
            <v>HB21CS014914</v>
          </cell>
        </row>
        <row r="5040">
          <cell r="D5040" t="str">
            <v>BPN</v>
          </cell>
          <cell r="E5040" t="str">
            <v>HB21CS007056</v>
          </cell>
        </row>
        <row r="5041">
          <cell r="D5041" t="str">
            <v>MBD</v>
          </cell>
          <cell r="E5041" t="str">
            <v>ZM21CS010847</v>
          </cell>
        </row>
        <row r="5042">
          <cell r="D5042" t="str">
            <v>AOC</v>
          </cell>
          <cell r="E5042" t="str">
            <v>VA218S021521</v>
          </cell>
        </row>
        <row r="5043">
          <cell r="D5043" t="str">
            <v>AOC</v>
          </cell>
          <cell r="E5043" t="str">
            <v>JA219S001446</v>
          </cell>
        </row>
        <row r="5044">
          <cell r="D5044" t="str">
            <v>MegaRaID 9560-16i    05-50077-00</v>
          </cell>
          <cell r="E5044" t="str">
            <v>SKB3897691</v>
          </cell>
        </row>
        <row r="5045">
          <cell r="D5045" t="str">
            <v>MegaRaID 9560-16i    05-50077-00</v>
          </cell>
          <cell r="E5045" t="str">
            <v>SKB3897766</v>
          </cell>
        </row>
        <row r="5046">
          <cell r="D5046" t="str">
            <v>MegaRaID 9560-16i    05-50077-00</v>
          </cell>
          <cell r="E5046" t="str">
            <v>SKB3897828</v>
          </cell>
        </row>
        <row r="5047">
          <cell r="D5047" t="str">
            <v>SAS 9341-4i  05-26105-00</v>
          </cell>
          <cell r="E5047" t="str">
            <v>SPB2006728</v>
          </cell>
        </row>
        <row r="5048">
          <cell r="D5048" t="str">
            <v>SAS 9341-4i  05-26105-00</v>
          </cell>
          <cell r="E5048" t="str">
            <v>SPB2006392</v>
          </cell>
        </row>
        <row r="5049">
          <cell r="D5049" t="str">
            <v>SAS 9341-4i  05-26105-00</v>
          </cell>
          <cell r="E5049" t="str">
            <v>SPB2006855</v>
          </cell>
          <cell r="K5049" t="str">
            <v>AWARIA</v>
          </cell>
        </row>
        <row r="5050">
          <cell r="D5050" t="str">
            <v>SAS 9341-4i  05-26105-00</v>
          </cell>
          <cell r="E5050" t="str">
            <v>SPB2006749</v>
          </cell>
        </row>
        <row r="5051">
          <cell r="D5051" t="str">
            <v>SAS 9341-4i  05-26105-00</v>
          </cell>
          <cell r="E5051" t="str">
            <v>SPB2006778</v>
          </cell>
        </row>
        <row r="5052">
          <cell r="D5052" t="str">
            <v>SAS 9341-4i  05-26105-00</v>
          </cell>
          <cell r="E5052" t="str">
            <v>SPB2008850</v>
          </cell>
        </row>
        <row r="5053">
          <cell r="D5053" t="str">
            <v>SAS 9341-4i  05-26105-00</v>
          </cell>
          <cell r="E5053" t="str">
            <v>SPB2008817</v>
          </cell>
        </row>
        <row r="5054">
          <cell r="D5054" t="str">
            <v>SAS 9341-4i  05-26105-00</v>
          </cell>
          <cell r="E5054" t="str">
            <v>SPB2008738</v>
          </cell>
        </row>
        <row r="5055">
          <cell r="D5055" t="str">
            <v>SAS 9341-4i  05-26105-00</v>
          </cell>
          <cell r="E5055" t="str">
            <v>SPB2008658</v>
          </cell>
        </row>
        <row r="5056">
          <cell r="D5056" t="str">
            <v>SAS 9341-4i  05-26105-00</v>
          </cell>
          <cell r="E5056" t="str">
            <v>SPB2008749</v>
          </cell>
        </row>
        <row r="5057">
          <cell r="D5057" t="str">
            <v>SAS 9341-8i  05-26106-00</v>
          </cell>
          <cell r="E5057" t="str">
            <v>SPB5047100</v>
          </cell>
        </row>
        <row r="5058">
          <cell r="D5058" t="str">
            <v>SAS 9341-8i  05-26106-00</v>
          </cell>
          <cell r="E5058" t="str">
            <v>SPB5047011</v>
          </cell>
        </row>
        <row r="5059">
          <cell r="D5059" t="str">
            <v>SAS 9341-8i  05-26106-00</v>
          </cell>
          <cell r="E5059" t="str">
            <v>SPB5047131</v>
          </cell>
        </row>
        <row r="5060">
          <cell r="D5060" t="str">
            <v>SAS 9341-8i  05-26106-00</v>
          </cell>
          <cell r="E5060" t="str">
            <v>SPB5047111</v>
          </cell>
        </row>
        <row r="5061">
          <cell r="D5061" t="str">
            <v>SAS 9341-8i  05-26106-00</v>
          </cell>
          <cell r="E5061" t="str">
            <v>SPB5047099</v>
          </cell>
        </row>
        <row r="5062">
          <cell r="D5062" t="str">
            <v>SAS 9341-8i  05-26106-00</v>
          </cell>
          <cell r="E5062" t="str">
            <v>SPB5047036</v>
          </cell>
        </row>
        <row r="5063">
          <cell r="D5063" t="str">
            <v>SAS 9341-8i  05-26106-00</v>
          </cell>
          <cell r="E5063" t="str">
            <v>SPB5047150</v>
          </cell>
        </row>
        <row r="5064">
          <cell r="D5064" t="str">
            <v>SAS 9341-8i  05-26106-00</v>
          </cell>
          <cell r="E5064" t="str">
            <v>SPB5047248</v>
          </cell>
        </row>
        <row r="5065">
          <cell r="D5065" t="str">
            <v>SAS 9341-8i  05-26106-00</v>
          </cell>
          <cell r="E5065" t="str">
            <v>SPB5047046</v>
          </cell>
        </row>
        <row r="5066">
          <cell r="D5066" t="str">
            <v>SAS 9341-8i  05-26106-00</v>
          </cell>
          <cell r="E5066" t="str">
            <v>SPB5047199</v>
          </cell>
        </row>
        <row r="5067">
          <cell r="D5067" t="str">
            <v>SAS 9341-8i  05-26106-00</v>
          </cell>
          <cell r="E5067" t="str">
            <v>SPB5046989</v>
          </cell>
        </row>
        <row r="5068">
          <cell r="D5068" t="str">
            <v>SAS 9341-8i  05-26106-00</v>
          </cell>
          <cell r="E5068" t="str">
            <v>SPB5047188</v>
          </cell>
        </row>
        <row r="5069">
          <cell r="D5069" t="str">
            <v>SAS 9341-8i  05-26106-00</v>
          </cell>
          <cell r="E5069" t="str">
            <v>SPB5047336</v>
          </cell>
        </row>
        <row r="5070">
          <cell r="D5070" t="str">
            <v>SAS 9341-8i  05-26106-00</v>
          </cell>
          <cell r="E5070" t="str">
            <v>SPB5046992</v>
          </cell>
        </row>
        <row r="5071">
          <cell r="D5071" t="str">
            <v>SAS 9341-8i  05-26106-00</v>
          </cell>
          <cell r="E5071" t="str">
            <v>SPB5047313</v>
          </cell>
        </row>
        <row r="5072">
          <cell r="D5072" t="str">
            <v>SAS 9341-8i  05-26106-00</v>
          </cell>
          <cell r="E5072" t="str">
            <v>SPB5047164</v>
          </cell>
        </row>
        <row r="5073">
          <cell r="D5073" t="str">
            <v>SAS 9341-8i  05-26106-00</v>
          </cell>
          <cell r="E5073" t="str">
            <v>SPB5047239</v>
          </cell>
        </row>
        <row r="5074">
          <cell r="D5074" t="str">
            <v>SAS 9341-8i  05-26106-00</v>
          </cell>
          <cell r="E5074" t="str">
            <v>SPB5047332</v>
          </cell>
        </row>
        <row r="5075">
          <cell r="D5075" t="str">
            <v>SAS 9341-8i  05-26106-00</v>
          </cell>
          <cell r="E5075" t="str">
            <v>SPB5047201</v>
          </cell>
        </row>
        <row r="5076">
          <cell r="D5076" t="str">
            <v>SAS 9341-8i  05-26106-00</v>
          </cell>
          <cell r="E5076" t="str">
            <v>SPB5047302</v>
          </cell>
        </row>
        <row r="5077">
          <cell r="D5077" t="str">
            <v>MB705M2P-B</v>
          </cell>
          <cell r="E5077" t="str">
            <v>S/N:20381208</v>
          </cell>
        </row>
        <row r="5078">
          <cell r="D5078" t="str">
            <v>MB705M2P-B</v>
          </cell>
          <cell r="E5078" t="str">
            <v>S/N:21340401</v>
          </cell>
        </row>
        <row r="5079">
          <cell r="D5079" t="str">
            <v>EXPI9301CTBLK</v>
          </cell>
          <cell r="E5079" t="str">
            <v>F3C899491CRE46981008</v>
          </cell>
        </row>
        <row r="5080">
          <cell r="D5080" t="str">
            <v>EXPI9301CTBLK</v>
          </cell>
          <cell r="E5080" t="str">
            <v>F3C9A9491CRE46981008</v>
          </cell>
        </row>
        <row r="5081">
          <cell r="D5081" t="str">
            <v>EXPI9301CTBLK</v>
          </cell>
          <cell r="E5081" t="str">
            <v>F3CC86491CRE46981008</v>
          </cell>
        </row>
        <row r="5082">
          <cell r="D5082" t="str">
            <v>EXPI9301CTBLK</v>
          </cell>
          <cell r="E5082" t="str">
            <v>F3CC03491CRE46981008</v>
          </cell>
        </row>
        <row r="5083">
          <cell r="D5083" t="str">
            <v>EXPI9301CTBLK</v>
          </cell>
          <cell r="E5083" t="str">
            <v>F3CA52491CRE46981008</v>
          </cell>
        </row>
        <row r="5084">
          <cell r="D5084" t="str">
            <v>EXPI9301CTBLK</v>
          </cell>
          <cell r="E5084" t="str">
            <v>F3C985491CRE46981008</v>
          </cell>
        </row>
        <row r="5085">
          <cell r="D5085" t="str">
            <v>EXPI9301CTBLK</v>
          </cell>
          <cell r="E5085" t="str">
            <v>F3C89A491CRE46981008</v>
          </cell>
        </row>
        <row r="5086">
          <cell r="D5086" t="str">
            <v>EXPI9301CTBLK</v>
          </cell>
          <cell r="E5086" t="str">
            <v>F3C990491CRE46981008</v>
          </cell>
        </row>
        <row r="5087">
          <cell r="D5087" t="str">
            <v>EXPI9301CTBLK</v>
          </cell>
          <cell r="E5087" t="str">
            <v>F3C81F491CRE46981008</v>
          </cell>
        </row>
        <row r="5088">
          <cell r="D5088" t="str">
            <v>EXPI9301CTBLK</v>
          </cell>
          <cell r="E5088" t="str">
            <v>F3C59F491CRE46981008</v>
          </cell>
        </row>
        <row r="5089">
          <cell r="D5089" t="str">
            <v>EXPI9301CTBLK</v>
          </cell>
          <cell r="E5089" t="str">
            <v>F3C9C5491CRE46981008</v>
          </cell>
        </row>
        <row r="5090">
          <cell r="D5090" t="str">
            <v>EXPI9301CTBLK</v>
          </cell>
          <cell r="E5090" t="str">
            <v>F3C5A9491CRE46981008</v>
          </cell>
        </row>
        <row r="5091">
          <cell r="D5091" t="str">
            <v>EXPI9301CTBLK</v>
          </cell>
          <cell r="E5091" t="str">
            <v>F3C98F491CRE46981008</v>
          </cell>
        </row>
        <row r="5092">
          <cell r="D5092" t="str">
            <v>EXPI9301CTBLK</v>
          </cell>
          <cell r="E5092" t="str">
            <v>F3C996491CRE46981008</v>
          </cell>
        </row>
        <row r="5093">
          <cell r="D5093" t="str">
            <v>EXPI9301CTBLK</v>
          </cell>
          <cell r="E5093" t="str">
            <v>F3C59C491CRE46981008</v>
          </cell>
        </row>
        <row r="5094">
          <cell r="D5094" t="str">
            <v>EXPI9301CTBLK</v>
          </cell>
          <cell r="E5094" t="str">
            <v>F3CA4A491CRE46981008</v>
          </cell>
        </row>
        <row r="5095">
          <cell r="D5095" t="str">
            <v>EXPI9301CTBLK</v>
          </cell>
          <cell r="E5095" t="str">
            <v>F3C9DD491CRE46981008</v>
          </cell>
        </row>
        <row r="5096">
          <cell r="D5096" t="str">
            <v>EXPI9301CTBLK</v>
          </cell>
          <cell r="E5096" t="str">
            <v>F3CCB0491CRE46981008</v>
          </cell>
        </row>
        <row r="5097">
          <cell r="D5097" t="str">
            <v>EXPI9301CTBLK</v>
          </cell>
          <cell r="E5097" t="str">
            <v>F3C912491CRE46981008</v>
          </cell>
        </row>
        <row r="5098">
          <cell r="D5098" t="str">
            <v>EXPI9301CTBLK</v>
          </cell>
          <cell r="E5098" t="str">
            <v>F3C4E8491CRE46981008</v>
          </cell>
        </row>
        <row r="5099">
          <cell r="D5099" t="str">
            <v>EXPI9301CTBLK</v>
          </cell>
          <cell r="E5099" t="str">
            <v>F3C430491CRE46981008</v>
          </cell>
        </row>
        <row r="5100">
          <cell r="D5100" t="str">
            <v>EXPI9301CTBLK</v>
          </cell>
          <cell r="E5100" t="str">
            <v>F3CA05491CRE46981008</v>
          </cell>
        </row>
        <row r="5101">
          <cell r="D5101" t="str">
            <v>EXPI9301CTBLK</v>
          </cell>
          <cell r="E5101" t="str">
            <v>F3C9E0491CRE46981008</v>
          </cell>
        </row>
        <row r="5102">
          <cell r="D5102" t="str">
            <v>EXPI9301CTBLK</v>
          </cell>
          <cell r="E5102" t="str">
            <v>F3C9DB491CRE46981008</v>
          </cell>
        </row>
        <row r="5103">
          <cell r="D5103" t="str">
            <v>EXPI9301CTBLK</v>
          </cell>
          <cell r="E5103" t="str">
            <v>F3CCCE491CRE46981008</v>
          </cell>
        </row>
        <row r="5104">
          <cell r="D5104" t="str">
            <v>EXPI9301CTBLK</v>
          </cell>
          <cell r="E5104" t="str">
            <v>F3C9C8491CRE46981008</v>
          </cell>
        </row>
        <row r="5105">
          <cell r="D5105" t="str">
            <v>EXPI9301CTBLK</v>
          </cell>
          <cell r="E5105" t="str">
            <v>F3CD36491CRE46981008</v>
          </cell>
        </row>
        <row r="5106">
          <cell r="D5106" t="str">
            <v>EXPI9301CTBLK</v>
          </cell>
          <cell r="E5106" t="str">
            <v>F3C9A2491CRE46981008</v>
          </cell>
        </row>
        <row r="5107">
          <cell r="D5107" t="str">
            <v>EXPI9301CTBLK</v>
          </cell>
          <cell r="E5107" t="str">
            <v>F3CD15491CRE46981008</v>
          </cell>
        </row>
        <row r="5108">
          <cell r="D5108" t="str">
            <v>EXPI9301CTBLK</v>
          </cell>
          <cell r="E5108" t="str">
            <v>F3CD57491CRE46981008</v>
          </cell>
        </row>
        <row r="5109">
          <cell r="D5109" t="str">
            <v>EXPI9301CTBLK</v>
          </cell>
          <cell r="E5109" t="str">
            <v>F3C2A2491CRE46981008</v>
          </cell>
        </row>
        <row r="5110">
          <cell r="D5110" t="str">
            <v>EXPI9301CTBLK</v>
          </cell>
          <cell r="E5110" t="str">
            <v>F3C953491CRE46981008</v>
          </cell>
        </row>
        <row r="5111">
          <cell r="D5111" t="str">
            <v>EXPI9301CTBLK</v>
          </cell>
          <cell r="E5111" t="str">
            <v>F3C954491CRE46981008</v>
          </cell>
        </row>
        <row r="5112">
          <cell r="D5112" t="str">
            <v>EXPI9301CTBLK</v>
          </cell>
          <cell r="E5112" t="str">
            <v>F3C957491CRE46981008</v>
          </cell>
        </row>
        <row r="5113">
          <cell r="D5113" t="str">
            <v>EXPI9301CTBLK</v>
          </cell>
          <cell r="E5113" t="str">
            <v>F3C958491CRE46981008</v>
          </cell>
        </row>
        <row r="5114">
          <cell r="D5114" t="str">
            <v>EXPI9301CTBLK</v>
          </cell>
          <cell r="E5114" t="str">
            <v>F3C95D491CRE46981008</v>
          </cell>
        </row>
        <row r="5115">
          <cell r="D5115" t="str">
            <v>EXPI9301CTBLK</v>
          </cell>
          <cell r="E5115" t="str">
            <v>F3CA2F491CRE46981008</v>
          </cell>
        </row>
        <row r="5116">
          <cell r="D5116" t="str">
            <v>EXPI9301CTBLK</v>
          </cell>
          <cell r="E5116" t="str">
            <v>F3CA8C491CRE46981008</v>
          </cell>
        </row>
        <row r="5117">
          <cell r="D5117" t="str">
            <v>EXPI9301CTBLK</v>
          </cell>
          <cell r="E5117" t="str">
            <v>F3CA8E491CRE46981008</v>
          </cell>
        </row>
        <row r="5118">
          <cell r="D5118" t="str">
            <v>EXPI9301CTBLK</v>
          </cell>
          <cell r="E5118" t="str">
            <v>F3CAA0491CRE46981008</v>
          </cell>
        </row>
        <row r="5119">
          <cell r="D5119" t="str">
            <v>EXPI9301CTBLK</v>
          </cell>
          <cell r="E5119" t="str">
            <v>F3CAA3491CRE46981008</v>
          </cell>
        </row>
        <row r="5120">
          <cell r="D5120" t="str">
            <v>EXPI9301CTBLK</v>
          </cell>
          <cell r="E5120" t="str">
            <v>F3CAA4491CRE46981008</v>
          </cell>
        </row>
        <row r="5121">
          <cell r="D5121" t="str">
            <v>EXPI9301CTBLK</v>
          </cell>
          <cell r="E5121" t="str">
            <v>F3CACF491CRE46981008</v>
          </cell>
        </row>
        <row r="5122">
          <cell r="D5122" t="str">
            <v>EXPI9301CTBLK</v>
          </cell>
          <cell r="E5122" t="str">
            <v>F3CCDB491CRE46981008</v>
          </cell>
        </row>
        <row r="5123">
          <cell r="D5123" t="str">
            <v>EXPI9301CTBLK</v>
          </cell>
          <cell r="E5123" t="str">
            <v>F3CD62491CRE46981008</v>
          </cell>
        </row>
        <row r="5124">
          <cell r="D5124" t="str">
            <v>EXPI9301CTBLK</v>
          </cell>
          <cell r="E5124" t="str">
            <v>F3CD68491CRE46981008</v>
          </cell>
        </row>
        <row r="5125">
          <cell r="D5125" t="str">
            <v>EXPI9301CTBLK</v>
          </cell>
          <cell r="E5125" t="str">
            <v>F3CD6A491CRE46981008</v>
          </cell>
        </row>
        <row r="5126">
          <cell r="D5126" t="str">
            <v>EXPI9301CTBLK</v>
          </cell>
          <cell r="E5126" t="str">
            <v>F3CD6C491CRE46981008</v>
          </cell>
        </row>
        <row r="5127">
          <cell r="D5127" t="str">
            <v>EXPI9301CTBLK</v>
          </cell>
          <cell r="E5127" t="str">
            <v>F3CD77491CRE46981008</v>
          </cell>
        </row>
        <row r="5128">
          <cell r="D5128" t="str">
            <v>EXPI9301CTBLK</v>
          </cell>
          <cell r="E5128" t="str">
            <v>F3CD7D491CRE46981008</v>
          </cell>
        </row>
        <row r="5129">
          <cell r="D5129" t="str">
            <v>EXPI9301CTBLK</v>
          </cell>
          <cell r="E5129" t="str">
            <v>F3C257491CRE46981008</v>
          </cell>
        </row>
        <row r="5130">
          <cell r="D5130" t="str">
            <v>EXPI9301CTBLK</v>
          </cell>
          <cell r="E5130" t="str">
            <v>F3C286491CRE46981008</v>
          </cell>
        </row>
        <row r="5131">
          <cell r="D5131" t="str">
            <v>EXPI9301CTBLK</v>
          </cell>
          <cell r="E5131" t="str">
            <v>F3C28E491CRE46981008</v>
          </cell>
        </row>
        <row r="5132">
          <cell r="D5132" t="str">
            <v>EXPI9301CTBLK</v>
          </cell>
          <cell r="E5132" t="str">
            <v>F3C290491CRE46981008</v>
          </cell>
        </row>
        <row r="5133">
          <cell r="D5133" t="str">
            <v>EXPI9301CTBLK</v>
          </cell>
          <cell r="E5133" t="str">
            <v>F3C293491CRE46981008</v>
          </cell>
        </row>
        <row r="5134">
          <cell r="D5134" t="str">
            <v>EXPI9301CTBLK</v>
          </cell>
          <cell r="E5134" t="str">
            <v>F3C29C491CRE46981008</v>
          </cell>
        </row>
        <row r="5135">
          <cell r="D5135" t="str">
            <v>EXPI9301CTBLK</v>
          </cell>
          <cell r="E5135" t="str">
            <v>F3C2A9491CRE46981008</v>
          </cell>
        </row>
        <row r="5136">
          <cell r="D5136" t="str">
            <v>EXPI9301CTBLK</v>
          </cell>
          <cell r="E5136" t="str">
            <v>F3C2D5491CRE46981008</v>
          </cell>
        </row>
        <row r="5137">
          <cell r="D5137" t="str">
            <v>EXPI9301CTBLK</v>
          </cell>
          <cell r="E5137" t="str">
            <v>F3C3A6491CRE46981008</v>
          </cell>
        </row>
        <row r="5138">
          <cell r="D5138" t="str">
            <v>EXPI9301CTBLK</v>
          </cell>
          <cell r="E5138" t="str">
            <v>F3CCCD491CRE46981008</v>
          </cell>
        </row>
        <row r="5139">
          <cell r="D5139" t="str">
            <v>EXPI9301CTBLK</v>
          </cell>
          <cell r="E5139" t="str">
            <v>F3CCF1491CRE46981008</v>
          </cell>
        </row>
        <row r="5140">
          <cell r="D5140" t="str">
            <v>EXPI9301CTBLK</v>
          </cell>
          <cell r="E5140" t="str">
            <v>F3CD1D491CRE46981008</v>
          </cell>
        </row>
        <row r="5141">
          <cell r="D5141" t="str">
            <v>EXPI9301CTBLK</v>
          </cell>
          <cell r="E5141" t="str">
            <v>F3CD1E491CRE46981008</v>
          </cell>
        </row>
        <row r="5142">
          <cell r="D5142" t="str">
            <v>EXPI9301CTBLK</v>
          </cell>
          <cell r="E5142" t="str">
            <v>F3CD1F491CRE46981008</v>
          </cell>
        </row>
        <row r="5143">
          <cell r="D5143" t="str">
            <v>EXPI9301CTBLK</v>
          </cell>
          <cell r="E5143" t="str">
            <v>F3CD89491CRE46981008</v>
          </cell>
        </row>
        <row r="5144">
          <cell r="D5144" t="str">
            <v>EXPI9301CTBLK</v>
          </cell>
          <cell r="E5144" t="str">
            <v>F3CD8E491CRE46981008</v>
          </cell>
        </row>
        <row r="5145">
          <cell r="D5145" t="str">
            <v>EXPI9301CTBLK</v>
          </cell>
          <cell r="E5145" t="str">
            <v>F3CD90491CRE46981008</v>
          </cell>
        </row>
        <row r="5146">
          <cell r="D5146" t="str">
            <v>EXPI9301CTBLK</v>
          </cell>
          <cell r="E5146" t="str">
            <v>F3CD91491CRE46981008</v>
          </cell>
        </row>
        <row r="5147">
          <cell r="D5147" t="str">
            <v>EXPI9301CTBLK</v>
          </cell>
          <cell r="E5147" t="str">
            <v>F3CD95491CRE46981008</v>
          </cell>
        </row>
        <row r="5148">
          <cell r="D5148" t="str">
            <v>EXPI9301CTBLK</v>
          </cell>
          <cell r="E5148" t="str">
            <v>F3CD96491CRE46981008</v>
          </cell>
        </row>
        <row r="5149">
          <cell r="D5149" t="str">
            <v>EXPI9301CTBLK</v>
          </cell>
          <cell r="E5149" t="str">
            <v>F3C1D3491CRE46981008</v>
          </cell>
        </row>
        <row r="5150">
          <cell r="D5150" t="str">
            <v>EXPI9301CTBLK</v>
          </cell>
          <cell r="E5150" t="str">
            <v>F3C1D6491CRE46981008</v>
          </cell>
        </row>
        <row r="5151">
          <cell r="D5151" t="str">
            <v>EXPI9301CTBLK</v>
          </cell>
          <cell r="E5151" t="str">
            <v>F3C1EA491CRE46981008</v>
          </cell>
        </row>
        <row r="5152">
          <cell r="D5152" t="str">
            <v>EXPI9301CTBLK</v>
          </cell>
          <cell r="E5152" t="str">
            <v>F3C1EC491CRE46981008</v>
          </cell>
        </row>
        <row r="5153">
          <cell r="D5153" t="str">
            <v>EXPI9301CTBLK</v>
          </cell>
          <cell r="E5153" t="str">
            <v>F3C242491CRE46981008</v>
          </cell>
        </row>
        <row r="5154">
          <cell r="D5154" t="str">
            <v>EXPI9301CTBLK</v>
          </cell>
          <cell r="E5154" t="str">
            <v>F3C246491CRE46981008</v>
          </cell>
        </row>
        <row r="5155">
          <cell r="D5155" t="str">
            <v>EXPI9301CTBLK</v>
          </cell>
          <cell r="E5155" t="str">
            <v>F3C249491CRE46981008</v>
          </cell>
        </row>
        <row r="5156">
          <cell r="D5156" t="str">
            <v>EXPI9301CTBLK</v>
          </cell>
          <cell r="E5156" t="str">
            <v>F3C24A491CRE46981008</v>
          </cell>
        </row>
        <row r="5157">
          <cell r="D5157" t="str">
            <v>EXPI9301CTBLK</v>
          </cell>
          <cell r="E5157" t="str">
            <v>F3C24C491CRE46981008</v>
          </cell>
        </row>
        <row r="5158">
          <cell r="D5158" t="str">
            <v>EXPI9301CTBLK</v>
          </cell>
          <cell r="E5158" t="str">
            <v>F3C274491CRE46981008</v>
          </cell>
        </row>
        <row r="5159">
          <cell r="D5159" t="str">
            <v>EXPI9301CTBLK</v>
          </cell>
          <cell r="E5159" t="str">
            <v>F3C2FA491CRE46981008</v>
          </cell>
        </row>
        <row r="5160">
          <cell r="D5160" t="str">
            <v>EXPI9301CTBLK</v>
          </cell>
          <cell r="E5160" t="str">
            <v>F3C4E2491CRE46981008</v>
          </cell>
        </row>
        <row r="5161">
          <cell r="D5161" t="str">
            <v>EXPI9301CTBLK</v>
          </cell>
          <cell r="E5161" t="str">
            <v>F3C4F0491CRE46981008</v>
          </cell>
        </row>
        <row r="5162">
          <cell r="D5162" t="str">
            <v>EXPI9301CTBLK</v>
          </cell>
          <cell r="E5162" t="str">
            <v>F3C4F7491CRE46981008</v>
          </cell>
        </row>
        <row r="5163">
          <cell r="D5163" t="str">
            <v>EXPI9301CTBLK</v>
          </cell>
          <cell r="E5163" t="str">
            <v>F3C508491CRE46981008</v>
          </cell>
        </row>
        <row r="5164">
          <cell r="D5164" t="str">
            <v>EXPI9301CTBLK</v>
          </cell>
          <cell r="E5164" t="str">
            <v>F3C50E491CRE46981008</v>
          </cell>
        </row>
        <row r="5165">
          <cell r="D5165" t="str">
            <v>EXPI9301CTBLK</v>
          </cell>
          <cell r="E5165" t="str">
            <v>F3C557491CRE46981008</v>
          </cell>
        </row>
        <row r="5166">
          <cell r="D5166" t="str">
            <v>EXPI9301CTBLK</v>
          </cell>
          <cell r="E5166" t="str">
            <v>F3C55A491CRE46981008</v>
          </cell>
        </row>
        <row r="5167">
          <cell r="D5167" t="str">
            <v>EXPI9301CTBLK</v>
          </cell>
          <cell r="E5167" t="str">
            <v>F3C581491CRE46981008</v>
          </cell>
        </row>
        <row r="5168">
          <cell r="D5168" t="str">
            <v>EXPI9301CTBLK</v>
          </cell>
          <cell r="E5168" t="str">
            <v>F3C582491CRE46981008</v>
          </cell>
        </row>
        <row r="5169">
          <cell r="D5169" t="str">
            <v>EXPI9301CTBLK</v>
          </cell>
          <cell r="E5169" t="str">
            <v>F3C3DD491CRE46981008</v>
          </cell>
        </row>
        <row r="5170">
          <cell r="D5170" t="str">
            <v>EXPI9301CTBLK</v>
          </cell>
          <cell r="E5170" t="str">
            <v>F3C3E0491CRE46981008</v>
          </cell>
        </row>
        <row r="5171">
          <cell r="D5171" t="str">
            <v>EXPI9301CTBLK</v>
          </cell>
          <cell r="E5171" t="str">
            <v>F3C5CA491CRE46981008</v>
          </cell>
        </row>
        <row r="5172">
          <cell r="D5172" t="str">
            <v>EXPI9301CTBLK</v>
          </cell>
          <cell r="E5172" t="str">
            <v>F3C5CD491CRE46981008</v>
          </cell>
        </row>
        <row r="5173">
          <cell r="D5173" t="str">
            <v>EXPI9301CTBLK</v>
          </cell>
          <cell r="E5173" t="str">
            <v>F3CB34491CRE46981008</v>
          </cell>
        </row>
        <row r="5174">
          <cell r="D5174" t="str">
            <v>EXPI9301CTBLK</v>
          </cell>
          <cell r="E5174" t="str">
            <v>F3CB55491CRE46981008</v>
          </cell>
        </row>
        <row r="5175">
          <cell r="D5175" t="str">
            <v>EXPI9301CTBLK</v>
          </cell>
          <cell r="E5175" t="str">
            <v>F3CB5F491CRE46981008</v>
          </cell>
        </row>
        <row r="5176">
          <cell r="D5176" t="str">
            <v>EXPI9301CTBLK</v>
          </cell>
          <cell r="E5176" t="str">
            <v>F3CB70491CRE46981008</v>
          </cell>
        </row>
        <row r="5177">
          <cell r="D5177" t="str">
            <v>EXPI9301CTBLK</v>
          </cell>
          <cell r="E5177" t="str">
            <v>F3CB85491CRE46981008</v>
          </cell>
        </row>
        <row r="5178">
          <cell r="D5178" t="str">
            <v>EXPI9301CTBLK</v>
          </cell>
          <cell r="E5178" t="str">
            <v>F3CBB4491CRE46981008</v>
          </cell>
        </row>
        <row r="5179">
          <cell r="D5179" t="str">
            <v>EXPI9301CTBLK</v>
          </cell>
          <cell r="E5179" t="str">
            <v>F3CC01491CRE46981008</v>
          </cell>
        </row>
        <row r="5180">
          <cell r="D5180" t="str">
            <v>EXPI9301CTBLK</v>
          </cell>
          <cell r="E5180" t="str">
            <v>F3CC02491CRE46981008</v>
          </cell>
        </row>
        <row r="5181">
          <cell r="D5181" t="str">
            <v>EXPI9301CTBLK</v>
          </cell>
          <cell r="E5181" t="str">
            <v>F3CC04491CRE46981008</v>
          </cell>
        </row>
        <row r="5182">
          <cell r="D5182" t="str">
            <v>EXPI9301CTBLK</v>
          </cell>
          <cell r="E5182" t="str">
            <v>F3CC12491CRE46981008</v>
          </cell>
        </row>
        <row r="5183">
          <cell r="D5183" t="str">
            <v>EXPI9301CTBLK</v>
          </cell>
          <cell r="E5183" t="str">
            <v>F3CC18491CRE46981008</v>
          </cell>
        </row>
        <row r="5184">
          <cell r="D5184" t="str">
            <v>EXPI9301CTBLK</v>
          </cell>
          <cell r="E5184" t="str">
            <v>F3CC1A491CRE46981008</v>
          </cell>
        </row>
        <row r="5185">
          <cell r="D5185" t="str">
            <v>EXPI9301CTBLK</v>
          </cell>
          <cell r="E5185" t="str">
            <v>F3CC1C491CRE46981008</v>
          </cell>
        </row>
        <row r="5186">
          <cell r="D5186" t="str">
            <v>EXPI9301CTBLK</v>
          </cell>
          <cell r="E5186" t="str">
            <v>F3CC23491CRE46981008</v>
          </cell>
        </row>
        <row r="5187">
          <cell r="D5187" t="str">
            <v>EXPI9301CTBLK</v>
          </cell>
          <cell r="E5187" t="str">
            <v>F3CC6F491CRE46981008</v>
          </cell>
        </row>
        <row r="5188">
          <cell r="D5188" t="str">
            <v>EXPI9301CTBLK</v>
          </cell>
          <cell r="E5188" t="str">
            <v>F3CC95491CRE46981008</v>
          </cell>
        </row>
        <row r="5189">
          <cell r="D5189" t="str">
            <v>EXPI9301CTBLK</v>
          </cell>
          <cell r="E5189" t="str">
            <v>F3C450491CRE46981008</v>
          </cell>
        </row>
        <row r="5190">
          <cell r="D5190" t="str">
            <v>EXPI9301CTBLK</v>
          </cell>
          <cell r="E5190" t="str">
            <v>F3C483491CRE46981008</v>
          </cell>
        </row>
        <row r="5191">
          <cell r="D5191" t="str">
            <v>EXPI9301CTBLK</v>
          </cell>
          <cell r="E5191" t="str">
            <v>F3C484491CRE46981008</v>
          </cell>
        </row>
        <row r="5192">
          <cell r="D5192" t="str">
            <v>EXPI9301CTBLK</v>
          </cell>
          <cell r="E5192" t="str">
            <v>F3C4AC491CRE46981008</v>
          </cell>
        </row>
        <row r="5193">
          <cell r="D5193" t="str">
            <v>EXPI9301CTBLK</v>
          </cell>
          <cell r="E5193" t="str">
            <v>F3C4B3491CRE46981008</v>
          </cell>
        </row>
        <row r="5194">
          <cell r="D5194" t="str">
            <v>EXPI9301CTBLK</v>
          </cell>
          <cell r="E5194" t="str">
            <v>F3C4C1491CRE46981008</v>
          </cell>
        </row>
        <row r="5195">
          <cell r="D5195" t="str">
            <v>EXPI9301CTBLK</v>
          </cell>
          <cell r="E5195" t="str">
            <v>F3CB02491CRE46981008</v>
          </cell>
        </row>
        <row r="5196">
          <cell r="D5196" t="str">
            <v>EXPI9301CTBLK</v>
          </cell>
          <cell r="E5196" t="str">
            <v>F3CB2E491CRE46981008</v>
          </cell>
        </row>
        <row r="5197">
          <cell r="D5197" t="str">
            <v>EXPI9301CTBLK</v>
          </cell>
          <cell r="E5197" t="str">
            <v>F3CB2F491CRE46981008</v>
          </cell>
        </row>
        <row r="5198">
          <cell r="D5198" t="str">
            <v>EXPI9301CTBLK</v>
          </cell>
          <cell r="E5198" t="str">
            <v>F3CB30491CRE46981008</v>
          </cell>
        </row>
        <row r="5199">
          <cell r="D5199" t="str">
            <v>EXPI9301CTBLK</v>
          </cell>
          <cell r="E5199" t="str">
            <v>F3CB32491CRE46981008</v>
          </cell>
        </row>
        <row r="5200">
          <cell r="D5200" t="str">
            <v>EXPI9301CTBLK</v>
          </cell>
          <cell r="E5200" t="str">
            <v>F3CB35491CRE46981008</v>
          </cell>
        </row>
        <row r="5201">
          <cell r="D5201" t="str">
            <v>EXPI9301CTBLK</v>
          </cell>
          <cell r="E5201" t="str">
            <v>F3CB37491CRE46981008</v>
          </cell>
        </row>
        <row r="5202">
          <cell r="D5202" t="str">
            <v>EXPI9301CTBLK</v>
          </cell>
          <cell r="E5202" t="str">
            <v>F3CB54491CRE46981008</v>
          </cell>
        </row>
        <row r="5203">
          <cell r="D5203" t="str">
            <v>EXPI9301CTBLK</v>
          </cell>
          <cell r="E5203" t="str">
            <v>F3CB78491CRE46981008</v>
          </cell>
        </row>
        <row r="5204">
          <cell r="D5204" t="str">
            <v>EXPI9301CTBLK</v>
          </cell>
          <cell r="E5204" t="str">
            <v>F3CB7B491CRE46981008</v>
          </cell>
        </row>
        <row r="5205">
          <cell r="D5205" t="str">
            <v>EXPI9301CTBLK</v>
          </cell>
          <cell r="E5205" t="str">
            <v>F3CB7D491CRE46981008</v>
          </cell>
        </row>
        <row r="5206">
          <cell r="D5206" t="str">
            <v>EXPI9301CTBLK</v>
          </cell>
          <cell r="E5206" t="str">
            <v>F3CB7E491CRE46981008</v>
          </cell>
        </row>
        <row r="5207">
          <cell r="D5207" t="str">
            <v>EXPI9301CTBLK</v>
          </cell>
          <cell r="E5207" t="str">
            <v>F3CB80491CRE46981008</v>
          </cell>
        </row>
        <row r="5208">
          <cell r="D5208" t="str">
            <v>EXPI9301CTBLK</v>
          </cell>
          <cell r="E5208" t="str">
            <v>F3CC1D491CRE46981008</v>
          </cell>
        </row>
        <row r="5209">
          <cell r="D5209" t="str">
            <v>EXPI9301CTBLK</v>
          </cell>
          <cell r="E5209" t="str">
            <v>F3C6DC491CRE46981008</v>
          </cell>
        </row>
        <row r="5210">
          <cell r="D5210" t="str">
            <v>EXPI9301CTBLK</v>
          </cell>
          <cell r="E5210" t="str">
            <v>F3C75B491CRE46981008</v>
          </cell>
        </row>
        <row r="5211">
          <cell r="D5211" t="str">
            <v>EXPI9301CTBLK</v>
          </cell>
          <cell r="E5211" t="str">
            <v>F3C75D491CRE46981008</v>
          </cell>
        </row>
        <row r="5212">
          <cell r="D5212" t="str">
            <v>EXPI9301CTBLK</v>
          </cell>
          <cell r="E5212" t="str">
            <v>F3C75E491CRE46981008</v>
          </cell>
        </row>
        <row r="5213">
          <cell r="D5213" t="str">
            <v>EXPI9301CTBLK</v>
          </cell>
          <cell r="E5213" t="str">
            <v>F3C77A491CRE46981008</v>
          </cell>
        </row>
        <row r="5214">
          <cell r="D5214" t="str">
            <v>EXPI9301CTBLK</v>
          </cell>
          <cell r="E5214" t="str">
            <v>F3C77C491CRE46981008</v>
          </cell>
        </row>
        <row r="5215">
          <cell r="D5215" t="str">
            <v>EXPI9301CTBLK</v>
          </cell>
          <cell r="E5215" t="str">
            <v>F3C77D491CRE46981008</v>
          </cell>
        </row>
        <row r="5216">
          <cell r="D5216" t="str">
            <v>EXPI9301CTBLK</v>
          </cell>
          <cell r="E5216" t="str">
            <v>F3C795491CRE46981008</v>
          </cell>
        </row>
        <row r="5217">
          <cell r="D5217" t="str">
            <v>EXPI9301CTBLK</v>
          </cell>
          <cell r="E5217" t="str">
            <v>F3C98B491CRE46981008</v>
          </cell>
        </row>
        <row r="5218">
          <cell r="D5218" t="str">
            <v>EXPI9301CTBLK</v>
          </cell>
          <cell r="E5218" t="str">
            <v>F3C98C491CRE46981008</v>
          </cell>
        </row>
        <row r="5219">
          <cell r="D5219" t="str">
            <v>EXPI9301CTBLK</v>
          </cell>
          <cell r="E5219" t="str">
            <v>F3C98E491CRE46981008</v>
          </cell>
        </row>
        <row r="5220">
          <cell r="D5220" t="str">
            <v>EXPI9301CTBLK</v>
          </cell>
          <cell r="E5220" t="str">
            <v>F3C9AD491CRE46981008</v>
          </cell>
        </row>
        <row r="5221">
          <cell r="D5221" t="str">
            <v>EXPI9301CTBLK</v>
          </cell>
          <cell r="E5221" t="str">
            <v>F3C9AE491CRE46981008</v>
          </cell>
        </row>
        <row r="5222">
          <cell r="D5222" t="str">
            <v>EXPI9301CTBLK</v>
          </cell>
          <cell r="E5222" t="str">
            <v>F3C9B1491CRE46981008</v>
          </cell>
        </row>
        <row r="5223">
          <cell r="D5223" t="str">
            <v>EXPI9301CTBLK</v>
          </cell>
          <cell r="E5223" t="str">
            <v>F3C9B4491CRE46981008</v>
          </cell>
        </row>
        <row r="5224">
          <cell r="D5224" t="str">
            <v>EXPI9301CTBLK</v>
          </cell>
          <cell r="E5224" t="str">
            <v>F3C9B7491CRE46981008</v>
          </cell>
        </row>
        <row r="5225">
          <cell r="D5225" t="str">
            <v>EXPI9301CTBLK</v>
          </cell>
          <cell r="E5225" t="str">
            <v>F3CA25491CRE46981008</v>
          </cell>
        </row>
        <row r="5226">
          <cell r="D5226" t="str">
            <v>EXPI9301CTBLK</v>
          </cell>
          <cell r="E5226" t="str">
            <v>F3CADB491CRE46981008</v>
          </cell>
        </row>
        <row r="5227">
          <cell r="D5227" t="str">
            <v>EXPI9301CTBLK</v>
          </cell>
          <cell r="E5227" t="str">
            <v>F3CAEB491CRE46981008</v>
          </cell>
        </row>
        <row r="5228">
          <cell r="D5228" t="str">
            <v>EXPI9301CTBLK</v>
          </cell>
          <cell r="E5228" t="str">
            <v>F3CC61491CRE46981008</v>
          </cell>
        </row>
        <row r="5229">
          <cell r="D5229" t="str">
            <v>MZ7L3480HCHQ-00A07</v>
          </cell>
          <cell r="E5229" t="str">
            <v>S664NE0RC19896</v>
          </cell>
        </row>
        <row r="5230">
          <cell r="D5230" t="str">
            <v>MZ7L3480HCHQ-00A07</v>
          </cell>
          <cell r="E5230" t="str">
            <v>S664NE0RC20596</v>
          </cell>
        </row>
        <row r="5231">
          <cell r="D5231" t="str">
            <v>Xeon Silver 4215R</v>
          </cell>
          <cell r="E5231" t="str">
            <v>3149G006</v>
          </cell>
        </row>
        <row r="5232">
          <cell r="D5232" t="str">
            <v>Xeon Silver 4215R</v>
          </cell>
          <cell r="E5232" t="str">
            <v>3149G006</v>
          </cell>
        </row>
        <row r="5233">
          <cell r="D5233" t="str">
            <v>Xeon Silver 4215R</v>
          </cell>
          <cell r="E5233" t="str">
            <v>3149G006</v>
          </cell>
        </row>
        <row r="5234">
          <cell r="D5234" t="str">
            <v>Xeon Silver 4215R</v>
          </cell>
          <cell r="E5234" t="str">
            <v>3149G006</v>
          </cell>
        </row>
        <row r="5235">
          <cell r="D5235" t="str">
            <v>Xeon Silver 4215R</v>
          </cell>
          <cell r="E5235" t="str">
            <v>3149G006</v>
          </cell>
        </row>
        <row r="5236">
          <cell r="D5236" t="str">
            <v>Xeon Silver 4215R</v>
          </cell>
          <cell r="E5236" t="str">
            <v>3149G006</v>
          </cell>
        </row>
        <row r="5237">
          <cell r="D5237" t="str">
            <v>Xeon Silver 4215R</v>
          </cell>
          <cell r="E5237" t="str">
            <v>3149G006</v>
          </cell>
        </row>
        <row r="5238">
          <cell r="D5238" t="str">
            <v>Xeon Silver 4215R</v>
          </cell>
          <cell r="E5238" t="str">
            <v>3149G006</v>
          </cell>
        </row>
        <row r="5239">
          <cell r="D5239" t="str">
            <v>Xeon Silver 4215R</v>
          </cell>
          <cell r="E5239" t="str">
            <v>3149G006</v>
          </cell>
        </row>
        <row r="5240">
          <cell r="D5240" t="str">
            <v>Xeon Silver 4215R</v>
          </cell>
          <cell r="E5240" t="str">
            <v>3149G006</v>
          </cell>
        </row>
        <row r="5241">
          <cell r="D5241" t="str">
            <v>Xeon Silver 4215R</v>
          </cell>
          <cell r="E5241" t="str">
            <v>3149G006</v>
          </cell>
        </row>
        <row r="5242">
          <cell r="D5242" t="str">
            <v>Xeon Silver 4215R</v>
          </cell>
          <cell r="E5242" t="str">
            <v>3149G006</v>
          </cell>
        </row>
        <row r="5243">
          <cell r="D5243" t="str">
            <v>Xeon Silver 4215R</v>
          </cell>
          <cell r="E5243" t="str">
            <v>3149G006</v>
          </cell>
        </row>
        <row r="5244">
          <cell r="D5244" t="str">
            <v>Xeon Silver 4215R</v>
          </cell>
          <cell r="E5244" t="str">
            <v>3149G006</v>
          </cell>
        </row>
        <row r="5245">
          <cell r="D5245" t="str">
            <v>Xeon Silver 4215R</v>
          </cell>
          <cell r="E5245" t="str">
            <v>3149G006</v>
          </cell>
        </row>
        <row r="5246">
          <cell r="D5246" t="str">
            <v>Xeon Silver 4215R</v>
          </cell>
          <cell r="E5246" t="str">
            <v>3149G006</v>
          </cell>
        </row>
        <row r="5247">
          <cell r="D5247" t="str">
            <v>Xeon Silver 4215R</v>
          </cell>
          <cell r="E5247" t="str">
            <v>3149G006</v>
          </cell>
        </row>
        <row r="5248">
          <cell r="D5248" t="str">
            <v>Xeon Silver 4215R</v>
          </cell>
          <cell r="E5248" t="str">
            <v>3149G006</v>
          </cell>
        </row>
        <row r="5249">
          <cell r="D5249" t="str">
            <v>Xeon Silver 4215R</v>
          </cell>
          <cell r="E5249" t="str">
            <v>3149G006</v>
          </cell>
        </row>
        <row r="5250">
          <cell r="D5250" t="str">
            <v>Xeon Silver 4215R</v>
          </cell>
          <cell r="E5250" t="str">
            <v>3149G006</v>
          </cell>
        </row>
        <row r="5251">
          <cell r="D5251" t="str">
            <v>Xeon Silver 4215R</v>
          </cell>
          <cell r="E5251" t="str">
            <v>3149G006</v>
          </cell>
        </row>
        <row r="5252">
          <cell r="D5252" t="str">
            <v>Xeon Silver 4215R</v>
          </cell>
          <cell r="E5252" t="str">
            <v>3149G006</v>
          </cell>
        </row>
        <row r="5253">
          <cell r="D5253" t="str">
            <v>Xeon Silver 4215R</v>
          </cell>
          <cell r="E5253" t="str">
            <v>3149G006</v>
          </cell>
        </row>
        <row r="5254">
          <cell r="D5254" t="str">
            <v>Xeon Silver 4215R</v>
          </cell>
          <cell r="E5254" t="str">
            <v>3149G006</v>
          </cell>
        </row>
        <row r="5255">
          <cell r="D5255" t="str">
            <v>Xeon Silver 4215R</v>
          </cell>
          <cell r="E5255" t="str">
            <v>3149G006</v>
          </cell>
        </row>
        <row r="5256">
          <cell r="D5256" t="str">
            <v>Xeon Silver 4215R</v>
          </cell>
          <cell r="E5256" t="str">
            <v>3149G006</v>
          </cell>
        </row>
        <row r="5257">
          <cell r="D5257" t="str">
            <v>Xeon Silver 4215R</v>
          </cell>
          <cell r="E5257" t="str">
            <v>3149G006</v>
          </cell>
        </row>
        <row r="5258">
          <cell r="D5258" t="str">
            <v>MZ7L3480HCHQ-00A07</v>
          </cell>
          <cell r="E5258" t="str">
            <v>S664NE0RC05582</v>
          </cell>
        </row>
        <row r="5259">
          <cell r="D5259" t="str">
            <v>MZ7L3480HCHQ-00A07</v>
          </cell>
          <cell r="E5259" t="str">
            <v>S664NE0RC05591</v>
          </cell>
        </row>
        <row r="5260">
          <cell r="D5260" t="str">
            <v>MZ7L3480HCHQ-00A07</v>
          </cell>
          <cell r="E5260" t="str">
            <v>S664NE0RC05593</v>
          </cell>
        </row>
        <row r="5261">
          <cell r="D5261" t="str">
            <v>MZ7L3480HCHQ-00A07</v>
          </cell>
          <cell r="E5261" t="str">
            <v>S664NE0RC05594</v>
          </cell>
        </row>
        <row r="5262">
          <cell r="D5262" t="str">
            <v>MZ7L3480HCHQ-00A07</v>
          </cell>
          <cell r="E5262" t="str">
            <v>S664NE0RC05595</v>
          </cell>
        </row>
        <row r="5263">
          <cell r="D5263" t="str">
            <v>MZ7L3480HCHQ-00A07</v>
          </cell>
          <cell r="E5263" t="str">
            <v>S664NE0RC05597</v>
          </cell>
        </row>
        <row r="5264">
          <cell r="D5264" t="str">
            <v>MZ7L3480HCHQ-00A07</v>
          </cell>
          <cell r="E5264" t="str">
            <v>S664NE0RC05579</v>
          </cell>
        </row>
        <row r="5265">
          <cell r="D5265" t="str">
            <v>MZ7L3480HCHQ-00A07</v>
          </cell>
          <cell r="E5265" t="str">
            <v>S664NE0RC05584</v>
          </cell>
        </row>
        <row r="5266">
          <cell r="D5266" t="str">
            <v>MZ7L3480HCHQ-00A07</v>
          </cell>
          <cell r="E5266" t="str">
            <v>S664NE0RC05590</v>
          </cell>
        </row>
        <row r="5267">
          <cell r="D5267" t="str">
            <v>MZ7L3480HCHQ-00A07</v>
          </cell>
          <cell r="E5267" t="str">
            <v>S664NE0RC05583</v>
          </cell>
        </row>
        <row r="5268">
          <cell r="D5268" t="str">
            <v>M393A8G40MB2-CVF</v>
          </cell>
          <cell r="E5268" t="str">
            <v>SNL228</v>
          </cell>
        </row>
        <row r="5269">
          <cell r="D5269" t="str">
            <v>M393A8G40MB2-CVF</v>
          </cell>
          <cell r="E5269" t="str">
            <v>SNL229</v>
          </cell>
        </row>
        <row r="5270">
          <cell r="D5270" t="str">
            <v>M393A8G40MB2-CVF</v>
          </cell>
          <cell r="E5270" t="str">
            <v>SNL230</v>
          </cell>
        </row>
        <row r="5271">
          <cell r="D5271" t="str">
            <v>M393A8G40MB2-CVF</v>
          </cell>
          <cell r="E5271" t="str">
            <v>SNL231</v>
          </cell>
        </row>
        <row r="5272">
          <cell r="D5272" t="str">
            <v>M393A8G40MB2-CVF</v>
          </cell>
          <cell r="E5272" t="str">
            <v>SNL232</v>
          </cell>
        </row>
        <row r="5273">
          <cell r="D5273" t="str">
            <v>M393A8G40MB2-CVF</v>
          </cell>
          <cell r="E5273" t="str">
            <v>SNL233</v>
          </cell>
        </row>
        <row r="5274">
          <cell r="D5274" t="str">
            <v>M393A8G40MB2-CVF</v>
          </cell>
          <cell r="E5274" t="str">
            <v>SNL234</v>
          </cell>
        </row>
        <row r="5275">
          <cell r="D5275" t="str">
            <v>M393A8G40MB2-CVF</v>
          </cell>
          <cell r="E5275" t="str">
            <v>SNL235</v>
          </cell>
        </row>
        <row r="5276">
          <cell r="D5276" t="str">
            <v>M393A8G40MB2-CVF</v>
          </cell>
          <cell r="E5276" t="str">
            <v>SNL236</v>
          </cell>
        </row>
        <row r="5277">
          <cell r="D5277" t="str">
            <v>BX80684E2234</v>
          </cell>
          <cell r="E5277" t="str">
            <v>U18C65K000548</v>
          </cell>
        </row>
        <row r="5278">
          <cell r="D5278" t="str">
            <v>0B35950</v>
          </cell>
          <cell r="E5278" t="str">
            <v>VBH98WDH</v>
          </cell>
        </row>
        <row r="5279">
          <cell r="D5279" t="str">
            <v>KTD-PE426/32G</v>
          </cell>
          <cell r="E5279" t="str">
            <v>2204 0000009399125-S000135</v>
          </cell>
        </row>
        <row r="5280">
          <cell r="D5280" t="str">
            <v>KTD-PE426/32G</v>
          </cell>
          <cell r="E5280" t="str">
            <v>2204 0000009399125-S000137</v>
          </cell>
        </row>
        <row r="5281">
          <cell r="D5281" t="str">
            <v>KTD-PE426/32G</v>
          </cell>
          <cell r="E5281" t="str">
            <v>2204 0000009399125-S000013</v>
          </cell>
        </row>
        <row r="5282">
          <cell r="D5282" t="str">
            <v>KTD-PE426/32G</v>
          </cell>
          <cell r="E5282" t="str">
            <v>2204 0000009399125-S000133</v>
          </cell>
        </row>
        <row r="5283">
          <cell r="D5283" t="str">
            <v>KTD-PE426/32G</v>
          </cell>
          <cell r="E5283" t="str">
            <v>2204 0000009399125-S000043</v>
          </cell>
        </row>
        <row r="5284">
          <cell r="D5284" t="str">
            <v>KTD-PE426/32G</v>
          </cell>
          <cell r="E5284" t="str">
            <v>2204 0000009399125-S000025</v>
          </cell>
        </row>
        <row r="5285">
          <cell r="D5285" t="str">
            <v>KTD-PE426/32G</v>
          </cell>
          <cell r="E5285" t="str">
            <v>2204 0000009399125-S000136</v>
          </cell>
        </row>
        <row r="5286">
          <cell r="D5286" t="str">
            <v>KTD-PE426/32G</v>
          </cell>
          <cell r="E5286" t="str">
            <v>2204 0000009399125-S000040</v>
          </cell>
        </row>
        <row r="5287">
          <cell r="D5287" t="str">
            <v>KTD-PE426/32G</v>
          </cell>
          <cell r="E5287" t="str">
            <v>2204 0000009399125-S000091</v>
          </cell>
        </row>
        <row r="5288">
          <cell r="D5288" t="str">
            <v>KTD-PE426/32G</v>
          </cell>
          <cell r="E5288" t="str">
            <v>2204 0000009399125-S000119</v>
          </cell>
        </row>
        <row r="5289">
          <cell r="D5289" t="str">
            <v>KTD-PE426/32G</v>
          </cell>
          <cell r="E5289" t="str">
            <v>2204 0000009399125-S000032</v>
          </cell>
        </row>
        <row r="5290">
          <cell r="D5290" t="str">
            <v>KTD-PE426/32G</v>
          </cell>
          <cell r="E5290" t="str">
            <v>2204 0000009399125-S000179</v>
          </cell>
        </row>
        <row r="5291">
          <cell r="D5291" t="str">
            <v>KTD-PE426/32G</v>
          </cell>
          <cell r="E5291" t="str">
            <v>2204 0000009399125-S000011</v>
          </cell>
        </row>
        <row r="5292">
          <cell r="D5292" t="str">
            <v>KTD-PE426/32G</v>
          </cell>
          <cell r="E5292" t="str">
            <v>2204 0000009399125-S000022</v>
          </cell>
        </row>
        <row r="5293">
          <cell r="D5293" t="str">
            <v>KTD-PE426/32G</v>
          </cell>
          <cell r="E5293" t="str">
            <v>2204 0000009399125-S000055</v>
          </cell>
        </row>
        <row r="5294">
          <cell r="D5294" t="str">
            <v>KTD-PE426/32G</v>
          </cell>
          <cell r="E5294" t="str">
            <v>2204 0000009399125-S000024</v>
          </cell>
        </row>
        <row r="5295">
          <cell r="D5295" t="str">
            <v>Xeon Silver 4215R</v>
          </cell>
          <cell r="E5295" t="str">
            <v>3149G006</v>
          </cell>
        </row>
        <row r="5296">
          <cell r="D5296" t="str">
            <v>Xeon Silver 4215R</v>
          </cell>
          <cell r="E5296" t="str">
            <v>3149G006</v>
          </cell>
        </row>
        <row r="5297">
          <cell r="D5297" t="str">
            <v>Xeon Silver 4215R</v>
          </cell>
          <cell r="E5297" t="str">
            <v>3149G006</v>
          </cell>
        </row>
        <row r="5298">
          <cell r="D5298" t="str">
            <v>Xeon Silver 4215R</v>
          </cell>
          <cell r="E5298" t="str">
            <v>3149G006</v>
          </cell>
        </row>
        <row r="5299">
          <cell r="D5299" t="str">
            <v>Xeon Silver 4215R</v>
          </cell>
          <cell r="E5299" t="str">
            <v>3149G006</v>
          </cell>
        </row>
        <row r="5300">
          <cell r="D5300" t="str">
            <v>Xeon Silver 4215R</v>
          </cell>
          <cell r="E5300" t="str">
            <v>3149G006</v>
          </cell>
        </row>
        <row r="5301">
          <cell r="D5301" t="str">
            <v>Xeon Silver 4215R</v>
          </cell>
          <cell r="E5301" t="str">
            <v>3149G006</v>
          </cell>
        </row>
        <row r="5302">
          <cell r="D5302" t="str">
            <v>Xeon Silver 4215R</v>
          </cell>
          <cell r="E5302" t="str">
            <v>3149G006</v>
          </cell>
        </row>
        <row r="5303">
          <cell r="D5303" t="str">
            <v>Xeon Silver 4215R</v>
          </cell>
          <cell r="E5303" t="str">
            <v>3149G006</v>
          </cell>
        </row>
        <row r="5304">
          <cell r="D5304" t="str">
            <v>Xeon Silver 4215R</v>
          </cell>
          <cell r="E5304" t="str">
            <v>3149G006</v>
          </cell>
        </row>
        <row r="5305">
          <cell r="D5305" t="str">
            <v>Xeon Silver 4215R</v>
          </cell>
          <cell r="E5305" t="str">
            <v>3149G006</v>
          </cell>
        </row>
        <row r="5306">
          <cell r="D5306" t="str">
            <v>Xeon Silver 4215R</v>
          </cell>
          <cell r="E5306" t="str">
            <v>3149G006</v>
          </cell>
        </row>
        <row r="5307">
          <cell r="D5307" t="str">
            <v>Xeon Silver 4215R</v>
          </cell>
          <cell r="E5307" t="str">
            <v>3149G006</v>
          </cell>
        </row>
        <row r="5308">
          <cell r="D5308" t="str">
            <v>Xeon Silver 4215R</v>
          </cell>
          <cell r="E5308" t="str">
            <v>3149G006</v>
          </cell>
        </row>
        <row r="5309">
          <cell r="D5309" t="str">
            <v>Xeon Silver 4215R</v>
          </cell>
          <cell r="E5309" t="str">
            <v>3149G006</v>
          </cell>
        </row>
        <row r="5310">
          <cell r="D5310" t="str">
            <v>Xeon Silver 4215R</v>
          </cell>
          <cell r="E5310" t="str">
            <v>3149G006</v>
          </cell>
        </row>
        <row r="5311">
          <cell r="D5311" t="str">
            <v>Xeon Silver 4215R</v>
          </cell>
          <cell r="E5311" t="str">
            <v>3149G006</v>
          </cell>
        </row>
        <row r="5312">
          <cell r="D5312" t="str">
            <v>Xeon Silver 4215R</v>
          </cell>
          <cell r="E5312" t="str">
            <v>3149G006</v>
          </cell>
        </row>
        <row r="5313">
          <cell r="D5313" t="str">
            <v>Xeon Silver 4215R</v>
          </cell>
          <cell r="E5313" t="str">
            <v>3149G006</v>
          </cell>
        </row>
        <row r="5314">
          <cell r="D5314" t="str">
            <v>Xeon Silver 4215R</v>
          </cell>
          <cell r="E5314" t="str">
            <v>3149G006</v>
          </cell>
        </row>
        <row r="5315">
          <cell r="D5315" t="str">
            <v>Xeon Silver 4215R</v>
          </cell>
          <cell r="E5315" t="str">
            <v>3149G006</v>
          </cell>
        </row>
        <row r="5316">
          <cell r="D5316" t="str">
            <v>Xeon Silver 4215R</v>
          </cell>
          <cell r="E5316" t="str">
            <v>3149G006</v>
          </cell>
        </row>
        <row r="5317">
          <cell r="D5317" t="str">
            <v>Xeon Silver 4215R</v>
          </cell>
          <cell r="E5317" t="str">
            <v>3149G006</v>
          </cell>
        </row>
        <row r="5318">
          <cell r="D5318" t="str">
            <v>Xeon Silver 4215R</v>
          </cell>
          <cell r="E5318" t="str">
            <v>3149G006</v>
          </cell>
        </row>
        <row r="5319">
          <cell r="D5319" t="str">
            <v>Xeon Silver 4215R</v>
          </cell>
          <cell r="E5319" t="str">
            <v>3149G006</v>
          </cell>
        </row>
        <row r="5320">
          <cell r="D5320" t="str">
            <v>Xeon Silver 4215R</v>
          </cell>
          <cell r="E5320" t="str">
            <v>3149G006</v>
          </cell>
        </row>
        <row r="5321">
          <cell r="D5321" t="str">
            <v>Xeon Silver 4215R</v>
          </cell>
          <cell r="E5321" t="str">
            <v>3149G006</v>
          </cell>
        </row>
        <row r="5322">
          <cell r="D5322" t="str">
            <v>Xeon Silver 4215R</v>
          </cell>
          <cell r="E5322" t="str">
            <v>3149G006</v>
          </cell>
        </row>
        <row r="5323">
          <cell r="D5323" t="str">
            <v>Xeon Silver 4215R</v>
          </cell>
          <cell r="E5323" t="str">
            <v>3149G006</v>
          </cell>
        </row>
        <row r="5324">
          <cell r="D5324" t="str">
            <v>Xeon Silver 4215R</v>
          </cell>
          <cell r="E5324" t="str">
            <v>3149G006</v>
          </cell>
        </row>
        <row r="5325">
          <cell r="D5325" t="str">
            <v>Xeon Silver 4215R</v>
          </cell>
          <cell r="E5325" t="str">
            <v>3149G006</v>
          </cell>
        </row>
        <row r="5326">
          <cell r="D5326" t="str">
            <v>Xeon Silver 4215R</v>
          </cell>
          <cell r="E5326" t="str">
            <v>3149G006</v>
          </cell>
        </row>
        <row r="5327">
          <cell r="D5327" t="str">
            <v>Xeon Silver 4215R</v>
          </cell>
          <cell r="E5327" t="str">
            <v>3149G006</v>
          </cell>
        </row>
        <row r="5328">
          <cell r="D5328" t="str">
            <v>Xeon Silver 4215R</v>
          </cell>
          <cell r="E5328" t="str">
            <v>3149G006</v>
          </cell>
        </row>
        <row r="5329">
          <cell r="D5329" t="str">
            <v>Xeon Silver 4215R</v>
          </cell>
          <cell r="E5329" t="str">
            <v>3149G006</v>
          </cell>
        </row>
        <row r="5330">
          <cell r="D5330" t="str">
            <v>Xeon Silver 4215R</v>
          </cell>
          <cell r="E5330" t="str">
            <v>3149G006</v>
          </cell>
        </row>
        <row r="5331">
          <cell r="D5331" t="str">
            <v>Xeon Silver 4215R</v>
          </cell>
          <cell r="E5331" t="str">
            <v>3149G006</v>
          </cell>
        </row>
        <row r="5332">
          <cell r="D5332" t="str">
            <v>Xeon Silver 4215R</v>
          </cell>
          <cell r="E5332" t="str">
            <v>3149G006</v>
          </cell>
        </row>
        <row r="5333">
          <cell r="D5333" t="str">
            <v>Xeon Silver 4215R</v>
          </cell>
          <cell r="E5333" t="str">
            <v>3149G006</v>
          </cell>
        </row>
        <row r="5334">
          <cell r="D5334" t="str">
            <v>Xeon Silver 4215R</v>
          </cell>
          <cell r="E5334" t="str">
            <v>3149G006</v>
          </cell>
        </row>
        <row r="5335">
          <cell r="D5335" t="str">
            <v>Xeon Silver 4215R</v>
          </cell>
          <cell r="E5335" t="str">
            <v>3149G006</v>
          </cell>
        </row>
        <row r="5336">
          <cell r="D5336" t="str">
            <v>Xeon Silver 4215R</v>
          </cell>
          <cell r="E5336" t="str">
            <v>3149G006</v>
          </cell>
        </row>
        <row r="5337">
          <cell r="D5337" t="str">
            <v>Xeon Silver 4215R</v>
          </cell>
          <cell r="E5337" t="str">
            <v>3149G006</v>
          </cell>
        </row>
        <row r="5338">
          <cell r="D5338" t="str">
            <v>Xeon Silver 4215R</v>
          </cell>
          <cell r="E5338" t="str">
            <v>3149G006</v>
          </cell>
        </row>
        <row r="5339">
          <cell r="D5339" t="str">
            <v>Xeon Silver 4215R</v>
          </cell>
          <cell r="E5339" t="str">
            <v>3149G006</v>
          </cell>
        </row>
        <row r="5340">
          <cell r="D5340" t="str">
            <v>Xeon Silver 4215R</v>
          </cell>
          <cell r="E5340" t="str">
            <v>3149G006</v>
          </cell>
        </row>
        <row r="5341">
          <cell r="D5341" t="str">
            <v>Xeon Silver 4215R</v>
          </cell>
          <cell r="E5341" t="str">
            <v>3149G006</v>
          </cell>
        </row>
        <row r="5342">
          <cell r="D5342" t="str">
            <v>Xeon Silver 4215R</v>
          </cell>
          <cell r="E5342" t="str">
            <v>3149G006</v>
          </cell>
        </row>
        <row r="5343">
          <cell r="D5343" t="str">
            <v>Xeon Silver 4215R</v>
          </cell>
          <cell r="E5343" t="str">
            <v>3149G006</v>
          </cell>
        </row>
        <row r="5344">
          <cell r="D5344" t="str">
            <v>Xeon Silver 4215R</v>
          </cell>
          <cell r="E5344" t="str">
            <v>3149G006</v>
          </cell>
        </row>
        <row r="5345">
          <cell r="D5345" t="str">
            <v>MZ7L3480HCHQ-00A07</v>
          </cell>
          <cell r="E5345" t="str">
            <v>S664NE0RC06069</v>
          </cell>
        </row>
        <row r="5346">
          <cell r="D5346" t="str">
            <v>MZ7L3480HCHQ-00A07</v>
          </cell>
          <cell r="E5346" t="str">
            <v>S664NE0RC06048</v>
          </cell>
        </row>
        <row r="5347">
          <cell r="D5347" t="str">
            <v>MZ7L3480HCHQ-00A07</v>
          </cell>
          <cell r="E5347" t="str">
            <v>S664NE0RC06051</v>
          </cell>
        </row>
        <row r="5348">
          <cell r="D5348" t="str">
            <v>MZ7L3480HCHQ-00A07</v>
          </cell>
          <cell r="E5348" t="str">
            <v>S664NE0RC06041</v>
          </cell>
        </row>
        <row r="5349">
          <cell r="D5349" t="str">
            <v>MZ7L3480HCHQ-00A07</v>
          </cell>
          <cell r="E5349" t="str">
            <v>S664NE0RC06046</v>
          </cell>
        </row>
        <row r="5350">
          <cell r="D5350" t="str">
            <v>MZ7L3480HCHQ-00A07</v>
          </cell>
          <cell r="E5350" t="str">
            <v>S664NE0RC06047</v>
          </cell>
        </row>
        <row r="5351">
          <cell r="D5351" t="str">
            <v>MZ7L3480HCHQ-00A07</v>
          </cell>
          <cell r="E5351" t="str">
            <v>S664NE0RC06053</v>
          </cell>
        </row>
        <row r="5352">
          <cell r="D5352" t="str">
            <v>MZ7L3480HCHQ-00A07</v>
          </cell>
          <cell r="E5352" t="str">
            <v>S664NE0RC06064</v>
          </cell>
        </row>
        <row r="5353">
          <cell r="D5353" t="str">
            <v>MZ7L3480HCHQ-00A07</v>
          </cell>
          <cell r="E5353" t="str">
            <v>S664NE0RC06042</v>
          </cell>
        </row>
        <row r="5354">
          <cell r="D5354" t="str">
            <v>MZ7L3480HCHQ-00A07</v>
          </cell>
          <cell r="E5354" t="str">
            <v>S664NE0RC06068</v>
          </cell>
        </row>
        <row r="5355">
          <cell r="D5355" t="str">
            <v>CD8069504446300 Xeon Gold 5218R</v>
          </cell>
          <cell r="E5355" t="str">
            <v>3205D330</v>
          </cell>
        </row>
        <row r="5356">
          <cell r="D5356" t="str">
            <v>CD8069504446300 Xeon Gold 5218R</v>
          </cell>
          <cell r="E5356" t="str">
            <v>3205D330</v>
          </cell>
        </row>
        <row r="5357">
          <cell r="D5357" t="str">
            <v>CD8069504446300 Xeon Gold 5218R</v>
          </cell>
          <cell r="E5357" t="str">
            <v>3205D330</v>
          </cell>
        </row>
        <row r="5358">
          <cell r="D5358" t="str">
            <v>CD8069504446300 Xeon Gold 5218R</v>
          </cell>
          <cell r="E5358" t="str">
            <v>3205D330</v>
          </cell>
        </row>
        <row r="5359">
          <cell r="D5359" t="str">
            <v>CD8069504446300 Xeon Gold 5218R</v>
          </cell>
          <cell r="E5359" t="str">
            <v>3203F228</v>
          </cell>
        </row>
        <row r="5360">
          <cell r="D5360" t="str">
            <v>CD8069504446300 Xeon Gold 5218R</v>
          </cell>
          <cell r="E5360" t="str">
            <v>3203F228</v>
          </cell>
        </row>
        <row r="5361">
          <cell r="D5361" t="str">
            <v>CD8069504446300 Xeon Gold 5218R</v>
          </cell>
          <cell r="E5361" t="str">
            <v>3203F228</v>
          </cell>
        </row>
        <row r="5362">
          <cell r="D5362" t="str">
            <v>CD8069504446300 Xeon Gold 5218R</v>
          </cell>
          <cell r="E5362" t="str">
            <v>3203F228</v>
          </cell>
        </row>
        <row r="5363">
          <cell r="D5363" t="str">
            <v>CD8069504446300 Xeon Gold 5218R</v>
          </cell>
          <cell r="E5363" t="str">
            <v>3203F228</v>
          </cell>
        </row>
        <row r="5364">
          <cell r="D5364" t="str">
            <v>CD8069504446300 Xeon Gold 5218R</v>
          </cell>
          <cell r="E5364" t="str">
            <v>3203F228</v>
          </cell>
        </row>
        <row r="5365">
          <cell r="D5365" t="str">
            <v>CD8069504446300 Xeon Gold 5218R</v>
          </cell>
          <cell r="E5365" t="str">
            <v>3203F228</v>
          </cell>
        </row>
        <row r="5366">
          <cell r="D5366" t="str">
            <v>CD8069504446300 Xeon Gold 5218R</v>
          </cell>
          <cell r="E5366" t="str">
            <v>3203F228</v>
          </cell>
        </row>
        <row r="5367">
          <cell r="D5367" t="str">
            <v>CD8069504446300 Xeon Gold 5218R</v>
          </cell>
          <cell r="E5367" t="str">
            <v>3203F228</v>
          </cell>
        </row>
        <row r="5368">
          <cell r="D5368" t="str">
            <v>CD8069504446300 Xeon Gold 5218R</v>
          </cell>
          <cell r="E5368" t="str">
            <v>3203F228</v>
          </cell>
        </row>
        <row r="5369">
          <cell r="D5369" t="str">
            <v>CD8069504446300 Xeon Gold 5218R</v>
          </cell>
          <cell r="E5369" t="str">
            <v>3203F228</v>
          </cell>
        </row>
        <row r="5370">
          <cell r="D5370" t="str">
            <v>CD8069504446300 Xeon Gold 5218R</v>
          </cell>
          <cell r="E5370" t="str">
            <v>3203F228</v>
          </cell>
        </row>
        <row r="5371">
          <cell r="D5371" t="str">
            <v>CD8069504446300 Xeon Gold 5218R</v>
          </cell>
          <cell r="E5371" t="str">
            <v>3203F228</v>
          </cell>
        </row>
        <row r="5372">
          <cell r="D5372" t="str">
            <v>CD8069504446300 Xeon Gold 5218R</v>
          </cell>
          <cell r="E5372" t="str">
            <v>3203F228</v>
          </cell>
        </row>
        <row r="5373">
          <cell r="D5373" t="str">
            <v>Xeon Silver 4215R</v>
          </cell>
          <cell r="E5373" t="str">
            <v>3149G006</v>
          </cell>
        </row>
        <row r="5374">
          <cell r="D5374" t="str">
            <v>Xeon Silver 4215R</v>
          </cell>
          <cell r="E5374" t="str">
            <v>3201F550</v>
          </cell>
        </row>
        <row r="5375">
          <cell r="D5375" t="str">
            <v>Xeon Silver 4215R</v>
          </cell>
          <cell r="E5375" t="str">
            <v>3201F550</v>
          </cell>
        </row>
        <row r="5376">
          <cell r="D5376" t="str">
            <v>Xeon Silver 4215R</v>
          </cell>
          <cell r="E5376" t="str">
            <v>3201F550</v>
          </cell>
        </row>
        <row r="5377">
          <cell r="D5377" t="str">
            <v>Xeon Silver 4215R</v>
          </cell>
          <cell r="E5377" t="str">
            <v>3201F550</v>
          </cell>
        </row>
        <row r="5378">
          <cell r="D5378" t="str">
            <v>Xeon Silver 4215R</v>
          </cell>
          <cell r="E5378" t="str">
            <v>3201F550</v>
          </cell>
        </row>
        <row r="5379">
          <cell r="D5379" t="str">
            <v>Xeon Silver 4215R</v>
          </cell>
          <cell r="E5379" t="str">
            <v>3201F550</v>
          </cell>
        </row>
        <row r="5380">
          <cell r="D5380" t="str">
            <v>Xeon Silver 4215R</v>
          </cell>
          <cell r="E5380" t="str">
            <v>3201F550</v>
          </cell>
        </row>
        <row r="5381">
          <cell r="D5381" t="str">
            <v>Xeon Silver 4215R</v>
          </cell>
          <cell r="E5381" t="str">
            <v>3201F550</v>
          </cell>
        </row>
        <row r="5382">
          <cell r="D5382" t="str">
            <v>Xeon Silver 4215R</v>
          </cell>
          <cell r="E5382" t="str">
            <v>3201F550</v>
          </cell>
        </row>
        <row r="5383">
          <cell r="D5383" t="str">
            <v>Xeon Silver 4215R</v>
          </cell>
          <cell r="E5383" t="str">
            <v>3201F550</v>
          </cell>
        </row>
        <row r="5384">
          <cell r="D5384" t="str">
            <v>Xeon Silver 4215R</v>
          </cell>
          <cell r="E5384" t="str">
            <v>3201F550</v>
          </cell>
        </row>
        <row r="5385">
          <cell r="D5385" t="str">
            <v>Xeon Silver 4215R</v>
          </cell>
          <cell r="E5385" t="str">
            <v>3201F550</v>
          </cell>
        </row>
        <row r="5386">
          <cell r="D5386" t="str">
            <v>Xeon Silver 4215R</v>
          </cell>
          <cell r="E5386" t="str">
            <v>3201F550</v>
          </cell>
        </row>
        <row r="5387">
          <cell r="D5387" t="str">
            <v>Xeon Silver 4215R</v>
          </cell>
          <cell r="E5387" t="str">
            <v>3201F550</v>
          </cell>
        </row>
        <row r="5388">
          <cell r="D5388" t="str">
            <v>Xeon Silver 4215R</v>
          </cell>
          <cell r="E5388" t="str">
            <v>3201F550</v>
          </cell>
        </row>
        <row r="5389">
          <cell r="D5389" t="str">
            <v>Xeon Silver 4215R</v>
          </cell>
          <cell r="E5389" t="str">
            <v>3201F550</v>
          </cell>
        </row>
        <row r="5390">
          <cell r="D5390" t="str">
            <v>Xeon Silver 4215R</v>
          </cell>
          <cell r="E5390" t="str">
            <v>3201F550</v>
          </cell>
        </row>
        <row r="5391">
          <cell r="D5391" t="str">
            <v>Xeon Silver 4215R</v>
          </cell>
          <cell r="E5391" t="str">
            <v>3201F550</v>
          </cell>
        </row>
        <row r="5392">
          <cell r="D5392" t="str">
            <v>Xeon Silver 4215R</v>
          </cell>
          <cell r="E5392" t="str">
            <v>3201F550</v>
          </cell>
        </row>
        <row r="5393">
          <cell r="D5393" t="str">
            <v>Xeon Silver 4215R</v>
          </cell>
          <cell r="E5393" t="str">
            <v>3201F550</v>
          </cell>
        </row>
        <row r="5394">
          <cell r="D5394" t="str">
            <v>Xeon Silver 4215R</v>
          </cell>
          <cell r="E5394" t="str">
            <v>3201F550</v>
          </cell>
        </row>
        <row r="5395">
          <cell r="D5395" t="str">
            <v>Xeon Silver 4215R</v>
          </cell>
          <cell r="E5395" t="str">
            <v>3201F550</v>
          </cell>
        </row>
        <row r="5396">
          <cell r="D5396" t="str">
            <v>Xeon Silver 4215R</v>
          </cell>
          <cell r="E5396" t="str">
            <v>3201F550</v>
          </cell>
        </row>
        <row r="5397">
          <cell r="D5397" t="str">
            <v>Xeon Silver 4215R</v>
          </cell>
          <cell r="E5397" t="str">
            <v>3201F550</v>
          </cell>
        </row>
        <row r="5398">
          <cell r="D5398" t="str">
            <v>Xeon Silver 4215R</v>
          </cell>
          <cell r="E5398" t="str">
            <v>3201F550</v>
          </cell>
        </row>
        <row r="5399">
          <cell r="D5399" t="str">
            <v>Xeon Silver 4215R</v>
          </cell>
          <cell r="E5399" t="str">
            <v>23358A0E674D7BCARGZE</v>
          </cell>
        </row>
        <row r="5400">
          <cell r="D5400" t="str">
            <v>Xeon Silver 4215R</v>
          </cell>
          <cell r="E5400" t="str">
            <v>23257B0E6902E08ARGZE</v>
          </cell>
        </row>
        <row r="5401">
          <cell r="D5401" t="str">
            <v>Xeon Silver 4215R</v>
          </cell>
          <cell r="E5401" t="str">
            <v>3202D946</v>
          </cell>
        </row>
        <row r="5402">
          <cell r="D5402" t="str">
            <v>Xeon Silver 4215R</v>
          </cell>
          <cell r="E5402" t="str">
            <v>3202D946</v>
          </cell>
        </row>
        <row r="5403">
          <cell r="D5403" t="str">
            <v>Xeon Silver 4215R</v>
          </cell>
          <cell r="E5403" t="str">
            <v>3202D946</v>
          </cell>
        </row>
        <row r="5404">
          <cell r="D5404" t="str">
            <v>Xeon Silver 4215R</v>
          </cell>
          <cell r="E5404" t="str">
            <v>3202D946</v>
          </cell>
        </row>
        <row r="5405">
          <cell r="D5405" t="str">
            <v>Xeon Silver 4215R</v>
          </cell>
          <cell r="E5405" t="str">
            <v>3201F550</v>
          </cell>
        </row>
        <row r="5406">
          <cell r="D5406" t="str">
            <v>Xeon Silver 4215R</v>
          </cell>
          <cell r="E5406" t="str">
            <v>3201F550</v>
          </cell>
        </row>
        <row r="5407">
          <cell r="D5407" t="str">
            <v>Xeon Silver 4215R</v>
          </cell>
          <cell r="E5407" t="str">
            <v>3201F550</v>
          </cell>
        </row>
        <row r="5408">
          <cell r="D5408" t="str">
            <v>Xeon Silver 4215R</v>
          </cell>
          <cell r="E5408" t="str">
            <v>3201F550</v>
          </cell>
        </row>
        <row r="5409">
          <cell r="D5409" t="str">
            <v>Xeon Silver 4215R</v>
          </cell>
          <cell r="E5409" t="str">
            <v>3201F550</v>
          </cell>
        </row>
        <row r="5410">
          <cell r="D5410" t="str">
            <v>Xeon Silver 4215R</v>
          </cell>
          <cell r="E5410" t="str">
            <v>3201F550</v>
          </cell>
        </row>
        <row r="5411">
          <cell r="D5411" t="str">
            <v>Xeon Silver 4215R</v>
          </cell>
          <cell r="E5411" t="str">
            <v>23298E0E75448484RGZE   72BY070200707</v>
          </cell>
        </row>
        <row r="5412">
          <cell r="D5412" t="str">
            <v>Xeon Silver 4215R</v>
          </cell>
          <cell r="E5412" t="str">
            <v>3201F550</v>
          </cell>
        </row>
        <row r="5413">
          <cell r="D5413" t="str">
            <v>Xeon Silver 4215R</v>
          </cell>
          <cell r="E5413" t="str">
            <v>237B660E295FD328RGZE</v>
          </cell>
        </row>
        <row r="5414">
          <cell r="D5414" t="str">
            <v>Xeon Silver 4215R</v>
          </cell>
          <cell r="E5414" t="str">
            <v>237B660E295FD328RGZE</v>
          </cell>
        </row>
        <row r="5415">
          <cell r="D5415" t="str">
            <v>INTEL XEON E-2236</v>
          </cell>
          <cell r="E5415" t="str">
            <v>X152F308 00267  72NM847600522</v>
          </cell>
        </row>
        <row r="5416">
          <cell r="D5416" t="str">
            <v>0B36040</v>
          </cell>
          <cell r="E5416" t="str">
            <v>VBH6W9EF</v>
          </cell>
          <cell r="K5416" t="str">
            <v>awaria</v>
          </cell>
        </row>
        <row r="5417">
          <cell r="D5417" t="str">
            <v>0B36040</v>
          </cell>
          <cell r="E5417" t="str">
            <v>VBH6WK1F</v>
          </cell>
        </row>
        <row r="5418">
          <cell r="D5418" t="str">
            <v>Intel Xeon E-2136</v>
          </cell>
          <cell r="E5418" t="str">
            <v>X133L490 02515  U1VX447602515</v>
          </cell>
        </row>
        <row r="5419">
          <cell r="D5419" t="str">
            <v>M393A4K40DB2-CVF</v>
          </cell>
          <cell r="E5419" t="str">
            <v>SNL237</v>
          </cell>
        </row>
        <row r="5420">
          <cell r="D5420" t="str">
            <v>M393A4K40DB2-CVF</v>
          </cell>
          <cell r="E5420" t="str">
            <v>SNL238</v>
          </cell>
        </row>
        <row r="5421">
          <cell r="D5421" t="str">
            <v>M393A4K40DB2-CVF</v>
          </cell>
          <cell r="E5421" t="str">
            <v>SNL239</v>
          </cell>
        </row>
        <row r="5422">
          <cell r="D5422" t="str">
            <v>M393A4K40DB2-CVF</v>
          </cell>
          <cell r="E5422" t="str">
            <v>SNL240</v>
          </cell>
        </row>
        <row r="5423">
          <cell r="D5423" t="str">
            <v>M393A4K40DB2-CVF</v>
          </cell>
          <cell r="E5423" t="str">
            <v>SNL241</v>
          </cell>
        </row>
        <row r="5424">
          <cell r="D5424" t="str">
            <v>M393A4K40DB2-CVF</v>
          </cell>
          <cell r="E5424" t="str">
            <v>SNL242</v>
          </cell>
        </row>
        <row r="5425">
          <cell r="D5425" t="str">
            <v>M393A4K40DB2-CVF</v>
          </cell>
          <cell r="E5425" t="str">
            <v>SNL243</v>
          </cell>
        </row>
        <row r="5426">
          <cell r="D5426" t="str">
            <v>M393A4K40DB2-CVF</v>
          </cell>
          <cell r="E5426" t="str">
            <v>SNL244</v>
          </cell>
        </row>
        <row r="5427">
          <cell r="D5427" t="str">
            <v>M393A4K40DB2-CVF</v>
          </cell>
          <cell r="E5427" t="str">
            <v>SNL245</v>
          </cell>
        </row>
        <row r="5428">
          <cell r="D5428" t="str">
            <v>M393A4K40DB2-CVF</v>
          </cell>
          <cell r="E5428" t="str">
            <v>SNL246</v>
          </cell>
        </row>
        <row r="5429">
          <cell r="D5429" t="str">
            <v>M393A4K40DB2-CVF</v>
          </cell>
          <cell r="E5429" t="str">
            <v>SNL247</v>
          </cell>
        </row>
        <row r="5430">
          <cell r="D5430" t="str">
            <v>M393A4K40DB2-CVF</v>
          </cell>
          <cell r="E5430" t="str">
            <v>SNL248</v>
          </cell>
        </row>
        <row r="5431">
          <cell r="D5431" t="str">
            <v>M393A4K40DB2-CVF</v>
          </cell>
          <cell r="E5431" t="str">
            <v>SNL249</v>
          </cell>
        </row>
        <row r="5432">
          <cell r="D5432" t="str">
            <v>M393A4K40DB2-CVF</v>
          </cell>
          <cell r="E5432" t="str">
            <v>SNL250</v>
          </cell>
        </row>
        <row r="5433">
          <cell r="D5433" t="str">
            <v>M393A4K40DB2-CVF</v>
          </cell>
          <cell r="E5433" t="str">
            <v>SNL251</v>
          </cell>
        </row>
        <row r="5434">
          <cell r="D5434" t="str">
            <v>M393A4K40DB2-CVF</v>
          </cell>
          <cell r="E5434" t="str">
            <v>SNL252</v>
          </cell>
        </row>
        <row r="5435">
          <cell r="D5435" t="str">
            <v>M393A4K40DB2-CVF</v>
          </cell>
          <cell r="E5435" t="str">
            <v>SNL253</v>
          </cell>
        </row>
        <row r="5436">
          <cell r="D5436" t="str">
            <v>M393A4K40DB2-CVF</v>
          </cell>
          <cell r="E5436" t="str">
            <v>SNL254</v>
          </cell>
        </row>
        <row r="5437">
          <cell r="D5437" t="str">
            <v>M393A4K40DB2-CVF</v>
          </cell>
          <cell r="E5437" t="str">
            <v>SNL255</v>
          </cell>
        </row>
        <row r="5438">
          <cell r="D5438" t="str">
            <v>M393A4K40DB2-CVF</v>
          </cell>
          <cell r="E5438" t="str">
            <v>SNL256</v>
          </cell>
        </row>
        <row r="5439">
          <cell r="D5439" t="str">
            <v>M393A4K40DB2-CVF</v>
          </cell>
          <cell r="E5439" t="str">
            <v>SNL257</v>
          </cell>
        </row>
        <row r="5440">
          <cell r="D5440" t="str">
            <v>M393A4K40DB2-CVF</v>
          </cell>
          <cell r="E5440" t="str">
            <v>SNL258</v>
          </cell>
        </row>
        <row r="5441">
          <cell r="D5441" t="str">
            <v>M393A4K40DB2-CVF</v>
          </cell>
          <cell r="E5441" t="str">
            <v>SNL259</v>
          </cell>
        </row>
        <row r="5442">
          <cell r="D5442" t="str">
            <v>M393A4K40DB2-CVF</v>
          </cell>
          <cell r="E5442" t="str">
            <v>SNL260</v>
          </cell>
        </row>
        <row r="5443">
          <cell r="D5443" t="str">
            <v>M393A4K40DB2-CVF</v>
          </cell>
          <cell r="E5443" t="str">
            <v>SNL261</v>
          </cell>
        </row>
        <row r="5444">
          <cell r="D5444" t="str">
            <v>M393A4K40DB2-CVF</v>
          </cell>
          <cell r="E5444" t="str">
            <v>SNL262</v>
          </cell>
        </row>
        <row r="5445">
          <cell r="D5445" t="str">
            <v>E3C246D2I</v>
          </cell>
          <cell r="E5445" t="str">
            <v>EAS0XW001953</v>
          </cell>
        </row>
        <row r="5446">
          <cell r="D5446" t="str">
            <v>E3C246D2I</v>
          </cell>
          <cell r="E5446" t="str">
            <v>EAS0XW001954</v>
          </cell>
        </row>
        <row r="5447">
          <cell r="D5447" t="str">
            <v>MBD-X11SCL-F-B</v>
          </cell>
          <cell r="E5447" t="str">
            <v>VM21AS014673</v>
          </cell>
        </row>
        <row r="5448">
          <cell r="D5448" t="str">
            <v>SSG-640P-E1CR36H</v>
          </cell>
          <cell r="E5448" t="str">
            <v>E452361X2203683</v>
          </cell>
        </row>
        <row r="5449">
          <cell r="D5449" t="str">
            <v>CSE</v>
          </cell>
          <cell r="E5449" t="str">
            <v>C8470FK24P10118</v>
          </cell>
        </row>
        <row r="5450">
          <cell r="D5450" t="str">
            <v>PWS</v>
          </cell>
          <cell r="E5450" t="str">
            <v>P1K6ACK33ST0267</v>
          </cell>
        </row>
        <row r="5451">
          <cell r="D5451" t="str">
            <v>PWS</v>
          </cell>
          <cell r="E5451" t="str">
            <v>P1K6ACK33ST0266</v>
          </cell>
        </row>
        <row r="5452">
          <cell r="D5452" t="str">
            <v>BPN</v>
          </cell>
          <cell r="E5452" t="str">
            <v>HB21CS007047</v>
          </cell>
        </row>
        <row r="5453">
          <cell r="D5453" t="str">
            <v>BPN</v>
          </cell>
          <cell r="E5453" t="str">
            <v>PB216S013520</v>
          </cell>
        </row>
        <row r="5454">
          <cell r="D5454" t="str">
            <v>MBD</v>
          </cell>
          <cell r="E5454" t="str">
            <v>UM21CS007027</v>
          </cell>
        </row>
        <row r="5455">
          <cell r="D5455" t="str">
            <v>AOC</v>
          </cell>
          <cell r="E5455" t="str">
            <v>UA216S005160</v>
          </cell>
        </row>
        <row r="5456">
          <cell r="D5456" t="str">
            <v>AOC</v>
          </cell>
          <cell r="E5456" t="str">
            <v>JA219S001338</v>
          </cell>
        </row>
        <row r="5457">
          <cell r="D5457" t="str">
            <v>CPU</v>
          </cell>
          <cell r="E5457" t="str">
            <v>714568J300574</v>
          </cell>
        </row>
        <row r="5458">
          <cell r="D5458" t="str">
            <v>CPU</v>
          </cell>
          <cell r="E5458" t="str">
            <v>714568J301209</v>
          </cell>
        </row>
        <row r="5459">
          <cell r="D5459" t="str">
            <v>MEM</v>
          </cell>
          <cell r="E5459" t="str">
            <v>T0B300014848CBB8CD</v>
          </cell>
        </row>
        <row r="5460">
          <cell r="D5460" t="str">
            <v>MEM</v>
          </cell>
          <cell r="E5460" t="str">
            <v>T0B300014848CBBA24</v>
          </cell>
        </row>
        <row r="5461">
          <cell r="D5461" t="str">
            <v>MEM</v>
          </cell>
          <cell r="E5461" t="str">
            <v>T0B300014848CBBB05</v>
          </cell>
        </row>
        <row r="5462">
          <cell r="D5462" t="str">
            <v>MEM</v>
          </cell>
          <cell r="E5462" t="str">
            <v>T0B300014848CBBA22</v>
          </cell>
        </row>
        <row r="5463">
          <cell r="D5463" t="str">
            <v>HDD</v>
          </cell>
          <cell r="E5463" t="str">
            <v>WS10P6EV</v>
          </cell>
        </row>
        <row r="5464">
          <cell r="D5464" t="str">
            <v>SSG-540P-E1CTR36L</v>
          </cell>
          <cell r="E5464" t="str">
            <v>A450084X2204754</v>
          </cell>
        </row>
        <row r="5465">
          <cell r="D5465" t="str">
            <v>CSE</v>
          </cell>
          <cell r="E5465" t="str">
            <v>C8470FK28P10043</v>
          </cell>
        </row>
        <row r="5466">
          <cell r="D5466" t="str">
            <v>PWS</v>
          </cell>
          <cell r="E5466" t="str">
            <v>P1K2ACL44RB5411</v>
          </cell>
        </row>
        <row r="5467">
          <cell r="D5467" t="str">
            <v>PWS</v>
          </cell>
          <cell r="E5467" t="str">
            <v>P1K2ACL44RB5412</v>
          </cell>
        </row>
        <row r="5468">
          <cell r="D5468" t="str">
            <v>BPN</v>
          </cell>
          <cell r="E5468" t="str">
            <v>HB21BS012180</v>
          </cell>
        </row>
        <row r="5469">
          <cell r="D5469" t="str">
            <v>BPN</v>
          </cell>
          <cell r="E5469" t="str">
            <v>HB221S006941</v>
          </cell>
        </row>
        <row r="5470">
          <cell r="D5470" t="str">
            <v>MBD</v>
          </cell>
          <cell r="E5470" t="str">
            <v>WM21CS012551</v>
          </cell>
        </row>
        <row r="5471">
          <cell r="D5471" t="str">
            <v>AOC</v>
          </cell>
          <cell r="E5471" t="str">
            <v>UA212S000373</v>
          </cell>
        </row>
        <row r="5472">
          <cell r="D5472" t="str">
            <v>AOC</v>
          </cell>
          <cell r="E5472" t="str">
            <v>JA21CS000218</v>
          </cell>
        </row>
        <row r="5473">
          <cell r="D5473" t="str">
            <v>CPU</v>
          </cell>
          <cell r="E5473" t="str">
            <v>714K2K2500049</v>
          </cell>
        </row>
        <row r="5474">
          <cell r="D5474" t="str">
            <v>MEM</v>
          </cell>
          <cell r="E5474" t="str">
            <v>80AD022148259A43E4</v>
          </cell>
        </row>
        <row r="5475">
          <cell r="D5475" t="str">
            <v>MEM</v>
          </cell>
          <cell r="E5475" t="str">
            <v>80AD022148259A42DF</v>
          </cell>
        </row>
        <row r="5476">
          <cell r="D5476" t="str">
            <v>MEM</v>
          </cell>
          <cell r="E5476" t="str">
            <v>80AD022148259A439D</v>
          </cell>
        </row>
        <row r="5477">
          <cell r="D5477" t="str">
            <v>MEM</v>
          </cell>
          <cell r="E5477" t="str">
            <v>80AD022148259A43A0</v>
          </cell>
        </row>
        <row r="5478">
          <cell r="D5478" t="str">
            <v>HDD</v>
          </cell>
          <cell r="E5478" t="str">
            <v>X1P0A0BKFKQE</v>
          </cell>
        </row>
        <row r="5479">
          <cell r="D5479" t="str">
            <v>HDD</v>
          </cell>
          <cell r="E5479" t="str">
            <v>X1P0A0CBFKQE</v>
          </cell>
        </row>
        <row r="5480">
          <cell r="D5480" t="str">
            <v>HDD</v>
          </cell>
          <cell r="E5480" t="str">
            <v>X1P0A0C4FKQE</v>
          </cell>
        </row>
        <row r="5481">
          <cell r="D5481" t="str">
            <v>HDD</v>
          </cell>
          <cell r="E5481" t="str">
            <v>81V0A16NFKQE</v>
          </cell>
        </row>
        <row r="5482">
          <cell r="D5482" t="str">
            <v>HDD</v>
          </cell>
          <cell r="E5482" t="str">
            <v>X1P0A0D2FKQE</v>
          </cell>
        </row>
        <row r="5483">
          <cell r="D5483" t="str">
            <v>HDD</v>
          </cell>
          <cell r="E5483" t="str">
            <v>X1P0A0CZFKQE</v>
          </cell>
        </row>
        <row r="5484">
          <cell r="D5484" t="str">
            <v>HDD</v>
          </cell>
          <cell r="E5484" t="str">
            <v>X1P0A0C7FKQE</v>
          </cell>
        </row>
        <row r="5485">
          <cell r="D5485" t="str">
            <v>HDD</v>
          </cell>
          <cell r="E5485" t="str">
            <v>X1P0A0C0FKQE</v>
          </cell>
        </row>
        <row r="5486">
          <cell r="D5486" t="str">
            <v>HDD</v>
          </cell>
          <cell r="E5486" t="str">
            <v>X1P0A0C2FKQE</v>
          </cell>
        </row>
        <row r="5487">
          <cell r="D5487" t="str">
            <v>HDD</v>
          </cell>
          <cell r="E5487" t="str">
            <v>X1P0A0BPFKQE</v>
          </cell>
        </row>
        <row r="5488">
          <cell r="D5488" t="str">
            <v>HDD</v>
          </cell>
          <cell r="E5488" t="str">
            <v>X1P0A0CHFKQE</v>
          </cell>
        </row>
        <row r="5489">
          <cell r="D5489" t="str">
            <v>HDD</v>
          </cell>
          <cell r="E5489" t="str">
            <v>81V0A16JFKQE</v>
          </cell>
        </row>
        <row r="5490">
          <cell r="D5490" t="str">
            <v>HDD</v>
          </cell>
          <cell r="E5490" t="str">
            <v>X1P0A0BGFKQE</v>
          </cell>
        </row>
        <row r="5491">
          <cell r="D5491" t="str">
            <v>HDD</v>
          </cell>
          <cell r="E5491" t="str">
            <v>X1P0A0CMFKQE</v>
          </cell>
        </row>
        <row r="5492">
          <cell r="D5492" t="str">
            <v>HDD</v>
          </cell>
          <cell r="E5492" t="str">
            <v>X1P0A0DCFKQE</v>
          </cell>
        </row>
        <row r="5493">
          <cell r="D5493" t="str">
            <v>HDD</v>
          </cell>
          <cell r="E5493" t="str">
            <v>81V0A11XFKQE</v>
          </cell>
        </row>
        <row r="5494">
          <cell r="D5494" t="str">
            <v>HDD</v>
          </cell>
          <cell r="E5494" t="str">
            <v>81V0A166FKQE</v>
          </cell>
        </row>
        <row r="5495">
          <cell r="D5495" t="str">
            <v>HDD</v>
          </cell>
          <cell r="E5495" t="str">
            <v>X1P0A0CAFKQE</v>
          </cell>
        </row>
        <row r="5496">
          <cell r="D5496" t="str">
            <v>HDD</v>
          </cell>
          <cell r="E5496" t="str">
            <v>X1P0A0C9FKQE</v>
          </cell>
        </row>
        <row r="5497">
          <cell r="D5497" t="str">
            <v>HDD</v>
          </cell>
          <cell r="E5497" t="str">
            <v>X1P0A0CPFKQE</v>
          </cell>
        </row>
        <row r="5498">
          <cell r="D5498" t="str">
            <v>HDD</v>
          </cell>
          <cell r="E5498" t="str">
            <v>X1P0A0BEFKQE</v>
          </cell>
        </row>
        <row r="5499">
          <cell r="D5499" t="str">
            <v>HDD</v>
          </cell>
          <cell r="E5499" t="str">
            <v>X1P0A0CUFKQE</v>
          </cell>
        </row>
        <row r="5500">
          <cell r="D5500" t="str">
            <v>HDD</v>
          </cell>
          <cell r="E5500" t="str">
            <v>X1P0A0BBFKQE</v>
          </cell>
        </row>
        <row r="5501">
          <cell r="D5501" t="str">
            <v>HDD</v>
          </cell>
          <cell r="E5501" t="str">
            <v>81V0A182FKQE</v>
          </cell>
        </row>
        <row r="5502">
          <cell r="D5502" t="str">
            <v>HDD</v>
          </cell>
          <cell r="E5502" t="str">
            <v>X1P0A0C3FKQE</v>
          </cell>
        </row>
        <row r="5503">
          <cell r="D5503" t="str">
            <v>HDS</v>
          </cell>
          <cell r="E5503" t="str">
            <v>PHKS051600E9375AGN</v>
          </cell>
        </row>
        <row r="5504">
          <cell r="D5504" t="str">
            <v>HDS</v>
          </cell>
          <cell r="E5504" t="str">
            <v>S435NC0R500334</v>
          </cell>
        </row>
        <row r="5505">
          <cell r="D5505" t="str">
            <v>CSE-743AC-1K26B-SQ</v>
          </cell>
          <cell r="E5505" t="str">
            <v>C7430FK37P00473</v>
          </cell>
          <cell r="K5505" t="str">
            <v>TESTOWY M.BOGUSZ</v>
          </cell>
        </row>
        <row r="5506">
          <cell r="D5506" t="str">
            <v>PWS-1K26P-PQ</v>
          </cell>
          <cell r="E5506" t="str">
            <v>P1K26AL14AD1959</v>
          </cell>
          <cell r="K5506" t="str">
            <v>TESTOWY M.BOGUSZ</v>
          </cell>
        </row>
        <row r="5507">
          <cell r="D5507" t="str">
            <v>BPN-SAS3-743A</v>
          </cell>
          <cell r="E5507" t="str">
            <v>PB214S009094</v>
          </cell>
          <cell r="K5507" t="str">
            <v>TESTOWY M.BOGUSZ</v>
          </cell>
        </row>
        <row r="5508">
          <cell r="D5508" t="str">
            <v>SYS-1019C-HTN2</v>
          </cell>
          <cell r="E5508" t="str">
            <v>A345069X2205151</v>
          </cell>
          <cell r="K5508" t="str">
            <v>SO/2022/005650/A 1z2</v>
          </cell>
        </row>
        <row r="5509">
          <cell r="D5509" t="str">
            <v>CSE-510FT-203B</v>
          </cell>
          <cell r="E5509" t="str">
            <v>C5100LL02RA0368</v>
          </cell>
          <cell r="K5509" t="str">
            <v>SO/2022/005650/A 1z2</v>
          </cell>
        </row>
        <row r="5510">
          <cell r="D5510" t="str">
            <v>PWS-203-1H</v>
          </cell>
          <cell r="E5510" t="str">
            <v>P20310L28G26577</v>
          </cell>
          <cell r="K5510" t="str">
            <v>SO/2022/005650/A 1z2</v>
          </cell>
        </row>
        <row r="5511">
          <cell r="D5511" t="str">
            <v>MBD-X11SCZ-F</v>
          </cell>
          <cell r="E5511" t="str">
            <v>VM21BS009218</v>
          </cell>
          <cell r="K5511" t="str">
            <v>SO/2022/005650/A 1z2</v>
          </cell>
        </row>
        <row r="5512">
          <cell r="D5512" t="str">
            <v>BPN-SAS-510T</v>
          </cell>
          <cell r="E5512" t="str">
            <v>EB20BS008943</v>
          </cell>
          <cell r="K5512" t="str">
            <v>SO/2022/005650/A 1z2</v>
          </cell>
        </row>
        <row r="5513">
          <cell r="D5513" t="str">
            <v>RSC-RR1U-E16</v>
          </cell>
          <cell r="E5513" t="str">
            <v>VR21CS006638</v>
          </cell>
          <cell r="K5513" t="str">
            <v>SO/2022/005650/A 1z2</v>
          </cell>
        </row>
        <row r="5514">
          <cell r="D5514" t="str">
            <v>SYS-1019C-HTN2</v>
          </cell>
          <cell r="E5514" t="str">
            <v>A345069X2205154</v>
          </cell>
          <cell r="K5514" t="str">
            <v>SO/2022/005650/A 2z2</v>
          </cell>
        </row>
        <row r="5515">
          <cell r="D5515" t="str">
            <v>CSE-510FT-203B</v>
          </cell>
          <cell r="E5515" t="str">
            <v>C5100LL02RA0328</v>
          </cell>
          <cell r="K5515" t="str">
            <v>SO/2022/005650/A 2z2</v>
          </cell>
        </row>
        <row r="5516">
          <cell r="D5516" t="str">
            <v>PWS-203-1H</v>
          </cell>
          <cell r="E5516" t="str">
            <v>P20310L28G26605</v>
          </cell>
          <cell r="K5516" t="str">
            <v>SO/2022/005650/A 2z2</v>
          </cell>
        </row>
        <row r="5517">
          <cell r="D5517" t="str">
            <v>MBD-X11SCZ-F</v>
          </cell>
          <cell r="E5517" t="str">
            <v>VM21BS008737</v>
          </cell>
          <cell r="K5517" t="str">
            <v>SO/2022/005650/A 2z2</v>
          </cell>
        </row>
        <row r="5518">
          <cell r="D5518" t="str">
            <v>BPN-SAS-510T</v>
          </cell>
          <cell r="E5518" t="str">
            <v>EB20BS008959</v>
          </cell>
          <cell r="K5518" t="str">
            <v>SO/2022/005650/A 2z2</v>
          </cell>
        </row>
        <row r="5519">
          <cell r="D5519" t="str">
            <v>RSC-RR1U-E16</v>
          </cell>
          <cell r="E5519" t="str">
            <v>VR21CS006643</v>
          </cell>
          <cell r="K5519" t="str">
            <v>SO/2022/005650/A 2z2</v>
          </cell>
        </row>
        <row r="5520">
          <cell r="D5520" t="str">
            <v>SYS-1019C-HTN2</v>
          </cell>
          <cell r="E5520" t="str">
            <v>A345069X2205167</v>
          </cell>
          <cell r="K5520" t="str">
            <v>RO/2021/005476/A 1z2</v>
          </cell>
        </row>
        <row r="5521">
          <cell r="D5521" t="str">
            <v>CSE-510FT-203B</v>
          </cell>
          <cell r="E5521" t="str">
            <v>C5100LL02RA0366</v>
          </cell>
          <cell r="K5521" t="str">
            <v>RO/2021/005476/A 1z2</v>
          </cell>
        </row>
        <row r="5522">
          <cell r="D5522" t="str">
            <v>PWS-203-1H</v>
          </cell>
          <cell r="E5522" t="str">
            <v>P20310L29G29182</v>
          </cell>
          <cell r="K5522" t="str">
            <v>RO/2021/005476/A 1z2</v>
          </cell>
        </row>
        <row r="5523">
          <cell r="D5523" t="str">
            <v>MBD-X11SCZ-F</v>
          </cell>
          <cell r="E5523" t="str">
            <v>VM21BS009203</v>
          </cell>
          <cell r="K5523" t="str">
            <v>RO/2021/005476/A 1z2</v>
          </cell>
        </row>
        <row r="5524">
          <cell r="D5524" t="str">
            <v>BPN-SAS-510T</v>
          </cell>
          <cell r="E5524" t="str">
            <v>EB20BS008947</v>
          </cell>
          <cell r="K5524" t="str">
            <v>RO/2021/005476/A 1z2</v>
          </cell>
        </row>
        <row r="5525">
          <cell r="D5525" t="str">
            <v>RSC-RR1U-E16</v>
          </cell>
          <cell r="E5525" t="str">
            <v>VR21CS006641</v>
          </cell>
          <cell r="K5525" t="str">
            <v>RO/2021/005476/A 1z2</v>
          </cell>
        </row>
        <row r="5526">
          <cell r="D5526" t="str">
            <v>SYS-1019C-HTN2</v>
          </cell>
          <cell r="E5526" t="str">
            <v>A345069X2205165</v>
          </cell>
          <cell r="K5526" t="str">
            <v>RO/2021/005476/A 2z2</v>
          </cell>
        </row>
        <row r="5527">
          <cell r="D5527" t="str">
            <v>CSE-510FT-203B</v>
          </cell>
          <cell r="E5527" t="str">
            <v>C5100LL02RA0356</v>
          </cell>
          <cell r="K5527" t="str">
            <v>RO/2021/005476/A 2z2</v>
          </cell>
        </row>
        <row r="5528">
          <cell r="D5528" t="str">
            <v>PWS-203-1H</v>
          </cell>
          <cell r="E5528" t="str">
            <v>P20310L28G26580</v>
          </cell>
          <cell r="K5528" t="str">
            <v>RO/2021/005476/A 2z2</v>
          </cell>
        </row>
        <row r="5529">
          <cell r="D5529" t="str">
            <v>MBD-X11SCZ-F</v>
          </cell>
          <cell r="E5529" t="str">
            <v>VM21AS005497</v>
          </cell>
          <cell r="K5529" t="str">
            <v>RO/2021/005476/A 2z2</v>
          </cell>
        </row>
        <row r="5530">
          <cell r="D5530" t="str">
            <v>BPN-SAS-510T</v>
          </cell>
          <cell r="E5530" t="str">
            <v>EB20BS008950</v>
          </cell>
          <cell r="K5530" t="str">
            <v>RO/2021/005476/A 2z2</v>
          </cell>
        </row>
        <row r="5531">
          <cell r="D5531" t="str">
            <v>RSC-RR1U-E16</v>
          </cell>
          <cell r="E5531" t="str">
            <v>VR21CS006650</v>
          </cell>
          <cell r="K5531" t="str">
            <v>RO/2021/005476/A 2z2</v>
          </cell>
        </row>
        <row r="5532">
          <cell r="D5532" t="str">
            <v>CSE-113AC2-605WB</v>
          </cell>
          <cell r="E5532" t="str">
            <v>C1130LK43P60066</v>
          </cell>
        </row>
        <row r="5533">
          <cell r="D5533" t="str">
            <v>CSE-745BTQ-R920B</v>
          </cell>
          <cell r="E5533" t="str">
            <v>C7450FK45P30432</v>
          </cell>
        </row>
        <row r="5534">
          <cell r="D5534" t="str">
            <v>CSE-826BAC4-R920WB</v>
          </cell>
          <cell r="E5534" t="str">
            <v>C8260FK42P90043</v>
          </cell>
        </row>
        <row r="5535">
          <cell r="D5535" t="str">
            <v>CSE-826BAC4-R920WB</v>
          </cell>
          <cell r="E5535" t="str">
            <v>C8260FK42P90044</v>
          </cell>
        </row>
        <row r="5536">
          <cell r="D5536" t="str">
            <v>CSE-826BAC4-R920WB</v>
          </cell>
          <cell r="E5536" t="str">
            <v>C8260FK42P90029</v>
          </cell>
        </row>
        <row r="5537">
          <cell r="D5537" t="str">
            <v>CSE-826BAC4-R920WB</v>
          </cell>
          <cell r="E5537" t="str">
            <v>C8260FK42P90021</v>
          </cell>
        </row>
        <row r="5538">
          <cell r="D5538" t="str">
            <v>CSE-826BAC4-R920WB</v>
          </cell>
          <cell r="E5538" t="str">
            <v>C8260FK42P90028</v>
          </cell>
        </row>
        <row r="5539">
          <cell r="D5539" t="str">
            <v>SYS-5019C-MR</v>
          </cell>
          <cell r="E5539" t="str">
            <v>A326099X2203627</v>
          </cell>
        </row>
        <row r="5540">
          <cell r="D5540" t="str">
            <v>CSE</v>
          </cell>
          <cell r="E5540" t="str">
            <v>C813MLK37P50197</v>
          </cell>
        </row>
        <row r="5541">
          <cell r="D5541" t="str">
            <v>PWS</v>
          </cell>
          <cell r="E5541" t="str">
            <v>P407PCL41EN0591</v>
          </cell>
        </row>
        <row r="5542">
          <cell r="D5542" t="str">
            <v>PWS</v>
          </cell>
          <cell r="E5542" t="str">
            <v>P407PCL41EN0592</v>
          </cell>
        </row>
        <row r="5543">
          <cell r="D5543" t="str">
            <v>MBD</v>
          </cell>
          <cell r="E5543" t="str">
            <v>ZM21CS012908</v>
          </cell>
        </row>
        <row r="5544">
          <cell r="D5544" t="str">
            <v>BPN</v>
          </cell>
          <cell r="E5544" t="str">
            <v>EB21BS018084</v>
          </cell>
        </row>
        <row r="5545">
          <cell r="D5545" t="str">
            <v>RSC</v>
          </cell>
          <cell r="E5545" t="str">
            <v>VR221S006850</v>
          </cell>
        </row>
        <row r="5546">
          <cell r="D5546" t="str">
            <v>SYS-1019C-HTN2</v>
          </cell>
          <cell r="E5546" t="str">
            <v>A345069X2205149</v>
          </cell>
          <cell r="K5546" t="str">
            <v>RO/2021/005385/A 2z2</v>
          </cell>
        </row>
        <row r="5547">
          <cell r="D5547" t="str">
            <v>CSE-510FT-203B</v>
          </cell>
          <cell r="E5547" t="str">
            <v>C5100LL02RA0357</v>
          </cell>
          <cell r="K5547" t="str">
            <v>RO/2021/005385/A 2z2</v>
          </cell>
        </row>
        <row r="5548">
          <cell r="D5548" t="str">
            <v>PWS-203-1H</v>
          </cell>
          <cell r="E5548" t="str">
            <v>P20310L28G26572</v>
          </cell>
          <cell r="K5548" t="str">
            <v>RO/2021/005385/A 2z2</v>
          </cell>
        </row>
        <row r="5549">
          <cell r="D5549" t="str">
            <v>MBD-X11SCZ-F</v>
          </cell>
          <cell r="E5549" t="str">
            <v>VM21AS005490</v>
          </cell>
          <cell r="K5549" t="str">
            <v>RO/2021/005385/A 2z2</v>
          </cell>
        </row>
        <row r="5550">
          <cell r="D5550" t="str">
            <v>BPN-SAS-510T</v>
          </cell>
          <cell r="E5550" t="str">
            <v>EB213S002958</v>
          </cell>
          <cell r="K5550" t="str">
            <v>RO/2021/005385/A 2z2</v>
          </cell>
        </row>
        <row r="5551">
          <cell r="D5551" t="str">
            <v>RSC-RR1U-E16</v>
          </cell>
          <cell r="E5551" t="str">
            <v>VR21CS006629</v>
          </cell>
          <cell r="K5551" t="str">
            <v>RO/2021/005385/A 2z2</v>
          </cell>
        </row>
        <row r="5552">
          <cell r="D5552" t="str">
            <v>SYS-1019C-HTN2</v>
          </cell>
          <cell r="E5552" t="str">
            <v>A345069X2205146</v>
          </cell>
          <cell r="K5552" t="str">
            <v>RO/2021/005385/A 1z2</v>
          </cell>
        </row>
        <row r="5553">
          <cell r="D5553" t="str">
            <v>CSE-510FT-203B</v>
          </cell>
          <cell r="E5553" t="str">
            <v>C5100LL02RA0329</v>
          </cell>
          <cell r="K5553" t="str">
            <v>RO/2021/005385/A 1z2</v>
          </cell>
        </row>
        <row r="5554">
          <cell r="D5554" t="str">
            <v>PWS-203-1H</v>
          </cell>
          <cell r="E5554" t="str">
            <v>P20310L28G26576</v>
          </cell>
          <cell r="K5554" t="str">
            <v>RO/2021/005385/A 1z2</v>
          </cell>
        </row>
        <row r="5555">
          <cell r="D5555" t="str">
            <v>MBD-X11SCZ-F</v>
          </cell>
          <cell r="E5555" t="str">
            <v>VM21AS005489</v>
          </cell>
          <cell r="K5555" t="str">
            <v>RO/2021/005385/A 1z2</v>
          </cell>
        </row>
        <row r="5556">
          <cell r="D5556" t="str">
            <v>BPN-SAS-510T</v>
          </cell>
          <cell r="E5556" t="str">
            <v>EB20BS008942</v>
          </cell>
          <cell r="K5556" t="str">
            <v>RO/2021/005385/A 1z2</v>
          </cell>
        </row>
        <row r="5557">
          <cell r="D5557" t="str">
            <v>RSC-RR1U-E16</v>
          </cell>
          <cell r="E5557" t="str">
            <v>VR21CS006632</v>
          </cell>
          <cell r="K5557" t="str">
            <v>RO/2021/005385/A 1z2</v>
          </cell>
        </row>
        <row r="5558">
          <cell r="D5558" t="str">
            <v>HDS-M2T-MTFDDAK960TDS1AW</v>
          </cell>
          <cell r="E5558">
            <v>214332341711</v>
          </cell>
        </row>
        <row r="5559">
          <cell r="D5559" t="str">
            <v>HDS-M2T-MTFDDAK960TDS1AW</v>
          </cell>
          <cell r="E5559" t="str">
            <v>214332341A12</v>
          </cell>
        </row>
        <row r="5560">
          <cell r="D5560" t="str">
            <v>HDS-M2T-MTFDDAK960TDS1AW</v>
          </cell>
          <cell r="E5560" t="str">
            <v>2143323417C9</v>
          </cell>
        </row>
        <row r="5561">
          <cell r="D5561" t="str">
            <v>HDS-M2T-MTFDDAK960TDS1AW</v>
          </cell>
          <cell r="E5561">
            <v>214332341775</v>
          </cell>
        </row>
        <row r="5562">
          <cell r="D5562" t="str">
            <v>HDS-M2T-MTFDDAK960TDS1AW</v>
          </cell>
          <cell r="E5562" t="str">
            <v>21433234174A</v>
          </cell>
        </row>
        <row r="5563">
          <cell r="D5563" t="str">
            <v>HDS-M2T-MTFDDAK960TDS1AW</v>
          </cell>
          <cell r="E5563" t="str">
            <v>21433234178C</v>
          </cell>
        </row>
        <row r="5564">
          <cell r="D5564" t="str">
            <v>HDS-M2T-MTFDDAK960TDS1AW</v>
          </cell>
          <cell r="E5564" t="str">
            <v>2143323417B7</v>
          </cell>
        </row>
        <row r="5565">
          <cell r="D5565" t="str">
            <v>HDS-M2T-MTFDDAK960TDS1AW</v>
          </cell>
          <cell r="E5565" t="str">
            <v>2143323419EF</v>
          </cell>
        </row>
        <row r="5566">
          <cell r="D5566" t="str">
            <v>HDS-M2T-MTFDDAK960TDS1AW</v>
          </cell>
          <cell r="E5566" t="str">
            <v>214332341A3B</v>
          </cell>
        </row>
        <row r="5567">
          <cell r="D5567" t="str">
            <v>HDS-M2T-MTFDDAK960TDS1AW</v>
          </cell>
          <cell r="E5567" t="str">
            <v>214332341A34</v>
          </cell>
        </row>
        <row r="5568">
          <cell r="D5568" t="str">
            <v>HDS-M2T-MTFDDAK960TDS1AW</v>
          </cell>
          <cell r="E5568" t="str">
            <v>214332341DE5</v>
          </cell>
        </row>
        <row r="5569">
          <cell r="D5569" t="str">
            <v>HDS-M2T-MTFDDAK960TDS1AW</v>
          </cell>
          <cell r="E5569" t="str">
            <v>214332341DB2</v>
          </cell>
        </row>
        <row r="5570">
          <cell r="D5570" t="str">
            <v>HDS-M2T-MTFDDAK960TDS1AW</v>
          </cell>
          <cell r="E5570">
            <v>2.14332341E+31</v>
          </cell>
        </row>
        <row r="5571">
          <cell r="D5571" t="str">
            <v>HDS-M2T-MTFDDAK960TDS1AW</v>
          </cell>
          <cell r="E5571">
            <v>21433234100000</v>
          </cell>
        </row>
        <row r="5572">
          <cell r="D5572" t="str">
            <v>HDS-M2T-MTFDDAK960TDS1AW</v>
          </cell>
          <cell r="E5572" t="str">
            <v>214332341DE0</v>
          </cell>
        </row>
        <row r="5573">
          <cell r="D5573" t="str">
            <v>HDS-M2T-MTFDDAK960TDS1AW</v>
          </cell>
          <cell r="E5573" t="str">
            <v>214332341DB1</v>
          </cell>
        </row>
        <row r="5574">
          <cell r="D5574" t="str">
            <v>HDS-M2T-MTFDDAK960TDS1AW</v>
          </cell>
          <cell r="E5574" t="str">
            <v>214332341E0C</v>
          </cell>
        </row>
        <row r="5575">
          <cell r="D5575" t="str">
            <v>HDS-M2T-MTFDDAK960TDS1AW</v>
          </cell>
          <cell r="E5575" t="str">
            <v>214332341A2B</v>
          </cell>
        </row>
        <row r="5576">
          <cell r="D5576" t="str">
            <v>HDS-M2T-MTFDDAK960TDS1AW</v>
          </cell>
          <cell r="E5576" t="str">
            <v>214332341A62</v>
          </cell>
        </row>
        <row r="5577">
          <cell r="D5577" t="str">
            <v>HDS-M2T-MTFDDAK960TDS1AW</v>
          </cell>
          <cell r="E5577" t="str">
            <v>214332341A6D</v>
          </cell>
        </row>
        <row r="5578">
          <cell r="D5578" t="str">
            <v>HDS-SMN0-MZ1L2960HCJRA7</v>
          </cell>
          <cell r="E5578" t="str">
            <v>S665NE0RC01781</v>
          </cell>
          <cell r="K5578" t="str">
            <v>TESTOWY M.BOGUSZ</v>
          </cell>
        </row>
        <row r="5579">
          <cell r="D5579" t="str">
            <v>HDS-SMN0-MZ1L2960HCJRA7</v>
          </cell>
          <cell r="E5579" t="str">
            <v>S665NE0RC01840</v>
          </cell>
          <cell r="K5579" t="str">
            <v>TESTOWY M.BOGUSZ</v>
          </cell>
        </row>
        <row r="5580">
          <cell r="D5580" t="str">
            <v>AOC-VROCSTNMOD</v>
          </cell>
          <cell r="E5580" t="str">
            <v>QSVC735S007P</v>
          </cell>
          <cell r="K5580" t="str">
            <v>TESTOWY M.BOGUSZ</v>
          </cell>
        </row>
        <row r="5581">
          <cell r="D5581" t="str">
            <v>RSC-W-68</v>
          </cell>
          <cell r="E5581" t="str">
            <v>ZR21BS006031</v>
          </cell>
        </row>
        <row r="5582">
          <cell r="D5582" t="str">
            <v>RSC-W-68</v>
          </cell>
          <cell r="E5582" t="str">
            <v>ZR21BS006064</v>
          </cell>
        </row>
        <row r="5583">
          <cell r="D5583" t="str">
            <v>RSC-W-68</v>
          </cell>
          <cell r="E5583" t="str">
            <v>ZR21BS006036</v>
          </cell>
        </row>
        <row r="5584">
          <cell r="D5584" t="str">
            <v>RSC-W-68</v>
          </cell>
          <cell r="E5584" t="str">
            <v>ZR21BS006588</v>
          </cell>
        </row>
        <row r="5585">
          <cell r="D5585" t="str">
            <v>RSC-W-68</v>
          </cell>
          <cell r="E5585" t="str">
            <v>ZR21BS006605</v>
          </cell>
        </row>
        <row r="5586">
          <cell r="D5586" t="str">
            <v>RSC-W-68</v>
          </cell>
          <cell r="E5586" t="str">
            <v>ZR21BS006608</v>
          </cell>
        </row>
        <row r="5587">
          <cell r="D5587" t="str">
            <v>RSC-W-68</v>
          </cell>
          <cell r="E5587" t="str">
            <v>ZR21BS006607</v>
          </cell>
        </row>
        <row r="5588">
          <cell r="D5588" t="str">
            <v>RSC-W-68</v>
          </cell>
          <cell r="E5588" t="str">
            <v>ZR21BS006652</v>
          </cell>
        </row>
        <row r="5589">
          <cell r="D5589" t="str">
            <v>RSC-W-68</v>
          </cell>
          <cell r="E5589" t="str">
            <v>ZR21BS006564</v>
          </cell>
        </row>
        <row r="5590">
          <cell r="D5590" t="str">
            <v>RSC-W-68</v>
          </cell>
          <cell r="E5590" t="str">
            <v>ZR21BS006591</v>
          </cell>
        </row>
        <row r="5591">
          <cell r="D5591" t="str">
            <v>RSC-W-68</v>
          </cell>
          <cell r="E5591" t="str">
            <v>ZR21BS006515</v>
          </cell>
        </row>
        <row r="5592">
          <cell r="D5592" t="str">
            <v>RSC-W-68</v>
          </cell>
          <cell r="E5592" t="str">
            <v>ZR21BS006332</v>
          </cell>
        </row>
        <row r="5593">
          <cell r="D5593" t="str">
            <v>RSC-W-68</v>
          </cell>
          <cell r="E5593" t="str">
            <v>ZR21BS006278</v>
          </cell>
        </row>
        <row r="5594">
          <cell r="D5594" t="str">
            <v>RSC-W-68</v>
          </cell>
          <cell r="E5594" t="str">
            <v>ZR21BS006664</v>
          </cell>
        </row>
        <row r="5595">
          <cell r="D5595" t="str">
            <v>RSC-W-68</v>
          </cell>
          <cell r="E5595" t="str">
            <v>ZR21BS006524</v>
          </cell>
        </row>
        <row r="5596">
          <cell r="D5596" t="str">
            <v>RSC-W-68</v>
          </cell>
          <cell r="E5596" t="str">
            <v>ZR21BS006242</v>
          </cell>
        </row>
        <row r="5597">
          <cell r="D5597" t="str">
            <v>RSC-W-68</v>
          </cell>
          <cell r="E5597" t="str">
            <v>ZR21BS006566</v>
          </cell>
        </row>
        <row r="5598">
          <cell r="D5598" t="str">
            <v>RSC-W-68</v>
          </cell>
          <cell r="E5598" t="str">
            <v>ZR21BS006533</v>
          </cell>
        </row>
        <row r="5599">
          <cell r="D5599" t="str">
            <v>RSC-W-68</v>
          </cell>
          <cell r="E5599" t="str">
            <v>ZR21BS006359</v>
          </cell>
        </row>
        <row r="5600">
          <cell r="D5600" t="str">
            <v>RSC-W-68</v>
          </cell>
          <cell r="E5600" t="str">
            <v>ZR21BS006519</v>
          </cell>
        </row>
        <row r="5601">
          <cell r="D5601" t="str">
            <v>RSC-W-68</v>
          </cell>
          <cell r="E5601" t="str">
            <v>ZR21BS006602</v>
          </cell>
        </row>
        <row r="5602">
          <cell r="D5602" t="str">
            <v>RSC-W-68</v>
          </cell>
          <cell r="E5602" t="str">
            <v>ZR21BS006665</v>
          </cell>
        </row>
        <row r="5603">
          <cell r="D5603" t="str">
            <v>RSC-W-68</v>
          </cell>
          <cell r="E5603" t="str">
            <v>ZR21BS006600</v>
          </cell>
        </row>
        <row r="5604">
          <cell r="D5604" t="str">
            <v>RSC-W-68</v>
          </cell>
          <cell r="E5604" t="str">
            <v>ZR21BS006063</v>
          </cell>
        </row>
        <row r="5605">
          <cell r="D5605" t="str">
            <v>RSC-W-68</v>
          </cell>
          <cell r="E5605" t="str">
            <v>ZR21BS006654</v>
          </cell>
        </row>
        <row r="5606">
          <cell r="D5606" t="str">
            <v>RSC-W-68</v>
          </cell>
          <cell r="E5606" t="str">
            <v>ZR21BS006039</v>
          </cell>
        </row>
        <row r="5607">
          <cell r="D5607" t="str">
            <v>RSC-W-68</v>
          </cell>
          <cell r="E5607" t="str">
            <v>ZR21BS006594</v>
          </cell>
        </row>
        <row r="5608">
          <cell r="D5608" t="str">
            <v>RSC-W-68</v>
          </cell>
          <cell r="E5608" t="str">
            <v>ZR21BS004493</v>
          </cell>
        </row>
        <row r="5609">
          <cell r="D5609" t="str">
            <v>RSC-W-68</v>
          </cell>
          <cell r="E5609" t="str">
            <v>ZR21BS006045</v>
          </cell>
        </row>
        <row r="5610">
          <cell r="D5610" t="str">
            <v>RSC-W-68</v>
          </cell>
          <cell r="E5610" t="str">
            <v>ZR21BS006669</v>
          </cell>
        </row>
        <row r="5611">
          <cell r="D5611" t="str">
            <v>RSC-R1UW-E8R</v>
          </cell>
          <cell r="E5611" t="str">
            <v>VR218S022047</v>
          </cell>
        </row>
        <row r="5612">
          <cell r="D5612" t="str">
            <v>RSC-R1UW-E8R</v>
          </cell>
          <cell r="E5612" t="str">
            <v>VR218S022046</v>
          </cell>
        </row>
        <row r="5613">
          <cell r="D5613" t="str">
            <v>RSC-R1UW-E8R</v>
          </cell>
          <cell r="E5613" t="str">
            <v>VR218S022045</v>
          </cell>
        </row>
        <row r="5614">
          <cell r="D5614" t="str">
            <v>RSC-R1UW-E8R</v>
          </cell>
          <cell r="E5614" t="str">
            <v>VR218S022044</v>
          </cell>
        </row>
        <row r="5615">
          <cell r="D5615" t="str">
            <v>RSC-R1UW-E8R</v>
          </cell>
          <cell r="E5615" t="str">
            <v>VR218S022043</v>
          </cell>
        </row>
        <row r="5616">
          <cell r="D5616" t="str">
            <v>RSC-R1UW-E8R</v>
          </cell>
          <cell r="E5616" t="str">
            <v>VR218S022042</v>
          </cell>
        </row>
        <row r="5617">
          <cell r="D5617" t="str">
            <v>RSC-R1UW-E8R</v>
          </cell>
          <cell r="E5617" t="str">
            <v>VR218S022034</v>
          </cell>
        </row>
        <row r="5618">
          <cell r="D5618" t="str">
            <v>RSC-R1UW-E8R</v>
          </cell>
          <cell r="E5618" t="str">
            <v>VR218S022041</v>
          </cell>
        </row>
        <row r="5619">
          <cell r="D5619" t="str">
            <v>RSC-R1UW-E8R</v>
          </cell>
          <cell r="E5619" t="str">
            <v>VR218S022039</v>
          </cell>
        </row>
        <row r="5620">
          <cell r="D5620" t="str">
            <v>RSC-R1UW-E8R</v>
          </cell>
          <cell r="E5620" t="str">
            <v>VR218S022037</v>
          </cell>
        </row>
        <row r="5621">
          <cell r="D5621" t="str">
            <v>RSC-R1UW-E8R</v>
          </cell>
          <cell r="E5621" t="str">
            <v>VR218S022031</v>
          </cell>
        </row>
        <row r="5622">
          <cell r="D5622" t="str">
            <v>RSC-R1UW-E8R</v>
          </cell>
          <cell r="E5622" t="str">
            <v>VR218S022032</v>
          </cell>
        </row>
        <row r="5623">
          <cell r="D5623" t="str">
            <v>RSC-R1UW-E8R</v>
          </cell>
          <cell r="E5623" t="str">
            <v>VR218S022033</v>
          </cell>
        </row>
        <row r="5624">
          <cell r="D5624" t="str">
            <v>RSC-R1UW-E8R</v>
          </cell>
          <cell r="E5624" t="str">
            <v>VR218S022035</v>
          </cell>
        </row>
        <row r="5625">
          <cell r="D5625" t="str">
            <v>RSC-R1UW-E8R</v>
          </cell>
          <cell r="E5625" t="str">
            <v>VR218S022036</v>
          </cell>
        </row>
        <row r="5626">
          <cell r="D5626" t="str">
            <v>RSC-R1UW-E8R</v>
          </cell>
          <cell r="E5626" t="str">
            <v>VR218S022038</v>
          </cell>
        </row>
        <row r="5627">
          <cell r="D5627" t="str">
            <v>RSC-R1UW-E8R</v>
          </cell>
          <cell r="E5627" t="str">
            <v>VR218S022052</v>
          </cell>
        </row>
        <row r="5628">
          <cell r="D5628" t="str">
            <v>RSC-R1UW-E8R</v>
          </cell>
          <cell r="E5628" t="str">
            <v>VR218S022061</v>
          </cell>
        </row>
        <row r="5629">
          <cell r="D5629" t="str">
            <v>RSC-R1UW-E8R</v>
          </cell>
          <cell r="E5629" t="str">
            <v>VR218S022060</v>
          </cell>
        </row>
        <row r="5630">
          <cell r="D5630" t="str">
            <v>RSC-R1UW-E8R</v>
          </cell>
          <cell r="E5630" t="str">
            <v>VR218S022059</v>
          </cell>
        </row>
        <row r="5631">
          <cell r="D5631" t="str">
            <v>RSC-R1UW-E8R</v>
          </cell>
          <cell r="E5631" t="str">
            <v>VR218S022040</v>
          </cell>
        </row>
        <row r="5632">
          <cell r="D5632" t="str">
            <v>RSC-R1UW-E8R</v>
          </cell>
          <cell r="E5632" t="str">
            <v>VR218S022014</v>
          </cell>
        </row>
        <row r="5633">
          <cell r="D5633" t="str">
            <v>RSC-R1UW-E8R</v>
          </cell>
          <cell r="E5633" t="str">
            <v>VR218S022015</v>
          </cell>
        </row>
        <row r="5634">
          <cell r="D5634" t="str">
            <v>RSC-R1UW-E8R</v>
          </cell>
          <cell r="E5634" t="str">
            <v>VR218S022017</v>
          </cell>
        </row>
        <row r="5635">
          <cell r="D5635" t="str">
            <v>RSC-R1UW-E8R</v>
          </cell>
          <cell r="E5635" t="str">
            <v>VR218S022016</v>
          </cell>
        </row>
        <row r="5636">
          <cell r="D5636" t="str">
            <v>RSC-R1UW-E8R</v>
          </cell>
          <cell r="E5636" t="str">
            <v>VR218S022019</v>
          </cell>
        </row>
        <row r="5637">
          <cell r="D5637" t="str">
            <v>RSC-R1UW-E8R</v>
          </cell>
          <cell r="E5637" t="str">
            <v>VR218S022020</v>
          </cell>
        </row>
        <row r="5638">
          <cell r="D5638" t="str">
            <v>RSC-R1UW-E8R</v>
          </cell>
          <cell r="E5638" t="str">
            <v>VR218S022018</v>
          </cell>
        </row>
        <row r="5639">
          <cell r="D5639" t="str">
            <v>RSC-R1UW-E8R</v>
          </cell>
          <cell r="E5639" t="str">
            <v>VR218S022029</v>
          </cell>
        </row>
        <row r="5640">
          <cell r="D5640" t="str">
            <v>RSC-R1UW-E8R</v>
          </cell>
          <cell r="E5640" t="str">
            <v>VR218S022030</v>
          </cell>
        </row>
        <row r="5641">
          <cell r="D5641" t="str">
            <v>AOC-VROCINTMOD</v>
          </cell>
          <cell r="E5641" t="str">
            <v>QSVC725I0B9Q</v>
          </cell>
        </row>
        <row r="5642">
          <cell r="D5642" t="str">
            <v>AOC-VROCINTMOD</v>
          </cell>
          <cell r="E5642" t="str">
            <v>QSVC725I0BAB</v>
          </cell>
        </row>
        <row r="5643">
          <cell r="D5643" t="str">
            <v>AOC-VROCINTMOD</v>
          </cell>
          <cell r="E5643" t="str">
            <v>QSVC725I0B9U</v>
          </cell>
        </row>
        <row r="5644">
          <cell r="D5644" t="str">
            <v>AOC-VROCINTMOD</v>
          </cell>
          <cell r="E5644" t="str">
            <v>QSVC725I0B9H</v>
          </cell>
        </row>
        <row r="5645">
          <cell r="D5645" t="str">
            <v>AOC-VROCINTMOD</v>
          </cell>
          <cell r="E5645" t="str">
            <v>QSVC725I0B9X</v>
          </cell>
        </row>
        <row r="5646">
          <cell r="D5646" t="str">
            <v>AOC-VROCINTMOD</v>
          </cell>
          <cell r="E5646" t="str">
            <v>QSVC729I01I4</v>
          </cell>
        </row>
        <row r="5647">
          <cell r="D5647" t="str">
            <v>AOC-VROCINTMOD</v>
          </cell>
          <cell r="E5647" t="str">
            <v>QSVC729I01IB</v>
          </cell>
        </row>
        <row r="5648">
          <cell r="D5648" t="str">
            <v>AOC-VROCINTMOD</v>
          </cell>
          <cell r="E5648" t="str">
            <v>QSVC729I01IA</v>
          </cell>
        </row>
        <row r="5649">
          <cell r="D5649" t="str">
            <v>AOC-VROCINTMOD</v>
          </cell>
          <cell r="E5649" t="str">
            <v>QSVC729I01ZG</v>
          </cell>
        </row>
        <row r="5650">
          <cell r="D5650" t="str">
            <v>AOC-VROCINTMOD</v>
          </cell>
          <cell r="E5650" t="str">
            <v>QSVC729I01IC</v>
          </cell>
        </row>
        <row r="5651">
          <cell r="D5651" t="str">
            <v>AOC-VROCINTMOD</v>
          </cell>
          <cell r="E5651" t="str">
            <v>QSVC729I02AL</v>
          </cell>
        </row>
        <row r="5652">
          <cell r="D5652" t="str">
            <v>AOC-VROCINTMOD</v>
          </cell>
          <cell r="E5652" t="str">
            <v>QSVC729I02AM</v>
          </cell>
        </row>
        <row r="5653">
          <cell r="D5653" t="str">
            <v>AOC-VROCINTMOD</v>
          </cell>
          <cell r="E5653" t="str">
            <v>QSVC729I02A2</v>
          </cell>
        </row>
        <row r="5654">
          <cell r="D5654" t="str">
            <v>AOC-VROCINTMOD</v>
          </cell>
          <cell r="E5654" t="str">
            <v>QSVC729I02AP</v>
          </cell>
        </row>
        <row r="5655">
          <cell r="D5655" t="str">
            <v>AOC-VROCINTMOD</v>
          </cell>
          <cell r="E5655" t="str">
            <v>QSVC729I02AF</v>
          </cell>
        </row>
        <row r="5656">
          <cell r="D5656" t="str">
            <v>AOC-VROCINTMOD</v>
          </cell>
          <cell r="E5656" t="str">
            <v>QSVC729I0480</v>
          </cell>
        </row>
        <row r="5657">
          <cell r="D5657" t="str">
            <v>AOC-VROCINTMOD</v>
          </cell>
          <cell r="E5657" t="str">
            <v>QSVC729I047S</v>
          </cell>
        </row>
        <row r="5658">
          <cell r="D5658" t="str">
            <v>AOC-VROCINTMOD</v>
          </cell>
          <cell r="E5658" t="str">
            <v>QSVC729I0481</v>
          </cell>
        </row>
        <row r="5659">
          <cell r="D5659" t="str">
            <v>AOC-VROCINTMOD</v>
          </cell>
          <cell r="E5659" t="str">
            <v>QSVC729I0482</v>
          </cell>
        </row>
        <row r="5660">
          <cell r="D5660" t="str">
            <v>AOC-VROCINTMOD</v>
          </cell>
          <cell r="E5660" t="str">
            <v>QSVC729I047Z</v>
          </cell>
        </row>
        <row r="5661">
          <cell r="D5661" t="str">
            <v>AOC-VROCSTNMOD</v>
          </cell>
          <cell r="E5661" t="str">
            <v>QSVC735S00RI</v>
          </cell>
        </row>
        <row r="5662">
          <cell r="D5662" t="str">
            <v>AOC-VROCSTNMOD</v>
          </cell>
          <cell r="E5662" t="str">
            <v>QSVC735S00O7</v>
          </cell>
        </row>
        <row r="5663">
          <cell r="D5663" t="str">
            <v>AOC-VROCSTNMOD</v>
          </cell>
          <cell r="E5663" t="str">
            <v>QSVC735S00O6</v>
          </cell>
        </row>
        <row r="5664">
          <cell r="D5664" t="str">
            <v>AOC-VROCSTNMOD</v>
          </cell>
          <cell r="E5664" t="str">
            <v>QSVC735S00O8</v>
          </cell>
        </row>
        <row r="5665">
          <cell r="D5665" t="str">
            <v>AOC-VROCSTNMOD</v>
          </cell>
          <cell r="E5665" t="str">
            <v>QSVC735S00Q8</v>
          </cell>
        </row>
        <row r="5666">
          <cell r="D5666" t="str">
            <v>AOC-VROCSTNMOD</v>
          </cell>
          <cell r="E5666" t="str">
            <v>QSVC735S020S</v>
          </cell>
        </row>
        <row r="5667">
          <cell r="D5667" t="str">
            <v>AOC-VROCSTNMOD</v>
          </cell>
          <cell r="E5667" t="str">
            <v>QSVC735S020N</v>
          </cell>
        </row>
        <row r="5668">
          <cell r="D5668" t="str">
            <v>AOC-VROCSTNMOD</v>
          </cell>
          <cell r="E5668" t="str">
            <v>QSVC735S020W</v>
          </cell>
        </row>
        <row r="5669">
          <cell r="D5669" t="str">
            <v>AOC-VROCSTNMOD</v>
          </cell>
          <cell r="E5669" t="str">
            <v>QSVC735S020X</v>
          </cell>
        </row>
        <row r="5670">
          <cell r="D5670" t="str">
            <v>AOC-VROCSTNMOD</v>
          </cell>
          <cell r="E5670" t="str">
            <v>QSVC735S020R</v>
          </cell>
        </row>
        <row r="5671">
          <cell r="D5671" t="str">
            <v>AOC-VROCSTNMOD</v>
          </cell>
          <cell r="E5671" t="str">
            <v>QSVC735S01HQ</v>
          </cell>
        </row>
        <row r="5672">
          <cell r="D5672" t="str">
            <v>AOC-VROCSTNMOD</v>
          </cell>
          <cell r="E5672" t="str">
            <v>QSVC735S01JA</v>
          </cell>
        </row>
        <row r="5673">
          <cell r="D5673" t="str">
            <v>AOC-VROCSTNMOD</v>
          </cell>
          <cell r="E5673" t="str">
            <v>QSVC735S01JZ</v>
          </cell>
        </row>
        <row r="5674">
          <cell r="D5674" t="str">
            <v>AOC-VROCSTNMOD</v>
          </cell>
          <cell r="E5674" t="str">
            <v>QSVC735S00GO</v>
          </cell>
        </row>
        <row r="5675">
          <cell r="D5675" t="str">
            <v>AOC-VROCSTNMOD</v>
          </cell>
          <cell r="E5675" t="str">
            <v>QSVC735S01HS</v>
          </cell>
        </row>
        <row r="5676">
          <cell r="D5676" t="str">
            <v>AOC-VROCSTNMOD</v>
          </cell>
          <cell r="E5676" t="str">
            <v>QSVC735S016Y</v>
          </cell>
        </row>
        <row r="5677">
          <cell r="D5677" t="str">
            <v>AOC-VROCSTNMOD</v>
          </cell>
          <cell r="E5677" t="str">
            <v>QSVC735S016R</v>
          </cell>
        </row>
        <row r="5678">
          <cell r="D5678" t="str">
            <v>AOC-VROCSTNMOD</v>
          </cell>
          <cell r="E5678" t="str">
            <v>QSVC735S016I</v>
          </cell>
        </row>
        <row r="5679">
          <cell r="D5679" t="str">
            <v>AOC-VROCSTNMOD</v>
          </cell>
          <cell r="E5679" t="str">
            <v>QSVC735S016O</v>
          </cell>
        </row>
        <row r="5680">
          <cell r="D5680" t="str">
            <v>AOC-VROCSTNMOD</v>
          </cell>
          <cell r="E5680" t="str">
            <v>QSVC735S016N</v>
          </cell>
        </row>
        <row r="5681">
          <cell r="D5681" t="str">
            <v>AOC-VROCSTNMOD</v>
          </cell>
          <cell r="E5681" t="str">
            <v>QSVC735S00B9</v>
          </cell>
        </row>
        <row r="5682">
          <cell r="D5682" t="str">
            <v>AOC-VROCSTNMOD</v>
          </cell>
          <cell r="E5682" t="str">
            <v>QSVC735S00B6</v>
          </cell>
        </row>
        <row r="5683">
          <cell r="D5683" t="str">
            <v>AOC-VROCSTNMOD</v>
          </cell>
          <cell r="E5683" t="str">
            <v>QSVC735S00B5</v>
          </cell>
        </row>
        <row r="5684">
          <cell r="D5684" t="str">
            <v>AOC-VROCSTNMOD</v>
          </cell>
          <cell r="E5684" t="str">
            <v>QSVC735S00BB</v>
          </cell>
        </row>
        <row r="5685">
          <cell r="D5685" t="str">
            <v>AOC-VROCSTNMOD</v>
          </cell>
          <cell r="E5685" t="str">
            <v>QSVC735S00AY</v>
          </cell>
        </row>
        <row r="5686">
          <cell r="D5686" t="str">
            <v>AOC-VROCSTNMOD</v>
          </cell>
          <cell r="E5686" t="str">
            <v>QSVC735S01HK</v>
          </cell>
        </row>
        <row r="5687">
          <cell r="D5687" t="str">
            <v>AOC-VROCSTNMOD</v>
          </cell>
          <cell r="E5687" t="str">
            <v>QSVC735S01AE</v>
          </cell>
        </row>
        <row r="5688">
          <cell r="D5688" t="str">
            <v>AOC-VROCSTNMOD</v>
          </cell>
          <cell r="E5688" t="str">
            <v>QSVC735S01A8</v>
          </cell>
        </row>
        <row r="5689">
          <cell r="D5689" t="str">
            <v>AOC-VROCSTNMOD</v>
          </cell>
          <cell r="E5689" t="str">
            <v>QSVC735S01A1</v>
          </cell>
        </row>
        <row r="5690">
          <cell r="D5690" t="str">
            <v>AOC-VROCSTNMOD</v>
          </cell>
          <cell r="E5690" t="str">
            <v>QSVC735S01AC</v>
          </cell>
        </row>
        <row r="5691">
          <cell r="D5691" t="str">
            <v>AOC-VROCSTNMOD</v>
          </cell>
          <cell r="E5691" t="str">
            <v>QSVC735S016K</v>
          </cell>
        </row>
        <row r="5692">
          <cell r="D5692" t="str">
            <v>AOC-VROCSTNMOD</v>
          </cell>
          <cell r="E5692" t="str">
            <v>QSVC735S0166</v>
          </cell>
        </row>
        <row r="5693">
          <cell r="D5693" t="str">
            <v>AOC-VROCSTNMOD</v>
          </cell>
          <cell r="E5693" t="str">
            <v>QSVC735S0165</v>
          </cell>
        </row>
        <row r="5694">
          <cell r="D5694" t="str">
            <v>AOC-VROCSTNMOD</v>
          </cell>
          <cell r="E5694" t="str">
            <v>QSVC735S0162</v>
          </cell>
        </row>
        <row r="5695">
          <cell r="D5695" t="str">
            <v>AOC-VROCSTNMOD</v>
          </cell>
          <cell r="E5695" t="str">
            <v>QSVC735S0164</v>
          </cell>
        </row>
        <row r="5696">
          <cell r="D5696" t="str">
            <v>AOC-VROCSTNMOD</v>
          </cell>
          <cell r="E5696" t="str">
            <v>QSVC735S00Y8</v>
          </cell>
        </row>
        <row r="5697">
          <cell r="D5697" t="str">
            <v>AOC-VROCSTNMOD</v>
          </cell>
          <cell r="E5697" t="str">
            <v>QSVC735S00XW</v>
          </cell>
        </row>
        <row r="5698">
          <cell r="D5698" t="str">
            <v>AOC-VROCSTNMOD</v>
          </cell>
          <cell r="E5698" t="str">
            <v>QSVC735S00Y7</v>
          </cell>
        </row>
        <row r="5699">
          <cell r="D5699" t="str">
            <v>AOC-VROCSTNMOD</v>
          </cell>
          <cell r="E5699" t="str">
            <v>QSVC735S00XZ</v>
          </cell>
        </row>
        <row r="5700">
          <cell r="D5700" t="str">
            <v>AOC-VROCSTNMOD</v>
          </cell>
          <cell r="E5700" t="str">
            <v>QSVC735S00YE</v>
          </cell>
        </row>
        <row r="5701">
          <cell r="D5701" t="str">
            <v>CVPM02  05-50038-00</v>
          </cell>
          <cell r="E5701" t="str">
            <v>SPB4226342</v>
          </cell>
        </row>
        <row r="5702">
          <cell r="D5702" t="str">
            <v>CVPM02  05-50038-00</v>
          </cell>
          <cell r="E5702" t="str">
            <v>SPB4226343</v>
          </cell>
        </row>
        <row r="5703">
          <cell r="D5703" t="str">
            <v>0B36039</v>
          </cell>
          <cell r="E5703" t="str">
            <v>V9KLM9LL</v>
          </cell>
        </row>
        <row r="5704">
          <cell r="D5704" t="str">
            <v>0B36039</v>
          </cell>
          <cell r="E5704" t="str">
            <v>V9KLMDYL</v>
          </cell>
        </row>
        <row r="5705">
          <cell r="D5705" t="str">
            <v>0F30146</v>
          </cell>
          <cell r="E5705" t="str">
            <v>5QJB3BZB</v>
          </cell>
        </row>
        <row r="5706">
          <cell r="D5706" t="str">
            <v>0F30146</v>
          </cell>
          <cell r="E5706" t="str">
            <v>5QJ9W0YB</v>
          </cell>
        </row>
        <row r="5707">
          <cell r="D5707" t="str">
            <v>0F30146</v>
          </cell>
          <cell r="E5707" t="str">
            <v>5QJB746B</v>
          </cell>
        </row>
        <row r="5708">
          <cell r="D5708" t="str">
            <v>0F30146</v>
          </cell>
          <cell r="E5708" t="str">
            <v>5QJB7LKB</v>
          </cell>
        </row>
        <row r="5709">
          <cell r="D5709" t="str">
            <v>0F30146</v>
          </cell>
          <cell r="E5709" t="str">
            <v>5QJAXUDB</v>
          </cell>
        </row>
        <row r="5710">
          <cell r="D5710" t="str">
            <v>0F30146</v>
          </cell>
          <cell r="E5710" t="str">
            <v>5QJAVP9B</v>
          </cell>
        </row>
        <row r="5711">
          <cell r="D5711" t="str">
            <v>0F30146</v>
          </cell>
          <cell r="E5711" t="str">
            <v>5QJBBBVB</v>
          </cell>
        </row>
        <row r="5712">
          <cell r="D5712" t="str">
            <v>0F30146</v>
          </cell>
          <cell r="E5712" t="str">
            <v>5QJB7PRB</v>
          </cell>
        </row>
        <row r="5713">
          <cell r="D5713" t="str">
            <v>0F30146</v>
          </cell>
          <cell r="E5713" t="str">
            <v>5QJAUMAB</v>
          </cell>
        </row>
        <row r="5714">
          <cell r="D5714" t="str">
            <v>0F30146</v>
          </cell>
          <cell r="E5714" t="str">
            <v>5QJB3ZMB</v>
          </cell>
        </row>
        <row r="5715">
          <cell r="D5715" t="str">
            <v>0F30146</v>
          </cell>
          <cell r="E5715" t="str">
            <v>5QJ9X2HB</v>
          </cell>
        </row>
        <row r="5716">
          <cell r="D5716" t="str">
            <v>0F30146</v>
          </cell>
          <cell r="E5716" t="str">
            <v>5QJ9W1TB</v>
          </cell>
        </row>
        <row r="5717">
          <cell r="D5717" t="str">
            <v>0F30146</v>
          </cell>
          <cell r="E5717" t="str">
            <v>5QJBBAWB</v>
          </cell>
        </row>
        <row r="5718">
          <cell r="D5718" t="str">
            <v>0F30146</v>
          </cell>
          <cell r="E5718" t="str">
            <v>5QJB303B</v>
          </cell>
        </row>
        <row r="5719">
          <cell r="D5719" t="str">
            <v>0F30146</v>
          </cell>
          <cell r="E5719" t="str">
            <v>5QJB79EB</v>
          </cell>
        </row>
        <row r="5720">
          <cell r="D5720" t="str">
            <v>0F30146</v>
          </cell>
          <cell r="E5720" t="str">
            <v>5QJB4R7B</v>
          </cell>
        </row>
        <row r="5721">
          <cell r="D5721" t="str">
            <v>0F30146</v>
          </cell>
          <cell r="E5721" t="str">
            <v>5QJBB2DB</v>
          </cell>
        </row>
        <row r="5722">
          <cell r="D5722" t="str">
            <v>0F30146</v>
          </cell>
          <cell r="E5722" t="str">
            <v>5QJAV2LB</v>
          </cell>
        </row>
        <row r="5723">
          <cell r="D5723" t="str">
            <v>CD8069504449401 Xeon Gold 6248R</v>
          </cell>
          <cell r="E5723" t="str">
            <v>3203D740</v>
          </cell>
        </row>
        <row r="5724">
          <cell r="D5724" t="str">
            <v>CD8069504449401 Xeon Gold 6248R</v>
          </cell>
          <cell r="E5724" t="str">
            <v>3203D740</v>
          </cell>
        </row>
        <row r="5725">
          <cell r="D5725" t="str">
            <v>CD8069504449401 Xeon Gold 6248R</v>
          </cell>
          <cell r="E5725" t="str">
            <v>3203D740</v>
          </cell>
        </row>
        <row r="5726">
          <cell r="D5726" t="str">
            <v>CD8069504449401 Xeon Gold 6248R</v>
          </cell>
          <cell r="E5726" t="str">
            <v>3203D740</v>
          </cell>
        </row>
        <row r="5727">
          <cell r="D5727" t="str">
            <v>CD8069504449401 Xeon Gold 6248R</v>
          </cell>
          <cell r="E5727" t="str">
            <v>3203D740</v>
          </cell>
        </row>
        <row r="5728">
          <cell r="D5728" t="str">
            <v>CD8069504449401 Xeon Gold 6248R</v>
          </cell>
          <cell r="E5728" t="str">
            <v>3203D740</v>
          </cell>
        </row>
        <row r="5729">
          <cell r="D5729" t="str">
            <v>CD8069504449401 Xeon Gold 6248R</v>
          </cell>
          <cell r="E5729" t="str">
            <v>3203D740</v>
          </cell>
        </row>
        <row r="5730">
          <cell r="D5730" t="str">
            <v>CD8069504449401 Xeon Gold 6248R</v>
          </cell>
          <cell r="E5730" t="str">
            <v>3203D740</v>
          </cell>
        </row>
        <row r="5731">
          <cell r="D5731" t="str">
            <v>CD8069504449401 Xeon Gold 6248R</v>
          </cell>
          <cell r="E5731" t="str">
            <v>3203D740</v>
          </cell>
        </row>
        <row r="5732">
          <cell r="D5732" t="str">
            <v>CD8069504449401 Xeon Gold 6248R</v>
          </cell>
          <cell r="E5732" t="str">
            <v>3203D740</v>
          </cell>
        </row>
        <row r="5733">
          <cell r="D5733" t="str">
            <v>CD8069504449401 Xeon Gold 6248R</v>
          </cell>
          <cell r="E5733" t="str">
            <v>3203D740</v>
          </cell>
        </row>
        <row r="5734">
          <cell r="D5734" t="str">
            <v>CD8069504449401 Xeon Gold 6248R</v>
          </cell>
          <cell r="E5734" t="str">
            <v>3203D740</v>
          </cell>
        </row>
        <row r="5735">
          <cell r="D5735" t="str">
            <v>CD8069504449401 Xeon Gold 6248R</v>
          </cell>
          <cell r="E5735" t="str">
            <v>3203D740</v>
          </cell>
        </row>
        <row r="5736">
          <cell r="D5736" t="str">
            <v>CD8069504449401 Xeon Gold 6248R</v>
          </cell>
          <cell r="E5736" t="str">
            <v>3203D740</v>
          </cell>
        </row>
        <row r="5737">
          <cell r="D5737" t="str">
            <v>CD8069504449401 Xeon Gold 6248R</v>
          </cell>
          <cell r="E5737" t="str">
            <v>3203D740</v>
          </cell>
        </row>
        <row r="5738">
          <cell r="D5738" t="str">
            <v>CD8069504449401 Xeon Gold 6248R</v>
          </cell>
          <cell r="E5738" t="str">
            <v>3203D740</v>
          </cell>
        </row>
        <row r="5739">
          <cell r="D5739" t="str">
            <v>CD8069504449401 Xeon Gold 6248R</v>
          </cell>
          <cell r="E5739" t="str">
            <v>3203D740</v>
          </cell>
        </row>
        <row r="5740">
          <cell r="D5740" t="str">
            <v>CD8069504449401 Xeon Gold 6248R</v>
          </cell>
          <cell r="E5740" t="str">
            <v>3203D740</v>
          </cell>
        </row>
        <row r="5741">
          <cell r="D5741" t="str">
            <v>CD8069504449401 Xeon Gold 6248R</v>
          </cell>
          <cell r="E5741" t="str">
            <v>3203D740</v>
          </cell>
        </row>
        <row r="5742">
          <cell r="D5742" t="str">
            <v>CD8069504449401 Xeon Gold 6248R</v>
          </cell>
          <cell r="E5742" t="str">
            <v>3203D740</v>
          </cell>
        </row>
        <row r="5743">
          <cell r="D5743" t="str">
            <v>CD8069504449401 Xeon Gold 6248R</v>
          </cell>
          <cell r="E5743" t="str">
            <v>3149F560</v>
          </cell>
        </row>
        <row r="5744">
          <cell r="D5744" t="str">
            <v>CD8069504449401 Xeon Gold 6248R</v>
          </cell>
          <cell r="E5744" t="str">
            <v>3149F560</v>
          </cell>
        </row>
        <row r="5745">
          <cell r="D5745" t="str">
            <v>CD8069504449401 Xeon Gold 6248R</v>
          </cell>
          <cell r="E5745" t="str">
            <v>3149F560</v>
          </cell>
        </row>
        <row r="5746">
          <cell r="D5746" t="str">
            <v>CD8069504449401 Xeon Gold 6248R</v>
          </cell>
          <cell r="E5746" t="str">
            <v>3149F560</v>
          </cell>
        </row>
        <row r="5747">
          <cell r="D5747" t="str">
            <v>CD8069504449401 Xeon Gold 6248R</v>
          </cell>
          <cell r="E5747" t="str">
            <v>3149F560</v>
          </cell>
        </row>
        <row r="5748">
          <cell r="D5748" t="str">
            <v>CD8069504449401 Xeon Gold 6248R</v>
          </cell>
          <cell r="E5748" t="str">
            <v>3149F560</v>
          </cell>
        </row>
        <row r="5749">
          <cell r="D5749" t="str">
            <v>CD8069504449401 Xeon Gold 6248R</v>
          </cell>
          <cell r="E5749" t="str">
            <v>3149F560</v>
          </cell>
        </row>
        <row r="5750">
          <cell r="D5750" t="str">
            <v>CD8069504449401 Xeon Gold 6248R</v>
          </cell>
          <cell r="E5750" t="str">
            <v>3149F560</v>
          </cell>
        </row>
        <row r="5751">
          <cell r="D5751" t="str">
            <v>CD8069504449401 Xeon Gold 6248R</v>
          </cell>
          <cell r="E5751" t="str">
            <v>3149F560</v>
          </cell>
        </row>
        <row r="5752">
          <cell r="D5752" t="str">
            <v>CD8069504449401 Xeon Gold 6248R</v>
          </cell>
          <cell r="E5752" t="str">
            <v>3149F560</v>
          </cell>
        </row>
        <row r="5753">
          <cell r="D5753" t="str">
            <v>SAS 9300-8i   H5-25573-00</v>
          </cell>
          <cell r="E5753" t="str">
            <v>SPA4715941</v>
          </cell>
        </row>
        <row r="5754">
          <cell r="D5754" t="str">
            <v>SAS 9300-8i   H5-25573-00</v>
          </cell>
          <cell r="E5754" t="str">
            <v>SPA2519178</v>
          </cell>
        </row>
        <row r="5755">
          <cell r="D5755" t="str">
            <v>SAS 9300-8i   H5-25573-00</v>
          </cell>
          <cell r="E5755" t="str">
            <v>SPA2518638</v>
          </cell>
        </row>
        <row r="5756">
          <cell r="D5756" t="str">
            <v>SAS 9300-8i   H5-25573-00</v>
          </cell>
          <cell r="E5756" t="str">
            <v>SPA2517236</v>
          </cell>
        </row>
        <row r="5757">
          <cell r="D5757" t="str">
            <v>SAS 9300-8i   H5-25573-00</v>
          </cell>
          <cell r="E5757" t="str">
            <v>SPA2517908</v>
          </cell>
        </row>
        <row r="5758">
          <cell r="D5758" t="str">
            <v>SAS 9300-8i   H5-25573-00</v>
          </cell>
          <cell r="E5758" t="str">
            <v>SPA4715980</v>
          </cell>
        </row>
        <row r="5759">
          <cell r="D5759" t="str">
            <v>SAS 9300-8i   H5-25573-00</v>
          </cell>
          <cell r="E5759" t="str">
            <v>SPA2517087</v>
          </cell>
        </row>
        <row r="5760">
          <cell r="D5760" t="str">
            <v>SAS 9300-8i   H5-25573-00</v>
          </cell>
          <cell r="E5760" t="str">
            <v>SPA2517163</v>
          </cell>
        </row>
        <row r="5761">
          <cell r="D5761" t="str">
            <v>SAS 9300-8i   H5-25573-00</v>
          </cell>
          <cell r="E5761" t="str">
            <v>SPA2517598</v>
          </cell>
        </row>
        <row r="5762">
          <cell r="D5762" t="str">
            <v>SAS 9300-8i   H5-25573-00</v>
          </cell>
          <cell r="E5762" t="str">
            <v>SPA4715837</v>
          </cell>
        </row>
        <row r="5763">
          <cell r="D5763" t="str">
            <v>SAS 9300-8i   H5-25573-00</v>
          </cell>
          <cell r="E5763" t="str">
            <v>SPA4715889</v>
          </cell>
        </row>
        <row r="5764">
          <cell r="D5764" t="str">
            <v>SAS 9300-8i   H5-25573-00</v>
          </cell>
          <cell r="E5764" t="str">
            <v>SPA4716058</v>
          </cell>
        </row>
        <row r="5765">
          <cell r="D5765" t="str">
            <v>SAS 9300-8i   H5-25573-00</v>
          </cell>
          <cell r="E5765" t="str">
            <v>SPA2517291</v>
          </cell>
        </row>
        <row r="5766">
          <cell r="D5766" t="str">
            <v>SAS 9300-8i   H5-25573-00</v>
          </cell>
          <cell r="E5766" t="str">
            <v>SPA2518588</v>
          </cell>
        </row>
        <row r="5767">
          <cell r="D5767" t="str">
            <v>SAS 9300-8i   H5-25573-00</v>
          </cell>
          <cell r="E5767" t="str">
            <v>SPA4715798</v>
          </cell>
        </row>
        <row r="5768">
          <cell r="D5768" t="str">
            <v>SAS 9300-8i   H5-25573-00</v>
          </cell>
          <cell r="E5768" t="str">
            <v>SPA2518275</v>
          </cell>
        </row>
        <row r="5769">
          <cell r="D5769" t="str">
            <v>SAS 9300-8i   H5-25573-00</v>
          </cell>
          <cell r="E5769" t="str">
            <v>SPA4716357</v>
          </cell>
        </row>
        <row r="5770">
          <cell r="D5770" t="str">
            <v>SAS 9300-8i   H5-25573-00</v>
          </cell>
          <cell r="E5770" t="str">
            <v>SPA2516924</v>
          </cell>
        </row>
        <row r="5771">
          <cell r="D5771" t="str">
            <v>SAS 9300-8i   H5-25573-00</v>
          </cell>
          <cell r="E5771" t="str">
            <v>SPA2517412</v>
          </cell>
        </row>
        <row r="5772">
          <cell r="D5772" t="str">
            <v>SAS 9300-8i   H5-25573-00</v>
          </cell>
          <cell r="E5772" t="str">
            <v>SPA2518662</v>
          </cell>
        </row>
        <row r="5773">
          <cell r="D5773" t="str">
            <v>I350T4V2BLK</v>
          </cell>
          <cell r="E5773" t="str">
            <v>DEE774521FZH47822003</v>
          </cell>
        </row>
        <row r="5774">
          <cell r="D5774" t="str">
            <v>I350T4V2BLK</v>
          </cell>
          <cell r="E5774" t="str">
            <v>DEB4EC521FZH47822003</v>
          </cell>
        </row>
        <row r="5775">
          <cell r="D5775" t="str">
            <v>I350T4V2BLK</v>
          </cell>
          <cell r="E5775" t="str">
            <v>DECF94521FZH47822003</v>
          </cell>
        </row>
        <row r="5776">
          <cell r="D5776" t="str">
            <v>I350T4V2BLK</v>
          </cell>
          <cell r="E5776" t="str">
            <v>DEC62C521FZH47822003</v>
          </cell>
        </row>
        <row r="5777">
          <cell r="D5777" t="str">
            <v>I350T4V2BLK</v>
          </cell>
          <cell r="E5777" t="str">
            <v>DECA08521FZH47822003</v>
          </cell>
        </row>
        <row r="5778">
          <cell r="D5778" t="str">
            <v>I350T4V2BLK</v>
          </cell>
          <cell r="E5778" t="str">
            <v>DEC920521FZH47822003</v>
          </cell>
        </row>
        <row r="5779">
          <cell r="D5779" t="str">
            <v>I350T4V2BLK</v>
          </cell>
          <cell r="E5779" t="str">
            <v>DEAF50521FZH47822003</v>
          </cell>
        </row>
        <row r="5780">
          <cell r="D5780" t="str">
            <v>I350T4V2BLK</v>
          </cell>
          <cell r="E5780" t="str">
            <v>DEAF58521FZH47822003</v>
          </cell>
        </row>
        <row r="5781">
          <cell r="D5781" t="str">
            <v>I350T4V2BLK</v>
          </cell>
          <cell r="E5781" t="str">
            <v>DEAB3C521FZH47822003</v>
          </cell>
        </row>
        <row r="5782">
          <cell r="D5782" t="str">
            <v>I350T4V2BLK</v>
          </cell>
          <cell r="E5782" t="str">
            <v>DEC7CC521FZH47822003</v>
          </cell>
        </row>
        <row r="5783">
          <cell r="D5783" t="str">
            <v>I350T4V2BLK</v>
          </cell>
          <cell r="E5783" t="str">
            <v>DEC350521FZH47822003</v>
          </cell>
        </row>
        <row r="5784">
          <cell r="D5784" t="str">
            <v>I350T4V2BLK</v>
          </cell>
          <cell r="E5784" t="str">
            <v>DEC424521FZH47822003</v>
          </cell>
        </row>
        <row r="5785">
          <cell r="D5785" t="str">
            <v>I350T4V2BLK</v>
          </cell>
          <cell r="E5785" t="str">
            <v>DEC464521FZH47822003</v>
          </cell>
        </row>
        <row r="5786">
          <cell r="D5786" t="str">
            <v>I350T4V2BLK</v>
          </cell>
          <cell r="E5786" t="str">
            <v>DEC498521FZH47822003</v>
          </cell>
        </row>
        <row r="5787">
          <cell r="D5787" t="str">
            <v>I350T4V2BLK</v>
          </cell>
          <cell r="E5787" t="str">
            <v>DEC68C521FZH47822003</v>
          </cell>
        </row>
        <row r="5788">
          <cell r="D5788" t="str">
            <v>I350T4V2BLK</v>
          </cell>
          <cell r="E5788" t="str">
            <v>DECB60521FZH47822003</v>
          </cell>
        </row>
        <row r="5789">
          <cell r="D5789" t="str">
            <v>I350T4V2BLK</v>
          </cell>
          <cell r="E5789" t="str">
            <v>DEC480521FZH47822003</v>
          </cell>
        </row>
        <row r="5790">
          <cell r="D5790" t="str">
            <v>I350T4V2BLK</v>
          </cell>
          <cell r="E5790" t="str">
            <v>DEC970521FZH47822003</v>
          </cell>
        </row>
        <row r="5791">
          <cell r="D5791" t="str">
            <v>I350T4V2BLK</v>
          </cell>
          <cell r="E5791" t="str">
            <v>DEC398521FZH47822003</v>
          </cell>
        </row>
        <row r="5792">
          <cell r="D5792" t="str">
            <v>I350T4V2BLK</v>
          </cell>
          <cell r="E5792" t="str">
            <v>DECA0C521FZH47822003</v>
          </cell>
        </row>
        <row r="5793">
          <cell r="D5793" t="str">
            <v>I350T4V2BLK</v>
          </cell>
          <cell r="E5793" t="str">
            <v>DEC664521FZH47822003</v>
          </cell>
        </row>
        <row r="5794">
          <cell r="D5794" t="str">
            <v>I350T4V2BLK</v>
          </cell>
          <cell r="E5794" t="str">
            <v>DEC3B4521FZH47822003</v>
          </cell>
        </row>
        <row r="5795">
          <cell r="D5795" t="str">
            <v>I350T4V2BLK</v>
          </cell>
          <cell r="E5795" t="str">
            <v>DEB554521FZH47822003</v>
          </cell>
        </row>
        <row r="5796">
          <cell r="D5796" t="str">
            <v>I350T4V2BLK</v>
          </cell>
          <cell r="E5796" t="str">
            <v>DEB0A4521FZH47822003</v>
          </cell>
        </row>
        <row r="5797">
          <cell r="D5797" t="str">
            <v>I350T4V2BLK</v>
          </cell>
          <cell r="E5797" t="str">
            <v>DEC5F0521FZH47822003</v>
          </cell>
        </row>
        <row r="5798">
          <cell r="D5798" t="str">
            <v>I350T4V2BLK</v>
          </cell>
          <cell r="E5798" t="str">
            <v>DEA1BC521FZH47822003</v>
          </cell>
        </row>
        <row r="5799">
          <cell r="D5799" t="str">
            <v>I350T4V2BLK</v>
          </cell>
          <cell r="E5799" t="str">
            <v>DEC63C521FZH47822003</v>
          </cell>
        </row>
        <row r="5800">
          <cell r="D5800" t="str">
            <v>I350T4V2BLK</v>
          </cell>
          <cell r="E5800" t="str">
            <v>DEA1B8521FZH47822003</v>
          </cell>
        </row>
        <row r="5801">
          <cell r="D5801" t="str">
            <v>I350T4V2BLK</v>
          </cell>
          <cell r="E5801" t="str">
            <v>DEC314521FZH47822003</v>
          </cell>
        </row>
        <row r="5802">
          <cell r="D5802" t="str">
            <v>I350T4V2BLK</v>
          </cell>
          <cell r="E5802" t="str">
            <v>DEC374521FZH47822003</v>
          </cell>
        </row>
        <row r="5803">
          <cell r="D5803" t="str">
            <v>CD8069503956401 Xeon Silver 4208</v>
          </cell>
          <cell r="E5803" t="str">
            <v>J201G822</v>
          </cell>
        </row>
        <row r="5804">
          <cell r="D5804" t="str">
            <v>CD8069504449200  Xeon Silver 4215R</v>
          </cell>
          <cell r="E5804" t="str">
            <v>3201F550</v>
          </cell>
        </row>
        <row r="5805">
          <cell r="D5805" t="str">
            <v>CD8069504449200  Xeon Silver 4215R</v>
          </cell>
          <cell r="E5805" t="str">
            <v>3201F550</v>
          </cell>
        </row>
        <row r="5806">
          <cell r="D5806" t="str">
            <v>CD8069504449200  Xeon Silver 4215R</v>
          </cell>
          <cell r="E5806" t="str">
            <v>3201F550</v>
          </cell>
        </row>
        <row r="5807">
          <cell r="D5807" t="str">
            <v>CD8069504449200  Xeon Silver 4215R</v>
          </cell>
          <cell r="E5807" t="str">
            <v>3201F550</v>
          </cell>
        </row>
        <row r="5808">
          <cell r="D5808" t="str">
            <v>CD8069504449200  Xeon Silver 4215R</v>
          </cell>
          <cell r="E5808" t="str">
            <v>3201F550</v>
          </cell>
        </row>
        <row r="5809">
          <cell r="D5809" t="str">
            <v>CD8069504449200  Xeon Silver 4215R</v>
          </cell>
          <cell r="E5809" t="str">
            <v>3201F550</v>
          </cell>
        </row>
        <row r="5810">
          <cell r="D5810" t="str">
            <v>CD8069504449200  Xeon Silver 4215R</v>
          </cell>
          <cell r="E5810" t="str">
            <v>3201F550</v>
          </cell>
        </row>
        <row r="5811">
          <cell r="D5811" t="str">
            <v>CD8069504449200  Xeon Silver 4215R</v>
          </cell>
          <cell r="E5811" t="str">
            <v>3201F550</v>
          </cell>
        </row>
        <row r="5812">
          <cell r="D5812" t="str">
            <v>CD8069504449200  Xeon Silver 4215R</v>
          </cell>
          <cell r="E5812" t="str">
            <v>3201F550</v>
          </cell>
        </row>
        <row r="5813">
          <cell r="D5813" t="str">
            <v>CD8069504449200  Xeon Silver 4215R</v>
          </cell>
          <cell r="E5813" t="str">
            <v>3201F550</v>
          </cell>
        </row>
        <row r="5814">
          <cell r="D5814" t="str">
            <v>CD8069504449200  Xeon Silver 4215R</v>
          </cell>
          <cell r="E5814" t="str">
            <v>3202D724</v>
          </cell>
        </row>
        <row r="5815">
          <cell r="D5815" t="str">
            <v>CD8069504449200  Xeon Silver 4215R</v>
          </cell>
          <cell r="E5815" t="str">
            <v>3202D724</v>
          </cell>
        </row>
        <row r="5816">
          <cell r="D5816" t="str">
            <v>CD8069504449200  Xeon Silver 4215R</v>
          </cell>
          <cell r="E5816" t="str">
            <v>3202D724</v>
          </cell>
        </row>
        <row r="5817">
          <cell r="D5817" t="str">
            <v>CD8069504449200  Xeon Silver 4215R</v>
          </cell>
          <cell r="E5817" t="str">
            <v>3202D724</v>
          </cell>
        </row>
        <row r="5818">
          <cell r="D5818" t="str">
            <v>CD8069504449200  Xeon Silver 4215R</v>
          </cell>
          <cell r="E5818" t="str">
            <v>3202D724</v>
          </cell>
        </row>
        <row r="5819">
          <cell r="D5819" t="str">
            <v>CD8069504449200  Xeon Silver 4215R</v>
          </cell>
          <cell r="E5819" t="str">
            <v>3202D724</v>
          </cell>
        </row>
        <row r="5820">
          <cell r="D5820" t="str">
            <v>CD8069504449200  Xeon Silver 4215R</v>
          </cell>
          <cell r="E5820" t="str">
            <v>3202D724</v>
          </cell>
        </row>
        <row r="5821">
          <cell r="D5821" t="str">
            <v>CD8069504449200  Xeon Silver 4215R</v>
          </cell>
          <cell r="E5821" t="str">
            <v>3202D724</v>
          </cell>
        </row>
        <row r="5822">
          <cell r="D5822" t="str">
            <v>CD8069504449200  Xeon Silver 4215R</v>
          </cell>
          <cell r="E5822" t="str">
            <v>3202D724</v>
          </cell>
        </row>
        <row r="5823">
          <cell r="D5823" t="str">
            <v>CD8069504449200  Xeon Silver 4215R</v>
          </cell>
          <cell r="E5823" t="str">
            <v>3202D724</v>
          </cell>
        </row>
        <row r="5824">
          <cell r="D5824" t="str">
            <v>CD8069504449200  Xeon Silver 4215R</v>
          </cell>
          <cell r="E5824" t="str">
            <v>3202D724</v>
          </cell>
        </row>
        <row r="5825">
          <cell r="D5825" t="str">
            <v>CD8069504449200  Xeon Silver 4215R</v>
          </cell>
          <cell r="E5825" t="str">
            <v>3202D724</v>
          </cell>
        </row>
        <row r="5826">
          <cell r="D5826" t="str">
            <v>CD8069504449200  Xeon Silver 4215R</v>
          </cell>
          <cell r="E5826" t="str">
            <v>3202D724</v>
          </cell>
        </row>
        <row r="5827">
          <cell r="D5827" t="str">
            <v>CD8069504449200  Xeon Silver 4215R</v>
          </cell>
          <cell r="E5827" t="str">
            <v>3202D724</v>
          </cell>
        </row>
        <row r="5828">
          <cell r="D5828" t="str">
            <v>CD8069504449200  Xeon Silver 4215R</v>
          </cell>
          <cell r="E5828" t="str">
            <v>3202D724</v>
          </cell>
        </row>
        <row r="5829">
          <cell r="D5829" t="str">
            <v>CD8069504449200  Xeon Silver 4215R</v>
          </cell>
          <cell r="E5829" t="str">
            <v>3202D724</v>
          </cell>
        </row>
        <row r="5830">
          <cell r="D5830" t="str">
            <v>CD8069504449200  Xeon Silver 4215R</v>
          </cell>
          <cell r="E5830" t="str">
            <v>3202D724</v>
          </cell>
        </row>
        <row r="5831">
          <cell r="D5831" t="str">
            <v>CD8069504449200  Xeon Silver 4215R</v>
          </cell>
          <cell r="E5831" t="str">
            <v>3202D724</v>
          </cell>
        </row>
        <row r="5832">
          <cell r="D5832" t="str">
            <v>CD8069504449200  Xeon Silver 4215R</v>
          </cell>
          <cell r="E5832" t="str">
            <v>3202D724</v>
          </cell>
        </row>
        <row r="5833">
          <cell r="D5833" t="str">
            <v>CD8069504449200  Xeon Silver 4215R</v>
          </cell>
          <cell r="E5833" t="str">
            <v>3202D724</v>
          </cell>
        </row>
        <row r="5834">
          <cell r="D5834" t="str">
            <v>CD8069504449200  Xeon Silver 4215R</v>
          </cell>
          <cell r="E5834" t="str">
            <v>3201F550</v>
          </cell>
        </row>
        <row r="5835">
          <cell r="D5835" t="str">
            <v>CD8069504449200  Xeon Silver 4215R</v>
          </cell>
          <cell r="E5835" t="str">
            <v>3201F550</v>
          </cell>
        </row>
        <row r="5836">
          <cell r="D5836" t="str">
            <v>CD8069504449200  Xeon Silver 4215R</v>
          </cell>
          <cell r="E5836" t="str">
            <v>3201F550</v>
          </cell>
        </row>
        <row r="5837">
          <cell r="D5837" t="str">
            <v>CD8069504449200  Xeon Silver 4215R</v>
          </cell>
          <cell r="E5837" t="str">
            <v>3201F550</v>
          </cell>
        </row>
        <row r="5838">
          <cell r="D5838" t="str">
            <v>CD8069504449200  Xeon Silver 4215R</v>
          </cell>
          <cell r="E5838" t="str">
            <v>3201F550</v>
          </cell>
        </row>
        <row r="5839">
          <cell r="D5839" t="str">
            <v>CD8069504449200  Xeon Silver 4215R</v>
          </cell>
          <cell r="E5839" t="str">
            <v>3201F550</v>
          </cell>
        </row>
        <row r="5840">
          <cell r="D5840" t="str">
            <v>CD8069504449200  Xeon Silver 4215R</v>
          </cell>
          <cell r="E5840" t="str">
            <v>3201F550</v>
          </cell>
        </row>
        <row r="5841">
          <cell r="D5841" t="str">
            <v>CD8069504449200  Xeon Silver 4215R</v>
          </cell>
          <cell r="E5841" t="str">
            <v>3201F550</v>
          </cell>
        </row>
        <row r="5842">
          <cell r="D5842" t="str">
            <v>CD8069504449200  Xeon Silver 4215R</v>
          </cell>
          <cell r="E5842" t="str">
            <v>72BY070200573</v>
          </cell>
          <cell r="K5842" t="str">
            <v>BETANET bogusz</v>
          </cell>
        </row>
        <row r="5843">
          <cell r="D5843" t="str">
            <v>CD8069504449200  Xeon Silver 4215R</v>
          </cell>
          <cell r="E5843" t="str">
            <v>72BY070200576</v>
          </cell>
          <cell r="K5843" t="str">
            <v>BETANET bogusz</v>
          </cell>
        </row>
        <row r="5844">
          <cell r="D5844" t="str">
            <v>CD8069503956401 Xeon Silver 4208</v>
          </cell>
          <cell r="E5844" t="str">
            <v>J201H218</v>
          </cell>
        </row>
        <row r="5845">
          <cell r="D5845" t="str">
            <v>CD8069503956401 Xeon Silver 4208</v>
          </cell>
          <cell r="E5845" t="str">
            <v>J201H218</v>
          </cell>
        </row>
        <row r="5846">
          <cell r="D5846" t="str">
            <v>CD8069503956401 Xeon Silver 4208</v>
          </cell>
          <cell r="E5846" t="str">
            <v>J201H218</v>
          </cell>
        </row>
        <row r="5847">
          <cell r="D5847" t="str">
            <v>CD8069503956401 Xeon Silver 4208</v>
          </cell>
          <cell r="E5847" t="str">
            <v>J201H218</v>
          </cell>
        </row>
        <row r="5848">
          <cell r="D5848" t="str">
            <v>CD8069503956401 Xeon Silver 4208</v>
          </cell>
          <cell r="E5848" t="str">
            <v>J201H218</v>
          </cell>
        </row>
        <row r="5849">
          <cell r="D5849" t="str">
            <v>CD8069503956401 Xeon Silver 4208</v>
          </cell>
          <cell r="E5849" t="str">
            <v>J201H218</v>
          </cell>
        </row>
        <row r="5850">
          <cell r="D5850" t="str">
            <v>CD8069503956401 Xeon Silver 4208</v>
          </cell>
          <cell r="E5850" t="str">
            <v>J201H218</v>
          </cell>
        </row>
        <row r="5851">
          <cell r="D5851" t="str">
            <v>CD8069503956401 Xeon Silver 4208</v>
          </cell>
          <cell r="E5851" t="str">
            <v>J201H218</v>
          </cell>
        </row>
        <row r="5852">
          <cell r="D5852" t="str">
            <v>CD8069503956401 Xeon Silver 4208</v>
          </cell>
          <cell r="E5852" t="str">
            <v>J201H218</v>
          </cell>
        </row>
        <row r="5853">
          <cell r="D5853" t="str">
            <v>CD8069503956401 Xeon Silver 4208</v>
          </cell>
          <cell r="E5853" t="str">
            <v>J201H218</v>
          </cell>
        </row>
        <row r="5854">
          <cell r="D5854" t="str">
            <v>CD8069503956401 Xeon Silver 4208</v>
          </cell>
          <cell r="E5854" t="str">
            <v>J201H218</v>
          </cell>
        </row>
        <row r="5855">
          <cell r="D5855" t="str">
            <v>CD8069503956401 Xeon Silver 4208</v>
          </cell>
          <cell r="E5855" t="str">
            <v>J201H218</v>
          </cell>
        </row>
        <row r="5856">
          <cell r="D5856" t="str">
            <v>CD8069503956401 Xeon Silver 4208</v>
          </cell>
          <cell r="E5856" t="str">
            <v>J201H218</v>
          </cell>
        </row>
        <row r="5857">
          <cell r="D5857" t="str">
            <v>CD8069503956401 Xeon Silver 4208</v>
          </cell>
          <cell r="E5857" t="str">
            <v>J201H218</v>
          </cell>
        </row>
        <row r="5858">
          <cell r="D5858" t="str">
            <v>CD8069503956401 Xeon Silver 4208</v>
          </cell>
          <cell r="E5858" t="str">
            <v>J201H218</v>
          </cell>
        </row>
        <row r="5859">
          <cell r="D5859" t="str">
            <v>CD8069503956401 Xeon Silver 4208</v>
          </cell>
          <cell r="E5859" t="str">
            <v>J201H218</v>
          </cell>
        </row>
        <row r="5860">
          <cell r="D5860" t="str">
            <v>CD8069503956401 Xeon Silver 4208</v>
          </cell>
          <cell r="E5860" t="str">
            <v>J201H218</v>
          </cell>
        </row>
        <row r="5861">
          <cell r="D5861" t="str">
            <v>CD8069503956401 Xeon Silver 4208</v>
          </cell>
          <cell r="E5861" t="str">
            <v>J201H218</v>
          </cell>
        </row>
        <row r="5862">
          <cell r="D5862" t="str">
            <v>CD8069503956401 Xeon Silver 4208</v>
          </cell>
          <cell r="E5862" t="str">
            <v>J201H218</v>
          </cell>
        </row>
        <row r="5863">
          <cell r="D5863" t="str">
            <v>CD8069503956401 Xeon Silver 4208</v>
          </cell>
          <cell r="E5863" t="str">
            <v>J201H218</v>
          </cell>
        </row>
        <row r="5864">
          <cell r="D5864" t="str">
            <v>CD8069503956401 Xeon Silver 4208</v>
          </cell>
          <cell r="E5864" t="str">
            <v>J201H218</v>
          </cell>
        </row>
        <row r="5865">
          <cell r="D5865" t="str">
            <v>CD8069503956401 Xeon Silver 4208</v>
          </cell>
          <cell r="E5865" t="str">
            <v>J201H218</v>
          </cell>
        </row>
        <row r="5866">
          <cell r="D5866" t="str">
            <v>CD8069503956401 Xeon Silver 4208</v>
          </cell>
          <cell r="E5866" t="str">
            <v>J201H218</v>
          </cell>
        </row>
        <row r="5867">
          <cell r="D5867" t="str">
            <v>CD8069503956401 Xeon Silver 4208</v>
          </cell>
          <cell r="E5867" t="str">
            <v>J201H218</v>
          </cell>
        </row>
        <row r="5868">
          <cell r="D5868" t="str">
            <v>CD8069503956401 Xeon Silver 4208</v>
          </cell>
          <cell r="E5868" t="str">
            <v>J201H218</v>
          </cell>
        </row>
        <row r="5869">
          <cell r="D5869" t="str">
            <v>CD8069503956401 Xeon Silver 4208</v>
          </cell>
          <cell r="E5869" t="str">
            <v>J201H218</v>
          </cell>
        </row>
        <row r="5870">
          <cell r="D5870" t="str">
            <v>CD8069503956401 Xeon Silver 4208</v>
          </cell>
          <cell r="E5870" t="str">
            <v>J201H218</v>
          </cell>
        </row>
        <row r="5871">
          <cell r="D5871" t="str">
            <v>CD8069503956401 Xeon Silver 4208</v>
          </cell>
          <cell r="E5871" t="str">
            <v>J201H218</v>
          </cell>
        </row>
        <row r="5872">
          <cell r="D5872" t="str">
            <v>CD8069503956401 Xeon Silver 4208</v>
          </cell>
          <cell r="E5872" t="str">
            <v>J201H218</v>
          </cell>
        </row>
        <row r="5873">
          <cell r="D5873" t="str">
            <v>CD8069503956401 Xeon Silver 4208</v>
          </cell>
          <cell r="E5873" t="str">
            <v>J201H218</v>
          </cell>
        </row>
        <row r="5874">
          <cell r="D5874" t="str">
            <v>CD8069503956401 Xeon Silver 4208</v>
          </cell>
          <cell r="E5874" t="str">
            <v>J201H218</v>
          </cell>
        </row>
        <row r="5875">
          <cell r="D5875" t="str">
            <v>CD8069503956401 Xeon Silver 4208</v>
          </cell>
          <cell r="E5875" t="str">
            <v>J201H218</v>
          </cell>
        </row>
        <row r="5876">
          <cell r="D5876" t="str">
            <v>CD8069503956401 Xeon Silver 4208</v>
          </cell>
          <cell r="E5876" t="str">
            <v>J201H218</v>
          </cell>
        </row>
        <row r="5877">
          <cell r="D5877" t="str">
            <v>CD8069503956401 Xeon Silver 4208</v>
          </cell>
          <cell r="E5877" t="str">
            <v>J201H218</v>
          </cell>
        </row>
        <row r="5878">
          <cell r="D5878" t="str">
            <v>CD8069503956401 Xeon Silver 4208</v>
          </cell>
          <cell r="E5878" t="str">
            <v>J201H218</v>
          </cell>
        </row>
        <row r="5879">
          <cell r="D5879" t="str">
            <v>CD8069503956401 Xeon Silver 4208</v>
          </cell>
          <cell r="E5879" t="str">
            <v>J201H218</v>
          </cell>
        </row>
        <row r="5880">
          <cell r="D5880" t="str">
            <v>CD8069503956401 Xeon Silver 4208</v>
          </cell>
          <cell r="E5880" t="str">
            <v>J201H218</v>
          </cell>
        </row>
        <row r="5881">
          <cell r="D5881" t="str">
            <v>CD8069503956401 Xeon Silver 4208</v>
          </cell>
          <cell r="E5881" t="str">
            <v>J201H218</v>
          </cell>
        </row>
        <row r="5882">
          <cell r="D5882" t="str">
            <v>CD8069503956401 Xeon Silver 4208</v>
          </cell>
          <cell r="E5882" t="str">
            <v>J201H218</v>
          </cell>
        </row>
        <row r="5883">
          <cell r="D5883" t="str">
            <v>CD8069503956401 Xeon Silver 4208</v>
          </cell>
          <cell r="E5883" t="str">
            <v>J201H218</v>
          </cell>
        </row>
        <row r="5884">
          <cell r="D5884" t="str">
            <v>CD8069503956401 Xeon Silver 4208</v>
          </cell>
          <cell r="E5884" t="str">
            <v>J201H218</v>
          </cell>
        </row>
        <row r="5885">
          <cell r="D5885" t="str">
            <v>CD8069503956401 Xeon Silver 4208</v>
          </cell>
          <cell r="E5885" t="str">
            <v>J201H218</v>
          </cell>
        </row>
        <row r="5886">
          <cell r="D5886" t="str">
            <v>CD8069503956401 Xeon Silver 4208</v>
          </cell>
          <cell r="E5886" t="str">
            <v>J201H218</v>
          </cell>
        </row>
        <row r="5887">
          <cell r="D5887" t="str">
            <v>CD8069503956401 Xeon Silver 4208</v>
          </cell>
          <cell r="E5887" t="str">
            <v>J201H218</v>
          </cell>
        </row>
        <row r="5888">
          <cell r="D5888" t="str">
            <v>CD8069503956401 Xeon Silver 4208</v>
          </cell>
          <cell r="E5888" t="str">
            <v>J201H218</v>
          </cell>
        </row>
        <row r="5889">
          <cell r="D5889" t="str">
            <v>CD8069503956401 Xeon Silver 4208</v>
          </cell>
          <cell r="E5889" t="str">
            <v>J201H218</v>
          </cell>
        </row>
        <row r="5890">
          <cell r="D5890" t="str">
            <v>CD8069503956401 Xeon Silver 4208</v>
          </cell>
          <cell r="E5890" t="str">
            <v>J201H218</v>
          </cell>
        </row>
        <row r="5891">
          <cell r="D5891" t="str">
            <v>CD8069503956401 Xeon Silver 4208</v>
          </cell>
          <cell r="E5891" t="str">
            <v>J201H295</v>
          </cell>
        </row>
        <row r="5892">
          <cell r="D5892" t="str">
            <v>CD8069503956401 Xeon Silver 4208</v>
          </cell>
          <cell r="E5892" t="str">
            <v>J201H295</v>
          </cell>
        </row>
        <row r="5893">
          <cell r="D5893" t="str">
            <v>CD8069503956401 Xeon Silver 4208</v>
          </cell>
          <cell r="E5893" t="str">
            <v>J201H295</v>
          </cell>
        </row>
        <row r="5894">
          <cell r="D5894" t="str">
            <v>CD8069503956401 Xeon Silver 4208</v>
          </cell>
          <cell r="E5894" t="str">
            <v>J201H295</v>
          </cell>
        </row>
        <row r="5895">
          <cell r="D5895" t="str">
            <v>CD8069503956401 Xeon Silver 4208</v>
          </cell>
          <cell r="E5895" t="str">
            <v>J201H295</v>
          </cell>
        </row>
        <row r="5896">
          <cell r="D5896" t="str">
            <v>CD8069503956401 Xeon Silver 4208</v>
          </cell>
          <cell r="E5896" t="str">
            <v>J201H295</v>
          </cell>
        </row>
        <row r="5897">
          <cell r="D5897" t="str">
            <v>CD8069503956401 Xeon Silver 4208</v>
          </cell>
          <cell r="E5897" t="str">
            <v>J201H295</v>
          </cell>
        </row>
        <row r="5898">
          <cell r="D5898" t="str">
            <v>CD8069503956401 Xeon Silver 4208</v>
          </cell>
          <cell r="E5898" t="str">
            <v>J201H295</v>
          </cell>
        </row>
        <row r="5899">
          <cell r="D5899" t="str">
            <v>CD8069503956401 Xeon Silver 4208</v>
          </cell>
          <cell r="E5899" t="str">
            <v>J201H295</v>
          </cell>
        </row>
        <row r="5900">
          <cell r="D5900" t="str">
            <v>CD8069503956401 Xeon Silver 4208</v>
          </cell>
          <cell r="E5900" t="str">
            <v>J201H295</v>
          </cell>
        </row>
        <row r="5901">
          <cell r="D5901" t="str">
            <v>CD8069503956401 Xeon Silver 4208</v>
          </cell>
          <cell r="E5901" t="str">
            <v>J201H295</v>
          </cell>
        </row>
        <row r="5902">
          <cell r="D5902" t="str">
            <v>CD8069503956401 Xeon Silver 4208</v>
          </cell>
          <cell r="E5902" t="str">
            <v>J201H295</v>
          </cell>
        </row>
        <row r="5903">
          <cell r="D5903" t="str">
            <v>CD8069503956401 Xeon Silver 4208</v>
          </cell>
          <cell r="E5903" t="str">
            <v>J201H295</v>
          </cell>
        </row>
        <row r="5904">
          <cell r="D5904" t="str">
            <v>CD8069503956401 Xeon Silver 4208</v>
          </cell>
          <cell r="E5904" t="str">
            <v>J201H295</v>
          </cell>
        </row>
        <row r="5905">
          <cell r="D5905" t="str">
            <v>CD8069503956401 Xeon Silver 4208</v>
          </cell>
          <cell r="E5905" t="str">
            <v>J201H295</v>
          </cell>
        </row>
        <row r="5906">
          <cell r="D5906" t="str">
            <v>CD8069503956401 Xeon Silver 4208</v>
          </cell>
          <cell r="E5906" t="str">
            <v>J201H295</v>
          </cell>
        </row>
        <row r="5907">
          <cell r="D5907" t="str">
            <v>CD8069503956401 Xeon Silver 4208</v>
          </cell>
          <cell r="E5907" t="str">
            <v>J201H295</v>
          </cell>
        </row>
        <row r="5908">
          <cell r="D5908" t="str">
            <v>CD8069503956401 Xeon Silver 4208</v>
          </cell>
          <cell r="E5908" t="str">
            <v>J201H295</v>
          </cell>
        </row>
        <row r="5909">
          <cell r="D5909" t="str">
            <v>CD8069503956401 Xeon Silver 4208</v>
          </cell>
          <cell r="E5909" t="str">
            <v>J201H295</v>
          </cell>
        </row>
        <row r="5910">
          <cell r="D5910" t="str">
            <v>CD8069503956401 Xeon Silver 4208</v>
          </cell>
          <cell r="E5910" t="str">
            <v>J201H295</v>
          </cell>
        </row>
        <row r="5911">
          <cell r="D5911" t="str">
            <v>CD8069503956401 Xeon Silver 4208</v>
          </cell>
          <cell r="E5911" t="str">
            <v>J201H295</v>
          </cell>
        </row>
        <row r="5912">
          <cell r="D5912" t="str">
            <v>CD8069503956401 Xeon Silver 4208</v>
          </cell>
          <cell r="E5912" t="str">
            <v>J201H295</v>
          </cell>
        </row>
        <row r="5913">
          <cell r="D5913" t="str">
            <v>CD8069503956401 Xeon Silver 4208</v>
          </cell>
          <cell r="E5913" t="str">
            <v>J201H295</v>
          </cell>
        </row>
        <row r="5914">
          <cell r="D5914" t="str">
            <v>CD8069503956401 Xeon Silver 4208</v>
          </cell>
          <cell r="E5914" t="str">
            <v>J201H295</v>
          </cell>
        </row>
        <row r="5915">
          <cell r="D5915" t="str">
            <v>CD8069503956401 Xeon Silver 4208</v>
          </cell>
          <cell r="E5915" t="str">
            <v>J201H295</v>
          </cell>
        </row>
        <row r="5916">
          <cell r="D5916" t="str">
            <v>CD8069503956401 Xeon Silver 4208</v>
          </cell>
          <cell r="E5916" t="str">
            <v>J201H295</v>
          </cell>
        </row>
        <row r="5917">
          <cell r="D5917" t="str">
            <v>CD8069503956401 Xeon Silver 4208</v>
          </cell>
          <cell r="E5917" t="str">
            <v>J201H295</v>
          </cell>
        </row>
        <row r="5918">
          <cell r="D5918" t="str">
            <v>CD8069503956401 Xeon Silver 4208</v>
          </cell>
          <cell r="E5918" t="str">
            <v>J201H295</v>
          </cell>
        </row>
        <row r="5919">
          <cell r="D5919" t="str">
            <v>CD8069503956401 Xeon Silver 4208</v>
          </cell>
          <cell r="E5919" t="str">
            <v>J201H295</v>
          </cell>
        </row>
        <row r="5920">
          <cell r="D5920" t="str">
            <v>CD8069503956401 Xeon Silver 4208</v>
          </cell>
          <cell r="E5920" t="str">
            <v>J201H295</v>
          </cell>
        </row>
        <row r="5921">
          <cell r="D5921" t="str">
            <v>CD8069503956401 Xeon Silver 4208</v>
          </cell>
          <cell r="E5921" t="str">
            <v>J201H295</v>
          </cell>
        </row>
        <row r="5922">
          <cell r="D5922" t="str">
            <v>CD8069503956401 Xeon Silver 4208</v>
          </cell>
          <cell r="E5922" t="str">
            <v>J201H295</v>
          </cell>
        </row>
        <row r="5923">
          <cell r="D5923" t="str">
            <v>CD8069503956401 Xeon Silver 4208</v>
          </cell>
          <cell r="E5923" t="str">
            <v>J201H295</v>
          </cell>
        </row>
        <row r="5924">
          <cell r="D5924" t="str">
            <v>CD8069503956401 Xeon Silver 4208</v>
          </cell>
          <cell r="E5924" t="str">
            <v>J201H295</v>
          </cell>
        </row>
        <row r="5925">
          <cell r="D5925" t="str">
            <v>CD8069503956401 Xeon Silver 4208</v>
          </cell>
          <cell r="E5925" t="str">
            <v>J201H295</v>
          </cell>
        </row>
        <row r="5926">
          <cell r="D5926" t="str">
            <v>CD8069503956401 Xeon Silver 4208</v>
          </cell>
          <cell r="E5926" t="str">
            <v>J201H295</v>
          </cell>
        </row>
        <row r="5927">
          <cell r="D5927" t="str">
            <v>CD8069503956401 Xeon Silver 4208</v>
          </cell>
          <cell r="E5927" t="str">
            <v>J201H295</v>
          </cell>
        </row>
        <row r="5928">
          <cell r="D5928" t="str">
            <v>CD8069503956401 Xeon Silver 4208</v>
          </cell>
          <cell r="E5928" t="str">
            <v>J201H295</v>
          </cell>
        </row>
        <row r="5929">
          <cell r="D5929" t="str">
            <v>CD8069503956401 Xeon Silver 4208</v>
          </cell>
          <cell r="E5929" t="str">
            <v>J201H295</v>
          </cell>
        </row>
        <row r="5930">
          <cell r="D5930" t="str">
            <v>CD8069503956401 Xeon Silver 4208</v>
          </cell>
          <cell r="E5930" t="str">
            <v>J201H295</v>
          </cell>
        </row>
        <row r="5931">
          <cell r="D5931" t="str">
            <v>CD8069503956401 Xeon Silver 4208</v>
          </cell>
          <cell r="E5931" t="str">
            <v>J201H295</v>
          </cell>
        </row>
        <row r="5932">
          <cell r="D5932" t="str">
            <v>CD8069503956401 Xeon Silver 4208</v>
          </cell>
          <cell r="E5932" t="str">
            <v>J201H295</v>
          </cell>
        </row>
        <row r="5933">
          <cell r="D5933" t="str">
            <v>CD8069503956401 Xeon Silver 4208</v>
          </cell>
          <cell r="E5933" t="str">
            <v>J201H295</v>
          </cell>
        </row>
        <row r="5934">
          <cell r="D5934" t="str">
            <v>CD8069503956401 Xeon Silver 4208</v>
          </cell>
          <cell r="E5934" t="str">
            <v>J201H295</v>
          </cell>
        </row>
        <row r="5935">
          <cell r="D5935" t="str">
            <v>CD8069503956401 Xeon Silver 4208</v>
          </cell>
          <cell r="E5935" t="str">
            <v>J201H295</v>
          </cell>
        </row>
        <row r="5936">
          <cell r="D5936" t="str">
            <v>CD8069503956401 Xeon Silver 4208</v>
          </cell>
          <cell r="E5936" t="str">
            <v>J201H295</v>
          </cell>
        </row>
        <row r="5937">
          <cell r="D5937" t="str">
            <v>CD8069503956401 Xeon Silver 4208</v>
          </cell>
          <cell r="E5937" t="str">
            <v>J201H295</v>
          </cell>
        </row>
        <row r="5938">
          <cell r="D5938" t="str">
            <v>CD8069503956401 Xeon Silver 4208</v>
          </cell>
          <cell r="E5938" t="str">
            <v>J201H295</v>
          </cell>
        </row>
        <row r="5939">
          <cell r="D5939" t="str">
            <v>CD8069503956401 Xeon Silver 4208</v>
          </cell>
          <cell r="E5939" t="str">
            <v>J201H295</v>
          </cell>
        </row>
        <row r="5940">
          <cell r="D5940" t="str">
            <v>CD8069503956401 Xeon Silver 4208</v>
          </cell>
          <cell r="E5940" t="str">
            <v>J201H295</v>
          </cell>
        </row>
        <row r="5941">
          <cell r="D5941" t="str">
            <v>CD8069503956401 Xeon Silver 4208</v>
          </cell>
          <cell r="E5941" t="str">
            <v>J201H295</v>
          </cell>
        </row>
        <row r="5942">
          <cell r="D5942" t="str">
            <v>CD8069503956401 Xeon Silver 4208</v>
          </cell>
          <cell r="E5942" t="str">
            <v>J201H295</v>
          </cell>
        </row>
        <row r="5943">
          <cell r="D5943" t="str">
            <v>CD8069503956401 Xeon Silver 4208</v>
          </cell>
          <cell r="E5943" t="str">
            <v>J201H295</v>
          </cell>
        </row>
        <row r="5944">
          <cell r="D5944" t="str">
            <v>0B42258</v>
          </cell>
          <cell r="E5944" t="str">
            <v>VCJYPDKP</v>
          </cell>
        </row>
        <row r="5945">
          <cell r="D5945" t="str">
            <v>0B42258</v>
          </cell>
          <cell r="E5945" t="str">
            <v>VCJYHDLP</v>
          </cell>
        </row>
        <row r="5946">
          <cell r="D5946" t="str">
            <v>0B42258</v>
          </cell>
          <cell r="E5946" t="str">
            <v>VCJYGXWP</v>
          </cell>
        </row>
        <row r="5947">
          <cell r="D5947" t="str">
            <v>0B42258</v>
          </cell>
          <cell r="E5947" t="str">
            <v>VCJYGZ7P</v>
          </cell>
        </row>
        <row r="5948">
          <cell r="D5948" t="str">
            <v>0B42258</v>
          </cell>
          <cell r="E5948" t="str">
            <v>VCJYMNKP</v>
          </cell>
        </row>
        <row r="5949">
          <cell r="D5949" t="str">
            <v>0B42258</v>
          </cell>
          <cell r="E5949" t="str">
            <v>VCJYP5DP</v>
          </cell>
        </row>
        <row r="5950">
          <cell r="D5950" t="str">
            <v>Intel Xeon E-2246G</v>
          </cell>
          <cell r="E5950" t="str">
            <v>X146M143  02737</v>
          </cell>
          <cell r="K5950" t="str">
            <v>SO/2022/005825/A 1z2</v>
          </cell>
        </row>
        <row r="5951">
          <cell r="D5951" t="str">
            <v>Intel Xeon E-2246G</v>
          </cell>
          <cell r="E5951" t="str">
            <v>X146M143  02042</v>
          </cell>
          <cell r="K5951" t="str">
            <v>SO/2022/005825/A 2z2</v>
          </cell>
        </row>
        <row r="5952">
          <cell r="D5952" t="str">
            <v>AMD EPYC 7542</v>
          </cell>
          <cell r="E5952" t="str">
            <v>9JJ9487X00169_100-000000075</v>
          </cell>
        </row>
        <row r="5953">
          <cell r="D5953" t="str">
            <v>AMD EPYC 7542</v>
          </cell>
          <cell r="E5953" t="str">
            <v>9JJ9487X00027_100-000000075</v>
          </cell>
        </row>
        <row r="5954">
          <cell r="D5954" t="str">
            <v>MCX4121A-ACAT</v>
          </cell>
          <cell r="E5954" t="str">
            <v>MT2011K37477</v>
          </cell>
        </row>
        <row r="5955">
          <cell r="D5955" t="str">
            <v>MCX4121A-ACAT</v>
          </cell>
          <cell r="E5955" t="str">
            <v>MT1928K07005</v>
          </cell>
        </row>
        <row r="5956">
          <cell r="D5956" t="str">
            <v>MCX4121A-ACAT</v>
          </cell>
          <cell r="E5956" t="str">
            <v>MT2103K12513</v>
          </cell>
        </row>
        <row r="5957">
          <cell r="D5957" t="str">
            <v>MCX4121A-ACAT</v>
          </cell>
          <cell r="E5957" t="str">
            <v>MT1907K05562</v>
          </cell>
        </row>
        <row r="5958">
          <cell r="D5958" t="str">
            <v>MCX4121A-ACAT</v>
          </cell>
          <cell r="E5958" t="str">
            <v>MT1828K06641</v>
          </cell>
        </row>
        <row r="5959">
          <cell r="D5959" t="str">
            <v>MCX4121A-ACAT</v>
          </cell>
          <cell r="E5959" t="str">
            <v>MT1829K31719</v>
          </cell>
        </row>
        <row r="5960">
          <cell r="D5960" t="str">
            <v>MCX4121A-ACAT</v>
          </cell>
          <cell r="E5960" t="str">
            <v>MT1901K20161</v>
          </cell>
        </row>
        <row r="5961">
          <cell r="D5961" t="str">
            <v>MCX4121A-ACAT</v>
          </cell>
          <cell r="E5961" t="str">
            <v>MT1901K14990</v>
          </cell>
        </row>
        <row r="5962">
          <cell r="D5962" t="str">
            <v>MCX4121A-ACAT</v>
          </cell>
          <cell r="E5962" t="str">
            <v>MT1904K06560</v>
          </cell>
        </row>
        <row r="5963">
          <cell r="D5963" t="str">
            <v>MCX4121A-ACAT</v>
          </cell>
          <cell r="E5963" t="str">
            <v>MT1901K20160</v>
          </cell>
        </row>
        <row r="5964">
          <cell r="D5964" t="str">
            <v>MCX4121A-ACAT</v>
          </cell>
          <cell r="E5964" t="str">
            <v>MT2011K37874</v>
          </cell>
        </row>
        <row r="5965">
          <cell r="D5965" t="str">
            <v>MCX4121A-ACAT</v>
          </cell>
          <cell r="E5965" t="str">
            <v>MT2011K37088</v>
          </cell>
        </row>
        <row r="5966">
          <cell r="D5966" t="str">
            <v>MCX4121A-ACAT</v>
          </cell>
          <cell r="E5966" t="str">
            <v>MT1901K19894</v>
          </cell>
        </row>
        <row r="5967">
          <cell r="D5967" t="str">
            <v>MCX4121A-ACAT</v>
          </cell>
          <cell r="E5967" t="str">
            <v>MT1901K20158</v>
          </cell>
        </row>
        <row r="5968">
          <cell r="D5968" t="str">
            <v>MCX4121A-ACAT</v>
          </cell>
          <cell r="E5968" t="str">
            <v>MT1907K05560</v>
          </cell>
        </row>
        <row r="5969">
          <cell r="D5969" t="str">
            <v>MCX4121A-ACAT</v>
          </cell>
          <cell r="E5969" t="str">
            <v>MT2011K38126</v>
          </cell>
        </row>
        <row r="5970">
          <cell r="D5970" t="str">
            <v>MCX4121A-ACAT</v>
          </cell>
          <cell r="E5970" t="str">
            <v>MT1847K09766</v>
          </cell>
        </row>
        <row r="5971">
          <cell r="D5971" t="str">
            <v>MCX4121A-ACAT</v>
          </cell>
          <cell r="E5971" t="str">
            <v>MT1934K09810</v>
          </cell>
        </row>
        <row r="5972">
          <cell r="D5972" t="str">
            <v>MCX4121A-ACAT</v>
          </cell>
          <cell r="E5972" t="str">
            <v>MT1828K06059</v>
          </cell>
        </row>
        <row r="5973">
          <cell r="D5973" t="str">
            <v>MCX4121A-ACAT</v>
          </cell>
          <cell r="E5973" t="str">
            <v>MT2011K37020</v>
          </cell>
        </row>
        <row r="5974">
          <cell r="D5974" t="str">
            <v>MCX4121A-ACAT</v>
          </cell>
          <cell r="E5974" t="str">
            <v>MT1809K34484</v>
          </cell>
        </row>
        <row r="5975">
          <cell r="D5975" t="str">
            <v>MCX4121A-ACAT</v>
          </cell>
          <cell r="E5975" t="str">
            <v>MT1847K10685</v>
          </cell>
        </row>
        <row r="5976">
          <cell r="D5976" t="str">
            <v>MCX4121A-ACAT</v>
          </cell>
          <cell r="E5976" t="str">
            <v>MT1847K10439</v>
          </cell>
        </row>
        <row r="5977">
          <cell r="D5977" t="str">
            <v>MCX4121A-ACAT</v>
          </cell>
          <cell r="E5977" t="str">
            <v>MT1847K09847</v>
          </cell>
        </row>
        <row r="5978">
          <cell r="D5978" t="str">
            <v>MCX4121A-ACAT</v>
          </cell>
          <cell r="E5978" t="str">
            <v>MT1829K11476</v>
          </cell>
        </row>
        <row r="5979">
          <cell r="D5979" t="str">
            <v>MCX4121A-ACAT</v>
          </cell>
          <cell r="E5979" t="str">
            <v>MT2113K08729</v>
          </cell>
        </row>
        <row r="5980">
          <cell r="D5980" t="str">
            <v>MCX4121A-ACAT</v>
          </cell>
          <cell r="E5980" t="str">
            <v>MT1951K16271</v>
          </cell>
        </row>
        <row r="5981">
          <cell r="D5981" t="str">
            <v>MCX4121A-ACAT</v>
          </cell>
          <cell r="E5981" t="str">
            <v>MT1637X15982</v>
          </cell>
        </row>
        <row r="5982">
          <cell r="D5982" t="str">
            <v>MCX4121A-ACAT</v>
          </cell>
          <cell r="E5982" t="str">
            <v>MT1847K10436</v>
          </cell>
        </row>
        <row r="5983">
          <cell r="D5983" t="str">
            <v>MCX4121A-ACAT</v>
          </cell>
          <cell r="E5983" t="str">
            <v>MT1829K11429</v>
          </cell>
        </row>
        <row r="5984">
          <cell r="D5984" t="str">
            <v>MCX4121A-ACAT</v>
          </cell>
          <cell r="E5984" t="str">
            <v>MT1952K04507</v>
          </cell>
        </row>
        <row r="5985">
          <cell r="D5985" t="str">
            <v>MCX4121A-ACAT</v>
          </cell>
          <cell r="E5985" t="str">
            <v>MT1951K16639</v>
          </cell>
        </row>
        <row r="5986">
          <cell r="D5986" t="str">
            <v>MCX4121A-ACAT</v>
          </cell>
          <cell r="E5986" t="str">
            <v>MT1847K09768</v>
          </cell>
        </row>
        <row r="5987">
          <cell r="D5987" t="str">
            <v>MCX4121A-ACAT</v>
          </cell>
          <cell r="E5987" t="str">
            <v>MT1636X02846</v>
          </cell>
        </row>
        <row r="5988">
          <cell r="D5988" t="str">
            <v>MCX4121A-ACAT</v>
          </cell>
          <cell r="E5988" t="str">
            <v>MT1823K05023</v>
          </cell>
        </row>
        <row r="5989">
          <cell r="D5989" t="str">
            <v>MCX4121A-ACAT</v>
          </cell>
          <cell r="E5989" t="str">
            <v>MT1828K06393</v>
          </cell>
          <cell r="K5989" t="str">
            <v>AWARIA</v>
          </cell>
        </row>
        <row r="5990">
          <cell r="D5990" t="str">
            <v>MCX4121A-ACAT</v>
          </cell>
          <cell r="E5990" t="str">
            <v>MT1847K10399</v>
          </cell>
        </row>
        <row r="5991">
          <cell r="D5991" t="str">
            <v>MCX4121A-ACAT</v>
          </cell>
          <cell r="E5991" t="str">
            <v>MT1922K23796</v>
          </cell>
        </row>
        <row r="5992">
          <cell r="D5992" t="str">
            <v>MCX4121A-ACAT</v>
          </cell>
          <cell r="E5992" t="str">
            <v>MT2011K36172</v>
          </cell>
        </row>
        <row r="5993">
          <cell r="D5993" t="str">
            <v>MCX4121A-ACAT</v>
          </cell>
          <cell r="E5993" t="str">
            <v>MT2011K36713</v>
          </cell>
        </row>
        <row r="5994">
          <cell r="D5994" t="str">
            <v>MCX4121A-ACAT</v>
          </cell>
          <cell r="E5994" t="str">
            <v>MT1904K06604</v>
          </cell>
        </row>
        <row r="5995">
          <cell r="D5995" t="str">
            <v>MCX4121A-ACAT</v>
          </cell>
          <cell r="E5995" t="str">
            <v>MT1907K05561</v>
          </cell>
        </row>
        <row r="5996">
          <cell r="D5996" t="str">
            <v>MCX4121A-ACAT</v>
          </cell>
          <cell r="E5996" t="str">
            <v>MT2011K37482</v>
          </cell>
        </row>
        <row r="5997">
          <cell r="D5997" t="str">
            <v>MCX4121A-ACAT</v>
          </cell>
          <cell r="E5997" t="str">
            <v>MT2011K38128</v>
          </cell>
        </row>
        <row r="5998">
          <cell r="D5998" t="str">
            <v>MCX4121A-ACAT</v>
          </cell>
          <cell r="E5998" t="str">
            <v>MT1816K48034</v>
          </cell>
        </row>
        <row r="5999">
          <cell r="D5999" t="str">
            <v>MCX4121A-ACAT</v>
          </cell>
          <cell r="E5999" t="str">
            <v>MT1847K11037</v>
          </cell>
        </row>
        <row r="6000">
          <cell r="D6000" t="str">
            <v>MCX4121A-ACAT</v>
          </cell>
          <cell r="E6000" t="str">
            <v>MT1829K11523</v>
          </cell>
        </row>
        <row r="6001">
          <cell r="D6001" t="str">
            <v>MCX4121A-ACAT</v>
          </cell>
          <cell r="E6001" t="str">
            <v>MT1836K05482</v>
          </cell>
        </row>
        <row r="6002">
          <cell r="D6002" t="str">
            <v>MCX4121A-ACAT</v>
          </cell>
          <cell r="E6002" t="str">
            <v>MT1843K03888</v>
          </cell>
        </row>
        <row r="6003">
          <cell r="D6003" t="str">
            <v>MCX4121A-ACAT</v>
          </cell>
          <cell r="E6003" t="str">
            <v>MT1901K19900</v>
          </cell>
        </row>
        <row r="6004">
          <cell r="D6004" t="str">
            <v>MCX4121A-ACAT</v>
          </cell>
          <cell r="E6004" t="str">
            <v>MT1843K03949</v>
          </cell>
        </row>
        <row r="6005">
          <cell r="D6005" t="str">
            <v>MCX4121A-ACAT</v>
          </cell>
          <cell r="E6005" t="str">
            <v>MT2011K38275</v>
          </cell>
        </row>
        <row r="6006">
          <cell r="D6006" t="str">
            <v>MCX4121A-ACAT</v>
          </cell>
          <cell r="E6006" t="str">
            <v>MT1922K22651</v>
          </cell>
        </row>
        <row r="6007">
          <cell r="D6007" t="str">
            <v>MCX4121A-ACAT</v>
          </cell>
          <cell r="E6007" t="str">
            <v>MT1847K10662</v>
          </cell>
        </row>
        <row r="6008">
          <cell r="D6008" t="str">
            <v>MCX4121A-ACAT</v>
          </cell>
          <cell r="E6008" t="str">
            <v>MT1952K04576</v>
          </cell>
        </row>
        <row r="6009">
          <cell r="D6009" t="str">
            <v>MCX4121A-ACAT</v>
          </cell>
          <cell r="E6009" t="str">
            <v>MT1847K10284</v>
          </cell>
        </row>
        <row r="6010">
          <cell r="D6010" t="str">
            <v>MCX4121A-ACAT</v>
          </cell>
          <cell r="E6010" t="str">
            <v>MT1636X02716</v>
          </cell>
        </row>
        <row r="6011">
          <cell r="D6011" t="str">
            <v>MCX4121A-ACAT</v>
          </cell>
          <cell r="E6011" t="str">
            <v>MT1951K16347</v>
          </cell>
        </row>
        <row r="6012">
          <cell r="D6012" t="str">
            <v>MCX4121A-ACAT</v>
          </cell>
          <cell r="E6012" t="str">
            <v>MT2103K12494</v>
          </cell>
        </row>
        <row r="6013">
          <cell r="D6013" t="str">
            <v>MCX4121A-ACAT</v>
          </cell>
          <cell r="E6013" t="str">
            <v>MT1847K10266</v>
          </cell>
        </row>
        <row r="6014">
          <cell r="D6014" t="str">
            <v>MCX4121A-ACAT-C12</v>
          </cell>
          <cell r="E6014" t="str">
            <v>MT2037K15360</v>
          </cell>
        </row>
        <row r="6015">
          <cell r="D6015" t="str">
            <v>MCX4121A-ACAT-C12</v>
          </cell>
          <cell r="E6015" t="str">
            <v>MT2037K15359</v>
          </cell>
        </row>
        <row r="6016">
          <cell r="D6016" t="str">
            <v>MCX4121A-ACAT-C12</v>
          </cell>
          <cell r="E6016" t="str">
            <v>MT2008X18328</v>
          </cell>
        </row>
        <row r="6017">
          <cell r="D6017" t="str">
            <v>MCX4121A-ACAT-C12</v>
          </cell>
          <cell r="E6017" t="str">
            <v>MT2036K40210</v>
          </cell>
        </row>
        <row r="6018">
          <cell r="D6018" t="str">
            <v>MCX4121A-ACAT-C12</v>
          </cell>
          <cell r="E6018" t="str">
            <v>MT2037K15513</v>
          </cell>
        </row>
        <row r="6019">
          <cell r="D6019" t="str">
            <v>MCX4121A-ACAT-C12</v>
          </cell>
          <cell r="E6019" t="str">
            <v>MT2035K18385</v>
          </cell>
        </row>
        <row r="6020">
          <cell r="D6020" t="str">
            <v>MCX4121A-ACAT-C12</v>
          </cell>
          <cell r="E6020" t="str">
            <v>MT2037K15356</v>
          </cell>
        </row>
        <row r="6021">
          <cell r="D6021" t="str">
            <v>MCX4121A-ACAT-C12</v>
          </cell>
          <cell r="E6021" t="str">
            <v>MT2036K37798</v>
          </cell>
        </row>
        <row r="6022">
          <cell r="D6022" t="str">
            <v>MCX4121A-ACAT-C12</v>
          </cell>
          <cell r="E6022" t="str">
            <v>MT2037K23012</v>
          </cell>
        </row>
        <row r="6023">
          <cell r="D6023" t="str">
            <v>MCX4121A-ACAT-C12</v>
          </cell>
          <cell r="E6023" t="str">
            <v>MT2037K15509</v>
          </cell>
        </row>
        <row r="6024">
          <cell r="D6024" t="str">
            <v>MCX4121A-ACAT-C12</v>
          </cell>
          <cell r="E6024" t="str">
            <v>MT2037K23014</v>
          </cell>
        </row>
        <row r="6025">
          <cell r="D6025" t="str">
            <v>MCX4121A-ACAT-C12</v>
          </cell>
          <cell r="E6025" t="str">
            <v>MT2008X18331</v>
          </cell>
        </row>
        <row r="6026">
          <cell r="D6026" t="str">
            <v>MCX4121A-ACAT-C12</v>
          </cell>
          <cell r="E6026" t="str">
            <v>MT2035K18380</v>
          </cell>
        </row>
        <row r="6027">
          <cell r="D6027" t="str">
            <v>MCX4121A-ACAT-C12</v>
          </cell>
          <cell r="E6027" t="str">
            <v>MT2035K15100</v>
          </cell>
        </row>
        <row r="6028">
          <cell r="D6028" t="str">
            <v>MCX4121A-ACAT-C12</v>
          </cell>
          <cell r="E6028" t="str">
            <v>MT2035K15617</v>
          </cell>
        </row>
        <row r="6029">
          <cell r="D6029" t="str">
            <v>MCX4121A-ACAT-C12</v>
          </cell>
          <cell r="E6029" t="str">
            <v>MT2035K15623</v>
          </cell>
        </row>
        <row r="6030">
          <cell r="D6030" t="str">
            <v>MCX4121A-ACAT-C12</v>
          </cell>
          <cell r="E6030" t="str">
            <v>MT2037K13473</v>
          </cell>
        </row>
        <row r="6031">
          <cell r="D6031" t="str">
            <v>MCX4121A-ACAT-C12</v>
          </cell>
          <cell r="E6031" t="str">
            <v>MT2008X18314</v>
          </cell>
        </row>
        <row r="6032">
          <cell r="D6032" t="str">
            <v>MCX4121A-ACAT-C12</v>
          </cell>
          <cell r="E6032" t="str">
            <v>MT2035K18398</v>
          </cell>
        </row>
        <row r="6033">
          <cell r="D6033" t="str">
            <v>MCX4121A-ACAT-C12</v>
          </cell>
          <cell r="E6033" t="str">
            <v>MT2022K35876</v>
          </cell>
        </row>
        <row r="6034">
          <cell r="D6034" t="str">
            <v>MCX4121A-ACAT-C12</v>
          </cell>
          <cell r="E6034" t="str">
            <v>MT2008X18310</v>
          </cell>
        </row>
        <row r="6035">
          <cell r="D6035" t="str">
            <v>MCX4121A-ACAT-C12</v>
          </cell>
          <cell r="E6035" t="str">
            <v>MT2037K14102</v>
          </cell>
        </row>
        <row r="6036">
          <cell r="D6036" t="str">
            <v>MCX4121A-ACAT-C12</v>
          </cell>
          <cell r="E6036" t="str">
            <v>MT2008X18333</v>
          </cell>
        </row>
        <row r="6037">
          <cell r="D6037" t="str">
            <v>MCX4121A-ACAT-C12</v>
          </cell>
          <cell r="E6037" t="str">
            <v>MT2035K18404</v>
          </cell>
        </row>
        <row r="6038">
          <cell r="D6038" t="str">
            <v>MCX4121A-ACAT-C12</v>
          </cell>
          <cell r="E6038" t="str">
            <v>MT2035K15622</v>
          </cell>
        </row>
        <row r="6039">
          <cell r="D6039" t="str">
            <v>MCX4121A-ACAT-C12</v>
          </cell>
          <cell r="E6039" t="str">
            <v>MT2035K18376</v>
          </cell>
        </row>
        <row r="6040">
          <cell r="D6040" t="str">
            <v>MCX4121A-ACAT-C12</v>
          </cell>
          <cell r="E6040" t="str">
            <v>MT2035K15615</v>
          </cell>
        </row>
        <row r="6041">
          <cell r="D6041" t="str">
            <v>MCX4121A-ACAT-C12</v>
          </cell>
          <cell r="E6041" t="str">
            <v>MT2037K15372</v>
          </cell>
        </row>
        <row r="6042">
          <cell r="D6042" t="str">
            <v>MCX4121A-ACAT-C12</v>
          </cell>
          <cell r="E6042" t="str">
            <v>MT2037K13241</v>
          </cell>
        </row>
        <row r="6043">
          <cell r="D6043" t="str">
            <v>MCX4121A-ACAT-C12</v>
          </cell>
          <cell r="E6043" t="str">
            <v>MT2036K39942</v>
          </cell>
        </row>
        <row r="6044">
          <cell r="D6044" t="str">
            <v>MCX4121A-ACAT-C12</v>
          </cell>
          <cell r="E6044" t="str">
            <v>MT2035K15624</v>
          </cell>
        </row>
        <row r="6045">
          <cell r="D6045" t="str">
            <v>MCX4121A-ACAT-C12</v>
          </cell>
          <cell r="E6045" t="str">
            <v>MT2035K18378</v>
          </cell>
        </row>
        <row r="6046">
          <cell r="D6046" t="str">
            <v>MCX4121A-ACAT-C12</v>
          </cell>
          <cell r="E6046" t="str">
            <v>MT2035K19819</v>
          </cell>
        </row>
        <row r="6047">
          <cell r="D6047" t="str">
            <v>MCX4121A-ACAT-C12</v>
          </cell>
          <cell r="E6047" t="str">
            <v>MT2035K18408</v>
          </cell>
        </row>
        <row r="6048">
          <cell r="D6048" t="str">
            <v>MCX4121A-ACAT-C12</v>
          </cell>
          <cell r="E6048" t="str">
            <v>MT2008X18340</v>
          </cell>
        </row>
        <row r="6049">
          <cell r="D6049" t="str">
            <v>MCX4121A-ACAT-C12</v>
          </cell>
          <cell r="E6049" t="str">
            <v>MT2037K15354</v>
          </cell>
        </row>
        <row r="6050">
          <cell r="D6050" t="str">
            <v>MCX4121A-ACAT-C12</v>
          </cell>
          <cell r="E6050" t="str">
            <v>MT2035K15616</v>
          </cell>
        </row>
        <row r="6051">
          <cell r="D6051" t="str">
            <v>MCX4121A-ACAT-C12</v>
          </cell>
          <cell r="E6051" t="str">
            <v>MT2035K19324</v>
          </cell>
        </row>
        <row r="6052">
          <cell r="D6052" t="str">
            <v>MCX4121A-ACAT-C12</v>
          </cell>
          <cell r="E6052" t="str">
            <v>MT2037K13527</v>
          </cell>
        </row>
        <row r="6053">
          <cell r="D6053" t="str">
            <v>MCX4121A-ACAT-C12</v>
          </cell>
          <cell r="E6053" t="str">
            <v>MT2035K15613</v>
          </cell>
        </row>
        <row r="6054">
          <cell r="D6054" t="str">
            <v>MZQLB7THMLA-00007</v>
          </cell>
          <cell r="E6054" t="str">
            <v>S4BGNC0RC00928</v>
          </cell>
        </row>
        <row r="6055">
          <cell r="D6055" t="str">
            <v>MZQLB7THMLA-00007</v>
          </cell>
          <cell r="E6055" t="str">
            <v>S4BGNC0RC00929</v>
          </cell>
        </row>
        <row r="6056">
          <cell r="D6056" t="str">
            <v>0F31284</v>
          </cell>
          <cell r="E6056" t="str">
            <v>9LJ4NP3G</v>
          </cell>
        </row>
        <row r="6057">
          <cell r="D6057" t="str">
            <v>0F31284</v>
          </cell>
          <cell r="E6057" t="str">
            <v>9LJ64PHG</v>
          </cell>
        </row>
        <row r="6058">
          <cell r="D6058" t="str">
            <v>0F31284</v>
          </cell>
          <cell r="E6058" t="str">
            <v>9LJ65UPG</v>
          </cell>
        </row>
        <row r="6059">
          <cell r="D6059" t="str">
            <v>0F31284</v>
          </cell>
          <cell r="E6059" t="str">
            <v>9LJ4NLJG</v>
          </cell>
        </row>
        <row r="6060">
          <cell r="D6060" t="str">
            <v>0F31284</v>
          </cell>
          <cell r="E6060" t="str">
            <v>9LJ63AZG</v>
          </cell>
        </row>
        <row r="6061">
          <cell r="D6061" t="str">
            <v>0F31284</v>
          </cell>
          <cell r="E6061" t="str">
            <v>9LJ64VEG</v>
          </cell>
        </row>
        <row r="6062">
          <cell r="D6062" t="str">
            <v>0F31284</v>
          </cell>
          <cell r="E6062" t="str">
            <v>9LJ6BWJG</v>
          </cell>
        </row>
        <row r="6063">
          <cell r="D6063" t="str">
            <v>0F31284</v>
          </cell>
          <cell r="E6063" t="str">
            <v>9LJ5UXVG</v>
          </cell>
        </row>
        <row r="6064">
          <cell r="D6064" t="str">
            <v>0F31284</v>
          </cell>
          <cell r="E6064" t="str">
            <v>9LJ64UKG</v>
          </cell>
        </row>
        <row r="6065">
          <cell r="D6065" t="str">
            <v>0F31284</v>
          </cell>
          <cell r="E6065" t="str">
            <v>9LJ66MVG</v>
          </cell>
        </row>
        <row r="6066">
          <cell r="D6066" t="str">
            <v>0F31284</v>
          </cell>
          <cell r="E6066" t="str">
            <v>9LJ4NNZG</v>
          </cell>
        </row>
        <row r="6067">
          <cell r="D6067" t="str">
            <v>0F31284</v>
          </cell>
          <cell r="E6067" t="str">
            <v>9LJ64HHG</v>
          </cell>
        </row>
        <row r="6068">
          <cell r="D6068" t="str">
            <v>0F31284</v>
          </cell>
          <cell r="E6068" t="str">
            <v>9LJ64VGG</v>
          </cell>
        </row>
        <row r="6069">
          <cell r="D6069" t="str">
            <v>0F31284</v>
          </cell>
          <cell r="E6069" t="str">
            <v>9LJ6BWLG</v>
          </cell>
        </row>
        <row r="6070">
          <cell r="D6070" t="str">
            <v>0F31284</v>
          </cell>
          <cell r="E6070" t="str">
            <v>9LJ631SG</v>
          </cell>
        </row>
        <row r="6071">
          <cell r="D6071" t="str">
            <v>0F31284</v>
          </cell>
          <cell r="E6071" t="str">
            <v>9LJ64V5G</v>
          </cell>
        </row>
        <row r="6072">
          <cell r="D6072" t="str">
            <v>0F31284</v>
          </cell>
          <cell r="E6072" t="str">
            <v>9LJ6AK8G</v>
          </cell>
        </row>
        <row r="6073">
          <cell r="D6073" t="str">
            <v>0F31284</v>
          </cell>
          <cell r="E6073" t="str">
            <v>9LJ64N9G</v>
          </cell>
        </row>
        <row r="6074">
          <cell r="D6074" t="str">
            <v>0F31284</v>
          </cell>
          <cell r="E6074" t="str">
            <v>9LJ65SEG</v>
          </cell>
        </row>
        <row r="6075">
          <cell r="D6075" t="str">
            <v>0F31284</v>
          </cell>
          <cell r="E6075" t="str">
            <v>9LJ6BWSG</v>
          </cell>
        </row>
        <row r="6076">
          <cell r="D6076" t="str">
            <v>0F31284</v>
          </cell>
          <cell r="E6076" t="str">
            <v>9LJ64WKG</v>
          </cell>
        </row>
        <row r="6077">
          <cell r="D6077" t="str">
            <v>0F31284</v>
          </cell>
          <cell r="E6077" t="str">
            <v>9LJ6ULBG</v>
          </cell>
        </row>
        <row r="6078">
          <cell r="D6078" t="str">
            <v>0F31284</v>
          </cell>
          <cell r="E6078" t="str">
            <v>9LJ72EWG</v>
          </cell>
        </row>
        <row r="6079">
          <cell r="D6079" t="str">
            <v>0F31284</v>
          </cell>
          <cell r="E6079" t="str">
            <v>9LJ5LAGG</v>
          </cell>
        </row>
        <row r="6080">
          <cell r="D6080" t="str">
            <v>0F31284</v>
          </cell>
          <cell r="E6080" t="str">
            <v>9LJ6HAGG</v>
          </cell>
        </row>
        <row r="6081">
          <cell r="D6081" t="str">
            <v>0F31284</v>
          </cell>
          <cell r="E6081" t="str">
            <v>9LJ6ZJTG</v>
          </cell>
        </row>
        <row r="6082">
          <cell r="D6082" t="str">
            <v>0F31284</v>
          </cell>
          <cell r="E6082" t="str">
            <v>9LJ73RXG</v>
          </cell>
        </row>
        <row r="6083">
          <cell r="D6083" t="str">
            <v>0F31284</v>
          </cell>
          <cell r="E6083" t="str">
            <v>9LJ6AENG</v>
          </cell>
        </row>
        <row r="6084">
          <cell r="D6084" t="str">
            <v>0F31284</v>
          </cell>
          <cell r="E6084" t="str">
            <v>9LJ6YAAG</v>
          </cell>
        </row>
        <row r="6085">
          <cell r="D6085" t="str">
            <v>0F31284</v>
          </cell>
          <cell r="E6085" t="str">
            <v>9LJ73R5G</v>
          </cell>
        </row>
        <row r="6086">
          <cell r="D6086" t="str">
            <v>0F31284</v>
          </cell>
          <cell r="E6086" t="str">
            <v>9LJ5RTSG</v>
          </cell>
        </row>
        <row r="6087">
          <cell r="D6087" t="str">
            <v>0F31284</v>
          </cell>
          <cell r="E6087" t="str">
            <v>9LJ6MLEG</v>
          </cell>
        </row>
        <row r="6088">
          <cell r="D6088" t="str">
            <v>0F31284</v>
          </cell>
          <cell r="E6088" t="str">
            <v>9LJ71Y4G</v>
          </cell>
        </row>
        <row r="6089">
          <cell r="D6089" t="str">
            <v>0F31284</v>
          </cell>
          <cell r="E6089" t="str">
            <v>9LJ73YZG</v>
          </cell>
        </row>
        <row r="6090">
          <cell r="D6090" t="str">
            <v>0F31284</v>
          </cell>
          <cell r="E6090" t="str">
            <v>9LJ6APGG</v>
          </cell>
        </row>
        <row r="6091">
          <cell r="D6091" t="str">
            <v>0F31284</v>
          </cell>
          <cell r="E6091" t="str">
            <v>9LJ6YVMG</v>
          </cell>
        </row>
        <row r="6092">
          <cell r="D6092" t="str">
            <v>0F31284</v>
          </cell>
          <cell r="E6092" t="str">
            <v>9LJ73RRG</v>
          </cell>
        </row>
        <row r="6093">
          <cell r="D6093" t="str">
            <v>0F31284</v>
          </cell>
          <cell r="E6093" t="str">
            <v>9LJ6S11G</v>
          </cell>
        </row>
        <row r="6094">
          <cell r="D6094" t="str">
            <v>0F31284</v>
          </cell>
          <cell r="E6094" t="str">
            <v>9LJ7216G</v>
          </cell>
        </row>
        <row r="6095">
          <cell r="D6095" t="str">
            <v>0F31284</v>
          </cell>
          <cell r="E6095" t="str">
            <v>9LJ77XXG</v>
          </cell>
        </row>
        <row r="6096">
          <cell r="D6096" t="str">
            <v>0F31284</v>
          </cell>
          <cell r="E6096" t="str">
            <v>9LHTG0AG</v>
          </cell>
        </row>
        <row r="6097">
          <cell r="D6097" t="str">
            <v>0F31284</v>
          </cell>
          <cell r="E6097" t="str">
            <v>9LJ5RSEG</v>
          </cell>
        </row>
        <row r="6098">
          <cell r="D6098" t="str">
            <v>0F30146</v>
          </cell>
          <cell r="E6098" t="str">
            <v>5QJAZS5B</v>
          </cell>
        </row>
        <row r="6099">
          <cell r="D6099" t="str">
            <v>0F30146</v>
          </cell>
          <cell r="E6099" t="str">
            <v>5QJB6ENB</v>
          </cell>
        </row>
        <row r="6100">
          <cell r="D6100" t="str">
            <v>0F30146</v>
          </cell>
          <cell r="E6100" t="str">
            <v>5QJB42JB</v>
          </cell>
        </row>
        <row r="6101">
          <cell r="D6101" t="str">
            <v>0F30146</v>
          </cell>
          <cell r="E6101" t="str">
            <v>5QJARH6B</v>
          </cell>
        </row>
        <row r="6102">
          <cell r="D6102" t="str">
            <v>0B36047</v>
          </cell>
          <cell r="E6102" t="str">
            <v>V9JZ1VVL</v>
          </cell>
        </row>
        <row r="6103">
          <cell r="D6103" t="str">
            <v>0B36047</v>
          </cell>
          <cell r="E6103" t="str">
            <v>V9JZN6RL</v>
          </cell>
        </row>
        <row r="6104">
          <cell r="D6104" t="str">
            <v>0B36047</v>
          </cell>
          <cell r="E6104" t="str">
            <v>V9JZ1B4L</v>
          </cell>
        </row>
        <row r="6105">
          <cell r="D6105" t="str">
            <v>0B36047</v>
          </cell>
          <cell r="E6105" t="str">
            <v>V9JZTLDL</v>
          </cell>
        </row>
        <row r="6106">
          <cell r="D6106" t="str">
            <v>0B36047</v>
          </cell>
          <cell r="E6106" t="str">
            <v>V9JZTRTL</v>
          </cell>
        </row>
        <row r="6107">
          <cell r="D6107" t="str">
            <v>0B36047</v>
          </cell>
          <cell r="E6107" t="str">
            <v>V9JZTWSL</v>
          </cell>
        </row>
        <row r="6108">
          <cell r="D6108" t="str">
            <v>0B36047</v>
          </cell>
          <cell r="E6108" t="str">
            <v>V9JZTRUL</v>
          </cell>
        </row>
        <row r="6109">
          <cell r="D6109" t="str">
            <v>0B36047</v>
          </cell>
          <cell r="E6109" t="str">
            <v>V9JZSWPL</v>
          </cell>
        </row>
        <row r="6110">
          <cell r="D6110" t="str">
            <v>0B42266</v>
          </cell>
          <cell r="E6110" t="str">
            <v>VCJT00VP</v>
          </cell>
        </row>
        <row r="6111">
          <cell r="D6111" t="str">
            <v>0B42266</v>
          </cell>
          <cell r="E6111" t="str">
            <v>VCJTGEBP</v>
          </cell>
        </row>
        <row r="6112">
          <cell r="D6112" t="str">
            <v>0B42266</v>
          </cell>
          <cell r="E6112" t="str">
            <v>VCJSVP1P</v>
          </cell>
        </row>
        <row r="6113">
          <cell r="D6113" t="str">
            <v>0B42266</v>
          </cell>
          <cell r="E6113" t="str">
            <v>VCJTGE6P</v>
          </cell>
        </row>
        <row r="6114">
          <cell r="D6114" t="str">
            <v>0F38755</v>
          </cell>
          <cell r="E6114" t="str">
            <v>2LG611TF</v>
          </cell>
        </row>
        <row r="6115">
          <cell r="D6115" t="str">
            <v>0F38755</v>
          </cell>
          <cell r="E6115" t="str">
            <v>2LG6YP8F</v>
          </cell>
        </row>
        <row r="6116">
          <cell r="D6116" t="str">
            <v>1W10002</v>
          </cell>
          <cell r="E6116" t="str">
            <v>WCC6N1FXU17C</v>
          </cell>
        </row>
        <row r="6117">
          <cell r="D6117" t="str">
            <v>1W10002</v>
          </cell>
          <cell r="E6117" t="str">
            <v>WCC6N1FXU257</v>
          </cell>
        </row>
        <row r="6118">
          <cell r="D6118" t="str">
            <v xml:space="preserve">M393AAG40M32-CAE </v>
          </cell>
          <cell r="E6118" t="str">
            <v>SNL263</v>
          </cell>
        </row>
        <row r="6119">
          <cell r="D6119" t="str">
            <v xml:space="preserve">M393AAG40M32-CAE </v>
          </cell>
          <cell r="E6119" t="str">
            <v>SNL264</v>
          </cell>
        </row>
        <row r="6120">
          <cell r="D6120" t="str">
            <v xml:space="preserve">M393AAG40M32-CAE </v>
          </cell>
          <cell r="E6120" t="str">
            <v>SNL265</v>
          </cell>
        </row>
        <row r="6121">
          <cell r="D6121" t="str">
            <v xml:space="preserve">M393AAG40M32-CAE </v>
          </cell>
          <cell r="E6121" t="str">
            <v>SNL266</v>
          </cell>
        </row>
        <row r="6122">
          <cell r="D6122" t="str">
            <v xml:space="preserve">M393AAG40M32-CAE </v>
          </cell>
          <cell r="E6122" t="str">
            <v>SNL267</v>
          </cell>
        </row>
        <row r="6123">
          <cell r="D6123" t="str">
            <v xml:space="preserve">M393AAG40M32-CAE </v>
          </cell>
          <cell r="E6123" t="str">
            <v>SNL268</v>
          </cell>
        </row>
        <row r="6124">
          <cell r="D6124" t="str">
            <v xml:space="preserve">M393AAG40M32-CAE </v>
          </cell>
          <cell r="E6124" t="str">
            <v>SNL269</v>
          </cell>
        </row>
        <row r="6125">
          <cell r="D6125" t="str">
            <v xml:space="preserve">M393AAG40M32-CAE </v>
          </cell>
          <cell r="E6125" t="str">
            <v>SNL270</v>
          </cell>
        </row>
        <row r="6126">
          <cell r="D6126" t="str">
            <v xml:space="preserve">M393AAG40M32-CAE </v>
          </cell>
          <cell r="E6126" t="str">
            <v>SNL271</v>
          </cell>
        </row>
        <row r="6127">
          <cell r="D6127" t="str">
            <v xml:space="preserve">M393AAG40M32-CAE </v>
          </cell>
          <cell r="E6127" t="str">
            <v>SNL272</v>
          </cell>
        </row>
        <row r="6128">
          <cell r="D6128" t="str">
            <v>ROMED8-2T</v>
          </cell>
          <cell r="E6128" t="str">
            <v>ECS0XW000079</v>
          </cell>
        </row>
        <row r="6129">
          <cell r="D6129" t="str">
            <v>0F31284</v>
          </cell>
          <cell r="E6129" t="str">
            <v>9LHZPWXG</v>
          </cell>
        </row>
        <row r="6130">
          <cell r="D6130" t="str">
            <v>0F31284</v>
          </cell>
          <cell r="E6130" t="str">
            <v>9LJ630SG</v>
          </cell>
        </row>
        <row r="6131">
          <cell r="D6131" t="str">
            <v>0F31284</v>
          </cell>
          <cell r="E6131" t="str">
            <v>9LJ64VBG</v>
          </cell>
        </row>
        <row r="6132">
          <cell r="D6132" t="str">
            <v>0F31284</v>
          </cell>
          <cell r="E6132" t="str">
            <v>9LHRWSMG</v>
          </cell>
        </row>
        <row r="6133">
          <cell r="D6133" t="str">
            <v>0F31284</v>
          </cell>
          <cell r="E6133" t="str">
            <v>9LJ0GYJG</v>
          </cell>
        </row>
        <row r="6134">
          <cell r="D6134" t="str">
            <v>0F31284</v>
          </cell>
          <cell r="E6134" t="str">
            <v>9LJ64KHG</v>
          </cell>
        </row>
        <row r="6135">
          <cell r="D6135" t="str">
            <v>0F31284</v>
          </cell>
          <cell r="E6135" t="str">
            <v>9LJ6A9ZG</v>
          </cell>
        </row>
        <row r="6136">
          <cell r="D6136" t="str">
            <v>0F31284</v>
          </cell>
          <cell r="E6136" t="str">
            <v>9LHZRJJG</v>
          </cell>
        </row>
        <row r="6137">
          <cell r="D6137" t="str">
            <v>0F31284</v>
          </cell>
          <cell r="E6137" t="str">
            <v>9LJ63HJG</v>
          </cell>
        </row>
        <row r="6138">
          <cell r="D6138" t="str">
            <v>0F31284</v>
          </cell>
          <cell r="E6138" t="str">
            <v>9LJ652DG</v>
          </cell>
        </row>
        <row r="6139">
          <cell r="D6139" t="str">
            <v>0F31284</v>
          </cell>
          <cell r="E6139" t="str">
            <v>9LHZM1MG</v>
          </cell>
        </row>
        <row r="6140">
          <cell r="D6140" t="str">
            <v>0F31284</v>
          </cell>
          <cell r="E6140" t="str">
            <v>9LJ4NETG</v>
          </cell>
        </row>
        <row r="6141">
          <cell r="D6141" t="str">
            <v>0F31284</v>
          </cell>
          <cell r="E6141" t="str">
            <v>9LJ64M7G</v>
          </cell>
        </row>
        <row r="6142">
          <cell r="D6142" t="str">
            <v>0F31284</v>
          </cell>
          <cell r="E6142" t="str">
            <v>9LJ6ABZG</v>
          </cell>
        </row>
        <row r="6143">
          <cell r="D6143" t="str">
            <v>0F31284</v>
          </cell>
          <cell r="E6143" t="str">
            <v>9LJ093VG</v>
          </cell>
        </row>
        <row r="6144">
          <cell r="D6144" t="str">
            <v>0F31284</v>
          </cell>
          <cell r="E6144" t="str">
            <v>9LJ64ESG</v>
          </cell>
        </row>
        <row r="6145">
          <cell r="D6145" t="str">
            <v>0F31284</v>
          </cell>
          <cell r="E6145" t="str">
            <v>9LJ65SMG</v>
          </cell>
        </row>
        <row r="6146">
          <cell r="D6146" t="str">
            <v>0F31284</v>
          </cell>
          <cell r="E6146" t="str">
            <v>9LJ61ADG</v>
          </cell>
        </row>
        <row r="6147">
          <cell r="D6147" t="str">
            <v>0F31284</v>
          </cell>
          <cell r="E6147" t="str">
            <v>9LJ64R5G</v>
          </cell>
        </row>
        <row r="6148">
          <cell r="D6148" t="str">
            <v>0F31284</v>
          </cell>
          <cell r="E6148" t="str">
            <v>9LJ6AHBG</v>
          </cell>
        </row>
        <row r="6149">
          <cell r="D6149" t="str">
            <v>0F31284</v>
          </cell>
          <cell r="E6149" t="str">
            <v>9LJ5UL1G</v>
          </cell>
        </row>
        <row r="6150">
          <cell r="D6150" t="str">
            <v>0F31284</v>
          </cell>
          <cell r="E6150" t="str">
            <v>9LJ63DLG</v>
          </cell>
        </row>
        <row r="6151">
          <cell r="D6151" t="str">
            <v>0F31284</v>
          </cell>
          <cell r="E6151" t="str">
            <v>9LJ65TSG</v>
          </cell>
        </row>
        <row r="6152">
          <cell r="D6152" t="str">
            <v>0F31284</v>
          </cell>
          <cell r="E6152" t="str">
            <v>9LJ4N97G</v>
          </cell>
        </row>
        <row r="6153">
          <cell r="D6153" t="str">
            <v>0F31284</v>
          </cell>
          <cell r="E6153" t="str">
            <v>9LJ630XG</v>
          </cell>
        </row>
        <row r="6154">
          <cell r="D6154" t="str">
            <v>0F31284</v>
          </cell>
          <cell r="E6154" t="str">
            <v>9LJ64K6G</v>
          </cell>
        </row>
        <row r="6155">
          <cell r="D6155" t="str">
            <v>0F31284</v>
          </cell>
          <cell r="E6155" t="str">
            <v>9LJ6AHEG</v>
          </cell>
        </row>
        <row r="6156">
          <cell r="D6156" t="str">
            <v>0F31284</v>
          </cell>
          <cell r="E6156" t="str">
            <v>9LJ62Z5G</v>
          </cell>
        </row>
        <row r="6157">
          <cell r="D6157" t="str">
            <v>0F31284</v>
          </cell>
          <cell r="E6157" t="str">
            <v>9LJ63GPG</v>
          </cell>
        </row>
        <row r="6158">
          <cell r="D6158" t="str">
            <v>0F31284</v>
          </cell>
          <cell r="E6158" t="str">
            <v>9LJ66N0G</v>
          </cell>
        </row>
        <row r="6159">
          <cell r="D6159" t="str">
            <v>0F31284</v>
          </cell>
          <cell r="E6159" t="str">
            <v>9LJ4NNVG</v>
          </cell>
        </row>
        <row r="6160">
          <cell r="D6160" t="str">
            <v>0F31284</v>
          </cell>
          <cell r="E6160" t="str">
            <v>9LJ631YG</v>
          </cell>
        </row>
        <row r="6161">
          <cell r="D6161" t="str">
            <v>0F31284</v>
          </cell>
          <cell r="E6161" t="str">
            <v>9LJ64PNG</v>
          </cell>
        </row>
        <row r="6162">
          <cell r="D6162" t="str">
            <v>0F31284</v>
          </cell>
          <cell r="E6162" t="str">
            <v>9LJ6DAJG</v>
          </cell>
        </row>
        <row r="6163">
          <cell r="D6163" t="str">
            <v>0F31284</v>
          </cell>
          <cell r="E6163" t="str">
            <v>9LJ62ZGG</v>
          </cell>
        </row>
        <row r="6164">
          <cell r="D6164" t="str">
            <v>0F31284</v>
          </cell>
          <cell r="E6164" t="str">
            <v>9LJ63H1G</v>
          </cell>
        </row>
        <row r="6165">
          <cell r="D6165" t="str">
            <v>0F31284</v>
          </cell>
          <cell r="E6165" t="str">
            <v>9LJ6AG0G</v>
          </cell>
        </row>
        <row r="6166">
          <cell r="D6166" t="str">
            <v>0F31284</v>
          </cell>
          <cell r="E6166" t="str">
            <v>9LJ63B1G</v>
          </cell>
        </row>
        <row r="6167">
          <cell r="D6167" t="str">
            <v>0F31284</v>
          </cell>
          <cell r="E6167" t="str">
            <v>9LJ65SDG</v>
          </cell>
        </row>
        <row r="6168">
          <cell r="D6168" t="str">
            <v>0F31284</v>
          </cell>
          <cell r="E6168" t="str">
            <v>9LJ6HLGG</v>
          </cell>
        </row>
        <row r="6169">
          <cell r="D6169" t="str">
            <v>M391A2K43BB1-CTD</v>
          </cell>
          <cell r="E6169" t="str">
            <v>SNL273</v>
          </cell>
        </row>
        <row r="6170">
          <cell r="D6170" t="str">
            <v>M391A2K43BB1-CTD</v>
          </cell>
          <cell r="E6170" t="str">
            <v>SNL274</v>
          </cell>
        </row>
        <row r="6171">
          <cell r="D6171" t="str">
            <v>MZ1LH240HAHQ-00005</v>
          </cell>
          <cell r="E6171" t="str">
            <v>S45RNC0T132590</v>
          </cell>
        </row>
        <row r="6172">
          <cell r="D6172" t="str">
            <v>MZ1LH240HAHQ-00005</v>
          </cell>
          <cell r="E6172" t="str">
            <v>S45RNC0T132575</v>
          </cell>
        </row>
        <row r="6173">
          <cell r="D6173" t="str">
            <v>MZ1LH240HAHQ-00005</v>
          </cell>
          <cell r="E6173" t="str">
            <v>S45RNC0T132581</v>
          </cell>
        </row>
        <row r="6174">
          <cell r="D6174" t="str">
            <v>MZ1LH240HAHQ-00005</v>
          </cell>
          <cell r="E6174" t="str">
            <v>S45RNC0T132597</v>
          </cell>
        </row>
        <row r="6175">
          <cell r="D6175" t="str">
            <v>Intel Xeon Gold 622R</v>
          </cell>
          <cell r="E6175" t="str">
            <v>26A877BE3253086BRGZC  71KM644901155</v>
          </cell>
        </row>
        <row r="6176">
          <cell r="D6176" t="str">
            <v>Intel Xeon E-2378G</v>
          </cell>
          <cell r="E6176" t="str">
            <v>V2051293 04100   82B3S7S1804100</v>
          </cell>
        </row>
        <row r="6177">
          <cell r="D6177" t="str">
            <v>0TS2050</v>
          </cell>
          <cell r="E6177" t="str">
            <v>A07D446F</v>
          </cell>
        </row>
        <row r="6178">
          <cell r="D6178" t="str">
            <v>0TS2050</v>
          </cell>
          <cell r="E6178" t="str">
            <v>A0796524</v>
          </cell>
        </row>
        <row r="6179">
          <cell r="D6179" t="str">
            <v>0TS2050</v>
          </cell>
          <cell r="E6179" t="str">
            <v>A07D4460</v>
          </cell>
        </row>
        <row r="6180">
          <cell r="D6180" t="str">
            <v>0TS2050</v>
          </cell>
          <cell r="E6180" t="str">
            <v>A07D44AC</v>
          </cell>
        </row>
        <row r="6181">
          <cell r="D6181" t="str">
            <v>0TS2050</v>
          </cell>
          <cell r="E6181" t="str">
            <v>A07964BA</v>
          </cell>
        </row>
        <row r="6182">
          <cell r="D6182" t="str">
            <v>0TS2050</v>
          </cell>
          <cell r="E6182" t="str">
            <v>A07C6F87</v>
          </cell>
        </row>
        <row r="6183">
          <cell r="D6183" t="str">
            <v>0TS2050</v>
          </cell>
          <cell r="E6183" t="str">
            <v>A07C7138</v>
          </cell>
        </row>
        <row r="6184">
          <cell r="D6184" t="str">
            <v>0TS2050</v>
          </cell>
          <cell r="E6184" t="str">
            <v>A07C6F8F</v>
          </cell>
        </row>
        <row r="6185">
          <cell r="D6185" t="str">
            <v>0TS2050</v>
          </cell>
          <cell r="E6185" t="str">
            <v>A07C7162</v>
          </cell>
        </row>
        <row r="6186">
          <cell r="D6186" t="str">
            <v>0TS2050</v>
          </cell>
          <cell r="E6186" t="str">
            <v>A07C7008</v>
          </cell>
        </row>
        <row r="6187">
          <cell r="D6187" t="str">
            <v>0TS2050</v>
          </cell>
          <cell r="E6187" t="str">
            <v>A07C71CD</v>
          </cell>
        </row>
        <row r="6188">
          <cell r="D6188" t="str">
            <v>0TS2050</v>
          </cell>
          <cell r="E6188" t="str">
            <v>A07C7100</v>
          </cell>
        </row>
        <row r="6189">
          <cell r="D6189" t="str">
            <v>0TS2050</v>
          </cell>
          <cell r="E6189" t="str">
            <v>A07C71D3</v>
          </cell>
        </row>
        <row r="6190">
          <cell r="D6190" t="str">
            <v>0TS2050</v>
          </cell>
          <cell r="E6190" t="str">
            <v>A07C7136</v>
          </cell>
        </row>
        <row r="6191">
          <cell r="D6191" t="str">
            <v>0TS2050</v>
          </cell>
          <cell r="E6191" t="str">
            <v>A07C78D3</v>
          </cell>
        </row>
        <row r="6192">
          <cell r="D6192" t="str">
            <v>0TS2050</v>
          </cell>
          <cell r="E6192" t="str">
            <v>A07C6EF7</v>
          </cell>
        </row>
        <row r="6193">
          <cell r="D6193" t="str">
            <v>0TS2050</v>
          </cell>
          <cell r="E6193" t="str">
            <v>A07C6FC0</v>
          </cell>
        </row>
        <row r="6194">
          <cell r="D6194" t="str">
            <v>0TS2050</v>
          </cell>
          <cell r="E6194" t="str">
            <v>A07C6F36</v>
          </cell>
        </row>
        <row r="6195">
          <cell r="D6195" t="str">
            <v>0TS2050</v>
          </cell>
          <cell r="E6195" t="str">
            <v>A07C7040</v>
          </cell>
        </row>
        <row r="6196">
          <cell r="D6196" t="str">
            <v>0TS2050</v>
          </cell>
          <cell r="E6196" t="str">
            <v>A07C6F94</v>
          </cell>
        </row>
        <row r="6197">
          <cell r="D6197" t="str">
            <v>0TS2050</v>
          </cell>
          <cell r="E6197" t="str">
            <v>A07C7046</v>
          </cell>
        </row>
        <row r="6198">
          <cell r="D6198" t="str">
            <v>0TS2050</v>
          </cell>
          <cell r="E6198" t="str">
            <v>A07C6FA7</v>
          </cell>
        </row>
        <row r="6199">
          <cell r="D6199" t="str">
            <v>0TS2050</v>
          </cell>
          <cell r="E6199" t="str">
            <v>A07C7165</v>
          </cell>
        </row>
        <row r="6200">
          <cell r="D6200" t="str">
            <v>0TS2050</v>
          </cell>
          <cell r="E6200" t="str">
            <v>A07C6FA8</v>
          </cell>
        </row>
        <row r="6201">
          <cell r="D6201" t="str">
            <v>0TS2050</v>
          </cell>
          <cell r="E6201" t="str">
            <v>A07C716F</v>
          </cell>
        </row>
        <row r="6202">
          <cell r="D6202" t="str">
            <v>0TS2050</v>
          </cell>
          <cell r="E6202" t="str">
            <v>A07C6ECF</v>
          </cell>
        </row>
        <row r="6203">
          <cell r="D6203" t="str">
            <v>0TS2050</v>
          </cell>
          <cell r="E6203" t="str">
            <v>A07C7301</v>
          </cell>
        </row>
        <row r="6204">
          <cell r="D6204" t="str">
            <v>0TS2050</v>
          </cell>
          <cell r="E6204" t="str">
            <v>A07C710E</v>
          </cell>
        </row>
        <row r="6205">
          <cell r="D6205" t="str">
            <v>0TS2050</v>
          </cell>
          <cell r="E6205" t="str">
            <v>A07C735D</v>
          </cell>
        </row>
        <row r="6206">
          <cell r="D6206" t="str">
            <v>0TS2050</v>
          </cell>
          <cell r="E6206" t="str">
            <v>A07C7113</v>
          </cell>
        </row>
        <row r="6207">
          <cell r="D6207" t="str">
            <v>0TS2050</v>
          </cell>
          <cell r="E6207" t="str">
            <v>A07C73FD</v>
          </cell>
        </row>
        <row r="6208">
          <cell r="D6208" t="str">
            <v>0TS2050</v>
          </cell>
          <cell r="E6208" t="str">
            <v>A07C71C7</v>
          </cell>
        </row>
        <row r="6209">
          <cell r="D6209" t="str">
            <v>0TS2050</v>
          </cell>
          <cell r="E6209" t="str">
            <v>A07C7569</v>
          </cell>
        </row>
        <row r="6210">
          <cell r="D6210" t="str">
            <v>0TS2050</v>
          </cell>
          <cell r="E6210" t="str">
            <v>A07C72F0</v>
          </cell>
        </row>
        <row r="6211">
          <cell r="D6211" t="str">
            <v>0TS2050</v>
          </cell>
          <cell r="E6211" t="str">
            <v>A07C756A</v>
          </cell>
        </row>
        <row r="6212">
          <cell r="D6212" t="str">
            <v>0TS2050</v>
          </cell>
          <cell r="E6212" t="str">
            <v>A07C6E2F</v>
          </cell>
        </row>
        <row r="6213">
          <cell r="D6213" t="str">
            <v>0TS2050</v>
          </cell>
          <cell r="E6213" t="str">
            <v>A07C716E</v>
          </cell>
        </row>
        <row r="6214">
          <cell r="D6214" t="str">
            <v>0TS2050</v>
          </cell>
          <cell r="E6214" t="str">
            <v>A07C6E72</v>
          </cell>
        </row>
        <row r="6215">
          <cell r="D6215" t="str">
            <v>0TS2050</v>
          </cell>
          <cell r="E6215" t="str">
            <v>A07C725D</v>
          </cell>
        </row>
        <row r="6216">
          <cell r="D6216" t="str">
            <v>0TS2050</v>
          </cell>
          <cell r="E6216" t="str">
            <v>A07C6EB6</v>
          </cell>
        </row>
        <row r="6217">
          <cell r="D6217" t="str">
            <v>0TS2050</v>
          </cell>
          <cell r="E6217" t="str">
            <v>A07C7397</v>
          </cell>
        </row>
        <row r="6218">
          <cell r="D6218" t="str">
            <v>0TS2050</v>
          </cell>
          <cell r="E6218" t="str">
            <v>A07C6ED0</v>
          </cell>
        </row>
        <row r="6219">
          <cell r="D6219" t="str">
            <v>0TS2050</v>
          </cell>
          <cell r="E6219" t="str">
            <v>A07C75E4</v>
          </cell>
        </row>
        <row r="6220">
          <cell r="D6220" t="str">
            <v>0TS2050</v>
          </cell>
          <cell r="E6220" t="str">
            <v>A07C7164</v>
          </cell>
        </row>
        <row r="6221">
          <cell r="D6221" t="str">
            <v>0TS2050</v>
          </cell>
          <cell r="E6221" t="str">
            <v>A07C78D5</v>
          </cell>
        </row>
        <row r="6222">
          <cell r="D6222" t="str">
            <v>0TS2050</v>
          </cell>
          <cell r="E6222" t="str">
            <v>A07C6E42</v>
          </cell>
        </row>
        <row r="6223">
          <cell r="D6223" t="str">
            <v>0TS2050</v>
          </cell>
          <cell r="E6223" t="str">
            <v>A07C711F</v>
          </cell>
        </row>
        <row r="6224">
          <cell r="D6224" t="str">
            <v>0TS2050</v>
          </cell>
          <cell r="E6224" t="str">
            <v>A07C6E43</v>
          </cell>
        </row>
        <row r="6225">
          <cell r="D6225" t="str">
            <v>0TS2050</v>
          </cell>
          <cell r="E6225" t="str">
            <v>A07C7632</v>
          </cell>
        </row>
        <row r="6226">
          <cell r="D6226" t="str">
            <v>0TS2050</v>
          </cell>
          <cell r="E6226" t="str">
            <v>A07C6E69</v>
          </cell>
        </row>
        <row r="6227">
          <cell r="D6227" t="str">
            <v>0TS2050</v>
          </cell>
          <cell r="E6227" t="str">
            <v>A07C76B5</v>
          </cell>
        </row>
        <row r="6228">
          <cell r="D6228" t="str">
            <v>0TS2050</v>
          </cell>
          <cell r="E6228" t="str">
            <v>A07C6FE2</v>
          </cell>
        </row>
        <row r="6229">
          <cell r="D6229" t="str">
            <v>0TS2050</v>
          </cell>
          <cell r="E6229" t="str">
            <v>A07C76B8</v>
          </cell>
        </row>
        <row r="6230">
          <cell r="D6230" t="str">
            <v>0TS2050</v>
          </cell>
          <cell r="E6230" t="str">
            <v>A07C6FE5</v>
          </cell>
        </row>
        <row r="6231">
          <cell r="D6231" t="str">
            <v>0TS2050</v>
          </cell>
          <cell r="E6231" t="str">
            <v>A07C78E9</v>
          </cell>
        </row>
        <row r="6232">
          <cell r="D6232" t="str">
            <v>0TS2050</v>
          </cell>
          <cell r="E6232" t="str">
            <v>A07C70F9</v>
          </cell>
        </row>
        <row r="6233">
          <cell r="D6233" t="str">
            <v>0TS2050</v>
          </cell>
          <cell r="E6233" t="str">
            <v>A07C7256</v>
          </cell>
        </row>
        <row r="6234">
          <cell r="D6234" t="str">
            <v>0TS2050</v>
          </cell>
          <cell r="E6234" t="str">
            <v>A07C7181</v>
          </cell>
        </row>
        <row r="6235">
          <cell r="D6235" t="str">
            <v>0TS2050</v>
          </cell>
          <cell r="E6235" t="str">
            <v>A07C729D</v>
          </cell>
        </row>
        <row r="6236">
          <cell r="D6236" t="str">
            <v>0TS2050</v>
          </cell>
          <cell r="E6236" t="str">
            <v>A07C7191</v>
          </cell>
        </row>
        <row r="6237">
          <cell r="D6237" t="str">
            <v>0TS2050</v>
          </cell>
          <cell r="E6237" t="str">
            <v>A07C72AA</v>
          </cell>
        </row>
        <row r="6238">
          <cell r="D6238" t="str">
            <v>0TS2050</v>
          </cell>
          <cell r="E6238" t="str">
            <v>A07C7192</v>
          </cell>
        </row>
        <row r="6239">
          <cell r="D6239" t="str">
            <v>0TS2050</v>
          </cell>
          <cell r="E6239" t="str">
            <v>A07C72BE</v>
          </cell>
        </row>
        <row r="6240">
          <cell r="D6240" t="str">
            <v>0TS2050</v>
          </cell>
          <cell r="E6240" t="str">
            <v>A07C7215</v>
          </cell>
        </row>
        <row r="6241">
          <cell r="D6241" t="str">
            <v>0TS2050</v>
          </cell>
          <cell r="E6241" t="str">
            <v>A07C73A7</v>
          </cell>
        </row>
        <row r="6242">
          <cell r="D6242" t="str">
            <v>0TS1876</v>
          </cell>
          <cell r="E6242" t="str">
            <v>A07F9788</v>
          </cell>
        </row>
        <row r="6243">
          <cell r="D6243" t="str">
            <v>0TS1876</v>
          </cell>
          <cell r="E6243" t="str">
            <v>A0801C91</v>
          </cell>
        </row>
        <row r="6244">
          <cell r="D6244" t="str">
            <v>0TS1876</v>
          </cell>
          <cell r="E6244" t="str">
            <v>A07FFE26</v>
          </cell>
        </row>
        <row r="6245">
          <cell r="D6245" t="str">
            <v>0TS1876</v>
          </cell>
          <cell r="E6245" t="str">
            <v>A08027A5</v>
          </cell>
        </row>
        <row r="6246">
          <cell r="D6246" t="str">
            <v>0TS1876</v>
          </cell>
          <cell r="E6246" t="str">
            <v>A080000D</v>
          </cell>
        </row>
        <row r="6247">
          <cell r="D6247" t="str">
            <v>0TS1876</v>
          </cell>
          <cell r="E6247" t="str">
            <v>A0802A12</v>
          </cell>
        </row>
        <row r="6248">
          <cell r="D6248" t="str">
            <v>0TS1876</v>
          </cell>
          <cell r="E6248" t="str">
            <v>A080002C</v>
          </cell>
        </row>
        <row r="6249">
          <cell r="D6249" t="str">
            <v>0TS1876</v>
          </cell>
          <cell r="E6249" t="str">
            <v>A0802D0E</v>
          </cell>
        </row>
        <row r="6250">
          <cell r="D6250" t="str">
            <v>0TS1876</v>
          </cell>
          <cell r="E6250" t="str">
            <v>A0800128</v>
          </cell>
        </row>
        <row r="6251">
          <cell r="D6251" t="str">
            <v>0TS1876</v>
          </cell>
          <cell r="E6251" t="str">
            <v>A0803495</v>
          </cell>
        </row>
        <row r="6252">
          <cell r="D6252" t="str">
            <v>0TS1876</v>
          </cell>
          <cell r="E6252" t="str">
            <v>A07F5A15</v>
          </cell>
        </row>
        <row r="6253">
          <cell r="D6253" t="str">
            <v>0TS1876</v>
          </cell>
          <cell r="E6253" t="str">
            <v>A0800027</v>
          </cell>
        </row>
        <row r="6254">
          <cell r="D6254" t="str">
            <v>0TS1876</v>
          </cell>
          <cell r="E6254" t="str">
            <v>A07F5A46</v>
          </cell>
        </row>
        <row r="6255">
          <cell r="D6255" t="str">
            <v>0TS1876</v>
          </cell>
          <cell r="E6255" t="str">
            <v>A08000AB</v>
          </cell>
        </row>
        <row r="6256">
          <cell r="D6256" t="str">
            <v>0TS1876</v>
          </cell>
          <cell r="E6256" t="str">
            <v>A07F840B</v>
          </cell>
        </row>
        <row r="6257">
          <cell r="D6257" t="str">
            <v>0TS1876</v>
          </cell>
          <cell r="E6257" t="str">
            <v>A08000AF</v>
          </cell>
        </row>
        <row r="6258">
          <cell r="D6258" t="str">
            <v>0TS1876</v>
          </cell>
          <cell r="E6258" t="str">
            <v>A07F9BD0</v>
          </cell>
        </row>
        <row r="6259">
          <cell r="D6259" t="str">
            <v>0TS1876</v>
          </cell>
          <cell r="E6259" t="str">
            <v>A08003C3</v>
          </cell>
        </row>
        <row r="6260">
          <cell r="D6260" t="str">
            <v>0TS1876</v>
          </cell>
          <cell r="E6260" t="str">
            <v>A0800001</v>
          </cell>
        </row>
        <row r="6261">
          <cell r="D6261" t="str">
            <v>0TS1876</v>
          </cell>
          <cell r="E6261" t="str">
            <v>A0802667</v>
          </cell>
        </row>
        <row r="6262">
          <cell r="D6262" t="str">
            <v>1W10002</v>
          </cell>
          <cell r="E6262" t="str">
            <v>WCC6N3ENA07S</v>
          </cell>
        </row>
        <row r="6263">
          <cell r="D6263" t="str">
            <v>1W10002</v>
          </cell>
          <cell r="E6263" t="str">
            <v>WCC6N2JE3LF5</v>
          </cell>
        </row>
        <row r="6264">
          <cell r="D6264" t="str">
            <v>0F31284</v>
          </cell>
          <cell r="E6264" t="str">
            <v>Y6GJXJKD</v>
          </cell>
        </row>
        <row r="6265">
          <cell r="D6265" t="str">
            <v>0F31284</v>
          </cell>
          <cell r="E6265" t="str">
            <v>Y6GHTSUC</v>
          </cell>
        </row>
        <row r="6266">
          <cell r="D6266" t="str">
            <v>MZ7L3480HCHQ-00A07</v>
          </cell>
          <cell r="E6266" t="str">
            <v>S664NE0RC04727</v>
          </cell>
        </row>
        <row r="6267">
          <cell r="D6267" t="str">
            <v>MZ7L3480HCHQ-00A07</v>
          </cell>
          <cell r="E6267" t="str">
            <v>S664NE0RC04728</v>
          </cell>
        </row>
        <row r="6268">
          <cell r="D6268" t="str">
            <v>MZ7L3480HCHQ-00A07</v>
          </cell>
          <cell r="E6268" t="str">
            <v>S664NE0RC04729</v>
          </cell>
        </row>
        <row r="6269">
          <cell r="D6269" t="str">
            <v>MZ7L3480HCHQ-00A07</v>
          </cell>
          <cell r="E6269" t="str">
            <v>S664NE0RC04730</v>
          </cell>
        </row>
        <row r="6270">
          <cell r="D6270" t="str">
            <v>MZ7L3480HCHQ-00A07</v>
          </cell>
          <cell r="E6270" t="str">
            <v>S664NE0RC04726</v>
          </cell>
        </row>
        <row r="6271">
          <cell r="D6271" t="str">
            <v>MZ7L3480HCHQ-00A07</v>
          </cell>
          <cell r="E6271" t="str">
            <v>S664NE0RC04731</v>
          </cell>
        </row>
        <row r="6272">
          <cell r="D6272" t="str">
            <v>MZ7L3480HCHQ-00A07</v>
          </cell>
          <cell r="E6272" t="str">
            <v>S664NE0RC04720</v>
          </cell>
        </row>
        <row r="6273">
          <cell r="D6273" t="str">
            <v>MZ7L3480HCHQ-00A07</v>
          </cell>
          <cell r="E6273" t="str">
            <v>S664NE0RC04721</v>
          </cell>
        </row>
        <row r="6274">
          <cell r="D6274" t="str">
            <v>MZ7L3480HCHQ-00A07</v>
          </cell>
          <cell r="E6274" t="str">
            <v>S664NE0RC04723</v>
          </cell>
        </row>
        <row r="6275">
          <cell r="D6275" t="str">
            <v>MZ7L3480HCHQ-00A07</v>
          </cell>
          <cell r="E6275" t="str">
            <v>S664NE0RC04725</v>
          </cell>
        </row>
        <row r="6276">
          <cell r="D6276" t="str">
            <v>0F31284</v>
          </cell>
          <cell r="E6276" t="str">
            <v>9MHSLZAJ</v>
          </cell>
        </row>
        <row r="6277">
          <cell r="D6277" t="str">
            <v>0F31284</v>
          </cell>
          <cell r="E6277" t="str">
            <v>9MHT3L5J</v>
          </cell>
        </row>
        <row r="6278">
          <cell r="D6278" t="str">
            <v>0F31284</v>
          </cell>
          <cell r="E6278" t="str">
            <v>9MHT4DKJ</v>
          </cell>
        </row>
        <row r="6279">
          <cell r="D6279" t="str">
            <v>0F31284</v>
          </cell>
          <cell r="E6279" t="str">
            <v>9MHSLXXJ</v>
          </cell>
        </row>
        <row r="6280">
          <cell r="D6280" t="str">
            <v>0F31284</v>
          </cell>
          <cell r="E6280" t="str">
            <v>9MHSM3WJ</v>
          </cell>
        </row>
        <row r="6281">
          <cell r="D6281" t="str">
            <v>0F31284</v>
          </cell>
          <cell r="E6281" t="str">
            <v>9MHT3S0J</v>
          </cell>
        </row>
        <row r="6282">
          <cell r="D6282" t="str">
            <v>0F31284</v>
          </cell>
          <cell r="E6282" t="str">
            <v>9MHT4HMJ</v>
          </cell>
        </row>
        <row r="6283">
          <cell r="D6283" t="str">
            <v>0F31284</v>
          </cell>
          <cell r="E6283" t="str">
            <v>9MHSM1EJ</v>
          </cell>
        </row>
        <row r="6284">
          <cell r="D6284" t="str">
            <v>0F31284</v>
          </cell>
          <cell r="E6284" t="str">
            <v>9MHT3LYJ</v>
          </cell>
        </row>
        <row r="6285">
          <cell r="D6285" t="str">
            <v>0F31284</v>
          </cell>
          <cell r="E6285" t="str">
            <v>9MHT4E5J</v>
          </cell>
        </row>
        <row r="6286">
          <cell r="D6286" t="str">
            <v>0F31284</v>
          </cell>
          <cell r="E6286" t="str">
            <v>9MHSLZ7J</v>
          </cell>
        </row>
        <row r="6287">
          <cell r="D6287" t="str">
            <v>0F31284</v>
          </cell>
          <cell r="E6287" t="str">
            <v>9MHSM69J</v>
          </cell>
        </row>
        <row r="6288">
          <cell r="D6288" t="str">
            <v>0F31284</v>
          </cell>
          <cell r="E6288" t="str">
            <v>9MHT3SAJ</v>
          </cell>
        </row>
        <row r="6289">
          <cell r="D6289" t="str">
            <v>0F31284</v>
          </cell>
          <cell r="E6289" t="str">
            <v>9MHT4J0J</v>
          </cell>
        </row>
        <row r="6290">
          <cell r="D6290" t="str">
            <v>0F31284</v>
          </cell>
          <cell r="E6290" t="str">
            <v>9MHSM20J</v>
          </cell>
        </row>
        <row r="6291">
          <cell r="D6291" t="str">
            <v>0F31284</v>
          </cell>
          <cell r="E6291" t="str">
            <v>9MHT3MPJ</v>
          </cell>
        </row>
        <row r="6292">
          <cell r="D6292" t="str">
            <v>0F31284</v>
          </cell>
          <cell r="E6292" t="str">
            <v>9MHT4G6J</v>
          </cell>
        </row>
        <row r="6293">
          <cell r="D6293" t="str">
            <v>0F31284</v>
          </cell>
          <cell r="E6293" t="str">
            <v>9MHSME5J</v>
          </cell>
        </row>
        <row r="6294">
          <cell r="D6294" t="str">
            <v>0F31284</v>
          </cell>
          <cell r="E6294" t="str">
            <v>9MHT4BPJ</v>
          </cell>
        </row>
        <row r="6295">
          <cell r="D6295" t="str">
            <v>0F31284</v>
          </cell>
          <cell r="E6295" t="str">
            <v>9MHT4K4J</v>
          </cell>
        </row>
        <row r="6296">
          <cell r="D6296" t="str">
            <v>0F31284</v>
          </cell>
          <cell r="E6296" t="str">
            <v>9LJ714KG</v>
          </cell>
        </row>
        <row r="6297">
          <cell r="D6297" t="str">
            <v>0F31284</v>
          </cell>
          <cell r="E6297" t="str">
            <v>9LJ7GNHG</v>
          </cell>
        </row>
        <row r="6298">
          <cell r="D6298" t="str">
            <v>0F31284</v>
          </cell>
          <cell r="E6298" t="str">
            <v>9LJ7KEKG</v>
          </cell>
        </row>
        <row r="6299">
          <cell r="D6299" t="str">
            <v>0F31284</v>
          </cell>
          <cell r="E6299" t="str">
            <v>9LJ668RG</v>
          </cell>
        </row>
        <row r="6300">
          <cell r="D6300" t="str">
            <v>0F31284</v>
          </cell>
          <cell r="E6300" t="str">
            <v>9LJ78Y0G</v>
          </cell>
        </row>
        <row r="6301">
          <cell r="D6301" t="str">
            <v>0F31284</v>
          </cell>
          <cell r="E6301" t="str">
            <v>9LJ7HVYG</v>
          </cell>
        </row>
        <row r="6302">
          <cell r="D6302" t="str">
            <v>0F31284</v>
          </cell>
          <cell r="E6302" t="str">
            <v>9LJ7KH6G</v>
          </cell>
        </row>
        <row r="6303">
          <cell r="D6303" t="str">
            <v>0F31284</v>
          </cell>
          <cell r="E6303" t="str">
            <v>9LJ7176G</v>
          </cell>
        </row>
        <row r="6304">
          <cell r="D6304" t="str">
            <v>0F31284</v>
          </cell>
          <cell r="E6304" t="str">
            <v>9LJ7GXMG</v>
          </cell>
        </row>
        <row r="6305">
          <cell r="D6305" t="str">
            <v>0F31284</v>
          </cell>
          <cell r="E6305" t="str">
            <v>9LJ7KEYG</v>
          </cell>
        </row>
        <row r="6306">
          <cell r="D6306" t="str">
            <v>0F31284</v>
          </cell>
          <cell r="E6306" t="str">
            <v>9LJ6TZWG</v>
          </cell>
        </row>
        <row r="6307">
          <cell r="D6307" t="str">
            <v>0F31284</v>
          </cell>
          <cell r="E6307" t="str">
            <v>9LJ7DW9G</v>
          </cell>
        </row>
        <row r="6308">
          <cell r="D6308" t="str">
            <v>0F31284</v>
          </cell>
          <cell r="E6308" t="str">
            <v>9LJ7JTWG</v>
          </cell>
        </row>
        <row r="6309">
          <cell r="D6309" t="str">
            <v>0F31284</v>
          </cell>
          <cell r="E6309" t="str">
            <v>9LJ7KL2G</v>
          </cell>
        </row>
        <row r="6310">
          <cell r="D6310" t="str">
            <v>0F31284</v>
          </cell>
          <cell r="E6310" t="str">
            <v>9LJ74SGG</v>
          </cell>
        </row>
        <row r="6311">
          <cell r="D6311" t="str">
            <v>0F31284</v>
          </cell>
          <cell r="E6311" t="str">
            <v>9LJ7H29G</v>
          </cell>
        </row>
        <row r="6312">
          <cell r="D6312" t="str">
            <v>0F31284</v>
          </cell>
          <cell r="E6312" t="str">
            <v>9LJ7KH2G</v>
          </cell>
        </row>
        <row r="6313">
          <cell r="D6313" t="str">
            <v>0F31284</v>
          </cell>
          <cell r="E6313" t="str">
            <v>9LJ7E3ZG</v>
          </cell>
        </row>
        <row r="6314">
          <cell r="D6314" t="str">
            <v>0F31284</v>
          </cell>
          <cell r="E6314" t="str">
            <v>9LJ7JTXG</v>
          </cell>
        </row>
        <row r="6315">
          <cell r="D6315" t="str">
            <v>0F31284</v>
          </cell>
          <cell r="E6315" t="str">
            <v>9LJ7KLRG</v>
          </cell>
        </row>
        <row r="6316">
          <cell r="D6316" t="str">
            <v>0F31284</v>
          </cell>
          <cell r="E6316" t="str">
            <v>9LJ674SG</v>
          </cell>
        </row>
        <row r="6317">
          <cell r="D6317" t="str">
            <v>0F31284</v>
          </cell>
          <cell r="E6317" t="str">
            <v>9LJ6E7ZG</v>
          </cell>
        </row>
        <row r="6318">
          <cell r="D6318" t="str">
            <v>0F31284</v>
          </cell>
          <cell r="E6318" t="str">
            <v>9LJ6N3UG</v>
          </cell>
        </row>
        <row r="6319">
          <cell r="D6319" t="str">
            <v>0F31284</v>
          </cell>
          <cell r="E6319" t="str">
            <v>9LHV8WXG</v>
          </cell>
        </row>
        <row r="6320">
          <cell r="D6320" t="str">
            <v>0F31284</v>
          </cell>
          <cell r="E6320" t="str">
            <v>9LJ67NSG</v>
          </cell>
        </row>
        <row r="6321">
          <cell r="D6321" t="str">
            <v>0F31284</v>
          </cell>
          <cell r="E6321" t="str">
            <v>9LJ6HD8G</v>
          </cell>
        </row>
        <row r="6322">
          <cell r="D6322" t="str">
            <v>0F31284</v>
          </cell>
          <cell r="E6322" t="str">
            <v>9LJ6SW4G</v>
          </cell>
        </row>
        <row r="6323">
          <cell r="D6323" t="str">
            <v>0F31284</v>
          </cell>
          <cell r="E6323" t="str">
            <v>9LJ67KZG</v>
          </cell>
        </row>
        <row r="6324">
          <cell r="D6324" t="str">
            <v>0F31284</v>
          </cell>
          <cell r="E6324" t="str">
            <v>9LJ6GPTG</v>
          </cell>
        </row>
        <row r="6325">
          <cell r="D6325" t="str">
            <v>0F31284</v>
          </cell>
          <cell r="E6325" t="str">
            <v>9LJ6P1MG</v>
          </cell>
        </row>
        <row r="6326">
          <cell r="D6326" t="str">
            <v>0F31284</v>
          </cell>
          <cell r="E6326" t="str">
            <v>9LJ5H52G</v>
          </cell>
        </row>
        <row r="6327">
          <cell r="D6327" t="str">
            <v>0F31284</v>
          </cell>
          <cell r="E6327" t="str">
            <v>9LJ69TUG</v>
          </cell>
        </row>
        <row r="6328">
          <cell r="D6328" t="str">
            <v>0F31284</v>
          </cell>
          <cell r="E6328" t="str">
            <v>9LJ6MYAG</v>
          </cell>
        </row>
        <row r="6329">
          <cell r="D6329" t="str">
            <v>0F31284</v>
          </cell>
          <cell r="E6329" t="str">
            <v>9LJ6ZEKG</v>
          </cell>
        </row>
        <row r="6330">
          <cell r="D6330" t="str">
            <v>0F31284</v>
          </cell>
          <cell r="E6330" t="str">
            <v>9LJ67N4G</v>
          </cell>
        </row>
        <row r="6331">
          <cell r="D6331" t="str">
            <v>0F31284</v>
          </cell>
          <cell r="E6331" t="str">
            <v>9LJ6H4XG</v>
          </cell>
        </row>
        <row r="6332">
          <cell r="D6332" t="str">
            <v>0F31284</v>
          </cell>
          <cell r="E6332" t="str">
            <v>9LJ6SDTG</v>
          </cell>
        </row>
        <row r="6333">
          <cell r="D6333" t="str">
            <v>0F31284</v>
          </cell>
          <cell r="E6333" t="str">
            <v>9LJ6A60G</v>
          </cell>
        </row>
        <row r="6334">
          <cell r="D6334" t="str">
            <v>0F31284</v>
          </cell>
          <cell r="E6334" t="str">
            <v>9LJ6N0VG</v>
          </cell>
        </row>
        <row r="6335">
          <cell r="D6335" t="str">
            <v>0F31284</v>
          </cell>
          <cell r="E6335" t="str">
            <v>9LJ6ZGTG</v>
          </cell>
        </row>
        <row r="6336">
          <cell r="D6336" t="str">
            <v>0F31284</v>
          </cell>
          <cell r="E6336" t="str">
            <v>9LJ5BUSG</v>
          </cell>
        </row>
        <row r="6337">
          <cell r="D6337" t="str">
            <v>0F31284</v>
          </cell>
          <cell r="E6337" t="str">
            <v>9LJ62SLG</v>
          </cell>
        </row>
        <row r="6338">
          <cell r="D6338" t="str">
            <v>0F31284</v>
          </cell>
          <cell r="E6338" t="str">
            <v>9LJ63GZG</v>
          </cell>
        </row>
        <row r="6339">
          <cell r="D6339" t="str">
            <v>0F31284</v>
          </cell>
          <cell r="E6339" t="str">
            <v>9LJ4HZBG</v>
          </cell>
        </row>
        <row r="6340">
          <cell r="D6340" t="str">
            <v>0F31284</v>
          </cell>
          <cell r="E6340" t="str">
            <v>9LJ5LMZG</v>
          </cell>
        </row>
        <row r="6341">
          <cell r="D6341" t="str">
            <v>0F31284</v>
          </cell>
          <cell r="E6341" t="str">
            <v>9LJ636UG</v>
          </cell>
        </row>
        <row r="6342">
          <cell r="D6342" t="str">
            <v>0F31284</v>
          </cell>
          <cell r="E6342" t="str">
            <v>9LJ65RSG</v>
          </cell>
        </row>
        <row r="6343">
          <cell r="D6343" t="str">
            <v>0F31284</v>
          </cell>
          <cell r="E6343" t="str">
            <v>9LJ5BXSG</v>
          </cell>
        </row>
        <row r="6344">
          <cell r="D6344" t="str">
            <v>0F31284</v>
          </cell>
          <cell r="E6344" t="str">
            <v>9LJ6360G</v>
          </cell>
        </row>
        <row r="6345">
          <cell r="D6345" t="str">
            <v>0F31284</v>
          </cell>
          <cell r="E6345" t="str">
            <v>9LJ64TGG</v>
          </cell>
        </row>
        <row r="6346">
          <cell r="D6346" t="str">
            <v>0F31284</v>
          </cell>
          <cell r="E6346" t="str">
            <v>9LJ5BRVG</v>
          </cell>
        </row>
        <row r="6347">
          <cell r="D6347" t="str">
            <v>0F31284</v>
          </cell>
          <cell r="E6347" t="str">
            <v>9LJ5TWRG</v>
          </cell>
        </row>
        <row r="6348">
          <cell r="D6348" t="str">
            <v>0F31284</v>
          </cell>
          <cell r="E6348" t="str">
            <v>9LJ6380G</v>
          </cell>
        </row>
        <row r="6349">
          <cell r="D6349" t="str">
            <v>0F31284</v>
          </cell>
          <cell r="E6349" t="str">
            <v>9LJ6BY9G</v>
          </cell>
        </row>
        <row r="6350">
          <cell r="D6350" t="str">
            <v>0F31284</v>
          </cell>
          <cell r="E6350" t="str">
            <v>9LJ5HYZG</v>
          </cell>
        </row>
        <row r="6351">
          <cell r="D6351" t="str">
            <v>0F31284</v>
          </cell>
          <cell r="E6351" t="str">
            <v>9LJ636JG</v>
          </cell>
        </row>
        <row r="6352">
          <cell r="D6352" t="str">
            <v>0F31284</v>
          </cell>
          <cell r="E6352" t="str">
            <v>9LJ65RAG</v>
          </cell>
        </row>
        <row r="6353">
          <cell r="D6353" t="str">
            <v>0F31284</v>
          </cell>
          <cell r="E6353" t="str">
            <v>9LJ5W6GG</v>
          </cell>
        </row>
        <row r="6354">
          <cell r="D6354" t="str">
            <v>0F31284</v>
          </cell>
          <cell r="E6354" t="str">
            <v>9LJ6389G</v>
          </cell>
        </row>
        <row r="6355">
          <cell r="D6355" t="str">
            <v>0F31284</v>
          </cell>
          <cell r="E6355" t="str">
            <v>9LJ6DAHG</v>
          </cell>
        </row>
        <row r="6356">
          <cell r="D6356" t="str">
            <v>0F31284</v>
          </cell>
          <cell r="E6356" t="str">
            <v>9LJ6ZWKG</v>
          </cell>
        </row>
        <row r="6357">
          <cell r="D6357" t="str">
            <v>0F31284</v>
          </cell>
          <cell r="E6357" t="str">
            <v>9LJ7BG6G</v>
          </cell>
        </row>
        <row r="6358">
          <cell r="D6358" t="str">
            <v>0F31284</v>
          </cell>
          <cell r="E6358" t="str">
            <v>9LJ7JA4G</v>
          </cell>
        </row>
        <row r="6359">
          <cell r="D6359" t="str">
            <v>0F31284</v>
          </cell>
          <cell r="E6359" t="str">
            <v>9LJ3W0UG</v>
          </cell>
        </row>
        <row r="6360">
          <cell r="D6360" t="str">
            <v>0F31284</v>
          </cell>
          <cell r="E6360" t="str">
            <v>9LJ77JLG</v>
          </cell>
        </row>
        <row r="6361">
          <cell r="D6361" t="str">
            <v>0F31284</v>
          </cell>
          <cell r="E6361" t="str">
            <v>9LJ7GVJG</v>
          </cell>
        </row>
        <row r="6362">
          <cell r="D6362" t="str">
            <v>0F31284</v>
          </cell>
          <cell r="E6362" t="str">
            <v>9LJ7KEDG</v>
          </cell>
        </row>
        <row r="6363">
          <cell r="D6363" t="str">
            <v>0F31284</v>
          </cell>
          <cell r="E6363" t="str">
            <v>9LJ71HYG</v>
          </cell>
        </row>
        <row r="6364">
          <cell r="D6364" t="str">
            <v>0F31284</v>
          </cell>
          <cell r="E6364" t="str">
            <v>9LJ7DYHG</v>
          </cell>
        </row>
        <row r="6365">
          <cell r="D6365" t="str">
            <v>0F31284</v>
          </cell>
          <cell r="E6365" t="str">
            <v>9LJ7JV7G</v>
          </cell>
        </row>
        <row r="6366">
          <cell r="D6366" t="str">
            <v>0F31284</v>
          </cell>
          <cell r="E6366" t="str">
            <v>9LJ6YPBG</v>
          </cell>
        </row>
        <row r="6367">
          <cell r="D6367" t="str">
            <v>0F31284</v>
          </cell>
          <cell r="E6367" t="str">
            <v>9LJ77U6G</v>
          </cell>
        </row>
        <row r="6368">
          <cell r="D6368" t="str">
            <v>0F31284</v>
          </cell>
          <cell r="E6368" t="str">
            <v>9LJ7H15G</v>
          </cell>
        </row>
        <row r="6369">
          <cell r="D6369" t="str">
            <v>0F31284</v>
          </cell>
          <cell r="E6369" t="str">
            <v>9LJ7KG5G</v>
          </cell>
        </row>
        <row r="6370">
          <cell r="D6370" t="str">
            <v>0F31284</v>
          </cell>
          <cell r="E6370" t="str">
            <v>9LJ73HSG</v>
          </cell>
        </row>
        <row r="6371">
          <cell r="D6371" t="str">
            <v>0F31284</v>
          </cell>
          <cell r="E6371" t="str">
            <v>9LJ7GA0G</v>
          </cell>
        </row>
        <row r="6372">
          <cell r="D6372" t="str">
            <v>0F31284</v>
          </cell>
          <cell r="E6372" t="str">
            <v>9LJ7K2MG</v>
          </cell>
        </row>
        <row r="6373">
          <cell r="D6373" t="str">
            <v>0F31284</v>
          </cell>
          <cell r="E6373" t="str">
            <v>9LJ78BEG</v>
          </cell>
        </row>
        <row r="6374">
          <cell r="D6374" t="str">
            <v>0F31284</v>
          </cell>
          <cell r="E6374" t="str">
            <v>9LJ7H2BG</v>
          </cell>
        </row>
        <row r="6375">
          <cell r="D6375" t="str">
            <v>0F31284</v>
          </cell>
          <cell r="E6375" t="str">
            <v>9LJ7KM7G</v>
          </cell>
        </row>
        <row r="6376">
          <cell r="D6376" t="str">
            <v>0F31284</v>
          </cell>
          <cell r="E6376" t="str">
            <v>9MHSLZGJ</v>
          </cell>
        </row>
        <row r="6377">
          <cell r="D6377" t="str">
            <v>0F31284</v>
          </cell>
          <cell r="E6377" t="str">
            <v>9MHT3JSJ</v>
          </cell>
        </row>
        <row r="6378">
          <cell r="D6378" t="str">
            <v>0F31284</v>
          </cell>
          <cell r="E6378" t="str">
            <v>9MHT45KJ</v>
          </cell>
        </row>
        <row r="6379">
          <cell r="D6379" t="str">
            <v>0F31284</v>
          </cell>
          <cell r="E6379" t="str">
            <v>9MHSLWWJ</v>
          </cell>
        </row>
        <row r="6380">
          <cell r="D6380" t="str">
            <v>0F31284</v>
          </cell>
          <cell r="E6380" t="str">
            <v>9MHSM60J</v>
          </cell>
        </row>
        <row r="6381">
          <cell r="D6381" t="str">
            <v>0F31284</v>
          </cell>
          <cell r="E6381" t="str">
            <v>9MHT3NMJ</v>
          </cell>
        </row>
        <row r="6382">
          <cell r="D6382" t="str">
            <v>0F31284</v>
          </cell>
          <cell r="E6382" t="str">
            <v>9MHT4D5J</v>
          </cell>
        </row>
        <row r="6383">
          <cell r="D6383" t="str">
            <v>0F31284</v>
          </cell>
          <cell r="E6383" t="str">
            <v>9MHSM1MJ</v>
          </cell>
        </row>
        <row r="6384">
          <cell r="D6384" t="str">
            <v>0F31284</v>
          </cell>
          <cell r="E6384" t="str">
            <v>9MHT3KTJ</v>
          </cell>
        </row>
        <row r="6385">
          <cell r="D6385" t="str">
            <v>0F31284</v>
          </cell>
          <cell r="E6385" t="str">
            <v>9MHT468J</v>
          </cell>
        </row>
        <row r="6386">
          <cell r="D6386" t="str">
            <v>0F31284</v>
          </cell>
          <cell r="E6386" t="str">
            <v>9MHSLY4J</v>
          </cell>
        </row>
        <row r="6387">
          <cell r="D6387" t="str">
            <v>0F31284</v>
          </cell>
          <cell r="E6387" t="str">
            <v>9MHSMGDJ</v>
          </cell>
        </row>
        <row r="6388">
          <cell r="D6388" t="str">
            <v>0F31284</v>
          </cell>
          <cell r="E6388" t="str">
            <v>9MHT3RRJ</v>
          </cell>
        </row>
        <row r="6389">
          <cell r="D6389" t="str">
            <v>0F31284</v>
          </cell>
          <cell r="E6389" t="str">
            <v>9MHT4KHJ</v>
          </cell>
        </row>
        <row r="6390">
          <cell r="D6390" t="str">
            <v>0F31284</v>
          </cell>
          <cell r="E6390" t="str">
            <v>9MHSM29J</v>
          </cell>
        </row>
        <row r="6391">
          <cell r="D6391" t="str">
            <v>0F31284</v>
          </cell>
          <cell r="E6391" t="str">
            <v>9MHT3MGJ</v>
          </cell>
        </row>
        <row r="6392">
          <cell r="D6392" t="str">
            <v>0F31284</v>
          </cell>
          <cell r="E6392" t="str">
            <v>9MHT48ZJ</v>
          </cell>
        </row>
        <row r="6393">
          <cell r="D6393" t="str">
            <v>0F31284</v>
          </cell>
          <cell r="E6393" t="str">
            <v>9MHSMMXJ</v>
          </cell>
        </row>
        <row r="6394">
          <cell r="D6394" t="str">
            <v>0F31284</v>
          </cell>
          <cell r="E6394" t="str">
            <v>9MHT445J</v>
          </cell>
        </row>
        <row r="6395">
          <cell r="D6395" t="str">
            <v>0F31284</v>
          </cell>
          <cell r="E6395" t="str">
            <v>9MHT4KLJ</v>
          </cell>
        </row>
        <row r="6396">
          <cell r="D6396" t="str">
            <v>0F31284</v>
          </cell>
          <cell r="E6396" t="str">
            <v>9MHSM2TJ</v>
          </cell>
        </row>
        <row r="6397">
          <cell r="D6397" t="str">
            <v>0F31284</v>
          </cell>
          <cell r="E6397" t="str">
            <v>9MHSMN5J</v>
          </cell>
        </row>
        <row r="6398">
          <cell r="D6398" t="str">
            <v>0F31284</v>
          </cell>
          <cell r="E6398" t="str">
            <v>9MHT480J</v>
          </cell>
        </row>
        <row r="6399">
          <cell r="D6399" t="str">
            <v>0F31284</v>
          </cell>
          <cell r="E6399" t="str">
            <v>9MHSLWTJ</v>
          </cell>
        </row>
        <row r="6400">
          <cell r="D6400" t="str">
            <v>0F31284</v>
          </cell>
          <cell r="E6400" t="str">
            <v>9MHSM4SJ</v>
          </cell>
        </row>
        <row r="6401">
          <cell r="D6401" t="str">
            <v>0F31284</v>
          </cell>
          <cell r="E6401" t="str">
            <v>9MHT3LNJ</v>
          </cell>
        </row>
        <row r="6402">
          <cell r="D6402" t="str">
            <v>0F31284</v>
          </cell>
          <cell r="E6402" t="str">
            <v>9MHT4BTJ</v>
          </cell>
        </row>
        <row r="6403">
          <cell r="D6403" t="str">
            <v>0F31284</v>
          </cell>
          <cell r="E6403" t="str">
            <v>9MHSM38J</v>
          </cell>
        </row>
        <row r="6404">
          <cell r="D6404" t="str">
            <v>0F31284</v>
          </cell>
          <cell r="E6404" t="str">
            <v>9MHSMNBJ</v>
          </cell>
        </row>
        <row r="6405">
          <cell r="D6405" t="str">
            <v>0F31284</v>
          </cell>
          <cell r="E6405" t="str">
            <v>9MHT48DJ</v>
          </cell>
        </row>
        <row r="6406">
          <cell r="D6406" t="str">
            <v>0F31284</v>
          </cell>
          <cell r="E6406" t="str">
            <v>9MHSLYYJ</v>
          </cell>
        </row>
        <row r="6407">
          <cell r="D6407" t="str">
            <v>0F31284</v>
          </cell>
          <cell r="E6407" t="str">
            <v>9MHSMG4J</v>
          </cell>
        </row>
        <row r="6408">
          <cell r="D6408" t="str">
            <v>0F31284</v>
          </cell>
          <cell r="E6408" t="str">
            <v>9MHT3P9J</v>
          </cell>
        </row>
        <row r="6409">
          <cell r="D6409" t="str">
            <v>0F31284</v>
          </cell>
          <cell r="E6409" t="str">
            <v>9MHT4BUJ</v>
          </cell>
        </row>
        <row r="6410">
          <cell r="D6410" t="str">
            <v>0F31284</v>
          </cell>
          <cell r="E6410" t="str">
            <v>9MHSM3EJ</v>
          </cell>
        </row>
        <row r="6411">
          <cell r="D6411" t="str">
            <v>0F31284</v>
          </cell>
          <cell r="E6411" t="str">
            <v>9MHT3LBJ</v>
          </cell>
        </row>
        <row r="6412">
          <cell r="D6412" t="str">
            <v>0F31284</v>
          </cell>
          <cell r="E6412" t="str">
            <v>9MHT49ZJ</v>
          </cell>
        </row>
        <row r="6413">
          <cell r="D6413" t="str">
            <v>0F31284</v>
          </cell>
          <cell r="E6413" t="str">
            <v>9MHSMGVJ</v>
          </cell>
        </row>
        <row r="6414">
          <cell r="D6414" t="str">
            <v>0F31284</v>
          </cell>
          <cell r="E6414" t="str">
            <v>9MHT465J</v>
          </cell>
        </row>
        <row r="6415">
          <cell r="D6415" t="str">
            <v>0F31284</v>
          </cell>
          <cell r="E6415" t="str">
            <v>9MHT4DHJ</v>
          </cell>
        </row>
        <row r="6416">
          <cell r="D6416" t="str">
            <v>0F31284</v>
          </cell>
          <cell r="E6416" t="str">
            <v>9MHSMAJJ</v>
          </cell>
        </row>
        <row r="6417">
          <cell r="D6417" t="str">
            <v>0F31284</v>
          </cell>
          <cell r="E6417" t="str">
            <v>9MHT3NZJ</v>
          </cell>
        </row>
        <row r="6418">
          <cell r="D6418" t="str">
            <v>0F31284</v>
          </cell>
          <cell r="E6418" t="str">
            <v>9MHT4EGJ</v>
          </cell>
        </row>
        <row r="6419">
          <cell r="D6419" t="str">
            <v>0F31284</v>
          </cell>
          <cell r="E6419" t="str">
            <v>9MHSM0AJ</v>
          </cell>
        </row>
        <row r="6420">
          <cell r="D6420" t="str">
            <v>0F31284</v>
          </cell>
          <cell r="E6420" t="str">
            <v>9MHSMM7J</v>
          </cell>
        </row>
        <row r="6421">
          <cell r="D6421" t="str">
            <v>0F31284</v>
          </cell>
          <cell r="E6421" t="str">
            <v>9MHT4B8J</v>
          </cell>
        </row>
        <row r="6422">
          <cell r="D6422" t="str">
            <v>0F31284</v>
          </cell>
          <cell r="E6422" t="str">
            <v>9MHT4GGJ</v>
          </cell>
        </row>
        <row r="6423">
          <cell r="D6423" t="str">
            <v>0F31284</v>
          </cell>
          <cell r="E6423" t="str">
            <v>9MHSMJ8J</v>
          </cell>
        </row>
        <row r="6424">
          <cell r="D6424" t="str">
            <v>0F31284</v>
          </cell>
          <cell r="E6424" t="str">
            <v>9MHT45GJ</v>
          </cell>
        </row>
        <row r="6425">
          <cell r="D6425" t="str">
            <v>0F31284</v>
          </cell>
          <cell r="E6425" t="str">
            <v>9MHT4EJJ</v>
          </cell>
        </row>
        <row r="6426">
          <cell r="D6426" t="str">
            <v>0F31284</v>
          </cell>
          <cell r="E6426" t="str">
            <v>9MHSM6WJ</v>
          </cell>
        </row>
        <row r="6427">
          <cell r="D6427" t="str">
            <v>0F31284</v>
          </cell>
          <cell r="E6427" t="str">
            <v>9MHSMMUJ</v>
          </cell>
        </row>
        <row r="6428">
          <cell r="D6428" t="str">
            <v>0F31284</v>
          </cell>
          <cell r="E6428" t="str">
            <v>9MHT4BLJ</v>
          </cell>
        </row>
        <row r="6429">
          <cell r="D6429" t="str">
            <v>0F31284</v>
          </cell>
          <cell r="E6429" t="str">
            <v>9MHT4GUJ</v>
          </cell>
        </row>
        <row r="6430">
          <cell r="D6430" t="str">
            <v>0F31284</v>
          </cell>
          <cell r="E6430" t="str">
            <v>9MHSMJLJ</v>
          </cell>
        </row>
        <row r="6431">
          <cell r="D6431" t="str">
            <v>0F31284</v>
          </cell>
          <cell r="E6431" t="str">
            <v>9MHT477J</v>
          </cell>
        </row>
        <row r="6432">
          <cell r="D6432" t="str">
            <v>0F31284</v>
          </cell>
          <cell r="E6432" t="str">
            <v>9MHT4EXJ</v>
          </cell>
        </row>
        <row r="6433">
          <cell r="D6433" t="str">
            <v>0F31284</v>
          </cell>
          <cell r="E6433" t="str">
            <v>9MHT3MHJ</v>
          </cell>
        </row>
        <row r="6434">
          <cell r="D6434" t="str">
            <v>0F31284</v>
          </cell>
          <cell r="E6434" t="str">
            <v>9MHT4D0J</v>
          </cell>
        </row>
        <row r="6435">
          <cell r="D6435" t="str">
            <v>0F31284</v>
          </cell>
          <cell r="E6435" t="str">
            <v>9MHT4K9J</v>
          </cell>
        </row>
        <row r="6436">
          <cell r="D6436" t="str">
            <v>0F31284</v>
          </cell>
          <cell r="E6436" t="str">
            <v>9LJ5DE2G</v>
          </cell>
        </row>
        <row r="6437">
          <cell r="D6437" t="str">
            <v>0F31284</v>
          </cell>
          <cell r="E6437" t="str">
            <v>9LJ64JYG</v>
          </cell>
        </row>
        <row r="6438">
          <cell r="D6438" t="str">
            <v>0F31284</v>
          </cell>
          <cell r="E6438" t="str">
            <v>9LJ64VTG</v>
          </cell>
        </row>
        <row r="6439">
          <cell r="D6439" t="str">
            <v>0F31284</v>
          </cell>
          <cell r="E6439" t="str">
            <v>9LJ4N8XG</v>
          </cell>
        </row>
        <row r="6440">
          <cell r="D6440" t="str">
            <v>0F31284</v>
          </cell>
          <cell r="E6440" t="str">
            <v>9LJ63GTG</v>
          </cell>
        </row>
        <row r="6441">
          <cell r="D6441" t="str">
            <v>0F31284</v>
          </cell>
          <cell r="E6441" t="str">
            <v>9LJ64PYG</v>
          </cell>
        </row>
        <row r="6442">
          <cell r="D6442" t="str">
            <v>0F31284</v>
          </cell>
          <cell r="E6442" t="str">
            <v>9LJ6AJVG</v>
          </cell>
        </row>
        <row r="6443">
          <cell r="D6443" t="str">
            <v>0F31284</v>
          </cell>
          <cell r="E6443" t="str">
            <v>9LJ5DHZG</v>
          </cell>
        </row>
        <row r="6444">
          <cell r="D6444" t="str">
            <v>0F31284</v>
          </cell>
          <cell r="E6444" t="str">
            <v>9LJ64MTG</v>
          </cell>
        </row>
        <row r="6445">
          <cell r="D6445" t="str">
            <v>0F31284</v>
          </cell>
          <cell r="E6445" t="str">
            <v>9LJ65R4G</v>
          </cell>
        </row>
        <row r="6446">
          <cell r="D6446" t="str">
            <v>0F31284</v>
          </cell>
          <cell r="E6446" t="str">
            <v>9LJ5530G</v>
          </cell>
        </row>
        <row r="6447">
          <cell r="D6447" t="str">
            <v>0F31284</v>
          </cell>
          <cell r="E6447" t="str">
            <v>9LJ64AWG</v>
          </cell>
        </row>
        <row r="6448">
          <cell r="D6448" t="str">
            <v>0F31284</v>
          </cell>
          <cell r="E6448" t="str">
            <v>9LJ64RHG</v>
          </cell>
        </row>
        <row r="6449">
          <cell r="D6449" t="str">
            <v>0F31284</v>
          </cell>
          <cell r="E6449" t="str">
            <v>9LJ6BYAG</v>
          </cell>
        </row>
        <row r="6450">
          <cell r="D6450" t="str">
            <v>0F31284</v>
          </cell>
          <cell r="E6450" t="str">
            <v>9LJ63DEG</v>
          </cell>
        </row>
        <row r="6451">
          <cell r="D6451" t="str">
            <v>0F31284</v>
          </cell>
          <cell r="E6451" t="str">
            <v>9LJ64P2G</v>
          </cell>
        </row>
        <row r="6452">
          <cell r="D6452" t="str">
            <v>0F31284</v>
          </cell>
          <cell r="E6452" t="str">
            <v>9LJ66MBG</v>
          </cell>
        </row>
        <row r="6453">
          <cell r="D6453" t="str">
            <v>0F31284</v>
          </cell>
          <cell r="E6453" t="str">
            <v>9LJ64D2G</v>
          </cell>
        </row>
        <row r="6454">
          <cell r="D6454" t="str">
            <v>0F31284</v>
          </cell>
          <cell r="E6454" t="str">
            <v>9LJ64VSG</v>
          </cell>
        </row>
        <row r="6455">
          <cell r="D6455" t="str">
            <v>0F31284</v>
          </cell>
          <cell r="E6455" t="str">
            <v>9LJ6PVMG</v>
          </cell>
        </row>
        <row r="6456">
          <cell r="D6456" t="str">
            <v>0F31284</v>
          </cell>
          <cell r="E6456" t="str">
            <v>9LJ5PLPG</v>
          </cell>
        </row>
        <row r="6457">
          <cell r="D6457" t="str">
            <v>0F31284</v>
          </cell>
          <cell r="E6457" t="str">
            <v>9LJ64JPG</v>
          </cell>
        </row>
        <row r="6458">
          <cell r="D6458" t="str">
            <v>0F31284</v>
          </cell>
          <cell r="E6458" t="str">
            <v>9LJ6ASRG</v>
          </cell>
        </row>
        <row r="6459">
          <cell r="D6459" t="str">
            <v>0F31284</v>
          </cell>
          <cell r="E6459" t="str">
            <v>9LJ4NBLG</v>
          </cell>
        </row>
        <row r="6460">
          <cell r="D6460" t="str">
            <v>0F31284</v>
          </cell>
          <cell r="E6460" t="str">
            <v>9LJ64E7G</v>
          </cell>
        </row>
        <row r="6461">
          <cell r="D6461" t="str">
            <v>0F31284</v>
          </cell>
          <cell r="E6461" t="str">
            <v>9LJ673UG</v>
          </cell>
        </row>
        <row r="6462">
          <cell r="D6462" t="str">
            <v>0F31284</v>
          </cell>
          <cell r="E6462" t="str">
            <v>9LJ6BWPG</v>
          </cell>
        </row>
        <row r="6463">
          <cell r="D6463" t="str">
            <v>0F31284</v>
          </cell>
          <cell r="E6463" t="str">
            <v>9LJ5WHYG</v>
          </cell>
        </row>
        <row r="6464">
          <cell r="D6464" t="str">
            <v>0F31284</v>
          </cell>
          <cell r="E6464" t="str">
            <v>9LJ64PVG</v>
          </cell>
        </row>
        <row r="6465">
          <cell r="D6465" t="str">
            <v>0F31284</v>
          </cell>
          <cell r="E6465" t="str">
            <v>9LJ6ATPG</v>
          </cell>
        </row>
        <row r="6466">
          <cell r="D6466" t="str">
            <v>0F31284</v>
          </cell>
          <cell r="E6466" t="str">
            <v>9LJ4TEYG</v>
          </cell>
        </row>
        <row r="6467">
          <cell r="D6467" t="str">
            <v>0F31284</v>
          </cell>
          <cell r="E6467" t="str">
            <v>9LJ64G9G</v>
          </cell>
        </row>
        <row r="6468">
          <cell r="D6468" t="str">
            <v>0F31284</v>
          </cell>
          <cell r="E6468" t="str">
            <v>9LJ6A9UG</v>
          </cell>
        </row>
        <row r="6469">
          <cell r="D6469" t="str">
            <v>0F31284</v>
          </cell>
          <cell r="E6469" t="str">
            <v>9LJ6PVBG</v>
          </cell>
        </row>
        <row r="6470">
          <cell r="D6470" t="str">
            <v>0F31284</v>
          </cell>
          <cell r="E6470" t="str">
            <v>9LJ64A5G</v>
          </cell>
        </row>
        <row r="6471">
          <cell r="D6471" t="str">
            <v>0F31284</v>
          </cell>
          <cell r="E6471" t="str">
            <v>9LJ65PYG</v>
          </cell>
        </row>
        <row r="6472">
          <cell r="D6472" t="str">
            <v>0F31284</v>
          </cell>
          <cell r="E6472" t="str">
            <v>9LJ6BNBG</v>
          </cell>
        </row>
        <row r="6473">
          <cell r="D6473" t="str">
            <v>0F31284</v>
          </cell>
          <cell r="E6473" t="str">
            <v>9LJ64GEG</v>
          </cell>
        </row>
        <row r="6474">
          <cell r="D6474" t="str">
            <v>0F31284</v>
          </cell>
          <cell r="E6474" t="str">
            <v>9LJ6AKTG</v>
          </cell>
        </row>
        <row r="6475">
          <cell r="D6475" t="str">
            <v>0F31284</v>
          </cell>
          <cell r="E6475" t="str">
            <v>9LJ6PWGG</v>
          </cell>
        </row>
        <row r="6476">
          <cell r="D6476" t="str">
            <v>0F31284</v>
          </cell>
          <cell r="E6476" t="str">
            <v>9LJ4NBPG</v>
          </cell>
        </row>
        <row r="6477">
          <cell r="D6477" t="str">
            <v>0F31284</v>
          </cell>
          <cell r="E6477" t="str">
            <v>9LJ554WG</v>
          </cell>
        </row>
        <row r="6478">
          <cell r="D6478" t="str">
            <v>0F31284</v>
          </cell>
          <cell r="E6478" t="str">
            <v>9LJ6AA1G</v>
          </cell>
        </row>
        <row r="6479">
          <cell r="D6479" t="str">
            <v>0F31284</v>
          </cell>
          <cell r="E6479" t="str">
            <v>9LHS3LMG</v>
          </cell>
        </row>
        <row r="6480">
          <cell r="D6480" t="str">
            <v>0F31284</v>
          </cell>
          <cell r="E6480" t="str">
            <v>9LJ51XSG</v>
          </cell>
        </row>
        <row r="6481">
          <cell r="D6481" t="str">
            <v>0F31284</v>
          </cell>
          <cell r="E6481" t="str">
            <v>9LJ63H7G</v>
          </cell>
        </row>
        <row r="6482">
          <cell r="D6482" t="str">
            <v>0F31284</v>
          </cell>
          <cell r="E6482" t="str">
            <v>9LJ6ALBG</v>
          </cell>
        </row>
        <row r="6483">
          <cell r="D6483" t="str">
            <v>0F31284</v>
          </cell>
          <cell r="E6483" t="str">
            <v>9LJ4ND7G</v>
          </cell>
        </row>
        <row r="6484">
          <cell r="D6484" t="str">
            <v>0F31284</v>
          </cell>
          <cell r="E6484" t="str">
            <v>9LJ5LVPG</v>
          </cell>
        </row>
        <row r="6485">
          <cell r="D6485" t="str">
            <v>0F31284</v>
          </cell>
          <cell r="E6485" t="str">
            <v>9LJ6AE8G</v>
          </cell>
        </row>
        <row r="6486">
          <cell r="D6486" t="str">
            <v>0F31284</v>
          </cell>
          <cell r="E6486" t="str">
            <v>9LHZBXWG</v>
          </cell>
        </row>
        <row r="6487">
          <cell r="D6487" t="str">
            <v>0F31284</v>
          </cell>
          <cell r="E6487" t="str">
            <v>9LJ51XTG</v>
          </cell>
        </row>
        <row r="6488">
          <cell r="D6488" t="str">
            <v>0F31284</v>
          </cell>
          <cell r="E6488" t="str">
            <v>9LJ64BGG</v>
          </cell>
        </row>
        <row r="6489">
          <cell r="D6489" t="str">
            <v>0F31284</v>
          </cell>
          <cell r="E6489" t="str">
            <v>9LJ6BWEG</v>
          </cell>
        </row>
        <row r="6490">
          <cell r="D6490" t="str">
            <v>0F31284</v>
          </cell>
          <cell r="E6490" t="str">
            <v>9LJ4NEMG</v>
          </cell>
        </row>
        <row r="6491">
          <cell r="D6491" t="str">
            <v>0F31284</v>
          </cell>
          <cell r="E6491" t="str">
            <v>9LJ63BEG</v>
          </cell>
        </row>
        <row r="6492">
          <cell r="D6492" t="str">
            <v>0F31284</v>
          </cell>
          <cell r="E6492" t="str">
            <v>9LJ6AJPG</v>
          </cell>
        </row>
        <row r="6493">
          <cell r="D6493" t="str">
            <v>0F31284</v>
          </cell>
          <cell r="E6493" t="str">
            <v>9LJ554MG</v>
          </cell>
        </row>
        <row r="6494">
          <cell r="D6494" t="str">
            <v>0F31284</v>
          </cell>
          <cell r="E6494" t="str">
            <v>9LJ65SJG</v>
          </cell>
        </row>
        <row r="6495">
          <cell r="D6495" t="str">
            <v>0F31284</v>
          </cell>
          <cell r="E6495" t="str">
            <v>9LJ6DB5G</v>
          </cell>
        </row>
        <row r="6496">
          <cell r="D6496" t="str">
            <v>0F31284</v>
          </cell>
          <cell r="E6496" t="str">
            <v>9LJ526EG</v>
          </cell>
        </row>
        <row r="6497">
          <cell r="D6497" t="str">
            <v>0F31284</v>
          </cell>
          <cell r="E6497" t="str">
            <v>9LJ64K9G</v>
          </cell>
        </row>
        <row r="6498">
          <cell r="D6498" t="str">
            <v>0F31284</v>
          </cell>
          <cell r="E6498" t="str">
            <v>9LJ6AEXG</v>
          </cell>
        </row>
        <row r="6499">
          <cell r="D6499" t="str">
            <v>0F31284</v>
          </cell>
          <cell r="E6499" t="str">
            <v>9LHRV43G</v>
          </cell>
        </row>
        <row r="6500">
          <cell r="D6500" t="str">
            <v>0F31284</v>
          </cell>
          <cell r="E6500" t="str">
            <v>9LJ63HVG</v>
          </cell>
        </row>
        <row r="6501">
          <cell r="D6501" t="str">
            <v>0F31284</v>
          </cell>
          <cell r="E6501" t="str">
            <v>9LJ651KG</v>
          </cell>
        </row>
        <row r="6502">
          <cell r="D6502" t="str">
            <v>0F31284</v>
          </cell>
          <cell r="E6502" t="str">
            <v>9LJ6DAUG</v>
          </cell>
        </row>
        <row r="6503">
          <cell r="D6503" t="str">
            <v>0F31284</v>
          </cell>
          <cell r="E6503" t="str">
            <v>9LJ5BVJG</v>
          </cell>
        </row>
        <row r="6504">
          <cell r="D6504" t="str">
            <v>0F31284</v>
          </cell>
          <cell r="E6504" t="str">
            <v>9LJ64NUG</v>
          </cell>
        </row>
        <row r="6505">
          <cell r="D6505" t="str">
            <v>0F31284</v>
          </cell>
          <cell r="E6505" t="str">
            <v>9LJ6AHDG</v>
          </cell>
        </row>
        <row r="6506">
          <cell r="D6506" t="str">
            <v>0F31284</v>
          </cell>
          <cell r="E6506" t="str">
            <v>9LJ4NB4G</v>
          </cell>
        </row>
        <row r="6507">
          <cell r="D6507" t="str">
            <v>0F31284</v>
          </cell>
          <cell r="E6507" t="str">
            <v>9LJ64BSG</v>
          </cell>
        </row>
        <row r="6508">
          <cell r="D6508" t="str">
            <v>0F31284</v>
          </cell>
          <cell r="E6508" t="str">
            <v>9LJ65UBG</v>
          </cell>
        </row>
        <row r="6509">
          <cell r="D6509" t="str">
            <v>0F31284</v>
          </cell>
          <cell r="E6509" t="str">
            <v>9LJ6DB1G</v>
          </cell>
        </row>
        <row r="6510">
          <cell r="D6510" t="str">
            <v>0F31284</v>
          </cell>
          <cell r="E6510" t="str">
            <v>9LJ5DG6G</v>
          </cell>
        </row>
        <row r="6511">
          <cell r="D6511" t="str">
            <v>0F31284</v>
          </cell>
          <cell r="E6511" t="str">
            <v>9LJ64RGG</v>
          </cell>
        </row>
        <row r="6512">
          <cell r="D6512" t="str">
            <v>0F31284</v>
          </cell>
          <cell r="E6512" t="str">
            <v>9LJ6AK9G</v>
          </cell>
        </row>
        <row r="6513">
          <cell r="D6513" t="str">
            <v>0F31284</v>
          </cell>
          <cell r="E6513" t="str">
            <v>9LJ64G4G</v>
          </cell>
        </row>
        <row r="6514">
          <cell r="D6514" t="str">
            <v>0F31284</v>
          </cell>
          <cell r="E6514" t="str">
            <v>9LJ6A92G</v>
          </cell>
        </row>
        <row r="6515">
          <cell r="D6515" t="str">
            <v>0F31284</v>
          </cell>
          <cell r="E6515" t="str">
            <v>9LJ6HLZG</v>
          </cell>
        </row>
        <row r="6516">
          <cell r="D6516" t="str">
            <v>0F31284</v>
          </cell>
          <cell r="E6516" t="str">
            <v>9LJ4RREG</v>
          </cell>
        </row>
        <row r="6517">
          <cell r="D6517" t="str">
            <v>0F31284</v>
          </cell>
          <cell r="E6517" t="str">
            <v>9LJ64KVG</v>
          </cell>
        </row>
        <row r="6518">
          <cell r="D6518" t="str">
            <v>0F31284</v>
          </cell>
          <cell r="E6518" t="str">
            <v>9LJ6A4XG</v>
          </cell>
        </row>
        <row r="6519">
          <cell r="D6519" t="str">
            <v>0F31284</v>
          </cell>
          <cell r="E6519" t="str">
            <v>9LHPXJ2G</v>
          </cell>
        </row>
        <row r="6520">
          <cell r="D6520" t="str">
            <v>0F31284</v>
          </cell>
          <cell r="E6520" t="str">
            <v>9LJ5YW6G</v>
          </cell>
        </row>
        <row r="6521">
          <cell r="D6521" t="str">
            <v>0F31284</v>
          </cell>
          <cell r="E6521" t="str">
            <v>9LJ673DG</v>
          </cell>
        </row>
        <row r="6522">
          <cell r="D6522" t="str">
            <v>0F31284</v>
          </cell>
          <cell r="E6522" t="str">
            <v>9LJ6BNGG</v>
          </cell>
        </row>
        <row r="6523">
          <cell r="D6523" t="str">
            <v>0F31284</v>
          </cell>
          <cell r="E6523" t="str">
            <v>9LJ4RS3G</v>
          </cell>
        </row>
        <row r="6524">
          <cell r="D6524" t="str">
            <v>0F31284</v>
          </cell>
          <cell r="E6524" t="str">
            <v>9LJ66N1G</v>
          </cell>
        </row>
        <row r="6525">
          <cell r="D6525" t="str">
            <v>0F31284</v>
          </cell>
          <cell r="E6525" t="str">
            <v>9LJ6ADBG</v>
          </cell>
        </row>
        <row r="6526">
          <cell r="D6526" t="str">
            <v>0F31284</v>
          </cell>
          <cell r="E6526" t="str">
            <v>9LJ40T6G</v>
          </cell>
        </row>
        <row r="6527">
          <cell r="D6527" t="str">
            <v>0F31284</v>
          </cell>
          <cell r="E6527" t="str">
            <v>9LJ5Z03G</v>
          </cell>
        </row>
        <row r="6528">
          <cell r="D6528" t="str">
            <v>0F31284</v>
          </cell>
          <cell r="E6528" t="str">
            <v>9LJ673ZG</v>
          </cell>
        </row>
        <row r="6529">
          <cell r="D6529" t="str">
            <v>0F31284</v>
          </cell>
          <cell r="E6529" t="str">
            <v>9LJ6PY3G</v>
          </cell>
        </row>
        <row r="6530">
          <cell r="D6530" t="str">
            <v>0F31284</v>
          </cell>
          <cell r="E6530" t="str">
            <v>9LJ5SA2G</v>
          </cell>
        </row>
        <row r="6531">
          <cell r="D6531" t="str">
            <v>0F31284</v>
          </cell>
          <cell r="E6531" t="str">
            <v>9LJ66N2G</v>
          </cell>
        </row>
        <row r="6532">
          <cell r="D6532" t="str">
            <v>0F31284</v>
          </cell>
          <cell r="E6532" t="str">
            <v>9LJ6AL0G</v>
          </cell>
        </row>
        <row r="6533">
          <cell r="D6533" t="str">
            <v>0F31284</v>
          </cell>
          <cell r="E6533" t="str">
            <v>9LJ64A8G</v>
          </cell>
        </row>
        <row r="6534">
          <cell r="D6534" t="str">
            <v>0F31284</v>
          </cell>
          <cell r="E6534" t="str">
            <v>9LJ675WG</v>
          </cell>
        </row>
        <row r="6535">
          <cell r="D6535" t="str">
            <v>0F31284</v>
          </cell>
          <cell r="E6535" t="str">
            <v>9LJ6SBJG</v>
          </cell>
        </row>
        <row r="6536">
          <cell r="D6536" t="str">
            <v>0F31284</v>
          </cell>
          <cell r="E6536" t="str">
            <v>9LJ4ND3G</v>
          </cell>
        </row>
        <row r="6537">
          <cell r="D6537" t="str">
            <v>0F31284</v>
          </cell>
          <cell r="E6537" t="str">
            <v>9LJ5W00G</v>
          </cell>
        </row>
        <row r="6538">
          <cell r="D6538" t="str">
            <v>0F31284</v>
          </cell>
          <cell r="E6538" t="str">
            <v>9LJ64NNG</v>
          </cell>
        </row>
        <row r="6539">
          <cell r="D6539" t="str">
            <v>0F31284</v>
          </cell>
          <cell r="E6539" t="str">
            <v>9LHS7PJG</v>
          </cell>
        </row>
        <row r="6540">
          <cell r="D6540" t="str">
            <v>0F31284</v>
          </cell>
          <cell r="E6540" t="str">
            <v>9LJ4RRJG</v>
          </cell>
        </row>
        <row r="6541">
          <cell r="D6541" t="str">
            <v>0F31284</v>
          </cell>
          <cell r="E6541" t="str">
            <v>9LJ64EUG</v>
          </cell>
        </row>
        <row r="6542">
          <cell r="D6542" t="str">
            <v>0F31284</v>
          </cell>
          <cell r="E6542" t="str">
            <v>9LJ6AH9G</v>
          </cell>
        </row>
        <row r="6543">
          <cell r="D6543" t="str">
            <v>0F31284</v>
          </cell>
          <cell r="E6543" t="str">
            <v>9LJ4NN5G</v>
          </cell>
        </row>
        <row r="6544">
          <cell r="D6544" t="str">
            <v>0F31284</v>
          </cell>
          <cell r="E6544" t="str">
            <v>9LJ635JG</v>
          </cell>
        </row>
        <row r="6545">
          <cell r="D6545" t="str">
            <v>0F31284</v>
          </cell>
          <cell r="E6545" t="str">
            <v>9LJ6547G</v>
          </cell>
        </row>
        <row r="6546">
          <cell r="D6546" t="str">
            <v>0F31284</v>
          </cell>
          <cell r="E6546" t="str">
            <v>9LJ3JKJG</v>
          </cell>
        </row>
        <row r="6547">
          <cell r="D6547" t="str">
            <v>0F31284</v>
          </cell>
          <cell r="E6547" t="str">
            <v>9LJ5UZKG</v>
          </cell>
        </row>
        <row r="6548">
          <cell r="D6548" t="str">
            <v>0F31284</v>
          </cell>
          <cell r="E6548" t="str">
            <v>9LJ64JEG</v>
          </cell>
        </row>
        <row r="6549">
          <cell r="D6549" t="str">
            <v>0F31284</v>
          </cell>
          <cell r="E6549" t="str">
            <v>9LJ6AMNG</v>
          </cell>
        </row>
        <row r="6550">
          <cell r="D6550" t="str">
            <v>0F31284</v>
          </cell>
          <cell r="E6550" t="str">
            <v>9LJ4RPEG</v>
          </cell>
        </row>
        <row r="6551">
          <cell r="D6551" t="str">
            <v>0F31284</v>
          </cell>
          <cell r="E6551" t="str">
            <v>9LJ64BJG</v>
          </cell>
        </row>
        <row r="6552">
          <cell r="D6552" t="str">
            <v>0F31284</v>
          </cell>
          <cell r="E6552" t="str">
            <v>9LJ65WZG</v>
          </cell>
        </row>
        <row r="6553">
          <cell r="D6553" t="str">
            <v>0F31284</v>
          </cell>
          <cell r="E6553" t="str">
            <v>9LJ5VY8G</v>
          </cell>
        </row>
        <row r="6554">
          <cell r="D6554" t="str">
            <v>0F31284</v>
          </cell>
          <cell r="E6554" t="str">
            <v>9LJ64LUG</v>
          </cell>
        </row>
        <row r="6555">
          <cell r="D6555" t="str">
            <v>0F31284</v>
          </cell>
          <cell r="E6555" t="str">
            <v>9LJ6PW6G</v>
          </cell>
        </row>
        <row r="6556">
          <cell r="D6556" t="str">
            <v>0F31284</v>
          </cell>
          <cell r="E6556" t="str">
            <v>9LJ4RR5G</v>
          </cell>
        </row>
        <row r="6557">
          <cell r="D6557" t="str">
            <v>0F31284</v>
          </cell>
          <cell r="E6557" t="str">
            <v>9LJ64TJG</v>
          </cell>
        </row>
        <row r="6558">
          <cell r="D6558" t="str">
            <v>0F31284</v>
          </cell>
          <cell r="E6558" t="str">
            <v>9LJ6AE6G</v>
          </cell>
        </row>
        <row r="6559">
          <cell r="D6559" t="str">
            <v>0F31284</v>
          </cell>
          <cell r="E6559" t="str">
            <v>9LJ4NDKG</v>
          </cell>
        </row>
        <row r="6560">
          <cell r="D6560" t="str">
            <v>0F31284</v>
          </cell>
          <cell r="E6560" t="str">
            <v>9LJ64BXG</v>
          </cell>
        </row>
        <row r="6561">
          <cell r="D6561" t="str">
            <v>0F31284</v>
          </cell>
          <cell r="E6561" t="str">
            <v>9LJ68ZLG</v>
          </cell>
        </row>
        <row r="6562">
          <cell r="D6562" t="str">
            <v>0F31284</v>
          </cell>
          <cell r="E6562" t="str">
            <v>9LJ6PVJG</v>
          </cell>
        </row>
        <row r="6563">
          <cell r="D6563" t="str">
            <v>0F31284</v>
          </cell>
          <cell r="E6563" t="str">
            <v>9LJ5V1RG</v>
          </cell>
        </row>
        <row r="6564">
          <cell r="D6564" t="str">
            <v>0F31284</v>
          </cell>
          <cell r="E6564" t="str">
            <v>9LJ64UVG</v>
          </cell>
        </row>
        <row r="6565">
          <cell r="D6565" t="str">
            <v>0F31284</v>
          </cell>
          <cell r="E6565" t="str">
            <v>9LJ6AJ2G</v>
          </cell>
        </row>
        <row r="6566">
          <cell r="D6566" t="str">
            <v>0F31284</v>
          </cell>
          <cell r="E6566" t="str">
            <v>9LJ4NJEG</v>
          </cell>
        </row>
        <row r="6567">
          <cell r="D6567" t="str">
            <v>0F31284</v>
          </cell>
          <cell r="E6567" t="str">
            <v>9LJ64ETG</v>
          </cell>
        </row>
        <row r="6568">
          <cell r="D6568" t="str">
            <v>0F31284</v>
          </cell>
          <cell r="E6568" t="str">
            <v>9LJ6900G</v>
          </cell>
        </row>
        <row r="6569">
          <cell r="D6569" t="str">
            <v>0F31284</v>
          </cell>
          <cell r="E6569" t="str">
            <v>9LJ6PW3G</v>
          </cell>
        </row>
        <row r="6570">
          <cell r="D6570" t="str">
            <v>0F31284</v>
          </cell>
          <cell r="E6570" t="str">
            <v>9LJ63DGG</v>
          </cell>
        </row>
        <row r="6571">
          <cell r="D6571" t="str">
            <v>0F31284</v>
          </cell>
          <cell r="E6571" t="str">
            <v>9LJ64YVG</v>
          </cell>
        </row>
        <row r="6572">
          <cell r="D6572" t="str">
            <v>0F31284</v>
          </cell>
          <cell r="E6572" t="str">
            <v>9LJ6PV3G</v>
          </cell>
        </row>
        <row r="6573">
          <cell r="D6573" t="str">
            <v>0F31284</v>
          </cell>
          <cell r="E6573" t="str">
            <v>9LJ64P6G</v>
          </cell>
        </row>
        <row r="6574">
          <cell r="D6574" t="str">
            <v>0F31284</v>
          </cell>
          <cell r="E6574" t="str">
            <v>9LJ6ABNG</v>
          </cell>
        </row>
        <row r="6575">
          <cell r="D6575" t="str">
            <v>0F31284</v>
          </cell>
          <cell r="E6575" t="str">
            <v>9LJ6PX1G</v>
          </cell>
        </row>
        <row r="6576">
          <cell r="D6576" t="str">
            <v>0F31284</v>
          </cell>
          <cell r="E6576" t="str">
            <v>9LJ4RR7G</v>
          </cell>
        </row>
        <row r="6577">
          <cell r="D6577" t="str">
            <v>0F31284</v>
          </cell>
          <cell r="E6577" t="str">
            <v>9LJ64R9G</v>
          </cell>
        </row>
        <row r="6578">
          <cell r="D6578" t="str">
            <v>0F31284</v>
          </cell>
          <cell r="E6578" t="str">
            <v>9LJ6PXJG</v>
          </cell>
        </row>
        <row r="6579">
          <cell r="D6579" t="str">
            <v>0F31284</v>
          </cell>
          <cell r="E6579" t="str">
            <v>9LJ42HXG</v>
          </cell>
        </row>
        <row r="6580">
          <cell r="D6580" t="str">
            <v>0F31284</v>
          </cell>
          <cell r="E6580" t="str">
            <v>9LJ632AG</v>
          </cell>
        </row>
        <row r="6581">
          <cell r="D6581" t="str">
            <v>0F31284</v>
          </cell>
          <cell r="E6581" t="str">
            <v>9LJ6ABHG</v>
          </cell>
        </row>
        <row r="6582">
          <cell r="D6582" t="str">
            <v>0F31284</v>
          </cell>
          <cell r="E6582" t="str">
            <v>9LJ6ZE0G</v>
          </cell>
        </row>
        <row r="6583">
          <cell r="D6583" t="str">
            <v>0F31284</v>
          </cell>
          <cell r="E6583" t="str">
            <v>9LJ4RRPG</v>
          </cell>
        </row>
        <row r="6584">
          <cell r="D6584" t="str">
            <v>0F31284</v>
          </cell>
          <cell r="E6584" t="str">
            <v>9LJ675ZG</v>
          </cell>
        </row>
        <row r="6585">
          <cell r="D6585" t="str">
            <v>0F31284</v>
          </cell>
          <cell r="E6585" t="str">
            <v>9LJ6SB7G</v>
          </cell>
        </row>
        <row r="6586">
          <cell r="D6586" t="str">
            <v>0F31284</v>
          </cell>
          <cell r="E6586" t="str">
            <v>9LJ4RP7G</v>
          </cell>
        </row>
        <row r="6587">
          <cell r="D6587" t="str">
            <v>0F31284</v>
          </cell>
          <cell r="E6587" t="str">
            <v>9LJ64ANG</v>
          </cell>
        </row>
        <row r="6588">
          <cell r="D6588" t="str">
            <v>0F31284</v>
          </cell>
          <cell r="E6588" t="str">
            <v>9LJ6ADSG</v>
          </cell>
        </row>
        <row r="6589">
          <cell r="D6589" t="str">
            <v>0F31284</v>
          </cell>
          <cell r="E6589" t="str">
            <v>9LJ70L0G</v>
          </cell>
        </row>
        <row r="6590">
          <cell r="D6590" t="str">
            <v>0F31284</v>
          </cell>
          <cell r="E6590" t="str">
            <v>9LJ61WWG</v>
          </cell>
        </row>
        <row r="6591">
          <cell r="D6591" t="str">
            <v>0F31284</v>
          </cell>
          <cell r="E6591" t="str">
            <v>9LJ6AAZG</v>
          </cell>
        </row>
        <row r="6592">
          <cell r="D6592" t="str">
            <v>0F31284</v>
          </cell>
          <cell r="E6592" t="str">
            <v>9LJ6SBMG</v>
          </cell>
        </row>
        <row r="6593">
          <cell r="D6593" t="str">
            <v>0F31284</v>
          </cell>
          <cell r="E6593" t="str">
            <v>9LJ64L5G</v>
          </cell>
        </row>
        <row r="6594">
          <cell r="D6594" t="str">
            <v>0F31284</v>
          </cell>
          <cell r="E6594" t="str">
            <v>9LJ6D96G</v>
          </cell>
        </row>
        <row r="6595">
          <cell r="D6595" t="str">
            <v>0F31284</v>
          </cell>
          <cell r="E6595" t="str">
            <v>9LJ70LVG</v>
          </cell>
        </row>
        <row r="6596">
          <cell r="D6596" t="str">
            <v>0F31284</v>
          </cell>
          <cell r="E6596" t="str">
            <v>9MHSLY8J</v>
          </cell>
        </row>
        <row r="6597">
          <cell r="D6597" t="str">
            <v>0F31284</v>
          </cell>
          <cell r="E6597" t="str">
            <v>9MHSM1ZJ</v>
          </cell>
        </row>
        <row r="6598">
          <cell r="D6598" t="str">
            <v>0F31284</v>
          </cell>
          <cell r="E6598" t="str">
            <v>9MHT43VJ</v>
          </cell>
        </row>
        <row r="6599">
          <cell r="D6599" t="str">
            <v>0F31284</v>
          </cell>
          <cell r="E6599" t="str">
            <v>9MHSLXBJ</v>
          </cell>
        </row>
        <row r="6600">
          <cell r="D6600" t="str">
            <v>0F31284</v>
          </cell>
          <cell r="E6600" t="str">
            <v>9MHSLZSJ</v>
          </cell>
        </row>
        <row r="6601">
          <cell r="D6601" t="str">
            <v>0F31284</v>
          </cell>
          <cell r="E6601" t="str">
            <v>9MHSMJKJ</v>
          </cell>
        </row>
        <row r="6602">
          <cell r="D6602" t="str">
            <v>0F31284</v>
          </cell>
          <cell r="E6602" t="str">
            <v>9MHT48SJ</v>
          </cell>
        </row>
        <row r="6603">
          <cell r="D6603" t="str">
            <v>0F31284</v>
          </cell>
          <cell r="E6603" t="str">
            <v>9MHSLYMJ</v>
          </cell>
        </row>
        <row r="6604">
          <cell r="D6604" t="str">
            <v>0F31284</v>
          </cell>
          <cell r="E6604" t="str">
            <v>9MHSMGBJ</v>
          </cell>
        </row>
        <row r="6605">
          <cell r="D6605" t="str">
            <v>0F31284</v>
          </cell>
          <cell r="E6605" t="str">
            <v>9MHT447J</v>
          </cell>
        </row>
        <row r="6606">
          <cell r="D6606" t="str">
            <v>0F31284</v>
          </cell>
          <cell r="E6606" t="str">
            <v>9MHSLXEJ</v>
          </cell>
        </row>
        <row r="6607">
          <cell r="D6607" t="str">
            <v>0F31284</v>
          </cell>
          <cell r="E6607" t="str">
            <v>9MHSLZTJ</v>
          </cell>
        </row>
        <row r="6608">
          <cell r="D6608" t="str">
            <v>0F31284</v>
          </cell>
          <cell r="E6608" t="str">
            <v>9MHSMKNJ</v>
          </cell>
        </row>
        <row r="6609">
          <cell r="D6609" t="str">
            <v>0F31284</v>
          </cell>
          <cell r="E6609" t="str">
            <v>9MHT4HGJ</v>
          </cell>
        </row>
        <row r="6610">
          <cell r="D6610" t="str">
            <v>0F31284</v>
          </cell>
          <cell r="E6610" t="str">
            <v>9MHSLYPJ</v>
          </cell>
        </row>
        <row r="6611">
          <cell r="D6611" t="str">
            <v>0F31284</v>
          </cell>
          <cell r="E6611" t="str">
            <v>9MHSMJ7J</v>
          </cell>
        </row>
        <row r="6612">
          <cell r="D6612" t="str">
            <v>0F31284</v>
          </cell>
          <cell r="E6612" t="str">
            <v>9MHT485J</v>
          </cell>
        </row>
        <row r="6613">
          <cell r="D6613" t="str">
            <v>0F31284</v>
          </cell>
          <cell r="E6613" t="str">
            <v>9MHSM1SJ</v>
          </cell>
        </row>
        <row r="6614">
          <cell r="D6614" t="str">
            <v>0F31284</v>
          </cell>
          <cell r="E6614" t="str">
            <v>9MHT3L8J</v>
          </cell>
        </row>
        <row r="6615">
          <cell r="D6615" t="str">
            <v>0F31284</v>
          </cell>
          <cell r="E6615" t="str">
            <v>9MHT4KMJ</v>
          </cell>
        </row>
        <row r="6616">
          <cell r="D6616" t="str">
            <v>0F31284</v>
          </cell>
          <cell r="E6616" t="str">
            <v>9MHSLYTJ</v>
          </cell>
        </row>
        <row r="6617">
          <cell r="D6617" t="str">
            <v>0F31284</v>
          </cell>
          <cell r="E6617" t="str">
            <v>9MHT3KNJ</v>
          </cell>
        </row>
        <row r="6618">
          <cell r="D6618" t="str">
            <v>0F31284</v>
          </cell>
          <cell r="E6618" t="str">
            <v>9MHT44GJ</v>
          </cell>
        </row>
        <row r="6619">
          <cell r="D6619" t="str">
            <v>0F31284</v>
          </cell>
          <cell r="E6619" t="str">
            <v>9MHSLY6J</v>
          </cell>
        </row>
        <row r="6620">
          <cell r="D6620" t="str">
            <v>0F31284</v>
          </cell>
          <cell r="E6620" t="str">
            <v>9MHSM24J</v>
          </cell>
        </row>
        <row r="6621">
          <cell r="D6621" t="str">
            <v>0F31284</v>
          </cell>
          <cell r="E6621" t="str">
            <v>9MHT3P6J</v>
          </cell>
        </row>
        <row r="6622">
          <cell r="D6622" t="str">
            <v>0F31284</v>
          </cell>
          <cell r="E6622" t="str">
            <v>9MHT46YJ</v>
          </cell>
        </row>
        <row r="6623">
          <cell r="D6623" t="str">
            <v>0F31284</v>
          </cell>
          <cell r="E6623" t="str">
            <v>9MHSLZHJ</v>
          </cell>
        </row>
        <row r="6624">
          <cell r="D6624" t="str">
            <v>0F31284</v>
          </cell>
          <cell r="E6624" t="str">
            <v>9MHT3LSJ</v>
          </cell>
        </row>
        <row r="6625">
          <cell r="D6625" t="str">
            <v>0F31284</v>
          </cell>
          <cell r="E6625" t="str">
            <v>9MHT45WJ</v>
          </cell>
        </row>
        <row r="6626">
          <cell r="D6626" t="str">
            <v>0F31284</v>
          </cell>
          <cell r="E6626" t="str">
            <v>9MHSLYNJ</v>
          </cell>
        </row>
        <row r="6627">
          <cell r="D6627" t="str">
            <v>0F31284</v>
          </cell>
          <cell r="E6627" t="str">
            <v>9MHSM3YJ</v>
          </cell>
        </row>
        <row r="6628">
          <cell r="D6628" t="str">
            <v>0F31284</v>
          </cell>
          <cell r="E6628" t="str">
            <v>9MHT3PXJ</v>
          </cell>
        </row>
        <row r="6629">
          <cell r="D6629" t="str">
            <v>0F31284</v>
          </cell>
          <cell r="E6629" t="str">
            <v>9MHT4GEJ</v>
          </cell>
        </row>
        <row r="6630">
          <cell r="D6630" t="str">
            <v>0F31284</v>
          </cell>
          <cell r="E6630" t="str">
            <v>9MHSM0YJ</v>
          </cell>
        </row>
        <row r="6631">
          <cell r="D6631" t="str">
            <v>0F31284</v>
          </cell>
          <cell r="E6631" t="str">
            <v>9MHT3N5J</v>
          </cell>
        </row>
        <row r="6632">
          <cell r="D6632" t="str">
            <v>0F31284</v>
          </cell>
          <cell r="E6632" t="str">
            <v>9MHT46PJ</v>
          </cell>
        </row>
        <row r="6633">
          <cell r="D6633" t="str">
            <v>0F31284</v>
          </cell>
          <cell r="E6633" t="str">
            <v>9MHSMMPJ</v>
          </cell>
        </row>
        <row r="6634">
          <cell r="D6634" t="str">
            <v>0F31284</v>
          </cell>
          <cell r="E6634" t="str">
            <v>9MHT3SBJ</v>
          </cell>
        </row>
        <row r="6635">
          <cell r="D6635" t="str">
            <v>0F31284</v>
          </cell>
          <cell r="E6635" t="str">
            <v>9MHT4HDJ</v>
          </cell>
        </row>
        <row r="6636">
          <cell r="D6636" t="str">
            <v>0F31284</v>
          </cell>
          <cell r="E6636" t="str">
            <v>9LJ4RRAG</v>
          </cell>
        </row>
        <row r="6637">
          <cell r="D6637" t="str">
            <v>0F31284</v>
          </cell>
          <cell r="E6637" t="str">
            <v>9LJ64UXG</v>
          </cell>
        </row>
        <row r="6638">
          <cell r="D6638" t="str">
            <v>0F31284</v>
          </cell>
          <cell r="E6638" t="str">
            <v>9LJ6A8TG</v>
          </cell>
        </row>
        <row r="6639">
          <cell r="D6639" t="str">
            <v>0F31284</v>
          </cell>
          <cell r="E6639" t="str">
            <v>9LHPZA4G</v>
          </cell>
        </row>
        <row r="6640">
          <cell r="D6640" t="str">
            <v>0F31284</v>
          </cell>
          <cell r="E6640" t="str">
            <v>9LJ647HG</v>
          </cell>
        </row>
        <row r="6641">
          <cell r="D6641" t="str">
            <v>0F31284</v>
          </cell>
          <cell r="E6641" t="str">
            <v>9LJ673LG</v>
          </cell>
        </row>
        <row r="6642">
          <cell r="D6642" t="str">
            <v>0F31284</v>
          </cell>
          <cell r="E6642" t="str">
            <v>9LJ6HBKG</v>
          </cell>
        </row>
        <row r="6643">
          <cell r="D6643" t="str">
            <v>0F31284</v>
          </cell>
          <cell r="E6643" t="str">
            <v>9LJ553BG</v>
          </cell>
        </row>
        <row r="6644">
          <cell r="D6644" t="str">
            <v>0F31284</v>
          </cell>
          <cell r="E6644" t="str">
            <v>9LJ64X6G</v>
          </cell>
        </row>
        <row r="6645">
          <cell r="D6645" t="str">
            <v>0F31284</v>
          </cell>
          <cell r="E6645" t="str">
            <v>9LJ6ABXG</v>
          </cell>
        </row>
        <row r="6646">
          <cell r="D6646" t="str">
            <v>0F31284</v>
          </cell>
          <cell r="E6646" t="str">
            <v>9LJ4NMHG</v>
          </cell>
        </row>
        <row r="6647">
          <cell r="D6647" t="str">
            <v>0F31284</v>
          </cell>
          <cell r="E6647" t="str">
            <v>9LJ64EDG</v>
          </cell>
        </row>
        <row r="6648">
          <cell r="D6648" t="str">
            <v>0F31284</v>
          </cell>
          <cell r="E6648" t="str">
            <v>9LJ68JNG</v>
          </cell>
        </row>
        <row r="6649">
          <cell r="D6649" t="str">
            <v>0F31284</v>
          </cell>
          <cell r="E6649" t="str">
            <v>9LJ6PVHG</v>
          </cell>
        </row>
        <row r="6650">
          <cell r="D6650" t="str">
            <v>0F31284</v>
          </cell>
          <cell r="E6650" t="str">
            <v>9LJ6396G</v>
          </cell>
        </row>
        <row r="6651">
          <cell r="D6651" t="str">
            <v>0F31284</v>
          </cell>
          <cell r="E6651" t="str">
            <v>9LJ652AG</v>
          </cell>
        </row>
        <row r="6652">
          <cell r="D6652" t="str">
            <v>0F31284</v>
          </cell>
          <cell r="E6652" t="str">
            <v>9LJ6DANG</v>
          </cell>
        </row>
        <row r="6653">
          <cell r="D6653" t="str">
            <v>0F31284</v>
          </cell>
          <cell r="E6653" t="str">
            <v>9LJ64HMG</v>
          </cell>
        </row>
        <row r="6654">
          <cell r="D6654" t="str">
            <v>0F31284</v>
          </cell>
          <cell r="E6654" t="str">
            <v>9LJ69KXG</v>
          </cell>
        </row>
        <row r="6655">
          <cell r="D6655" t="str">
            <v>0F31284</v>
          </cell>
          <cell r="E6655" t="str">
            <v>9LJ6PW4G</v>
          </cell>
        </row>
        <row r="6656">
          <cell r="D6656" t="str">
            <v>0F31284</v>
          </cell>
          <cell r="E6656" t="str">
            <v>9LJ54A3G</v>
          </cell>
        </row>
        <row r="6657">
          <cell r="D6657" t="str">
            <v>0F31284</v>
          </cell>
          <cell r="E6657" t="str">
            <v>9LJ64G0G</v>
          </cell>
        </row>
        <row r="6658">
          <cell r="D6658" t="str">
            <v>0F31284</v>
          </cell>
          <cell r="E6658" t="str">
            <v>9LJ6AA9G</v>
          </cell>
        </row>
        <row r="6659">
          <cell r="D6659" t="str">
            <v>0F31284</v>
          </cell>
          <cell r="E6659" t="str">
            <v>9LHPZ9WG</v>
          </cell>
        </row>
        <row r="6660">
          <cell r="D6660" t="str">
            <v>0F31284</v>
          </cell>
          <cell r="E6660" t="str">
            <v>9LJ618LG</v>
          </cell>
        </row>
        <row r="6661">
          <cell r="D6661" t="str">
            <v>0F31284</v>
          </cell>
          <cell r="E6661" t="str">
            <v>9LJ66MTG</v>
          </cell>
        </row>
        <row r="6662">
          <cell r="D6662" t="str">
            <v>0F31284</v>
          </cell>
          <cell r="E6662" t="str">
            <v>9LJ6AGWG</v>
          </cell>
        </row>
        <row r="6663">
          <cell r="D6663" t="str">
            <v>0F31284</v>
          </cell>
          <cell r="E6663" t="str">
            <v>9LJ5U6NG</v>
          </cell>
        </row>
        <row r="6664">
          <cell r="D6664" t="str">
            <v>0F31284</v>
          </cell>
          <cell r="E6664" t="str">
            <v>9LJ64GVG</v>
          </cell>
        </row>
        <row r="6665">
          <cell r="D6665" t="str">
            <v>0F31284</v>
          </cell>
          <cell r="E6665" t="str">
            <v>9LJ6AEHG</v>
          </cell>
        </row>
        <row r="6666">
          <cell r="D6666" t="str">
            <v>0F31284</v>
          </cell>
          <cell r="E6666" t="str">
            <v>9LJ4NNXG</v>
          </cell>
        </row>
        <row r="6667">
          <cell r="D6667" t="str">
            <v>0F31284</v>
          </cell>
          <cell r="E6667" t="str">
            <v>9LJ62ARG</v>
          </cell>
        </row>
        <row r="6668">
          <cell r="D6668" t="str">
            <v>0F31284</v>
          </cell>
          <cell r="E6668" t="str">
            <v>9LJ690YG</v>
          </cell>
        </row>
        <row r="6669">
          <cell r="D6669" t="str">
            <v>0F31284</v>
          </cell>
          <cell r="E6669" t="str">
            <v>9LJ6AHNG</v>
          </cell>
        </row>
        <row r="6670">
          <cell r="D6670" t="str">
            <v>0F31284</v>
          </cell>
          <cell r="E6670" t="str">
            <v>9LJ617HG</v>
          </cell>
        </row>
        <row r="6671">
          <cell r="D6671" t="str">
            <v>0F31284</v>
          </cell>
          <cell r="E6671" t="str">
            <v>9LJ64JSG</v>
          </cell>
        </row>
        <row r="6672">
          <cell r="D6672" t="str">
            <v>0F31284</v>
          </cell>
          <cell r="E6672" t="str">
            <v>9LJ6AG9G</v>
          </cell>
        </row>
        <row r="6673">
          <cell r="D6673" t="str">
            <v>0F31284</v>
          </cell>
          <cell r="E6673" t="str">
            <v>9LJ634EG</v>
          </cell>
        </row>
        <row r="6674">
          <cell r="D6674" t="str">
            <v>0F31284</v>
          </cell>
          <cell r="E6674" t="str">
            <v>9LJ694SG</v>
          </cell>
        </row>
        <row r="6675">
          <cell r="D6675" t="str">
            <v>0F31284</v>
          </cell>
          <cell r="E6675" t="str">
            <v>9LJ6AL9G</v>
          </cell>
        </row>
        <row r="6676">
          <cell r="D6676" t="str">
            <v>0F31284</v>
          </cell>
          <cell r="E6676" t="str">
            <v>9MHSM19J</v>
          </cell>
        </row>
        <row r="6677">
          <cell r="D6677" t="str">
            <v>0F31284</v>
          </cell>
          <cell r="E6677" t="str">
            <v>9MHSMHNJ</v>
          </cell>
        </row>
        <row r="6678">
          <cell r="D6678" t="str">
            <v>0F31284</v>
          </cell>
          <cell r="E6678" t="str">
            <v>9MHT491J</v>
          </cell>
        </row>
        <row r="6679">
          <cell r="D6679" t="str">
            <v>0F31284</v>
          </cell>
          <cell r="E6679" t="str">
            <v>9MHSLYUJ</v>
          </cell>
        </row>
        <row r="6680">
          <cell r="D6680" t="str">
            <v>0F31284</v>
          </cell>
          <cell r="E6680" t="str">
            <v>9MHSMDXJ</v>
          </cell>
        </row>
        <row r="6681">
          <cell r="D6681" t="str">
            <v>0F31284</v>
          </cell>
          <cell r="E6681" t="str">
            <v>9MHSMMJJ</v>
          </cell>
        </row>
        <row r="6682">
          <cell r="D6682" t="str">
            <v>0F31284</v>
          </cell>
          <cell r="E6682" t="str">
            <v>9MHT4BRJ</v>
          </cell>
        </row>
        <row r="6683">
          <cell r="D6683" t="str">
            <v>0F31284</v>
          </cell>
          <cell r="E6683" t="str">
            <v>9MHSM1PJ</v>
          </cell>
        </row>
        <row r="6684">
          <cell r="D6684" t="str">
            <v>0F31284</v>
          </cell>
          <cell r="E6684" t="str">
            <v>9MHSMKPJ</v>
          </cell>
        </row>
        <row r="6685">
          <cell r="D6685" t="str">
            <v>0F31284</v>
          </cell>
          <cell r="E6685" t="str">
            <v>9MHT4AZJ</v>
          </cell>
        </row>
        <row r="6686">
          <cell r="D6686" t="str">
            <v>0F31284</v>
          </cell>
          <cell r="E6686" t="str">
            <v>9MHSM07J</v>
          </cell>
        </row>
        <row r="6687">
          <cell r="D6687" t="str">
            <v>0F31284</v>
          </cell>
          <cell r="E6687" t="str">
            <v>9MHSME0J</v>
          </cell>
        </row>
        <row r="6688">
          <cell r="D6688" t="str">
            <v>0F31284</v>
          </cell>
          <cell r="E6688" t="str">
            <v>9MHT3KHJ</v>
          </cell>
        </row>
        <row r="6689">
          <cell r="D6689" t="str">
            <v>0F31284</v>
          </cell>
          <cell r="E6689" t="str">
            <v>9MHT4BWJ</v>
          </cell>
        </row>
        <row r="6690">
          <cell r="D6690" t="str">
            <v>0F31284</v>
          </cell>
          <cell r="E6690" t="str">
            <v>9MHSM1TJ</v>
          </cell>
        </row>
        <row r="6691">
          <cell r="D6691" t="str">
            <v>0F31284</v>
          </cell>
          <cell r="E6691" t="str">
            <v>9MHSML2J</v>
          </cell>
        </row>
        <row r="6692">
          <cell r="D6692" t="str">
            <v>0F31284</v>
          </cell>
          <cell r="E6692" t="str">
            <v>9MHT4BNJ</v>
          </cell>
        </row>
        <row r="6693">
          <cell r="D6693" t="str">
            <v>0F31284</v>
          </cell>
          <cell r="E6693" t="str">
            <v>9MHSMGZJ</v>
          </cell>
        </row>
        <row r="6694">
          <cell r="D6694" t="str">
            <v>0F31284</v>
          </cell>
          <cell r="E6694" t="str">
            <v>9MHT48EJ</v>
          </cell>
        </row>
        <row r="6695">
          <cell r="D6695" t="str">
            <v>0F31284</v>
          </cell>
          <cell r="E6695" t="str">
            <v>9MHT4EVJ</v>
          </cell>
        </row>
        <row r="6696">
          <cell r="D6696" t="str">
            <v>0F31284</v>
          </cell>
          <cell r="E6696" t="str">
            <v>9LJ70D9G</v>
          </cell>
        </row>
        <row r="6697">
          <cell r="D6697" t="str">
            <v>0F31284</v>
          </cell>
          <cell r="E6697" t="str">
            <v>9LJ74W1G</v>
          </cell>
        </row>
        <row r="6698">
          <cell r="D6698" t="str">
            <v>0F31284</v>
          </cell>
          <cell r="E6698" t="str">
            <v>9LJ7DYDG</v>
          </cell>
        </row>
        <row r="6699">
          <cell r="D6699" t="str">
            <v>0F31284</v>
          </cell>
          <cell r="E6699" t="str">
            <v>9LJ6YZTG</v>
          </cell>
        </row>
        <row r="6700">
          <cell r="D6700" t="str">
            <v>0F31284</v>
          </cell>
          <cell r="E6700" t="str">
            <v>9LJ71D7G</v>
          </cell>
        </row>
        <row r="6701">
          <cell r="D6701" t="str">
            <v>0F31284</v>
          </cell>
          <cell r="E6701" t="str">
            <v>9LJ78BYG</v>
          </cell>
        </row>
        <row r="6702">
          <cell r="D6702" t="str">
            <v>0F31284</v>
          </cell>
          <cell r="E6702" t="str">
            <v>9LJ7JSYG</v>
          </cell>
        </row>
        <row r="6703">
          <cell r="D6703" t="str">
            <v>0F31284</v>
          </cell>
          <cell r="E6703" t="str">
            <v>9LJ7149G</v>
          </cell>
        </row>
        <row r="6704">
          <cell r="D6704" t="str">
            <v>0F31284</v>
          </cell>
          <cell r="E6704" t="str">
            <v>9LJ74XDG</v>
          </cell>
        </row>
        <row r="6705">
          <cell r="D6705" t="str">
            <v>0F31284</v>
          </cell>
          <cell r="E6705" t="str">
            <v>9LJ7DYRG</v>
          </cell>
        </row>
        <row r="6706">
          <cell r="D6706" t="str">
            <v>0F31284</v>
          </cell>
          <cell r="E6706" t="str">
            <v>9LJ6ZWUG</v>
          </cell>
        </row>
        <row r="6707">
          <cell r="D6707" t="str">
            <v>0F31284</v>
          </cell>
          <cell r="E6707" t="str">
            <v>9LJ74A7G</v>
          </cell>
        </row>
        <row r="6708">
          <cell r="D6708" t="str">
            <v>0F31284</v>
          </cell>
          <cell r="E6708" t="str">
            <v>9LJ7BEZG</v>
          </cell>
        </row>
        <row r="6709">
          <cell r="D6709" t="str">
            <v>0F31284</v>
          </cell>
          <cell r="E6709" t="str">
            <v>9LJ7K2WG</v>
          </cell>
        </row>
        <row r="6710">
          <cell r="D6710" t="str">
            <v>0F31284</v>
          </cell>
          <cell r="E6710" t="str">
            <v>9LJ714LG</v>
          </cell>
        </row>
        <row r="6711">
          <cell r="D6711" t="str">
            <v>0F31284</v>
          </cell>
          <cell r="E6711" t="str">
            <v>9LJ74XMG</v>
          </cell>
        </row>
        <row r="6712">
          <cell r="D6712" t="str">
            <v>0F31284</v>
          </cell>
          <cell r="E6712" t="str">
            <v>9LJ7GWMG</v>
          </cell>
        </row>
        <row r="6713">
          <cell r="D6713" t="str">
            <v>0F31284</v>
          </cell>
          <cell r="E6713" t="str">
            <v>9LJ74VJG</v>
          </cell>
        </row>
        <row r="6714">
          <cell r="D6714" t="str">
            <v>0F31284</v>
          </cell>
          <cell r="E6714" t="str">
            <v>9LJ7BJKG</v>
          </cell>
        </row>
        <row r="6715">
          <cell r="D6715" t="str">
            <v>0F31284</v>
          </cell>
          <cell r="E6715" t="str">
            <v>9LJ7KKZG</v>
          </cell>
        </row>
        <row r="6716">
          <cell r="D6716" t="str">
            <v>0F31284</v>
          </cell>
          <cell r="E6716" t="str">
            <v>9LJ615PG</v>
          </cell>
        </row>
        <row r="6717">
          <cell r="D6717" t="str">
            <v>0F31284</v>
          </cell>
          <cell r="E6717" t="str">
            <v>9LJ6U7KG</v>
          </cell>
        </row>
        <row r="6718">
          <cell r="D6718" t="str">
            <v>0F31284</v>
          </cell>
          <cell r="E6718" t="str">
            <v>9LJ6ZK6G</v>
          </cell>
        </row>
        <row r="6719">
          <cell r="D6719" t="str">
            <v>0F31284</v>
          </cell>
          <cell r="E6719" t="str">
            <v>9LHPTY2G</v>
          </cell>
        </row>
        <row r="6720">
          <cell r="D6720" t="str">
            <v>0F31284</v>
          </cell>
          <cell r="E6720" t="str">
            <v>9LJ6AB5G</v>
          </cell>
        </row>
        <row r="6721">
          <cell r="D6721" t="str">
            <v>0F31284</v>
          </cell>
          <cell r="E6721" t="str">
            <v>9LJ6YRGG</v>
          </cell>
        </row>
        <row r="6722">
          <cell r="D6722" t="str">
            <v>0F31284</v>
          </cell>
          <cell r="E6722" t="str">
            <v>9LJ71V3G</v>
          </cell>
        </row>
        <row r="6723">
          <cell r="D6723" t="str">
            <v>0F31284</v>
          </cell>
          <cell r="E6723" t="str">
            <v>9LJ6228G</v>
          </cell>
        </row>
        <row r="6724">
          <cell r="D6724" t="str">
            <v>0F31284</v>
          </cell>
          <cell r="E6724" t="str">
            <v>9LJ6UAZG</v>
          </cell>
        </row>
        <row r="6725">
          <cell r="D6725" t="str">
            <v>0F31284</v>
          </cell>
          <cell r="E6725" t="str">
            <v>9LJ70MXG</v>
          </cell>
        </row>
        <row r="6726">
          <cell r="D6726" t="str">
            <v>0F31284</v>
          </cell>
          <cell r="E6726" t="str">
            <v>9LJ5DD1G</v>
          </cell>
        </row>
        <row r="6727">
          <cell r="D6727" t="str">
            <v>0F31284</v>
          </cell>
          <cell r="E6727" t="str">
            <v>9LJ6HDDG</v>
          </cell>
        </row>
        <row r="6728">
          <cell r="D6728" t="str">
            <v>0F31284</v>
          </cell>
          <cell r="E6728" t="str">
            <v>9LJ6YSJG</v>
          </cell>
        </row>
        <row r="6729">
          <cell r="D6729" t="str">
            <v>0F31284</v>
          </cell>
          <cell r="E6729" t="str">
            <v>9LJ72R3G</v>
          </cell>
        </row>
        <row r="6730">
          <cell r="D6730" t="str">
            <v>0F31284</v>
          </cell>
          <cell r="E6730" t="str">
            <v>9LJ6520G</v>
          </cell>
        </row>
        <row r="6731">
          <cell r="D6731" t="str">
            <v>0F31284</v>
          </cell>
          <cell r="E6731" t="str">
            <v>9LJ6YDVG</v>
          </cell>
        </row>
        <row r="6732">
          <cell r="D6732" t="str">
            <v>0F31284</v>
          </cell>
          <cell r="E6732" t="str">
            <v>9LJ71U5G</v>
          </cell>
        </row>
        <row r="6733">
          <cell r="D6733" t="str">
            <v>0F31284</v>
          </cell>
          <cell r="E6733" t="str">
            <v>9LJ6SYKG</v>
          </cell>
        </row>
        <row r="6734">
          <cell r="D6734" t="str">
            <v>0F31284</v>
          </cell>
          <cell r="E6734" t="str">
            <v>9LJ6YW4G</v>
          </cell>
        </row>
        <row r="6735">
          <cell r="D6735" t="str">
            <v>0F31284</v>
          </cell>
          <cell r="E6735" t="str">
            <v>9LJ73RGG</v>
          </cell>
        </row>
        <row r="6736">
          <cell r="D6736" t="str">
            <v>0F31284</v>
          </cell>
          <cell r="E6736" t="str">
            <v>9LJ3MVBG</v>
          </cell>
        </row>
        <row r="6737">
          <cell r="D6737" t="str">
            <v>0F31284</v>
          </cell>
          <cell r="E6737" t="str">
            <v>9LJ62A9G</v>
          </cell>
        </row>
        <row r="6738">
          <cell r="D6738" t="str">
            <v>0F31284</v>
          </cell>
          <cell r="E6738" t="str">
            <v>9LJ69DHG</v>
          </cell>
        </row>
        <row r="6739">
          <cell r="D6739" t="str">
            <v>0F31284</v>
          </cell>
          <cell r="E6739" t="str">
            <v>9LHZLJRG</v>
          </cell>
        </row>
        <row r="6740">
          <cell r="D6740" t="str">
            <v>0F31284</v>
          </cell>
          <cell r="E6740" t="str">
            <v>9LJ4RR0G</v>
          </cell>
        </row>
        <row r="6741">
          <cell r="D6741" t="str">
            <v>0F31284</v>
          </cell>
          <cell r="E6741" t="str">
            <v>9LJ673SG</v>
          </cell>
        </row>
        <row r="6742">
          <cell r="D6742" t="str">
            <v>0F31284</v>
          </cell>
          <cell r="E6742" t="str">
            <v>9LJ6SB2G</v>
          </cell>
        </row>
        <row r="6743">
          <cell r="D6743" t="str">
            <v>0F31284</v>
          </cell>
          <cell r="E6743" t="str">
            <v>9LJ4NBSG</v>
          </cell>
        </row>
        <row r="6744">
          <cell r="D6744" t="str">
            <v>0F31284</v>
          </cell>
          <cell r="E6744" t="str">
            <v>9LJ62JLG</v>
          </cell>
        </row>
        <row r="6745">
          <cell r="D6745" t="str">
            <v>0F31284</v>
          </cell>
          <cell r="E6745" t="str">
            <v>9LJ6AKEG</v>
          </cell>
        </row>
        <row r="6746">
          <cell r="D6746" t="str">
            <v>0F31284</v>
          </cell>
          <cell r="E6746" t="str">
            <v>9LHZXBRG</v>
          </cell>
        </row>
        <row r="6747">
          <cell r="D6747" t="str">
            <v>0F31284</v>
          </cell>
          <cell r="E6747" t="str">
            <v>9LJ4TVSG</v>
          </cell>
        </row>
        <row r="6748">
          <cell r="D6748" t="str">
            <v>0F31284</v>
          </cell>
          <cell r="E6748" t="str">
            <v>9LJ67AMG</v>
          </cell>
        </row>
        <row r="6749">
          <cell r="D6749" t="str">
            <v>0F31284</v>
          </cell>
          <cell r="E6749" t="str">
            <v>9LJ6UBMG</v>
          </cell>
        </row>
        <row r="6750">
          <cell r="D6750" t="str">
            <v>0F31284</v>
          </cell>
          <cell r="E6750" t="str">
            <v>9LJ4ND4G</v>
          </cell>
        </row>
        <row r="6751">
          <cell r="D6751" t="str">
            <v>0F31284</v>
          </cell>
          <cell r="E6751" t="str">
            <v>9LJ630KG</v>
          </cell>
        </row>
        <row r="6752">
          <cell r="D6752" t="str">
            <v>0F31284</v>
          </cell>
          <cell r="E6752" t="str">
            <v>9LJ6BKRG</v>
          </cell>
        </row>
        <row r="6753">
          <cell r="D6753" t="str">
            <v>0F31284</v>
          </cell>
          <cell r="E6753" t="str">
            <v>9LJ5Z02G</v>
          </cell>
        </row>
        <row r="6754">
          <cell r="D6754" t="str">
            <v>0F31284</v>
          </cell>
          <cell r="E6754" t="str">
            <v>9LJ68ZVG</v>
          </cell>
        </row>
        <row r="6755">
          <cell r="D6755" t="str">
            <v>0F31284</v>
          </cell>
          <cell r="E6755" t="str">
            <v>9LJ6YPPG</v>
          </cell>
        </row>
        <row r="6756">
          <cell r="D6756" t="str">
            <v>0F31284</v>
          </cell>
          <cell r="E6756" t="str">
            <v>9LJ65U0G</v>
          </cell>
        </row>
        <row r="6757">
          <cell r="D6757" t="str">
            <v>0F31284</v>
          </cell>
          <cell r="E6757" t="str">
            <v>9LJ6YGNG</v>
          </cell>
        </row>
        <row r="6758">
          <cell r="D6758" t="str">
            <v>0F31284</v>
          </cell>
          <cell r="E6758" t="str">
            <v>9LJ73RUG</v>
          </cell>
        </row>
        <row r="6759">
          <cell r="D6759" t="str">
            <v>0F31284</v>
          </cell>
          <cell r="E6759" t="str">
            <v>9LJ5RJ0G</v>
          </cell>
        </row>
        <row r="6760">
          <cell r="D6760" t="str">
            <v>0F31284</v>
          </cell>
          <cell r="E6760" t="str">
            <v>9LJ6MWSG</v>
          </cell>
        </row>
        <row r="6761">
          <cell r="D6761" t="str">
            <v>0F31284</v>
          </cell>
          <cell r="E6761" t="str">
            <v>9LJ721XG</v>
          </cell>
        </row>
        <row r="6762">
          <cell r="D6762" t="str">
            <v>0F31284</v>
          </cell>
          <cell r="E6762" t="str">
            <v>9LJ74G5G</v>
          </cell>
        </row>
        <row r="6763">
          <cell r="D6763" t="str">
            <v>0F31284</v>
          </cell>
          <cell r="E6763" t="str">
            <v>9LJ69ESG</v>
          </cell>
        </row>
        <row r="6764">
          <cell r="D6764" t="str">
            <v>0F31284</v>
          </cell>
          <cell r="E6764" t="str">
            <v>9LJ71S3G</v>
          </cell>
        </row>
        <row r="6765">
          <cell r="D6765" t="str">
            <v>0F31284</v>
          </cell>
          <cell r="E6765" t="str">
            <v>9LJ7408G</v>
          </cell>
        </row>
        <row r="6766">
          <cell r="D6766" t="str">
            <v>0F31284</v>
          </cell>
          <cell r="E6766" t="str">
            <v>9LJ651PG</v>
          </cell>
        </row>
        <row r="6767">
          <cell r="D6767" t="str">
            <v>0F31284</v>
          </cell>
          <cell r="E6767" t="str">
            <v>9LJ6YA6G</v>
          </cell>
        </row>
        <row r="6768">
          <cell r="D6768" t="str">
            <v>0F31284</v>
          </cell>
          <cell r="E6768" t="str">
            <v>9LJ72EKG</v>
          </cell>
        </row>
        <row r="6769">
          <cell r="D6769" t="str">
            <v>0F31284</v>
          </cell>
          <cell r="E6769" t="str">
            <v>9LJ77ZDG</v>
          </cell>
        </row>
        <row r="6770">
          <cell r="D6770" t="str">
            <v>0F31284</v>
          </cell>
          <cell r="E6770" t="str">
            <v>9LJ6A9LG</v>
          </cell>
        </row>
        <row r="6771">
          <cell r="D6771" t="str">
            <v>0F31284</v>
          </cell>
          <cell r="E6771" t="str">
            <v>9LJ71WNG</v>
          </cell>
        </row>
        <row r="6772">
          <cell r="D6772" t="str">
            <v>0F31284</v>
          </cell>
          <cell r="E6772" t="str">
            <v>9LJ741GG</v>
          </cell>
        </row>
        <row r="6773">
          <cell r="D6773" t="str">
            <v>0F31284</v>
          </cell>
          <cell r="E6773" t="str">
            <v>9LJ6YE9G</v>
          </cell>
        </row>
        <row r="6774">
          <cell r="D6774" t="str">
            <v>0F31284</v>
          </cell>
          <cell r="E6774" t="str">
            <v>9LJ73L5G</v>
          </cell>
        </row>
        <row r="6775">
          <cell r="D6775" t="str">
            <v>0F31284</v>
          </cell>
          <cell r="E6775" t="str">
            <v>Y6GDSTTC</v>
          </cell>
        </row>
        <row r="6776">
          <cell r="D6776" t="str">
            <v>0F31284</v>
          </cell>
          <cell r="E6776" t="str">
            <v>9LJ556BG</v>
          </cell>
        </row>
        <row r="6777">
          <cell r="D6777" t="str">
            <v>0F31284</v>
          </cell>
          <cell r="E6777" t="str">
            <v>9LJ635PG</v>
          </cell>
        </row>
        <row r="6778">
          <cell r="D6778" t="str">
            <v>0F31284</v>
          </cell>
          <cell r="E6778" t="str">
            <v>9LJ65UNG</v>
          </cell>
        </row>
        <row r="6779">
          <cell r="D6779" t="str">
            <v>0F31284</v>
          </cell>
          <cell r="E6779" t="str">
            <v>9LJ0V76G</v>
          </cell>
        </row>
        <row r="6780">
          <cell r="D6780" t="str">
            <v>0F31284</v>
          </cell>
          <cell r="E6780" t="str">
            <v>9LJ6338G</v>
          </cell>
        </row>
        <row r="6781">
          <cell r="D6781" t="str">
            <v>0F31284</v>
          </cell>
          <cell r="E6781" t="str">
            <v>9LJ64JKG</v>
          </cell>
        </row>
        <row r="6782">
          <cell r="D6782" t="str">
            <v>0F31284</v>
          </cell>
          <cell r="E6782" t="str">
            <v>9LJ690BG</v>
          </cell>
        </row>
        <row r="6783">
          <cell r="D6783" t="str">
            <v>0F31284</v>
          </cell>
          <cell r="E6783" t="str">
            <v>9LJ5BZLG</v>
          </cell>
        </row>
        <row r="6784">
          <cell r="D6784" t="str">
            <v>0F31284</v>
          </cell>
          <cell r="E6784" t="str">
            <v>9LJ63H8G</v>
          </cell>
        </row>
        <row r="6785">
          <cell r="D6785" t="str">
            <v>0F31284</v>
          </cell>
          <cell r="E6785" t="str">
            <v>9LJ65VYG</v>
          </cell>
        </row>
        <row r="6786">
          <cell r="D6786" t="str">
            <v>0F31284</v>
          </cell>
          <cell r="E6786" t="str">
            <v>9LJ4NA8G</v>
          </cell>
        </row>
        <row r="6787">
          <cell r="D6787" t="str">
            <v>0F31284</v>
          </cell>
          <cell r="E6787" t="str">
            <v>9LJ633EG</v>
          </cell>
        </row>
        <row r="6788">
          <cell r="D6788" t="str">
            <v>0F31284</v>
          </cell>
          <cell r="E6788" t="str">
            <v>9LJ64VJG</v>
          </cell>
        </row>
        <row r="6789">
          <cell r="D6789" t="str">
            <v>0F31284</v>
          </cell>
          <cell r="E6789" t="str">
            <v>9LJ6A9KG</v>
          </cell>
        </row>
        <row r="6790">
          <cell r="D6790" t="str">
            <v>0F31284</v>
          </cell>
          <cell r="E6790" t="str">
            <v>9LJ61NRG</v>
          </cell>
        </row>
        <row r="6791">
          <cell r="D6791" t="str">
            <v>0F31284</v>
          </cell>
          <cell r="E6791" t="str">
            <v>9LJ64B4G</v>
          </cell>
        </row>
        <row r="6792">
          <cell r="D6792" t="str">
            <v>0F31284</v>
          </cell>
          <cell r="E6792" t="str">
            <v>9LJ65W1G</v>
          </cell>
        </row>
        <row r="6793">
          <cell r="D6793" t="str">
            <v>0F31284</v>
          </cell>
          <cell r="E6793" t="str">
            <v>9LJ6344G</v>
          </cell>
        </row>
        <row r="6794">
          <cell r="D6794" t="str">
            <v>0F31284</v>
          </cell>
          <cell r="E6794" t="str">
            <v>9LJ65TLG</v>
          </cell>
        </row>
        <row r="6795">
          <cell r="D6795" t="str">
            <v>0F31284</v>
          </cell>
          <cell r="E6795" t="str">
            <v>9LJ6AKNG</v>
          </cell>
        </row>
        <row r="6796">
          <cell r="D6796" t="str">
            <v>0F31284</v>
          </cell>
          <cell r="E6796" t="str">
            <v>9MHSMGHJ</v>
          </cell>
        </row>
        <row r="6797">
          <cell r="D6797" t="str">
            <v>0F31284</v>
          </cell>
          <cell r="E6797" t="str">
            <v>9LJ6915G</v>
          </cell>
        </row>
        <row r="6798">
          <cell r="D6798" t="str">
            <v>0F31284</v>
          </cell>
          <cell r="E6798" t="str">
            <v>9MHSMNEJ</v>
          </cell>
        </row>
        <row r="6799">
          <cell r="D6799" t="str">
            <v>0F31284</v>
          </cell>
          <cell r="E6799" t="str">
            <v>9LJ64G6G</v>
          </cell>
        </row>
        <row r="6800">
          <cell r="D6800" t="str">
            <v>0F31284</v>
          </cell>
          <cell r="E6800" t="str">
            <v>9MHT45AJ</v>
          </cell>
        </row>
        <row r="6801">
          <cell r="D6801" t="str">
            <v>0F31284</v>
          </cell>
          <cell r="E6801" t="str">
            <v>9LJ64DUG</v>
          </cell>
        </row>
        <row r="6802">
          <cell r="D6802" t="str">
            <v>0F31284</v>
          </cell>
          <cell r="E6802" t="str">
            <v>9LJ64TEG</v>
          </cell>
        </row>
        <row r="6803">
          <cell r="D6803" t="str">
            <v>0F31284</v>
          </cell>
          <cell r="E6803" t="str">
            <v>9LJ6A9JG</v>
          </cell>
        </row>
        <row r="6804">
          <cell r="D6804" t="str">
            <v>0F31284</v>
          </cell>
          <cell r="E6804" t="str">
            <v>9LJ64J1G</v>
          </cell>
        </row>
        <row r="6805">
          <cell r="D6805" t="str">
            <v>0F31284</v>
          </cell>
          <cell r="E6805" t="str">
            <v>9LHMEA2G</v>
          </cell>
        </row>
        <row r="6806">
          <cell r="D6806" t="str">
            <v>0F31284</v>
          </cell>
          <cell r="E6806" t="str">
            <v>9MHSLWSJ</v>
          </cell>
        </row>
        <row r="6807">
          <cell r="D6807" t="str">
            <v>0F31284</v>
          </cell>
          <cell r="E6807" t="str">
            <v>9MHT47MJ</v>
          </cell>
        </row>
        <row r="6808">
          <cell r="D6808" t="str">
            <v>0F31284</v>
          </cell>
          <cell r="E6808" t="str">
            <v>9MHSMMEJ</v>
          </cell>
        </row>
        <row r="6809">
          <cell r="D6809" t="str">
            <v>0F31284</v>
          </cell>
          <cell r="E6809" t="str">
            <v>9MHT494J</v>
          </cell>
        </row>
        <row r="6810">
          <cell r="D6810" t="str">
            <v>0F31284</v>
          </cell>
          <cell r="E6810" t="str">
            <v>9MHSMHMJ</v>
          </cell>
        </row>
        <row r="6811">
          <cell r="D6811" t="str">
            <v>0F31284</v>
          </cell>
          <cell r="E6811" t="str">
            <v>9MHSM0PJ</v>
          </cell>
        </row>
        <row r="6812">
          <cell r="D6812" t="str">
            <v>0F31284</v>
          </cell>
          <cell r="E6812" t="str">
            <v>9MHSMEZJ</v>
          </cell>
        </row>
        <row r="6813">
          <cell r="D6813" t="str">
            <v>0F31284</v>
          </cell>
          <cell r="E6813" t="str">
            <v>9MHSLZKJ</v>
          </cell>
        </row>
        <row r="6814">
          <cell r="D6814" t="str">
            <v>0F31284</v>
          </cell>
          <cell r="E6814" t="str">
            <v>9MHSM2RJ</v>
          </cell>
        </row>
        <row r="6815">
          <cell r="D6815" t="str">
            <v>0F31284</v>
          </cell>
          <cell r="E6815" t="str">
            <v>9MHT3S2J</v>
          </cell>
        </row>
        <row r="6816">
          <cell r="D6816" t="str">
            <v>0F31284</v>
          </cell>
          <cell r="E6816" t="str">
            <v>9MHSLX8J</v>
          </cell>
        </row>
        <row r="6817">
          <cell r="D6817" t="str">
            <v>0F31284</v>
          </cell>
          <cell r="E6817" t="str">
            <v>9MHSMHUJ</v>
          </cell>
        </row>
        <row r="6818">
          <cell r="D6818" t="str">
            <v>0F31284</v>
          </cell>
          <cell r="E6818" t="str">
            <v>9MHT3RMJ</v>
          </cell>
        </row>
        <row r="6819">
          <cell r="D6819" t="str">
            <v>0F31284</v>
          </cell>
          <cell r="E6819" t="str">
            <v>9MHAK18J</v>
          </cell>
        </row>
        <row r="6820">
          <cell r="D6820" t="str">
            <v>0F31284</v>
          </cell>
          <cell r="E6820" t="str">
            <v>9MHSM3GJ</v>
          </cell>
        </row>
        <row r="6821">
          <cell r="D6821" t="str">
            <v>0F31284</v>
          </cell>
          <cell r="E6821" t="str">
            <v>9MHSMMHJ</v>
          </cell>
        </row>
        <row r="6822">
          <cell r="D6822" t="str">
            <v>0F31284</v>
          </cell>
          <cell r="E6822" t="str">
            <v>9MHT486J</v>
          </cell>
        </row>
        <row r="6823">
          <cell r="D6823" t="str">
            <v>0F31284</v>
          </cell>
          <cell r="E6823" t="str">
            <v>9MHSM05J</v>
          </cell>
        </row>
        <row r="6824">
          <cell r="D6824" t="str">
            <v>0F31284</v>
          </cell>
          <cell r="E6824" t="str">
            <v>9MHSMJEJ</v>
          </cell>
        </row>
        <row r="6825">
          <cell r="D6825" t="str">
            <v>0F31284</v>
          </cell>
          <cell r="E6825" t="str">
            <v>9MHT466J</v>
          </cell>
        </row>
        <row r="6826">
          <cell r="D6826" t="str">
            <v>0F31284</v>
          </cell>
          <cell r="E6826" t="str">
            <v>9MHSAUPU</v>
          </cell>
        </row>
        <row r="6827">
          <cell r="D6827" t="str">
            <v>0F31284</v>
          </cell>
          <cell r="E6827" t="str">
            <v>9MHSM90J</v>
          </cell>
        </row>
        <row r="6828">
          <cell r="D6828" t="str">
            <v>0F31284</v>
          </cell>
          <cell r="E6828" t="str">
            <v>9MHSMN8J</v>
          </cell>
        </row>
        <row r="6829">
          <cell r="D6829" t="str">
            <v>0F31284</v>
          </cell>
          <cell r="E6829" t="str">
            <v>9MHT4ESJ</v>
          </cell>
        </row>
        <row r="6830">
          <cell r="D6830" t="str">
            <v>0F31284</v>
          </cell>
          <cell r="E6830" t="str">
            <v>9MHSM1GJ</v>
          </cell>
        </row>
        <row r="6831">
          <cell r="D6831" t="str">
            <v>0F31284</v>
          </cell>
          <cell r="E6831" t="str">
            <v>9MHSMK2J</v>
          </cell>
        </row>
        <row r="6832">
          <cell r="D6832" t="str">
            <v>0F31284</v>
          </cell>
          <cell r="E6832" t="str">
            <v>9MHT47WJ</v>
          </cell>
        </row>
        <row r="6833">
          <cell r="D6833" t="str">
            <v>0F31284</v>
          </cell>
          <cell r="E6833" t="str">
            <v>9MHSMH9J</v>
          </cell>
        </row>
        <row r="6834">
          <cell r="D6834" t="str">
            <v>0F31284</v>
          </cell>
          <cell r="E6834" t="str">
            <v>9MHSMP3J</v>
          </cell>
        </row>
        <row r="6835">
          <cell r="D6835" t="str">
            <v>0F31284</v>
          </cell>
          <cell r="E6835" t="str">
            <v>9MHT4H3J</v>
          </cell>
        </row>
        <row r="6836">
          <cell r="D6836" t="str">
            <v>0F31284</v>
          </cell>
          <cell r="E6836" t="str">
            <v>9MHSM37J</v>
          </cell>
        </row>
        <row r="6837">
          <cell r="D6837" t="str">
            <v>0F31284</v>
          </cell>
          <cell r="E6837" t="str">
            <v>9MHSMABJ</v>
          </cell>
        </row>
        <row r="6838">
          <cell r="D6838" t="str">
            <v>0F31284</v>
          </cell>
          <cell r="E6838" t="str">
            <v>9MHSMKJJ</v>
          </cell>
        </row>
        <row r="6839">
          <cell r="D6839" t="str">
            <v>0F31284</v>
          </cell>
          <cell r="E6839" t="str">
            <v>9MHSLXNJ</v>
          </cell>
        </row>
        <row r="6840">
          <cell r="D6840" t="str">
            <v>0F31284</v>
          </cell>
          <cell r="E6840" t="str">
            <v>9MHSM7AJ</v>
          </cell>
        </row>
        <row r="6841">
          <cell r="D6841" t="str">
            <v>0F31284</v>
          </cell>
          <cell r="E6841" t="str">
            <v>9MHSMDUJ</v>
          </cell>
        </row>
        <row r="6842">
          <cell r="D6842" t="str">
            <v>0F31284</v>
          </cell>
          <cell r="E6842" t="str">
            <v>9MHT3MTJ</v>
          </cell>
        </row>
        <row r="6843">
          <cell r="D6843" t="str">
            <v>0F31284</v>
          </cell>
          <cell r="E6843" t="str">
            <v>9MHSM5PJ</v>
          </cell>
        </row>
        <row r="6844">
          <cell r="D6844" t="str">
            <v>0F31284</v>
          </cell>
          <cell r="E6844" t="str">
            <v>9MHSMBBJ</v>
          </cell>
        </row>
        <row r="6845">
          <cell r="D6845" t="str">
            <v>0F31284</v>
          </cell>
          <cell r="E6845" t="str">
            <v>9MHSMMNJ</v>
          </cell>
        </row>
        <row r="6846">
          <cell r="D6846" t="str">
            <v>0F31284</v>
          </cell>
          <cell r="E6846" t="str">
            <v>9MHSM2LJ</v>
          </cell>
        </row>
        <row r="6847">
          <cell r="D6847" t="str">
            <v>0F31284</v>
          </cell>
          <cell r="E6847" t="str">
            <v>9MHSM7VJ</v>
          </cell>
        </row>
        <row r="6848">
          <cell r="D6848" t="str">
            <v>0F31284</v>
          </cell>
          <cell r="E6848" t="str">
            <v>9MHSMG7J</v>
          </cell>
        </row>
        <row r="6849">
          <cell r="D6849" t="str">
            <v>0F31284</v>
          </cell>
          <cell r="E6849" t="str">
            <v>9MHT45VJ</v>
          </cell>
        </row>
        <row r="6850">
          <cell r="D6850" t="str">
            <v>0F31284</v>
          </cell>
          <cell r="E6850" t="str">
            <v>9MHSM6UJ</v>
          </cell>
        </row>
        <row r="6851">
          <cell r="D6851" t="str">
            <v>0F31284</v>
          </cell>
          <cell r="E6851" t="str">
            <v>9MHSMBTJ</v>
          </cell>
        </row>
        <row r="6852">
          <cell r="D6852" t="str">
            <v>0F31284</v>
          </cell>
          <cell r="E6852" t="str">
            <v>9MHT3KLJ</v>
          </cell>
        </row>
        <row r="6853">
          <cell r="D6853" t="str">
            <v>0F31284</v>
          </cell>
          <cell r="E6853" t="str">
            <v>9MHSM9LJ</v>
          </cell>
        </row>
        <row r="6854">
          <cell r="D6854" t="str">
            <v>0F31284</v>
          </cell>
          <cell r="E6854" t="str">
            <v>9MHSMH5J</v>
          </cell>
        </row>
        <row r="6855">
          <cell r="D6855" t="str">
            <v>0F31284</v>
          </cell>
          <cell r="E6855" t="str">
            <v>9MHT4JRJ</v>
          </cell>
        </row>
        <row r="6856">
          <cell r="D6856" t="str">
            <v>0F31284</v>
          </cell>
          <cell r="E6856" t="str">
            <v>9LJ6UXAG</v>
          </cell>
        </row>
        <row r="6857">
          <cell r="D6857" t="str">
            <v>0F31284</v>
          </cell>
          <cell r="E6857" t="str">
            <v>9LJ7B32G</v>
          </cell>
        </row>
        <row r="6858">
          <cell r="D6858" t="str">
            <v>0F31284</v>
          </cell>
          <cell r="E6858" t="str">
            <v>9LJ7JTHG</v>
          </cell>
        </row>
        <row r="6859">
          <cell r="D6859" t="str">
            <v>0F31284</v>
          </cell>
          <cell r="E6859" t="str">
            <v>9LJ64H2G</v>
          </cell>
        </row>
        <row r="6860">
          <cell r="D6860" t="str">
            <v>0F31284</v>
          </cell>
          <cell r="E6860" t="str">
            <v>9LJ78W9G</v>
          </cell>
        </row>
        <row r="6861">
          <cell r="D6861" t="str">
            <v>0F31284</v>
          </cell>
          <cell r="E6861" t="str">
            <v>9LJ7GZ4G</v>
          </cell>
        </row>
        <row r="6862">
          <cell r="D6862" t="str">
            <v>0F31284</v>
          </cell>
          <cell r="E6862" t="str">
            <v>9LJ7KBLG</v>
          </cell>
        </row>
        <row r="6863">
          <cell r="D6863" t="str">
            <v>0F31284</v>
          </cell>
          <cell r="E6863" t="str">
            <v>9LJ74SJG</v>
          </cell>
        </row>
        <row r="6864">
          <cell r="D6864" t="str">
            <v>0F31284</v>
          </cell>
          <cell r="E6864" t="str">
            <v>9LJ7BAKG</v>
          </cell>
        </row>
        <row r="6865">
          <cell r="D6865" t="str">
            <v>0F31284</v>
          </cell>
          <cell r="E6865" t="str">
            <v>9LJ7KA1G</v>
          </cell>
        </row>
        <row r="6866">
          <cell r="D6866" t="str">
            <v>0F31284</v>
          </cell>
          <cell r="E6866" t="str">
            <v>9LJ6S1KG</v>
          </cell>
        </row>
        <row r="6867">
          <cell r="D6867" t="str">
            <v>0F31284</v>
          </cell>
          <cell r="E6867" t="str">
            <v>9LJ7B0BG</v>
          </cell>
        </row>
        <row r="6868">
          <cell r="D6868" t="str">
            <v>0F31284</v>
          </cell>
          <cell r="E6868" t="str">
            <v>9LJ7HLGG</v>
          </cell>
        </row>
        <row r="6869">
          <cell r="D6869" t="str">
            <v>0F31284</v>
          </cell>
          <cell r="E6869" t="str">
            <v>9LJ7KMKG</v>
          </cell>
        </row>
        <row r="6870">
          <cell r="D6870" t="str">
            <v>0F31284</v>
          </cell>
          <cell r="E6870" t="str">
            <v>9LJ74VRG</v>
          </cell>
        </row>
        <row r="6871">
          <cell r="D6871" t="str">
            <v>0F31284</v>
          </cell>
          <cell r="E6871" t="str">
            <v>9LJ7DYNG</v>
          </cell>
        </row>
        <row r="6872">
          <cell r="D6872" t="str">
            <v>0F31284</v>
          </cell>
          <cell r="E6872" t="str">
            <v>9LJ7KA4G</v>
          </cell>
        </row>
        <row r="6873">
          <cell r="D6873" t="str">
            <v>0F31284</v>
          </cell>
          <cell r="E6873" t="str">
            <v>9LJ7B15G</v>
          </cell>
        </row>
        <row r="6874">
          <cell r="D6874" t="str">
            <v>0F31284</v>
          </cell>
          <cell r="E6874" t="str">
            <v>9LJ7HUMG</v>
          </cell>
        </row>
        <row r="6875">
          <cell r="D6875" t="str">
            <v>0F31284</v>
          </cell>
          <cell r="E6875" t="str">
            <v>9LJ7KN5G</v>
          </cell>
        </row>
        <row r="6876">
          <cell r="D6876" t="str">
            <v>0F31284</v>
          </cell>
          <cell r="E6876" t="str">
            <v>9LJ6YE3G</v>
          </cell>
        </row>
        <row r="6877">
          <cell r="D6877" t="str">
            <v>0F31284</v>
          </cell>
          <cell r="E6877" t="str">
            <v>9LJ717SG</v>
          </cell>
        </row>
        <row r="6878">
          <cell r="D6878" t="str">
            <v>0F31284</v>
          </cell>
          <cell r="E6878" t="str">
            <v>9LJ7JA7G</v>
          </cell>
        </row>
        <row r="6879">
          <cell r="D6879" t="str">
            <v>0F31284</v>
          </cell>
          <cell r="E6879" t="str">
            <v>9LJ6696G</v>
          </cell>
        </row>
        <row r="6880">
          <cell r="D6880" t="str">
            <v>0F31284</v>
          </cell>
          <cell r="E6880" t="str">
            <v>9LJ70AMG</v>
          </cell>
        </row>
        <row r="6881">
          <cell r="D6881" t="str">
            <v>0F31284</v>
          </cell>
          <cell r="E6881" t="str">
            <v>9LJ78LKG</v>
          </cell>
        </row>
        <row r="6882">
          <cell r="D6882" t="str">
            <v>0F31284</v>
          </cell>
          <cell r="E6882" t="str">
            <v>9LJ7JSPG</v>
          </cell>
        </row>
        <row r="6883">
          <cell r="D6883" t="str">
            <v>0F31284</v>
          </cell>
          <cell r="E6883" t="str">
            <v>9LJ6ZX1G</v>
          </cell>
        </row>
        <row r="6884">
          <cell r="D6884" t="str">
            <v>0F31284</v>
          </cell>
          <cell r="E6884" t="str">
            <v>9LJ74W8G</v>
          </cell>
        </row>
        <row r="6885">
          <cell r="D6885" t="str">
            <v>0F31284</v>
          </cell>
          <cell r="E6885" t="str">
            <v>9LJ7JP0G</v>
          </cell>
        </row>
        <row r="6886">
          <cell r="D6886" t="str">
            <v>0F31284</v>
          </cell>
          <cell r="E6886" t="str">
            <v>9LJ68TBG</v>
          </cell>
        </row>
        <row r="6887">
          <cell r="D6887" t="str">
            <v>0F31284</v>
          </cell>
          <cell r="E6887" t="str">
            <v>9LJ710KG</v>
          </cell>
        </row>
        <row r="6888">
          <cell r="D6888" t="str">
            <v>0F31284</v>
          </cell>
          <cell r="E6888" t="str">
            <v>9LJ7GLEG</v>
          </cell>
        </row>
        <row r="6889">
          <cell r="D6889" t="str">
            <v>0F31284</v>
          </cell>
          <cell r="E6889" t="str">
            <v>9LJ7JSTG</v>
          </cell>
        </row>
        <row r="6890">
          <cell r="D6890" t="str">
            <v>0F31284</v>
          </cell>
          <cell r="E6890" t="str">
            <v>9LJ7096G</v>
          </cell>
        </row>
        <row r="6891">
          <cell r="D6891" t="str">
            <v>0F31284</v>
          </cell>
          <cell r="E6891" t="str">
            <v>9LJ75MKG</v>
          </cell>
        </row>
        <row r="6892">
          <cell r="D6892" t="str">
            <v>0F31284</v>
          </cell>
          <cell r="E6892" t="str">
            <v>9LJ7JS6G</v>
          </cell>
        </row>
        <row r="6893">
          <cell r="D6893" t="str">
            <v>0F31284</v>
          </cell>
          <cell r="E6893" t="str">
            <v>9LJ716NG</v>
          </cell>
        </row>
        <row r="6894">
          <cell r="D6894" t="str">
            <v>0F31284</v>
          </cell>
          <cell r="E6894" t="str">
            <v>9LJ7HXJG</v>
          </cell>
        </row>
        <row r="6895">
          <cell r="D6895" t="str">
            <v>0F31284</v>
          </cell>
          <cell r="E6895" t="str">
            <v>9LJ7KG6G</v>
          </cell>
        </row>
        <row r="6896">
          <cell r="D6896" t="str">
            <v>0F31284</v>
          </cell>
          <cell r="E6896" t="str">
            <v>9LJ52BDG</v>
          </cell>
        </row>
        <row r="6897">
          <cell r="D6897" t="str">
            <v>0F31284</v>
          </cell>
          <cell r="E6897" t="str">
            <v>9LJ64PWG</v>
          </cell>
        </row>
        <row r="6898">
          <cell r="D6898" t="str">
            <v>0F31284</v>
          </cell>
          <cell r="E6898" t="str">
            <v>9LJ6AHVG</v>
          </cell>
        </row>
        <row r="6899">
          <cell r="D6899" t="str">
            <v>0F31284</v>
          </cell>
          <cell r="E6899" t="str">
            <v>9LJ4G44G</v>
          </cell>
        </row>
        <row r="6900">
          <cell r="D6900" t="str">
            <v>0F31284</v>
          </cell>
          <cell r="E6900" t="str">
            <v>9LJ64H3G</v>
          </cell>
        </row>
        <row r="6901">
          <cell r="D6901" t="str">
            <v>0F31284</v>
          </cell>
          <cell r="E6901" t="str">
            <v>9LJ6AD0G</v>
          </cell>
        </row>
        <row r="6902">
          <cell r="D6902" t="str">
            <v>0F31284</v>
          </cell>
          <cell r="E6902" t="str">
            <v>9LJ6AJ9G</v>
          </cell>
        </row>
        <row r="6903">
          <cell r="D6903" t="str">
            <v>0F31284</v>
          </cell>
          <cell r="E6903" t="str">
            <v>9LJ5V1UG</v>
          </cell>
        </row>
        <row r="6904">
          <cell r="D6904" t="str">
            <v>0F31284</v>
          </cell>
          <cell r="E6904" t="str">
            <v>9LJ64RJG</v>
          </cell>
        </row>
        <row r="6905">
          <cell r="D6905" t="str">
            <v>0F31284</v>
          </cell>
          <cell r="E6905" t="str">
            <v>9LJ6AHWG</v>
          </cell>
        </row>
        <row r="6906">
          <cell r="D6906" t="str">
            <v>0F31284</v>
          </cell>
          <cell r="E6906" t="str">
            <v>9LJ4NLNG</v>
          </cell>
        </row>
        <row r="6907">
          <cell r="D6907" t="str">
            <v>0F31284</v>
          </cell>
          <cell r="E6907" t="str">
            <v>9LJ64JGG</v>
          </cell>
        </row>
        <row r="6908">
          <cell r="D6908" t="str">
            <v>0F31284</v>
          </cell>
          <cell r="E6908" t="str">
            <v>9LJ6AHMG</v>
          </cell>
        </row>
        <row r="6909">
          <cell r="D6909" t="str">
            <v>0F31284</v>
          </cell>
          <cell r="E6909" t="str">
            <v>9LJ6AJLG</v>
          </cell>
        </row>
        <row r="6910">
          <cell r="D6910" t="str">
            <v>0F31284</v>
          </cell>
          <cell r="E6910" t="str">
            <v>9LJ630ZG</v>
          </cell>
        </row>
        <row r="6911">
          <cell r="D6911" t="str">
            <v>0F31284</v>
          </cell>
          <cell r="E6911" t="str">
            <v>9LJ64UJG</v>
          </cell>
        </row>
        <row r="6912">
          <cell r="D6912" t="str">
            <v>0F31284</v>
          </cell>
          <cell r="E6912" t="str">
            <v>9LJ6AJ0G</v>
          </cell>
        </row>
        <row r="6913">
          <cell r="D6913" t="str">
            <v>0F31284</v>
          </cell>
          <cell r="E6913" t="str">
            <v>9LJ64NSG</v>
          </cell>
        </row>
        <row r="6914">
          <cell r="D6914" t="str">
            <v>0F31284</v>
          </cell>
          <cell r="E6914" t="str">
            <v>9LJ6AHRG</v>
          </cell>
        </row>
        <row r="6915">
          <cell r="D6915" t="str">
            <v>0F31284</v>
          </cell>
          <cell r="E6915" t="str">
            <v>9LJ6HM9G</v>
          </cell>
        </row>
        <row r="6916">
          <cell r="D6916" t="str">
            <v>0F31284</v>
          </cell>
          <cell r="E6916" t="str">
            <v>9LJ4UPXG</v>
          </cell>
        </row>
        <row r="6917">
          <cell r="D6917" t="str">
            <v>0F31284</v>
          </cell>
          <cell r="E6917" t="str">
            <v>9LJ639ZG</v>
          </cell>
        </row>
        <row r="6918">
          <cell r="D6918" t="str">
            <v>0F31284</v>
          </cell>
          <cell r="E6918" t="str">
            <v>9LJ65TUG</v>
          </cell>
        </row>
        <row r="6919">
          <cell r="D6919" t="str">
            <v>0F31284</v>
          </cell>
          <cell r="E6919" t="str">
            <v>9LJ4NG0G</v>
          </cell>
        </row>
        <row r="6920">
          <cell r="D6920" t="str">
            <v>0F31284</v>
          </cell>
          <cell r="E6920" t="str">
            <v>9LJ6134G</v>
          </cell>
        </row>
        <row r="6921">
          <cell r="D6921" t="str">
            <v>0F31284</v>
          </cell>
          <cell r="E6921" t="str">
            <v>9LJ64DMG</v>
          </cell>
        </row>
        <row r="6922">
          <cell r="D6922" t="str">
            <v>0F31284</v>
          </cell>
          <cell r="E6922" t="str">
            <v>9LJ6AJGG</v>
          </cell>
        </row>
        <row r="6923">
          <cell r="D6923" t="str">
            <v>0F31284</v>
          </cell>
          <cell r="E6923" t="str">
            <v>9LJ556EG</v>
          </cell>
        </row>
        <row r="6924">
          <cell r="D6924" t="str">
            <v>0F31284</v>
          </cell>
          <cell r="E6924" t="str">
            <v>9LJ63DJG</v>
          </cell>
        </row>
        <row r="6925">
          <cell r="D6925" t="str">
            <v>0F31284</v>
          </cell>
          <cell r="E6925" t="str">
            <v>9LJ65VUG</v>
          </cell>
        </row>
        <row r="6926">
          <cell r="D6926" t="str">
            <v>0F31284</v>
          </cell>
          <cell r="E6926" t="str">
            <v>9LJ4TM0G</v>
          </cell>
        </row>
        <row r="6927">
          <cell r="D6927" t="str">
            <v>0F31284</v>
          </cell>
          <cell r="E6927" t="str">
            <v>9LJ62Z3G</v>
          </cell>
        </row>
        <row r="6928">
          <cell r="D6928" t="str">
            <v>0F31284</v>
          </cell>
          <cell r="E6928" t="str">
            <v>9LJ64LWG</v>
          </cell>
        </row>
        <row r="6929">
          <cell r="D6929" t="str">
            <v>0F31284</v>
          </cell>
          <cell r="E6929" t="str">
            <v>9LJ6AJHG</v>
          </cell>
        </row>
        <row r="6930">
          <cell r="D6930" t="str">
            <v>0F31284</v>
          </cell>
          <cell r="E6930" t="str">
            <v>9LJ5BV2G</v>
          </cell>
        </row>
        <row r="6931">
          <cell r="D6931" t="str">
            <v>0F31284</v>
          </cell>
          <cell r="E6931" t="str">
            <v>9LJ63H6G</v>
          </cell>
        </row>
        <row r="6932">
          <cell r="D6932" t="str">
            <v>0F31284</v>
          </cell>
          <cell r="E6932" t="str">
            <v>9LJ6ADEG</v>
          </cell>
        </row>
        <row r="6933">
          <cell r="D6933" t="str">
            <v>0F31284</v>
          </cell>
          <cell r="E6933" t="str">
            <v>9LJ6317G</v>
          </cell>
        </row>
        <row r="6934">
          <cell r="D6934" t="str">
            <v>0F31284</v>
          </cell>
          <cell r="E6934" t="str">
            <v>9LJ64PRG</v>
          </cell>
        </row>
        <row r="6935">
          <cell r="D6935" t="str">
            <v>0F31284</v>
          </cell>
          <cell r="E6935" t="str">
            <v>9LJ6AJNG</v>
          </cell>
        </row>
        <row r="6936">
          <cell r="D6936" t="str">
            <v>0F31284</v>
          </cell>
          <cell r="E6936" t="str">
            <v>9LJ6ZJZG</v>
          </cell>
        </row>
        <row r="6937">
          <cell r="D6937" t="str">
            <v>0F31284</v>
          </cell>
          <cell r="E6937" t="str">
            <v>9LJ75N0G</v>
          </cell>
        </row>
        <row r="6938">
          <cell r="D6938" t="str">
            <v>0F31284</v>
          </cell>
          <cell r="E6938" t="str">
            <v>9LJ7B2WG</v>
          </cell>
        </row>
        <row r="6939">
          <cell r="D6939" t="str">
            <v>0F31284</v>
          </cell>
          <cell r="E6939" t="str">
            <v>9LJ67DVG</v>
          </cell>
        </row>
        <row r="6940">
          <cell r="D6940" t="str">
            <v>0F31284</v>
          </cell>
          <cell r="E6940" t="str">
            <v>9LJ752JG</v>
          </cell>
        </row>
        <row r="6941">
          <cell r="D6941" t="str">
            <v>0F31284</v>
          </cell>
          <cell r="E6941" t="str">
            <v>9LJ76UMG</v>
          </cell>
        </row>
        <row r="6942">
          <cell r="D6942" t="str">
            <v>0F31284</v>
          </cell>
          <cell r="E6942" t="str">
            <v>9LJ7DZ7G</v>
          </cell>
        </row>
        <row r="6943">
          <cell r="D6943" t="str">
            <v>0F31284</v>
          </cell>
          <cell r="E6943" t="str">
            <v>9LJ713LG</v>
          </cell>
        </row>
        <row r="6944">
          <cell r="D6944" t="str">
            <v>0F31284</v>
          </cell>
          <cell r="E6944" t="str">
            <v>9LJ75W7G</v>
          </cell>
        </row>
        <row r="6945">
          <cell r="D6945" t="str">
            <v>0F31284</v>
          </cell>
          <cell r="E6945" t="str">
            <v>9LJ7B3DG</v>
          </cell>
        </row>
        <row r="6946">
          <cell r="D6946" t="str">
            <v>0F31284</v>
          </cell>
          <cell r="E6946" t="str">
            <v>9LJ6UHTG</v>
          </cell>
        </row>
        <row r="6947">
          <cell r="D6947" t="str">
            <v>0F31284</v>
          </cell>
          <cell r="E6947" t="str">
            <v>9LJ75LDG</v>
          </cell>
        </row>
        <row r="6948">
          <cell r="D6948" t="str">
            <v>0F31284</v>
          </cell>
          <cell r="E6948" t="str">
            <v>9LJ78A8G</v>
          </cell>
        </row>
        <row r="6949">
          <cell r="D6949" t="str">
            <v>0F31284</v>
          </cell>
          <cell r="E6949" t="str">
            <v>9LJ7HWPG</v>
          </cell>
        </row>
        <row r="6950">
          <cell r="D6950" t="str">
            <v>0F31284</v>
          </cell>
          <cell r="E6950" t="str">
            <v>9LJ74A5G</v>
          </cell>
        </row>
        <row r="6951">
          <cell r="D6951" t="str">
            <v>0F31284</v>
          </cell>
          <cell r="E6951" t="str">
            <v>9LJ76SJG</v>
          </cell>
        </row>
        <row r="6952">
          <cell r="D6952" t="str">
            <v>0F31284</v>
          </cell>
          <cell r="E6952" t="str">
            <v>9LJ7DYYG</v>
          </cell>
        </row>
        <row r="6953">
          <cell r="D6953" t="str">
            <v>0F31284</v>
          </cell>
          <cell r="E6953" t="str">
            <v>9LJ75MUG</v>
          </cell>
        </row>
        <row r="6954">
          <cell r="D6954" t="str">
            <v>0F31284</v>
          </cell>
          <cell r="E6954" t="str">
            <v>9LJ7AXSG</v>
          </cell>
        </row>
        <row r="6955">
          <cell r="D6955" t="str">
            <v>0F31284</v>
          </cell>
          <cell r="E6955" t="str">
            <v>9LJ7JT8G</v>
          </cell>
        </row>
        <row r="6956">
          <cell r="D6956" t="str">
            <v>0F31284</v>
          </cell>
          <cell r="E6956" t="str">
            <v>9MHSLZRJ</v>
          </cell>
        </row>
        <row r="6957">
          <cell r="D6957" t="str">
            <v>0F31284</v>
          </cell>
          <cell r="E6957" t="str">
            <v>9MHSMB8J</v>
          </cell>
        </row>
        <row r="6958">
          <cell r="D6958" t="str">
            <v>0F31284</v>
          </cell>
          <cell r="E6958" t="str">
            <v>9MHT4ARJ</v>
          </cell>
        </row>
        <row r="6959">
          <cell r="D6959" t="str">
            <v>0F31284</v>
          </cell>
          <cell r="E6959" t="str">
            <v>9MHSLXKJ</v>
          </cell>
        </row>
        <row r="6960">
          <cell r="D6960" t="str">
            <v>0F31284</v>
          </cell>
          <cell r="E6960" t="str">
            <v>9MHSM5RJ</v>
          </cell>
        </row>
        <row r="6961">
          <cell r="D6961" t="str">
            <v>0F31284</v>
          </cell>
          <cell r="E6961" t="str">
            <v>9MHT3R3J</v>
          </cell>
        </row>
        <row r="6962">
          <cell r="D6962" t="str">
            <v>0F31284</v>
          </cell>
          <cell r="E6962" t="str">
            <v>9MHT4E7J</v>
          </cell>
        </row>
        <row r="6963">
          <cell r="D6963" t="str">
            <v>0F31284</v>
          </cell>
          <cell r="E6963" t="str">
            <v>9MHSM0VJ</v>
          </cell>
        </row>
        <row r="6964">
          <cell r="D6964" t="str">
            <v>0F31284</v>
          </cell>
          <cell r="E6964" t="str">
            <v>9MHSMH1J</v>
          </cell>
        </row>
        <row r="6965">
          <cell r="D6965" t="str">
            <v>0F31284</v>
          </cell>
          <cell r="E6965" t="str">
            <v>9MHT4E1J</v>
          </cell>
        </row>
        <row r="6966">
          <cell r="D6966" t="str">
            <v>0F31284</v>
          </cell>
          <cell r="E6966" t="str">
            <v>9MHSLXSJ</v>
          </cell>
        </row>
        <row r="6967">
          <cell r="D6967" t="str">
            <v>0F31284</v>
          </cell>
          <cell r="E6967" t="str">
            <v>9MHSM6TJ</v>
          </cell>
        </row>
        <row r="6968">
          <cell r="D6968" t="str">
            <v>0F31284</v>
          </cell>
          <cell r="E6968" t="str">
            <v>9MHT3RHJ</v>
          </cell>
        </row>
        <row r="6969">
          <cell r="D6969" t="str">
            <v>0F31284</v>
          </cell>
          <cell r="E6969" t="str">
            <v>9MHT4E8J</v>
          </cell>
        </row>
        <row r="6970">
          <cell r="D6970" t="str">
            <v>0F31284</v>
          </cell>
          <cell r="E6970" t="str">
            <v>9MHSM3AJ</v>
          </cell>
        </row>
        <row r="6971">
          <cell r="D6971" t="str">
            <v>0F31284</v>
          </cell>
          <cell r="E6971" t="str">
            <v>9MHSMJ3J</v>
          </cell>
        </row>
        <row r="6972">
          <cell r="D6972" t="str">
            <v>0F31284</v>
          </cell>
          <cell r="E6972" t="str">
            <v>9MHT4E4J</v>
          </cell>
        </row>
        <row r="6973">
          <cell r="D6973" t="str">
            <v>0F31284</v>
          </cell>
          <cell r="E6973" t="str">
            <v>9MHSM8YJ</v>
          </cell>
        </row>
        <row r="6974">
          <cell r="D6974" t="str">
            <v>0F31284</v>
          </cell>
          <cell r="E6974" t="str">
            <v>9MHT3S9J</v>
          </cell>
        </row>
        <row r="6975">
          <cell r="D6975" t="str">
            <v>0F31284</v>
          </cell>
          <cell r="E6975" t="str">
            <v>9MHT4GAJ</v>
          </cell>
        </row>
        <row r="6976">
          <cell r="D6976" t="str">
            <v>0F31284</v>
          </cell>
          <cell r="E6976" t="str">
            <v>9LJ6ZMXG</v>
          </cell>
        </row>
        <row r="6977">
          <cell r="D6977" t="str">
            <v>0F31284</v>
          </cell>
          <cell r="E6977" t="str">
            <v>9LJ74W9G</v>
          </cell>
        </row>
        <row r="6978">
          <cell r="D6978" t="str">
            <v>0F31284</v>
          </cell>
          <cell r="E6978" t="str">
            <v>9LJ7BG3G</v>
          </cell>
        </row>
        <row r="6979">
          <cell r="D6979" t="str">
            <v>0F31284</v>
          </cell>
          <cell r="E6979" t="str">
            <v>9LJ6V0ZG</v>
          </cell>
        </row>
        <row r="6980">
          <cell r="D6980" t="str">
            <v>0F31284</v>
          </cell>
          <cell r="E6980" t="str">
            <v>9LJ74MDG</v>
          </cell>
        </row>
        <row r="6981">
          <cell r="D6981" t="str">
            <v>0F31284</v>
          </cell>
          <cell r="E6981" t="str">
            <v>9LJ78S8G</v>
          </cell>
        </row>
        <row r="6982">
          <cell r="D6982" t="str">
            <v>0F31284</v>
          </cell>
          <cell r="E6982" t="str">
            <v>9LJ7JRXG</v>
          </cell>
        </row>
        <row r="6983">
          <cell r="D6983" t="str">
            <v>0F31284</v>
          </cell>
          <cell r="E6983" t="str">
            <v>9LJ715NG</v>
          </cell>
        </row>
        <row r="6984">
          <cell r="D6984" t="str">
            <v>0F31284</v>
          </cell>
          <cell r="E6984" t="str">
            <v>9LJ789AG</v>
          </cell>
        </row>
        <row r="6985">
          <cell r="D6985" t="str">
            <v>0F31284</v>
          </cell>
          <cell r="E6985" t="str">
            <v>9LJ7GYNG</v>
          </cell>
        </row>
        <row r="6986">
          <cell r="D6986" t="str">
            <v>0F31284</v>
          </cell>
          <cell r="E6986" t="str">
            <v>9LJ6Y9TG</v>
          </cell>
        </row>
        <row r="6987">
          <cell r="D6987" t="str">
            <v>0F31284</v>
          </cell>
          <cell r="E6987" t="str">
            <v>9LJ74V1G</v>
          </cell>
        </row>
        <row r="6988">
          <cell r="D6988" t="str">
            <v>0F31284</v>
          </cell>
          <cell r="E6988" t="str">
            <v>9LJ78TEG</v>
          </cell>
        </row>
        <row r="6989">
          <cell r="D6989" t="str">
            <v>0F31284</v>
          </cell>
          <cell r="E6989" t="str">
            <v>9LJ7JS1G</v>
          </cell>
        </row>
        <row r="6990">
          <cell r="D6990" t="str">
            <v>0F31284</v>
          </cell>
          <cell r="E6990" t="str">
            <v>9LJ74M6G</v>
          </cell>
        </row>
        <row r="6991">
          <cell r="D6991" t="str">
            <v>0F31284</v>
          </cell>
          <cell r="E6991" t="str">
            <v>9LJ78M0G</v>
          </cell>
        </row>
        <row r="6992">
          <cell r="D6992" t="str">
            <v>0F31284</v>
          </cell>
          <cell r="E6992" t="str">
            <v>9LJ7HX1G</v>
          </cell>
        </row>
        <row r="6993">
          <cell r="D6993" t="str">
            <v>0F31284</v>
          </cell>
          <cell r="E6993" t="str">
            <v>9LJ74VZG</v>
          </cell>
        </row>
        <row r="6994">
          <cell r="D6994" t="str">
            <v>0F31284</v>
          </cell>
          <cell r="E6994" t="str">
            <v>9LJ7AH4G</v>
          </cell>
        </row>
        <row r="6995">
          <cell r="D6995" t="str">
            <v>0F31284</v>
          </cell>
          <cell r="E6995" t="str">
            <v>9LJ7KG8G</v>
          </cell>
        </row>
        <row r="6996">
          <cell r="D6996" t="str">
            <v>0F31284</v>
          </cell>
          <cell r="E6996" t="str">
            <v>9LJ6UX0G</v>
          </cell>
        </row>
        <row r="6997">
          <cell r="D6997" t="str">
            <v>0F31284</v>
          </cell>
          <cell r="E6997" t="str">
            <v>9LJ72P2G</v>
          </cell>
        </row>
        <row r="6998">
          <cell r="D6998" t="str">
            <v>0F31284</v>
          </cell>
          <cell r="E6998" t="str">
            <v>9LJ77X3G</v>
          </cell>
        </row>
        <row r="6999">
          <cell r="D6999" t="str">
            <v>0F31284</v>
          </cell>
          <cell r="E6999" t="str">
            <v>9LJ68V8G</v>
          </cell>
        </row>
        <row r="7000">
          <cell r="D7000" t="str">
            <v>0F31284</v>
          </cell>
          <cell r="E7000" t="str">
            <v>9LJ6Y9KG</v>
          </cell>
        </row>
        <row r="7001">
          <cell r="D7001" t="str">
            <v>0F31284</v>
          </cell>
          <cell r="E7001" t="str">
            <v>9LJ75VHG</v>
          </cell>
        </row>
        <row r="7002">
          <cell r="D7002" t="str">
            <v>0F31284</v>
          </cell>
          <cell r="E7002" t="str">
            <v>9LJ7JLMG</v>
          </cell>
        </row>
        <row r="7003">
          <cell r="D7003" t="str">
            <v>0F31284</v>
          </cell>
          <cell r="E7003" t="str">
            <v>9LJ6UXMG</v>
          </cell>
        </row>
        <row r="7004">
          <cell r="D7004" t="str">
            <v>0F31284</v>
          </cell>
          <cell r="E7004" t="str">
            <v>9LJ7524G</v>
          </cell>
        </row>
        <row r="7005">
          <cell r="D7005" t="str">
            <v>0F31284</v>
          </cell>
          <cell r="E7005" t="str">
            <v>9LJ78AZG</v>
          </cell>
        </row>
        <row r="7006">
          <cell r="D7006" t="str">
            <v>0F31284</v>
          </cell>
          <cell r="E7006" t="str">
            <v>9LJ68VEG</v>
          </cell>
        </row>
        <row r="7007">
          <cell r="D7007" t="str">
            <v>0F31284</v>
          </cell>
          <cell r="E7007" t="str">
            <v>9LJ6YA1G</v>
          </cell>
        </row>
        <row r="7008">
          <cell r="D7008" t="str">
            <v>0F31284</v>
          </cell>
          <cell r="E7008" t="str">
            <v>9LJ76VRG</v>
          </cell>
        </row>
        <row r="7009">
          <cell r="D7009" t="str">
            <v>0F31284</v>
          </cell>
          <cell r="E7009" t="str">
            <v>9LJ7KG3G</v>
          </cell>
        </row>
        <row r="7010">
          <cell r="D7010" t="str">
            <v>0F31284</v>
          </cell>
          <cell r="E7010" t="str">
            <v>9LJ6UZMG</v>
          </cell>
        </row>
        <row r="7011">
          <cell r="D7011" t="str">
            <v>0F31284</v>
          </cell>
          <cell r="E7011" t="str">
            <v>9LJ75PZG</v>
          </cell>
        </row>
        <row r="7012">
          <cell r="D7012" t="str">
            <v>0F31284</v>
          </cell>
          <cell r="E7012" t="str">
            <v>9LJ7BHNG</v>
          </cell>
        </row>
        <row r="7013">
          <cell r="D7013" t="str">
            <v>0F31284</v>
          </cell>
          <cell r="E7013" t="str">
            <v>9LJ6ZZ9G</v>
          </cell>
        </row>
        <row r="7014">
          <cell r="D7014" t="str">
            <v>0F31284</v>
          </cell>
          <cell r="E7014" t="str">
            <v>9LJ776KG</v>
          </cell>
        </row>
        <row r="7015">
          <cell r="D7015" t="str">
            <v>0F31284</v>
          </cell>
          <cell r="E7015" t="str">
            <v>9LJ7KL5G</v>
          </cell>
        </row>
        <row r="7016">
          <cell r="D7016" t="str">
            <v>0F31284</v>
          </cell>
          <cell r="E7016" t="str">
            <v>9LJ6V0JG</v>
          </cell>
        </row>
        <row r="7017">
          <cell r="D7017" t="str">
            <v>0F31284</v>
          </cell>
          <cell r="E7017" t="str">
            <v>9LJ7220G</v>
          </cell>
        </row>
        <row r="7018">
          <cell r="D7018" t="str">
            <v>0F31284</v>
          </cell>
          <cell r="E7018" t="str">
            <v>9LJ76R7G</v>
          </cell>
        </row>
        <row r="7019">
          <cell r="D7019" t="str">
            <v>0F31284</v>
          </cell>
          <cell r="E7019" t="str">
            <v>9LJ04YVG</v>
          </cell>
        </row>
        <row r="7020">
          <cell r="D7020" t="str">
            <v>0F31284</v>
          </cell>
          <cell r="E7020" t="str">
            <v>9LJ71A2G</v>
          </cell>
        </row>
        <row r="7021">
          <cell r="D7021" t="str">
            <v>0F31284</v>
          </cell>
          <cell r="E7021" t="str">
            <v>9LJ73WXG</v>
          </cell>
        </row>
        <row r="7022">
          <cell r="D7022" t="str">
            <v>0F31284</v>
          </cell>
          <cell r="E7022" t="str">
            <v>9LJ78WLG</v>
          </cell>
        </row>
        <row r="7023">
          <cell r="D7023" t="str">
            <v>0F31284</v>
          </cell>
          <cell r="E7023" t="str">
            <v>9LJ6YT8G</v>
          </cell>
        </row>
        <row r="7024">
          <cell r="D7024" t="str">
            <v>0F31284</v>
          </cell>
          <cell r="E7024" t="str">
            <v>9LJ722JG</v>
          </cell>
        </row>
        <row r="7025">
          <cell r="D7025" t="str">
            <v>0F31284</v>
          </cell>
          <cell r="E7025" t="str">
            <v>9LJ77V1G</v>
          </cell>
        </row>
        <row r="7026">
          <cell r="D7026" t="str">
            <v>0F31284</v>
          </cell>
          <cell r="E7026" t="str">
            <v>9LJ6NKLG</v>
          </cell>
        </row>
        <row r="7027">
          <cell r="D7027" t="str">
            <v>0F31284</v>
          </cell>
          <cell r="E7027" t="str">
            <v>9LJ71EKG</v>
          </cell>
        </row>
        <row r="7028">
          <cell r="D7028" t="str">
            <v>0F31284</v>
          </cell>
          <cell r="E7028" t="str">
            <v>9LJ73Z8G</v>
          </cell>
        </row>
        <row r="7029">
          <cell r="D7029" t="str">
            <v>0F31284</v>
          </cell>
          <cell r="E7029" t="str">
            <v>9LJ7GKMG</v>
          </cell>
        </row>
        <row r="7030">
          <cell r="D7030" t="str">
            <v>0F31284</v>
          </cell>
          <cell r="E7030" t="str">
            <v>9LJ6Z7HG</v>
          </cell>
        </row>
        <row r="7031">
          <cell r="D7031" t="str">
            <v>0F31284</v>
          </cell>
          <cell r="E7031" t="str">
            <v>9LJ72DPG</v>
          </cell>
        </row>
        <row r="7032">
          <cell r="D7032" t="str">
            <v>0F31284</v>
          </cell>
          <cell r="E7032" t="str">
            <v>9LJ78AHG</v>
          </cell>
        </row>
        <row r="7033">
          <cell r="D7033" t="str">
            <v>0F31284</v>
          </cell>
          <cell r="E7033" t="str">
            <v>9LJ720NG</v>
          </cell>
        </row>
        <row r="7034">
          <cell r="D7034" t="str">
            <v>0F31284</v>
          </cell>
          <cell r="E7034" t="str">
            <v>9LJ75M4G</v>
          </cell>
        </row>
        <row r="7035">
          <cell r="D7035" t="str">
            <v>0F31284</v>
          </cell>
          <cell r="E7035" t="str">
            <v>9LJ7J81G</v>
          </cell>
        </row>
        <row r="7036">
          <cell r="D7036" t="str">
            <v>0F31284</v>
          </cell>
          <cell r="E7036" t="str">
            <v>9LJ68T1G</v>
          </cell>
        </row>
        <row r="7037">
          <cell r="D7037" t="str">
            <v>0F31284</v>
          </cell>
          <cell r="E7037" t="str">
            <v>9LJ7DBWG</v>
          </cell>
        </row>
        <row r="7038">
          <cell r="D7038" t="str">
            <v>0F31284</v>
          </cell>
          <cell r="E7038" t="str">
            <v>9LJ7J6UG</v>
          </cell>
        </row>
        <row r="7039">
          <cell r="D7039" t="str">
            <v>0F31284</v>
          </cell>
          <cell r="E7039" t="str">
            <v>9LJ3W0ZG</v>
          </cell>
        </row>
        <row r="7040">
          <cell r="D7040" t="str">
            <v>0F31284</v>
          </cell>
          <cell r="E7040" t="str">
            <v>9LJ75KLG</v>
          </cell>
        </row>
        <row r="7041">
          <cell r="D7041" t="str">
            <v>0F31284</v>
          </cell>
          <cell r="E7041" t="str">
            <v>9LJ7HVNG</v>
          </cell>
        </row>
        <row r="7042">
          <cell r="D7042" t="str">
            <v>0F31284</v>
          </cell>
          <cell r="E7042" t="str">
            <v>9LJ7JNYG</v>
          </cell>
        </row>
        <row r="7043">
          <cell r="D7043" t="str">
            <v>0F31284</v>
          </cell>
          <cell r="E7043" t="str">
            <v>9LJ713VG</v>
          </cell>
        </row>
        <row r="7044">
          <cell r="D7044" t="str">
            <v>0F31284</v>
          </cell>
          <cell r="E7044" t="str">
            <v>9LJ7GLGG</v>
          </cell>
        </row>
        <row r="7045">
          <cell r="D7045" t="str">
            <v>0F31284</v>
          </cell>
          <cell r="E7045" t="str">
            <v>9LJ7J8NG</v>
          </cell>
        </row>
        <row r="7046">
          <cell r="D7046" t="str">
            <v>0F31284</v>
          </cell>
          <cell r="E7046" t="str">
            <v>9LJ668YG</v>
          </cell>
        </row>
        <row r="7047">
          <cell r="D7047" t="str">
            <v>0F31284</v>
          </cell>
          <cell r="E7047" t="str">
            <v>9LJ75M5G</v>
          </cell>
        </row>
        <row r="7048">
          <cell r="D7048" t="str">
            <v>0F31284</v>
          </cell>
          <cell r="E7048" t="str">
            <v>9LJ7HW2G</v>
          </cell>
        </row>
        <row r="7049">
          <cell r="D7049" t="str">
            <v>0F31284</v>
          </cell>
          <cell r="E7049" t="str">
            <v>9LJ7JRYG</v>
          </cell>
        </row>
        <row r="7050">
          <cell r="D7050" t="str">
            <v>0F31284</v>
          </cell>
          <cell r="E7050" t="str">
            <v>9LJ72BGG</v>
          </cell>
        </row>
        <row r="7051">
          <cell r="D7051" t="str">
            <v>0F31284</v>
          </cell>
          <cell r="E7051" t="str">
            <v>9LJ7H0UG</v>
          </cell>
        </row>
        <row r="7052">
          <cell r="D7052" t="str">
            <v>0F31284</v>
          </cell>
          <cell r="E7052" t="str">
            <v>9LJ7J9XG</v>
          </cell>
        </row>
        <row r="7053">
          <cell r="D7053" t="str">
            <v>0F31284</v>
          </cell>
          <cell r="E7053" t="str">
            <v>9LJ7833G</v>
          </cell>
        </row>
        <row r="7054">
          <cell r="D7054" t="str">
            <v>0F31284</v>
          </cell>
          <cell r="E7054" t="str">
            <v>9LJ7HWUG</v>
          </cell>
        </row>
        <row r="7055">
          <cell r="D7055" t="str">
            <v>0F31284</v>
          </cell>
          <cell r="E7055" t="str">
            <v>9LJ7K9YG</v>
          </cell>
        </row>
        <row r="7056">
          <cell r="D7056" t="str">
            <v>0F31284</v>
          </cell>
          <cell r="E7056" t="str">
            <v>9LJ68TDG</v>
          </cell>
        </row>
        <row r="7057">
          <cell r="D7057" t="str">
            <v>0F31284</v>
          </cell>
          <cell r="E7057" t="str">
            <v>9LJ702MG</v>
          </cell>
        </row>
        <row r="7058">
          <cell r="D7058" t="str">
            <v>0F31284</v>
          </cell>
          <cell r="E7058" t="str">
            <v>9LJ76JNG</v>
          </cell>
        </row>
        <row r="7059">
          <cell r="D7059" t="str">
            <v>0F31284</v>
          </cell>
          <cell r="E7059" t="str">
            <v>9LJ3PW3G</v>
          </cell>
        </row>
        <row r="7060">
          <cell r="D7060" t="str">
            <v>0F31284</v>
          </cell>
          <cell r="E7060" t="str">
            <v>9LJ6Y8NG</v>
          </cell>
        </row>
        <row r="7061">
          <cell r="D7061" t="str">
            <v>0F31284</v>
          </cell>
          <cell r="E7061" t="str">
            <v>9LJ752RG</v>
          </cell>
        </row>
        <row r="7062">
          <cell r="D7062" t="str">
            <v>0F31284</v>
          </cell>
          <cell r="E7062" t="str">
            <v>9LJ7B16G</v>
          </cell>
        </row>
        <row r="7063">
          <cell r="D7063" t="str">
            <v>0F31284</v>
          </cell>
          <cell r="E7063" t="str">
            <v>9LJ68VXG</v>
          </cell>
        </row>
        <row r="7064">
          <cell r="D7064" t="str">
            <v>0F31284</v>
          </cell>
          <cell r="E7064" t="str">
            <v>9LJ7146G</v>
          </cell>
        </row>
        <row r="7065">
          <cell r="D7065" t="str">
            <v>0F31284</v>
          </cell>
          <cell r="E7065" t="str">
            <v>9LJ76TBG</v>
          </cell>
        </row>
        <row r="7066">
          <cell r="D7066" t="str">
            <v>0F31284</v>
          </cell>
          <cell r="E7066" t="str">
            <v>9LJ68SXG</v>
          </cell>
        </row>
        <row r="7067">
          <cell r="D7067" t="str">
            <v>0F31284</v>
          </cell>
          <cell r="E7067" t="str">
            <v>9LJ6ZKAG</v>
          </cell>
        </row>
        <row r="7068">
          <cell r="D7068" t="str">
            <v>0F31284</v>
          </cell>
          <cell r="E7068" t="str">
            <v>9LJ758YG</v>
          </cell>
        </row>
        <row r="7069">
          <cell r="D7069" t="str">
            <v>0F31284</v>
          </cell>
          <cell r="E7069" t="str">
            <v>9LJ7J9HG</v>
          </cell>
        </row>
        <row r="7070">
          <cell r="D7070" t="str">
            <v>0F31284</v>
          </cell>
          <cell r="E7070" t="str">
            <v>9LJ6TKKG</v>
          </cell>
        </row>
        <row r="7071">
          <cell r="D7071" t="str">
            <v>0F31284</v>
          </cell>
          <cell r="E7071" t="str">
            <v>9LJ716LG</v>
          </cell>
        </row>
        <row r="7072">
          <cell r="D7072" t="str">
            <v>0F31284</v>
          </cell>
          <cell r="E7072" t="str">
            <v>9LJ76VZG</v>
          </cell>
        </row>
        <row r="7073">
          <cell r="D7073" t="str">
            <v>0F31284</v>
          </cell>
          <cell r="E7073" t="str">
            <v>9LJ6ZXJG</v>
          </cell>
        </row>
        <row r="7074">
          <cell r="D7074" t="str">
            <v>0F31284</v>
          </cell>
          <cell r="E7074" t="str">
            <v>9LJ76JEG</v>
          </cell>
        </row>
        <row r="7075">
          <cell r="D7075" t="str">
            <v>0F31284</v>
          </cell>
          <cell r="E7075" t="str">
            <v>9LJ7JS3G</v>
          </cell>
        </row>
        <row r="7076">
          <cell r="D7076" t="str">
            <v>0F31284</v>
          </cell>
          <cell r="E7076" t="str">
            <v>9MHSM7WJ</v>
          </cell>
        </row>
        <row r="7077">
          <cell r="D7077" t="str">
            <v>0F31284</v>
          </cell>
          <cell r="E7077" t="str">
            <v>9MHT3P2J</v>
          </cell>
        </row>
        <row r="7078">
          <cell r="D7078" t="str">
            <v>0F31284</v>
          </cell>
          <cell r="E7078" t="str">
            <v>9MHT49VJ</v>
          </cell>
        </row>
        <row r="7079">
          <cell r="D7079" t="str">
            <v>0F31284</v>
          </cell>
          <cell r="E7079" t="str">
            <v>9MHSB24U</v>
          </cell>
        </row>
        <row r="7080">
          <cell r="D7080" t="str">
            <v>0F31284</v>
          </cell>
          <cell r="E7080" t="str">
            <v>9MHSMN9J</v>
          </cell>
        </row>
        <row r="7081">
          <cell r="D7081" t="str">
            <v>0F31284</v>
          </cell>
          <cell r="E7081" t="str">
            <v>9MHT454J</v>
          </cell>
        </row>
        <row r="7082">
          <cell r="D7082" t="str">
            <v>0F31284</v>
          </cell>
          <cell r="E7082" t="str">
            <v>9MHT4BEJ</v>
          </cell>
        </row>
        <row r="7083">
          <cell r="D7083" t="str">
            <v>0F31284</v>
          </cell>
          <cell r="E7083" t="str">
            <v>9MHSMBLJ</v>
          </cell>
        </row>
        <row r="7084">
          <cell r="D7084" t="str">
            <v>0F31284</v>
          </cell>
          <cell r="E7084" t="str">
            <v>9MHT3R2J</v>
          </cell>
        </row>
        <row r="7085">
          <cell r="D7085" t="str">
            <v>0F31284</v>
          </cell>
          <cell r="E7085" t="str">
            <v>9MHT49YJ</v>
          </cell>
        </row>
        <row r="7086">
          <cell r="D7086" t="str">
            <v>0F31284</v>
          </cell>
          <cell r="E7086" t="str">
            <v>9MHSLXLJ</v>
          </cell>
        </row>
        <row r="7087">
          <cell r="D7087" t="str">
            <v>0F31284</v>
          </cell>
          <cell r="E7087" t="str">
            <v>9MHSMP9J</v>
          </cell>
        </row>
        <row r="7088">
          <cell r="D7088" t="str">
            <v>0F31284</v>
          </cell>
          <cell r="E7088" t="str">
            <v>9MHT46UJ</v>
          </cell>
        </row>
        <row r="7089">
          <cell r="D7089" t="str">
            <v>0F31284</v>
          </cell>
          <cell r="E7089" t="str">
            <v>9MHT4ELJ</v>
          </cell>
        </row>
        <row r="7090">
          <cell r="D7090" t="str">
            <v>0F31284</v>
          </cell>
          <cell r="E7090" t="str">
            <v>9MHSMLJJ</v>
          </cell>
        </row>
        <row r="7091">
          <cell r="D7091" t="str">
            <v>0F31284</v>
          </cell>
          <cell r="E7091" t="str">
            <v>9MHT3RSJ</v>
          </cell>
        </row>
        <row r="7092">
          <cell r="D7092" t="str">
            <v>0F31284</v>
          </cell>
          <cell r="E7092" t="str">
            <v>9MHT4ALJ</v>
          </cell>
        </row>
        <row r="7093">
          <cell r="D7093" t="str">
            <v>0F31284</v>
          </cell>
          <cell r="E7093" t="str">
            <v>9MHT3NVJ</v>
          </cell>
        </row>
        <row r="7094">
          <cell r="D7094" t="str">
            <v>0F31284</v>
          </cell>
          <cell r="E7094" t="str">
            <v>9MHT47DJ</v>
          </cell>
        </row>
        <row r="7095">
          <cell r="D7095" t="str">
            <v>0F31284</v>
          </cell>
          <cell r="E7095" t="str">
            <v>9MHT4G0J</v>
          </cell>
        </row>
        <row r="7096">
          <cell r="D7096" t="str">
            <v>0F31284</v>
          </cell>
          <cell r="E7096" t="str">
            <v>9MHSM34J</v>
          </cell>
        </row>
        <row r="7097">
          <cell r="D7097" t="str">
            <v>0F31284</v>
          </cell>
          <cell r="E7097" t="str">
            <v>9MHSMHLJ</v>
          </cell>
        </row>
        <row r="7098">
          <cell r="D7098" t="str">
            <v>0F31284</v>
          </cell>
          <cell r="E7098" t="str">
            <v>9MHT3KMJ</v>
          </cell>
        </row>
        <row r="7099">
          <cell r="D7099" t="str">
            <v>0F31284</v>
          </cell>
          <cell r="E7099" t="str">
            <v>9MHS6JPU</v>
          </cell>
        </row>
        <row r="7100">
          <cell r="D7100" t="str">
            <v>0F31284</v>
          </cell>
          <cell r="E7100" t="str">
            <v>9MHSMGEJ</v>
          </cell>
        </row>
        <row r="7101">
          <cell r="D7101" t="str">
            <v>0F31284</v>
          </cell>
          <cell r="E7101" t="str">
            <v>9MHSMPNJ</v>
          </cell>
        </row>
        <row r="7102">
          <cell r="D7102" t="str">
            <v>0F31284</v>
          </cell>
          <cell r="E7102" t="str">
            <v>9MHT3SMJ</v>
          </cell>
        </row>
        <row r="7103">
          <cell r="D7103" t="str">
            <v>0F31284</v>
          </cell>
          <cell r="E7103" t="str">
            <v>9MHSMB6J</v>
          </cell>
        </row>
        <row r="7104">
          <cell r="D7104" t="str">
            <v>0F31284</v>
          </cell>
          <cell r="E7104" t="str">
            <v>9MHSMK9J</v>
          </cell>
        </row>
        <row r="7105">
          <cell r="D7105" t="str">
            <v>0F31284</v>
          </cell>
          <cell r="E7105" t="str">
            <v>9MHT3MMJ</v>
          </cell>
        </row>
        <row r="7106">
          <cell r="D7106" t="str">
            <v>0F31284</v>
          </cell>
          <cell r="E7106" t="str">
            <v>9MHSM23J</v>
          </cell>
        </row>
        <row r="7107">
          <cell r="D7107" t="str">
            <v>0F31284</v>
          </cell>
          <cell r="E7107" t="str">
            <v>9MHSMH0J</v>
          </cell>
        </row>
        <row r="7108">
          <cell r="D7108" t="str">
            <v>0F31284</v>
          </cell>
          <cell r="E7108" t="str">
            <v>9MHT3JYJ</v>
          </cell>
        </row>
        <row r="7109">
          <cell r="D7109" t="str">
            <v>0F31284</v>
          </cell>
          <cell r="E7109" t="str">
            <v>9MHT43PJ</v>
          </cell>
        </row>
        <row r="7110">
          <cell r="D7110" t="str">
            <v>0F31284</v>
          </cell>
          <cell r="E7110" t="str">
            <v>9MHSMG2J</v>
          </cell>
        </row>
        <row r="7111">
          <cell r="D7111" t="str">
            <v>0F31284</v>
          </cell>
          <cell r="E7111" t="str">
            <v>9MHSML6J</v>
          </cell>
        </row>
        <row r="7112">
          <cell r="D7112" t="str">
            <v>0F31284</v>
          </cell>
          <cell r="E7112" t="str">
            <v>9MHT3SDJ</v>
          </cell>
        </row>
        <row r="7113">
          <cell r="D7113" t="str">
            <v>0F31284</v>
          </cell>
          <cell r="E7113" t="str">
            <v>9MHSMH2J</v>
          </cell>
        </row>
        <row r="7114">
          <cell r="D7114" t="str">
            <v>0F31284</v>
          </cell>
          <cell r="E7114" t="str">
            <v>9MHT3KJJ</v>
          </cell>
        </row>
        <row r="7115">
          <cell r="D7115" t="str">
            <v>0F31284</v>
          </cell>
          <cell r="E7115" t="str">
            <v>9MHT48UJ</v>
          </cell>
        </row>
        <row r="7116">
          <cell r="D7116" t="str">
            <v>0F31284</v>
          </cell>
          <cell r="E7116" t="str">
            <v>9LJ714YG</v>
          </cell>
        </row>
        <row r="7117">
          <cell r="D7117" t="str">
            <v>0F31284</v>
          </cell>
          <cell r="E7117" t="str">
            <v>9LJ74XVG</v>
          </cell>
        </row>
        <row r="7118">
          <cell r="D7118" t="str">
            <v>0F31284</v>
          </cell>
          <cell r="E7118" t="str">
            <v>9LJ7HM2G</v>
          </cell>
        </row>
        <row r="7119">
          <cell r="D7119" t="str">
            <v>0F31284</v>
          </cell>
          <cell r="E7119" t="str">
            <v>9LJ668KG</v>
          </cell>
        </row>
        <row r="7120">
          <cell r="D7120" t="str">
            <v>0F31284</v>
          </cell>
          <cell r="E7120" t="str">
            <v>9LJ74PGG</v>
          </cell>
        </row>
        <row r="7121">
          <cell r="D7121" t="str">
            <v>0F31284</v>
          </cell>
          <cell r="E7121" t="str">
            <v>9LJ7E2YG</v>
          </cell>
        </row>
        <row r="7122">
          <cell r="D7122" t="str">
            <v>0F31284</v>
          </cell>
          <cell r="E7122" t="str">
            <v>9LJ7KJDG</v>
          </cell>
        </row>
        <row r="7123">
          <cell r="D7123" t="str">
            <v>0F31284</v>
          </cell>
          <cell r="E7123" t="str">
            <v>9LJ716TG</v>
          </cell>
        </row>
        <row r="7124">
          <cell r="D7124" t="str">
            <v>0F31284</v>
          </cell>
          <cell r="E7124" t="str">
            <v>9LJ75MEG</v>
          </cell>
        </row>
        <row r="7125">
          <cell r="D7125" t="str">
            <v>0F31284</v>
          </cell>
          <cell r="E7125" t="str">
            <v>9LJ7JP7G</v>
          </cell>
        </row>
        <row r="7126">
          <cell r="D7126" t="str">
            <v>0F31284</v>
          </cell>
          <cell r="E7126" t="str">
            <v>9LJ713NG</v>
          </cell>
        </row>
        <row r="7127">
          <cell r="D7127" t="str">
            <v>0F31284</v>
          </cell>
          <cell r="E7127" t="str">
            <v>9LJ74S6G</v>
          </cell>
        </row>
        <row r="7128">
          <cell r="D7128" t="str">
            <v>0F31284</v>
          </cell>
          <cell r="E7128" t="str">
            <v>9LJ7GLNG</v>
          </cell>
        </row>
        <row r="7129">
          <cell r="D7129" t="str">
            <v>0F31284</v>
          </cell>
          <cell r="E7129" t="str">
            <v>9LJ7KLNG</v>
          </cell>
        </row>
        <row r="7130">
          <cell r="D7130" t="str">
            <v>0F31284</v>
          </cell>
          <cell r="E7130" t="str">
            <v>9LJ74LWG</v>
          </cell>
        </row>
        <row r="7131">
          <cell r="D7131" t="str">
            <v>0F31284</v>
          </cell>
          <cell r="E7131" t="str">
            <v>9LJ763AG</v>
          </cell>
        </row>
        <row r="7132">
          <cell r="D7132" t="str">
            <v>0F31284</v>
          </cell>
          <cell r="E7132" t="str">
            <v>9LJ7K2PG</v>
          </cell>
        </row>
        <row r="7133">
          <cell r="D7133" t="str">
            <v>0F31284</v>
          </cell>
          <cell r="E7133" t="str">
            <v>9LJ74U5G</v>
          </cell>
        </row>
        <row r="7134">
          <cell r="D7134" t="str">
            <v>0F31284</v>
          </cell>
          <cell r="E7134" t="str">
            <v>9LJ7H1SG</v>
          </cell>
        </row>
        <row r="7135">
          <cell r="D7135" t="str">
            <v>0F31284</v>
          </cell>
          <cell r="E7135" t="str">
            <v>9LJ7KNTG</v>
          </cell>
        </row>
        <row r="7136">
          <cell r="D7136" t="str">
            <v>0F31284</v>
          </cell>
          <cell r="E7136" t="str">
            <v>9LJ6V0DG</v>
          </cell>
        </row>
        <row r="7137">
          <cell r="D7137" t="str">
            <v>0F31284</v>
          </cell>
          <cell r="E7137" t="str">
            <v>9LJ72NZG</v>
          </cell>
        </row>
        <row r="7138">
          <cell r="D7138" t="str">
            <v>0F31284</v>
          </cell>
          <cell r="E7138" t="str">
            <v>9LJ7557G</v>
          </cell>
        </row>
        <row r="7139">
          <cell r="D7139" t="str">
            <v>0F31284</v>
          </cell>
          <cell r="E7139" t="str">
            <v>9LJ668AG</v>
          </cell>
        </row>
        <row r="7140">
          <cell r="D7140" t="str">
            <v>0F31284</v>
          </cell>
          <cell r="E7140" t="str">
            <v>9LJ70YEG</v>
          </cell>
        </row>
        <row r="7141">
          <cell r="D7141" t="str">
            <v>0F31284</v>
          </cell>
          <cell r="E7141" t="str">
            <v>9LJ74W2G</v>
          </cell>
        </row>
        <row r="7142">
          <cell r="D7142" t="str">
            <v>0F31284</v>
          </cell>
          <cell r="E7142" t="str">
            <v>9LJ78NPG</v>
          </cell>
        </row>
        <row r="7143">
          <cell r="D7143" t="str">
            <v>0F31284</v>
          </cell>
          <cell r="E7143" t="str">
            <v>9LJ6WESG</v>
          </cell>
        </row>
        <row r="7144">
          <cell r="D7144" t="str">
            <v>0F31284</v>
          </cell>
          <cell r="E7144" t="str">
            <v>9LJ74LAG</v>
          </cell>
        </row>
        <row r="7145">
          <cell r="D7145" t="str">
            <v>0F31284</v>
          </cell>
          <cell r="E7145" t="str">
            <v>9LJ75JZG</v>
          </cell>
        </row>
        <row r="7146">
          <cell r="D7146" t="str">
            <v>0F31284</v>
          </cell>
          <cell r="E7146" t="str">
            <v>9LJ6UYBG</v>
          </cell>
        </row>
        <row r="7147">
          <cell r="D7147" t="str">
            <v>0F31284</v>
          </cell>
          <cell r="E7147" t="str">
            <v>9LJ711NG</v>
          </cell>
        </row>
        <row r="7148">
          <cell r="D7148" t="str">
            <v>0F31284</v>
          </cell>
          <cell r="E7148" t="str">
            <v>9LJ7509G</v>
          </cell>
        </row>
        <row r="7149">
          <cell r="D7149" t="str">
            <v>0F31284</v>
          </cell>
          <cell r="E7149" t="str">
            <v>9LJ7DZMG</v>
          </cell>
        </row>
        <row r="7150">
          <cell r="D7150" t="str">
            <v>0F31284</v>
          </cell>
          <cell r="E7150" t="str">
            <v>9LJ6ZZ5G</v>
          </cell>
        </row>
        <row r="7151">
          <cell r="D7151" t="str">
            <v>0F31284</v>
          </cell>
          <cell r="E7151" t="str">
            <v>9LJ74MZG</v>
          </cell>
        </row>
        <row r="7152">
          <cell r="D7152" t="str">
            <v>0F31284</v>
          </cell>
          <cell r="E7152" t="str">
            <v>9LJ76HZG</v>
          </cell>
        </row>
        <row r="7153">
          <cell r="D7153" t="str">
            <v>0F31284</v>
          </cell>
          <cell r="E7153" t="str">
            <v>9LJ7143G</v>
          </cell>
        </row>
        <row r="7154">
          <cell r="D7154" t="str">
            <v>0F31284</v>
          </cell>
          <cell r="E7154" t="str">
            <v>9LJ752SG</v>
          </cell>
        </row>
        <row r="7155">
          <cell r="D7155" t="str">
            <v>0F31284</v>
          </cell>
          <cell r="E7155" t="str">
            <v>9LJ7E0AG</v>
          </cell>
        </row>
        <row r="7156">
          <cell r="D7156" t="str">
            <v>0F31284</v>
          </cell>
          <cell r="E7156" t="str">
            <v>9LJ668NG</v>
          </cell>
        </row>
        <row r="7157">
          <cell r="D7157" t="str">
            <v>0F31284</v>
          </cell>
          <cell r="E7157" t="str">
            <v>9LJ74V5G</v>
          </cell>
        </row>
        <row r="7158">
          <cell r="D7158" t="str">
            <v>0F31284</v>
          </cell>
          <cell r="E7158" t="str">
            <v>9LJ7HU7G</v>
          </cell>
        </row>
        <row r="7159">
          <cell r="D7159" t="str">
            <v>0F31284</v>
          </cell>
          <cell r="E7159" t="str">
            <v>9LJ2RU7G</v>
          </cell>
        </row>
        <row r="7160">
          <cell r="D7160" t="str">
            <v>0F31284</v>
          </cell>
          <cell r="E7160" t="str">
            <v>9LJ70ZXG</v>
          </cell>
        </row>
        <row r="7161">
          <cell r="D7161" t="str">
            <v>0F31284</v>
          </cell>
          <cell r="E7161" t="str">
            <v>9LJ7H2AG</v>
          </cell>
        </row>
        <row r="7162">
          <cell r="D7162" t="str">
            <v>0F31284</v>
          </cell>
          <cell r="E7162" t="str">
            <v>9LJ7JTAG</v>
          </cell>
        </row>
        <row r="7163">
          <cell r="D7163" t="str">
            <v>0F31284</v>
          </cell>
          <cell r="E7163" t="str">
            <v>9LJ70W8G</v>
          </cell>
        </row>
        <row r="7164">
          <cell r="D7164" t="str">
            <v>0F31284</v>
          </cell>
          <cell r="E7164" t="str">
            <v>9LJ74XAG</v>
          </cell>
        </row>
        <row r="7165">
          <cell r="D7165" t="str">
            <v>0F31284</v>
          </cell>
          <cell r="E7165" t="str">
            <v>9LJ7HWNG</v>
          </cell>
        </row>
        <row r="7166">
          <cell r="D7166" t="str">
            <v>0F31284</v>
          </cell>
          <cell r="E7166" t="str">
            <v>9LJ3V87G</v>
          </cell>
        </row>
        <row r="7167">
          <cell r="D7167" t="str">
            <v>0F31284</v>
          </cell>
          <cell r="E7167" t="str">
            <v>9LJ710LG</v>
          </cell>
        </row>
        <row r="7168">
          <cell r="D7168" t="str">
            <v>0F31284</v>
          </cell>
          <cell r="E7168" t="str">
            <v>9LJ7HL0G</v>
          </cell>
        </row>
        <row r="7169">
          <cell r="D7169" t="str">
            <v>0F31284</v>
          </cell>
          <cell r="E7169" t="str">
            <v>9LJ7KA0G</v>
          </cell>
        </row>
        <row r="7170">
          <cell r="D7170" t="str">
            <v>0F31284</v>
          </cell>
          <cell r="E7170" t="str">
            <v>9LJ70ZPG</v>
          </cell>
        </row>
        <row r="7171">
          <cell r="D7171" t="str">
            <v>0F31284</v>
          </cell>
          <cell r="E7171" t="str">
            <v>9LJ7GYDG</v>
          </cell>
        </row>
        <row r="7172">
          <cell r="D7172" t="str">
            <v>0F31284</v>
          </cell>
          <cell r="E7172" t="str">
            <v>9LJ7J8HG</v>
          </cell>
        </row>
        <row r="7173">
          <cell r="D7173" t="str">
            <v>0F31284</v>
          </cell>
          <cell r="E7173" t="str">
            <v>9LJ72NSG</v>
          </cell>
        </row>
        <row r="7174">
          <cell r="D7174" t="str">
            <v>0F31284</v>
          </cell>
          <cell r="E7174" t="str">
            <v>9LJ7HTVG</v>
          </cell>
        </row>
        <row r="7175">
          <cell r="D7175" t="str">
            <v>0F31284</v>
          </cell>
          <cell r="E7175" t="str">
            <v>9LJ7KLTG</v>
          </cell>
        </row>
        <row r="7176">
          <cell r="D7176" t="str">
            <v>0F31284</v>
          </cell>
          <cell r="E7176" t="str">
            <v>9MHSM0MJ</v>
          </cell>
        </row>
        <row r="7177">
          <cell r="D7177" t="str">
            <v>0F31284</v>
          </cell>
          <cell r="E7177" t="str">
            <v>9MHSMHRJ</v>
          </cell>
        </row>
        <row r="7178">
          <cell r="D7178" t="str">
            <v>0F31284</v>
          </cell>
          <cell r="E7178" t="str">
            <v>9MHT455J</v>
          </cell>
        </row>
        <row r="7179">
          <cell r="D7179" t="str">
            <v>0F31284</v>
          </cell>
          <cell r="E7179" t="str">
            <v>9MHSLWRJ</v>
          </cell>
        </row>
        <row r="7180">
          <cell r="D7180" t="str">
            <v>0F31284</v>
          </cell>
          <cell r="E7180" t="str">
            <v>9MHSMEGJ</v>
          </cell>
        </row>
        <row r="7181">
          <cell r="D7181" t="str">
            <v>0F31284</v>
          </cell>
          <cell r="E7181" t="str">
            <v>9MHSMNRJ</v>
          </cell>
        </row>
        <row r="7182">
          <cell r="D7182" t="str">
            <v>0F31284</v>
          </cell>
          <cell r="E7182" t="str">
            <v>9MHT4BKJ</v>
          </cell>
        </row>
        <row r="7183">
          <cell r="D7183" t="str">
            <v>0F31284</v>
          </cell>
          <cell r="E7183" t="str">
            <v>9MHSM35J</v>
          </cell>
        </row>
        <row r="7184">
          <cell r="D7184" t="str">
            <v>0F31284</v>
          </cell>
          <cell r="E7184" t="str">
            <v>9MHSMJDJ</v>
          </cell>
        </row>
        <row r="7185">
          <cell r="D7185" t="str">
            <v>0F31284</v>
          </cell>
          <cell r="E7185" t="str">
            <v>9MHT493J</v>
          </cell>
        </row>
        <row r="7186">
          <cell r="D7186" t="str">
            <v>0F31284</v>
          </cell>
          <cell r="E7186" t="str">
            <v>9MHSM0DJ</v>
          </cell>
        </row>
        <row r="7187">
          <cell r="D7187" t="str">
            <v>0F31284</v>
          </cell>
          <cell r="E7187" t="str">
            <v>9MHSMGMJ</v>
          </cell>
        </row>
        <row r="7188">
          <cell r="D7188" t="str">
            <v>0F31284</v>
          </cell>
          <cell r="E7188" t="str">
            <v>9MHSMPGJ</v>
          </cell>
        </row>
        <row r="7189">
          <cell r="D7189" t="str">
            <v>0F31284</v>
          </cell>
          <cell r="E7189" t="str">
            <v>9MHT4EMJ</v>
          </cell>
        </row>
        <row r="7190">
          <cell r="D7190" t="str">
            <v>0F31284</v>
          </cell>
          <cell r="E7190" t="str">
            <v>9MHSM3ZJ</v>
          </cell>
        </row>
        <row r="7191">
          <cell r="D7191" t="str">
            <v>0F31284</v>
          </cell>
          <cell r="E7191" t="str">
            <v>9MHSMM4J</v>
          </cell>
        </row>
        <row r="7192">
          <cell r="D7192" t="str">
            <v>0F31284</v>
          </cell>
          <cell r="E7192" t="str">
            <v>9MHT49BJ</v>
          </cell>
        </row>
        <row r="7193">
          <cell r="D7193" t="str">
            <v>0F31284</v>
          </cell>
          <cell r="E7193" t="str">
            <v>9MHSMGSJ</v>
          </cell>
        </row>
        <row r="7194">
          <cell r="D7194" t="str">
            <v>0F31284</v>
          </cell>
          <cell r="E7194" t="str">
            <v>9MHT3KDJ</v>
          </cell>
        </row>
        <row r="7195">
          <cell r="D7195" t="str">
            <v>0F31284</v>
          </cell>
          <cell r="E7195" t="str">
            <v>9MHT4JMJ</v>
          </cell>
        </row>
        <row r="7196">
          <cell r="D7196" t="str">
            <v>0F31284</v>
          </cell>
          <cell r="E7196" t="str">
            <v>9LJ68UAG</v>
          </cell>
        </row>
        <row r="7197">
          <cell r="D7197" t="str">
            <v>0F31284</v>
          </cell>
          <cell r="E7197" t="str">
            <v>9LJ6ZWEG</v>
          </cell>
        </row>
        <row r="7198">
          <cell r="D7198" t="str">
            <v>0F31284</v>
          </cell>
          <cell r="E7198" t="str">
            <v>9LJ76S2G</v>
          </cell>
        </row>
        <row r="7199">
          <cell r="D7199" t="str">
            <v>0F31284</v>
          </cell>
          <cell r="E7199" t="str">
            <v>9LJ4HAYG</v>
          </cell>
        </row>
        <row r="7200">
          <cell r="D7200" t="str">
            <v>0F31284</v>
          </cell>
          <cell r="E7200" t="str">
            <v>9LJ6WKZG</v>
          </cell>
        </row>
        <row r="7201">
          <cell r="D7201" t="str">
            <v>0F31284</v>
          </cell>
          <cell r="E7201" t="str">
            <v>9LJ73JGG</v>
          </cell>
        </row>
        <row r="7202">
          <cell r="D7202" t="str">
            <v>0F31284</v>
          </cell>
          <cell r="E7202" t="str">
            <v>9LJ7GXBG</v>
          </cell>
        </row>
        <row r="7203">
          <cell r="D7203" t="str">
            <v>0F31284</v>
          </cell>
          <cell r="E7203" t="str">
            <v>9LJ69E7G</v>
          </cell>
        </row>
        <row r="7204">
          <cell r="D7204" t="str">
            <v>0F31284</v>
          </cell>
          <cell r="E7204" t="str">
            <v>9LJ6ZY7G</v>
          </cell>
        </row>
        <row r="7205">
          <cell r="D7205" t="str">
            <v>0F31284</v>
          </cell>
          <cell r="E7205" t="str">
            <v>9LJ76V6G</v>
          </cell>
        </row>
        <row r="7206">
          <cell r="D7206" t="str">
            <v>0F31284</v>
          </cell>
          <cell r="E7206" t="str">
            <v>9LJ669AG</v>
          </cell>
        </row>
        <row r="7207">
          <cell r="D7207" t="str">
            <v>0F31284</v>
          </cell>
          <cell r="E7207" t="str">
            <v>9LJ6YRNG</v>
          </cell>
        </row>
        <row r="7208">
          <cell r="D7208" t="str">
            <v>0F31284</v>
          </cell>
          <cell r="E7208" t="str">
            <v>9LJ73V2G</v>
          </cell>
        </row>
        <row r="7209">
          <cell r="D7209" t="str">
            <v>0F31284</v>
          </cell>
          <cell r="E7209" t="str">
            <v>9LJ7HWXG</v>
          </cell>
        </row>
        <row r="7210">
          <cell r="D7210" t="str">
            <v>0F31284</v>
          </cell>
          <cell r="E7210" t="str">
            <v>9LJ6V0HG</v>
          </cell>
        </row>
        <row r="7211">
          <cell r="D7211" t="str">
            <v>0F31284</v>
          </cell>
          <cell r="E7211" t="str">
            <v>9LJ72H6G</v>
          </cell>
        </row>
        <row r="7212">
          <cell r="D7212" t="str">
            <v>0F31284</v>
          </cell>
          <cell r="E7212" t="str">
            <v>9LJ78S0G</v>
          </cell>
        </row>
        <row r="7213">
          <cell r="D7213" t="str">
            <v>0F31284</v>
          </cell>
          <cell r="E7213" t="str">
            <v>9LJ6YSRG</v>
          </cell>
        </row>
        <row r="7214">
          <cell r="D7214" t="str">
            <v>0F31284</v>
          </cell>
          <cell r="E7214" t="str">
            <v>9LJ7522G</v>
          </cell>
        </row>
        <row r="7215">
          <cell r="D7215" t="str">
            <v>0F31284</v>
          </cell>
          <cell r="E7215" t="str">
            <v>9LJ7J9YG</v>
          </cell>
        </row>
        <row r="7216">
          <cell r="D7216" t="str">
            <v>0F31284</v>
          </cell>
          <cell r="E7216" t="str">
            <v>9LJ6ULNG</v>
          </cell>
        </row>
        <row r="7217">
          <cell r="D7217" t="str">
            <v>0F31284</v>
          </cell>
          <cell r="E7217" t="str">
            <v>9LJ73KHG</v>
          </cell>
        </row>
        <row r="7218">
          <cell r="D7218" t="str">
            <v>0F31284</v>
          </cell>
          <cell r="E7218" t="str">
            <v>9LJ75PTG</v>
          </cell>
        </row>
        <row r="7219">
          <cell r="D7219" t="str">
            <v>0F31284</v>
          </cell>
          <cell r="E7219" t="str">
            <v>9LJ3SLTG</v>
          </cell>
        </row>
        <row r="7220">
          <cell r="D7220" t="str">
            <v>0F31284</v>
          </cell>
          <cell r="E7220" t="str">
            <v>9LJ70ZRG</v>
          </cell>
        </row>
        <row r="7221">
          <cell r="D7221" t="str">
            <v>0F31284</v>
          </cell>
          <cell r="E7221" t="str">
            <v>9LJ7583G</v>
          </cell>
        </row>
        <row r="7222">
          <cell r="D7222" t="str">
            <v>0F31284</v>
          </cell>
          <cell r="E7222" t="str">
            <v>9LJ7HW0G</v>
          </cell>
        </row>
        <row r="7223">
          <cell r="D7223" t="str">
            <v>0F31284</v>
          </cell>
          <cell r="E7223" t="str">
            <v>9LJ6UZWG</v>
          </cell>
        </row>
        <row r="7224">
          <cell r="D7224" t="str">
            <v>0F31284</v>
          </cell>
          <cell r="E7224" t="str">
            <v>9LJ73YYG</v>
          </cell>
        </row>
        <row r="7225">
          <cell r="D7225" t="str">
            <v>0F31284</v>
          </cell>
          <cell r="E7225" t="str">
            <v>9LJ7DG1G</v>
          </cell>
        </row>
        <row r="7226">
          <cell r="D7226" t="str">
            <v>0F31284</v>
          </cell>
          <cell r="E7226" t="str">
            <v>9LJ68VRG</v>
          </cell>
        </row>
        <row r="7227">
          <cell r="D7227" t="str">
            <v>0F31284</v>
          </cell>
          <cell r="E7227" t="str">
            <v>9LJ714TG</v>
          </cell>
        </row>
        <row r="7228">
          <cell r="D7228" t="str">
            <v>0F31284</v>
          </cell>
          <cell r="E7228" t="str">
            <v>9LJ758UG</v>
          </cell>
        </row>
        <row r="7229">
          <cell r="D7229" t="str">
            <v>0F31284</v>
          </cell>
          <cell r="E7229" t="str">
            <v>9LJ7HXMG</v>
          </cell>
        </row>
        <row r="7230">
          <cell r="D7230" t="str">
            <v>0F31284</v>
          </cell>
          <cell r="E7230" t="str">
            <v>9LJ70MPG</v>
          </cell>
        </row>
        <row r="7231">
          <cell r="D7231" t="str">
            <v>0F31284</v>
          </cell>
          <cell r="E7231" t="str">
            <v>9LJ74S5G</v>
          </cell>
        </row>
        <row r="7232">
          <cell r="D7232" t="str">
            <v>0F31284</v>
          </cell>
          <cell r="E7232" t="str">
            <v>9LJ7HL2G</v>
          </cell>
        </row>
        <row r="7233">
          <cell r="D7233" t="str">
            <v>0F31284</v>
          </cell>
          <cell r="E7233" t="str">
            <v>9LJ72BDG</v>
          </cell>
        </row>
        <row r="7234">
          <cell r="D7234" t="str">
            <v>0F31284</v>
          </cell>
          <cell r="E7234" t="str">
            <v>9LJ75LZG</v>
          </cell>
        </row>
        <row r="7235">
          <cell r="D7235" t="str">
            <v>0F31284</v>
          </cell>
          <cell r="E7235" t="str">
            <v>9LJ7KLPG</v>
          </cell>
        </row>
        <row r="7236">
          <cell r="D7236" t="str">
            <v>0F31284</v>
          </cell>
          <cell r="E7236" t="str">
            <v>9LJ715DG</v>
          </cell>
        </row>
        <row r="7237">
          <cell r="D7237" t="str">
            <v>0F31284</v>
          </cell>
          <cell r="E7237" t="str">
            <v>9LJ73ZDG</v>
          </cell>
        </row>
        <row r="7238">
          <cell r="D7238" t="str">
            <v>0F31284</v>
          </cell>
          <cell r="E7238" t="str">
            <v>9LJ7GZZG</v>
          </cell>
        </row>
        <row r="7239">
          <cell r="D7239" t="str">
            <v>0F31284</v>
          </cell>
          <cell r="E7239" t="str">
            <v>9LJ6V85G</v>
          </cell>
        </row>
        <row r="7240">
          <cell r="D7240" t="str">
            <v>0F31284</v>
          </cell>
          <cell r="E7240" t="str">
            <v>9LJ722KG</v>
          </cell>
        </row>
        <row r="7241">
          <cell r="D7241" t="str">
            <v>0F31284</v>
          </cell>
          <cell r="E7241" t="str">
            <v>9LJ75PUG</v>
          </cell>
        </row>
        <row r="7242">
          <cell r="D7242" t="str">
            <v>0F31284</v>
          </cell>
          <cell r="E7242" t="str">
            <v>9LJ7KHBG</v>
          </cell>
        </row>
        <row r="7243">
          <cell r="D7243" t="str">
            <v>0F31284</v>
          </cell>
          <cell r="E7243" t="str">
            <v>9LJ71EZG</v>
          </cell>
        </row>
        <row r="7244">
          <cell r="D7244" t="str">
            <v>0F31284</v>
          </cell>
          <cell r="E7244" t="str">
            <v>9LJ74VXG</v>
          </cell>
        </row>
        <row r="7245">
          <cell r="D7245" t="str">
            <v>0F31284</v>
          </cell>
          <cell r="E7245" t="str">
            <v>9LJ7J8SG</v>
          </cell>
        </row>
        <row r="7246">
          <cell r="D7246" t="str">
            <v>0F31284</v>
          </cell>
          <cell r="E7246" t="str">
            <v>9LJ6YHGG</v>
          </cell>
        </row>
        <row r="7247">
          <cell r="D7247" t="str">
            <v>0F31284</v>
          </cell>
          <cell r="E7247" t="str">
            <v>9LJ7299G</v>
          </cell>
        </row>
        <row r="7248">
          <cell r="D7248" t="str">
            <v>0F31284</v>
          </cell>
          <cell r="E7248" t="str">
            <v>9LJ78RVG</v>
          </cell>
        </row>
        <row r="7249">
          <cell r="D7249" t="str">
            <v>0F31284</v>
          </cell>
          <cell r="E7249" t="str">
            <v>9LJ7KN9G</v>
          </cell>
        </row>
        <row r="7250">
          <cell r="D7250" t="str">
            <v>0F31284</v>
          </cell>
          <cell r="E7250" t="str">
            <v>9LJ7214G</v>
          </cell>
        </row>
        <row r="7251">
          <cell r="D7251" t="str">
            <v>0F31284</v>
          </cell>
          <cell r="E7251" t="str">
            <v>9LJ75L1G</v>
          </cell>
        </row>
        <row r="7252">
          <cell r="D7252" t="str">
            <v>0F31284</v>
          </cell>
          <cell r="E7252" t="str">
            <v>9LJ7JTYG</v>
          </cell>
        </row>
        <row r="7253">
          <cell r="D7253" t="str">
            <v>0F31284</v>
          </cell>
          <cell r="E7253" t="str">
            <v>9LJ73R4G</v>
          </cell>
        </row>
        <row r="7254">
          <cell r="D7254" t="str">
            <v>0F31284</v>
          </cell>
          <cell r="E7254" t="str">
            <v>9LJ7GKDG</v>
          </cell>
        </row>
        <row r="7255">
          <cell r="D7255" t="str">
            <v>0F31284</v>
          </cell>
          <cell r="E7255" t="str">
            <v>9LJ7KNNG</v>
          </cell>
        </row>
        <row r="7256">
          <cell r="D7256" t="str">
            <v>0F31284</v>
          </cell>
          <cell r="E7256" t="str">
            <v>9LJ6YWRG</v>
          </cell>
        </row>
        <row r="7257">
          <cell r="D7257" t="str">
            <v>0F31284</v>
          </cell>
          <cell r="E7257" t="str">
            <v>9LJ77JSG</v>
          </cell>
        </row>
        <row r="7258">
          <cell r="D7258" t="str">
            <v>0F31284</v>
          </cell>
          <cell r="E7258" t="str">
            <v>9LJ7KG7G</v>
          </cell>
        </row>
        <row r="7259">
          <cell r="D7259" t="str">
            <v>0F31284</v>
          </cell>
          <cell r="E7259" t="str">
            <v>9LJ68SYG</v>
          </cell>
        </row>
        <row r="7260">
          <cell r="D7260" t="str">
            <v>0F31284</v>
          </cell>
          <cell r="E7260" t="str">
            <v>9LJ713KG</v>
          </cell>
        </row>
        <row r="7261">
          <cell r="D7261" t="str">
            <v>0F31284</v>
          </cell>
          <cell r="E7261" t="str">
            <v>9LJ7HX5G</v>
          </cell>
        </row>
        <row r="7262">
          <cell r="D7262" t="str">
            <v>0F31284</v>
          </cell>
          <cell r="E7262" t="str">
            <v>9LJ7KJ7G</v>
          </cell>
        </row>
        <row r="7263">
          <cell r="D7263" t="str">
            <v>0F31284</v>
          </cell>
          <cell r="E7263" t="str">
            <v>9LJ6ZWXG</v>
          </cell>
        </row>
        <row r="7264">
          <cell r="D7264" t="str">
            <v>0F31284</v>
          </cell>
          <cell r="E7264" t="str">
            <v>9LJ7GKHG</v>
          </cell>
        </row>
        <row r="7265">
          <cell r="D7265" t="str">
            <v>0F31284</v>
          </cell>
          <cell r="E7265" t="str">
            <v>9LJ7KGXG</v>
          </cell>
        </row>
        <row r="7266">
          <cell r="D7266" t="str">
            <v>0F31284</v>
          </cell>
          <cell r="E7266" t="str">
            <v>9LJ6UMKG</v>
          </cell>
        </row>
        <row r="7267">
          <cell r="D7267" t="str">
            <v>0F31284</v>
          </cell>
          <cell r="E7267" t="str">
            <v>9LJ76A2G</v>
          </cell>
        </row>
        <row r="7268">
          <cell r="D7268" t="str">
            <v>0F31284</v>
          </cell>
          <cell r="E7268" t="str">
            <v>9LJ7JULG</v>
          </cell>
        </row>
        <row r="7269">
          <cell r="D7269" t="str">
            <v>0F31284</v>
          </cell>
          <cell r="E7269" t="str">
            <v>9LJ7KLKG</v>
          </cell>
        </row>
        <row r="7270">
          <cell r="D7270" t="str">
            <v>0F31284</v>
          </cell>
          <cell r="E7270" t="str">
            <v>9LJ70YWG</v>
          </cell>
        </row>
        <row r="7271">
          <cell r="D7271" t="str">
            <v>0F31284</v>
          </cell>
          <cell r="E7271" t="str">
            <v>9LJ7HWSG</v>
          </cell>
        </row>
        <row r="7272">
          <cell r="D7272" t="str">
            <v>0F31284</v>
          </cell>
          <cell r="E7272" t="str">
            <v>9LJ7KHYG</v>
          </cell>
        </row>
        <row r="7273">
          <cell r="D7273" t="str">
            <v>0F31284</v>
          </cell>
          <cell r="E7273" t="str">
            <v>9LJ76AAG</v>
          </cell>
        </row>
        <row r="7274">
          <cell r="D7274" t="str">
            <v>0F31284</v>
          </cell>
          <cell r="E7274" t="str">
            <v>9LJ7K33G</v>
          </cell>
        </row>
        <row r="7275">
          <cell r="D7275" t="str">
            <v>0F31284</v>
          </cell>
          <cell r="E7275" t="str">
            <v>9LJ7KMSG</v>
          </cell>
        </row>
        <row r="7276">
          <cell r="D7276" t="str">
            <v>0F31284</v>
          </cell>
          <cell r="E7276" t="str">
            <v>9MHSLY2J</v>
          </cell>
        </row>
        <row r="7277">
          <cell r="D7277" t="str">
            <v>0F31284</v>
          </cell>
          <cell r="E7277" t="str">
            <v>9MHSM8NJ</v>
          </cell>
        </row>
        <row r="7278">
          <cell r="D7278" t="str">
            <v>0F31284</v>
          </cell>
          <cell r="E7278" t="str">
            <v>9MHT499J</v>
          </cell>
        </row>
        <row r="7279">
          <cell r="D7279" t="str">
            <v>0F31284</v>
          </cell>
          <cell r="E7279" t="str">
            <v>9MHSLWUJ</v>
          </cell>
        </row>
        <row r="7280">
          <cell r="D7280" t="str">
            <v>0F31284</v>
          </cell>
          <cell r="E7280" t="str">
            <v>9MHSM2GJ</v>
          </cell>
        </row>
        <row r="7281">
          <cell r="D7281" t="str">
            <v>0F31284</v>
          </cell>
          <cell r="E7281" t="str">
            <v>9MHSMP1J</v>
          </cell>
        </row>
        <row r="7282">
          <cell r="D7282" t="str">
            <v>0F31284</v>
          </cell>
          <cell r="E7282" t="str">
            <v>9MHT4GTJ</v>
          </cell>
        </row>
        <row r="7283">
          <cell r="D7283" t="str">
            <v>0F31284</v>
          </cell>
          <cell r="E7283" t="str">
            <v>9MHSLYWJ</v>
          </cell>
        </row>
        <row r="7284">
          <cell r="D7284" t="str">
            <v>0F31284</v>
          </cell>
          <cell r="E7284" t="str">
            <v>9MHSMKSJ</v>
          </cell>
        </row>
        <row r="7285">
          <cell r="D7285" t="str">
            <v>0F31284</v>
          </cell>
          <cell r="E7285" t="str">
            <v>9MHT49HJ</v>
          </cell>
        </row>
        <row r="7286">
          <cell r="D7286" t="str">
            <v>0F31284</v>
          </cell>
          <cell r="E7286" t="str">
            <v>9MHSLXPJ</v>
          </cell>
        </row>
        <row r="7287">
          <cell r="D7287" t="str">
            <v>0F31284</v>
          </cell>
          <cell r="E7287" t="str">
            <v>9MHSM3MJ</v>
          </cell>
        </row>
        <row r="7288">
          <cell r="D7288" t="str">
            <v>0F31284</v>
          </cell>
          <cell r="E7288" t="str">
            <v>9MHSMP2J</v>
          </cell>
        </row>
        <row r="7289">
          <cell r="D7289" t="str">
            <v>0F31284</v>
          </cell>
          <cell r="E7289" t="str">
            <v>9MHT4KDJ</v>
          </cell>
        </row>
        <row r="7290">
          <cell r="D7290" t="str">
            <v>0F31284</v>
          </cell>
          <cell r="E7290" t="str">
            <v>9MHSLZPJ</v>
          </cell>
        </row>
        <row r="7291">
          <cell r="D7291" t="str">
            <v>0F31284</v>
          </cell>
          <cell r="E7291" t="str">
            <v>9MHSMMGJ</v>
          </cell>
        </row>
        <row r="7292">
          <cell r="D7292" t="str">
            <v>0F31284</v>
          </cell>
          <cell r="E7292" t="str">
            <v>9MHT4APJ</v>
          </cell>
        </row>
        <row r="7293">
          <cell r="D7293" t="str">
            <v>0F31284</v>
          </cell>
          <cell r="E7293" t="str">
            <v>9MHSM40J</v>
          </cell>
        </row>
        <row r="7294">
          <cell r="D7294" t="str">
            <v>0F31284</v>
          </cell>
          <cell r="E7294" t="str">
            <v>9MHT48HJ</v>
          </cell>
        </row>
        <row r="7295">
          <cell r="D7295" t="str">
            <v>0F31284</v>
          </cell>
          <cell r="E7295" t="str">
            <v>9MHT4KNJ</v>
          </cell>
        </row>
        <row r="7296">
          <cell r="D7296" t="str">
            <v>0F31284</v>
          </cell>
          <cell r="E7296" t="str">
            <v>9MHSLZLJ</v>
          </cell>
        </row>
        <row r="7297">
          <cell r="D7297" t="str">
            <v>0F31284</v>
          </cell>
          <cell r="E7297" t="str">
            <v>9MHSMAEJ</v>
          </cell>
        </row>
        <row r="7298">
          <cell r="D7298" t="str">
            <v>0F31284</v>
          </cell>
          <cell r="E7298" t="str">
            <v>9MHT3MSJ</v>
          </cell>
        </row>
        <row r="7299">
          <cell r="D7299" t="str">
            <v>0F31284</v>
          </cell>
          <cell r="E7299" t="str">
            <v>9MHSLX6J</v>
          </cell>
        </row>
        <row r="7300">
          <cell r="D7300" t="str">
            <v>0F31284</v>
          </cell>
          <cell r="E7300" t="str">
            <v>9MHSM0NJ</v>
          </cell>
        </row>
        <row r="7301">
          <cell r="D7301" t="str">
            <v>0F31284</v>
          </cell>
          <cell r="E7301" t="str">
            <v>9MHSMMWJ</v>
          </cell>
        </row>
        <row r="7302">
          <cell r="D7302" t="str">
            <v>0F31284</v>
          </cell>
          <cell r="E7302" t="str">
            <v>9MHT49RJ</v>
          </cell>
        </row>
        <row r="7303">
          <cell r="D7303" t="str">
            <v>0F31284</v>
          </cell>
          <cell r="E7303" t="str">
            <v>9MHSLZMJ</v>
          </cell>
        </row>
        <row r="7304">
          <cell r="D7304" t="str">
            <v>0F31284</v>
          </cell>
          <cell r="E7304" t="str">
            <v>9MHSMG5J</v>
          </cell>
        </row>
        <row r="7305">
          <cell r="D7305" t="str">
            <v>0F31284</v>
          </cell>
          <cell r="E7305" t="str">
            <v>9MHT3RGJ</v>
          </cell>
        </row>
        <row r="7306">
          <cell r="D7306" t="str">
            <v>0F31284</v>
          </cell>
          <cell r="E7306" t="str">
            <v>9MHSLXDJ</v>
          </cell>
        </row>
        <row r="7307">
          <cell r="D7307" t="str">
            <v>0F31284</v>
          </cell>
          <cell r="E7307" t="str">
            <v>9MHSM2JJ</v>
          </cell>
        </row>
        <row r="7308">
          <cell r="D7308" t="str">
            <v>0F31284</v>
          </cell>
          <cell r="E7308" t="str">
            <v>9MHSMPTJ</v>
          </cell>
        </row>
        <row r="7309">
          <cell r="D7309" t="str">
            <v>0F31284</v>
          </cell>
          <cell r="E7309" t="str">
            <v>9MHT4ABJ</v>
          </cell>
        </row>
        <row r="7310">
          <cell r="D7310" t="str">
            <v>0F31284</v>
          </cell>
          <cell r="E7310" t="str">
            <v>9MHSM0GJ</v>
          </cell>
        </row>
        <row r="7311">
          <cell r="D7311" t="str">
            <v>0F31284</v>
          </cell>
          <cell r="E7311" t="str">
            <v>9MHSMGNJ</v>
          </cell>
        </row>
        <row r="7312">
          <cell r="D7312" t="str">
            <v>0F31284</v>
          </cell>
          <cell r="E7312" t="str">
            <v>9MHT46JJ</v>
          </cell>
        </row>
        <row r="7313">
          <cell r="D7313" t="str">
            <v>0F31284</v>
          </cell>
          <cell r="E7313" t="str">
            <v>9MHSM2SJ</v>
          </cell>
        </row>
        <row r="7314">
          <cell r="D7314" t="str">
            <v>0F31284</v>
          </cell>
          <cell r="E7314" t="str">
            <v>9MHT3L1J</v>
          </cell>
        </row>
        <row r="7315">
          <cell r="D7315" t="str">
            <v>0F31284</v>
          </cell>
          <cell r="E7315" t="str">
            <v>9MHT4B7J</v>
          </cell>
        </row>
        <row r="7316">
          <cell r="D7316" t="str">
            <v>0F31284</v>
          </cell>
          <cell r="E7316" t="str">
            <v>9LJ6ZYNG</v>
          </cell>
        </row>
        <row r="7317">
          <cell r="D7317" t="str">
            <v>0F31284</v>
          </cell>
          <cell r="E7317" t="str">
            <v>9LJ74WRG</v>
          </cell>
        </row>
        <row r="7318">
          <cell r="D7318" t="str">
            <v>0F31284</v>
          </cell>
          <cell r="E7318" t="str">
            <v>9LJ7E0BG</v>
          </cell>
        </row>
        <row r="7319">
          <cell r="D7319" t="str">
            <v>0F31284</v>
          </cell>
          <cell r="E7319" t="str">
            <v>9LJ68THG</v>
          </cell>
        </row>
        <row r="7320">
          <cell r="D7320" t="str">
            <v>0F31284</v>
          </cell>
          <cell r="E7320" t="str">
            <v>9LJ7113G</v>
          </cell>
        </row>
        <row r="7321">
          <cell r="D7321" t="str">
            <v>0F31284</v>
          </cell>
          <cell r="E7321" t="str">
            <v>9LJ7AX8G</v>
          </cell>
        </row>
        <row r="7322">
          <cell r="D7322" t="str">
            <v>0F31284</v>
          </cell>
          <cell r="E7322" t="str">
            <v>9LJ7KESG</v>
          </cell>
        </row>
        <row r="7323">
          <cell r="D7323" t="str">
            <v>0F31284</v>
          </cell>
          <cell r="E7323" t="str">
            <v>9LJ70XZG</v>
          </cell>
        </row>
        <row r="7324">
          <cell r="D7324" t="str">
            <v>0F31284</v>
          </cell>
          <cell r="E7324" t="str">
            <v>9LJ75K0G</v>
          </cell>
        </row>
        <row r="7325">
          <cell r="D7325" t="str">
            <v>0F31284</v>
          </cell>
          <cell r="E7325" t="str">
            <v>9LJ7GAPG</v>
          </cell>
        </row>
        <row r="7326">
          <cell r="D7326" t="str">
            <v>0F31284</v>
          </cell>
          <cell r="E7326" t="str">
            <v>9LJ6TGLG</v>
          </cell>
        </row>
        <row r="7327">
          <cell r="D7327" t="str">
            <v>0F31284</v>
          </cell>
          <cell r="E7327" t="str">
            <v>9LJ71HNG</v>
          </cell>
        </row>
        <row r="7328">
          <cell r="D7328" t="str">
            <v>0F31284</v>
          </cell>
          <cell r="E7328" t="str">
            <v>9LJ7BBLG</v>
          </cell>
        </row>
        <row r="7329">
          <cell r="D7329" t="str">
            <v>0F31284</v>
          </cell>
          <cell r="E7329" t="str">
            <v>9LJ7KGWG</v>
          </cell>
        </row>
        <row r="7330">
          <cell r="D7330" t="str">
            <v>0F31284</v>
          </cell>
          <cell r="E7330" t="str">
            <v>9LJ70ZLG</v>
          </cell>
        </row>
        <row r="7331">
          <cell r="D7331" t="str">
            <v>0F31284</v>
          </cell>
          <cell r="E7331" t="str">
            <v>9LJ75K2G</v>
          </cell>
        </row>
        <row r="7332">
          <cell r="D7332" t="str">
            <v>0F31284</v>
          </cell>
          <cell r="E7332" t="str">
            <v>9LJ7JSBG</v>
          </cell>
        </row>
        <row r="7333">
          <cell r="D7333" t="str">
            <v>0F31284</v>
          </cell>
          <cell r="E7333" t="str">
            <v>9LJ74U3G</v>
          </cell>
        </row>
        <row r="7334">
          <cell r="D7334" t="str">
            <v>0F31284</v>
          </cell>
          <cell r="E7334" t="str">
            <v>9LJ7DEGG</v>
          </cell>
        </row>
        <row r="7335">
          <cell r="D7335" t="str">
            <v>0F31284</v>
          </cell>
          <cell r="E7335" t="str">
            <v>9LJ7KMXG</v>
          </cell>
        </row>
        <row r="7336">
          <cell r="D7336" t="str">
            <v>0F31284</v>
          </cell>
          <cell r="E7336" t="str">
            <v>9LJ6S1WG</v>
          </cell>
        </row>
        <row r="7337">
          <cell r="D7337" t="str">
            <v>0F31284</v>
          </cell>
          <cell r="E7337" t="str">
            <v>9LJ76R8G</v>
          </cell>
        </row>
        <row r="7338">
          <cell r="D7338" t="str">
            <v>0F31284</v>
          </cell>
          <cell r="E7338" t="str">
            <v>9LJ7JS4G</v>
          </cell>
        </row>
        <row r="7339">
          <cell r="D7339" t="str">
            <v>0F31284</v>
          </cell>
          <cell r="E7339" t="str">
            <v>9LJ4242G</v>
          </cell>
        </row>
        <row r="7340">
          <cell r="D7340" t="str">
            <v>0F31284</v>
          </cell>
          <cell r="E7340" t="str">
            <v>9LJ715VG</v>
          </cell>
        </row>
        <row r="7341">
          <cell r="D7341" t="str">
            <v>0F31284</v>
          </cell>
          <cell r="E7341" t="str">
            <v>9LJ7GL9G</v>
          </cell>
        </row>
        <row r="7342">
          <cell r="D7342" t="str">
            <v>0F31284</v>
          </cell>
          <cell r="E7342" t="str">
            <v>9LJ7KEHG</v>
          </cell>
        </row>
        <row r="7343">
          <cell r="D7343" t="str">
            <v>0F31284</v>
          </cell>
          <cell r="E7343" t="str">
            <v>9LJ6Y6MG</v>
          </cell>
        </row>
        <row r="7344">
          <cell r="D7344" t="str">
            <v>0F31284</v>
          </cell>
          <cell r="E7344" t="str">
            <v>9LJ78Y3G</v>
          </cell>
        </row>
        <row r="7345">
          <cell r="D7345" t="str">
            <v>0F31284</v>
          </cell>
          <cell r="E7345" t="str">
            <v>9LJ7JVGG</v>
          </cell>
        </row>
        <row r="7346">
          <cell r="D7346" t="str">
            <v>0F31284</v>
          </cell>
          <cell r="E7346" t="str">
            <v>9LJ668DG</v>
          </cell>
        </row>
        <row r="7347">
          <cell r="D7347" t="str">
            <v>0F31284</v>
          </cell>
          <cell r="E7347" t="str">
            <v>9LJ72GUG</v>
          </cell>
        </row>
        <row r="7348">
          <cell r="D7348" t="str">
            <v>0F31284</v>
          </cell>
          <cell r="E7348" t="str">
            <v>9LJ7H0PG</v>
          </cell>
        </row>
        <row r="7349">
          <cell r="D7349" t="str">
            <v>0F31284</v>
          </cell>
          <cell r="E7349" t="str">
            <v>9LJ7KHJG</v>
          </cell>
        </row>
        <row r="7350">
          <cell r="D7350" t="str">
            <v>0F31284</v>
          </cell>
          <cell r="E7350" t="str">
            <v>9LJ7147G</v>
          </cell>
        </row>
        <row r="7351">
          <cell r="D7351" t="str">
            <v>0F31284</v>
          </cell>
          <cell r="E7351" t="str">
            <v>9LJ7BJUG</v>
          </cell>
        </row>
        <row r="7352">
          <cell r="D7352" t="str">
            <v>0F31284</v>
          </cell>
          <cell r="E7352" t="str">
            <v>9LJ7JVKG</v>
          </cell>
        </row>
        <row r="7353">
          <cell r="D7353" t="str">
            <v>0F31284</v>
          </cell>
          <cell r="E7353" t="str">
            <v>9LJ73V4G</v>
          </cell>
        </row>
        <row r="7354">
          <cell r="D7354" t="str">
            <v>0F31284</v>
          </cell>
          <cell r="E7354" t="str">
            <v>9LJ7J8WG</v>
          </cell>
        </row>
        <row r="7355">
          <cell r="D7355" t="str">
            <v>0F31284</v>
          </cell>
          <cell r="E7355" t="str">
            <v>9LJ7KMRG</v>
          </cell>
        </row>
        <row r="7356">
          <cell r="D7356" t="str">
            <v>0B36404</v>
          </cell>
          <cell r="E7356" t="str">
            <v>VRKXLKAK</v>
          </cell>
        </row>
        <row r="7357">
          <cell r="D7357" t="str">
            <v>0B36404</v>
          </cell>
          <cell r="E7357" t="str">
            <v>VRKZJ1XK</v>
          </cell>
        </row>
        <row r="7358">
          <cell r="D7358" t="str">
            <v>0B36404</v>
          </cell>
          <cell r="E7358" t="str">
            <v>VRKZXU3K</v>
          </cell>
        </row>
        <row r="7359">
          <cell r="D7359" t="str">
            <v>0B36404</v>
          </cell>
          <cell r="E7359" t="str">
            <v>VRKJ2L2N</v>
          </cell>
        </row>
        <row r="7360">
          <cell r="D7360" t="str">
            <v>0B36404</v>
          </cell>
          <cell r="E7360" t="str">
            <v>VRKZ0U2K</v>
          </cell>
        </row>
        <row r="7361">
          <cell r="D7361" t="str">
            <v>0B36404</v>
          </cell>
          <cell r="E7361" t="str">
            <v>VRKZS94K</v>
          </cell>
        </row>
        <row r="7362">
          <cell r="D7362" t="str">
            <v>0B36404</v>
          </cell>
          <cell r="E7362" t="str">
            <v>VRKZYPXK</v>
          </cell>
        </row>
        <row r="7363">
          <cell r="D7363" t="str">
            <v>0B36404</v>
          </cell>
          <cell r="E7363" t="str">
            <v>VRKXLKDK</v>
          </cell>
        </row>
        <row r="7364">
          <cell r="D7364" t="str">
            <v>0B36404</v>
          </cell>
          <cell r="E7364" t="str">
            <v>VRKZP6LK</v>
          </cell>
        </row>
        <row r="7365">
          <cell r="D7365" t="str">
            <v>0B36404</v>
          </cell>
          <cell r="E7365" t="str">
            <v>VRKZXUWK</v>
          </cell>
        </row>
        <row r="7366">
          <cell r="D7366" t="str">
            <v>0B36404</v>
          </cell>
          <cell r="E7366" t="str">
            <v>VRKJH7DN</v>
          </cell>
        </row>
        <row r="7367">
          <cell r="D7367" t="str">
            <v>0B36404</v>
          </cell>
          <cell r="E7367" t="str">
            <v>VRKZ0Z2K</v>
          </cell>
        </row>
        <row r="7368">
          <cell r="D7368" t="str">
            <v>0B36404</v>
          </cell>
          <cell r="E7368" t="str">
            <v>VRKZTDMK</v>
          </cell>
        </row>
        <row r="7369">
          <cell r="D7369" t="str">
            <v>0B36404</v>
          </cell>
          <cell r="E7369" t="str">
            <v>VRKZYREK</v>
          </cell>
        </row>
        <row r="7370">
          <cell r="D7370" t="str">
            <v>0B36404</v>
          </cell>
          <cell r="E7370" t="str">
            <v>VRKZ0R3K</v>
          </cell>
        </row>
        <row r="7371">
          <cell r="D7371" t="str">
            <v>0B36404</v>
          </cell>
          <cell r="E7371" t="str">
            <v>VRKZPA0K</v>
          </cell>
        </row>
        <row r="7372">
          <cell r="D7372" t="str">
            <v>0B36404</v>
          </cell>
          <cell r="E7372" t="str">
            <v>VRKZY43K</v>
          </cell>
        </row>
        <row r="7373">
          <cell r="D7373" t="str">
            <v>0B36404</v>
          </cell>
          <cell r="E7373" t="str">
            <v>VRKZ3MBK</v>
          </cell>
        </row>
        <row r="7374">
          <cell r="D7374" t="str">
            <v>0B36404</v>
          </cell>
          <cell r="E7374" t="str">
            <v>VRKZWJDK</v>
          </cell>
        </row>
        <row r="7375">
          <cell r="D7375" t="str">
            <v>0B36404</v>
          </cell>
          <cell r="E7375" t="str">
            <v>VRKZYRKK</v>
          </cell>
        </row>
        <row r="7376">
          <cell r="D7376" t="str">
            <v>MZ7LH240HAHQ-00005</v>
          </cell>
          <cell r="E7376" t="str">
            <v>S45RNC0RC36305</v>
          </cell>
          <cell r="K7376" t="str">
            <v>BETANET bogusz</v>
          </cell>
        </row>
        <row r="7377">
          <cell r="D7377" t="str">
            <v>MZ7LH240HAHQ-00005</v>
          </cell>
          <cell r="E7377" t="str">
            <v>S45RNC0RC36298</v>
          </cell>
          <cell r="K7377" t="str">
            <v>BETANET bogusz</v>
          </cell>
        </row>
        <row r="7378">
          <cell r="D7378" t="str">
            <v>CD8069504446300 Xeon Gold 5218R</v>
          </cell>
          <cell r="E7378" t="str">
            <v>M2L55N2601308</v>
          </cell>
        </row>
        <row r="7379">
          <cell r="D7379" t="str">
            <v>CD8069504446300 Xeon Gold 5218R</v>
          </cell>
          <cell r="E7379" t="str">
            <v>M2L55N2600956</v>
          </cell>
        </row>
        <row r="7380">
          <cell r="D7380" t="str">
            <v>CD8069504446300 Xeon Gold 5218R</v>
          </cell>
          <cell r="E7380" t="str">
            <v>M2L55N2601204</v>
          </cell>
        </row>
        <row r="7381">
          <cell r="D7381" t="str">
            <v>CD8069504446300 Xeon Gold 5218R</v>
          </cell>
          <cell r="E7381" t="str">
            <v>M2YP236101441</v>
          </cell>
        </row>
        <row r="7382">
          <cell r="D7382" t="str">
            <v>CD8069504446300 Xeon Gold 5218R</v>
          </cell>
          <cell r="E7382" t="str">
            <v>M2L55N2601236</v>
          </cell>
        </row>
        <row r="7383">
          <cell r="D7383" t="str">
            <v>CD8069504446300 Xeon Gold 5218R</v>
          </cell>
          <cell r="E7383" t="str">
            <v>M2L55N2601298</v>
          </cell>
        </row>
        <row r="7384">
          <cell r="D7384" t="str">
            <v>CD8069504446300 Xeon Gold 5218R</v>
          </cell>
          <cell r="E7384" t="str">
            <v>M2L55N2601366</v>
          </cell>
        </row>
        <row r="7385">
          <cell r="D7385" t="str">
            <v>CD8069504446300 Xeon Gold 5218R</v>
          </cell>
          <cell r="E7385" t="str">
            <v>72GK827200631</v>
          </cell>
        </row>
        <row r="7386">
          <cell r="D7386" t="str">
            <v>CD8069504446300 Xeon Gold 5218R</v>
          </cell>
          <cell r="E7386" t="str">
            <v>M2L55N2601162</v>
          </cell>
        </row>
        <row r="7387">
          <cell r="D7387" t="str">
            <v>CD8069504446300 Xeon Gold 5218R</v>
          </cell>
          <cell r="E7387" t="str">
            <v>M2YP236101345</v>
          </cell>
        </row>
        <row r="7388">
          <cell r="D7388" t="str">
            <v>CD8069504446300 Xeon Gold 5218R</v>
          </cell>
          <cell r="E7388" t="str">
            <v>M2L55N2601306</v>
          </cell>
        </row>
        <row r="7389">
          <cell r="D7389" t="str">
            <v>CD8069504446300 Xeon Gold 5218R</v>
          </cell>
          <cell r="E7389" t="str">
            <v>M2L55N2601231</v>
          </cell>
        </row>
        <row r="7390">
          <cell r="D7390" t="str">
            <v>CD8069504446300 Xeon Gold 5218R</v>
          </cell>
          <cell r="E7390" t="str">
            <v>M2YP236101082</v>
          </cell>
        </row>
        <row r="7391">
          <cell r="D7391" t="str">
            <v>CD8069504446300 Xeon Gold 5218R</v>
          </cell>
          <cell r="E7391" t="str">
            <v>M2YP236101383</v>
          </cell>
        </row>
        <row r="7392">
          <cell r="D7392" t="str">
            <v>CD8069504446300 Xeon Gold 5218R</v>
          </cell>
          <cell r="E7392" t="str">
            <v>M2YP236101190</v>
          </cell>
        </row>
        <row r="7393">
          <cell r="D7393" t="str">
            <v>CD8069504446300 Xeon Gold 5218R</v>
          </cell>
          <cell r="E7393" t="str">
            <v>M2UK684700525</v>
          </cell>
        </row>
        <row r="7394">
          <cell r="D7394" t="str">
            <v>CD8069504446300 Xeon Gold 5218R</v>
          </cell>
          <cell r="E7394" t="str">
            <v>M2L55N2601300</v>
          </cell>
        </row>
        <row r="7395">
          <cell r="D7395" t="str">
            <v>CD8069504446300 Xeon Gold 5218R</v>
          </cell>
          <cell r="E7395" t="str">
            <v>M2L55N2601227</v>
          </cell>
        </row>
        <row r="7396">
          <cell r="D7396" t="str">
            <v>CD8069504446300 Xeon Gold 5218R</v>
          </cell>
          <cell r="E7396" t="str">
            <v>M2L55N2601026</v>
          </cell>
        </row>
        <row r="7397">
          <cell r="D7397" t="str">
            <v>CD8069504446300 Xeon Gold 5218R</v>
          </cell>
          <cell r="E7397" t="str">
            <v>M2L55N2600792</v>
          </cell>
        </row>
        <row r="7398">
          <cell r="D7398" t="str">
            <v>CD8069504446300 Xeon Gold 5218R</v>
          </cell>
          <cell r="E7398" t="str">
            <v>M2YP236101398</v>
          </cell>
        </row>
        <row r="7399">
          <cell r="D7399" t="str">
            <v>CD8069504446300 Xeon Gold 5218R</v>
          </cell>
          <cell r="E7399" t="str">
            <v>M2YP236101116</v>
          </cell>
        </row>
        <row r="7400">
          <cell r="D7400" t="str">
            <v>CD8069504446300 Xeon Gold 5218R</v>
          </cell>
          <cell r="E7400" t="str">
            <v>M2YP236101439</v>
          </cell>
        </row>
        <row r="7401">
          <cell r="D7401" t="str">
            <v>CD8069504446300 Xeon Gold 5218R</v>
          </cell>
          <cell r="E7401" t="str">
            <v>M2UK684700518</v>
          </cell>
        </row>
        <row r="7402">
          <cell r="D7402" t="str">
            <v>CD8069504446300 Xeon Gold 5218R</v>
          </cell>
          <cell r="E7402" t="str">
            <v>M2L55N2601032</v>
          </cell>
        </row>
        <row r="7403">
          <cell r="D7403" t="str">
            <v>CD8069504446300 Xeon Gold 5218R</v>
          </cell>
          <cell r="E7403" t="str">
            <v>M2L55N2600773</v>
          </cell>
        </row>
        <row r="7404">
          <cell r="D7404" t="str">
            <v>CD8069504446300 Xeon Gold 5218R</v>
          </cell>
          <cell r="E7404" t="str">
            <v>M2L55N2601326</v>
          </cell>
        </row>
        <row r="7405">
          <cell r="D7405" t="str">
            <v>CD8069504446300 Xeon Gold 5218R</v>
          </cell>
          <cell r="E7405" t="str">
            <v>M2L55N2601374</v>
          </cell>
        </row>
        <row r="7406">
          <cell r="D7406" t="str">
            <v>CD8069504446300 Xeon Gold 5218R</v>
          </cell>
          <cell r="E7406" t="str">
            <v>M2YP236100037</v>
          </cell>
        </row>
        <row r="7407">
          <cell r="D7407" t="str">
            <v>CD8069504446300 Xeon Gold 5218R</v>
          </cell>
          <cell r="E7407" t="str">
            <v>M2L55N2601112</v>
          </cell>
        </row>
        <row r="7408">
          <cell r="D7408" t="str">
            <v>CD8069504446300 Xeon Gold 5218R</v>
          </cell>
          <cell r="E7408" t="str">
            <v>M2YP236100004</v>
          </cell>
        </row>
        <row r="7409">
          <cell r="D7409" t="str">
            <v>CD8069504446300 Xeon Gold 5218R</v>
          </cell>
          <cell r="E7409" t="str">
            <v>M2L55N2600962</v>
          </cell>
        </row>
        <row r="7410">
          <cell r="D7410" t="str">
            <v>CD8069504446300 Xeon Gold 5218R</v>
          </cell>
          <cell r="E7410" t="str">
            <v>M2YP236101195</v>
          </cell>
        </row>
        <row r="7411">
          <cell r="D7411" t="str">
            <v>CD8069504446300 Xeon Gold 5218R</v>
          </cell>
          <cell r="E7411" t="str">
            <v>M2L55N2601532</v>
          </cell>
        </row>
        <row r="7412">
          <cell r="D7412" t="str">
            <v>CD8069504446300 Xeon Gold 5218R</v>
          </cell>
          <cell r="E7412" t="str">
            <v>M2L55N2601244</v>
          </cell>
        </row>
        <row r="7413">
          <cell r="D7413" t="str">
            <v>CD8069504446300 Xeon Gold 5218R</v>
          </cell>
          <cell r="E7413" t="str">
            <v>M2YP236101348</v>
          </cell>
        </row>
        <row r="7414">
          <cell r="D7414" t="str">
            <v>CD8069504446300 Xeon Gold 5218R</v>
          </cell>
          <cell r="E7414" t="str">
            <v>M2L55N2600974</v>
          </cell>
        </row>
        <row r="7415">
          <cell r="D7415" t="str">
            <v>CD8069504446300 Xeon Gold 5218R</v>
          </cell>
          <cell r="E7415" t="str">
            <v>M2L55N2601335</v>
          </cell>
        </row>
        <row r="7416">
          <cell r="D7416" t="str">
            <v>CD8069504446300 Xeon Gold 5218R</v>
          </cell>
          <cell r="E7416" t="str">
            <v>M2L55N2601233</v>
          </cell>
        </row>
        <row r="7417">
          <cell r="D7417" t="str">
            <v>CD8069504446300 Xeon Gold 5218R</v>
          </cell>
          <cell r="E7417" t="str">
            <v>M2YP236101085</v>
          </cell>
        </row>
        <row r="7418">
          <cell r="D7418" t="str">
            <v>CD8069504446300 Xeon Gold 5218R</v>
          </cell>
          <cell r="E7418" t="str">
            <v>M2CY424700616</v>
          </cell>
        </row>
        <row r="7419">
          <cell r="D7419" t="str">
            <v>CD8069504446300 Xeon Gold 5218R</v>
          </cell>
          <cell r="E7419" t="str">
            <v>M2CY424700470</v>
          </cell>
        </row>
        <row r="7420">
          <cell r="D7420" t="str">
            <v>CD8069504446300 Xeon Gold 5218R</v>
          </cell>
          <cell r="E7420" t="str">
            <v>M2CY424700853</v>
          </cell>
        </row>
        <row r="7421">
          <cell r="D7421" t="str">
            <v>CD8069504446300 Xeon Gold 5218R</v>
          </cell>
          <cell r="E7421" t="str">
            <v>M2CY424700923</v>
          </cell>
        </row>
        <row r="7422">
          <cell r="D7422" t="str">
            <v>CD8069504446300 Xeon Gold 5218R</v>
          </cell>
          <cell r="E7422" t="str">
            <v>M2CY424700545</v>
          </cell>
        </row>
        <row r="7423">
          <cell r="D7423" t="str">
            <v>CD8069504446300 Xeon Gold 5218R</v>
          </cell>
          <cell r="E7423" t="str">
            <v>M2CY424700626</v>
          </cell>
        </row>
        <row r="7424">
          <cell r="D7424" t="str">
            <v>CD8069504446300 Xeon Gold 5218R</v>
          </cell>
          <cell r="E7424" t="str">
            <v>M2CY424700916</v>
          </cell>
        </row>
        <row r="7425">
          <cell r="D7425" t="str">
            <v>CD8069504446300 Xeon Gold 5218R</v>
          </cell>
          <cell r="E7425" t="str">
            <v>M2CY424700552</v>
          </cell>
        </row>
        <row r="7426">
          <cell r="D7426" t="str">
            <v>CD8069504446300 Xeon Gold 5218R</v>
          </cell>
          <cell r="E7426" t="str">
            <v>M2CY424700539</v>
          </cell>
        </row>
        <row r="7427">
          <cell r="D7427" t="str">
            <v>CD8069504446300 Xeon Gold 5218R</v>
          </cell>
          <cell r="E7427" t="str">
            <v>M2CY424700611</v>
          </cell>
        </row>
        <row r="7428">
          <cell r="D7428" t="str">
            <v>CD8069504446300 Xeon Gold 5218R</v>
          </cell>
          <cell r="E7428" t="str">
            <v>M2CY424700832</v>
          </cell>
        </row>
        <row r="7429">
          <cell r="D7429" t="str">
            <v>CD8069504446300 Xeon Gold 5218R</v>
          </cell>
          <cell r="E7429" t="str">
            <v>M2CY424700514</v>
          </cell>
        </row>
        <row r="7430">
          <cell r="D7430" t="str">
            <v>CD8069504446300 Xeon Gold 5218R</v>
          </cell>
          <cell r="E7430" t="str">
            <v>M2UK684700345</v>
          </cell>
        </row>
        <row r="7431">
          <cell r="D7431" t="str">
            <v>CD8069504446300 Xeon Gold 5218R</v>
          </cell>
          <cell r="E7431" t="str">
            <v>M2YP236101306</v>
          </cell>
        </row>
        <row r="7432">
          <cell r="D7432" t="str">
            <v>CD8069504446300 Xeon Gold 5218R</v>
          </cell>
          <cell r="E7432" t="str">
            <v>M2UK684700036</v>
          </cell>
        </row>
        <row r="7433">
          <cell r="D7433" t="str">
            <v>CD8069504446300 Xeon Gold 5218R</v>
          </cell>
          <cell r="E7433" t="str">
            <v>M2L55N2601077</v>
          </cell>
        </row>
        <row r="7434">
          <cell r="D7434" t="str">
            <v>CD8069504446300 Xeon Gold 5218R</v>
          </cell>
          <cell r="E7434" t="str">
            <v>M2L55N2601320</v>
          </cell>
        </row>
        <row r="7435">
          <cell r="D7435" t="str">
            <v>CD8069504446300 Xeon Gold 5218R</v>
          </cell>
          <cell r="E7435" t="str">
            <v>M2L55N2601290</v>
          </cell>
        </row>
        <row r="7436">
          <cell r="D7436" t="str">
            <v>CD8069504446300 Xeon Gold 5218R</v>
          </cell>
          <cell r="E7436" t="str">
            <v>M2L55N2601048</v>
          </cell>
        </row>
        <row r="7437">
          <cell r="D7437" t="str">
            <v>CD8069504446300 Xeon Gold 5218R</v>
          </cell>
          <cell r="E7437" t="str">
            <v>M2L55N2601361</v>
          </cell>
        </row>
        <row r="7438">
          <cell r="D7438" t="str">
            <v>CD8069504446300 Xeon Gold 5218R</v>
          </cell>
          <cell r="E7438" t="str">
            <v>M2L55N2601105</v>
          </cell>
        </row>
        <row r="7439">
          <cell r="D7439" t="str">
            <v>CD8069504446300 Xeon Gold 5218R</v>
          </cell>
          <cell r="E7439" t="str">
            <v>M2L55N2601020</v>
          </cell>
        </row>
        <row r="7440">
          <cell r="D7440" t="str">
            <v>CD8069504446300 Xeon Gold 5218R</v>
          </cell>
          <cell r="E7440" t="str">
            <v>M2L55N2601230</v>
          </cell>
        </row>
        <row r="7441">
          <cell r="D7441" t="str">
            <v>CD8069504446300 Xeon Gold 5218R</v>
          </cell>
          <cell r="E7441" t="str">
            <v>M2YP236101151</v>
          </cell>
        </row>
        <row r="7442">
          <cell r="D7442" t="str">
            <v>CD8069504446300 Xeon Gold 5218R</v>
          </cell>
          <cell r="E7442" t="str">
            <v>M2L55N2600976</v>
          </cell>
        </row>
        <row r="7443">
          <cell r="D7443" t="str">
            <v>CD8069504446300 Xeon Gold 5218R</v>
          </cell>
          <cell r="E7443" t="str">
            <v>M2YP236101406</v>
          </cell>
        </row>
        <row r="7444">
          <cell r="D7444" t="str">
            <v>CD8069504446300 Xeon Gold 5218R</v>
          </cell>
          <cell r="E7444" t="str">
            <v>M2UK684700458</v>
          </cell>
        </row>
        <row r="7445">
          <cell r="D7445" t="str">
            <v>CD8069504446300 Xeon Gold 5218R</v>
          </cell>
          <cell r="E7445" t="str">
            <v>M2YP236101411</v>
          </cell>
        </row>
        <row r="7446">
          <cell r="D7446" t="str">
            <v>CD8069504446300 Xeon Gold 5218R</v>
          </cell>
          <cell r="E7446" t="str">
            <v>M2YP236101370</v>
          </cell>
        </row>
        <row r="7447">
          <cell r="D7447" t="str">
            <v>CD8069504446300 Xeon Gold 5218R</v>
          </cell>
          <cell r="E7447" t="str">
            <v>M2YP236101364</v>
          </cell>
        </row>
        <row r="7448">
          <cell r="D7448" t="str">
            <v>CD8069504446300 Xeon Gold 5218R</v>
          </cell>
          <cell r="E7448" t="str">
            <v>M2UK684700061</v>
          </cell>
        </row>
        <row r="7449">
          <cell r="D7449" t="str">
            <v>CD8069504446300 Xeon Gold 5218R</v>
          </cell>
          <cell r="E7449" t="str">
            <v>M2YP236101342</v>
          </cell>
        </row>
        <row r="7450">
          <cell r="D7450" t="str">
            <v>CD8069504446300 Xeon Gold 5218R</v>
          </cell>
          <cell r="E7450" t="str">
            <v>M2L55N2600774</v>
          </cell>
        </row>
        <row r="7451">
          <cell r="D7451" t="str">
            <v>CD8069504446300 Xeon Gold 5218R</v>
          </cell>
          <cell r="E7451" t="str">
            <v>M2L55N2601018</v>
          </cell>
        </row>
        <row r="7452">
          <cell r="D7452" t="str">
            <v>CD8069504446300 Xeon Gold 5218R</v>
          </cell>
          <cell r="E7452" t="str">
            <v>M2L55N2600757</v>
          </cell>
        </row>
        <row r="7453">
          <cell r="D7453" t="str">
            <v>CD8069504446300 Xeon Gold 5218R</v>
          </cell>
          <cell r="E7453" t="str">
            <v>M2UK684700461</v>
          </cell>
        </row>
        <row r="7454">
          <cell r="D7454" t="str">
            <v>CD8069504446300 Xeon Gold 5218R</v>
          </cell>
          <cell r="E7454" t="str">
            <v>M2L55N2601068</v>
          </cell>
        </row>
        <row r="7455">
          <cell r="D7455" t="str">
            <v>CD8069504446300 Xeon Gold 5218R</v>
          </cell>
          <cell r="E7455" t="str">
            <v>M2YP236101186</v>
          </cell>
        </row>
        <row r="7456">
          <cell r="D7456" t="str">
            <v>CD8069504446300 Xeon Gold 5218R</v>
          </cell>
          <cell r="E7456" t="str">
            <v>M2UK684700034</v>
          </cell>
        </row>
        <row r="7457">
          <cell r="D7457" t="str">
            <v>CD8069504446300 Xeon Gold 5218R</v>
          </cell>
          <cell r="E7457" t="str">
            <v>M2UK684700068</v>
          </cell>
        </row>
        <row r="7458">
          <cell r="D7458" t="str">
            <v>CD8069504446300 Xeon Gold 5218R</v>
          </cell>
          <cell r="E7458" t="str">
            <v>M2YP236101115</v>
          </cell>
        </row>
        <row r="7459">
          <cell r="D7459" t="str">
            <v>CD8069504446300 Xeon Gold 5218R</v>
          </cell>
          <cell r="E7459" t="str">
            <v>M2UK684700529</v>
          </cell>
        </row>
        <row r="7460">
          <cell r="D7460" t="str">
            <v>CD8069504446300 Xeon Gold 5218R</v>
          </cell>
          <cell r="E7460" t="str">
            <v>M2YP236101219</v>
          </cell>
        </row>
        <row r="7461">
          <cell r="D7461" t="str">
            <v>CD8069504446300 Xeon Gold 5218R</v>
          </cell>
          <cell r="E7461" t="str">
            <v>M2YP236101133</v>
          </cell>
        </row>
        <row r="7462">
          <cell r="D7462" t="str">
            <v>CD8069504446300 Xeon Gold 5218R</v>
          </cell>
          <cell r="E7462" t="str">
            <v>M2UK684700044</v>
          </cell>
        </row>
        <row r="7463">
          <cell r="D7463" t="str">
            <v>CD8069504446300 Xeon Gold 5218R</v>
          </cell>
          <cell r="E7463" t="str">
            <v>M2YP236101331</v>
          </cell>
        </row>
        <row r="7464">
          <cell r="D7464" t="str">
            <v>CD8069504446300 Xeon Gold 5218R</v>
          </cell>
          <cell r="E7464" t="str">
            <v>M2YP236101152</v>
          </cell>
        </row>
        <row r="7465">
          <cell r="D7465" t="str">
            <v>CD8069504446300 Xeon Gold 5218R</v>
          </cell>
          <cell r="E7465" t="str">
            <v>M2YP236101359</v>
          </cell>
        </row>
        <row r="7466">
          <cell r="D7466" t="str">
            <v>CD8069504446300 Xeon Gold 5218R</v>
          </cell>
          <cell r="E7466" t="str">
            <v>M2YP236101090</v>
          </cell>
        </row>
        <row r="7467">
          <cell r="D7467" t="str">
            <v>CD8069504446300 Xeon Gold 5218R</v>
          </cell>
          <cell r="E7467" t="str">
            <v>M2L55N2601114</v>
          </cell>
        </row>
        <row r="7468">
          <cell r="D7468" t="str">
            <v>CD8069504446300 Xeon Gold 5218R</v>
          </cell>
          <cell r="E7468" t="str">
            <v>M2L55N2601104</v>
          </cell>
        </row>
        <row r="7469">
          <cell r="D7469" t="str">
            <v>CD8069504446300 Xeon Gold 5218R</v>
          </cell>
          <cell r="E7469" t="str">
            <v>M2L55N2600945</v>
          </cell>
        </row>
        <row r="7470">
          <cell r="D7470" t="str">
            <v>CD8069504446300 Xeon Gold 5218R</v>
          </cell>
          <cell r="E7470" t="str">
            <v>M2L55N2601011</v>
          </cell>
        </row>
        <row r="7471">
          <cell r="D7471" t="str">
            <v>CD8069504446300 Xeon Gold 5218R</v>
          </cell>
          <cell r="E7471" t="str">
            <v>M2L55N2601232</v>
          </cell>
        </row>
        <row r="7472">
          <cell r="D7472" t="str">
            <v>CD8069504446300 Xeon Gold 5218R</v>
          </cell>
          <cell r="E7472" t="str">
            <v>M2L55N2601242</v>
          </cell>
        </row>
        <row r="7473">
          <cell r="D7473" t="str">
            <v>CD8069504446300 Xeon Gold 5218R</v>
          </cell>
          <cell r="E7473" t="str">
            <v>M2YP236101376</v>
          </cell>
        </row>
        <row r="7474">
          <cell r="D7474" t="str">
            <v>CD8069504446300 Xeon Gold 5218R</v>
          </cell>
          <cell r="E7474" t="str">
            <v>M2UK684700291</v>
          </cell>
        </row>
        <row r="7475">
          <cell r="D7475" t="str">
            <v>CD8069504446300 Xeon Gold 5218R</v>
          </cell>
          <cell r="E7475" t="str">
            <v>M2L55N2601031</v>
          </cell>
        </row>
        <row r="7476">
          <cell r="D7476" t="str">
            <v>CD8069504446300 Xeon Gold 5218R</v>
          </cell>
          <cell r="E7476" t="str">
            <v>M2L55N2601157</v>
          </cell>
        </row>
        <row r="7477">
          <cell r="D7477" t="str">
            <v>CD8069504446300 Xeon Gold 5218R</v>
          </cell>
          <cell r="E7477" t="str">
            <v>M2L55N2601116</v>
          </cell>
        </row>
        <row r="7478">
          <cell r="D7478" t="str">
            <v>CD8069504446300 Xeon Gold 5218R</v>
          </cell>
          <cell r="E7478" t="str">
            <v>M2L55N2601293</v>
          </cell>
        </row>
        <row r="7479">
          <cell r="D7479" t="str">
            <v>CD8069504446300 Xeon Gold 5218R</v>
          </cell>
          <cell r="E7479" t="str">
            <v>M2L55N2601195</v>
          </cell>
        </row>
        <row r="7480">
          <cell r="D7480" t="str">
            <v>CD8069504446300 Xeon Gold 5218R</v>
          </cell>
          <cell r="E7480" t="str">
            <v>3202C809</v>
          </cell>
        </row>
        <row r="7481">
          <cell r="D7481" t="str">
            <v>CD8069504446300 Xeon Gold 5218R</v>
          </cell>
          <cell r="E7481" t="str">
            <v>3202C809</v>
          </cell>
        </row>
        <row r="7482">
          <cell r="D7482" t="str">
            <v>CD8069504446300 Xeon Gold 5218R</v>
          </cell>
          <cell r="E7482" t="str">
            <v>3202C809</v>
          </cell>
        </row>
        <row r="7483">
          <cell r="D7483" t="str">
            <v>CD8069504446300 Xeon Gold 5218R</v>
          </cell>
          <cell r="E7483" t="str">
            <v>3202C809</v>
          </cell>
        </row>
        <row r="7484">
          <cell r="D7484" t="str">
            <v>CD8069504446300 Xeon Gold 5218R</v>
          </cell>
          <cell r="E7484" t="str">
            <v>3202C809</v>
          </cell>
        </row>
        <row r="7485">
          <cell r="D7485" t="str">
            <v>CD8069504446300 Xeon Gold 5218R</v>
          </cell>
          <cell r="E7485" t="str">
            <v>3202C809</v>
          </cell>
        </row>
        <row r="7486">
          <cell r="D7486" t="str">
            <v>CD8069504446300 Xeon Gold 5218R</v>
          </cell>
          <cell r="E7486" t="str">
            <v>3202C809</v>
          </cell>
        </row>
        <row r="7487">
          <cell r="D7487" t="str">
            <v>CD8069504446300 Xeon Gold 5218R</v>
          </cell>
          <cell r="E7487" t="str">
            <v>3202C809</v>
          </cell>
        </row>
        <row r="7488">
          <cell r="D7488" t="str">
            <v>CD8069504446300 Xeon Gold 5218R</v>
          </cell>
          <cell r="E7488" t="str">
            <v>3202C809</v>
          </cell>
        </row>
        <row r="7489">
          <cell r="D7489" t="str">
            <v>CD8069504446300 Xeon Gold 5218R</v>
          </cell>
          <cell r="E7489" t="str">
            <v>3202C809</v>
          </cell>
        </row>
        <row r="7490">
          <cell r="D7490" t="str">
            <v>CD8069504446300 Xeon Gold 5218R</v>
          </cell>
          <cell r="E7490" t="str">
            <v>3202C809</v>
          </cell>
        </row>
        <row r="7491">
          <cell r="D7491" t="str">
            <v>CD8069504446300 Xeon Gold 5218R</v>
          </cell>
          <cell r="E7491" t="str">
            <v>3202C809</v>
          </cell>
        </row>
        <row r="7492">
          <cell r="D7492" t="str">
            <v>CD8069504446300 Xeon Gold 5218R</v>
          </cell>
          <cell r="E7492" t="str">
            <v>3202C809</v>
          </cell>
        </row>
        <row r="7493">
          <cell r="D7493" t="str">
            <v>CD8069504446300 Xeon Gold 5218R</v>
          </cell>
          <cell r="E7493" t="str">
            <v>3202C809</v>
          </cell>
        </row>
        <row r="7494">
          <cell r="D7494" t="str">
            <v>CD8069504446300 Xeon Gold 5218R</v>
          </cell>
          <cell r="E7494" t="str">
            <v>3202C809</v>
          </cell>
        </row>
        <row r="7495">
          <cell r="D7495" t="str">
            <v>CD8069504446300 Xeon Gold 5218R</v>
          </cell>
          <cell r="E7495" t="str">
            <v>3202C809</v>
          </cell>
        </row>
        <row r="7496">
          <cell r="D7496" t="str">
            <v>CD8069504446300 Xeon Gold 5218R</v>
          </cell>
          <cell r="E7496" t="str">
            <v>3202C809</v>
          </cell>
        </row>
        <row r="7497">
          <cell r="D7497" t="str">
            <v>CD8069504446300 Xeon Gold 5218R</v>
          </cell>
          <cell r="E7497" t="str">
            <v>3202C809</v>
          </cell>
        </row>
        <row r="7498">
          <cell r="D7498" t="str">
            <v>CD8069504446300 Xeon Gold 5218R</v>
          </cell>
          <cell r="E7498" t="str">
            <v>3202C809</v>
          </cell>
        </row>
        <row r="7499">
          <cell r="D7499" t="str">
            <v>CD8069504446300 Xeon Gold 5218R</v>
          </cell>
          <cell r="E7499" t="str">
            <v>3202C809</v>
          </cell>
        </row>
        <row r="7500">
          <cell r="D7500" t="str">
            <v>CD8069504446300 Xeon Gold 5218R</v>
          </cell>
          <cell r="E7500" t="str">
            <v>3202C809</v>
          </cell>
        </row>
        <row r="7501">
          <cell r="D7501" t="str">
            <v>CD8069504446300 Xeon Gold 5218R</v>
          </cell>
          <cell r="E7501" t="str">
            <v>3202C809</v>
          </cell>
        </row>
        <row r="7502">
          <cell r="D7502" t="str">
            <v>CD8069504446300 Xeon Gold 5218R</v>
          </cell>
          <cell r="E7502" t="str">
            <v>3202C809</v>
          </cell>
        </row>
        <row r="7503">
          <cell r="D7503" t="str">
            <v>CD8069504446300 Xeon Gold 5218R</v>
          </cell>
          <cell r="E7503" t="str">
            <v>3202C809</v>
          </cell>
        </row>
        <row r="7504">
          <cell r="D7504" t="str">
            <v>CD8069504446300 Xeon Gold 5218R</v>
          </cell>
          <cell r="E7504" t="str">
            <v>3202C809</v>
          </cell>
        </row>
        <row r="7505">
          <cell r="D7505" t="str">
            <v>CD8069504446300 Xeon Gold 5218R</v>
          </cell>
          <cell r="E7505" t="str">
            <v>3202C809</v>
          </cell>
        </row>
        <row r="7506">
          <cell r="D7506" t="str">
            <v>CD8069504446300 Xeon Gold 5218R</v>
          </cell>
          <cell r="E7506" t="str">
            <v>3202C809</v>
          </cell>
        </row>
        <row r="7507">
          <cell r="D7507" t="str">
            <v>CD8069504446300 Xeon Gold 5218R</v>
          </cell>
          <cell r="E7507" t="str">
            <v>3202C809</v>
          </cell>
        </row>
        <row r="7508">
          <cell r="D7508" t="str">
            <v>CD8069504446300 Xeon Gold 5218R</v>
          </cell>
          <cell r="E7508" t="str">
            <v>3202C809</v>
          </cell>
        </row>
        <row r="7509">
          <cell r="D7509" t="str">
            <v>CD8069504446300 Xeon Gold 5218R</v>
          </cell>
          <cell r="E7509" t="str">
            <v>3202C809</v>
          </cell>
        </row>
        <row r="7510">
          <cell r="D7510" t="str">
            <v>CD8069504446300 Xeon Gold 5218R</v>
          </cell>
          <cell r="E7510" t="str">
            <v>3202C809</v>
          </cell>
        </row>
        <row r="7511">
          <cell r="D7511" t="str">
            <v>CD8069504446300 Xeon Gold 5218R</v>
          </cell>
          <cell r="E7511" t="str">
            <v>3202C809</v>
          </cell>
        </row>
        <row r="7512">
          <cell r="D7512" t="str">
            <v>CD8069504446300 Xeon Gold 5218R</v>
          </cell>
          <cell r="E7512" t="str">
            <v>3202C809</v>
          </cell>
        </row>
        <row r="7513">
          <cell r="D7513" t="str">
            <v>CD8069504446300 Xeon Gold 5218R</v>
          </cell>
          <cell r="E7513" t="str">
            <v>3202C809</v>
          </cell>
        </row>
        <row r="7514">
          <cell r="D7514" t="str">
            <v>CD8069504446300 Xeon Gold 5218R</v>
          </cell>
          <cell r="E7514" t="str">
            <v>3202C809</v>
          </cell>
        </row>
        <row r="7515">
          <cell r="D7515" t="str">
            <v>CD8069504446300 Xeon Gold 5218R</v>
          </cell>
          <cell r="E7515" t="str">
            <v>3202C809</v>
          </cell>
        </row>
        <row r="7516">
          <cell r="D7516" t="str">
            <v>CD8069504446300 Xeon Gold 5218R</v>
          </cell>
          <cell r="E7516" t="str">
            <v>3202C809</v>
          </cell>
        </row>
        <row r="7517">
          <cell r="D7517" t="str">
            <v>CD8069504446300 Xeon Gold 5218R</v>
          </cell>
          <cell r="E7517" t="str">
            <v>3202C809</v>
          </cell>
        </row>
        <row r="7518">
          <cell r="D7518" t="str">
            <v>CD8069504446300 Xeon Gold 5218R</v>
          </cell>
          <cell r="E7518" t="str">
            <v>3202D037</v>
          </cell>
        </row>
        <row r="7519">
          <cell r="D7519" t="str">
            <v>CD8069504446300 Xeon Gold 5218R</v>
          </cell>
          <cell r="E7519" t="str">
            <v>3202D037</v>
          </cell>
        </row>
        <row r="7520">
          <cell r="D7520" t="str">
            <v>CD8069504446300 Xeon Gold 5218R</v>
          </cell>
          <cell r="E7520" t="str">
            <v>3202D037</v>
          </cell>
        </row>
        <row r="7521">
          <cell r="D7521" t="str">
            <v>CD8069504446300 Xeon Gold 5218R</v>
          </cell>
          <cell r="E7521" t="str">
            <v>3202D037</v>
          </cell>
        </row>
        <row r="7522">
          <cell r="D7522" t="str">
            <v>CD8069504446300 Xeon Gold 5218R</v>
          </cell>
          <cell r="E7522" t="str">
            <v>3202D037</v>
          </cell>
        </row>
        <row r="7523">
          <cell r="D7523" t="str">
            <v>CD8069504446300 Xeon Gold 5218R</v>
          </cell>
          <cell r="E7523" t="str">
            <v>3202D037</v>
          </cell>
        </row>
        <row r="7524">
          <cell r="D7524" t="str">
            <v>CD8069504446300 Xeon Gold 5218R</v>
          </cell>
          <cell r="E7524" t="str">
            <v>3202D037</v>
          </cell>
        </row>
        <row r="7525">
          <cell r="D7525" t="str">
            <v>CD8069504446300 Xeon Gold 5218R</v>
          </cell>
          <cell r="E7525" t="str">
            <v>3202D037</v>
          </cell>
        </row>
        <row r="7526">
          <cell r="D7526" t="str">
            <v>CD8069504446300 Xeon Gold 5218R</v>
          </cell>
          <cell r="E7526" t="str">
            <v>3202D037</v>
          </cell>
        </row>
        <row r="7527">
          <cell r="D7527" t="str">
            <v>CD8069504446300 Xeon Gold 5218R</v>
          </cell>
          <cell r="E7527" t="str">
            <v>3202D037</v>
          </cell>
        </row>
        <row r="7528">
          <cell r="D7528" t="str">
            <v>CD8069504446300 Xeon Gold 5218R</v>
          </cell>
          <cell r="E7528" t="str">
            <v>3202D037</v>
          </cell>
        </row>
        <row r="7529">
          <cell r="D7529" t="str">
            <v>CD8069504446300 Xeon Gold 5218R</v>
          </cell>
          <cell r="E7529" t="str">
            <v>3202D037</v>
          </cell>
        </row>
        <row r="7530">
          <cell r="D7530" t="str">
            <v>CD8069504446300 Xeon Gold 5218R</v>
          </cell>
          <cell r="E7530" t="str">
            <v>3207D980</v>
          </cell>
        </row>
        <row r="7531">
          <cell r="D7531" t="str">
            <v>MZ7LH960HAJR-00005</v>
          </cell>
          <cell r="E7531" t="str">
            <v>S45NNC0T202076</v>
          </cell>
        </row>
        <row r="7532">
          <cell r="D7532" t="str">
            <v>MZ7LH960HAJR-00005</v>
          </cell>
          <cell r="E7532" t="str">
            <v>S45NNC0T202075</v>
          </cell>
        </row>
        <row r="7533">
          <cell r="D7533" t="str">
            <v>MZ7LH960HAJR-00005</v>
          </cell>
          <cell r="E7533" t="str">
            <v>S45NNC0T202074</v>
          </cell>
        </row>
        <row r="7534">
          <cell r="D7534" t="str">
            <v>MZ7LH960HAJR-00005</v>
          </cell>
          <cell r="E7534" t="str">
            <v>S45NNC0T202071</v>
          </cell>
        </row>
        <row r="7535">
          <cell r="D7535" t="str">
            <v>MZ7LH960HAJR-00005</v>
          </cell>
          <cell r="E7535" t="str">
            <v>S45NNC0T202072</v>
          </cell>
        </row>
        <row r="7536">
          <cell r="D7536" t="str">
            <v>MZ7LH960HAJR-00005</v>
          </cell>
          <cell r="E7536" t="str">
            <v>S45NNC0T202073</v>
          </cell>
        </row>
        <row r="7537">
          <cell r="D7537" t="str">
            <v>MZ7LH960HAJR-00005</v>
          </cell>
          <cell r="E7537" t="str">
            <v>S45NNC0T202203</v>
          </cell>
        </row>
        <row r="7538">
          <cell r="D7538" t="str">
            <v>MZ7LH960HAJR-00005</v>
          </cell>
          <cell r="E7538" t="str">
            <v>S45NNC0T202202</v>
          </cell>
        </row>
        <row r="7539">
          <cell r="D7539" t="str">
            <v>MZ7LH960HAJR-00005</v>
          </cell>
          <cell r="E7539" t="str">
            <v>S45NNC0T202201</v>
          </cell>
        </row>
        <row r="7540">
          <cell r="D7540" t="str">
            <v>MZ7LH960HAJR-00005</v>
          </cell>
          <cell r="E7540" t="str">
            <v>S45NNC0T202198</v>
          </cell>
        </row>
        <row r="7541">
          <cell r="D7541" t="str">
            <v>MZ7LH960HAJR-00005</v>
          </cell>
          <cell r="E7541" t="str">
            <v>S45NNC0T202199</v>
          </cell>
        </row>
        <row r="7542">
          <cell r="D7542" t="str">
            <v>MZ7LH960HAJR-00005</v>
          </cell>
          <cell r="E7542" t="str">
            <v>S45NNC0T202200</v>
          </cell>
        </row>
        <row r="7543">
          <cell r="D7543" t="str">
            <v>MZ7LH960HAJR-00005</v>
          </cell>
          <cell r="E7543" t="str">
            <v>S45NNC0T202211</v>
          </cell>
        </row>
        <row r="7544">
          <cell r="D7544" t="str">
            <v>MZ7LH960HAJR-00005</v>
          </cell>
          <cell r="E7544" t="str">
            <v>S45NNC0T202210</v>
          </cell>
        </row>
        <row r="7545">
          <cell r="D7545" t="str">
            <v>MZ7LH960HAJR-00005</v>
          </cell>
          <cell r="E7545" t="str">
            <v>S45NNC0T202209</v>
          </cell>
        </row>
        <row r="7546">
          <cell r="D7546" t="str">
            <v>MZ7LH960HAJR-00005</v>
          </cell>
          <cell r="E7546" t="str">
            <v>S45NNC0T202204</v>
          </cell>
        </row>
        <row r="7547">
          <cell r="D7547" t="str">
            <v>MZ7LH960HAJR-00005</v>
          </cell>
          <cell r="E7547" t="str">
            <v>S45NNC0T202206</v>
          </cell>
        </row>
        <row r="7548">
          <cell r="D7548" t="str">
            <v>MZ7LH960HAJR-00005</v>
          </cell>
          <cell r="E7548" t="str">
            <v>S45NNC0T202207</v>
          </cell>
        </row>
        <row r="7549">
          <cell r="D7549" t="str">
            <v>MZ7LH960HAJR-00005</v>
          </cell>
          <cell r="E7549" t="str">
            <v>S45NNC0T202215</v>
          </cell>
        </row>
        <row r="7550">
          <cell r="D7550" t="str">
            <v>MZ7LH960HAJR-00005</v>
          </cell>
          <cell r="E7550" t="str">
            <v>S45NNC0T202216</v>
          </cell>
        </row>
        <row r="7551">
          <cell r="D7551" t="str">
            <v>MZ7LH960HAJR-00005</v>
          </cell>
          <cell r="E7551" t="str">
            <v>S45NNC0T202217</v>
          </cell>
        </row>
        <row r="7552">
          <cell r="D7552" t="str">
            <v>MZ7LH960HAJR-00005</v>
          </cell>
          <cell r="E7552" t="str">
            <v>S45NNC0T202214</v>
          </cell>
        </row>
        <row r="7553">
          <cell r="D7553" t="str">
            <v>MZ7LH960HAJR-00005</v>
          </cell>
          <cell r="E7553" t="str">
            <v>S45NNC0T202213</v>
          </cell>
        </row>
        <row r="7554">
          <cell r="D7554" t="str">
            <v>MZ7LH960HAJR-00005</v>
          </cell>
          <cell r="E7554" t="str">
            <v>S45NNC0T202212</v>
          </cell>
        </row>
        <row r="7555">
          <cell r="D7555" t="str">
            <v>MZ7LH960HAJR-00005</v>
          </cell>
          <cell r="E7555" t="str">
            <v>S45NNC0T201908</v>
          </cell>
        </row>
        <row r="7556">
          <cell r="D7556" t="str">
            <v>MZ7LH960HAJR-00005</v>
          </cell>
          <cell r="E7556" t="str">
            <v>S45NNC0T202222</v>
          </cell>
        </row>
        <row r="7557">
          <cell r="D7557" t="str">
            <v>MZ7LH960HAJR-00005</v>
          </cell>
          <cell r="E7557" t="str">
            <v>S45NNC0T202221</v>
          </cell>
        </row>
        <row r="7558">
          <cell r="D7558" t="str">
            <v>MZ7LH960HAJR-00005</v>
          </cell>
          <cell r="E7558" t="str">
            <v>S45NNC0T202218</v>
          </cell>
        </row>
        <row r="7559">
          <cell r="D7559" t="str">
            <v>MZ7LH960HAJR-00005</v>
          </cell>
          <cell r="E7559" t="str">
            <v>S45NNC0T202219</v>
          </cell>
        </row>
        <row r="7560">
          <cell r="D7560" t="str">
            <v>MZ7LH960HAJR-00005</v>
          </cell>
          <cell r="E7560" t="str">
            <v>S45NNC0T202220</v>
          </cell>
        </row>
        <row r="7561">
          <cell r="D7561" t="str">
            <v>M393A2K43EB3-CWE</v>
          </cell>
          <cell r="E7561" t="str">
            <v>SNL275</v>
          </cell>
          <cell r="K7561" t="str">
            <v>zwrócono do abacusa</v>
          </cell>
        </row>
        <row r="7562">
          <cell r="D7562" t="str">
            <v>M393A2K43EB3-CWE</v>
          </cell>
          <cell r="E7562" t="str">
            <v>SNL276</v>
          </cell>
          <cell r="K7562" t="str">
            <v>zwrócono do abacusa</v>
          </cell>
        </row>
        <row r="7563">
          <cell r="D7563" t="str">
            <v>MZ7L31T9HBLT-00A07</v>
          </cell>
          <cell r="E7563" t="str">
            <v>S6ESNE0T101056</v>
          </cell>
        </row>
        <row r="7564">
          <cell r="D7564" t="str">
            <v>MZ7L31T9HBLT-00A07</v>
          </cell>
          <cell r="E7564" t="str">
            <v>S6ESNE0T101051</v>
          </cell>
        </row>
        <row r="7565">
          <cell r="D7565" t="str">
            <v>Intel Xeon E-2286G</v>
          </cell>
          <cell r="E7565" t="str">
            <v>X127F531  02918 U1LX305202918</v>
          </cell>
        </row>
        <row r="7566">
          <cell r="D7566" t="str">
            <v>Intel Xeon E-2286G</v>
          </cell>
          <cell r="E7566" t="str">
            <v>X127F531  02922 U1LX305202922</v>
          </cell>
        </row>
        <row r="7567">
          <cell r="D7567" t="str">
            <v>Intel Xeon E-2286G</v>
          </cell>
          <cell r="E7567" t="str">
            <v>X127F531  02878 U1LX305202878</v>
          </cell>
        </row>
        <row r="7568">
          <cell r="D7568" t="str">
            <v>Intel Xeon E-2286G</v>
          </cell>
          <cell r="E7568" t="str">
            <v>X127F531  02745 U1J21Q5802745</v>
          </cell>
        </row>
        <row r="7569">
          <cell r="D7569" t="str">
            <v>Intel Xeon E-2286G</v>
          </cell>
          <cell r="E7569" t="str">
            <v>X127F531  02063 U1LX305202063</v>
          </cell>
        </row>
        <row r="7570">
          <cell r="D7570" t="str">
            <v>Intel Xeon E-2286G</v>
          </cell>
          <cell r="E7570" t="str">
            <v>X127F531  02221 U1LX305202221</v>
          </cell>
        </row>
        <row r="7571">
          <cell r="D7571" t="str">
            <v>0F31284</v>
          </cell>
          <cell r="E7571" t="str">
            <v>9MHT3S7J</v>
          </cell>
        </row>
        <row r="7572">
          <cell r="D7572" t="str">
            <v>0F31284</v>
          </cell>
          <cell r="E7572" t="str">
            <v>9LJ7KKPG</v>
          </cell>
        </row>
        <row r="7573">
          <cell r="D7573" t="str">
            <v>0F31284</v>
          </cell>
          <cell r="E7573" t="str">
            <v>9LJ7KKYG</v>
          </cell>
        </row>
        <row r="7574">
          <cell r="D7574" t="str">
            <v>0F31284</v>
          </cell>
          <cell r="E7574" t="str">
            <v>9LJ7HU8G</v>
          </cell>
        </row>
        <row r="7575">
          <cell r="D7575" t="str">
            <v>0F31284</v>
          </cell>
          <cell r="E7575" t="str">
            <v>9LJ7HXWG</v>
          </cell>
        </row>
        <row r="7576">
          <cell r="D7576" t="str">
            <v>0F31284</v>
          </cell>
          <cell r="E7576" t="str">
            <v>9LJ74RBG</v>
          </cell>
        </row>
        <row r="7577">
          <cell r="D7577" t="str">
            <v>0F31284</v>
          </cell>
          <cell r="E7577" t="str">
            <v>9LJ78VRG</v>
          </cell>
        </row>
        <row r="7578">
          <cell r="D7578" t="str">
            <v>0F31284</v>
          </cell>
          <cell r="E7578" t="str">
            <v>9MHT3PJJ</v>
          </cell>
        </row>
        <row r="7579">
          <cell r="D7579" t="str">
            <v>0F31284</v>
          </cell>
          <cell r="E7579" t="str">
            <v>9LJ7JVMG</v>
          </cell>
        </row>
        <row r="7580">
          <cell r="D7580" t="str">
            <v>0F31284</v>
          </cell>
          <cell r="E7580" t="str">
            <v>9LJ7JT9G</v>
          </cell>
        </row>
        <row r="7581">
          <cell r="D7581" t="str">
            <v xml:space="preserve">M391A4G43AB1-CWE </v>
          </cell>
          <cell r="E7581" t="str">
            <v>SNL277</v>
          </cell>
        </row>
        <row r="7582">
          <cell r="D7582" t="str">
            <v xml:space="preserve">M391A4G43AB1-CWE </v>
          </cell>
          <cell r="E7582" t="str">
            <v>SNL278</v>
          </cell>
        </row>
        <row r="7583">
          <cell r="D7583" t="str">
            <v xml:space="preserve">M391A4G43AB1-CWE </v>
          </cell>
          <cell r="E7583" t="str">
            <v>SNL279</v>
          </cell>
        </row>
        <row r="7584">
          <cell r="D7584" t="str">
            <v xml:space="preserve">M391A4G43AB1-CWE </v>
          </cell>
          <cell r="E7584" t="str">
            <v>SNL280</v>
          </cell>
        </row>
        <row r="7585">
          <cell r="D7585" t="str">
            <v xml:space="preserve">M391A4G43AB1-CWE </v>
          </cell>
          <cell r="E7585" t="str">
            <v>SNL281</v>
          </cell>
        </row>
        <row r="7586">
          <cell r="D7586" t="str">
            <v xml:space="preserve">M391A4G43AB1-CWE </v>
          </cell>
          <cell r="E7586" t="str">
            <v>SNL282</v>
          </cell>
        </row>
        <row r="7587">
          <cell r="D7587" t="str">
            <v xml:space="preserve">M391A4G43AB1-CWE </v>
          </cell>
          <cell r="E7587" t="str">
            <v>SNL283</v>
          </cell>
        </row>
        <row r="7588">
          <cell r="D7588" t="str">
            <v xml:space="preserve">M391A4G43AB1-CWE </v>
          </cell>
          <cell r="E7588" t="str">
            <v>SNL284</v>
          </cell>
        </row>
        <row r="7589">
          <cell r="D7589" t="str">
            <v xml:space="preserve">M391A4G43AB1-CWE </v>
          </cell>
          <cell r="E7589" t="str">
            <v>SNL285</v>
          </cell>
        </row>
        <row r="7590">
          <cell r="D7590" t="str">
            <v xml:space="preserve">M391A4G43AB1-CWE </v>
          </cell>
          <cell r="E7590" t="str">
            <v>SNL286</v>
          </cell>
        </row>
        <row r="7591">
          <cell r="D7591" t="str">
            <v xml:space="preserve">M391A4G43AB1-CWE </v>
          </cell>
          <cell r="E7591" t="str">
            <v>SNL287</v>
          </cell>
        </row>
        <row r="7592">
          <cell r="D7592" t="str">
            <v xml:space="preserve">M391A4G43AB1-CWE </v>
          </cell>
          <cell r="E7592" t="str">
            <v>SNL288</v>
          </cell>
        </row>
        <row r="7593">
          <cell r="D7593" t="str">
            <v>X299 WS/IPMI</v>
          </cell>
          <cell r="E7593" t="str">
            <v>E5S0XW005714</v>
          </cell>
        </row>
        <row r="7594">
          <cell r="D7594" t="str">
            <v>CSE-113AC2-R706WB2</v>
          </cell>
          <cell r="E7594" t="str">
            <v>C1130LK35P60187</v>
          </cell>
        </row>
        <row r="7595">
          <cell r="D7595" t="str">
            <v>CSE-113AC2-R706WB2</v>
          </cell>
          <cell r="E7595" t="str">
            <v>C1130LK35P60181</v>
          </cell>
        </row>
        <row r="7596">
          <cell r="D7596" t="str">
            <v>CSE-113AC2-R706WB2</v>
          </cell>
          <cell r="E7596" t="str">
            <v>C1130LK35P60188</v>
          </cell>
        </row>
        <row r="7597">
          <cell r="D7597" t="str">
            <v>CSE-113AC2-R706WB2</v>
          </cell>
          <cell r="E7597" t="str">
            <v>C1130LK35P60196</v>
          </cell>
        </row>
        <row r="7598">
          <cell r="D7598" t="str">
            <v>CSE-113AC2-R706WB2</v>
          </cell>
          <cell r="E7598" t="str">
            <v>C1130LK35P60197</v>
          </cell>
        </row>
        <row r="7599">
          <cell r="D7599" t="str">
            <v>CSE-113AC2-R706WB2</v>
          </cell>
          <cell r="E7599" t="str">
            <v>C1130LK35P60198</v>
          </cell>
        </row>
        <row r="7600">
          <cell r="D7600" t="str">
            <v>AS-4124GS-TNR</v>
          </cell>
          <cell r="E7600" t="str">
            <v>E404070X1C03897</v>
          </cell>
        </row>
        <row r="7601">
          <cell r="D7601" t="str">
            <v>CSE</v>
          </cell>
          <cell r="E7601" t="str">
            <v>C4180AK26A40011</v>
          </cell>
        </row>
        <row r="7602">
          <cell r="D7602" t="str">
            <v>PWS</v>
          </cell>
          <cell r="E7602" t="str">
            <v>P2K08CL48UB1466</v>
          </cell>
        </row>
        <row r="7603">
          <cell r="D7603" t="str">
            <v>PWS</v>
          </cell>
          <cell r="E7603" t="str">
            <v>P2K08CL48UB1465</v>
          </cell>
        </row>
        <row r="7604">
          <cell r="D7604" t="str">
            <v>PWS</v>
          </cell>
          <cell r="E7604" t="str">
            <v>P2K08CL48UB1463</v>
          </cell>
        </row>
        <row r="7605">
          <cell r="D7605" t="str">
            <v>PWS</v>
          </cell>
          <cell r="E7605" t="str">
            <v>P2K08CL48UB1461</v>
          </cell>
        </row>
        <row r="7606">
          <cell r="D7606" t="str">
            <v>BPN</v>
          </cell>
          <cell r="E7606" t="str">
            <v>PB216S007558</v>
          </cell>
        </row>
        <row r="7607">
          <cell r="D7607" t="str">
            <v>MBD</v>
          </cell>
          <cell r="E7607" t="str">
            <v>UM21BS602293</v>
          </cell>
        </row>
        <row r="7608">
          <cell r="D7608" t="str">
            <v>AOC</v>
          </cell>
          <cell r="E7608" t="str">
            <v>OA217S043741</v>
          </cell>
        </row>
        <row r="7609">
          <cell r="D7609" t="str">
            <v>AOC</v>
          </cell>
          <cell r="E7609" t="str">
            <v>UA213S002580</v>
          </cell>
        </row>
        <row r="7610">
          <cell r="D7610" t="str">
            <v>CPU</v>
          </cell>
          <cell r="E7610" t="str">
            <v>Y944612W10014</v>
          </cell>
        </row>
        <row r="7611">
          <cell r="D7611" t="str">
            <v>CPU</v>
          </cell>
          <cell r="E7611" t="str">
            <v>Y944612W10012</v>
          </cell>
        </row>
        <row r="7612">
          <cell r="D7612" t="str">
            <v>MEM</v>
          </cell>
          <cell r="E7612" t="str">
            <v>T0B400014848CD6660</v>
          </cell>
        </row>
        <row r="7613">
          <cell r="D7613" t="str">
            <v>MEM</v>
          </cell>
          <cell r="E7613" t="str">
            <v>T0B400014848CD6664</v>
          </cell>
        </row>
        <row r="7614">
          <cell r="D7614" t="str">
            <v>MEM</v>
          </cell>
          <cell r="E7614" t="str">
            <v>T0B400014848CD6689</v>
          </cell>
        </row>
        <row r="7615">
          <cell r="D7615" t="str">
            <v>MEM</v>
          </cell>
          <cell r="E7615" t="str">
            <v>T0B400014848CD66A1</v>
          </cell>
        </row>
        <row r="7616">
          <cell r="D7616" t="str">
            <v>MEM</v>
          </cell>
          <cell r="E7616" t="str">
            <v>T0B400014848CD6688</v>
          </cell>
        </row>
        <row r="7617">
          <cell r="D7617" t="str">
            <v>MEM</v>
          </cell>
          <cell r="E7617" t="str">
            <v>T0B400014848CD6686</v>
          </cell>
        </row>
        <row r="7618">
          <cell r="D7618" t="str">
            <v>MEM</v>
          </cell>
          <cell r="E7618" t="str">
            <v>T0B400014848CD66A0</v>
          </cell>
        </row>
        <row r="7619">
          <cell r="D7619" t="str">
            <v>MEM</v>
          </cell>
          <cell r="E7619" t="str">
            <v>T0B400014848CD6680</v>
          </cell>
        </row>
        <row r="7620">
          <cell r="D7620" t="str">
            <v>MEM</v>
          </cell>
          <cell r="E7620" t="str">
            <v>T0B400014848CD6681</v>
          </cell>
        </row>
        <row r="7621">
          <cell r="D7621" t="str">
            <v>MEM</v>
          </cell>
          <cell r="E7621" t="str">
            <v>T0B400014848CD2EDD</v>
          </cell>
        </row>
        <row r="7622">
          <cell r="D7622" t="str">
            <v>MEM</v>
          </cell>
          <cell r="E7622" t="str">
            <v>T0B400014848CD2EF5</v>
          </cell>
        </row>
        <row r="7623">
          <cell r="D7623" t="str">
            <v>MEM</v>
          </cell>
          <cell r="E7623" t="str">
            <v>T0B400014848CD2EC7</v>
          </cell>
        </row>
        <row r="7624">
          <cell r="D7624" t="str">
            <v>MEM</v>
          </cell>
          <cell r="E7624" t="str">
            <v>T0B400014848CD2EDC</v>
          </cell>
        </row>
        <row r="7625">
          <cell r="D7625" t="str">
            <v>MEM</v>
          </cell>
          <cell r="E7625" t="str">
            <v>T0B400014848CD2EF4</v>
          </cell>
        </row>
        <row r="7626">
          <cell r="D7626" t="str">
            <v>MEM</v>
          </cell>
          <cell r="E7626" t="str">
            <v>T0B400014848CD2ED6</v>
          </cell>
        </row>
        <row r="7627">
          <cell r="D7627" t="str">
            <v>MEM</v>
          </cell>
          <cell r="E7627" t="str">
            <v>T0B400014848CD2EDA</v>
          </cell>
        </row>
        <row r="7628">
          <cell r="D7628" t="str">
            <v>GPU</v>
          </cell>
          <cell r="E7628">
            <v>1324821108058</v>
          </cell>
        </row>
        <row r="7629">
          <cell r="D7629" t="str">
            <v>GPU</v>
          </cell>
          <cell r="E7629">
            <v>1325121040306</v>
          </cell>
        </row>
        <row r="7630">
          <cell r="D7630" t="str">
            <v>GPU</v>
          </cell>
          <cell r="E7630">
            <v>1325121041205</v>
          </cell>
        </row>
        <row r="7631">
          <cell r="D7631" t="str">
            <v>GPU</v>
          </cell>
          <cell r="E7631">
            <v>1325121041013</v>
          </cell>
        </row>
        <row r="7632">
          <cell r="D7632" t="str">
            <v>GPU</v>
          </cell>
          <cell r="E7632">
            <v>1325121039580</v>
          </cell>
        </row>
        <row r="7633">
          <cell r="D7633" t="str">
            <v>GPU</v>
          </cell>
          <cell r="E7633">
            <v>1325121040868</v>
          </cell>
        </row>
        <row r="7634">
          <cell r="D7634" t="str">
            <v>HDS</v>
          </cell>
          <cell r="E7634" t="str">
            <v>21433234147F</v>
          </cell>
        </row>
        <row r="7635">
          <cell r="D7635" t="str">
            <v>HDS</v>
          </cell>
          <cell r="E7635" t="str">
            <v>2143323413DD</v>
          </cell>
        </row>
        <row r="7636">
          <cell r="D7636" t="str">
            <v>AS-2113S-WTRT</v>
          </cell>
          <cell r="E7636" t="str">
            <v>E342303X2300973</v>
          </cell>
        </row>
        <row r="7637">
          <cell r="D7637" t="str">
            <v>CSE</v>
          </cell>
          <cell r="E7637" t="str">
            <v>C2130DJ12ND0030</v>
          </cell>
        </row>
        <row r="7638">
          <cell r="D7638" t="str">
            <v>PWS</v>
          </cell>
          <cell r="E7638" t="str">
            <v>P1K2ACJ52HB1441</v>
          </cell>
        </row>
        <row r="7639">
          <cell r="D7639" t="str">
            <v>PWS</v>
          </cell>
          <cell r="E7639" t="str">
            <v>P1K2ACJ52HB1451</v>
          </cell>
        </row>
        <row r="7640">
          <cell r="D7640" t="str">
            <v>BPN</v>
          </cell>
          <cell r="E7640" t="str">
            <v>JB20AS001482</v>
          </cell>
        </row>
        <row r="7641">
          <cell r="D7641" t="str">
            <v>MBD</v>
          </cell>
          <cell r="E7641" t="str">
            <v>WM217S604559</v>
          </cell>
        </row>
        <row r="7642">
          <cell r="D7642" t="str">
            <v>RSC</v>
          </cell>
          <cell r="E7642" t="str">
            <v>VR214S001813</v>
          </cell>
        </row>
        <row r="7643">
          <cell r="D7643" t="str">
            <v>RSC</v>
          </cell>
          <cell r="E7643" t="str">
            <v>VR217S000530</v>
          </cell>
        </row>
        <row r="7644">
          <cell r="D7644" t="str">
            <v>CSE-825TQC-R802LPB</v>
          </cell>
          <cell r="E7644" t="str">
            <v>C8250FL02P20238</v>
          </cell>
          <cell r="K7644" t="str">
            <v>BETANET bogusz</v>
          </cell>
        </row>
        <row r="7645">
          <cell r="D7645" t="str">
            <v>PWS-802A-1R</v>
          </cell>
          <cell r="E7645" t="str">
            <v>P802ACL52CU2728</v>
          </cell>
          <cell r="K7645" t="str">
            <v>BETANET bogusz</v>
          </cell>
        </row>
        <row r="7646">
          <cell r="D7646" t="str">
            <v>PWS-802A-1R</v>
          </cell>
          <cell r="E7646" t="str">
            <v>P802ACL52CU2730</v>
          </cell>
          <cell r="K7646" t="str">
            <v>BETANET bogusz</v>
          </cell>
        </row>
        <row r="7647">
          <cell r="D7647" t="str">
            <v>BPN-SAS3-825TQ</v>
          </cell>
          <cell r="E7647" t="str">
            <v>EB219S023708</v>
          </cell>
          <cell r="K7647" t="str">
            <v>BETANET bogusz</v>
          </cell>
        </row>
        <row r="7648">
          <cell r="D7648" t="str">
            <v>RSC-W2-66</v>
          </cell>
          <cell r="E7648" t="str">
            <v>OR215S001370</v>
          </cell>
        </row>
        <row r="7649">
          <cell r="D7649" t="str">
            <v>RSC-W2-66</v>
          </cell>
          <cell r="E7649" t="str">
            <v>OR215S001371</v>
          </cell>
        </row>
        <row r="7650">
          <cell r="D7650" t="str">
            <v>PWS-1K28P-SQ</v>
          </cell>
          <cell r="E7650" t="str">
            <v>P1K28CE27HB2396</v>
          </cell>
        </row>
        <row r="7651">
          <cell r="D7651" t="str">
            <v>PWS-1K28P-SQ</v>
          </cell>
          <cell r="E7651" t="str">
            <v>P1K28CE27HB2336</v>
          </cell>
        </row>
        <row r="7652">
          <cell r="D7652" t="str">
            <v>PWS-1K28P-SQ</v>
          </cell>
          <cell r="E7652" t="str">
            <v>P1K28CE27HB2399</v>
          </cell>
        </row>
        <row r="7653">
          <cell r="D7653" t="str">
            <v>PWS-1K28P-SQ</v>
          </cell>
          <cell r="E7653" t="str">
            <v>P1K28CE27HB2395</v>
          </cell>
        </row>
        <row r="7654">
          <cell r="D7654" t="str">
            <v>PWS-1K28P-SQ</v>
          </cell>
          <cell r="E7654" t="str">
            <v>P1K28CE27HB2597</v>
          </cell>
        </row>
        <row r="7655">
          <cell r="D7655" t="str">
            <v>HDD-2A600-ST600MP0006</v>
          </cell>
          <cell r="E7655" t="str">
            <v>WAF2P5LT</v>
          </cell>
        </row>
        <row r="7656">
          <cell r="D7656" t="str">
            <v>MEM-DR480L-HL01-EU26</v>
          </cell>
          <cell r="E7656" t="str">
            <v>80AD012139750E5DFD</v>
          </cell>
          <cell r="K7656" t="str">
            <v>SO/2022/005825/A 2z2</v>
          </cell>
        </row>
        <row r="7657">
          <cell r="D7657" t="str">
            <v>MEM-DR480L-HL01-EU26</v>
          </cell>
          <cell r="E7657" t="str">
            <v>80AD012139750E5E09</v>
          </cell>
          <cell r="K7657" t="str">
            <v>SO/2022/005825/A 2z2</v>
          </cell>
        </row>
        <row r="7658">
          <cell r="D7658" t="str">
            <v>MEM-DR480L-HL01-EU26</v>
          </cell>
          <cell r="E7658" t="str">
            <v>80AD012139750E5DF6</v>
          </cell>
          <cell r="K7658" t="str">
            <v>SO/2022/005825/A 1z2</v>
          </cell>
        </row>
        <row r="7659">
          <cell r="D7659" t="str">
            <v>MEM-DR480L-HL01-EU26</v>
          </cell>
          <cell r="E7659" t="str">
            <v>80AD012139750E5DFE</v>
          </cell>
          <cell r="K7659" t="str">
            <v>SO/2022/005825/A 1z2</v>
          </cell>
        </row>
        <row r="7660">
          <cell r="D7660" t="str">
            <v>MBD-X11DPi-NT</v>
          </cell>
          <cell r="E7660" t="str">
            <v>NM219S005122</v>
          </cell>
          <cell r="K7660" t="str">
            <v>BETANET bogusz</v>
          </cell>
        </row>
        <row r="7661">
          <cell r="D7661" t="str">
            <v>0B42266</v>
          </cell>
          <cell r="E7661" t="str">
            <v>VCJZW2RP</v>
          </cell>
        </row>
        <row r="7662">
          <cell r="D7662" t="str">
            <v>0B42266</v>
          </cell>
          <cell r="E7662" t="str">
            <v>VCJZXSMP</v>
          </cell>
        </row>
        <row r="7663">
          <cell r="D7663" t="str">
            <v>0B42266</v>
          </cell>
          <cell r="E7663" t="str">
            <v>VCK002NP</v>
          </cell>
        </row>
        <row r="7664">
          <cell r="D7664" t="str">
            <v>0B42266</v>
          </cell>
          <cell r="E7664" t="str">
            <v>VCJZW4XP</v>
          </cell>
        </row>
        <row r="7665">
          <cell r="D7665" t="str">
            <v>0B42266</v>
          </cell>
          <cell r="E7665" t="str">
            <v>VCK02EWP</v>
          </cell>
        </row>
        <row r="7666">
          <cell r="D7666" t="str">
            <v>0B42266</v>
          </cell>
          <cell r="E7666" t="str">
            <v>VCJZXLZP</v>
          </cell>
        </row>
        <row r="7667">
          <cell r="D7667" t="str">
            <v>0B42266</v>
          </cell>
          <cell r="E7667" t="str">
            <v>VCK00M3P</v>
          </cell>
        </row>
        <row r="7668">
          <cell r="D7668" t="str">
            <v>0B42266</v>
          </cell>
          <cell r="E7668" t="str">
            <v>VCK01RJP</v>
          </cell>
        </row>
        <row r="7669">
          <cell r="D7669" t="str">
            <v>0B42266</v>
          </cell>
          <cell r="E7669" t="str">
            <v>VCK02PBP</v>
          </cell>
        </row>
        <row r="7670">
          <cell r="D7670" t="str">
            <v>P0F30144</v>
          </cell>
          <cell r="E7670" t="str">
            <v>5QJAL4DB</v>
          </cell>
        </row>
        <row r="7671">
          <cell r="D7671" t="str">
            <v>P0F30144</v>
          </cell>
          <cell r="E7671" t="str">
            <v>5QJAV9KB</v>
          </cell>
        </row>
        <row r="7672">
          <cell r="D7672" t="str">
            <v>P0F30144</v>
          </cell>
          <cell r="E7672" t="str">
            <v>5QJAZLSB</v>
          </cell>
        </row>
        <row r="7673">
          <cell r="D7673" t="str">
            <v>P0F30144</v>
          </cell>
          <cell r="E7673" t="str">
            <v>5QJ9PS9B</v>
          </cell>
        </row>
        <row r="7674">
          <cell r="D7674" t="str">
            <v>P0F30144</v>
          </cell>
          <cell r="E7674" t="str">
            <v>5QJARJAB</v>
          </cell>
        </row>
        <row r="7675">
          <cell r="D7675" t="str">
            <v>P0F30144</v>
          </cell>
          <cell r="E7675" t="str">
            <v>5QJAWJRB</v>
          </cell>
        </row>
        <row r="7676">
          <cell r="D7676" t="str">
            <v>P0F30144</v>
          </cell>
          <cell r="E7676" t="str">
            <v>5QJB17RB</v>
          </cell>
        </row>
        <row r="7677">
          <cell r="D7677" t="str">
            <v>P0F30144</v>
          </cell>
          <cell r="E7677" t="str">
            <v>5QJAP4UB</v>
          </cell>
        </row>
        <row r="7678">
          <cell r="D7678" t="str">
            <v>P0F30144</v>
          </cell>
          <cell r="E7678" t="str">
            <v>5QJAVHNB</v>
          </cell>
        </row>
        <row r="7679">
          <cell r="D7679" t="str">
            <v>P0F30144</v>
          </cell>
          <cell r="E7679" t="str">
            <v>5QJAZVUB</v>
          </cell>
        </row>
        <row r="7680">
          <cell r="D7680" t="str">
            <v>P0F30144</v>
          </cell>
          <cell r="E7680" t="str">
            <v>5QJAKMMB</v>
          </cell>
        </row>
        <row r="7681">
          <cell r="D7681" t="str">
            <v>P0F30144</v>
          </cell>
          <cell r="E7681" t="str">
            <v>5QJARZ8B</v>
          </cell>
        </row>
        <row r="7682">
          <cell r="D7682" t="str">
            <v>P0F30144</v>
          </cell>
          <cell r="E7682" t="str">
            <v>5QJAWSVB</v>
          </cell>
        </row>
        <row r="7683">
          <cell r="D7683" t="str">
            <v>P0F30144</v>
          </cell>
          <cell r="E7683" t="str">
            <v>5QJB18AB</v>
          </cell>
        </row>
        <row r="7684">
          <cell r="D7684" t="str">
            <v>P0F30144</v>
          </cell>
          <cell r="E7684" t="str">
            <v>5QJAPLUB</v>
          </cell>
        </row>
        <row r="7685">
          <cell r="D7685" t="str">
            <v>P0F30144</v>
          </cell>
          <cell r="E7685" t="str">
            <v>5QJAVJHB</v>
          </cell>
        </row>
        <row r="7686">
          <cell r="D7686" t="str">
            <v>P0F30144</v>
          </cell>
          <cell r="E7686" t="str">
            <v>5QJB13TB</v>
          </cell>
        </row>
        <row r="7687">
          <cell r="D7687" t="str">
            <v>P0F30144</v>
          </cell>
          <cell r="E7687" t="str">
            <v>5QJAUW3B</v>
          </cell>
        </row>
        <row r="7688">
          <cell r="D7688" t="str">
            <v>P0F30144</v>
          </cell>
          <cell r="E7688" t="str">
            <v>5QJAX9AB</v>
          </cell>
        </row>
        <row r="7689">
          <cell r="D7689" t="str">
            <v>P0F30144</v>
          </cell>
          <cell r="E7689" t="str">
            <v>5QJB49VB</v>
          </cell>
        </row>
        <row r="7690">
          <cell r="D7690" t="str">
            <v>1U4LW-X570D4U/2L2T</v>
          </cell>
          <cell r="E7690" t="str">
            <v>ECS0R8000333</v>
          </cell>
          <cell r="K7690" t="str">
            <v>RO/2021/005541/A #11/12</v>
          </cell>
        </row>
        <row r="7691">
          <cell r="D7691" t="str">
            <v>X570D4U-2L2T</v>
          </cell>
          <cell r="E7691" t="str">
            <v>M80-E5001000127</v>
          </cell>
          <cell r="K7691" t="str">
            <v>RO/2021/005541/A #11/12</v>
          </cell>
        </row>
        <row r="7692">
          <cell r="D7692" t="str">
            <v>1U4LW-X570D4U/2L2T</v>
          </cell>
          <cell r="E7692" t="str">
            <v>ECS0R8000337</v>
          </cell>
          <cell r="K7692" t="str">
            <v>RO/2021/005541/A #12/12</v>
          </cell>
        </row>
        <row r="7693">
          <cell r="D7693" t="str">
            <v>X570D4U-2L2T</v>
          </cell>
          <cell r="E7693" t="str">
            <v>M80-E5001001514</v>
          </cell>
          <cell r="K7693" t="str">
            <v>RO/2021/005541/A #12/12</v>
          </cell>
        </row>
        <row r="7694">
          <cell r="D7694" t="str">
            <v>SSDSC2KG960G801</v>
          </cell>
          <cell r="E7694" t="str">
            <v>PHYG150608TB960CGN</v>
          </cell>
        </row>
        <row r="7695">
          <cell r="D7695" t="str">
            <v>SSDSC2KG960G801</v>
          </cell>
          <cell r="E7695" t="str">
            <v>PHYG150608NK960CGN</v>
          </cell>
        </row>
        <row r="7696">
          <cell r="D7696" t="str">
            <v>SSDSC2KG960G801</v>
          </cell>
          <cell r="E7696" t="str">
            <v>PHYG150608B5960CGN</v>
          </cell>
        </row>
        <row r="7697">
          <cell r="D7697" t="str">
            <v>SSDSC2KG960G801</v>
          </cell>
          <cell r="E7697" t="str">
            <v>PHYG150608EK960CGN</v>
          </cell>
        </row>
        <row r="7698">
          <cell r="D7698" t="str">
            <v>X570D4U</v>
          </cell>
          <cell r="E7698" t="str">
            <v>EBS0XW008749</v>
          </cell>
        </row>
        <row r="7699">
          <cell r="D7699" t="str">
            <v>MZ7L33T8HBNA-00A07</v>
          </cell>
          <cell r="E7699" t="str">
            <v>S6EMNE0RB00834</v>
          </cell>
        </row>
        <row r="7700">
          <cell r="D7700" t="str">
            <v>MZ7L33T8HBNA-00A07</v>
          </cell>
          <cell r="E7700" t="str">
            <v>S6EMNE0RB00141</v>
          </cell>
        </row>
        <row r="7701">
          <cell r="D7701" t="str">
            <v>MZ7L33T8HBNA-00A07</v>
          </cell>
          <cell r="E7701" t="str">
            <v>S6EMNE0RB00837</v>
          </cell>
        </row>
        <row r="7702">
          <cell r="D7702" t="str">
            <v>MZ7L33T8HBNA-00A07</v>
          </cell>
          <cell r="E7702" t="str">
            <v>S6EMNE0RB00243</v>
          </cell>
        </row>
        <row r="7703">
          <cell r="D7703" t="str">
            <v>MZ7L33T8HBNA-00A07</v>
          </cell>
          <cell r="E7703" t="str">
            <v>S6EMNE0RB00226</v>
          </cell>
        </row>
        <row r="7704">
          <cell r="D7704" t="str">
            <v>MZ7L33T8HBNA-00A07</v>
          </cell>
          <cell r="E7704" t="str">
            <v>S6EMNE0RB00227</v>
          </cell>
        </row>
        <row r="7705">
          <cell r="D7705" t="str">
            <v>MZ7L33T8HBNA-00A07</v>
          </cell>
          <cell r="E7705" t="str">
            <v>S6EMNE0RB00279</v>
          </cell>
        </row>
        <row r="7706">
          <cell r="D7706" t="str">
            <v>MZ7L33T8HBNA-00A07</v>
          </cell>
          <cell r="E7706" t="str">
            <v>S6EMNE0RB00234</v>
          </cell>
        </row>
        <row r="7707">
          <cell r="D7707" t="str">
            <v>MZ7L33T8HBNA-00A07</v>
          </cell>
          <cell r="E7707" t="str">
            <v>S6EMNE0RB00235</v>
          </cell>
        </row>
        <row r="7708">
          <cell r="D7708" t="str">
            <v>MZ7L33T8HBNA-00A07</v>
          </cell>
          <cell r="E7708" t="str">
            <v>S6EMNE0RB00180</v>
          </cell>
        </row>
        <row r="7709">
          <cell r="D7709" t="str">
            <v>MZ7L33T8HBNA-00A07</v>
          </cell>
          <cell r="E7709" t="str">
            <v>S6EMNE0RB00181</v>
          </cell>
        </row>
        <row r="7710">
          <cell r="D7710" t="str">
            <v>MZ7L33T8HBNA-00A07</v>
          </cell>
          <cell r="E7710" t="str">
            <v>S6EMNE0RB00185</v>
          </cell>
        </row>
        <row r="7711">
          <cell r="D7711" t="str">
            <v>MZ7L33T8HBNA-00A07</v>
          </cell>
          <cell r="E7711" t="str">
            <v>S6EMNE0RB00182</v>
          </cell>
        </row>
        <row r="7712">
          <cell r="D7712" t="str">
            <v>MZ7L33T8HBNA-00A07</v>
          </cell>
          <cell r="E7712" t="str">
            <v>S6EMNE0RB00183</v>
          </cell>
        </row>
        <row r="7713">
          <cell r="D7713" t="str">
            <v>MZ7L33T8HBNA-00A07</v>
          </cell>
          <cell r="E7713" t="str">
            <v>S6EMNE0RB00188</v>
          </cell>
        </row>
        <row r="7714">
          <cell r="D7714" t="str">
            <v>CD8069504449401 Xeon Gold 6248R</v>
          </cell>
          <cell r="E7714" t="str">
            <v>3146D835</v>
          </cell>
        </row>
        <row r="7715">
          <cell r="D7715" t="str">
            <v>CD8069504449401 Xeon Gold 6248R</v>
          </cell>
          <cell r="E7715" t="str">
            <v>3146D835</v>
          </cell>
        </row>
        <row r="7716">
          <cell r="D7716" t="str">
            <v>CD8069504449401 Xeon Gold 6248R</v>
          </cell>
          <cell r="E7716" t="str">
            <v>3146D835</v>
          </cell>
        </row>
        <row r="7717">
          <cell r="D7717" t="str">
            <v>CD8069504449401 Xeon Gold 6248R</v>
          </cell>
          <cell r="E7717" t="str">
            <v>3146D835</v>
          </cell>
        </row>
        <row r="7718">
          <cell r="D7718" t="str">
            <v>CD8069504449401 Xeon Gold 6248R</v>
          </cell>
          <cell r="E7718" t="str">
            <v>3146D835</v>
          </cell>
        </row>
        <row r="7719">
          <cell r="D7719" t="str">
            <v>CD8069504449401 Xeon Gold 6248R</v>
          </cell>
          <cell r="E7719" t="str">
            <v>3146D835</v>
          </cell>
        </row>
        <row r="7720">
          <cell r="D7720" t="str">
            <v>CD8069504449401 Xeon Gold 6248R</v>
          </cell>
          <cell r="E7720" t="str">
            <v>3146D835</v>
          </cell>
        </row>
        <row r="7721">
          <cell r="D7721" t="str">
            <v>CD8069504449401 Xeon Gold 6248R</v>
          </cell>
          <cell r="E7721" t="str">
            <v>3146D835</v>
          </cell>
        </row>
        <row r="7722">
          <cell r="D7722" t="str">
            <v>CD8069504449401 Xeon Gold 6248R</v>
          </cell>
          <cell r="E7722" t="str">
            <v>3205C818</v>
          </cell>
        </row>
        <row r="7723">
          <cell r="D7723" t="str">
            <v>CD8069504449401 Xeon Gold 6248R</v>
          </cell>
          <cell r="E7723" t="str">
            <v>3205C818</v>
          </cell>
        </row>
        <row r="7724">
          <cell r="D7724" t="str">
            <v>CD8069504449200 Xeon Silver 4215R</v>
          </cell>
          <cell r="E7724" t="str">
            <v>3201F550</v>
          </cell>
        </row>
        <row r="7725">
          <cell r="D7725" t="str">
            <v>CD8069504449200 Xeon Silver 4215R</v>
          </cell>
          <cell r="E7725" t="str">
            <v>3201F550</v>
          </cell>
        </row>
        <row r="7726">
          <cell r="D7726" t="str">
            <v>CD8069504449200 Xeon Silver 4215R</v>
          </cell>
          <cell r="E7726" t="str">
            <v>3201F550</v>
          </cell>
        </row>
        <row r="7727">
          <cell r="D7727" t="str">
            <v>CD8069504449200 Xeon Silver 4215R</v>
          </cell>
          <cell r="E7727" t="str">
            <v>3201F550</v>
          </cell>
        </row>
        <row r="7728">
          <cell r="D7728" t="str">
            <v>CD8069504449200 Xeon Silver 4215R</v>
          </cell>
          <cell r="E7728" t="str">
            <v>3201F550</v>
          </cell>
        </row>
        <row r="7729">
          <cell r="D7729" t="str">
            <v>CD8069504449200 Xeon Silver 4215R</v>
          </cell>
          <cell r="E7729" t="str">
            <v>3201F550</v>
          </cell>
        </row>
        <row r="7730">
          <cell r="D7730" t="str">
            <v>CD8069504449200 Xeon Silver 4215R</v>
          </cell>
          <cell r="E7730" t="str">
            <v>3201F550</v>
          </cell>
        </row>
        <row r="7731">
          <cell r="D7731" t="str">
            <v>CD8069504449200 Xeon Silver 4215R</v>
          </cell>
          <cell r="E7731" t="str">
            <v>3201F550</v>
          </cell>
        </row>
        <row r="7732">
          <cell r="D7732" t="str">
            <v>CD8069504449200 Xeon Silver 4215R</v>
          </cell>
          <cell r="E7732" t="str">
            <v>3201F550</v>
          </cell>
        </row>
        <row r="7733">
          <cell r="D7733" t="str">
            <v>CD8069504449200 Xeon Silver 4215R</v>
          </cell>
          <cell r="E7733" t="str">
            <v>3201F550</v>
          </cell>
        </row>
        <row r="7734">
          <cell r="D7734" t="str">
            <v>CD8069504449200 Xeon Silver 4215R</v>
          </cell>
          <cell r="E7734" t="str">
            <v>3202D724</v>
          </cell>
        </row>
        <row r="7735">
          <cell r="D7735" t="str">
            <v>CD8069504449200 Xeon Silver 4215R</v>
          </cell>
          <cell r="E7735" t="str">
            <v>3202D724</v>
          </cell>
        </row>
        <row r="7736">
          <cell r="D7736" t="str">
            <v>CD8069504449200 Xeon Silver 4215R</v>
          </cell>
          <cell r="E7736" t="str">
            <v>3202D724</v>
          </cell>
        </row>
        <row r="7737">
          <cell r="D7737" t="str">
            <v>CD8069504449200 Xeon Silver 4215R</v>
          </cell>
          <cell r="E7737" t="str">
            <v>3202D724</v>
          </cell>
        </row>
        <row r="7738">
          <cell r="D7738" t="str">
            <v>CD8069504449200 Xeon Silver 4215R</v>
          </cell>
          <cell r="E7738" t="str">
            <v>3202D724</v>
          </cell>
        </row>
        <row r="7739">
          <cell r="D7739" t="str">
            <v>CD8069504449200 Xeon Silver 4215R</v>
          </cell>
          <cell r="E7739" t="str">
            <v>3202D724</v>
          </cell>
        </row>
        <row r="7740">
          <cell r="D7740" t="str">
            <v>CD8069504449200 Xeon Silver 4215R</v>
          </cell>
          <cell r="E7740" t="str">
            <v>3202D724</v>
          </cell>
        </row>
        <row r="7741">
          <cell r="D7741" t="str">
            <v>CD8069504449200 Xeon Silver 4215R</v>
          </cell>
          <cell r="E7741" t="str">
            <v>3202D724</v>
          </cell>
        </row>
        <row r="7742">
          <cell r="D7742" t="str">
            <v>CD8069504449200 Xeon Silver 4215R</v>
          </cell>
          <cell r="E7742" t="str">
            <v>3202D724</v>
          </cell>
        </row>
        <row r="7743">
          <cell r="D7743" t="str">
            <v>CD8069504449200 Xeon Silver 4215R</v>
          </cell>
          <cell r="E7743" t="str">
            <v>3202D724</v>
          </cell>
        </row>
        <row r="7744">
          <cell r="D7744" t="str">
            <v>CD8069504449200 Xeon Silver 4215R</v>
          </cell>
          <cell r="E7744" t="str">
            <v>3202D724</v>
          </cell>
        </row>
        <row r="7745">
          <cell r="D7745" t="str">
            <v>CD8069504449200 Xeon Silver 4215R</v>
          </cell>
          <cell r="E7745" t="str">
            <v>3202D724</v>
          </cell>
        </row>
        <row r="7746">
          <cell r="D7746" t="str">
            <v>CD8069504449200 Xeon Silver 4215R</v>
          </cell>
          <cell r="E7746" t="str">
            <v>3202D724</v>
          </cell>
        </row>
        <row r="7747">
          <cell r="D7747" t="str">
            <v>CD8069504449200 Xeon Silver 4215R</v>
          </cell>
          <cell r="E7747" t="str">
            <v>3202D724</v>
          </cell>
        </row>
        <row r="7748">
          <cell r="D7748" t="str">
            <v>CD8069504449200 Xeon Silver 4215R</v>
          </cell>
          <cell r="E7748" t="str">
            <v>3202D724</v>
          </cell>
        </row>
        <row r="7749">
          <cell r="D7749" t="str">
            <v>CD8069504449200 Xeon Silver 4215R</v>
          </cell>
          <cell r="E7749" t="str">
            <v>3202D724</v>
          </cell>
        </row>
        <row r="7750">
          <cell r="D7750" t="str">
            <v>CD8069504449200 Xeon Silver 4215R</v>
          </cell>
          <cell r="E7750" t="str">
            <v>3202D724</v>
          </cell>
        </row>
        <row r="7751">
          <cell r="D7751" t="str">
            <v>CD8069504449200 Xeon Silver 4215R</v>
          </cell>
          <cell r="E7751" t="str">
            <v>3202D724</v>
          </cell>
        </row>
        <row r="7752">
          <cell r="D7752" t="str">
            <v>CD8069504449200 Xeon Silver 4215R</v>
          </cell>
          <cell r="E7752" t="str">
            <v>3202D724</v>
          </cell>
        </row>
        <row r="7753">
          <cell r="D7753" t="str">
            <v>CD8069504449200 Xeon Silver 4215R</v>
          </cell>
          <cell r="E7753" t="str">
            <v>3202D724</v>
          </cell>
        </row>
        <row r="7754">
          <cell r="D7754" t="str">
            <v>CD8069504446300 Xeon Gold 5218R</v>
          </cell>
          <cell r="E7754" t="str">
            <v>72RD820700484  2902790E4FB05C72RGZ7</v>
          </cell>
        </row>
        <row r="7755">
          <cell r="D7755" t="str">
            <v>CD8069504446300 Xeon Gold 5218R</v>
          </cell>
          <cell r="E7755" t="str">
            <v>72RD820700871 291B6A0E75F2E986RGZ7</v>
          </cell>
        </row>
        <row r="7756">
          <cell r="D7756" t="str">
            <v>MZ7L3480HCHQ-00A07</v>
          </cell>
          <cell r="E7756" t="str">
            <v>S664NE0RC32638</v>
          </cell>
        </row>
        <row r="7757">
          <cell r="D7757" t="str">
            <v>MZ7L3480HCHQ-00A07</v>
          </cell>
          <cell r="E7757" t="str">
            <v>S664NE0RC32460</v>
          </cell>
        </row>
        <row r="7758">
          <cell r="D7758" t="str">
            <v>MZ7L3480HCHQ-00A07</v>
          </cell>
          <cell r="E7758" t="str">
            <v>S664NE0RC32461</v>
          </cell>
        </row>
        <row r="7759">
          <cell r="D7759" t="str">
            <v>MZ7L3480HCHQ-00A07</v>
          </cell>
          <cell r="E7759" t="str">
            <v>S664NE0RC32471</v>
          </cell>
        </row>
        <row r="7760">
          <cell r="D7760" t="str">
            <v>MZ7L3480HCHQ-00A07</v>
          </cell>
          <cell r="E7760" t="str">
            <v>S664NE0RC32468</v>
          </cell>
        </row>
        <row r="7761">
          <cell r="D7761" t="str">
            <v>MZ7L3480HCHQ-00A07</v>
          </cell>
          <cell r="E7761" t="str">
            <v>S664NE0RC32463</v>
          </cell>
        </row>
        <row r="7762">
          <cell r="D7762" t="str">
            <v>MZ7L3480HCHQ-00A07</v>
          </cell>
          <cell r="E7762" t="str">
            <v>S664NE0RC32641</v>
          </cell>
        </row>
        <row r="7763">
          <cell r="D7763" t="str">
            <v>MZ7L3480HCHQ-00A07</v>
          </cell>
          <cell r="E7763" t="str">
            <v>S664NE0RC32644</v>
          </cell>
        </row>
        <row r="7764">
          <cell r="D7764" t="str">
            <v>MZ7L3480HCHQ-00A07</v>
          </cell>
          <cell r="E7764" t="str">
            <v>S664NE0RC32639</v>
          </cell>
        </row>
        <row r="7765">
          <cell r="D7765" t="str">
            <v>MZ7L3480HCHQ-00A07</v>
          </cell>
          <cell r="E7765" t="str">
            <v>S664NE0RC32643</v>
          </cell>
        </row>
        <row r="7766">
          <cell r="D7766" t="str">
            <v>MZ7L3480HCHQ-00A07</v>
          </cell>
          <cell r="E7766" t="str">
            <v>S664NE0RC32642</v>
          </cell>
        </row>
        <row r="7767">
          <cell r="D7767" t="str">
            <v>MZ7L3480HCHQ-00A07</v>
          </cell>
          <cell r="E7767" t="str">
            <v>S664NE0RC32635</v>
          </cell>
        </row>
        <row r="7768">
          <cell r="D7768" t="str">
            <v>AMD RYZEN 9 5900X</v>
          </cell>
          <cell r="E7768" t="str">
            <v>9LA0897M20199</v>
          </cell>
          <cell r="K7768" t="str">
            <v>RO/2021/005541/A #11/12</v>
          </cell>
        </row>
        <row r="7769">
          <cell r="D7769" t="str">
            <v>AMD RYZEN 9 5900X</v>
          </cell>
          <cell r="E7769" t="str">
            <v>9LA0897M20096</v>
          </cell>
          <cell r="K7769" t="str">
            <v>RO/2021/005541/A #12/12</v>
          </cell>
        </row>
        <row r="7770">
          <cell r="D7770" t="str">
            <v>M393A2K43DB3-CWE</v>
          </cell>
          <cell r="E7770" t="str">
            <v>SNL289</v>
          </cell>
          <cell r="K7770" t="str">
            <v>BETANET bogusz</v>
          </cell>
        </row>
        <row r="7771">
          <cell r="D7771" t="str">
            <v xml:space="preserve">M393A2K43DB3-CWE </v>
          </cell>
          <cell r="E7771" t="str">
            <v>SNL290</v>
          </cell>
          <cell r="K7771" t="str">
            <v>BETANET bogusz</v>
          </cell>
        </row>
        <row r="7772">
          <cell r="D7772" t="str">
            <v>OCE14104B-NX</v>
          </cell>
          <cell r="E7772" t="str">
            <v>FC71142359</v>
          </cell>
        </row>
        <row r="7773">
          <cell r="D7773" t="str">
            <v>CD8069504449401 Xeon Gold 6248R</v>
          </cell>
          <cell r="E7773" t="str">
            <v>3207F216</v>
          </cell>
        </row>
        <row r="7774">
          <cell r="D7774" t="str">
            <v>CD8069504449401 Xeon Gold 6248R</v>
          </cell>
          <cell r="E7774" t="str">
            <v>3207F216</v>
          </cell>
        </row>
        <row r="7775">
          <cell r="D7775" t="str">
            <v>CD8069504449401 Xeon Gold 6248R</v>
          </cell>
          <cell r="E7775" t="str">
            <v>3207F216</v>
          </cell>
        </row>
        <row r="7776">
          <cell r="D7776" t="str">
            <v>CD8069504449401 Xeon Gold 6248R</v>
          </cell>
          <cell r="E7776" t="str">
            <v>3207F216</v>
          </cell>
        </row>
        <row r="7777">
          <cell r="D7777" t="str">
            <v>CD8069504449401 Xeon Gold 6248R</v>
          </cell>
          <cell r="E7777" t="str">
            <v>3207F216</v>
          </cell>
        </row>
        <row r="7778">
          <cell r="D7778" t="str">
            <v>CD8069504449401 Xeon Gold 6248R</v>
          </cell>
          <cell r="E7778" t="str">
            <v>3207F216</v>
          </cell>
        </row>
        <row r="7779">
          <cell r="D7779" t="str">
            <v>CD8069504449401 Xeon Gold 6248R</v>
          </cell>
          <cell r="E7779" t="str">
            <v>3207F216</v>
          </cell>
        </row>
        <row r="7780">
          <cell r="D7780" t="str">
            <v>CD8069504449401 Xeon Gold 6248R</v>
          </cell>
          <cell r="E7780" t="str">
            <v>3207F216</v>
          </cell>
        </row>
        <row r="7781">
          <cell r="D7781" t="str">
            <v>CD8069504449401 Xeon Gold 6248R</v>
          </cell>
          <cell r="E7781" t="str">
            <v>3207F216</v>
          </cell>
        </row>
        <row r="7782">
          <cell r="D7782" t="str">
            <v>CD8069504449401 Xeon Gold 6248R</v>
          </cell>
          <cell r="E7782" t="str">
            <v>3207F216</v>
          </cell>
        </row>
        <row r="7783">
          <cell r="D7783" t="str">
            <v>CD8069504449401 Xeon Gold 6248R</v>
          </cell>
          <cell r="E7783" t="str">
            <v>3207F216</v>
          </cell>
        </row>
        <row r="7784">
          <cell r="D7784" t="str">
            <v>CD8069504449401 Xeon Gold 6248R</v>
          </cell>
          <cell r="E7784" t="str">
            <v>3207F216</v>
          </cell>
        </row>
        <row r="7785">
          <cell r="D7785" t="str">
            <v>CD8069504449401 Xeon Gold 6248R</v>
          </cell>
          <cell r="E7785" t="str">
            <v>3207F216</v>
          </cell>
        </row>
        <row r="7786">
          <cell r="D7786" t="str">
            <v>CD8069504449401 Xeon Gold 6248R</v>
          </cell>
          <cell r="E7786" t="str">
            <v>3207F216</v>
          </cell>
        </row>
        <row r="7787">
          <cell r="D7787" t="str">
            <v>CD8069504449401 Xeon Gold 6248R</v>
          </cell>
          <cell r="E7787" t="str">
            <v>3207F216</v>
          </cell>
        </row>
        <row r="7788">
          <cell r="D7788" t="str">
            <v>CD8069504449401 Xeon Gold 6248R</v>
          </cell>
          <cell r="E7788" t="str">
            <v>3207F216</v>
          </cell>
        </row>
        <row r="7789">
          <cell r="D7789" t="str">
            <v>CD8069504449401 Xeon Gold 6248R</v>
          </cell>
          <cell r="E7789" t="str">
            <v>3207F216</v>
          </cell>
        </row>
        <row r="7790">
          <cell r="D7790" t="str">
            <v>CD8069504449401 Xeon Gold 6248R</v>
          </cell>
          <cell r="E7790" t="str">
            <v>3207F216</v>
          </cell>
        </row>
        <row r="7791">
          <cell r="D7791" t="str">
            <v>CD8069504449401 Xeon Gold 6248R</v>
          </cell>
          <cell r="E7791" t="str">
            <v>3207F216</v>
          </cell>
        </row>
        <row r="7792">
          <cell r="D7792" t="str">
            <v>CD8069504449401 Xeon Gold 6248R</v>
          </cell>
          <cell r="E7792" t="str">
            <v>3207F216</v>
          </cell>
        </row>
        <row r="7793">
          <cell r="D7793" t="str">
            <v>MG07ACA14TE</v>
          </cell>
          <cell r="E7793" t="str">
            <v>71D0A02LF94G</v>
          </cell>
        </row>
        <row r="7794">
          <cell r="D7794" t="str">
            <v>Xeon Gold 6226R</v>
          </cell>
          <cell r="E7794" t="str">
            <v>26A8ABBF591A0932RGZC  71KM644901028</v>
          </cell>
        </row>
        <row r="7795">
          <cell r="D7795" t="str">
            <v>MZ7L37T6HBLA-00A07</v>
          </cell>
          <cell r="E7795" t="str">
            <v>S6EPNE0T200437</v>
          </cell>
        </row>
        <row r="7796">
          <cell r="D7796" t="str">
            <v>MZ7L37T6HBLA-00A07</v>
          </cell>
          <cell r="E7796" t="str">
            <v>S6EPNE0T200427</v>
          </cell>
        </row>
        <row r="7797">
          <cell r="D7797" t="str">
            <v>MegaRaid 9361-8i  05-25420-08</v>
          </cell>
          <cell r="E7797" t="str">
            <v>SKB1281909</v>
          </cell>
        </row>
        <row r="7798">
          <cell r="D7798" t="str">
            <v>SYS-E300-9D-4CN8TP</v>
          </cell>
          <cell r="E7798" t="str">
            <v>E349395X2301916</v>
          </cell>
        </row>
        <row r="7799">
          <cell r="D7799" t="str">
            <v>CSE</v>
          </cell>
          <cell r="E7799" t="str">
            <v>CE300AK34A50354</v>
          </cell>
        </row>
        <row r="7800">
          <cell r="D7800" t="str">
            <v>MBD</v>
          </cell>
          <cell r="E7800" t="str">
            <v>WM222S003623</v>
          </cell>
        </row>
        <row r="7801">
          <cell r="D7801" t="str">
            <v>MEM</v>
          </cell>
          <cell r="E7801" t="str">
            <v>80AD0221312492427F</v>
          </cell>
        </row>
        <row r="7802">
          <cell r="D7802" t="str">
            <v>MEM</v>
          </cell>
          <cell r="E7802" t="str">
            <v>80AD02213124924276</v>
          </cell>
        </row>
        <row r="7803">
          <cell r="D7803" t="str">
            <v>HDS</v>
          </cell>
          <cell r="E7803" t="str">
            <v>21CY1095YRU1</v>
          </cell>
        </row>
        <row r="7804">
          <cell r="D7804" t="str">
            <v>HDS</v>
          </cell>
          <cell r="E7804" t="str">
            <v>S45NNA0T136411</v>
          </cell>
        </row>
        <row r="7805">
          <cell r="D7805" t="str">
            <v>SYS-E300-9D-4CN8TP</v>
          </cell>
          <cell r="E7805" t="str">
            <v>E349395X2301912</v>
          </cell>
        </row>
        <row r="7806">
          <cell r="D7806" t="str">
            <v>CSE</v>
          </cell>
          <cell r="E7806" t="str">
            <v>CE300AK34A50350</v>
          </cell>
        </row>
        <row r="7807">
          <cell r="D7807" t="str">
            <v>MBD</v>
          </cell>
          <cell r="E7807" t="str">
            <v>WM222S003592</v>
          </cell>
        </row>
        <row r="7808">
          <cell r="D7808" t="str">
            <v>MEM</v>
          </cell>
          <cell r="E7808" t="str">
            <v>80AD02213124924C9E</v>
          </cell>
        </row>
        <row r="7809">
          <cell r="D7809" t="str">
            <v>MEM</v>
          </cell>
          <cell r="E7809" t="str">
            <v>80AD02213124924D0D</v>
          </cell>
        </row>
        <row r="7810">
          <cell r="D7810" t="str">
            <v>HDS</v>
          </cell>
          <cell r="E7810" t="str">
            <v>21CY1090YRU1</v>
          </cell>
        </row>
        <row r="7811">
          <cell r="D7811" t="str">
            <v>HDS</v>
          </cell>
          <cell r="E7811" t="str">
            <v>S45NNA0T136887</v>
          </cell>
        </row>
        <row r="7812">
          <cell r="D7812" t="str">
            <v>SYS-E300-9D-4CN8TP</v>
          </cell>
          <cell r="E7812" t="str">
            <v>E349395X2301918</v>
          </cell>
        </row>
        <row r="7813">
          <cell r="D7813" t="str">
            <v>CSE</v>
          </cell>
          <cell r="E7813" t="str">
            <v>CE300AK34A50357</v>
          </cell>
        </row>
        <row r="7814">
          <cell r="D7814" t="str">
            <v>MBD</v>
          </cell>
          <cell r="E7814" t="str">
            <v>WM222S003621</v>
          </cell>
        </row>
        <row r="7815">
          <cell r="D7815" t="str">
            <v>MEM</v>
          </cell>
          <cell r="E7815" t="str">
            <v>80AD02213124924C84</v>
          </cell>
        </row>
        <row r="7816">
          <cell r="D7816" t="str">
            <v>MEM</v>
          </cell>
          <cell r="E7816" t="str">
            <v>80AD02213124924C25</v>
          </cell>
        </row>
        <row r="7817">
          <cell r="D7817" t="str">
            <v>HDS</v>
          </cell>
          <cell r="E7817" t="str">
            <v>21CY1098YRU1</v>
          </cell>
        </row>
        <row r="7818">
          <cell r="D7818" t="str">
            <v>HDS</v>
          </cell>
          <cell r="E7818" t="str">
            <v>S45NNA0T136883</v>
          </cell>
        </row>
        <row r="7819">
          <cell r="D7819" t="str">
            <v>SYS-E300-9D-4CN8TP</v>
          </cell>
          <cell r="E7819" t="str">
            <v>E349395X2301915</v>
          </cell>
        </row>
        <row r="7820">
          <cell r="D7820" t="str">
            <v>CSE</v>
          </cell>
          <cell r="E7820" t="str">
            <v>CE300AK34A50352</v>
          </cell>
        </row>
        <row r="7821">
          <cell r="D7821" t="str">
            <v>MBD</v>
          </cell>
          <cell r="E7821" t="str">
            <v>WM221S013136</v>
          </cell>
        </row>
        <row r="7822">
          <cell r="D7822" t="str">
            <v>MEM</v>
          </cell>
          <cell r="E7822" t="str">
            <v>80AD022131249242C7</v>
          </cell>
        </row>
        <row r="7823">
          <cell r="D7823" t="str">
            <v>MEM</v>
          </cell>
          <cell r="E7823" t="str">
            <v>80AD022131249242D7</v>
          </cell>
        </row>
        <row r="7824">
          <cell r="D7824" t="str">
            <v>HDS</v>
          </cell>
          <cell r="E7824" t="str">
            <v>21CY1094YRU1</v>
          </cell>
        </row>
        <row r="7825">
          <cell r="D7825" t="str">
            <v>HDS</v>
          </cell>
          <cell r="E7825" t="str">
            <v>S45NNA0T136456</v>
          </cell>
        </row>
        <row r="7826">
          <cell r="D7826" t="str">
            <v>SYS-E300-9D-4CN8TP</v>
          </cell>
          <cell r="E7826" t="str">
            <v>E349395X2301913</v>
          </cell>
        </row>
        <row r="7827">
          <cell r="D7827" t="str">
            <v>CSE</v>
          </cell>
          <cell r="E7827" t="str">
            <v>CE300AK34A50333</v>
          </cell>
        </row>
        <row r="7828">
          <cell r="D7828" t="str">
            <v>MBD</v>
          </cell>
          <cell r="E7828" t="str">
            <v>WM222S003577</v>
          </cell>
        </row>
        <row r="7829">
          <cell r="D7829" t="str">
            <v>MEM</v>
          </cell>
          <cell r="E7829" t="str">
            <v>80AD022131249242D0</v>
          </cell>
        </row>
        <row r="7830">
          <cell r="D7830" t="str">
            <v>MEM</v>
          </cell>
          <cell r="E7830" t="str">
            <v>80AD022131249242DE</v>
          </cell>
        </row>
        <row r="7831">
          <cell r="D7831" t="str">
            <v>HDS</v>
          </cell>
          <cell r="E7831" t="str">
            <v>21CY1091YRU1</v>
          </cell>
        </row>
        <row r="7832">
          <cell r="D7832" t="str">
            <v>HDS</v>
          </cell>
          <cell r="E7832" t="str">
            <v>S45NNA0T136452</v>
          </cell>
        </row>
        <row r="7833">
          <cell r="D7833" t="str">
            <v>SYS-E300-9D-4CN8TP</v>
          </cell>
          <cell r="E7833" t="str">
            <v>E349395X2301922</v>
          </cell>
        </row>
        <row r="7834">
          <cell r="D7834" t="str">
            <v>CSE</v>
          </cell>
          <cell r="E7834" t="str">
            <v>CE300AK34A50335</v>
          </cell>
        </row>
        <row r="7835">
          <cell r="D7835" t="str">
            <v>MBD</v>
          </cell>
          <cell r="E7835" t="str">
            <v>WM222S003344</v>
          </cell>
        </row>
        <row r="7836">
          <cell r="D7836" t="str">
            <v>MEM</v>
          </cell>
          <cell r="E7836" t="str">
            <v>80AD02213124924C7A</v>
          </cell>
        </row>
        <row r="7837">
          <cell r="D7837" t="str">
            <v>MEM</v>
          </cell>
          <cell r="E7837" t="str">
            <v>80AD02213124924C95</v>
          </cell>
        </row>
        <row r="7838">
          <cell r="D7838" t="str">
            <v>HDS</v>
          </cell>
          <cell r="E7838" t="str">
            <v>21CY108RYRU1</v>
          </cell>
        </row>
        <row r="7839">
          <cell r="D7839" t="str">
            <v>HDS</v>
          </cell>
          <cell r="E7839" t="str">
            <v>S45NNA0T136893</v>
          </cell>
        </row>
        <row r="7840">
          <cell r="D7840" t="str">
            <v>SYS-E300-9D-4CN8TP</v>
          </cell>
          <cell r="E7840" t="str">
            <v>E349395X2301914</v>
          </cell>
        </row>
        <row r="7841">
          <cell r="D7841" t="str">
            <v>CSE</v>
          </cell>
          <cell r="E7841" t="str">
            <v>CE300AK34A50334</v>
          </cell>
        </row>
        <row r="7842">
          <cell r="D7842" t="str">
            <v>MBD</v>
          </cell>
          <cell r="E7842" t="str">
            <v>WM222S003548</v>
          </cell>
        </row>
        <row r="7843">
          <cell r="D7843" t="str">
            <v>MEM</v>
          </cell>
          <cell r="E7843" t="str">
            <v>80AD02213124924D04</v>
          </cell>
        </row>
        <row r="7844">
          <cell r="D7844" t="str">
            <v>MEM</v>
          </cell>
          <cell r="E7844" t="str">
            <v>80AD02213124924C14</v>
          </cell>
        </row>
        <row r="7845">
          <cell r="D7845" t="str">
            <v>HDS</v>
          </cell>
          <cell r="E7845" t="str">
            <v>21CY1093YRU1</v>
          </cell>
        </row>
        <row r="7846">
          <cell r="D7846" t="str">
            <v>HDS</v>
          </cell>
          <cell r="E7846" t="str">
            <v>S45NNA0T136454</v>
          </cell>
        </row>
        <row r="7847">
          <cell r="D7847" t="str">
            <v>SYS-E300-9D-4CN8TP</v>
          </cell>
          <cell r="E7847" t="str">
            <v>E349395X2301917</v>
          </cell>
        </row>
        <row r="7848">
          <cell r="D7848" t="str">
            <v>CSE</v>
          </cell>
          <cell r="E7848" t="str">
            <v>CE300AK06A50008</v>
          </cell>
        </row>
        <row r="7849">
          <cell r="D7849" t="str">
            <v>MBD</v>
          </cell>
          <cell r="E7849" t="str">
            <v>WM222S003565</v>
          </cell>
        </row>
        <row r="7850">
          <cell r="D7850" t="str">
            <v>MEM</v>
          </cell>
          <cell r="E7850" t="str">
            <v>80AD02213124924C75</v>
          </cell>
        </row>
        <row r="7851">
          <cell r="D7851" t="str">
            <v>MEM</v>
          </cell>
          <cell r="E7851" t="str">
            <v>80AD02213124924C7E</v>
          </cell>
        </row>
        <row r="7852">
          <cell r="D7852" t="str">
            <v>HDS</v>
          </cell>
          <cell r="E7852" t="str">
            <v>21CY1092YRU1</v>
          </cell>
        </row>
        <row r="7853">
          <cell r="D7853" t="str">
            <v>HDS</v>
          </cell>
          <cell r="E7853" t="str">
            <v>S45NNA0T136892</v>
          </cell>
        </row>
        <row r="7854">
          <cell r="D7854" t="str">
            <v>SYS-E300-9D-4CN8TP</v>
          </cell>
          <cell r="E7854" t="str">
            <v>E349395X2301911</v>
          </cell>
        </row>
        <row r="7855">
          <cell r="D7855" t="str">
            <v>CSE</v>
          </cell>
          <cell r="E7855" t="str">
            <v>CE300AK34A50356</v>
          </cell>
        </row>
        <row r="7856">
          <cell r="D7856" t="str">
            <v>MBD</v>
          </cell>
          <cell r="E7856" t="str">
            <v>WM222S003488</v>
          </cell>
        </row>
        <row r="7857">
          <cell r="D7857" t="str">
            <v>MEM</v>
          </cell>
          <cell r="E7857" t="str">
            <v>80AD022131249242D6</v>
          </cell>
        </row>
        <row r="7858">
          <cell r="D7858" t="str">
            <v>MEM</v>
          </cell>
          <cell r="E7858" t="str">
            <v>80AD022131249242CF</v>
          </cell>
        </row>
        <row r="7859">
          <cell r="D7859" t="str">
            <v>HDS</v>
          </cell>
          <cell r="E7859" t="str">
            <v>21CY108YYRU1</v>
          </cell>
        </row>
        <row r="7860">
          <cell r="D7860" t="str">
            <v>HDS</v>
          </cell>
          <cell r="E7860" t="str">
            <v>S45NNA0T136889</v>
          </cell>
        </row>
        <row r="7861">
          <cell r="D7861" t="str">
            <v>SYS-E300-9D-4CN8TP</v>
          </cell>
          <cell r="E7861" t="str">
            <v>E349395X2301923</v>
          </cell>
        </row>
        <row r="7862">
          <cell r="D7862" t="str">
            <v>CSE</v>
          </cell>
          <cell r="E7862" t="str">
            <v>CE300AK34A50331</v>
          </cell>
        </row>
        <row r="7863">
          <cell r="D7863" t="str">
            <v>MBD</v>
          </cell>
          <cell r="E7863" t="str">
            <v>WM222S003613</v>
          </cell>
        </row>
        <row r="7864">
          <cell r="D7864" t="str">
            <v>MEM</v>
          </cell>
          <cell r="E7864" t="str">
            <v>80AD02213124924C8A</v>
          </cell>
        </row>
        <row r="7865">
          <cell r="D7865" t="str">
            <v>MEM</v>
          </cell>
          <cell r="E7865" t="str">
            <v>80AD02213124924C8B</v>
          </cell>
        </row>
        <row r="7866">
          <cell r="D7866" t="str">
            <v>HDS</v>
          </cell>
          <cell r="E7866" t="str">
            <v>21CY109BYRU1</v>
          </cell>
        </row>
        <row r="7867">
          <cell r="D7867" t="str">
            <v>HDS</v>
          </cell>
          <cell r="E7867" t="str">
            <v>S45NNA0T136453</v>
          </cell>
        </row>
        <row r="7868">
          <cell r="D7868" t="str">
            <v>SYS-E300-9D-4CN8TP</v>
          </cell>
          <cell r="E7868" t="str">
            <v>E349395X2301919</v>
          </cell>
        </row>
        <row r="7869">
          <cell r="D7869" t="str">
            <v>CSE</v>
          </cell>
          <cell r="E7869" t="str">
            <v>CE300AK34A50332</v>
          </cell>
        </row>
        <row r="7870">
          <cell r="D7870" t="str">
            <v>MBD</v>
          </cell>
          <cell r="E7870" t="str">
            <v>WM222S003628</v>
          </cell>
        </row>
        <row r="7871">
          <cell r="D7871" t="str">
            <v>MEM</v>
          </cell>
          <cell r="E7871" t="str">
            <v>80AD02213124924C15</v>
          </cell>
        </row>
        <row r="7872">
          <cell r="D7872" t="str">
            <v>MEM</v>
          </cell>
          <cell r="E7872" t="str">
            <v>80AD02213124924C18</v>
          </cell>
        </row>
        <row r="7873">
          <cell r="D7873" t="str">
            <v>HDS</v>
          </cell>
          <cell r="E7873" t="str">
            <v>21CY1096YRU1</v>
          </cell>
        </row>
        <row r="7874">
          <cell r="D7874" t="str">
            <v>HDS</v>
          </cell>
          <cell r="E7874" t="str">
            <v>S45NNA0T136886</v>
          </cell>
        </row>
        <row r="7875">
          <cell r="D7875" t="str">
            <v>SYS-E300-9D-4CN8TP</v>
          </cell>
          <cell r="E7875" t="str">
            <v>E349395X2301921</v>
          </cell>
        </row>
        <row r="7876">
          <cell r="D7876" t="str">
            <v>CSE</v>
          </cell>
          <cell r="E7876" t="str">
            <v>CE300AK34A50349</v>
          </cell>
        </row>
        <row r="7877">
          <cell r="D7877" t="str">
            <v>MBD</v>
          </cell>
          <cell r="E7877" t="str">
            <v>WM222S003495</v>
          </cell>
        </row>
        <row r="7878">
          <cell r="D7878" t="str">
            <v>MEM</v>
          </cell>
          <cell r="E7878" t="str">
            <v>80AD02213124924C7D</v>
          </cell>
        </row>
        <row r="7879">
          <cell r="D7879" t="str">
            <v>MEM</v>
          </cell>
          <cell r="E7879" t="str">
            <v>80AD02213124924C4B</v>
          </cell>
        </row>
        <row r="7880">
          <cell r="D7880" t="str">
            <v>HDS</v>
          </cell>
          <cell r="E7880" t="str">
            <v>21CY1099YRU1</v>
          </cell>
        </row>
        <row r="7881">
          <cell r="D7881" t="str">
            <v>HDS</v>
          </cell>
          <cell r="E7881" t="str">
            <v>S45NNA0T136455</v>
          </cell>
        </row>
        <row r="7882">
          <cell r="D7882" t="str">
            <v>SYS-E300-9D-4CN8TP</v>
          </cell>
          <cell r="E7882" t="str">
            <v>E349395X2301920</v>
          </cell>
        </row>
        <row r="7883">
          <cell r="D7883" t="str">
            <v>CSE</v>
          </cell>
          <cell r="E7883" t="str">
            <v>CE300AK34A50336</v>
          </cell>
        </row>
        <row r="7884">
          <cell r="D7884" t="str">
            <v>MBD</v>
          </cell>
          <cell r="E7884" t="str">
            <v>WM222S003579</v>
          </cell>
        </row>
        <row r="7885">
          <cell r="D7885" t="str">
            <v>MEM</v>
          </cell>
          <cell r="E7885" t="str">
            <v>80AD02213124924C89</v>
          </cell>
        </row>
        <row r="7886">
          <cell r="D7886" t="str">
            <v>MEM</v>
          </cell>
          <cell r="E7886" t="str">
            <v>80AD02213124924C83</v>
          </cell>
        </row>
        <row r="7887">
          <cell r="D7887" t="str">
            <v>HDS</v>
          </cell>
          <cell r="E7887" t="str">
            <v>21CY1097YRU1</v>
          </cell>
        </row>
        <row r="7888">
          <cell r="D7888" t="str">
            <v>HDS</v>
          </cell>
          <cell r="E7888" t="str">
            <v>S45NNA0T136888</v>
          </cell>
        </row>
        <row r="7889">
          <cell r="D7889" t="str">
            <v>SYS-E300-9D-4CN8TP</v>
          </cell>
          <cell r="E7889" t="str">
            <v>E349395X2301924</v>
          </cell>
        </row>
        <row r="7890">
          <cell r="D7890" t="str">
            <v>CSE</v>
          </cell>
          <cell r="E7890" t="str">
            <v>CE300AK34A50351</v>
          </cell>
        </row>
        <row r="7891">
          <cell r="D7891" t="str">
            <v>MBD</v>
          </cell>
          <cell r="E7891" t="str">
            <v>WM222S003615</v>
          </cell>
        </row>
        <row r="7892">
          <cell r="D7892" t="str">
            <v>MEM</v>
          </cell>
          <cell r="E7892" t="str">
            <v>80AD02213124924C7C</v>
          </cell>
        </row>
        <row r="7893">
          <cell r="D7893" t="str">
            <v>MEM</v>
          </cell>
          <cell r="E7893" t="str">
            <v>80AD02213124924C8C</v>
          </cell>
        </row>
        <row r="7894">
          <cell r="D7894" t="str">
            <v>HDS</v>
          </cell>
          <cell r="E7894" t="str">
            <v>21CY109AYRU1</v>
          </cell>
        </row>
        <row r="7895">
          <cell r="D7895" t="str">
            <v>HDS</v>
          </cell>
          <cell r="E7895" t="str">
            <v>S45NNA0T136882</v>
          </cell>
        </row>
        <row r="7896">
          <cell r="D7896" t="str">
            <v>SYS-E300-9D-4CN8TP</v>
          </cell>
          <cell r="E7896" t="str">
            <v>E349395X2301910</v>
          </cell>
          <cell r="K7896" t="str">
            <v>AWARIA</v>
          </cell>
        </row>
        <row r="7897">
          <cell r="D7897" t="str">
            <v>CSE</v>
          </cell>
          <cell r="E7897" t="str">
            <v>CE300AK34A50353</v>
          </cell>
        </row>
        <row r="7898">
          <cell r="D7898" t="str">
            <v>MBD</v>
          </cell>
          <cell r="E7898" t="str">
            <v>WM222S003486</v>
          </cell>
        </row>
        <row r="7899">
          <cell r="D7899" t="str">
            <v>MEM</v>
          </cell>
          <cell r="E7899" t="str">
            <v>80AD0221312492428D</v>
          </cell>
        </row>
        <row r="7900">
          <cell r="D7900" t="str">
            <v>MEM</v>
          </cell>
          <cell r="E7900" t="str">
            <v>80AD022131249242D8</v>
          </cell>
        </row>
        <row r="7901">
          <cell r="D7901" t="str">
            <v>HDS</v>
          </cell>
          <cell r="E7901" t="str">
            <v>21CY108ZYRU1</v>
          </cell>
        </row>
        <row r="7902">
          <cell r="D7902" t="str">
            <v>HDS</v>
          </cell>
          <cell r="E7902" t="str">
            <v>S45NNA0T136451</v>
          </cell>
        </row>
        <row r="7903">
          <cell r="D7903" t="str">
            <v>SYS-5019A-FTN4</v>
          </cell>
          <cell r="E7903" t="str">
            <v>E286201X2200926</v>
          </cell>
        </row>
        <row r="7904">
          <cell r="D7904" t="str">
            <v>CSE</v>
          </cell>
          <cell r="E7904" t="str">
            <v>C5050LK36NG0119</v>
          </cell>
        </row>
        <row r="7905">
          <cell r="D7905" t="str">
            <v>PWS</v>
          </cell>
          <cell r="E7905" t="str">
            <v>P20310L34G35204</v>
          </cell>
        </row>
        <row r="7906">
          <cell r="D7906" t="str">
            <v>MBD</v>
          </cell>
          <cell r="E7906" t="str">
            <v>NM21AS001350</v>
          </cell>
        </row>
        <row r="7907">
          <cell r="D7907" t="str">
            <v>RSC</v>
          </cell>
          <cell r="E7907" t="str">
            <v>VR215S020475</v>
          </cell>
        </row>
        <row r="7908">
          <cell r="D7908" t="str">
            <v>SYS-5019A-FTN4</v>
          </cell>
          <cell r="E7908" t="str">
            <v>E286201X2200959</v>
          </cell>
        </row>
        <row r="7909">
          <cell r="D7909" t="str">
            <v>CSE</v>
          </cell>
          <cell r="E7909" t="str">
            <v>C5050LK36NG0107</v>
          </cell>
        </row>
        <row r="7910">
          <cell r="D7910" t="str">
            <v>PWS</v>
          </cell>
          <cell r="E7910" t="str">
            <v>P20310L34G35232</v>
          </cell>
        </row>
        <row r="7911">
          <cell r="D7911" t="str">
            <v>MBD</v>
          </cell>
          <cell r="E7911" t="str">
            <v>NM21AS001404</v>
          </cell>
        </row>
        <row r="7912">
          <cell r="D7912" t="str">
            <v>RSC</v>
          </cell>
          <cell r="E7912" t="str">
            <v>VR215S020462</v>
          </cell>
        </row>
        <row r="7913">
          <cell r="D7913" t="str">
            <v>SYS-5019A-FTN4</v>
          </cell>
          <cell r="E7913" t="str">
            <v>E286201X2200938</v>
          </cell>
        </row>
        <row r="7914">
          <cell r="D7914" t="str">
            <v>CSE</v>
          </cell>
          <cell r="E7914" t="str">
            <v>C5050LK36NG0122</v>
          </cell>
        </row>
        <row r="7915">
          <cell r="D7915" t="str">
            <v>PWS</v>
          </cell>
          <cell r="E7915" t="str">
            <v>P20310L34G35214</v>
          </cell>
        </row>
        <row r="7916">
          <cell r="D7916" t="str">
            <v>MBD</v>
          </cell>
          <cell r="E7916" t="str">
            <v>NM21AS001387</v>
          </cell>
        </row>
        <row r="7917">
          <cell r="D7917" t="str">
            <v>RSC</v>
          </cell>
          <cell r="E7917" t="str">
            <v>VR215S019902</v>
          </cell>
        </row>
        <row r="7918">
          <cell r="D7918" t="str">
            <v>SYS-5019A-FTN4</v>
          </cell>
          <cell r="E7918" t="str">
            <v>E286201X2200904</v>
          </cell>
        </row>
        <row r="7919">
          <cell r="D7919" t="str">
            <v>CSE</v>
          </cell>
          <cell r="E7919" t="str">
            <v>C5050LK36NG0121</v>
          </cell>
        </row>
        <row r="7920">
          <cell r="D7920" t="str">
            <v>PWS</v>
          </cell>
          <cell r="E7920" t="str">
            <v>P20310L34G35207</v>
          </cell>
        </row>
        <row r="7921">
          <cell r="D7921" t="str">
            <v>MBD</v>
          </cell>
          <cell r="E7921" t="str">
            <v>NM21AS001383</v>
          </cell>
        </row>
        <row r="7922">
          <cell r="D7922" t="str">
            <v>RSC</v>
          </cell>
          <cell r="E7922" t="str">
            <v>VR215S019915</v>
          </cell>
        </row>
        <row r="7923">
          <cell r="D7923" t="str">
            <v>CSE-116AC2-R706WB2</v>
          </cell>
          <cell r="E7923" t="str">
            <v>C1160LK26P50091</v>
          </cell>
        </row>
        <row r="7924">
          <cell r="D7924" t="str">
            <v>PWS-1K28P-SQ</v>
          </cell>
          <cell r="E7924" t="str">
            <v>P1K28CE36HB2452</v>
          </cell>
        </row>
        <row r="7925">
          <cell r="D7925" t="str">
            <v>PWS-1K28P-SQ</v>
          </cell>
          <cell r="E7925" t="str">
            <v>P1K28CE36HB2337</v>
          </cell>
        </row>
        <row r="7926">
          <cell r="D7926" t="str">
            <v>PWS-1K28P-SQ</v>
          </cell>
          <cell r="E7926" t="str">
            <v>P1K28CE36HB2447</v>
          </cell>
        </row>
        <row r="7927">
          <cell r="D7927" t="str">
            <v>MBD-X11SPL-F-O</v>
          </cell>
          <cell r="E7927" t="str">
            <v>ZM21CS024874</v>
          </cell>
        </row>
        <row r="7928">
          <cell r="D7928" t="str">
            <v>MBD-X11SPL-F-O</v>
          </cell>
          <cell r="E7928" t="str">
            <v>ZM21CS025348</v>
          </cell>
        </row>
        <row r="7929">
          <cell r="D7929" t="str">
            <v>MBD-X11SPL-F-O</v>
          </cell>
          <cell r="E7929" t="str">
            <v>ZM21CS025322</v>
          </cell>
        </row>
        <row r="7930">
          <cell r="D7930" t="str">
            <v>MBD-X11SPL-F-O</v>
          </cell>
          <cell r="E7930" t="str">
            <v>ZM21CS025234</v>
          </cell>
        </row>
        <row r="7931">
          <cell r="D7931" t="str">
            <v>MBD-X11SPL-F-O</v>
          </cell>
          <cell r="E7931" t="str">
            <v>ZM21CS025311</v>
          </cell>
        </row>
        <row r="7932">
          <cell r="D7932" t="str">
            <v>RSC-R1UW-2E16</v>
          </cell>
          <cell r="E7932" t="str">
            <v>VR217S022762</v>
          </cell>
        </row>
        <row r="7933">
          <cell r="D7933" t="str">
            <v>RSC-R1UW-2E16</v>
          </cell>
          <cell r="E7933" t="str">
            <v>VR217S022763</v>
          </cell>
        </row>
        <row r="7934">
          <cell r="D7934" t="str">
            <v>RSC-R1UW-2E16</v>
          </cell>
          <cell r="E7934" t="str">
            <v>VR217S022764</v>
          </cell>
        </row>
        <row r="7935">
          <cell r="D7935" t="str">
            <v>RSC-R1UW-2E16</v>
          </cell>
          <cell r="E7935" t="str">
            <v>VR217S022765</v>
          </cell>
        </row>
        <row r="7936">
          <cell r="D7936" t="str">
            <v>RSC-R1UW-2E16</v>
          </cell>
          <cell r="E7936" t="str">
            <v>VR217S022766</v>
          </cell>
        </row>
        <row r="7937">
          <cell r="D7937" t="str">
            <v>RSC-R1UW-2E16</v>
          </cell>
          <cell r="E7937" t="str">
            <v>VR217S022767</v>
          </cell>
        </row>
        <row r="7938">
          <cell r="D7938" t="str">
            <v>RSC-R1UW-2E16</v>
          </cell>
          <cell r="E7938" t="str">
            <v>VR217S022768</v>
          </cell>
        </row>
        <row r="7939">
          <cell r="D7939" t="str">
            <v>RSC-R1UW-2E16</v>
          </cell>
          <cell r="E7939" t="str">
            <v>VR217S022769</v>
          </cell>
        </row>
        <row r="7940">
          <cell r="D7940" t="str">
            <v>RSC-R1UW-2E16</v>
          </cell>
          <cell r="E7940" t="str">
            <v>VR217S022770</v>
          </cell>
        </row>
        <row r="7941">
          <cell r="D7941" t="str">
            <v>RSC-R1UW-2E16</v>
          </cell>
          <cell r="E7941" t="str">
            <v>VR217S022771</v>
          </cell>
        </row>
        <row r="7942">
          <cell r="D7942" t="str">
            <v>RSC-R1UW-2E16</v>
          </cell>
          <cell r="E7942" t="str">
            <v>VR217S022789</v>
          </cell>
        </row>
        <row r="7943">
          <cell r="D7943" t="str">
            <v>RSC-R1UW-2E16</v>
          </cell>
          <cell r="E7943" t="str">
            <v>VR217S022788</v>
          </cell>
        </row>
        <row r="7944">
          <cell r="D7944" t="str">
            <v>RSC-R1UW-2E16</v>
          </cell>
          <cell r="E7944" t="str">
            <v>VR217S022787</v>
          </cell>
        </row>
        <row r="7945">
          <cell r="D7945" t="str">
            <v>RSC-R1UW-2E16</v>
          </cell>
          <cell r="E7945" t="str">
            <v>VR217S022786</v>
          </cell>
        </row>
        <row r="7946">
          <cell r="D7946" t="str">
            <v>RSC-R1UW-2E16</v>
          </cell>
          <cell r="E7946" t="str">
            <v>VR217S022785</v>
          </cell>
        </row>
        <row r="7947">
          <cell r="D7947" t="str">
            <v>RSC-R1UW-2E16</v>
          </cell>
          <cell r="E7947" t="str">
            <v>VR217S022784</v>
          </cell>
        </row>
        <row r="7948">
          <cell r="D7948" t="str">
            <v>RSC-R1UW-2E16</v>
          </cell>
          <cell r="E7948" t="str">
            <v>VR217S022783</v>
          </cell>
        </row>
        <row r="7949">
          <cell r="D7949" t="str">
            <v>RSC-R1UW-2E16</v>
          </cell>
          <cell r="E7949" t="str">
            <v>VR217S022782</v>
          </cell>
        </row>
        <row r="7950">
          <cell r="D7950" t="str">
            <v>RSC-R1UW-2E16</v>
          </cell>
          <cell r="E7950" t="str">
            <v>VR217S022781</v>
          </cell>
        </row>
        <row r="7951">
          <cell r="D7951" t="str">
            <v>RSC-R1UW-2E16</v>
          </cell>
          <cell r="E7951" t="str">
            <v>VR217S022780</v>
          </cell>
        </row>
        <row r="7952">
          <cell r="D7952" t="str">
            <v>RSC-R1UW-2E16</v>
          </cell>
          <cell r="E7952" t="str">
            <v>VR217S022731</v>
          </cell>
        </row>
        <row r="7953">
          <cell r="D7953" t="str">
            <v>RSC-R1UW-2E16</v>
          </cell>
          <cell r="E7953" t="str">
            <v>VR217S022732</v>
          </cell>
        </row>
        <row r="7954">
          <cell r="D7954" t="str">
            <v>RSC-R1UW-2E16</v>
          </cell>
          <cell r="E7954" t="str">
            <v>VR217S022733</v>
          </cell>
        </row>
        <row r="7955">
          <cell r="D7955" t="str">
            <v>RSC-R1UW-2E16</v>
          </cell>
          <cell r="E7955" t="str">
            <v>VR217S022734</v>
          </cell>
        </row>
        <row r="7956">
          <cell r="D7956" t="str">
            <v>RSC-R1UW-2E16</v>
          </cell>
          <cell r="E7956" t="str">
            <v>VR217S022735</v>
          </cell>
        </row>
        <row r="7957">
          <cell r="D7957" t="str">
            <v>RSC-R1UW-2E16</v>
          </cell>
          <cell r="E7957" t="str">
            <v>VR217S022736</v>
          </cell>
        </row>
        <row r="7958">
          <cell r="D7958" t="str">
            <v>RSC-R1UW-2E16</v>
          </cell>
          <cell r="E7958" t="str">
            <v>VR217S022737</v>
          </cell>
        </row>
        <row r="7959">
          <cell r="D7959" t="str">
            <v>RSC-R1UW-2E16</v>
          </cell>
          <cell r="E7959" t="str">
            <v>VR217S022738</v>
          </cell>
        </row>
        <row r="7960">
          <cell r="D7960" t="str">
            <v>RSC-R1UW-2E16</v>
          </cell>
          <cell r="E7960" t="str">
            <v>VR217S022739</v>
          </cell>
        </row>
        <row r="7961">
          <cell r="D7961" t="str">
            <v>RSC-R1UW-2E16</v>
          </cell>
          <cell r="E7961" t="str">
            <v>VR217S022740</v>
          </cell>
        </row>
        <row r="7962">
          <cell r="D7962" t="str">
            <v>RSC-R1UW-2E16</v>
          </cell>
          <cell r="E7962" t="str">
            <v>VR217S022741</v>
          </cell>
        </row>
        <row r="7963">
          <cell r="D7963" t="str">
            <v>RSC-R1UW-2E16</v>
          </cell>
          <cell r="E7963" t="str">
            <v>VR217S022742</v>
          </cell>
        </row>
        <row r="7964">
          <cell r="D7964" t="str">
            <v>RSC-R1UW-2E16</v>
          </cell>
          <cell r="E7964" t="str">
            <v>VR217S022743</v>
          </cell>
        </row>
        <row r="7965">
          <cell r="D7965" t="str">
            <v>RSC-R1UW-2E16</v>
          </cell>
          <cell r="E7965" t="str">
            <v>VR217S022744</v>
          </cell>
        </row>
        <row r="7966">
          <cell r="D7966" t="str">
            <v>RSC-R1UW-2E16</v>
          </cell>
          <cell r="E7966" t="str">
            <v>VR217S022745</v>
          </cell>
        </row>
        <row r="7967">
          <cell r="D7967" t="str">
            <v>RSC-R1UW-2E16</v>
          </cell>
          <cell r="E7967" t="str">
            <v>VR217S022760</v>
          </cell>
        </row>
        <row r="7968">
          <cell r="D7968" t="str">
            <v>RSC-R1UW-2E16</v>
          </cell>
          <cell r="E7968" t="str">
            <v>VR217S022759</v>
          </cell>
        </row>
        <row r="7969">
          <cell r="D7969" t="str">
            <v>RSC-R1UW-2E16</v>
          </cell>
          <cell r="E7969" t="str">
            <v>VR217S022758</v>
          </cell>
        </row>
        <row r="7970">
          <cell r="D7970" t="str">
            <v>RSC-R1UW-2E16</v>
          </cell>
          <cell r="E7970" t="str">
            <v>VR217S022757</v>
          </cell>
        </row>
        <row r="7971">
          <cell r="D7971" t="str">
            <v>RSC-R1UW-2E16</v>
          </cell>
          <cell r="E7971" t="str">
            <v>VR217S022756</v>
          </cell>
        </row>
        <row r="7972">
          <cell r="D7972" t="str">
            <v>RSC-R1UW-2E16</v>
          </cell>
          <cell r="E7972" t="str">
            <v>VR217S022755</v>
          </cell>
        </row>
        <row r="7973">
          <cell r="D7973" t="str">
            <v>RSC-R1UW-2E16</v>
          </cell>
          <cell r="E7973" t="str">
            <v>VR217S022754</v>
          </cell>
        </row>
        <row r="7974">
          <cell r="D7974" t="str">
            <v>RSC-R1UW-2E16</v>
          </cell>
          <cell r="E7974" t="str">
            <v>VR217S022753</v>
          </cell>
        </row>
        <row r="7975">
          <cell r="D7975" t="str">
            <v>RSC-R1UW-2E16</v>
          </cell>
          <cell r="E7975" t="str">
            <v>VR217S022752</v>
          </cell>
        </row>
        <row r="7976">
          <cell r="D7976" t="str">
            <v>RSC-R1UW-2E16</v>
          </cell>
          <cell r="E7976" t="str">
            <v>VR217S022751</v>
          </cell>
        </row>
        <row r="7977">
          <cell r="D7977" t="str">
            <v>RSC-R1UW-2E16</v>
          </cell>
          <cell r="E7977" t="str">
            <v>VR217S022750</v>
          </cell>
        </row>
        <row r="7978">
          <cell r="D7978" t="str">
            <v>RSC-R1UW-2E16</v>
          </cell>
          <cell r="E7978" t="str">
            <v>VR217S022749</v>
          </cell>
        </row>
        <row r="7979">
          <cell r="D7979" t="str">
            <v>RSC-R1UW-2E16</v>
          </cell>
          <cell r="E7979" t="str">
            <v>VR217S022748</v>
          </cell>
        </row>
        <row r="7980">
          <cell r="D7980" t="str">
            <v>RSC-R1UW-2E16</v>
          </cell>
          <cell r="E7980" t="str">
            <v>VR217S022747</v>
          </cell>
        </row>
        <row r="7981">
          <cell r="D7981" t="str">
            <v>RSC-R1UW-2E16</v>
          </cell>
          <cell r="E7981" t="str">
            <v>VR217S022746</v>
          </cell>
        </row>
        <row r="7982">
          <cell r="D7982" t="str">
            <v>MEM-DR480L-HL01-EU26</v>
          </cell>
          <cell r="E7982" t="str">
            <v>80AD012138750D877F</v>
          </cell>
        </row>
        <row r="7983">
          <cell r="D7983" t="str">
            <v>MBD-X10DRW-I-B</v>
          </cell>
          <cell r="E7983" t="str">
            <v>OM21BS048180</v>
          </cell>
        </row>
        <row r="7984">
          <cell r="D7984" t="str">
            <v>MBD-X10DRW-I-B</v>
          </cell>
          <cell r="E7984" t="str">
            <v>OM21BS047671</v>
          </cell>
        </row>
        <row r="7985">
          <cell r="D7985" t="str">
            <v>MBD-X10DRW-I-B</v>
          </cell>
          <cell r="E7985" t="str">
            <v>OM21BS048201</v>
          </cell>
        </row>
        <row r="7986">
          <cell r="D7986" t="str">
            <v>MBD-X10DRW-I-B</v>
          </cell>
          <cell r="E7986" t="str">
            <v>OM21BS047672</v>
          </cell>
        </row>
        <row r="7987">
          <cell r="D7987" t="str">
            <v>MBD-X10DRW-I-B</v>
          </cell>
          <cell r="E7987" t="str">
            <v>OM21BS048171</v>
          </cell>
        </row>
        <row r="7988">
          <cell r="D7988" t="str">
            <v>RSC-R2UW-2E8R</v>
          </cell>
          <cell r="E7988" t="str">
            <v>VR217S000553</v>
          </cell>
        </row>
        <row r="7989">
          <cell r="D7989" t="str">
            <v>RSC-R2UW-2E8R</v>
          </cell>
          <cell r="E7989" t="str">
            <v>VR217S000552</v>
          </cell>
        </row>
        <row r="7990">
          <cell r="D7990" t="str">
            <v>RSC-R2UW-2E8R</v>
          </cell>
          <cell r="E7990" t="str">
            <v>VR217S000549</v>
          </cell>
        </row>
        <row r="7991">
          <cell r="D7991" t="str">
            <v>RSC-R2UW-2E8R</v>
          </cell>
          <cell r="E7991" t="str">
            <v>VR217S000550</v>
          </cell>
        </row>
        <row r="7992">
          <cell r="D7992" t="str">
            <v>RSC-R2UW-2E8R</v>
          </cell>
          <cell r="E7992" t="str">
            <v>VR217S000556</v>
          </cell>
        </row>
        <row r="7993">
          <cell r="D7993" t="str">
            <v>XXV710DA2BLK</v>
          </cell>
          <cell r="E7993" t="str">
            <v>40A6B74081A00040522FZJ48306003</v>
          </cell>
        </row>
        <row r="7994">
          <cell r="D7994" t="str">
            <v>XXV710DA2BLK</v>
          </cell>
          <cell r="E7994" t="str">
            <v>40A6B74086800040522FZJ48306003</v>
          </cell>
        </row>
        <row r="7995">
          <cell r="D7995" t="str">
            <v>XXV710DA2BLK</v>
          </cell>
          <cell r="E7995" t="str">
            <v>40A6B74081C80040522FZJ48306003</v>
          </cell>
        </row>
        <row r="7996">
          <cell r="D7996" t="str">
            <v>XXV710DA2BLK</v>
          </cell>
          <cell r="E7996" t="str">
            <v>40A6B74081480040522FZJ48306003</v>
          </cell>
        </row>
        <row r="7997">
          <cell r="D7997" t="str">
            <v>XXV710DA2BLK</v>
          </cell>
          <cell r="E7997" t="str">
            <v>40A6B74086AC0040522FZJ48306003</v>
          </cell>
        </row>
        <row r="7998">
          <cell r="D7998" t="str">
            <v>CD8069503956401 Xeon Silver 4208</v>
          </cell>
          <cell r="E7998" t="str">
            <v>5622956D80E16126RFBM      723E78T601041</v>
          </cell>
        </row>
        <row r="7999">
          <cell r="D7999" t="str">
            <v>CD8069503956401 Xeon Silver 4208</v>
          </cell>
          <cell r="E7999" t="str">
            <v>56228DED476C1E3ERFBM    721G6H3201460</v>
          </cell>
        </row>
        <row r="8000">
          <cell r="D8000" t="str">
            <v>CD8069503956401 Xeon Silver 4208</v>
          </cell>
          <cell r="E8000" t="str">
            <v>565ED40E9D8EA033RFBM    723E78T600150</v>
          </cell>
        </row>
        <row r="8001">
          <cell r="D8001" t="str">
            <v>CD8069503956401 Xeon Silver 4208</v>
          </cell>
          <cell r="E8001" t="str">
            <v>56229EEDC30F7F7CRFBM    721G6H3201487</v>
          </cell>
        </row>
        <row r="8002">
          <cell r="D8002" t="str">
            <v>CD8069503956401 Xeon Silver 4208</v>
          </cell>
          <cell r="E8002" t="str">
            <v>563DC50ECD22AFB5RFBM   723E78T600190</v>
          </cell>
        </row>
        <row r="8003">
          <cell r="D8003" t="str">
            <v>CD8069503956401 Xeon Silver 4208</v>
          </cell>
          <cell r="E8003" t="str">
            <v>5676926D5ECA896DRFBM    723E78T600467</v>
          </cell>
        </row>
        <row r="8004">
          <cell r="D8004" t="str">
            <v>CD8069503956401 Xeon Silver 4208</v>
          </cell>
          <cell r="E8004" t="str">
            <v>567C93ED164FA03ERFBM    723E78T600224</v>
          </cell>
        </row>
        <row r="8005">
          <cell r="D8005" t="str">
            <v>CD8069503956401 Xeon Silver 4208</v>
          </cell>
          <cell r="E8005" t="str">
            <v>561CD90E5749CDB7RFBM  723E78T600189</v>
          </cell>
        </row>
        <row r="8006">
          <cell r="D8006" t="str">
            <v>CD8069503956401 Xeon Silver 4208</v>
          </cell>
          <cell r="E8006" t="str">
            <v>567FB30E0DA03C7ARFBM    723E78T600129</v>
          </cell>
        </row>
        <row r="8007">
          <cell r="D8007" t="str">
            <v>CD8069503956401 Xeon Silver 4208</v>
          </cell>
          <cell r="E8007" t="str">
            <v>5653A1ED7E201A2ERFBM    721G6H3201463</v>
          </cell>
        </row>
        <row r="8008">
          <cell r="D8008" t="str">
            <v>CD8069503956401 Xeon Silver 4208</v>
          </cell>
          <cell r="E8008" t="str">
            <v>563DC00E154F92E0RFBM    723E78T600694</v>
          </cell>
        </row>
        <row r="8009">
          <cell r="D8009" t="str">
            <v>CD8069503956401 Xeon Silver 4208</v>
          </cell>
          <cell r="E8009" t="str">
            <v>5614BD0E4D68AD88RFBM    721G6H3201597</v>
          </cell>
        </row>
        <row r="8010">
          <cell r="D8010" t="str">
            <v>CD8069503956401 Xeon Silver 4208</v>
          </cell>
          <cell r="E8010" t="str">
            <v>563DBB0E13B0ECA7RFBM    721G6H3201598</v>
          </cell>
        </row>
        <row r="8011">
          <cell r="D8011" t="str">
            <v>NVME SFF-8643</v>
          </cell>
          <cell r="E8011" t="str">
            <v>LR9349L26C0355</v>
          </cell>
        </row>
        <row r="8012">
          <cell r="D8012" t="str">
            <v>MZ7L3480HCHQ-00A07</v>
          </cell>
          <cell r="E8012" t="str">
            <v>S664NE0RC32208</v>
          </cell>
        </row>
        <row r="8013">
          <cell r="D8013" t="str">
            <v>MZ7L3480HCHQ-00A07</v>
          </cell>
          <cell r="E8013" t="str">
            <v>S664NE0RC32215</v>
          </cell>
        </row>
        <row r="8014">
          <cell r="D8014" t="str">
            <v>MZ7L3480HCHQ-00A07</v>
          </cell>
          <cell r="E8014" t="str">
            <v>S664NE0RC32216</v>
          </cell>
        </row>
        <row r="8015">
          <cell r="D8015" t="str">
            <v>MZ7L3480HCHQ-00A07</v>
          </cell>
          <cell r="E8015" t="str">
            <v>S664NE0RC32211</v>
          </cell>
        </row>
        <row r="8016">
          <cell r="D8016" t="str">
            <v>MZ7L3480HCHQ-00A07</v>
          </cell>
          <cell r="E8016" t="str">
            <v>S664NE0RC32104</v>
          </cell>
        </row>
        <row r="8017">
          <cell r="D8017" t="str">
            <v>MZ7L3480HCHQ-00A07</v>
          </cell>
          <cell r="E8017" t="str">
            <v>S664NE0RC32100</v>
          </cell>
        </row>
        <row r="8018">
          <cell r="D8018" t="str">
            <v>MZ7L3480HCHQ-00A07</v>
          </cell>
          <cell r="E8018" t="str">
            <v>S664NE0RC32546</v>
          </cell>
        </row>
        <row r="8019">
          <cell r="D8019" t="str">
            <v>MZ7L3480HCHQ-00A07</v>
          </cell>
          <cell r="E8019" t="str">
            <v>S664NE0RC32547</v>
          </cell>
        </row>
        <row r="8020">
          <cell r="D8020" t="str">
            <v>MZ7L3480HCHQ-00A07</v>
          </cell>
          <cell r="E8020" t="str">
            <v>S664NE0RC32551</v>
          </cell>
        </row>
        <row r="8021">
          <cell r="D8021" t="str">
            <v>MZ7L3480HCHQ-00A07</v>
          </cell>
          <cell r="E8021" t="str">
            <v>S664NE0RC32555</v>
          </cell>
        </row>
        <row r="8022">
          <cell r="D8022" t="str">
            <v>MZ7L3480HCHQ-00A07</v>
          </cell>
          <cell r="E8022" t="str">
            <v>S664NE0RC32558</v>
          </cell>
        </row>
        <row r="8023">
          <cell r="D8023" t="str">
            <v>MZ7L3480HCHQ-00A07</v>
          </cell>
          <cell r="E8023" t="str">
            <v>S664NE0RC32369</v>
          </cell>
        </row>
        <row r="8024">
          <cell r="D8024" t="str">
            <v>MZ7L3480HCHQ-00A07</v>
          </cell>
          <cell r="E8024" t="str">
            <v>S664NE0RC32503</v>
          </cell>
        </row>
        <row r="8025">
          <cell r="D8025" t="str">
            <v>MZ7L3480HCHQ-00A07</v>
          </cell>
          <cell r="E8025" t="str">
            <v>S664NE0RC32504</v>
          </cell>
        </row>
        <row r="8026">
          <cell r="D8026" t="str">
            <v>MZ7L3480HCHQ-00A07</v>
          </cell>
          <cell r="E8026" t="str">
            <v>S664NE0RC32499</v>
          </cell>
        </row>
        <row r="8027">
          <cell r="D8027" t="str">
            <v>MZ7L3480HCHQ-00A07</v>
          </cell>
          <cell r="E8027" t="str">
            <v>S664NE0RC32506</v>
          </cell>
        </row>
        <row r="8028">
          <cell r="D8028" t="str">
            <v>MZ7L3480HCHQ-00A07</v>
          </cell>
          <cell r="E8028" t="str">
            <v>S664NE0RC32507</v>
          </cell>
        </row>
        <row r="8029">
          <cell r="D8029" t="str">
            <v>MZ7L3480HCHQ-00A07</v>
          </cell>
          <cell r="E8029" t="str">
            <v>S664NE0RC32502</v>
          </cell>
        </row>
        <row r="8030">
          <cell r="D8030" t="str">
            <v>MZ7L3480HCHQ-00A07</v>
          </cell>
          <cell r="E8030" t="str">
            <v>S664NE0RC32624</v>
          </cell>
        </row>
        <row r="8031">
          <cell r="D8031" t="str">
            <v>MZ7L3480HCHQ-00A07</v>
          </cell>
          <cell r="E8031" t="str">
            <v>S664NE0RC32629</v>
          </cell>
        </row>
        <row r="8032">
          <cell r="D8032" t="str">
            <v>MZ7L3480HCHQ-00A07</v>
          </cell>
          <cell r="E8032" t="str">
            <v>S664NE0RC32626</v>
          </cell>
        </row>
        <row r="8033">
          <cell r="D8033" t="str">
            <v>MZ7L3480HCHQ-00A07</v>
          </cell>
          <cell r="E8033" t="str">
            <v>S664NE0RC32628</v>
          </cell>
        </row>
        <row r="8034">
          <cell r="D8034" t="str">
            <v>MZ7L3480HCHQ-00A07</v>
          </cell>
          <cell r="E8034" t="str">
            <v>S664NE0RC32622</v>
          </cell>
        </row>
        <row r="8035">
          <cell r="D8035" t="str">
            <v>MZ7L3480HCHQ-00A07</v>
          </cell>
          <cell r="E8035" t="str">
            <v>S664NE0RC32630</v>
          </cell>
        </row>
        <row r="8036">
          <cell r="D8036" t="str">
            <v>MZ7L3480HCHQ-00A07</v>
          </cell>
          <cell r="E8036" t="str">
            <v>S664NE0RC32631</v>
          </cell>
        </row>
        <row r="8037">
          <cell r="D8037" t="str">
            <v>MZ7L3480HCHQ-00A07</v>
          </cell>
          <cell r="E8037" t="str">
            <v>S664NE0RC32625</v>
          </cell>
        </row>
        <row r="8038">
          <cell r="D8038" t="str">
            <v>MZ7L3480HCHQ-00A07</v>
          </cell>
          <cell r="E8038" t="str">
            <v>S664NE0RC32633</v>
          </cell>
        </row>
        <row r="8039">
          <cell r="D8039" t="str">
            <v>MZ7L3480HCHQ-00A07</v>
          </cell>
          <cell r="E8039" t="str">
            <v>S664NE0RC32634</v>
          </cell>
        </row>
        <row r="8040">
          <cell r="D8040" t="str">
            <v>MZ7L3480HCHQ-00A07</v>
          </cell>
          <cell r="E8040" t="str">
            <v>S664NE0RC32636</v>
          </cell>
        </row>
        <row r="8041">
          <cell r="D8041" t="str">
            <v>MZ7L3480HCHQ-00A07</v>
          </cell>
          <cell r="E8041" t="str">
            <v>S664NE0RC32637</v>
          </cell>
        </row>
        <row r="8042">
          <cell r="D8042" t="str">
            <v>MZ7L3960HCJR-00A07</v>
          </cell>
          <cell r="E8042" t="str">
            <v>S662NE0RC06237</v>
          </cell>
        </row>
        <row r="8043">
          <cell r="D8043" t="str">
            <v>MZ7L3960HCJR-00A07</v>
          </cell>
          <cell r="E8043" t="str">
            <v>S662NE0RC05616</v>
          </cell>
        </row>
        <row r="8044">
          <cell r="D8044" t="str">
            <v>MZ7L3960HCJR-00A07</v>
          </cell>
          <cell r="E8044" t="str">
            <v>S662NE0RC05617</v>
          </cell>
        </row>
        <row r="8045">
          <cell r="D8045" t="str">
            <v>MZ7L3960HCJR-00A07</v>
          </cell>
          <cell r="E8045" t="str">
            <v>S662NE0RC06240</v>
          </cell>
        </row>
        <row r="8046">
          <cell r="D8046" t="str">
            <v>MZ7L3960HCJR-00A07</v>
          </cell>
          <cell r="E8046" t="str">
            <v>S662NE0RC05613</v>
          </cell>
        </row>
        <row r="8047">
          <cell r="D8047" t="str">
            <v>MZ7L3960HCJR-00A07</v>
          </cell>
          <cell r="E8047" t="str">
            <v>S662NE0RC05614</v>
          </cell>
        </row>
        <row r="8048">
          <cell r="D8048" t="str">
            <v>MZ7L3960HCJR-00A07</v>
          </cell>
          <cell r="E8048" t="str">
            <v>S662NE0RC06214</v>
          </cell>
        </row>
        <row r="8049">
          <cell r="D8049" t="str">
            <v>MZ7L3960HCJR-00A07</v>
          </cell>
          <cell r="E8049" t="str">
            <v>S662NE0RC06215</v>
          </cell>
        </row>
        <row r="8050">
          <cell r="D8050" t="str">
            <v>MZ7L3960HCJR-00A07</v>
          </cell>
          <cell r="E8050" t="str">
            <v>S662NE0RC06216</v>
          </cell>
        </row>
        <row r="8051">
          <cell r="D8051" t="str">
            <v>MZ7L3960HCJR-00A07</v>
          </cell>
          <cell r="E8051" t="str">
            <v>S662NE0RC06211</v>
          </cell>
        </row>
        <row r="8052">
          <cell r="D8052" t="str">
            <v>MZ7L3960HCJR-00A07</v>
          </cell>
          <cell r="E8052" t="str">
            <v>S662NE0RC06212</v>
          </cell>
        </row>
        <row r="8053">
          <cell r="D8053" t="str">
            <v>MZ7L3960HCJR-00A07</v>
          </cell>
          <cell r="E8053" t="str">
            <v>S662NE0RC06213</v>
          </cell>
        </row>
        <row r="8054">
          <cell r="D8054" t="str">
            <v>MZ7L3960HCJR-00A07</v>
          </cell>
          <cell r="E8054" t="str">
            <v>S662NE0RC06220</v>
          </cell>
        </row>
        <row r="8055">
          <cell r="D8055" t="str">
            <v>MZ7L3960HCJR-00A07</v>
          </cell>
          <cell r="E8055" t="str">
            <v>S662NE0RC06221</v>
          </cell>
        </row>
        <row r="8056">
          <cell r="D8056" t="str">
            <v>MZ7L3960HCJR-00A07</v>
          </cell>
          <cell r="E8056" t="str">
            <v>S662NE0RC06222</v>
          </cell>
        </row>
        <row r="8057">
          <cell r="D8057" t="str">
            <v>MZ7L3960HCJR-00A07</v>
          </cell>
          <cell r="E8057" t="str">
            <v>S662NE0RC06217</v>
          </cell>
        </row>
        <row r="8058">
          <cell r="D8058" t="str">
            <v>MZ7L3960HCJR-00A07</v>
          </cell>
          <cell r="E8058" t="str">
            <v>S662NE0RC06218</v>
          </cell>
        </row>
        <row r="8059">
          <cell r="D8059" t="str">
            <v>MZ7L3960HCJR-00A07</v>
          </cell>
          <cell r="E8059" t="str">
            <v>S662NE0RC06219</v>
          </cell>
        </row>
        <row r="8060">
          <cell r="D8060" t="str">
            <v>MZ7L3960HCJR-00A07</v>
          </cell>
          <cell r="E8060" t="str">
            <v>S662NE0RC06226</v>
          </cell>
        </row>
        <row r="8061">
          <cell r="D8061" t="str">
            <v>MZ7L3960HCJR-00A07</v>
          </cell>
          <cell r="E8061" t="str">
            <v>S662NE0RC06227</v>
          </cell>
        </row>
        <row r="8062">
          <cell r="D8062" t="str">
            <v>MZ7L3960HCJR-00A07</v>
          </cell>
          <cell r="E8062" t="str">
            <v>S662NE0RC06228</v>
          </cell>
        </row>
        <row r="8063">
          <cell r="D8063" t="str">
            <v>MZ7L3960HCJR-00A07</v>
          </cell>
          <cell r="E8063" t="str">
            <v>S662NE0RC06223</v>
          </cell>
        </row>
        <row r="8064">
          <cell r="D8064" t="str">
            <v>MZ7L3960HCJR-00A07</v>
          </cell>
          <cell r="E8064" t="str">
            <v>S662NE0RC06224</v>
          </cell>
        </row>
        <row r="8065">
          <cell r="D8065" t="str">
            <v>MZ7L3960HCJR-00A07</v>
          </cell>
          <cell r="E8065" t="str">
            <v>S662NE0RC06225</v>
          </cell>
        </row>
        <row r="8066">
          <cell r="D8066" t="str">
            <v>MZ7L3960HCJR-00A07</v>
          </cell>
          <cell r="E8066" t="str">
            <v>S662NE0RC06232</v>
          </cell>
        </row>
        <row r="8067">
          <cell r="D8067" t="str">
            <v>MZ7L3960HCJR-00A07</v>
          </cell>
          <cell r="E8067" t="str">
            <v>S662NE0RC06233</v>
          </cell>
        </row>
        <row r="8068">
          <cell r="D8068" t="str">
            <v>MZ7L3960HCJR-00A07</v>
          </cell>
          <cell r="E8068" t="str">
            <v>S662NE0RC06234</v>
          </cell>
        </row>
        <row r="8069">
          <cell r="D8069" t="str">
            <v>MZ7L3960HCJR-00A07</v>
          </cell>
          <cell r="E8069" t="str">
            <v>S662NE0RC06229</v>
          </cell>
        </row>
        <row r="8070">
          <cell r="D8070" t="str">
            <v>MZ7L3960HCJR-00A07</v>
          </cell>
          <cell r="E8070" t="str">
            <v>S662NE0RC06230</v>
          </cell>
        </row>
        <row r="8071">
          <cell r="D8071" t="str">
            <v>MZ7L3960HCJR-00A07</v>
          </cell>
          <cell r="E8071" t="str">
            <v>S662NE0RC06231</v>
          </cell>
        </row>
        <row r="8072">
          <cell r="D8072" t="str">
            <v>0F31284</v>
          </cell>
          <cell r="E8072" t="str">
            <v>9MHT4BBJ</v>
          </cell>
        </row>
        <row r="8073">
          <cell r="D8073" t="str">
            <v>0F31284</v>
          </cell>
          <cell r="E8073" t="str">
            <v>9MHT44KJ</v>
          </cell>
        </row>
        <row r="8074">
          <cell r="D8074" t="str">
            <v>0F31284</v>
          </cell>
          <cell r="E8074" t="str">
            <v>9MHT4AJJ</v>
          </cell>
        </row>
        <row r="8075">
          <cell r="D8075" t="str">
            <v>0F31284</v>
          </cell>
          <cell r="E8075" t="str">
            <v>9MHSMBHJ</v>
          </cell>
        </row>
        <row r="8076">
          <cell r="D8076" t="str">
            <v>0F31284</v>
          </cell>
          <cell r="E8076" t="str">
            <v>9MHT44PJ</v>
          </cell>
        </row>
        <row r="8077">
          <cell r="D8077" t="str">
            <v>0F31284</v>
          </cell>
          <cell r="E8077" t="str">
            <v>9MHSMDYJ</v>
          </cell>
        </row>
        <row r="8078">
          <cell r="D8078" t="str">
            <v>0F31284</v>
          </cell>
          <cell r="E8078" t="str">
            <v>9MHT4KSJ</v>
          </cell>
        </row>
        <row r="8079">
          <cell r="D8079" t="str">
            <v>0F31284</v>
          </cell>
          <cell r="E8079" t="str">
            <v>9MHSMDWJ</v>
          </cell>
        </row>
        <row r="8080">
          <cell r="D8080" t="str">
            <v>0B36039</v>
          </cell>
          <cell r="E8080" t="str">
            <v>V9KLK5PL</v>
          </cell>
          <cell r="K8080" t="str">
            <v>SO/2022/005842/A</v>
          </cell>
        </row>
        <row r="8081">
          <cell r="D8081" t="str">
            <v>0B36039</v>
          </cell>
          <cell r="E8081" t="str">
            <v>V9KLDSRL</v>
          </cell>
          <cell r="K8081" t="str">
            <v>SO/2022/005842/A</v>
          </cell>
        </row>
        <row r="8082">
          <cell r="D8082" t="str">
            <v>0B36039</v>
          </cell>
          <cell r="E8082" t="str">
            <v>V9KLN8ZL</v>
          </cell>
          <cell r="K8082" t="str">
            <v>SO/2022/005842/A</v>
          </cell>
        </row>
        <row r="8083">
          <cell r="D8083" t="str">
            <v>0B35950</v>
          </cell>
          <cell r="E8083" t="str">
            <v>VBH98Y0H</v>
          </cell>
        </row>
        <row r="8084">
          <cell r="D8084" t="str">
            <v>0B35950</v>
          </cell>
          <cell r="E8084" t="str">
            <v>VBH975NH</v>
          </cell>
        </row>
        <row r="8085">
          <cell r="D8085" t="str">
            <v>0B36040</v>
          </cell>
          <cell r="E8085" t="str">
            <v>VBH6WHZF</v>
          </cell>
        </row>
        <row r="8086">
          <cell r="D8086" t="str">
            <v>0B36040</v>
          </cell>
          <cell r="E8086" t="str">
            <v>VBH6WH1F</v>
          </cell>
        </row>
        <row r="8087">
          <cell r="D8087" t="str">
            <v>0TS1877</v>
          </cell>
          <cell r="E8087" t="str">
            <v>A072045E</v>
          </cell>
        </row>
        <row r="8088">
          <cell r="D8088" t="str">
            <v>0TS1877</v>
          </cell>
          <cell r="E8088" t="str">
            <v>A0720461</v>
          </cell>
        </row>
        <row r="8089">
          <cell r="D8089" t="str">
            <v>0TS1877</v>
          </cell>
          <cell r="E8089" t="str">
            <v>A0720464</v>
          </cell>
        </row>
        <row r="8090">
          <cell r="D8090" t="str">
            <v>0TS1877</v>
          </cell>
          <cell r="E8090" t="str">
            <v>A0720470</v>
          </cell>
        </row>
        <row r="8091">
          <cell r="D8091" t="str">
            <v>MZ7L3480HCHQ-00A07</v>
          </cell>
          <cell r="E8091" t="str">
            <v>S664NE0RC32013</v>
          </cell>
        </row>
        <row r="8092">
          <cell r="D8092" t="str">
            <v>MZ7L3480HCHQ-00A07</v>
          </cell>
          <cell r="E8092" t="str">
            <v>S664NE0RC32015</v>
          </cell>
        </row>
        <row r="8093">
          <cell r="D8093" t="str">
            <v>MZ7L3480HCHQ-00A07</v>
          </cell>
          <cell r="E8093" t="str">
            <v>S664NE0RC32016</v>
          </cell>
        </row>
        <row r="8094">
          <cell r="D8094" t="str">
            <v>MZ7L3480HCHQ-00A07</v>
          </cell>
          <cell r="E8094" t="str">
            <v>S664NE0RC32020</v>
          </cell>
        </row>
        <row r="8095">
          <cell r="D8095" t="str">
            <v>MZ7L3480HCHQ-00A07</v>
          </cell>
          <cell r="E8095" t="str">
            <v>S664NE0RC32023</v>
          </cell>
        </row>
        <row r="8096">
          <cell r="D8096" t="str">
            <v>MZ7L3480HCHQ-00A07</v>
          </cell>
          <cell r="E8096" t="str">
            <v>S664NE0RC32018</v>
          </cell>
        </row>
        <row r="8097">
          <cell r="D8097" t="str">
            <v xml:space="preserve">M393A8G40AB2-CWE </v>
          </cell>
          <cell r="E8097" t="str">
            <v>SNL291</v>
          </cell>
        </row>
        <row r="8098">
          <cell r="D8098" t="str">
            <v xml:space="preserve">M393A8G40AB2-CWE </v>
          </cell>
          <cell r="E8098" t="str">
            <v>SNL292</v>
          </cell>
        </row>
        <row r="8099">
          <cell r="D8099" t="str">
            <v xml:space="preserve">M393A8G40AB2-CWE </v>
          </cell>
          <cell r="E8099" t="str">
            <v>SNL293</v>
          </cell>
        </row>
        <row r="8100">
          <cell r="D8100" t="str">
            <v xml:space="preserve">M393A8G40AB2-CWE </v>
          </cell>
          <cell r="E8100" t="str">
            <v>SNL294</v>
          </cell>
        </row>
        <row r="8101">
          <cell r="D8101" t="str">
            <v xml:space="preserve">M393A8G40AB2-CWE </v>
          </cell>
          <cell r="E8101" t="str">
            <v>SNL295</v>
          </cell>
        </row>
        <row r="8102">
          <cell r="D8102" t="str">
            <v xml:space="preserve">M393A8G40AB2-CWE </v>
          </cell>
          <cell r="E8102" t="str">
            <v>SNL296</v>
          </cell>
        </row>
        <row r="8103">
          <cell r="D8103" t="str">
            <v xml:space="preserve">M393A8G40AB2-CWE </v>
          </cell>
          <cell r="E8103" t="str">
            <v>SNL297</v>
          </cell>
        </row>
        <row r="8104">
          <cell r="D8104" t="str">
            <v xml:space="preserve">M393A8G40AB2-CWE </v>
          </cell>
          <cell r="E8104" t="str">
            <v>SNL298</v>
          </cell>
        </row>
        <row r="8105">
          <cell r="D8105" t="str">
            <v xml:space="preserve">M393A8G40AB2-CWE </v>
          </cell>
          <cell r="E8105" t="str">
            <v>SNL299</v>
          </cell>
        </row>
        <row r="8106">
          <cell r="D8106" t="str">
            <v xml:space="preserve">M393A8G40AB2-CWE </v>
          </cell>
          <cell r="E8106" t="str">
            <v>SNL300</v>
          </cell>
        </row>
        <row r="8107">
          <cell r="D8107" t="str">
            <v xml:space="preserve">M393A8G40AB2-CWE </v>
          </cell>
          <cell r="E8107" t="str">
            <v>SNL301</v>
          </cell>
        </row>
        <row r="8108">
          <cell r="D8108" t="str">
            <v xml:space="preserve">M393A8G40AB2-CWE </v>
          </cell>
          <cell r="E8108" t="str">
            <v>SNL302</v>
          </cell>
        </row>
        <row r="8109">
          <cell r="D8109" t="str">
            <v xml:space="preserve">M393A8G40AB2-CWE </v>
          </cell>
          <cell r="E8109" t="str">
            <v>SNL303</v>
          </cell>
        </row>
        <row r="8110">
          <cell r="D8110" t="str">
            <v xml:space="preserve">M393A8G40AB2-CWE </v>
          </cell>
          <cell r="E8110" t="str">
            <v>SNL304</v>
          </cell>
        </row>
        <row r="8111">
          <cell r="D8111" t="str">
            <v xml:space="preserve">M393A8G40AB2-CWE </v>
          </cell>
          <cell r="E8111" t="str">
            <v>SNL305</v>
          </cell>
        </row>
        <row r="8112">
          <cell r="D8112" t="str">
            <v xml:space="preserve">M393A8G40AB2-CWE </v>
          </cell>
          <cell r="E8112" t="str">
            <v>SNL306</v>
          </cell>
        </row>
        <row r="8113">
          <cell r="D8113" t="str">
            <v xml:space="preserve">M393A8G40AB2-CWE </v>
          </cell>
          <cell r="E8113" t="str">
            <v>SNL307</v>
          </cell>
        </row>
        <row r="8114">
          <cell r="D8114" t="str">
            <v xml:space="preserve">M393A8G40AB2-CWE </v>
          </cell>
          <cell r="E8114" t="str">
            <v>SNL308</v>
          </cell>
        </row>
        <row r="8115">
          <cell r="D8115" t="str">
            <v xml:space="preserve">M393A8G40AB2-CWE </v>
          </cell>
          <cell r="E8115" t="str">
            <v>SNL309</v>
          </cell>
        </row>
        <row r="8116">
          <cell r="D8116" t="str">
            <v xml:space="preserve">M393A8G40AB2-CWE </v>
          </cell>
          <cell r="E8116" t="str">
            <v>SNL310</v>
          </cell>
        </row>
        <row r="8117">
          <cell r="D8117" t="str">
            <v xml:space="preserve">M393A8G40AB2-CWE </v>
          </cell>
          <cell r="E8117" t="str">
            <v>SNL311</v>
          </cell>
        </row>
        <row r="8118">
          <cell r="D8118" t="str">
            <v xml:space="preserve">M393A8G40AB2-CWE </v>
          </cell>
          <cell r="E8118" t="str">
            <v>SNL312</v>
          </cell>
        </row>
        <row r="8119">
          <cell r="D8119" t="str">
            <v xml:space="preserve">M393A8G40AB2-CWE </v>
          </cell>
          <cell r="E8119" t="str">
            <v>SNL313</v>
          </cell>
        </row>
        <row r="8120">
          <cell r="D8120" t="str">
            <v xml:space="preserve">M393A8G40AB2-CWE </v>
          </cell>
          <cell r="E8120" t="str">
            <v>SNL314</v>
          </cell>
        </row>
        <row r="8121">
          <cell r="D8121" t="str">
            <v xml:space="preserve">M393A8G40AB2-CWE </v>
          </cell>
          <cell r="E8121" t="str">
            <v>SNL315</v>
          </cell>
        </row>
        <row r="8122">
          <cell r="D8122" t="str">
            <v xml:space="preserve">M393A8G40AB2-CWE </v>
          </cell>
          <cell r="E8122" t="str">
            <v>SNL316</v>
          </cell>
        </row>
        <row r="8123">
          <cell r="D8123" t="str">
            <v xml:space="preserve">M393A8G40AB2-CWE </v>
          </cell>
          <cell r="E8123" t="str">
            <v>SNL317</v>
          </cell>
        </row>
        <row r="8124">
          <cell r="D8124" t="str">
            <v xml:space="preserve">M393A8G40AB2-CWE </v>
          </cell>
          <cell r="E8124" t="str">
            <v>SNL318</v>
          </cell>
        </row>
        <row r="8125">
          <cell r="D8125" t="str">
            <v xml:space="preserve">M393A8G40AB2-CWE </v>
          </cell>
          <cell r="E8125" t="str">
            <v>SNL319</v>
          </cell>
        </row>
        <row r="8126">
          <cell r="D8126" t="str">
            <v xml:space="preserve">M393A8G40AB2-CWE </v>
          </cell>
          <cell r="E8126" t="str">
            <v>SNL320</v>
          </cell>
        </row>
        <row r="8127">
          <cell r="D8127" t="str">
            <v xml:space="preserve">M393A8G40AB2-CWE </v>
          </cell>
          <cell r="E8127" t="str">
            <v>SNL321</v>
          </cell>
        </row>
        <row r="8128">
          <cell r="D8128" t="str">
            <v xml:space="preserve">M393A8G40AB2-CWE </v>
          </cell>
          <cell r="E8128" t="str">
            <v>SNL322</v>
          </cell>
        </row>
        <row r="8129">
          <cell r="D8129" t="str">
            <v xml:space="preserve">M393A8G40AB2-CWE </v>
          </cell>
          <cell r="E8129" t="str">
            <v>SNL323</v>
          </cell>
        </row>
        <row r="8130">
          <cell r="D8130" t="str">
            <v xml:space="preserve">M393A8G40AB2-CWE </v>
          </cell>
          <cell r="E8130" t="str">
            <v>SNL324</v>
          </cell>
        </row>
        <row r="8131">
          <cell r="D8131" t="str">
            <v xml:space="preserve">M393A8G40AB2-CWE </v>
          </cell>
          <cell r="E8131" t="str">
            <v>SNL325</v>
          </cell>
        </row>
        <row r="8132">
          <cell r="D8132" t="str">
            <v xml:space="preserve">M393A8G40AB2-CWE </v>
          </cell>
          <cell r="E8132" t="str">
            <v>SNL326</v>
          </cell>
        </row>
        <row r="8133">
          <cell r="D8133" t="str">
            <v>0F38459</v>
          </cell>
          <cell r="E8133" t="str">
            <v>3FHP2MNT</v>
          </cell>
        </row>
        <row r="8134">
          <cell r="D8134" t="str">
            <v>0F38459</v>
          </cell>
          <cell r="E8134" t="str">
            <v>3FHP2V1T</v>
          </cell>
        </row>
        <row r="8135">
          <cell r="D8135" t="str">
            <v>0B36404</v>
          </cell>
          <cell r="E8135" t="str">
            <v>VRKG96KK</v>
          </cell>
        </row>
        <row r="8136">
          <cell r="D8136" t="str">
            <v>0B36404</v>
          </cell>
          <cell r="E8136" t="str">
            <v>VRKY5JNK</v>
          </cell>
        </row>
        <row r="8137">
          <cell r="D8137" t="str">
            <v>0B36039</v>
          </cell>
          <cell r="E8137" t="str">
            <v>V9KLJZ9L</v>
          </cell>
        </row>
        <row r="8138">
          <cell r="D8138" t="str">
            <v>0B36039</v>
          </cell>
          <cell r="E8138" t="str">
            <v>V9KLNYUL</v>
          </cell>
        </row>
        <row r="8139">
          <cell r="D8139" t="str">
            <v>Iphone7</v>
          </cell>
          <cell r="E8139">
            <v>356563081761709</v>
          </cell>
        </row>
        <row r="8140">
          <cell r="D8140" t="str">
            <v>Galaxy A52</v>
          </cell>
          <cell r="E8140" t="str">
            <v>R58T20FGNEE</v>
          </cell>
        </row>
        <row r="8141">
          <cell r="D8141" t="str">
            <v>Galaxy A52</v>
          </cell>
          <cell r="E8141" t="str">
            <v>RZ8T12C2GTD</v>
          </cell>
        </row>
        <row r="8142">
          <cell r="D8142" t="str">
            <v>CD8069504446300 Xeon Gold 5218R</v>
          </cell>
          <cell r="E8142" t="str">
            <v>3152F617</v>
          </cell>
        </row>
        <row r="8143">
          <cell r="D8143" t="str">
            <v>CD8069504446300 Xeon Gold 5218R</v>
          </cell>
          <cell r="E8143" t="str">
            <v>3152F617</v>
          </cell>
        </row>
        <row r="8144">
          <cell r="D8144" t="str">
            <v>CD8069504446300 Xeon Gold 5218R</v>
          </cell>
          <cell r="E8144" t="str">
            <v>3205D212</v>
          </cell>
        </row>
        <row r="8145">
          <cell r="D8145" t="str">
            <v>CD8069504446300 Xeon Gold 5218R</v>
          </cell>
          <cell r="E8145" t="str">
            <v>3205D250</v>
          </cell>
        </row>
        <row r="8146">
          <cell r="D8146" t="str">
            <v>CD8069504446300 Xeon Gold 5218R</v>
          </cell>
          <cell r="E8146" t="str">
            <v>3205D250</v>
          </cell>
        </row>
        <row r="8147">
          <cell r="D8147" t="str">
            <v>CD8069503956401 Xeon Silver 4208</v>
          </cell>
          <cell r="E8147" t="str">
            <v>J201J049</v>
          </cell>
        </row>
        <row r="8148">
          <cell r="D8148" t="str">
            <v>CD8069503956401 Xeon Silver 4208</v>
          </cell>
          <cell r="E8148" t="str">
            <v>J201J049</v>
          </cell>
        </row>
        <row r="8149">
          <cell r="D8149" t="str">
            <v>CD8069503956401 Xeon Silver 4208</v>
          </cell>
          <cell r="E8149" t="str">
            <v>J201J049</v>
          </cell>
        </row>
        <row r="8150">
          <cell r="D8150" t="str">
            <v>CD8069503956401 Xeon Silver 4208</v>
          </cell>
          <cell r="E8150" t="str">
            <v>J201J049</v>
          </cell>
        </row>
        <row r="8151">
          <cell r="D8151" t="str">
            <v>CD8069503956401 Xeon Silver 4208</v>
          </cell>
          <cell r="E8151" t="str">
            <v>J201J049</v>
          </cell>
        </row>
        <row r="8152">
          <cell r="D8152" t="str">
            <v>CD8069503956401 Xeon Silver 4208</v>
          </cell>
          <cell r="E8152" t="str">
            <v>J201J049</v>
          </cell>
        </row>
        <row r="8153">
          <cell r="D8153" t="str">
            <v>CD8069503956401 Xeon Silver 4208</v>
          </cell>
          <cell r="E8153" t="str">
            <v>J201J049</v>
          </cell>
        </row>
        <row r="8154">
          <cell r="D8154" t="str">
            <v>CD8069504449200 Xeon Silver 4215R</v>
          </cell>
          <cell r="E8154" t="str">
            <v>23806D0ED78943DBRGZE  72NM847600641</v>
          </cell>
        </row>
        <row r="8155">
          <cell r="D8155" t="str">
            <v>CD8069504449200 Xeon Silver 4215R</v>
          </cell>
          <cell r="E8155" t="str">
            <v>23747C0EFDB7641DRGZE  72NM847600468</v>
          </cell>
        </row>
        <row r="8156">
          <cell r="D8156" t="str">
            <v>CD8069504449200 Xeon Silver 4215R</v>
          </cell>
          <cell r="E8156" t="str">
            <v>232B5B0E133D2327RGZE  72BY070200129</v>
          </cell>
        </row>
        <row r="8157">
          <cell r="D8157" t="str">
            <v>CD8069504343701 Xeon Silver 4214R</v>
          </cell>
          <cell r="E8157" t="str">
            <v>3204G031</v>
          </cell>
        </row>
        <row r="8158">
          <cell r="D8158" t="str">
            <v>CD8069504343701 Xeon Silver 4214R</v>
          </cell>
          <cell r="E8158" t="str">
            <v>3204G031</v>
          </cell>
        </row>
        <row r="8159">
          <cell r="D8159" t="str">
            <v>CD8069504343701 Xeon Silver 4214R</v>
          </cell>
          <cell r="E8159" t="str">
            <v>3204G031</v>
          </cell>
        </row>
        <row r="8160">
          <cell r="D8160" t="str">
            <v>CD8069504343701 Xeon Silver 4214R</v>
          </cell>
          <cell r="E8160" t="str">
            <v>3204G031</v>
          </cell>
        </row>
        <row r="8161">
          <cell r="D8161" t="str">
            <v>CD8069504343701 Xeon Silver 4214R</v>
          </cell>
          <cell r="E8161" t="str">
            <v>3204G031</v>
          </cell>
        </row>
        <row r="8162">
          <cell r="D8162" t="str">
            <v>CD8069504343701 Xeon Silver 4214R</v>
          </cell>
          <cell r="E8162" t="str">
            <v>3204G031</v>
          </cell>
        </row>
        <row r="8163">
          <cell r="D8163" t="str">
            <v>CD8069504343701 Xeon Silver 4214R</v>
          </cell>
          <cell r="E8163" t="str">
            <v>3204G031</v>
          </cell>
        </row>
        <row r="8164">
          <cell r="D8164" t="str">
            <v>CD8069504343701 Xeon Silver 4214R</v>
          </cell>
          <cell r="E8164" t="str">
            <v>3204G031</v>
          </cell>
        </row>
        <row r="8165">
          <cell r="D8165" t="str">
            <v>CD8069504343701 Xeon Silver 4214R</v>
          </cell>
          <cell r="E8165" t="str">
            <v>3204G031</v>
          </cell>
        </row>
        <row r="8166">
          <cell r="D8166" t="str">
            <v>CD8069504343701 Xeon Silver 4214R</v>
          </cell>
          <cell r="E8166" t="str">
            <v>3204G031</v>
          </cell>
        </row>
        <row r="8167">
          <cell r="D8167" t="str">
            <v>CD8069504343701 Xeon Silver 4214R</v>
          </cell>
          <cell r="E8167" t="str">
            <v>3204G031</v>
          </cell>
        </row>
        <row r="8168">
          <cell r="D8168" t="str">
            <v>CD8069504343701 Xeon Silver 4214R</v>
          </cell>
          <cell r="E8168" t="str">
            <v>3204G031</v>
          </cell>
        </row>
        <row r="8169">
          <cell r="D8169" t="str">
            <v>CD8069504343701 Xeon Silver 4214R</v>
          </cell>
          <cell r="E8169" t="str">
            <v>3204G031</v>
          </cell>
        </row>
        <row r="8170">
          <cell r="D8170" t="str">
            <v>CD8069504343701 Xeon Silver 4214R</v>
          </cell>
          <cell r="E8170" t="str">
            <v>3204G031</v>
          </cell>
        </row>
        <row r="8171">
          <cell r="D8171" t="str">
            <v>CD8069504343701 Xeon Silver 4214R</v>
          </cell>
          <cell r="E8171" t="str">
            <v>3207F167</v>
          </cell>
        </row>
        <row r="8172">
          <cell r="D8172" t="str">
            <v>CD8069504343701 Xeon Silver 4214R</v>
          </cell>
          <cell r="E8172" t="str">
            <v>3207F167</v>
          </cell>
        </row>
        <row r="8173">
          <cell r="D8173" t="str">
            <v xml:space="preserve">M393A4K40EB3-CWE </v>
          </cell>
          <cell r="E8173" t="str">
            <v>SNL327</v>
          </cell>
          <cell r="K8173" t="str">
            <v>SO/2022/005842/A</v>
          </cell>
        </row>
        <row r="8174">
          <cell r="D8174" t="str">
            <v xml:space="preserve">M393A4K40EB3-CWE </v>
          </cell>
          <cell r="E8174" t="str">
            <v>SNL328</v>
          </cell>
          <cell r="K8174" t="str">
            <v>SO/2022/005842/A</v>
          </cell>
        </row>
        <row r="8175">
          <cell r="D8175" t="str">
            <v xml:space="preserve">M393A4K40EB3-CWE </v>
          </cell>
          <cell r="E8175" t="str">
            <v>SNL329</v>
          </cell>
          <cell r="K8175" t="str">
            <v>SO/2022/005842/A</v>
          </cell>
        </row>
        <row r="8176">
          <cell r="D8176" t="str">
            <v xml:space="preserve">M393A4K40EB3-CWE </v>
          </cell>
          <cell r="E8176" t="str">
            <v>SNL330</v>
          </cell>
          <cell r="K8176" t="str">
            <v>SO/2022/005842/A</v>
          </cell>
        </row>
        <row r="8177">
          <cell r="D8177" t="str">
            <v xml:space="preserve">M393A4K40EB3-CWE </v>
          </cell>
          <cell r="E8177" t="str">
            <v>SNL331</v>
          </cell>
        </row>
        <row r="8178">
          <cell r="D8178" t="str">
            <v xml:space="preserve">M393A4K40EB3-CWE </v>
          </cell>
          <cell r="E8178" t="str">
            <v>SNL332</v>
          </cell>
        </row>
        <row r="8179">
          <cell r="D8179" t="str">
            <v>MZ7LH240HAHQ-00005</v>
          </cell>
          <cell r="E8179" t="str">
            <v>S45RNC0T237775</v>
          </cell>
          <cell r="K8179" t="str">
            <v>SO/2022/005842/A</v>
          </cell>
        </row>
        <row r="8180">
          <cell r="D8180" t="str">
            <v>MZ7LH240HAHQ-00005</v>
          </cell>
          <cell r="E8180" t="str">
            <v>S45RNC0T242604</v>
          </cell>
          <cell r="K8180" t="str">
            <v>SO/2022/005842/A</v>
          </cell>
        </row>
        <row r="8181">
          <cell r="D8181" t="str">
            <v>MZ7L3480HCHQ-00A07</v>
          </cell>
          <cell r="E8181" t="str">
            <v>S664NE0RC32183</v>
          </cell>
        </row>
        <row r="8182">
          <cell r="D8182" t="str">
            <v>MZ7L3480HCHQ-00A07</v>
          </cell>
          <cell r="E8182" t="str">
            <v>S664NE0RC32185</v>
          </cell>
        </row>
        <row r="8183">
          <cell r="D8183" t="str">
            <v>MZ7L3480HCHQ-00A07</v>
          </cell>
          <cell r="E8183" t="str">
            <v>S664NE0RC32186</v>
          </cell>
        </row>
        <row r="8184">
          <cell r="D8184" t="str">
            <v>MZ7L3480HCHQ-00A07</v>
          </cell>
          <cell r="E8184" t="str">
            <v>S664NE0RC32006</v>
          </cell>
        </row>
        <row r="8185">
          <cell r="D8185" t="str">
            <v>MZ7L3480HCHQ-00A07</v>
          </cell>
          <cell r="E8185" t="str">
            <v>S664NE0RC32193</v>
          </cell>
        </row>
        <row r="8186">
          <cell r="D8186" t="str">
            <v>MZ7L3480HCHQ-00A07</v>
          </cell>
          <cell r="E8186" t="str">
            <v>S664NE0RC32190</v>
          </cell>
        </row>
        <row r="8187">
          <cell r="D8187" t="str">
            <v>MZ7L3480HCHQ-00A07</v>
          </cell>
          <cell r="E8187" t="str">
            <v>S664NE0RC32007</v>
          </cell>
        </row>
        <row r="8188">
          <cell r="D8188" t="str">
            <v>MZ7L3480HCHQ-00A07</v>
          </cell>
          <cell r="E8188" t="str">
            <v>S664NE0RC32002</v>
          </cell>
        </row>
        <row r="8189">
          <cell r="D8189" t="str">
            <v>MZ7L3480HCHQ-00A07</v>
          </cell>
          <cell r="E8189" t="str">
            <v>S664NE0RC32009</v>
          </cell>
        </row>
        <row r="8190">
          <cell r="D8190" t="str">
            <v>MZ7L3480HCHQ-00A07</v>
          </cell>
          <cell r="E8190" t="str">
            <v>S664NE0RC32012</v>
          </cell>
        </row>
        <row r="8191">
          <cell r="D8191" t="str">
            <v>MZ7L3480HCHQ-00A07</v>
          </cell>
          <cell r="E8191" t="str">
            <v>S664NE0RC32005</v>
          </cell>
        </row>
        <row r="8192">
          <cell r="D8192" t="str">
            <v>MZ7L3480HCHQ-00A07</v>
          </cell>
          <cell r="E8192" t="str">
            <v>S664NE0RC32010</v>
          </cell>
        </row>
        <row r="8193">
          <cell r="D8193" t="str">
            <v>MZ7L3480HCHQ-00A07</v>
          </cell>
          <cell r="E8193" t="str">
            <v>S664NE0RC32180</v>
          </cell>
        </row>
        <row r="8194">
          <cell r="D8194" t="str">
            <v>MZ7L3480HCHQ-00A07</v>
          </cell>
          <cell r="E8194" t="str">
            <v>S664NE0RC32177</v>
          </cell>
        </row>
        <row r="8195">
          <cell r="D8195" t="str">
            <v>MZ1LB960HAJQ-00007</v>
          </cell>
          <cell r="E8195" t="str">
            <v>S435NC0R702201</v>
          </cell>
        </row>
        <row r="8196">
          <cell r="D8196" t="str">
            <v>MZ1LB960HAJQ-00007</v>
          </cell>
          <cell r="E8196" t="str">
            <v>S435NC0R702199</v>
          </cell>
        </row>
        <row r="8197">
          <cell r="D8197" t="str">
            <v>0B36400</v>
          </cell>
          <cell r="E8197" t="str">
            <v>VRK26EZK</v>
          </cell>
        </row>
        <row r="8198">
          <cell r="D8198" t="str">
            <v>0B36400</v>
          </cell>
          <cell r="E8198" t="str">
            <v>VRK262VK</v>
          </cell>
        </row>
        <row r="8199">
          <cell r="D8199" t="str">
            <v>0B36400</v>
          </cell>
          <cell r="E8199" t="str">
            <v>VRKUS2PK</v>
          </cell>
        </row>
        <row r="8200">
          <cell r="D8200" t="str">
            <v>0B36400</v>
          </cell>
          <cell r="E8200" t="str">
            <v>VRKUBSSK</v>
          </cell>
        </row>
        <row r="8201">
          <cell r="D8201" t="str">
            <v>0B36400</v>
          </cell>
          <cell r="E8201" t="str">
            <v>VRK2628K</v>
          </cell>
        </row>
        <row r="8202">
          <cell r="D8202" t="str">
            <v>0B36400</v>
          </cell>
          <cell r="E8202" t="str">
            <v>VRKGZZEK</v>
          </cell>
        </row>
        <row r="8203">
          <cell r="D8203" t="str">
            <v>0F38353</v>
          </cell>
          <cell r="E8203" t="str">
            <v>3JGEVH9G</v>
          </cell>
        </row>
        <row r="8204">
          <cell r="D8204" t="str">
            <v>0F38353</v>
          </cell>
          <cell r="E8204" t="str">
            <v>3JGH3Y7G</v>
          </cell>
        </row>
        <row r="8205">
          <cell r="D8205" t="str">
            <v>0F38353</v>
          </cell>
          <cell r="E8205" t="str">
            <v>3JGG8P6G</v>
          </cell>
        </row>
        <row r="8206">
          <cell r="D8206" t="str">
            <v>0F38353</v>
          </cell>
          <cell r="E8206" t="str">
            <v>3JGDWNXG</v>
          </cell>
        </row>
        <row r="8207">
          <cell r="D8207" t="str">
            <v>0F38353</v>
          </cell>
          <cell r="E8207" t="str">
            <v>3JGGYV3G</v>
          </cell>
        </row>
        <row r="8208">
          <cell r="D8208" t="str">
            <v>0F38353</v>
          </cell>
          <cell r="E8208" t="str">
            <v>3JGG6JLG</v>
          </cell>
        </row>
        <row r="8209">
          <cell r="D8209" t="str">
            <v>Intel Xeon E-2388G</v>
          </cell>
          <cell r="E8209" t="str">
            <v>1TV144H920</v>
          </cell>
          <cell r="K8209" t="str">
            <v>Pomyłka AB</v>
          </cell>
        </row>
        <row r="8210">
          <cell r="D8210" t="str">
            <v>Intel Xeon E-2388G</v>
          </cell>
          <cell r="E8210" t="str">
            <v>1TV144H920</v>
          </cell>
          <cell r="K8210" t="str">
            <v>Pomyłka AB</v>
          </cell>
        </row>
        <row r="8211">
          <cell r="D8211" t="str">
            <v>Intel Xeon E-2388G</v>
          </cell>
          <cell r="E8211" t="str">
            <v>1TV144H920</v>
          </cell>
          <cell r="K8211" t="str">
            <v>Pomyłka AB</v>
          </cell>
        </row>
        <row r="8212">
          <cell r="D8212" t="str">
            <v>Intel Xeon E-2388G</v>
          </cell>
          <cell r="E8212" t="str">
            <v>1TV144H920</v>
          </cell>
          <cell r="K8212" t="str">
            <v>Pomyłka AB</v>
          </cell>
        </row>
        <row r="8213">
          <cell r="D8213" t="str">
            <v>Intel Xeon E-2388G</v>
          </cell>
          <cell r="E8213" t="str">
            <v>1TV144H920</v>
          </cell>
          <cell r="K8213" t="str">
            <v>Pomyłka AB</v>
          </cell>
        </row>
        <row r="8214">
          <cell r="D8214" t="str">
            <v>Intel Xeon E-2388G</v>
          </cell>
          <cell r="E8214" t="str">
            <v>1TV144G247</v>
          </cell>
        </row>
        <row r="8215">
          <cell r="D8215" t="str">
            <v>Intel Xeon E-2388G</v>
          </cell>
          <cell r="E8215" t="str">
            <v>1TV144G247</v>
          </cell>
        </row>
        <row r="8216">
          <cell r="D8216" t="str">
            <v>Intel Xeon E-2388G</v>
          </cell>
          <cell r="E8216" t="str">
            <v>1TV144G247</v>
          </cell>
        </row>
        <row r="8217">
          <cell r="D8217" t="str">
            <v>Intel Xeon E-2388G</v>
          </cell>
          <cell r="E8217" t="str">
            <v>1TV144G247</v>
          </cell>
        </row>
        <row r="8218">
          <cell r="D8218" t="str">
            <v>Intel Xeon E-2388G</v>
          </cell>
          <cell r="E8218" t="str">
            <v>1TV144G247</v>
          </cell>
        </row>
        <row r="8219">
          <cell r="D8219" t="str">
            <v>Intel Xeon E-2388G</v>
          </cell>
          <cell r="E8219" t="str">
            <v>1TV144G247</v>
          </cell>
        </row>
        <row r="8220">
          <cell r="D8220" t="str">
            <v>Intel Xeon E-2388G</v>
          </cell>
          <cell r="E8220" t="str">
            <v>1TV144G247</v>
          </cell>
        </row>
        <row r="8221">
          <cell r="D8221" t="str">
            <v>Intel Xeon E-2388G</v>
          </cell>
          <cell r="E8221" t="str">
            <v>1TV144G247</v>
          </cell>
        </row>
        <row r="8222">
          <cell r="D8222" t="str">
            <v>Intel Xeon E-2388G</v>
          </cell>
          <cell r="E8222" t="str">
            <v>1TV144G247</v>
          </cell>
        </row>
        <row r="8223">
          <cell r="D8223" t="str">
            <v>Intel Xeon E-2388G</v>
          </cell>
          <cell r="E8223" t="str">
            <v>1TV144G247</v>
          </cell>
        </row>
        <row r="8224">
          <cell r="D8224" t="str">
            <v>Intel Xeon E-2388G</v>
          </cell>
          <cell r="E8224" t="str">
            <v>1TV144G247</v>
          </cell>
        </row>
        <row r="8225">
          <cell r="D8225" t="str">
            <v>Intel Xeon E-2388G</v>
          </cell>
          <cell r="E8225" t="str">
            <v>1TV144G247</v>
          </cell>
        </row>
        <row r="8226">
          <cell r="D8226" t="str">
            <v>Intel Xeon E-2388G</v>
          </cell>
          <cell r="E8226" t="str">
            <v>1TV144G247</v>
          </cell>
        </row>
        <row r="8227">
          <cell r="D8227" t="str">
            <v>Intel Xeon E-2388G</v>
          </cell>
          <cell r="E8227" t="str">
            <v>1TV144G247</v>
          </cell>
        </row>
        <row r="8228">
          <cell r="D8228" t="str">
            <v>Intel Xeon E-2388G</v>
          </cell>
          <cell r="E8228" t="str">
            <v>1TV144G247</v>
          </cell>
        </row>
        <row r="8229">
          <cell r="D8229" t="str">
            <v>Intel Xeon E-2388G</v>
          </cell>
          <cell r="E8229" t="str">
            <v>1TV144G247</v>
          </cell>
        </row>
        <row r="8230">
          <cell r="D8230" t="str">
            <v>Intel Xeon E-2388G</v>
          </cell>
          <cell r="E8230" t="str">
            <v>1TV144G247</v>
          </cell>
        </row>
        <row r="8231">
          <cell r="D8231" t="str">
            <v>Intel Xeon E-2388G</v>
          </cell>
          <cell r="E8231" t="str">
            <v>1TV144G247</v>
          </cell>
        </row>
        <row r="8232">
          <cell r="D8232" t="str">
            <v>Intel Xeon E-2388G</v>
          </cell>
          <cell r="E8232" t="str">
            <v>1TV144G247</v>
          </cell>
        </row>
        <row r="8233">
          <cell r="D8233" t="str">
            <v>Intel Xeon E-2388G</v>
          </cell>
          <cell r="E8233" t="str">
            <v>1TV144G247</v>
          </cell>
        </row>
        <row r="8234">
          <cell r="D8234" t="str">
            <v>Intel Xeon E-2388G</v>
          </cell>
          <cell r="E8234" t="str">
            <v>V144H920     81QY774301755</v>
          </cell>
          <cell r="K8234" t="str">
            <v>Support Online</v>
          </cell>
        </row>
        <row r="8235">
          <cell r="D8235" t="str">
            <v>Intel Xeon E-2388G</v>
          </cell>
          <cell r="E8235" t="str">
            <v>V144H920     81MD387401395</v>
          </cell>
        </row>
        <row r="8236">
          <cell r="D8236" t="str">
            <v>Intel Xeon E-2388G</v>
          </cell>
          <cell r="E8236" t="str">
            <v>V144H920     81QY774302144</v>
          </cell>
        </row>
        <row r="8237">
          <cell r="D8237" t="str">
            <v>Intel Xeon E-2388G</v>
          </cell>
          <cell r="E8237" t="str">
            <v>V144H920     81QY773405627</v>
          </cell>
        </row>
        <row r="8238">
          <cell r="D8238" t="str">
            <v>Intel Xeon E-2388G</v>
          </cell>
          <cell r="E8238" t="str">
            <v>1TV144G247</v>
          </cell>
        </row>
        <row r="8239">
          <cell r="D8239" t="str">
            <v>Intel Xeon E-2388G</v>
          </cell>
          <cell r="E8239" t="str">
            <v>1TV144G247</v>
          </cell>
        </row>
        <row r="8240">
          <cell r="D8240" t="str">
            <v>Intel Xeon E-2388G</v>
          </cell>
          <cell r="E8240" t="str">
            <v>1TV144G247</v>
          </cell>
        </row>
        <row r="8241">
          <cell r="D8241" t="str">
            <v>Intel Xeon E-2388G</v>
          </cell>
          <cell r="E8241" t="str">
            <v>1TV144G247</v>
          </cell>
        </row>
        <row r="8242">
          <cell r="D8242" t="str">
            <v>Intel Xeon E-2388G</v>
          </cell>
          <cell r="E8242" t="str">
            <v>1TV144G247</v>
          </cell>
        </row>
        <row r="8243">
          <cell r="D8243" t="str">
            <v>Intel Xeon E-2388G</v>
          </cell>
          <cell r="E8243" t="str">
            <v>1TV144G247</v>
          </cell>
        </row>
        <row r="8244">
          <cell r="D8244" t="str">
            <v>Intel Xeon E-2388G</v>
          </cell>
          <cell r="E8244" t="str">
            <v>1TV144G247</v>
          </cell>
        </row>
        <row r="8245">
          <cell r="D8245" t="str">
            <v>Intel Xeon E-2388G</v>
          </cell>
          <cell r="E8245" t="str">
            <v>1TV144G247</v>
          </cell>
        </row>
        <row r="8246">
          <cell r="D8246" t="str">
            <v>Intel Xeon E-2388G</v>
          </cell>
          <cell r="E8246" t="str">
            <v>1TV144G247</v>
          </cell>
        </row>
        <row r="8247">
          <cell r="D8247" t="str">
            <v>Intel Xeon E-2388G</v>
          </cell>
          <cell r="E8247" t="str">
            <v>1TV144G247</v>
          </cell>
        </row>
        <row r="8248">
          <cell r="D8248" t="str">
            <v>Intel Xeon E-2388G</v>
          </cell>
          <cell r="E8248" t="str">
            <v>1TV144G247</v>
          </cell>
          <cell r="K8248" t="str">
            <v>Pomyłka AB</v>
          </cell>
        </row>
        <row r="8249">
          <cell r="D8249" t="str">
            <v>Intel Xeon E-2388G</v>
          </cell>
          <cell r="E8249" t="str">
            <v>1TV144G247</v>
          </cell>
          <cell r="K8249" t="str">
            <v>Pomyłka AB</v>
          </cell>
        </row>
        <row r="8250">
          <cell r="D8250" t="str">
            <v>Intel Xeon E-2388G</v>
          </cell>
          <cell r="E8250" t="str">
            <v>1TV144G247</v>
          </cell>
          <cell r="K8250" t="str">
            <v>Pomyłka AB</v>
          </cell>
        </row>
        <row r="8251">
          <cell r="D8251" t="str">
            <v>Intel Xeon E-2388G</v>
          </cell>
          <cell r="E8251" t="str">
            <v>1TV144G247</v>
          </cell>
          <cell r="K8251" t="str">
            <v>Pomyłka AB</v>
          </cell>
        </row>
        <row r="8252">
          <cell r="D8252" t="str">
            <v>Intel Xeon E-2388G</v>
          </cell>
          <cell r="E8252" t="str">
            <v>1TV144G247</v>
          </cell>
          <cell r="K8252" t="str">
            <v>Pomyłka AB</v>
          </cell>
        </row>
        <row r="8253">
          <cell r="D8253" t="str">
            <v>Intel Xeon E-2388G</v>
          </cell>
          <cell r="E8253" t="str">
            <v>1TV144G247</v>
          </cell>
          <cell r="K8253" t="str">
            <v>Pomyłka AB</v>
          </cell>
        </row>
        <row r="8254">
          <cell r="D8254" t="str">
            <v>Intel Xeon E-2388G</v>
          </cell>
          <cell r="E8254" t="str">
            <v>1TV144G247</v>
          </cell>
          <cell r="K8254" t="str">
            <v>Pomyłka AB</v>
          </cell>
        </row>
        <row r="8255">
          <cell r="D8255" t="str">
            <v>Intel Xeon E-2388G</v>
          </cell>
          <cell r="E8255" t="str">
            <v>1TV144G247</v>
          </cell>
          <cell r="K8255" t="str">
            <v>Pomyłka AB</v>
          </cell>
        </row>
        <row r="8256">
          <cell r="D8256" t="str">
            <v>Intel Xeon E-2388G</v>
          </cell>
          <cell r="E8256" t="str">
            <v>1TV144G247</v>
          </cell>
          <cell r="K8256" t="str">
            <v>Pomyłka AB</v>
          </cell>
        </row>
        <row r="8257">
          <cell r="D8257" t="str">
            <v>Intel Xeon E-2388G</v>
          </cell>
          <cell r="E8257" t="str">
            <v>1TV144G247</v>
          </cell>
          <cell r="K8257" t="str">
            <v>Pomyłka AB</v>
          </cell>
        </row>
        <row r="8258">
          <cell r="D8258" t="str">
            <v>Intel Xeon E-2388G</v>
          </cell>
          <cell r="E8258" t="str">
            <v>1TV144G247</v>
          </cell>
          <cell r="K8258" t="str">
            <v>Pomyłka AB</v>
          </cell>
        </row>
        <row r="8259">
          <cell r="D8259" t="str">
            <v>Intel Xeon E-2388G</v>
          </cell>
          <cell r="E8259" t="str">
            <v>1TV144G247</v>
          </cell>
          <cell r="K8259" t="str">
            <v>Pomyłka AB</v>
          </cell>
        </row>
        <row r="8260">
          <cell r="D8260" t="str">
            <v>Intel Xeon E-2388G</v>
          </cell>
          <cell r="E8260" t="str">
            <v>1TV144G247</v>
          </cell>
          <cell r="K8260" t="str">
            <v>Pomyłka AB</v>
          </cell>
        </row>
        <row r="8261">
          <cell r="D8261" t="str">
            <v>Intel Xeon E-2388G</v>
          </cell>
          <cell r="E8261" t="str">
            <v>1TV144G247</v>
          </cell>
          <cell r="K8261" t="str">
            <v>Pomyłka AB</v>
          </cell>
        </row>
        <row r="8262">
          <cell r="D8262" t="str">
            <v>Intel Xeon E-2388G</v>
          </cell>
          <cell r="E8262" t="str">
            <v>1TV144G247</v>
          </cell>
          <cell r="K8262" t="str">
            <v>Pomyłka AB</v>
          </cell>
        </row>
        <row r="8263">
          <cell r="D8263" t="str">
            <v>Intel Xeon E-2388G</v>
          </cell>
          <cell r="E8263" t="str">
            <v>1TV144H920  81Q774301685</v>
          </cell>
        </row>
        <row r="8264">
          <cell r="D8264" t="str">
            <v>Intel Xeon E-2388G</v>
          </cell>
          <cell r="E8264" t="str">
            <v>1TV144H920  81Q774301684</v>
          </cell>
        </row>
        <row r="8265">
          <cell r="D8265" t="str">
            <v>Intel Xeon E-2388G</v>
          </cell>
          <cell r="E8265" t="str">
            <v>1TV144H920  81Q774301704</v>
          </cell>
        </row>
        <row r="8266">
          <cell r="D8266" t="str">
            <v>Intel Xeon E-2388G</v>
          </cell>
          <cell r="E8266" t="str">
            <v>1TV144H920  81Q774302170</v>
          </cell>
        </row>
        <row r="8267">
          <cell r="D8267" t="str">
            <v>Intel Xeon E-2388G</v>
          </cell>
          <cell r="E8267" t="str">
            <v>1TV144H920  81Q774302063</v>
          </cell>
        </row>
        <row r="8268">
          <cell r="D8268" t="str">
            <v>Intel Xeon E-2388G</v>
          </cell>
          <cell r="E8268" t="str">
            <v>1TV144H920  81Q774302075</v>
          </cell>
        </row>
        <row r="8269">
          <cell r="D8269" t="str">
            <v>Intel Xeon E-2388G</v>
          </cell>
          <cell r="E8269" t="str">
            <v>1TV203H899</v>
          </cell>
          <cell r="K8269" t="str">
            <v>Otwarte całkowicie, Pomyłka AB</v>
          </cell>
        </row>
        <row r="8270">
          <cell r="D8270" t="str">
            <v>Intel Xeon E-2388G</v>
          </cell>
          <cell r="E8270" t="str">
            <v>1TV203H899</v>
          </cell>
          <cell r="K8270" t="str">
            <v>Otwarte całkowicie, Pomyłka AB</v>
          </cell>
        </row>
        <row r="8271">
          <cell r="D8271" t="str">
            <v>Intel Xeon E-2388G</v>
          </cell>
          <cell r="E8271" t="str">
            <v>1TV203H899</v>
          </cell>
          <cell r="K8271" t="str">
            <v>Otwarte całkowicie, Pomyłka AB</v>
          </cell>
        </row>
        <row r="8272">
          <cell r="D8272" t="str">
            <v>Intel Xeon E-2388G</v>
          </cell>
          <cell r="E8272" t="str">
            <v>1TV203H899</v>
          </cell>
          <cell r="K8272" t="str">
            <v>Otwarte całkowicie, Pomyłka AB</v>
          </cell>
        </row>
        <row r="8273">
          <cell r="D8273" t="str">
            <v>Intel Xeon E-2388G</v>
          </cell>
          <cell r="E8273" t="str">
            <v>1TV203H899</v>
          </cell>
          <cell r="K8273" t="str">
            <v>Otwarte całkowicie, Pomyłka AB</v>
          </cell>
        </row>
        <row r="8274">
          <cell r="D8274" t="str">
            <v>Intel Xeon E-2388G</v>
          </cell>
          <cell r="E8274" t="str">
            <v>1TV203H899</v>
          </cell>
          <cell r="K8274" t="str">
            <v>Otwarte całkowicie, Pomyłka AB</v>
          </cell>
        </row>
        <row r="8275">
          <cell r="D8275" t="str">
            <v>Intel Xeon E-2388G</v>
          </cell>
          <cell r="E8275" t="str">
            <v>1TV203H899</v>
          </cell>
          <cell r="K8275" t="str">
            <v>Otwarte całkowicie, Pomyłka AB</v>
          </cell>
        </row>
        <row r="8276">
          <cell r="D8276" t="str">
            <v>Intel Xeon E-2388G</v>
          </cell>
          <cell r="E8276" t="str">
            <v>1TV203H899</v>
          </cell>
          <cell r="K8276" t="str">
            <v>Otwarte całkowicie, Pomyłka AB</v>
          </cell>
        </row>
        <row r="8277">
          <cell r="D8277" t="str">
            <v>Intel Xeon E-2388G</v>
          </cell>
          <cell r="E8277" t="str">
            <v>1TV203H899</v>
          </cell>
          <cell r="K8277" t="str">
            <v>Otwarte całkowicie, Pomyłka AB</v>
          </cell>
        </row>
        <row r="8278">
          <cell r="D8278" t="str">
            <v>Intel Xeon E-2388G</v>
          </cell>
          <cell r="E8278" t="str">
            <v>1TV203H899</v>
          </cell>
          <cell r="K8278" t="str">
            <v>Otwarte całkowicie, Pomyłka AB</v>
          </cell>
        </row>
        <row r="8279">
          <cell r="D8279" t="str">
            <v>M391A4G43AB1-CWE</v>
          </cell>
          <cell r="E8279" t="str">
            <v>SNL333</v>
          </cell>
        </row>
        <row r="8280">
          <cell r="D8280" t="str">
            <v>M391A4G43AB1-CWE</v>
          </cell>
          <cell r="E8280" t="str">
            <v>SNL334</v>
          </cell>
        </row>
        <row r="8281">
          <cell r="D8281" t="str">
            <v>M391A4G43AB1-CWE</v>
          </cell>
          <cell r="E8281" t="str">
            <v>SNL335</v>
          </cell>
        </row>
        <row r="8282">
          <cell r="D8282" t="str">
            <v>M391A4G43AB1-CWE</v>
          </cell>
          <cell r="E8282" t="str">
            <v>SNL336</v>
          </cell>
        </row>
        <row r="8283">
          <cell r="D8283" t="str">
            <v>M391A4G43AB1-CWE</v>
          </cell>
          <cell r="E8283" t="str">
            <v>SNL337</v>
          </cell>
        </row>
        <row r="8284">
          <cell r="D8284" t="str">
            <v>M391A4G43AB1-CWE</v>
          </cell>
          <cell r="E8284" t="str">
            <v>SNL338</v>
          </cell>
        </row>
        <row r="8285">
          <cell r="D8285" t="str">
            <v>M391A4G43AB1-CWE</v>
          </cell>
          <cell r="E8285" t="str">
            <v>SNL339</v>
          </cell>
        </row>
        <row r="8286">
          <cell r="D8286" t="str">
            <v>M391A4G43AB1-CWE</v>
          </cell>
          <cell r="E8286" t="str">
            <v>SNL340</v>
          </cell>
        </row>
        <row r="8287">
          <cell r="D8287" t="str">
            <v>MG09ACA18TE</v>
          </cell>
          <cell r="E8287" t="str">
            <v>Y1W0A05KFJDH</v>
          </cell>
        </row>
        <row r="8288">
          <cell r="D8288" t="str">
            <v>XEON E-2288G</v>
          </cell>
          <cell r="E8288" t="str">
            <v>X126G651 02424</v>
          </cell>
        </row>
        <row r="8289">
          <cell r="D8289" t="str">
            <v>MZ7L31T9HBLT-00A07</v>
          </cell>
          <cell r="E8289" t="str">
            <v>S6ESNE0T201694</v>
          </cell>
        </row>
        <row r="8290">
          <cell r="D8290" t="str">
            <v>MZ7L31T9HBLT-00A07</v>
          </cell>
          <cell r="E8290" t="str">
            <v>S6ESNE0T201702</v>
          </cell>
        </row>
        <row r="8291">
          <cell r="D8291" t="str">
            <v>MZ7L31T9HBLT-00A07</v>
          </cell>
          <cell r="E8291" t="str">
            <v>S6ESNE0T201695</v>
          </cell>
        </row>
        <row r="8292">
          <cell r="D8292" t="str">
            <v>MZ7L31T9HBLT-00A07</v>
          </cell>
          <cell r="E8292" t="str">
            <v>S6ESNE0T201700</v>
          </cell>
        </row>
        <row r="8293">
          <cell r="D8293" t="str">
            <v>0B42258</v>
          </cell>
          <cell r="E8293" t="str">
            <v>VCK3129P</v>
          </cell>
        </row>
        <row r="8294">
          <cell r="D8294" t="str">
            <v>0B42258</v>
          </cell>
          <cell r="E8294" t="str">
            <v>VCK3560P</v>
          </cell>
        </row>
        <row r="8295">
          <cell r="D8295" t="str">
            <v>0B42258</v>
          </cell>
          <cell r="E8295" t="str">
            <v>VCK3805P</v>
          </cell>
        </row>
        <row r="8296">
          <cell r="D8296" t="str">
            <v>0B42258</v>
          </cell>
          <cell r="E8296" t="str">
            <v>VCK30L7P</v>
          </cell>
        </row>
        <row r="8297">
          <cell r="D8297" t="str">
            <v>0B42258</v>
          </cell>
          <cell r="E8297" t="str">
            <v>VCK34WTP</v>
          </cell>
        </row>
        <row r="8298">
          <cell r="D8298" t="str">
            <v>0B42258</v>
          </cell>
          <cell r="E8298" t="str">
            <v>VCK37M2P</v>
          </cell>
        </row>
        <row r="8299">
          <cell r="D8299" t="str">
            <v>0B42258</v>
          </cell>
          <cell r="E8299" t="str">
            <v>VCK382BP</v>
          </cell>
        </row>
        <row r="8300">
          <cell r="D8300" t="str">
            <v>0B42258</v>
          </cell>
          <cell r="E8300" t="str">
            <v>VCK312LP</v>
          </cell>
        </row>
        <row r="8301">
          <cell r="D8301" t="str">
            <v>0B42258</v>
          </cell>
          <cell r="E8301" t="str">
            <v>VCK37LKP</v>
          </cell>
        </row>
        <row r="8302">
          <cell r="D8302" t="str">
            <v>0B42258</v>
          </cell>
          <cell r="E8302" t="str">
            <v>VCK3820P</v>
          </cell>
        </row>
        <row r="8303">
          <cell r="D8303" t="str">
            <v>0B42258</v>
          </cell>
          <cell r="E8303" t="str">
            <v>VCK3120P</v>
          </cell>
        </row>
        <row r="8304">
          <cell r="D8304" t="str">
            <v>0B42258</v>
          </cell>
          <cell r="E8304" t="str">
            <v>VCK3554P</v>
          </cell>
        </row>
        <row r="8305">
          <cell r="D8305" t="str">
            <v>0B42258</v>
          </cell>
          <cell r="E8305" t="str">
            <v>VCK37XUP</v>
          </cell>
        </row>
        <row r="8306">
          <cell r="D8306" t="str">
            <v>0B42258</v>
          </cell>
          <cell r="E8306" t="str">
            <v>VCK3878P</v>
          </cell>
        </row>
        <row r="8307">
          <cell r="D8307" t="str">
            <v>0B42258</v>
          </cell>
          <cell r="E8307" t="str">
            <v>VCK312VP</v>
          </cell>
        </row>
        <row r="8308">
          <cell r="D8308" t="str">
            <v>0B42258</v>
          </cell>
          <cell r="E8308" t="str">
            <v>VCK37LSP</v>
          </cell>
        </row>
        <row r="8309">
          <cell r="D8309" t="str">
            <v>0B42258</v>
          </cell>
          <cell r="E8309" t="str">
            <v>VCK3822P</v>
          </cell>
        </row>
        <row r="8310">
          <cell r="D8310" t="str">
            <v>0B42258</v>
          </cell>
          <cell r="E8310" t="str">
            <v>VCK355DP</v>
          </cell>
        </row>
        <row r="8311">
          <cell r="D8311" t="str">
            <v>0B42258</v>
          </cell>
          <cell r="E8311" t="str">
            <v>VCK37Z9P</v>
          </cell>
        </row>
        <row r="8312">
          <cell r="D8312" t="str">
            <v>0B42258</v>
          </cell>
          <cell r="E8312" t="str">
            <v>VCK38BGP</v>
          </cell>
        </row>
        <row r="8313">
          <cell r="D8313" t="str">
            <v>MSN3420-CB2FC</v>
          </cell>
          <cell r="E8313" t="str">
            <v>MT2207X32148</v>
          </cell>
        </row>
        <row r="8314">
          <cell r="D8314" t="str">
            <v>MSN3420-CB2FC</v>
          </cell>
          <cell r="E8314" t="str">
            <v>MT2207X32149</v>
          </cell>
        </row>
        <row r="8315">
          <cell r="D8315" t="str">
            <v>MSN3420-CB2FC</v>
          </cell>
          <cell r="E8315" t="str">
            <v>MT2207X32165</v>
          </cell>
        </row>
        <row r="8316">
          <cell r="D8316" t="str">
            <v>MSN3420-CB2FC</v>
          </cell>
          <cell r="E8316" t="str">
            <v>MT2207X32166</v>
          </cell>
        </row>
        <row r="8317">
          <cell r="D8317" t="str">
            <v>MSN3420-CB2FC</v>
          </cell>
          <cell r="E8317" t="str">
            <v>MT2207X32163</v>
          </cell>
        </row>
        <row r="8318">
          <cell r="D8318" t="str">
            <v>MSN3420-CB2FC</v>
          </cell>
          <cell r="E8318" t="str">
            <v>MT2207X32164</v>
          </cell>
        </row>
        <row r="8319">
          <cell r="D8319" t="str">
            <v>MSN3420-CB2FC</v>
          </cell>
          <cell r="E8319" t="str">
            <v>MT2207X32157</v>
          </cell>
        </row>
        <row r="8320">
          <cell r="D8320" t="str">
            <v>MSN3420-CB2FC</v>
          </cell>
          <cell r="E8320" t="str">
            <v>MT2207X32158</v>
          </cell>
        </row>
        <row r="8321">
          <cell r="D8321" t="str">
            <v>MSN3420-CB2FC</v>
          </cell>
          <cell r="E8321" t="str">
            <v>MT2207X32159</v>
          </cell>
        </row>
        <row r="8322">
          <cell r="D8322" t="str">
            <v>MSN3420-CB2FC</v>
          </cell>
          <cell r="E8322" t="str">
            <v>MT2207X32160</v>
          </cell>
        </row>
        <row r="8323">
          <cell r="D8323" t="str">
            <v>MSN3420-CB2FC</v>
          </cell>
          <cell r="E8323" t="str">
            <v>MT2207X32161</v>
          </cell>
        </row>
        <row r="8324">
          <cell r="D8324" t="str">
            <v>MSN3420-CB2FC</v>
          </cell>
          <cell r="E8324" t="str">
            <v>MT2207X32162</v>
          </cell>
        </row>
        <row r="8325">
          <cell r="D8325" t="str">
            <v>MSN3420-CB2FC</v>
          </cell>
          <cell r="E8325" t="str">
            <v>MT2206X16485</v>
          </cell>
        </row>
        <row r="8326">
          <cell r="D8326" t="str">
            <v>MSN3420-CB2FC</v>
          </cell>
          <cell r="E8326" t="str">
            <v>MT2207X32155</v>
          </cell>
        </row>
        <row r="8327">
          <cell r="D8327" t="str">
            <v>MSN3420-CB2FC</v>
          </cell>
          <cell r="E8327" t="str">
            <v>MT2207X32150</v>
          </cell>
        </row>
        <row r="8328">
          <cell r="D8328" t="str">
            <v>MSN3420-CB2FC</v>
          </cell>
          <cell r="E8328" t="str">
            <v>MT2207X32154</v>
          </cell>
        </row>
        <row r="8329">
          <cell r="D8329" t="str">
            <v>MSN3420-CB2FC</v>
          </cell>
          <cell r="E8329" t="str">
            <v>MT2207X32153</v>
          </cell>
        </row>
        <row r="8330">
          <cell r="D8330" t="str">
            <v>MSN3420-CB2FC</v>
          </cell>
          <cell r="E8330" t="str">
            <v>MT2207X32152</v>
          </cell>
        </row>
        <row r="8331">
          <cell r="D8331" t="str">
            <v>MSN3420-CB2FC</v>
          </cell>
          <cell r="E8331" t="str">
            <v>MT2207X32151</v>
          </cell>
        </row>
        <row r="8332">
          <cell r="D8332" t="str">
            <v>MSN3420-CB2FC</v>
          </cell>
          <cell r="E8332" t="str">
            <v>MT2207X32156</v>
          </cell>
        </row>
        <row r="8333">
          <cell r="D8333" t="str">
            <v>SSG-6029P-E1CR12L</v>
          </cell>
          <cell r="E8333" t="str">
            <v>A287475X2211021</v>
          </cell>
        </row>
        <row r="8334">
          <cell r="D8334" t="str">
            <v>CSE</v>
          </cell>
          <cell r="E8334" t="str">
            <v>C8260FK22P40728</v>
          </cell>
        </row>
        <row r="8335">
          <cell r="D8335" t="str">
            <v>MBD</v>
          </cell>
          <cell r="E8335" t="str">
            <v>ZM219S018005</v>
          </cell>
        </row>
        <row r="8336">
          <cell r="D8336" t="str">
            <v>PWS</v>
          </cell>
          <cell r="E8336" t="str">
            <v>P1K2ACL51RN1168</v>
          </cell>
        </row>
        <row r="8337">
          <cell r="D8337" t="str">
            <v>PWS</v>
          </cell>
          <cell r="E8337" t="str">
            <v>P1K2ACL51RN1176</v>
          </cell>
        </row>
        <row r="8338">
          <cell r="D8338" t="str">
            <v>AOC</v>
          </cell>
          <cell r="E8338" t="str">
            <v>VA21BS027563</v>
          </cell>
        </row>
        <row r="8339">
          <cell r="D8339" t="str">
            <v>AOC</v>
          </cell>
          <cell r="E8339" t="str">
            <v>JA21CS000300</v>
          </cell>
        </row>
        <row r="8340">
          <cell r="D8340" t="str">
            <v>BPN</v>
          </cell>
          <cell r="E8340" t="str">
            <v>HB221S030895</v>
          </cell>
        </row>
        <row r="8341">
          <cell r="D8341" t="str">
            <v>CPU</v>
          </cell>
          <cell r="E8341" t="str">
            <v>716N0U3401242</v>
          </cell>
        </row>
        <row r="8342">
          <cell r="D8342" t="str">
            <v>CPU</v>
          </cell>
          <cell r="E8342" t="str">
            <v>716N0U3401293</v>
          </cell>
        </row>
        <row r="8343">
          <cell r="D8343" t="str">
            <v>MEM</v>
          </cell>
          <cell r="E8343" t="str">
            <v>80AD0221422545157E</v>
          </cell>
        </row>
        <row r="8344">
          <cell r="D8344" t="str">
            <v>MEM</v>
          </cell>
          <cell r="E8344" t="str">
            <v>80AD022142254515FF</v>
          </cell>
        </row>
        <row r="8345">
          <cell r="D8345" t="str">
            <v>MEM</v>
          </cell>
          <cell r="E8345" t="str">
            <v>80AD0221422543E7DD</v>
          </cell>
        </row>
        <row r="8346">
          <cell r="D8346" t="str">
            <v>MEM</v>
          </cell>
          <cell r="E8346" t="str">
            <v>80AD0221422543E9DC</v>
          </cell>
        </row>
        <row r="8347">
          <cell r="D8347" t="str">
            <v>MEM</v>
          </cell>
          <cell r="E8347" t="str">
            <v>80AD0221422543E9D9</v>
          </cell>
        </row>
        <row r="8348">
          <cell r="D8348" t="str">
            <v>MEM</v>
          </cell>
          <cell r="E8348" t="str">
            <v>80AD02214225451402</v>
          </cell>
        </row>
        <row r="8349">
          <cell r="D8349" t="str">
            <v>MEM</v>
          </cell>
          <cell r="E8349" t="str">
            <v>80AD02214225451586</v>
          </cell>
        </row>
        <row r="8350">
          <cell r="D8350" t="str">
            <v>MEM</v>
          </cell>
          <cell r="E8350" t="str">
            <v>80AD022142254515BB</v>
          </cell>
        </row>
        <row r="8351">
          <cell r="D8351" t="str">
            <v>MEM</v>
          </cell>
          <cell r="E8351" t="str">
            <v>80AD022142254515F3</v>
          </cell>
        </row>
        <row r="8352">
          <cell r="D8352" t="str">
            <v>MEM</v>
          </cell>
          <cell r="E8352" t="str">
            <v>80AD02214225451577</v>
          </cell>
        </row>
        <row r="8353">
          <cell r="D8353" t="str">
            <v>MEM</v>
          </cell>
          <cell r="E8353" t="str">
            <v>80AD0221422545160B</v>
          </cell>
        </row>
        <row r="8354">
          <cell r="D8354" t="str">
            <v>MEM</v>
          </cell>
          <cell r="E8354" t="str">
            <v>80AD02214225451579</v>
          </cell>
        </row>
        <row r="8355">
          <cell r="D8355" t="str">
            <v>HDD</v>
          </cell>
          <cell r="E8355" t="str">
            <v>WS23LCCZ</v>
          </cell>
        </row>
        <row r="8356">
          <cell r="D8356" t="str">
            <v>HDD</v>
          </cell>
          <cell r="E8356" t="str">
            <v>WS23LBWA</v>
          </cell>
        </row>
        <row r="8357">
          <cell r="D8357" t="str">
            <v>HDD</v>
          </cell>
          <cell r="E8357" t="str">
            <v>WS23LCER</v>
          </cell>
        </row>
        <row r="8358">
          <cell r="D8358" t="str">
            <v>HDD</v>
          </cell>
          <cell r="E8358" t="str">
            <v>WS23LB1D</v>
          </cell>
        </row>
        <row r="8359">
          <cell r="D8359" t="str">
            <v>HDD</v>
          </cell>
          <cell r="E8359" t="str">
            <v>WS23LAV7</v>
          </cell>
        </row>
        <row r="8360">
          <cell r="D8360" t="str">
            <v>HDD</v>
          </cell>
          <cell r="E8360" t="str">
            <v>WS23LBSV</v>
          </cell>
        </row>
        <row r="8361">
          <cell r="D8361" t="str">
            <v>HDD</v>
          </cell>
          <cell r="E8361" t="str">
            <v>WS23LCF9</v>
          </cell>
        </row>
        <row r="8362">
          <cell r="D8362" t="str">
            <v>HDD</v>
          </cell>
          <cell r="E8362" t="str">
            <v>WS23LBV3</v>
          </cell>
        </row>
        <row r="8363">
          <cell r="D8363" t="str">
            <v>SSG-6029P-E1CR12L</v>
          </cell>
          <cell r="E8363" t="str">
            <v>A287475X2211019</v>
          </cell>
          <cell r="K8363" t="str">
            <v>AWARIA</v>
          </cell>
        </row>
        <row r="8364">
          <cell r="D8364" t="str">
            <v>CSE</v>
          </cell>
          <cell r="E8364" t="str">
            <v>C8260FK22P40761</v>
          </cell>
        </row>
        <row r="8365">
          <cell r="D8365" t="str">
            <v>MBD</v>
          </cell>
          <cell r="E8365" t="str">
            <v>ZM219S018155</v>
          </cell>
        </row>
        <row r="8366">
          <cell r="D8366" t="str">
            <v>PWS</v>
          </cell>
          <cell r="E8366" t="str">
            <v>P1K2ACL51RN1172</v>
          </cell>
        </row>
        <row r="8367">
          <cell r="D8367" t="str">
            <v>PWS</v>
          </cell>
          <cell r="E8367" t="str">
            <v>P1K2ACL51RN1170</v>
          </cell>
        </row>
        <row r="8368">
          <cell r="D8368" t="str">
            <v>AOC</v>
          </cell>
          <cell r="E8368" t="str">
            <v>VA21BS027254</v>
          </cell>
        </row>
        <row r="8369">
          <cell r="D8369" t="str">
            <v>AOC</v>
          </cell>
          <cell r="E8369" t="str">
            <v>JA21CS000292</v>
          </cell>
        </row>
        <row r="8370">
          <cell r="D8370" t="str">
            <v>BPN</v>
          </cell>
          <cell r="E8370" t="str">
            <v>HB21CS007692</v>
          </cell>
        </row>
        <row r="8371">
          <cell r="D8371" t="str">
            <v>CPU</v>
          </cell>
          <cell r="E8371" t="str">
            <v>716N0U3400819</v>
          </cell>
        </row>
        <row r="8372">
          <cell r="D8372" t="str">
            <v>CPU</v>
          </cell>
          <cell r="E8372" t="str">
            <v>716N0U3401004</v>
          </cell>
        </row>
        <row r="8373">
          <cell r="D8373" t="str">
            <v>MEM</v>
          </cell>
          <cell r="E8373" t="str">
            <v>80AD02212824729541</v>
          </cell>
        </row>
        <row r="8374">
          <cell r="D8374" t="str">
            <v>MEM</v>
          </cell>
          <cell r="E8374" t="str">
            <v>80AD022128247294FA</v>
          </cell>
        </row>
        <row r="8375">
          <cell r="D8375" t="str">
            <v>MEM</v>
          </cell>
          <cell r="E8375" t="str">
            <v>80AD0221282472954D</v>
          </cell>
        </row>
        <row r="8376">
          <cell r="D8376" t="str">
            <v>MEM</v>
          </cell>
          <cell r="E8376" t="str">
            <v>80AD0221282472953D</v>
          </cell>
        </row>
        <row r="8377">
          <cell r="D8377" t="str">
            <v>MEM</v>
          </cell>
          <cell r="E8377" t="str">
            <v>80AD022128247294E0</v>
          </cell>
        </row>
        <row r="8378">
          <cell r="D8378" t="str">
            <v>MEM</v>
          </cell>
          <cell r="E8378" t="str">
            <v>80AD022128247294F0</v>
          </cell>
        </row>
        <row r="8379">
          <cell r="D8379" t="str">
            <v>MEM</v>
          </cell>
          <cell r="E8379" t="str">
            <v>80AD02212824729547</v>
          </cell>
        </row>
        <row r="8380">
          <cell r="D8380" t="str">
            <v>MEM</v>
          </cell>
          <cell r="E8380" t="str">
            <v>80AD0221282472953E</v>
          </cell>
        </row>
        <row r="8381">
          <cell r="D8381" t="str">
            <v>MEM</v>
          </cell>
          <cell r="E8381" t="str">
            <v>80AD02214225451584</v>
          </cell>
        </row>
        <row r="8382">
          <cell r="D8382" t="str">
            <v>MEM</v>
          </cell>
          <cell r="E8382" t="str">
            <v>80AD02214225451580</v>
          </cell>
        </row>
        <row r="8383">
          <cell r="D8383" t="str">
            <v>MEM</v>
          </cell>
          <cell r="E8383" t="str">
            <v>80AD02214225451582</v>
          </cell>
        </row>
        <row r="8384">
          <cell r="D8384" t="str">
            <v>MEM</v>
          </cell>
          <cell r="E8384" t="str">
            <v>80AD0221422545157C</v>
          </cell>
        </row>
        <row r="8385">
          <cell r="D8385" t="str">
            <v>HDD</v>
          </cell>
          <cell r="E8385" t="str">
            <v>WS23LC2S</v>
          </cell>
        </row>
        <row r="8386">
          <cell r="D8386" t="str">
            <v>HDD</v>
          </cell>
          <cell r="E8386" t="str">
            <v>WS23LB3T</v>
          </cell>
        </row>
        <row r="8387">
          <cell r="D8387" t="str">
            <v>HDD</v>
          </cell>
          <cell r="E8387" t="str">
            <v>WS23LBEC</v>
          </cell>
        </row>
        <row r="8388">
          <cell r="D8388" t="str">
            <v>HDD</v>
          </cell>
          <cell r="E8388" t="str">
            <v>WS23LB1Y</v>
          </cell>
        </row>
        <row r="8389">
          <cell r="D8389" t="str">
            <v>HDD</v>
          </cell>
          <cell r="E8389" t="str">
            <v>WS23LADS</v>
          </cell>
        </row>
        <row r="8390">
          <cell r="D8390" t="str">
            <v>HDD</v>
          </cell>
          <cell r="E8390" t="str">
            <v>WS23LBDA</v>
          </cell>
        </row>
        <row r="8391">
          <cell r="D8391" t="str">
            <v>HDD</v>
          </cell>
          <cell r="E8391" t="str">
            <v>WS23LAG1</v>
          </cell>
        </row>
        <row r="8392">
          <cell r="D8392" t="str">
            <v>HDD</v>
          </cell>
          <cell r="E8392" t="str">
            <v>WS23LB9M</v>
          </cell>
        </row>
        <row r="8393">
          <cell r="D8393" t="str">
            <v>CSE-826BAC4-R1K23WB</v>
          </cell>
          <cell r="E8393" t="str">
            <v>C8260FK44P60048</v>
          </cell>
        </row>
        <row r="8394">
          <cell r="D8394" t="str">
            <v>PWS</v>
          </cell>
          <cell r="E8394" t="str">
            <v>P1K2ACM05SB3255</v>
          </cell>
        </row>
        <row r="8395">
          <cell r="D8395" t="str">
            <v>PWS</v>
          </cell>
          <cell r="E8395" t="str">
            <v>P1K2ACM05SB3254</v>
          </cell>
        </row>
        <row r="8396">
          <cell r="D8396" t="str">
            <v>BPN</v>
          </cell>
          <cell r="E8396" t="str">
            <v>HB219S030124</v>
          </cell>
        </row>
        <row r="8397">
          <cell r="D8397" t="str">
            <v>CSE-826BAC4-R1K23WB</v>
          </cell>
          <cell r="E8397" t="str">
            <v>C8260FK44P60056</v>
          </cell>
        </row>
        <row r="8398">
          <cell r="D8398" t="str">
            <v>PWS</v>
          </cell>
          <cell r="E8398" t="str">
            <v>P1K2ACM03SB2347</v>
          </cell>
        </row>
        <row r="8399">
          <cell r="D8399" t="str">
            <v>PWS</v>
          </cell>
          <cell r="E8399" t="str">
            <v>P1K2ACM03SB2346</v>
          </cell>
        </row>
        <row r="8400">
          <cell r="D8400" t="str">
            <v>BPN</v>
          </cell>
          <cell r="E8400" t="str">
            <v>HB219S030129</v>
          </cell>
        </row>
        <row r="8401">
          <cell r="D8401" t="str">
            <v>CSE-826BAC4-R1K23WB</v>
          </cell>
          <cell r="E8401" t="str">
            <v>C8260FK44P60042</v>
          </cell>
        </row>
        <row r="8402">
          <cell r="D8402" t="str">
            <v>PWS</v>
          </cell>
          <cell r="E8402" t="str">
            <v>P1K2ACM03SB2343</v>
          </cell>
        </row>
        <row r="8403">
          <cell r="D8403" t="str">
            <v>PWS</v>
          </cell>
          <cell r="E8403" t="str">
            <v>P1K2ACM03SB2342</v>
          </cell>
        </row>
        <row r="8404">
          <cell r="D8404" t="str">
            <v>BPN</v>
          </cell>
          <cell r="E8404" t="str">
            <v>HB219S030127</v>
          </cell>
        </row>
        <row r="8405">
          <cell r="D8405" t="str">
            <v>CSE-846BE1C-R1K03JBOD</v>
          </cell>
          <cell r="E8405" t="str">
            <v>C8460FK37MR0306</v>
          </cell>
        </row>
        <row r="8406">
          <cell r="D8406" t="str">
            <v>PWS</v>
          </cell>
          <cell r="E8406" t="str">
            <v>P1K03AL34SN0234</v>
          </cell>
        </row>
        <row r="8407">
          <cell r="D8407" t="str">
            <v>PWS</v>
          </cell>
          <cell r="E8407" t="str">
            <v>P1K03AL34SN0235</v>
          </cell>
        </row>
        <row r="8408">
          <cell r="D8408" t="str">
            <v>BPN</v>
          </cell>
          <cell r="E8408" t="str">
            <v>HB216S032124</v>
          </cell>
        </row>
        <row r="8409">
          <cell r="D8409" t="str">
            <v>BPN</v>
          </cell>
          <cell r="E8409" t="str">
            <v>OA218S013257</v>
          </cell>
        </row>
        <row r="8410">
          <cell r="D8410" t="str">
            <v>AOC</v>
          </cell>
          <cell r="E8410" t="str">
            <v>JA216S000595</v>
          </cell>
        </row>
        <row r="8411">
          <cell r="D8411" t="str">
            <v>SYS-530MT-H12TRF</v>
          </cell>
          <cell r="E8411" t="str">
            <v>A459735X2205517</v>
          </cell>
        </row>
        <row r="8412">
          <cell r="D8412" t="str">
            <v>CSE</v>
          </cell>
          <cell r="E8412" t="str">
            <v>C9390AK22P40102</v>
          </cell>
        </row>
        <row r="8413">
          <cell r="D8413" t="str">
            <v>AOC</v>
          </cell>
          <cell r="E8413" t="str">
            <v>WA216S011796</v>
          </cell>
        </row>
        <row r="8414">
          <cell r="D8414" t="str">
            <v>AOC</v>
          </cell>
          <cell r="E8414" t="str">
            <v>WA196S004812</v>
          </cell>
        </row>
        <row r="8415">
          <cell r="D8415" t="str">
            <v>BPN</v>
          </cell>
          <cell r="E8415" t="str">
            <v>JB216S003268</v>
          </cell>
        </row>
        <row r="8416">
          <cell r="D8416" t="str">
            <v>PWS</v>
          </cell>
          <cell r="E8416" t="str">
            <v>P2K2FCL52JB0187</v>
          </cell>
        </row>
        <row r="8417">
          <cell r="D8417" t="str">
            <v>PWS</v>
          </cell>
          <cell r="E8417" t="str">
            <v>P2K2FCL52JB0194</v>
          </cell>
        </row>
        <row r="8418">
          <cell r="D8418" t="str">
            <v>MBD</v>
          </cell>
          <cell r="E8418" t="str">
            <v>OM21CS044704</v>
          </cell>
        </row>
        <row r="8419">
          <cell r="D8419" t="str">
            <v>AOC</v>
          </cell>
          <cell r="E8419" t="str">
            <v>OA221S026424</v>
          </cell>
        </row>
        <row r="8420">
          <cell r="D8420" t="str">
            <v>AOC</v>
          </cell>
          <cell r="E8420" t="str">
            <v>VA217S000268</v>
          </cell>
        </row>
        <row r="8421">
          <cell r="D8421" t="str">
            <v>AOC</v>
          </cell>
          <cell r="E8421" t="str">
            <v>ZA21CS002983</v>
          </cell>
        </row>
        <row r="8422">
          <cell r="D8422" t="str">
            <v>AOC</v>
          </cell>
          <cell r="E8422" t="str">
            <v>UA21AS005140</v>
          </cell>
        </row>
        <row r="8423">
          <cell r="D8423" t="str">
            <v>MBD</v>
          </cell>
          <cell r="E8423" t="str">
            <v>OM21CS044696</v>
          </cell>
        </row>
        <row r="8424">
          <cell r="D8424" t="str">
            <v>AOC</v>
          </cell>
          <cell r="E8424" t="str">
            <v>OA221S026414</v>
          </cell>
        </row>
        <row r="8425">
          <cell r="D8425" t="str">
            <v>AOC</v>
          </cell>
          <cell r="E8425" t="str">
            <v>VA217S000296</v>
          </cell>
        </row>
        <row r="8426">
          <cell r="D8426" t="str">
            <v>AOC</v>
          </cell>
          <cell r="E8426" t="str">
            <v>ZA21CS002588</v>
          </cell>
        </row>
        <row r="8427">
          <cell r="D8427" t="str">
            <v>AOC</v>
          </cell>
          <cell r="E8427" t="str">
            <v>UA21AS005142</v>
          </cell>
        </row>
        <row r="8428">
          <cell r="D8428" t="str">
            <v>MBD</v>
          </cell>
          <cell r="E8428" t="str">
            <v>OM21CS044713</v>
          </cell>
        </row>
        <row r="8429">
          <cell r="D8429" t="str">
            <v>AOC</v>
          </cell>
          <cell r="E8429" t="str">
            <v>OA221S026413</v>
          </cell>
        </row>
        <row r="8430">
          <cell r="D8430" t="str">
            <v>AOC</v>
          </cell>
          <cell r="E8430" t="str">
            <v>VA217S000294</v>
          </cell>
        </row>
        <row r="8431">
          <cell r="D8431" t="str">
            <v>AOC</v>
          </cell>
          <cell r="E8431" t="str">
            <v>ZA21CS001794</v>
          </cell>
        </row>
        <row r="8432">
          <cell r="D8432" t="str">
            <v>AOC</v>
          </cell>
          <cell r="E8432" t="str">
            <v>UA21AS005139</v>
          </cell>
        </row>
        <row r="8433">
          <cell r="D8433" t="str">
            <v>MBD</v>
          </cell>
          <cell r="E8433" t="str">
            <v>OM21CS044699</v>
          </cell>
        </row>
        <row r="8434">
          <cell r="D8434" t="str">
            <v>AOC</v>
          </cell>
          <cell r="E8434" t="str">
            <v>OA221S026423</v>
          </cell>
        </row>
        <row r="8435">
          <cell r="D8435" t="str">
            <v>AOC</v>
          </cell>
          <cell r="E8435" t="str">
            <v>VA217S000283</v>
          </cell>
        </row>
        <row r="8436">
          <cell r="D8436" t="str">
            <v>AOC</v>
          </cell>
          <cell r="E8436" t="str">
            <v>ZA221S000687</v>
          </cell>
        </row>
        <row r="8437">
          <cell r="D8437" t="str">
            <v>MBD</v>
          </cell>
          <cell r="E8437" t="str">
            <v>OM21CS044690</v>
          </cell>
        </row>
        <row r="8438">
          <cell r="D8438" t="str">
            <v>AOC</v>
          </cell>
          <cell r="E8438" t="str">
            <v>OA221S026417</v>
          </cell>
        </row>
        <row r="8439">
          <cell r="D8439" t="str">
            <v>AOC</v>
          </cell>
          <cell r="E8439" t="str">
            <v>VA217S000284</v>
          </cell>
        </row>
        <row r="8440">
          <cell r="D8440" t="str">
            <v>AOC</v>
          </cell>
          <cell r="E8440" t="str">
            <v>ZA21AS005750</v>
          </cell>
        </row>
        <row r="8441">
          <cell r="D8441" t="str">
            <v>MBD</v>
          </cell>
          <cell r="E8441" t="str">
            <v>OM21CS044697</v>
          </cell>
        </row>
        <row r="8442">
          <cell r="D8442" t="str">
            <v>AOC</v>
          </cell>
          <cell r="E8442" t="str">
            <v>OA221S026425</v>
          </cell>
        </row>
        <row r="8443">
          <cell r="D8443" t="str">
            <v>AOC</v>
          </cell>
          <cell r="E8443" t="str">
            <v>VA217S000297</v>
          </cell>
        </row>
        <row r="8444">
          <cell r="D8444" t="str">
            <v>AOC</v>
          </cell>
          <cell r="E8444" t="str">
            <v>ZA21CS002555</v>
          </cell>
        </row>
        <row r="8445">
          <cell r="D8445" t="str">
            <v>MBD</v>
          </cell>
          <cell r="E8445" t="str">
            <v>OM21CS044712</v>
          </cell>
        </row>
        <row r="8446">
          <cell r="D8446" t="str">
            <v>AOC</v>
          </cell>
          <cell r="E8446" t="str">
            <v>OA221S026418</v>
          </cell>
        </row>
        <row r="8447">
          <cell r="D8447" t="str">
            <v>AOC</v>
          </cell>
          <cell r="E8447" t="str">
            <v>VA217S000298</v>
          </cell>
        </row>
        <row r="8448">
          <cell r="D8448" t="str">
            <v>AOC</v>
          </cell>
          <cell r="E8448" t="str">
            <v>ZA21CS001474</v>
          </cell>
        </row>
        <row r="8449">
          <cell r="D8449" t="str">
            <v>MBD</v>
          </cell>
          <cell r="E8449" t="str">
            <v>OM21CS044695</v>
          </cell>
        </row>
        <row r="8450">
          <cell r="D8450" t="str">
            <v>AOC</v>
          </cell>
          <cell r="E8450" t="str">
            <v>OA221S026422</v>
          </cell>
        </row>
        <row r="8451">
          <cell r="D8451" t="str">
            <v>AOC</v>
          </cell>
          <cell r="E8451" t="str">
            <v>VA217S000285</v>
          </cell>
        </row>
        <row r="8452">
          <cell r="D8452" t="str">
            <v>AOC</v>
          </cell>
          <cell r="E8452" t="str">
            <v>ZA21AS005758</v>
          </cell>
        </row>
        <row r="8453">
          <cell r="D8453" t="str">
            <v>MBD</v>
          </cell>
          <cell r="E8453" t="str">
            <v>OM21CS044710</v>
          </cell>
        </row>
        <row r="8454">
          <cell r="D8454" t="str">
            <v>AOC</v>
          </cell>
          <cell r="E8454" t="str">
            <v>OA221S026415</v>
          </cell>
        </row>
        <row r="8455">
          <cell r="D8455" t="str">
            <v>AOC</v>
          </cell>
          <cell r="E8455" t="str">
            <v>VA217S000292</v>
          </cell>
        </row>
        <row r="8456">
          <cell r="D8456" t="str">
            <v>AOC</v>
          </cell>
          <cell r="E8456" t="str">
            <v>ZA21CS002985</v>
          </cell>
        </row>
        <row r="8457">
          <cell r="D8457" t="str">
            <v>MBD</v>
          </cell>
          <cell r="E8457" t="str">
            <v>OM21CS044711</v>
          </cell>
        </row>
        <row r="8458">
          <cell r="D8458" t="str">
            <v>AOC</v>
          </cell>
          <cell r="E8458" t="str">
            <v>OA221S026421</v>
          </cell>
        </row>
        <row r="8459">
          <cell r="D8459" t="str">
            <v>AOC</v>
          </cell>
          <cell r="E8459" t="str">
            <v>VA217S000286</v>
          </cell>
        </row>
        <row r="8460">
          <cell r="D8460" t="str">
            <v>AOC</v>
          </cell>
          <cell r="E8460" t="str">
            <v>ZA21CS002640</v>
          </cell>
        </row>
        <row r="8461">
          <cell r="D8461" t="str">
            <v>MBD</v>
          </cell>
          <cell r="E8461" t="str">
            <v>OM21CS044723</v>
          </cell>
        </row>
        <row r="8462">
          <cell r="D8462" t="str">
            <v>AOC</v>
          </cell>
          <cell r="E8462" t="str">
            <v>OA221S026416</v>
          </cell>
        </row>
        <row r="8463">
          <cell r="D8463" t="str">
            <v>AOC</v>
          </cell>
          <cell r="E8463" t="str">
            <v>VA217S000291</v>
          </cell>
        </row>
        <row r="8464">
          <cell r="D8464" t="str">
            <v>AOC</v>
          </cell>
          <cell r="E8464" t="str">
            <v>ZA221S000693</v>
          </cell>
        </row>
        <row r="8465">
          <cell r="D8465" t="str">
            <v>MBD</v>
          </cell>
          <cell r="E8465" t="str">
            <v>OM21CS044691</v>
          </cell>
        </row>
        <row r="8466">
          <cell r="D8466" t="str">
            <v>AOC</v>
          </cell>
          <cell r="E8466" t="str">
            <v>OA221S026426</v>
          </cell>
        </row>
        <row r="8467">
          <cell r="D8467" t="str">
            <v>AOC</v>
          </cell>
          <cell r="E8467" t="str">
            <v>VA217S000287</v>
          </cell>
        </row>
        <row r="8468">
          <cell r="D8468" t="str">
            <v>AOC</v>
          </cell>
          <cell r="E8468" t="str">
            <v>ZA221S000249</v>
          </cell>
        </row>
        <row r="8469">
          <cell r="D8469" t="str">
            <v>CPU</v>
          </cell>
          <cell r="E8469" t="str">
            <v>U1PJ312005792</v>
          </cell>
        </row>
        <row r="8470">
          <cell r="D8470" t="str">
            <v>CPU</v>
          </cell>
          <cell r="E8470" t="str">
            <v>U1PJ312002651</v>
          </cell>
        </row>
        <row r="8471">
          <cell r="D8471" t="str">
            <v>CPU</v>
          </cell>
          <cell r="E8471" t="str">
            <v>U1PJ312005406</v>
          </cell>
        </row>
        <row r="8472">
          <cell r="D8472" t="str">
            <v>CPU</v>
          </cell>
          <cell r="E8472" t="str">
            <v>U1NR522001291</v>
          </cell>
        </row>
        <row r="8473">
          <cell r="D8473" t="str">
            <v>CPU</v>
          </cell>
          <cell r="E8473" t="str">
            <v>U1PJ312005567</v>
          </cell>
        </row>
        <row r="8474">
          <cell r="D8474" t="str">
            <v>CPU</v>
          </cell>
          <cell r="E8474" t="str">
            <v>U1NR522001726</v>
          </cell>
        </row>
        <row r="8475">
          <cell r="D8475" t="str">
            <v>CPU</v>
          </cell>
          <cell r="E8475" t="str">
            <v>U1L89X4905192</v>
          </cell>
        </row>
        <row r="8476">
          <cell r="D8476" t="str">
            <v>CPU</v>
          </cell>
          <cell r="E8476" t="str">
            <v>U1L89X4902009</v>
          </cell>
        </row>
        <row r="8477">
          <cell r="D8477" t="str">
            <v>CPU</v>
          </cell>
          <cell r="E8477" t="str">
            <v>U1L89X4902208</v>
          </cell>
        </row>
        <row r="8478">
          <cell r="D8478" t="str">
            <v>CPU</v>
          </cell>
          <cell r="E8478" t="str">
            <v>U1L89X4901022</v>
          </cell>
        </row>
        <row r="8479">
          <cell r="D8479" t="str">
            <v>CPU</v>
          </cell>
          <cell r="E8479" t="str">
            <v>U1YW442204018</v>
          </cell>
        </row>
        <row r="8480">
          <cell r="D8480" t="str">
            <v>CPU</v>
          </cell>
          <cell r="E8480" t="str">
            <v>U10G5B7705907</v>
          </cell>
        </row>
        <row r="8481">
          <cell r="D8481" t="str">
            <v>MEM</v>
          </cell>
          <cell r="E8481" t="str">
            <v>S802C0F21252FBE69C8</v>
          </cell>
        </row>
        <row r="8482">
          <cell r="D8482" t="str">
            <v>MEM</v>
          </cell>
          <cell r="E8482" t="str">
            <v>S802C0F21252FBE656B</v>
          </cell>
        </row>
        <row r="8483">
          <cell r="D8483" t="str">
            <v>MEM</v>
          </cell>
          <cell r="E8483" t="str">
            <v>S802C0F21252FBE69EF</v>
          </cell>
        </row>
        <row r="8484">
          <cell r="D8484" t="str">
            <v>MEM</v>
          </cell>
          <cell r="E8484" t="str">
            <v>S802C0F21252FBE6346</v>
          </cell>
        </row>
        <row r="8485">
          <cell r="D8485" t="str">
            <v>MEM</v>
          </cell>
          <cell r="E8485" t="str">
            <v>S802C0F21252FBE681D</v>
          </cell>
        </row>
        <row r="8486">
          <cell r="D8486" t="str">
            <v>MEM</v>
          </cell>
          <cell r="E8486" t="str">
            <v>S802C252128F29C0D82</v>
          </cell>
        </row>
        <row r="8487">
          <cell r="D8487" t="str">
            <v>MEM</v>
          </cell>
          <cell r="E8487" t="str">
            <v>S802C0F21252FBE69D8</v>
          </cell>
        </row>
        <row r="8488">
          <cell r="D8488" t="str">
            <v>MEM</v>
          </cell>
          <cell r="E8488" t="str">
            <v>S802C0F21252FBE699A</v>
          </cell>
        </row>
        <row r="8489">
          <cell r="D8489" t="str">
            <v>MEM</v>
          </cell>
          <cell r="E8489" t="str">
            <v>S802C0F21252FBE69EE</v>
          </cell>
        </row>
        <row r="8490">
          <cell r="D8490" t="str">
            <v>MEM</v>
          </cell>
          <cell r="E8490" t="str">
            <v>S802C0F21252FBE63DE</v>
          </cell>
        </row>
        <row r="8491">
          <cell r="D8491" t="str">
            <v>MEM</v>
          </cell>
          <cell r="E8491" t="str">
            <v>S802C0F21252FBE6978</v>
          </cell>
        </row>
        <row r="8492">
          <cell r="D8492" t="str">
            <v>MEM</v>
          </cell>
          <cell r="E8492" t="str">
            <v>S802C252128F29BEF20</v>
          </cell>
        </row>
        <row r="8493">
          <cell r="D8493" t="str">
            <v>HDS</v>
          </cell>
          <cell r="E8493" t="str">
            <v>PHLJ135605GG1P0UGN</v>
          </cell>
        </row>
        <row r="8494">
          <cell r="D8494" t="str">
            <v>HDS</v>
          </cell>
          <cell r="E8494" t="str">
            <v>PHLJ135607DM1P0UGN</v>
          </cell>
        </row>
        <row r="8495">
          <cell r="D8495" t="str">
            <v>HDS</v>
          </cell>
          <cell r="E8495" t="str">
            <v>PHLJ135605RX1P0UGN</v>
          </cell>
        </row>
        <row r="8496">
          <cell r="D8496" t="str">
            <v>HDS</v>
          </cell>
          <cell r="E8496" t="str">
            <v>PHLJ135607HR1P0UGN</v>
          </cell>
        </row>
        <row r="8497">
          <cell r="D8497" t="str">
            <v>HDS</v>
          </cell>
          <cell r="E8497" t="str">
            <v>PHLJ135607F51P0UGN</v>
          </cell>
        </row>
        <row r="8498">
          <cell r="D8498" t="str">
            <v>HDS</v>
          </cell>
          <cell r="E8498" t="str">
            <v>PHLJ135607D51P0UGN</v>
          </cell>
        </row>
        <row r="8499">
          <cell r="D8499" t="str">
            <v>HDS</v>
          </cell>
          <cell r="E8499" t="str">
            <v>PHYF137601021P9DGN</v>
          </cell>
        </row>
        <row r="8500">
          <cell r="D8500" t="str">
            <v>HDS</v>
          </cell>
          <cell r="E8500" t="str">
            <v>PHYF137600WM1P9DGN</v>
          </cell>
        </row>
        <row r="8501">
          <cell r="D8501" t="str">
            <v>HDS</v>
          </cell>
          <cell r="E8501" t="str">
            <v>PHYF137601081P9DGN</v>
          </cell>
        </row>
        <row r="8502">
          <cell r="D8502" t="str">
            <v>HDS</v>
          </cell>
          <cell r="E8502" t="str">
            <v>PHYF137600T11P9DGN</v>
          </cell>
        </row>
        <row r="8503">
          <cell r="D8503" t="str">
            <v>HDS</v>
          </cell>
          <cell r="E8503" t="str">
            <v>PHYF137600RE1P9DGN</v>
          </cell>
        </row>
        <row r="8504">
          <cell r="D8504" t="str">
            <v>HDS</v>
          </cell>
          <cell r="E8504" t="str">
            <v>PHYF137600TU1P9DGN</v>
          </cell>
        </row>
        <row r="8505">
          <cell r="D8505" t="str">
            <v>MBD-X10SRI-F-B</v>
          </cell>
          <cell r="E8505" t="str">
            <v>NM21CS000766</v>
          </cell>
        </row>
        <row r="8506">
          <cell r="D8506" t="str">
            <v>MBD-X10SRI-F-B</v>
          </cell>
          <cell r="E8506" t="str">
            <v>OM21AS026962</v>
          </cell>
        </row>
        <row r="8507">
          <cell r="D8507" t="str">
            <v>MBD-X10SRI-F-B</v>
          </cell>
          <cell r="E8507" t="str">
            <v>OM21AS026963</v>
          </cell>
        </row>
        <row r="8508">
          <cell r="D8508" t="str">
            <v>MBD-X10SRI-F-B</v>
          </cell>
          <cell r="E8508" t="str">
            <v>OM21AS026961</v>
          </cell>
        </row>
        <row r="8509">
          <cell r="D8509" t="str">
            <v>MBD-X10SRI-F-B</v>
          </cell>
          <cell r="E8509" t="str">
            <v>OM21AS027000</v>
          </cell>
        </row>
        <row r="8510">
          <cell r="D8510" t="str">
            <v>MBD-X11SCL-LN4F-B</v>
          </cell>
          <cell r="E8510" t="str">
            <v>ZM21BS021238</v>
          </cell>
        </row>
        <row r="8511">
          <cell r="D8511" t="str">
            <v>MBD-X11SCL-LN4F-B</v>
          </cell>
          <cell r="E8511" t="str">
            <v>ZM21CS012610</v>
          </cell>
        </row>
        <row r="8512">
          <cell r="D8512" t="str">
            <v>MBD-X11SCL-LN4F-B</v>
          </cell>
          <cell r="E8512" t="str">
            <v>ZM21BS021158</v>
          </cell>
        </row>
        <row r="8513">
          <cell r="D8513" t="str">
            <v>MBD-X11SCL-LN4F-B</v>
          </cell>
          <cell r="E8513" t="str">
            <v>ZM21CS012671</v>
          </cell>
        </row>
        <row r="8514">
          <cell r="D8514" t="str">
            <v>HDS-TUN0-KCD6XVUL3T20</v>
          </cell>
          <cell r="E8514" t="str">
            <v>1260A0DDT4T8</v>
          </cell>
        </row>
        <row r="8515">
          <cell r="D8515" t="str">
            <v>HDS-TUN0-KCD6XVUL3T20</v>
          </cell>
          <cell r="E8515" t="str">
            <v>1250A06DT4T8</v>
          </cell>
        </row>
        <row r="8516">
          <cell r="D8516" t="str">
            <v>HDS-TUN0-KCD6XVUL3T20</v>
          </cell>
          <cell r="E8516" t="str">
            <v>1260A0JBT4T8</v>
          </cell>
        </row>
        <row r="8517">
          <cell r="D8517" t="str">
            <v>HDS-TUN0-KCD6XVUL3T20</v>
          </cell>
          <cell r="E8517" t="str">
            <v>1260A0J6T4T8</v>
          </cell>
        </row>
        <row r="8518">
          <cell r="D8518" t="str">
            <v>HDS-TUN0-KCD6XVUL3T20</v>
          </cell>
          <cell r="E8518" t="str">
            <v>1260A0HXT4T8</v>
          </cell>
        </row>
        <row r="8519">
          <cell r="D8519" t="str">
            <v>HDS-TUN0-KCD6XVUL3T20</v>
          </cell>
          <cell r="E8519" t="str">
            <v>1260A0HYT4T8</v>
          </cell>
        </row>
        <row r="8520">
          <cell r="D8520" t="str">
            <v>HDS-TUN0-KCD6XVUL3T20</v>
          </cell>
          <cell r="E8520" t="str">
            <v>1260A0J0T4T8</v>
          </cell>
        </row>
        <row r="8521">
          <cell r="D8521" t="str">
            <v>HDS-TUN0-KCD6XVUL3T20</v>
          </cell>
          <cell r="E8521" t="str">
            <v>1260A0FBT4T8</v>
          </cell>
        </row>
        <row r="8522">
          <cell r="D8522" t="str">
            <v>HDS-TUN0-KCD6XVUL3T20</v>
          </cell>
          <cell r="E8522" t="str">
            <v>1260A0FKT4T8</v>
          </cell>
        </row>
        <row r="8523">
          <cell r="D8523" t="str">
            <v>HDS-TUN0-KCD6XVUL3T20</v>
          </cell>
          <cell r="E8523" t="str">
            <v>1260A0QGT4T8</v>
          </cell>
        </row>
        <row r="8524">
          <cell r="D8524" t="str">
            <v>HDS-TUN0-KCD6XVUL3T20</v>
          </cell>
          <cell r="E8524" t="str">
            <v>1260A0QAT4T8</v>
          </cell>
        </row>
        <row r="8525">
          <cell r="D8525" t="str">
            <v>HDS-TUN0-KCD6XVUL3T20</v>
          </cell>
          <cell r="E8525" t="str">
            <v>1260A0QCT4T8</v>
          </cell>
        </row>
        <row r="8526">
          <cell r="D8526" t="str">
            <v>HDS-TUN0-KCD6XVUL3T20</v>
          </cell>
          <cell r="E8526" t="str">
            <v>1260A0Q2T4T8</v>
          </cell>
        </row>
        <row r="8527">
          <cell r="D8527" t="str">
            <v>HDS-TUN0-KCD6XVUL3T20</v>
          </cell>
          <cell r="E8527" t="str">
            <v>1260A0QBT4T8</v>
          </cell>
        </row>
        <row r="8528">
          <cell r="D8528" t="str">
            <v>HDS-TUN0-KCD6XVUL3T20</v>
          </cell>
          <cell r="E8528" t="str">
            <v>1260A0HUT4T8</v>
          </cell>
        </row>
        <row r="8529">
          <cell r="D8529" t="str">
            <v>HDS-TUN0-KCD6XVUL3T20</v>
          </cell>
          <cell r="E8529" t="str">
            <v>1260A0JGT4T8</v>
          </cell>
        </row>
        <row r="8530">
          <cell r="D8530" t="str">
            <v>HDS-TUN0-KCD6XVUL3T20</v>
          </cell>
          <cell r="E8530" t="str">
            <v>1260A0J9T4T8</v>
          </cell>
        </row>
        <row r="8531">
          <cell r="D8531" t="str">
            <v>HDS-TUN0-KCD6XVUL3T20</v>
          </cell>
          <cell r="E8531" t="str">
            <v>1260A0QJT4T8</v>
          </cell>
        </row>
        <row r="8532">
          <cell r="D8532" t="str">
            <v>HDS-TUN0-KCD6XVUL3T20</v>
          </cell>
          <cell r="E8532" t="str">
            <v>1260A0QQT4T8</v>
          </cell>
        </row>
        <row r="8533">
          <cell r="D8533" t="str">
            <v>HDS-TUN0-KCD6XVUL3T20</v>
          </cell>
          <cell r="E8533" t="str">
            <v>1260A0QNT4T8</v>
          </cell>
        </row>
        <row r="8534">
          <cell r="D8534" t="str">
            <v>HDS-TUN0-KCD6XVUL3T20</v>
          </cell>
          <cell r="E8534" t="str">
            <v>1260A0QPT4T8</v>
          </cell>
        </row>
        <row r="8535">
          <cell r="D8535" t="str">
            <v>HDS-TUN0-KCD6XVUL3T20</v>
          </cell>
          <cell r="E8535" t="str">
            <v>1260A0FAT4T8</v>
          </cell>
        </row>
        <row r="8536">
          <cell r="D8536" t="str">
            <v>HDS-TUN0-KCD6XVUL3T20</v>
          </cell>
          <cell r="E8536" t="str">
            <v>1260A0FLT4T8</v>
          </cell>
        </row>
        <row r="8537">
          <cell r="D8537" t="str">
            <v>HDS-TUN0-KCD6XVUL3T20</v>
          </cell>
          <cell r="E8537" t="str">
            <v>1260A0Q3T4T8</v>
          </cell>
        </row>
        <row r="8538">
          <cell r="D8538" t="str">
            <v>RSC-R2UW-2E8R</v>
          </cell>
          <cell r="E8538" t="str">
            <v>VR217S000290</v>
          </cell>
        </row>
        <row r="8539">
          <cell r="D8539" t="str">
            <v>RSC-R2UW-2E8R</v>
          </cell>
          <cell r="E8539" t="str">
            <v>VR217S000288</v>
          </cell>
        </row>
        <row r="8540">
          <cell r="D8540" t="str">
            <v>RSC-R2UW-2E8R</v>
          </cell>
          <cell r="E8540" t="str">
            <v>VR217S000289</v>
          </cell>
        </row>
        <row r="8541">
          <cell r="D8541" t="str">
            <v>AOC-SLG3-2M2-O</v>
          </cell>
          <cell r="E8541" t="str">
            <v>VA21AS004963</v>
          </cell>
        </row>
        <row r="8542">
          <cell r="D8542" t="str">
            <v>PWS-1K04A-1R</v>
          </cell>
          <cell r="E8542" t="str">
            <v>P1K4ACK48NB0218</v>
          </cell>
        </row>
        <row r="8543">
          <cell r="D8543" t="str">
            <v>PWS-1K04A-1R</v>
          </cell>
          <cell r="E8543" t="str">
            <v>P1K4ACK48NB0215</v>
          </cell>
        </row>
        <row r="8544">
          <cell r="D8544" t="str">
            <v>MBD-X11DPI-NT-O</v>
          </cell>
          <cell r="E8544" t="str">
            <v>NM21BS003120</v>
          </cell>
        </row>
        <row r="8545">
          <cell r="D8545" t="str">
            <v>MBD-X11DDW-NT-O</v>
          </cell>
          <cell r="E8545" t="str">
            <v>OM216S023963</v>
          </cell>
        </row>
        <row r="8546">
          <cell r="D8546" t="str">
            <v>MBD-X11DDW-NT-O</v>
          </cell>
          <cell r="E8546" t="str">
            <v>OM216S049693</v>
          </cell>
        </row>
        <row r="8547">
          <cell r="D8547" t="str">
            <v>MBD-X11DDW-NT-O</v>
          </cell>
          <cell r="E8547" t="str">
            <v>OM216S049692</v>
          </cell>
        </row>
        <row r="8548">
          <cell r="D8548" t="str">
            <v>RSC-R2UW-2E8E16+</v>
          </cell>
          <cell r="E8548" t="str">
            <v>VR213S033500</v>
          </cell>
        </row>
        <row r="8549">
          <cell r="D8549" t="str">
            <v>RSC-R2UW-2E8E16+</v>
          </cell>
          <cell r="E8549" t="str">
            <v>VR213S033499</v>
          </cell>
        </row>
        <row r="8550">
          <cell r="D8550" t="str">
            <v>RSC-R2UW-2E8E16+</v>
          </cell>
          <cell r="E8550" t="str">
            <v>VR213S033485</v>
          </cell>
        </row>
        <row r="8551">
          <cell r="D8551" t="str">
            <v>0B42266</v>
          </cell>
          <cell r="E8551" t="str">
            <v>VCJT430P</v>
          </cell>
        </row>
        <row r="8552">
          <cell r="D8552" t="str">
            <v>0B42266</v>
          </cell>
          <cell r="E8552" t="str">
            <v>VCJSWTTP</v>
          </cell>
        </row>
        <row r="8553">
          <cell r="D8553" t="str">
            <v>0B42266</v>
          </cell>
          <cell r="E8553" t="str">
            <v>VCJT3W1P</v>
          </cell>
        </row>
        <row r="8554">
          <cell r="D8554" t="str">
            <v>0B42266</v>
          </cell>
          <cell r="E8554" t="str">
            <v>VCJT2AXP</v>
          </cell>
        </row>
        <row r="8555">
          <cell r="D8555" t="str">
            <v>0B42266</v>
          </cell>
          <cell r="E8555" t="str">
            <v>VCJSWS6P</v>
          </cell>
        </row>
        <row r="8556">
          <cell r="D8556" t="str">
            <v>0B42266</v>
          </cell>
          <cell r="E8556" t="str">
            <v>VCJS9HKP</v>
          </cell>
        </row>
        <row r="8557">
          <cell r="D8557" t="str">
            <v>MZ-77Q8T0BW</v>
          </cell>
          <cell r="E8557" t="str">
            <v>S5SSNF0T203020</v>
          </cell>
        </row>
        <row r="8558">
          <cell r="D8558" t="str">
            <v>MZ-77Q8T0BW</v>
          </cell>
          <cell r="E8558" t="str">
            <v>S5SSNF0T203011</v>
          </cell>
        </row>
        <row r="8559">
          <cell r="D8559" t="str">
            <v>MZ-77Q8T0BW</v>
          </cell>
          <cell r="E8559" t="str">
            <v>S5SSNF0T203004</v>
          </cell>
        </row>
        <row r="8560">
          <cell r="D8560" t="str">
            <v>MZ-77Q8T0BW</v>
          </cell>
          <cell r="E8560" t="str">
            <v>S5SSNF0T203018</v>
          </cell>
        </row>
        <row r="8561">
          <cell r="D8561" t="str">
            <v>MZ-77Q8T0BW</v>
          </cell>
          <cell r="E8561" t="str">
            <v>S5SSNF0T301833</v>
          </cell>
        </row>
        <row r="8562">
          <cell r="D8562" t="str">
            <v>MZ-77Q8T0BW</v>
          </cell>
          <cell r="E8562" t="str">
            <v>S5SSNF0T203024</v>
          </cell>
        </row>
        <row r="8563">
          <cell r="D8563" t="str">
            <v>MZ-77Q8T0BW</v>
          </cell>
          <cell r="E8563" t="str">
            <v>S5SSNF0T203027</v>
          </cell>
        </row>
        <row r="8564">
          <cell r="D8564" t="str">
            <v>MZ-77Q8T0BW</v>
          </cell>
          <cell r="E8564" t="str">
            <v>S5SSNF0T203022</v>
          </cell>
        </row>
        <row r="8565">
          <cell r="D8565" t="str">
            <v>MZ-77Q8T0BW</v>
          </cell>
          <cell r="E8565" t="str">
            <v>S5SSNF0T203023</v>
          </cell>
        </row>
        <row r="8566">
          <cell r="D8566" t="str">
            <v>MZ-77Q8T0BW</v>
          </cell>
          <cell r="E8566" t="str">
            <v>S5SSNF0T203021</v>
          </cell>
        </row>
        <row r="8567">
          <cell r="D8567" t="str">
            <v>MZ-77Q8T0BW</v>
          </cell>
          <cell r="E8567" t="str">
            <v>S5SSNF0T203019</v>
          </cell>
        </row>
        <row r="8568">
          <cell r="D8568" t="str">
            <v>MBD-X11SCW-F-O</v>
          </cell>
          <cell r="E8568" t="str">
            <v>ZM217S011753</v>
          </cell>
        </row>
        <row r="8569">
          <cell r="D8569" t="str">
            <v>MBD-X11SCW-F-O</v>
          </cell>
          <cell r="E8569" t="str">
            <v>ZM217S011833</v>
          </cell>
        </row>
        <row r="8570">
          <cell r="D8570" t="str">
            <v>MZ7L3480HCHQ-00A07</v>
          </cell>
          <cell r="E8570" t="str">
            <v>S664NE0RC33106</v>
          </cell>
        </row>
        <row r="8571">
          <cell r="D8571" t="str">
            <v>MZ7L3480HCHQ-00A07</v>
          </cell>
          <cell r="E8571" t="str">
            <v>S664NE0RC33332</v>
          </cell>
        </row>
        <row r="8572">
          <cell r="D8572" t="str">
            <v>MZ7L3480HCHQ-00A07</v>
          </cell>
          <cell r="E8572" t="str">
            <v>S664NE0RC33331</v>
          </cell>
        </row>
        <row r="8573">
          <cell r="D8573" t="str">
            <v>MZ7L3480HCHQ-00A07</v>
          </cell>
          <cell r="E8573" t="str">
            <v>S664NE0RC33334</v>
          </cell>
        </row>
        <row r="8574">
          <cell r="D8574" t="str">
            <v>MZ7LH1T9HMLT-00005</v>
          </cell>
          <cell r="E8574" t="str">
            <v>S455NC0T303771</v>
          </cell>
        </row>
        <row r="8575">
          <cell r="D8575" t="str">
            <v>MZ7LH1T9HMLT-00005</v>
          </cell>
          <cell r="E8575" t="str">
            <v>S455NC0T303765</v>
          </cell>
        </row>
        <row r="8576">
          <cell r="D8576" t="str">
            <v>MZ7LH1T9HMLT-00005</v>
          </cell>
          <cell r="E8576" t="str">
            <v>S455NC0T303769</v>
          </cell>
        </row>
        <row r="8577">
          <cell r="D8577" t="str">
            <v>MZ7LH1T9HMLT-00005</v>
          </cell>
          <cell r="E8577" t="str">
            <v>S455NC0T303774</v>
          </cell>
        </row>
        <row r="8578">
          <cell r="D8578" t="str">
            <v>MZ7LH1T9HMLT-00005</v>
          </cell>
          <cell r="E8578" t="str">
            <v>S455NC0T303777</v>
          </cell>
        </row>
        <row r="8579">
          <cell r="D8579" t="str">
            <v>MZ7LH1T9HMLT-00005</v>
          </cell>
          <cell r="E8579" t="str">
            <v>S455NC0T303779</v>
          </cell>
        </row>
        <row r="8580">
          <cell r="D8580" t="str">
            <v>MZ7LH1T9HMLT-00005</v>
          </cell>
          <cell r="E8580" t="str">
            <v>S455NC0T303780</v>
          </cell>
        </row>
        <row r="8581">
          <cell r="D8581" t="str">
            <v>MZ7LH1T9HMLT-00005</v>
          </cell>
          <cell r="E8581" t="str">
            <v>S455NC0T303782</v>
          </cell>
        </row>
        <row r="8582">
          <cell r="D8582" t="str">
            <v>MZ7LH1T9HMLT-00005</v>
          </cell>
          <cell r="E8582" t="str">
            <v>S455NC0T303787</v>
          </cell>
        </row>
        <row r="8583">
          <cell r="D8583" t="str">
            <v>MZ7LH1T9HMLT-00005</v>
          </cell>
          <cell r="E8583" t="str">
            <v>S455NC0T303784</v>
          </cell>
        </row>
        <row r="8584">
          <cell r="D8584" t="str">
            <v>MZ7LH1T9HMLT-00005</v>
          </cell>
          <cell r="E8584" t="str">
            <v>S455NC0T303783</v>
          </cell>
        </row>
        <row r="8585">
          <cell r="D8585" t="str">
            <v>MZ7LH1T9HMLT-00005</v>
          </cell>
          <cell r="E8585" t="str">
            <v>S455NC0T303778</v>
          </cell>
        </row>
        <row r="8586">
          <cell r="D8586" t="str">
            <v>MZ7LH1T9HMLT-00005</v>
          </cell>
          <cell r="E8586" t="str">
            <v>S455NC0T303785</v>
          </cell>
        </row>
        <row r="8587">
          <cell r="D8587" t="str">
            <v>MZ7LH1T9HMLT-00005</v>
          </cell>
          <cell r="E8587" t="str">
            <v>S455NC0T303788</v>
          </cell>
        </row>
        <row r="8588">
          <cell r="D8588" t="str">
            <v>MZ7LH1T9HMLT-00005</v>
          </cell>
          <cell r="E8588" t="str">
            <v>S455NC0T303781</v>
          </cell>
        </row>
        <row r="8589">
          <cell r="D8589" t="str">
            <v>MZ7LH1T9HMLT-00005</v>
          </cell>
          <cell r="E8589" t="str">
            <v>S455NC0T303786</v>
          </cell>
        </row>
        <row r="8590">
          <cell r="D8590" t="str">
            <v>MZ7LH1T9HMLT-00005</v>
          </cell>
          <cell r="E8590" t="str">
            <v>S455NC0T303808</v>
          </cell>
        </row>
        <row r="8591">
          <cell r="D8591" t="str">
            <v>MZ7LH1T9HMLT-00005</v>
          </cell>
          <cell r="E8591" t="str">
            <v>S455NC0T303802</v>
          </cell>
        </row>
        <row r="8592">
          <cell r="D8592" t="str">
            <v>MZ7LH1T9HMLT-00005</v>
          </cell>
          <cell r="E8592" t="str">
            <v>S455NC0T303729</v>
          </cell>
        </row>
        <row r="8593">
          <cell r="D8593" t="str">
            <v>MZ7LH1T9HMLT-00005</v>
          </cell>
          <cell r="E8593" t="str">
            <v>S455NC0T303878</v>
          </cell>
        </row>
        <row r="8594">
          <cell r="D8594" t="str">
            <v>MZ7LH1T9HMLT-00005</v>
          </cell>
          <cell r="E8594" t="str">
            <v>S455NC0T303806</v>
          </cell>
        </row>
        <row r="8595">
          <cell r="D8595" t="str">
            <v>MZ7LH1T9HMLT-00005</v>
          </cell>
          <cell r="E8595" t="str">
            <v>S455NC0T303811</v>
          </cell>
        </row>
        <row r="8596">
          <cell r="D8596" t="str">
            <v>MZ7LH1T9HMLT-00005</v>
          </cell>
          <cell r="E8596" t="str">
            <v>S455NC0T303801</v>
          </cell>
        </row>
        <row r="8597">
          <cell r="D8597" t="str">
            <v>MZ7LH1T9HMLT-00005</v>
          </cell>
          <cell r="E8597" t="str">
            <v>S455NC0T303803</v>
          </cell>
        </row>
        <row r="8598">
          <cell r="D8598" t="str">
            <v>MZ7LH1T9HMLT-00005</v>
          </cell>
          <cell r="E8598" t="str">
            <v>S455NC0T303805</v>
          </cell>
        </row>
        <row r="8599">
          <cell r="D8599" t="str">
            <v>MZ7LH1T9HMLT-00005</v>
          </cell>
          <cell r="E8599" t="str">
            <v>S455NC0T303807</v>
          </cell>
        </row>
        <row r="8600">
          <cell r="D8600" t="str">
            <v>MZ7LH1T9HMLT-00005</v>
          </cell>
          <cell r="E8600" t="str">
            <v>S455NC0T303812</v>
          </cell>
        </row>
        <row r="8601">
          <cell r="D8601" t="str">
            <v>MZ7LH1T9HMLT-00005</v>
          </cell>
          <cell r="E8601" t="str">
            <v>S455NC0T303809</v>
          </cell>
        </row>
        <row r="8602">
          <cell r="D8602" t="str">
            <v>MZ7LH1T9HMLT-00005</v>
          </cell>
          <cell r="E8602" t="str">
            <v>S455NC0T303795</v>
          </cell>
        </row>
        <row r="8603">
          <cell r="D8603" t="str">
            <v>MZ7LH1T9HMLT-00005</v>
          </cell>
          <cell r="E8603" t="str">
            <v>S455NC0T303790</v>
          </cell>
        </row>
        <row r="8604">
          <cell r="D8604" t="str">
            <v>MZ7LH1T9HMLT-00005</v>
          </cell>
          <cell r="E8604" t="str">
            <v>S455NC0T303797</v>
          </cell>
        </row>
        <row r="8605">
          <cell r="D8605" t="str">
            <v>MZ7LH1T9HMLT-00005</v>
          </cell>
          <cell r="E8605" t="str">
            <v>S455NC0T303800</v>
          </cell>
        </row>
        <row r="8606">
          <cell r="D8606" t="str">
            <v>MZ7LH1T9HMLT-00005</v>
          </cell>
          <cell r="E8606" t="str">
            <v>S455NC0T303793</v>
          </cell>
        </row>
        <row r="8607">
          <cell r="D8607" t="str">
            <v>MZ7LH1T9HMLT-00005</v>
          </cell>
          <cell r="E8607" t="str">
            <v>S455NC0T303798</v>
          </cell>
        </row>
        <row r="8608">
          <cell r="D8608" t="str">
            <v>MZ7LH1T9HMLT-00005</v>
          </cell>
          <cell r="E8608" t="str">
            <v>S455NC0T303789</v>
          </cell>
        </row>
        <row r="8609">
          <cell r="D8609" t="str">
            <v>MZ7LH1T9HMLT-00005</v>
          </cell>
          <cell r="E8609" t="str">
            <v>S455NC0T303791</v>
          </cell>
        </row>
        <row r="8610">
          <cell r="D8610" t="str">
            <v>MZ7LH1T9HMLT-00005</v>
          </cell>
          <cell r="E8610" t="str">
            <v>S455NC0T303792</v>
          </cell>
        </row>
        <row r="8611">
          <cell r="D8611" t="str">
            <v>MZ7LH1T9HMLT-00005</v>
          </cell>
          <cell r="E8611" t="str">
            <v>S455NC0T303794</v>
          </cell>
        </row>
        <row r="8612">
          <cell r="D8612" t="str">
            <v>MZ7LH1T9HMLT-00005</v>
          </cell>
          <cell r="E8612" t="str">
            <v>S455NC0T303799</v>
          </cell>
        </row>
        <row r="8613">
          <cell r="D8613" t="str">
            <v>MZ7LH1T9HMLT-00005</v>
          </cell>
          <cell r="E8613" t="str">
            <v>S455NC0T303796</v>
          </cell>
        </row>
        <row r="8614">
          <cell r="D8614" t="str">
            <v>MZ7LH1T9HMLT-00005</v>
          </cell>
          <cell r="E8614" t="str">
            <v>S455NC0T303745</v>
          </cell>
        </row>
        <row r="8615">
          <cell r="D8615" t="str">
            <v>MZ7LH1T9HMLT-00005</v>
          </cell>
          <cell r="E8615" t="str">
            <v>S455NC0T303739</v>
          </cell>
        </row>
        <row r="8616">
          <cell r="D8616" t="str">
            <v>MZ7LH1T9HMLT-00005</v>
          </cell>
          <cell r="E8616" t="str">
            <v>S455NC0T303748</v>
          </cell>
        </row>
        <row r="8617">
          <cell r="D8617" t="str">
            <v>MZ7LH1T9HMLT-00005</v>
          </cell>
          <cell r="E8617" t="str">
            <v>S455NC0T303751</v>
          </cell>
        </row>
        <row r="8618">
          <cell r="D8618" t="str">
            <v>MZ7LH1T9HMLT-00005</v>
          </cell>
          <cell r="E8618" t="str">
            <v>S455NC0T303742</v>
          </cell>
        </row>
        <row r="8619">
          <cell r="D8619" t="str">
            <v>MZ7LH1T9HMLT-00005</v>
          </cell>
          <cell r="E8619" t="str">
            <v>S455NC0T303749</v>
          </cell>
        </row>
        <row r="8620">
          <cell r="D8620" t="str">
            <v>MZ7LH1T9HMLT-00005</v>
          </cell>
          <cell r="E8620" t="str">
            <v>S455NC0T303880</v>
          </cell>
        </row>
        <row r="8621">
          <cell r="D8621" t="str">
            <v>MZ7LH1T9HMLT-00005</v>
          </cell>
          <cell r="E8621" t="str">
            <v>S455NC0T303889</v>
          </cell>
        </row>
        <row r="8622">
          <cell r="D8622" t="str">
            <v>MZ7LH1T9HMLT-00005</v>
          </cell>
          <cell r="E8622" t="str">
            <v>S455NC0T303890</v>
          </cell>
        </row>
        <row r="8623">
          <cell r="D8623" t="str">
            <v>MZ7LH1T9HMLT-00005</v>
          </cell>
          <cell r="E8623" t="str">
            <v>S455NC0T303597</v>
          </cell>
        </row>
        <row r="8624">
          <cell r="D8624" t="str">
            <v>MZ7LH1T9HMLT-00005</v>
          </cell>
          <cell r="E8624" t="str">
            <v>S455NC0T303931</v>
          </cell>
        </row>
        <row r="8625">
          <cell r="D8625" t="str">
            <v>MZ7LH1T9HMLT-00005</v>
          </cell>
          <cell r="E8625" t="str">
            <v>S455NC0T303885</v>
          </cell>
        </row>
        <row r="8626">
          <cell r="D8626" t="str">
            <v>MZ7LH1T9HMLT-00005</v>
          </cell>
          <cell r="E8626" t="str">
            <v>S455NC0T303926</v>
          </cell>
        </row>
        <row r="8627">
          <cell r="D8627" t="str">
            <v>MZ7LH1T9HMLT-00005</v>
          </cell>
          <cell r="E8627" t="str">
            <v>S455NC0T303930</v>
          </cell>
        </row>
        <row r="8628">
          <cell r="D8628" t="str">
            <v>MZ7LH1T9HMLT-00005</v>
          </cell>
          <cell r="E8628" t="str">
            <v>S455NC0T303924</v>
          </cell>
        </row>
        <row r="8629">
          <cell r="D8629" t="str">
            <v>MZ7LH1T9HMLT-00005</v>
          </cell>
          <cell r="E8629" t="str">
            <v>S455NC0T303886</v>
          </cell>
        </row>
        <row r="8630">
          <cell r="D8630" t="str">
            <v>MZ7LH1T9HMLT-00005</v>
          </cell>
          <cell r="E8630" t="str">
            <v>S455NC0T303929</v>
          </cell>
        </row>
        <row r="8631">
          <cell r="D8631" t="str">
            <v>MZ7LH1T9HMLT-00005</v>
          </cell>
          <cell r="E8631" t="str">
            <v>S455NC0T303927</v>
          </cell>
        </row>
        <row r="8632">
          <cell r="D8632" t="str">
            <v>MZ7LH1T9HMLT-00005</v>
          </cell>
          <cell r="E8632" t="str">
            <v>S455NC0T303914</v>
          </cell>
        </row>
        <row r="8633">
          <cell r="D8633" t="str">
            <v>MZ7LH1T9HMLT-00005</v>
          </cell>
          <cell r="E8633" t="str">
            <v>S455NC0T303916</v>
          </cell>
        </row>
        <row r="8634">
          <cell r="D8634" t="str">
            <v>MZ7LH1T9HMLT-00005</v>
          </cell>
          <cell r="E8634" t="str">
            <v>S455NC0T303894</v>
          </cell>
        </row>
        <row r="8635">
          <cell r="D8635" t="str">
            <v>MZ7LH1T9HMLT-00005</v>
          </cell>
          <cell r="E8635" t="str">
            <v>S455NC0T303897</v>
          </cell>
        </row>
        <row r="8636">
          <cell r="D8636" t="str">
            <v>MZ7LH1T9HMLT-00005</v>
          </cell>
          <cell r="E8636" t="str">
            <v>S455NC0T303919</v>
          </cell>
        </row>
        <row r="8637">
          <cell r="D8637" t="str">
            <v>MZ7LH1T9HMLT-00005</v>
          </cell>
          <cell r="E8637" t="str">
            <v>S455NC0T303918</v>
          </cell>
        </row>
        <row r="8638">
          <cell r="D8638" t="str">
            <v>MZ7LH1T9HMLT-00005</v>
          </cell>
          <cell r="E8638" t="str">
            <v>S455NC0T303892</v>
          </cell>
        </row>
        <row r="8639">
          <cell r="D8639" t="str">
            <v>MZ7LH1T9HMLT-00005</v>
          </cell>
          <cell r="E8639" t="str">
            <v>S455NC0T303893</v>
          </cell>
        </row>
        <row r="8640">
          <cell r="D8640" t="str">
            <v>MZ7LH1T9HMLT-00005</v>
          </cell>
          <cell r="E8640" t="str">
            <v>S455NC0T303895</v>
          </cell>
        </row>
        <row r="8641">
          <cell r="D8641" t="str">
            <v>MZ7LH1T9HMLT-00005</v>
          </cell>
          <cell r="E8641" t="str">
            <v>S455NC0T303920</v>
          </cell>
        </row>
        <row r="8642">
          <cell r="D8642" t="str">
            <v>MZ7LH1T9HMLT-00005</v>
          </cell>
          <cell r="E8642" t="str">
            <v>S455NC0T303917</v>
          </cell>
        </row>
        <row r="8643">
          <cell r="D8643" t="str">
            <v>MZ7LH1T9HMLT-00005</v>
          </cell>
          <cell r="E8643" t="str">
            <v>S455NC0T303896</v>
          </cell>
        </row>
        <row r="8644">
          <cell r="D8644" t="str">
            <v>MZ7LH1T9HMLT-00005</v>
          </cell>
          <cell r="E8644" t="str">
            <v>S455NC0T303716</v>
          </cell>
        </row>
        <row r="8645">
          <cell r="D8645" t="str">
            <v>MZ7LH1T9HMLT-00005</v>
          </cell>
          <cell r="E8645" t="str">
            <v>S455NC0T303717</v>
          </cell>
        </row>
        <row r="8646">
          <cell r="D8646" t="str">
            <v>MZ7LH1T9HMLT-00005</v>
          </cell>
          <cell r="E8646" t="str">
            <v>S455NC0T303715</v>
          </cell>
        </row>
        <row r="8647">
          <cell r="D8647" t="str">
            <v>MZ7LH1T9HMLT-00005</v>
          </cell>
          <cell r="E8647" t="str">
            <v>S455NC0T303710</v>
          </cell>
        </row>
        <row r="8648">
          <cell r="D8648" t="str">
            <v>MZ7LH1T9HMLT-00005</v>
          </cell>
          <cell r="E8648" t="str">
            <v>S455NC0T303719</v>
          </cell>
        </row>
        <row r="8649">
          <cell r="D8649" t="str">
            <v>MZ7LH1T9HMLT-00005</v>
          </cell>
          <cell r="E8649" t="str">
            <v>S455NC0T303720</v>
          </cell>
        </row>
        <row r="8650">
          <cell r="D8650" t="str">
            <v>MZ7LH1T9HMLT-00005</v>
          </cell>
          <cell r="E8650" t="str">
            <v>S455NC0T303601</v>
          </cell>
        </row>
        <row r="8651">
          <cell r="D8651" t="str">
            <v>MZ7LH1T9HMLT-00005</v>
          </cell>
          <cell r="E8651" t="str">
            <v>S455NC0T303598</v>
          </cell>
        </row>
        <row r="8652">
          <cell r="D8652" t="str">
            <v>MZ7LH1T9HMLT-00005</v>
          </cell>
          <cell r="E8652" t="str">
            <v>S455NC0T303614</v>
          </cell>
        </row>
        <row r="8653">
          <cell r="D8653" t="str">
            <v>MZ7LH1T9HMLT-00005</v>
          </cell>
          <cell r="E8653" t="str">
            <v>S455NC0T303607</v>
          </cell>
        </row>
        <row r="8654">
          <cell r="D8654" t="str">
            <v>MZ7LH1T9HMLT-00005</v>
          </cell>
          <cell r="E8654" t="str">
            <v>S455NC0T303605</v>
          </cell>
        </row>
        <row r="8655">
          <cell r="D8655" t="str">
            <v>MZ7LH1T9HMLT-00005</v>
          </cell>
          <cell r="E8655" t="str">
            <v>S455NC0T303606</v>
          </cell>
        </row>
        <row r="8656">
          <cell r="D8656" t="str">
            <v>MZ7LH1T9HMLT-00005</v>
          </cell>
          <cell r="E8656" t="str">
            <v>S455NC0T303604</v>
          </cell>
        </row>
        <row r="8657">
          <cell r="D8657" t="str">
            <v>MZ7LH1T9HMLT-00005</v>
          </cell>
          <cell r="E8657" t="str">
            <v>S455NC0T303613</v>
          </cell>
        </row>
        <row r="8658">
          <cell r="D8658" t="str">
            <v>MZ7LH1T9HMLT-00005</v>
          </cell>
          <cell r="E8658" t="str">
            <v>S455NC0T303611</v>
          </cell>
        </row>
        <row r="8659">
          <cell r="D8659" t="str">
            <v>MZ7LH1T9HMLT-00005</v>
          </cell>
          <cell r="E8659" t="str">
            <v>S455NC0T303596</v>
          </cell>
        </row>
        <row r="8660">
          <cell r="D8660" t="str">
            <v>MZ7LH1T9HMLT-00005</v>
          </cell>
          <cell r="E8660" t="str">
            <v>S455NC0T303608</v>
          </cell>
        </row>
        <row r="8661">
          <cell r="D8661" t="str">
            <v>MZ7LH1T9HMLT-00005</v>
          </cell>
          <cell r="E8661" t="str">
            <v>S455NC0T303609</v>
          </cell>
        </row>
        <row r="8662">
          <cell r="D8662" t="str">
            <v>MZ7LH1T9HMLT-00005</v>
          </cell>
          <cell r="E8662" t="str">
            <v>S455NC0T303734</v>
          </cell>
        </row>
        <row r="8663">
          <cell r="D8663" t="str">
            <v>MZ7LH1T9HMLT-00005</v>
          </cell>
          <cell r="E8663" t="str">
            <v>S455NC0T303735</v>
          </cell>
        </row>
        <row r="8664">
          <cell r="D8664" t="str">
            <v>MZ7LH1T9HMLT-00005</v>
          </cell>
          <cell r="E8664" t="str">
            <v>S455NC0T303740</v>
          </cell>
        </row>
        <row r="8665">
          <cell r="D8665" t="str">
            <v>MZ7LH1T9HMLT-00005</v>
          </cell>
          <cell r="E8665" t="str">
            <v>S455NC0T303750</v>
          </cell>
        </row>
        <row r="8666">
          <cell r="D8666" t="str">
            <v>MZ7LH1T9HMLT-00005</v>
          </cell>
          <cell r="E8666" t="str">
            <v>S455NC0T303743</v>
          </cell>
        </row>
        <row r="8667">
          <cell r="D8667" t="str">
            <v>MZ7LH1T9HMLT-00005</v>
          </cell>
          <cell r="E8667" t="str">
            <v>S455NC0T303741</v>
          </cell>
        </row>
        <row r="8668">
          <cell r="D8668" t="str">
            <v>MZ7LH1T9HMLT-00005</v>
          </cell>
          <cell r="E8668" t="str">
            <v>S455NC0T303728</v>
          </cell>
        </row>
        <row r="8669">
          <cell r="D8669" t="str">
            <v>MZ7LH1T9HMLT-00005</v>
          </cell>
          <cell r="E8669" t="str">
            <v>S455NC0T303810</v>
          </cell>
        </row>
        <row r="8670">
          <cell r="D8670" t="str">
            <v>MZ7LH1T9HMLT-00005</v>
          </cell>
          <cell r="E8670" t="str">
            <v>S455NC0T303724</v>
          </cell>
        </row>
        <row r="8671">
          <cell r="D8671" t="str">
            <v>MZ7LH1T9HMLT-00005</v>
          </cell>
          <cell r="E8671" t="str">
            <v>S455NC0T303727</v>
          </cell>
        </row>
        <row r="8672">
          <cell r="D8672" t="str">
            <v>MZ7LH1T9HMLT-00005</v>
          </cell>
          <cell r="E8672" t="str">
            <v>S455NC0T303732</v>
          </cell>
        </row>
        <row r="8673">
          <cell r="D8673" t="str">
            <v>MZ7LH1T9HMLT-00005</v>
          </cell>
          <cell r="E8673" t="str">
            <v>S455NC0T303761</v>
          </cell>
        </row>
        <row r="8674">
          <cell r="D8674" t="str">
            <v>X570D4U</v>
          </cell>
          <cell r="E8674" t="str">
            <v>EBS0XW011070</v>
          </cell>
        </row>
        <row r="8675">
          <cell r="D8675" t="str">
            <v>1PCD8069504449401</v>
          </cell>
          <cell r="E8675" t="str">
            <v>1T3207F803</v>
          </cell>
        </row>
        <row r="8676">
          <cell r="D8676" t="str">
            <v>1PCD8069504449401</v>
          </cell>
          <cell r="E8676" t="str">
            <v>1T3207F803</v>
          </cell>
        </row>
        <row r="8677">
          <cell r="D8677" t="str">
            <v>1PCD8069504449401</v>
          </cell>
          <cell r="E8677" t="str">
            <v>1T3207F803</v>
          </cell>
        </row>
        <row r="8678">
          <cell r="D8678" t="str">
            <v>1PCD8069504449401</v>
          </cell>
          <cell r="E8678" t="str">
            <v>1T3207F803</v>
          </cell>
        </row>
        <row r="8679">
          <cell r="D8679" t="str">
            <v>1PCD8069504449401</v>
          </cell>
          <cell r="E8679" t="str">
            <v>1T3205D739</v>
          </cell>
        </row>
        <row r="8680">
          <cell r="D8680" t="str">
            <v>1PCD8069504449401</v>
          </cell>
          <cell r="E8680" t="str">
            <v>1T3205D739</v>
          </cell>
        </row>
        <row r="8681">
          <cell r="D8681" t="str">
            <v>1PCD8069504449401</v>
          </cell>
          <cell r="E8681" t="str">
            <v>1T3205D739</v>
          </cell>
        </row>
        <row r="8682">
          <cell r="D8682" t="str">
            <v>1PCD8069504449401</v>
          </cell>
          <cell r="E8682" t="str">
            <v>1T3205D739</v>
          </cell>
        </row>
        <row r="8683">
          <cell r="D8683" t="str">
            <v>1PCD8069504449401</v>
          </cell>
          <cell r="E8683" t="str">
            <v>1T3205D739</v>
          </cell>
        </row>
        <row r="8684">
          <cell r="D8684" t="str">
            <v>1PCD8069504449401</v>
          </cell>
          <cell r="E8684" t="str">
            <v>1T3205D739</v>
          </cell>
        </row>
        <row r="8685">
          <cell r="D8685" t="str">
            <v>1PCD8069504449401</v>
          </cell>
          <cell r="E8685" t="str">
            <v>1T3205D739</v>
          </cell>
        </row>
        <row r="8686">
          <cell r="D8686" t="str">
            <v>1PCD8069504449401</v>
          </cell>
          <cell r="E8686" t="str">
            <v>1T3205D739</v>
          </cell>
        </row>
        <row r="8687">
          <cell r="D8687" t="str">
            <v>1PCD8069504449401</v>
          </cell>
          <cell r="E8687" t="str">
            <v>1T3205D739</v>
          </cell>
        </row>
        <row r="8688">
          <cell r="D8688" t="str">
            <v>1PCD8069504449401</v>
          </cell>
          <cell r="E8688" t="str">
            <v>1T3205D739</v>
          </cell>
        </row>
        <row r="8689">
          <cell r="D8689" t="str">
            <v>1PCD8069504449401</v>
          </cell>
          <cell r="E8689" t="str">
            <v>1T3205D739</v>
          </cell>
        </row>
        <row r="8690">
          <cell r="D8690" t="str">
            <v>1PCD8069504449401</v>
          </cell>
          <cell r="E8690" t="str">
            <v>1T3205D739</v>
          </cell>
        </row>
        <row r="8691">
          <cell r="D8691" t="str">
            <v>1PCD8069504449401</v>
          </cell>
          <cell r="E8691" t="str">
            <v>1T3205D739</v>
          </cell>
        </row>
        <row r="8692">
          <cell r="D8692" t="str">
            <v>1PCD8069504449401</v>
          </cell>
          <cell r="E8692" t="str">
            <v>1T3205D739</v>
          </cell>
        </row>
        <row r="8693">
          <cell r="D8693" t="str">
            <v>1PCD8069504449401</v>
          </cell>
          <cell r="E8693" t="str">
            <v>1T3205D739</v>
          </cell>
        </row>
        <row r="8694">
          <cell r="D8694" t="str">
            <v>1PCD8069504449401</v>
          </cell>
          <cell r="E8694" t="str">
            <v>1T3205D739</v>
          </cell>
        </row>
        <row r="8695">
          <cell r="D8695" t="str">
            <v>1PCD8069504449401</v>
          </cell>
          <cell r="E8695" t="str">
            <v>1T3205D739</v>
          </cell>
        </row>
        <row r="8696">
          <cell r="D8696" t="str">
            <v>1PCD8069504449401</v>
          </cell>
          <cell r="E8696" t="str">
            <v>1T3205D739</v>
          </cell>
        </row>
        <row r="8697">
          <cell r="D8697" t="str">
            <v>1PCD8069504449401</v>
          </cell>
          <cell r="E8697" t="str">
            <v>1T3205D739</v>
          </cell>
        </row>
        <row r="8698">
          <cell r="D8698" t="str">
            <v>1PCD8069504449401</v>
          </cell>
          <cell r="E8698" t="str">
            <v>1T3205D739</v>
          </cell>
        </row>
        <row r="8699">
          <cell r="D8699" t="str">
            <v>1PCD8069504449401</v>
          </cell>
          <cell r="E8699" t="str">
            <v>1T3205D658</v>
          </cell>
        </row>
        <row r="8700">
          <cell r="D8700" t="str">
            <v>1PCD8069504449401</v>
          </cell>
          <cell r="E8700" t="str">
            <v>1T3205D658</v>
          </cell>
        </row>
        <row r="8701">
          <cell r="D8701" t="str">
            <v>1PCD8069504449401</v>
          </cell>
          <cell r="E8701" t="str">
            <v>1T3205D658</v>
          </cell>
        </row>
        <row r="8702">
          <cell r="D8702" t="str">
            <v>1PCD8069504449401</v>
          </cell>
          <cell r="E8702" t="str">
            <v>1T3205D658</v>
          </cell>
        </row>
        <row r="8703">
          <cell r="D8703" t="str">
            <v>1PCD8069504449401</v>
          </cell>
          <cell r="E8703" t="str">
            <v>1T3205D658</v>
          </cell>
        </row>
        <row r="8704">
          <cell r="D8704" t="str">
            <v>1PCD8069504449401</v>
          </cell>
          <cell r="E8704" t="str">
            <v>1T3205D658</v>
          </cell>
        </row>
        <row r="8705">
          <cell r="D8705" t="str">
            <v>1PCD8069504449401</v>
          </cell>
          <cell r="E8705" t="str">
            <v>1T3205D658</v>
          </cell>
        </row>
        <row r="8706">
          <cell r="D8706" t="str">
            <v>1PCD8069504449401</v>
          </cell>
          <cell r="E8706" t="str">
            <v>1T3205D658</v>
          </cell>
        </row>
        <row r="8707">
          <cell r="D8707" t="str">
            <v>1PCD8069504449401</v>
          </cell>
          <cell r="E8707" t="str">
            <v>1T3205D658</v>
          </cell>
        </row>
        <row r="8708">
          <cell r="D8708" t="str">
            <v>1PCD8069504449401</v>
          </cell>
          <cell r="E8708" t="str">
            <v>1T3207F709</v>
          </cell>
        </row>
        <row r="8709">
          <cell r="D8709" t="str">
            <v>1PCD8069504449401</v>
          </cell>
          <cell r="E8709" t="str">
            <v>1T3207F709</v>
          </cell>
        </row>
        <row r="8710">
          <cell r="D8710" t="str">
            <v>1PCD8069504449401</v>
          </cell>
          <cell r="E8710" t="str">
            <v>1T3207F709</v>
          </cell>
        </row>
        <row r="8711">
          <cell r="D8711" t="str">
            <v>1PCD8069504449401</v>
          </cell>
          <cell r="E8711" t="str">
            <v>1T3207F709</v>
          </cell>
        </row>
        <row r="8712">
          <cell r="D8712" t="str">
            <v>1PCD8069504449401</v>
          </cell>
          <cell r="E8712" t="str">
            <v>1T3207F709</v>
          </cell>
        </row>
        <row r="8713">
          <cell r="D8713" t="str">
            <v>1PCD8069504449401</v>
          </cell>
          <cell r="E8713" t="str">
            <v>1T3207F709</v>
          </cell>
        </row>
        <row r="8714">
          <cell r="D8714" t="str">
            <v>1PCD8069504449401</v>
          </cell>
          <cell r="E8714" t="str">
            <v>1T3207F709</v>
          </cell>
        </row>
        <row r="8715">
          <cell r="D8715" t="str">
            <v>1PCD8069504449401</v>
          </cell>
          <cell r="E8715" t="str">
            <v>1T3207F709</v>
          </cell>
        </row>
        <row r="8716">
          <cell r="D8716" t="str">
            <v>1PCD8069504449401</v>
          </cell>
          <cell r="E8716" t="str">
            <v>1T3207F709</v>
          </cell>
        </row>
        <row r="8717">
          <cell r="D8717" t="str">
            <v>1PCD8069504449401</v>
          </cell>
          <cell r="E8717" t="str">
            <v>1T3207F709</v>
          </cell>
        </row>
        <row r="8718">
          <cell r="D8718" t="str">
            <v>1PCD8069504449401</v>
          </cell>
          <cell r="E8718" t="str">
            <v>1T3207F709</v>
          </cell>
        </row>
        <row r="8719">
          <cell r="D8719" t="str">
            <v>1PCD8069504449401</v>
          </cell>
          <cell r="E8719" t="str">
            <v>1T3207F709</v>
          </cell>
        </row>
        <row r="8720">
          <cell r="D8720" t="str">
            <v>1PCD8069504449401</v>
          </cell>
          <cell r="E8720" t="str">
            <v>1T3207F709</v>
          </cell>
        </row>
        <row r="8721">
          <cell r="D8721" t="str">
            <v>1PCD8069504449401</v>
          </cell>
          <cell r="E8721" t="str">
            <v>1T3207F709</v>
          </cell>
        </row>
        <row r="8722">
          <cell r="D8722" t="str">
            <v>1PCD8069504449401</v>
          </cell>
          <cell r="E8722" t="str">
            <v>1T3207F709</v>
          </cell>
        </row>
        <row r="8723">
          <cell r="D8723" t="str">
            <v>1PCD8069504449401</v>
          </cell>
          <cell r="E8723" t="str">
            <v>1T3207F709</v>
          </cell>
        </row>
        <row r="8724">
          <cell r="D8724" t="str">
            <v>1PCD8069504449401</v>
          </cell>
          <cell r="E8724" t="str">
            <v>1T3207F709</v>
          </cell>
        </row>
        <row r="8725">
          <cell r="D8725" t="str">
            <v>1PCD8069504449401</v>
          </cell>
          <cell r="E8725" t="str">
            <v>1T3207F661</v>
          </cell>
        </row>
        <row r="8726">
          <cell r="D8726" t="str">
            <v>1PCD8069504449401</v>
          </cell>
          <cell r="E8726" t="str">
            <v>1T3207F661</v>
          </cell>
        </row>
        <row r="8727">
          <cell r="D8727" t="str">
            <v>1PCD8069504449401</v>
          </cell>
          <cell r="E8727" t="str">
            <v>1T3207F661</v>
          </cell>
        </row>
        <row r="8728">
          <cell r="D8728" t="str">
            <v>1PCD8069504449401</v>
          </cell>
          <cell r="E8728" t="str">
            <v>1T3207F661</v>
          </cell>
        </row>
        <row r="8729">
          <cell r="D8729" t="str">
            <v>1PCD8069504449401</v>
          </cell>
          <cell r="E8729" t="str">
            <v>1T3207F661</v>
          </cell>
        </row>
        <row r="8730">
          <cell r="D8730" t="str">
            <v>1PCD8069504449401</v>
          </cell>
          <cell r="E8730" t="str">
            <v>1T3207F661</v>
          </cell>
        </row>
        <row r="8731">
          <cell r="D8731" t="str">
            <v>1PCD8069504449401</v>
          </cell>
          <cell r="E8731" t="str">
            <v>1T3207F661</v>
          </cell>
        </row>
        <row r="8732">
          <cell r="D8732" t="str">
            <v>1PCD8069504449401</v>
          </cell>
          <cell r="E8732" t="str">
            <v>1T3207F661</v>
          </cell>
        </row>
        <row r="8733">
          <cell r="D8733" t="str">
            <v>1PCD8069504449401</v>
          </cell>
          <cell r="E8733" t="str">
            <v>1T3207F661</v>
          </cell>
        </row>
        <row r="8734">
          <cell r="D8734" t="str">
            <v>1PCD8069504449401</v>
          </cell>
          <cell r="E8734" t="str">
            <v>1T3207F661</v>
          </cell>
        </row>
        <row r="8735">
          <cell r="D8735" t="str">
            <v>1PCD8069504449401</v>
          </cell>
          <cell r="E8735" t="str">
            <v>1T3207F661</v>
          </cell>
        </row>
        <row r="8736">
          <cell r="D8736" t="str">
            <v>1PCD8069504449401</v>
          </cell>
          <cell r="E8736" t="str">
            <v>1T3207F661</v>
          </cell>
        </row>
        <row r="8737">
          <cell r="D8737" t="str">
            <v>1PCD8069504449401</v>
          </cell>
          <cell r="E8737" t="str">
            <v>1T3207F661</v>
          </cell>
        </row>
        <row r="8738">
          <cell r="D8738" t="str">
            <v>1PCD8069504449401</v>
          </cell>
          <cell r="E8738" t="str">
            <v>1T3207F661</v>
          </cell>
        </row>
        <row r="8739">
          <cell r="D8739" t="str">
            <v>1PCD8069504449401</v>
          </cell>
          <cell r="E8739" t="str">
            <v>1T3207F661</v>
          </cell>
        </row>
        <row r="8740">
          <cell r="D8740" t="str">
            <v>1PCD8069504449401</v>
          </cell>
          <cell r="E8740" t="str">
            <v>1T3207F661</v>
          </cell>
        </row>
        <row r="8741">
          <cell r="D8741" t="str">
            <v>1PCD8069504449401</v>
          </cell>
          <cell r="E8741" t="str">
            <v>1T3208F989</v>
          </cell>
        </row>
        <row r="8742">
          <cell r="D8742" t="str">
            <v>1PCD8069504449401</v>
          </cell>
          <cell r="E8742" t="str">
            <v>1T3208F989</v>
          </cell>
        </row>
        <row r="8743">
          <cell r="D8743" t="str">
            <v>1PCD8069504449401</v>
          </cell>
          <cell r="E8743" t="str">
            <v>1T3208F989</v>
          </cell>
        </row>
        <row r="8744">
          <cell r="D8744" t="str">
            <v>1PCD8069504449401</v>
          </cell>
          <cell r="E8744" t="str">
            <v>1T3208F989</v>
          </cell>
        </row>
        <row r="8745">
          <cell r="D8745" t="str">
            <v>1PCD8069504449401</v>
          </cell>
          <cell r="E8745" t="str">
            <v>1T3208F989</v>
          </cell>
        </row>
        <row r="8746">
          <cell r="D8746" t="str">
            <v>1PCD8069504449401</v>
          </cell>
          <cell r="E8746" t="str">
            <v>1T3208F989</v>
          </cell>
        </row>
        <row r="8747">
          <cell r="D8747" t="str">
            <v>1PCD8069504449401</v>
          </cell>
          <cell r="E8747" t="str">
            <v>1T3208F989</v>
          </cell>
        </row>
        <row r="8748">
          <cell r="D8748" t="str">
            <v>1PCD8069504449401</v>
          </cell>
          <cell r="E8748" t="str">
            <v>1T3208F989</v>
          </cell>
        </row>
        <row r="8749">
          <cell r="D8749" t="str">
            <v>1PCD8069504449401</v>
          </cell>
          <cell r="E8749" t="str">
            <v>1T3208F989</v>
          </cell>
        </row>
        <row r="8750">
          <cell r="D8750" t="str">
            <v>1PCD8069504449401</v>
          </cell>
          <cell r="E8750" t="str">
            <v>1T3208F989</v>
          </cell>
        </row>
        <row r="8751">
          <cell r="D8751" t="str">
            <v>1PCD8069504449401</v>
          </cell>
          <cell r="E8751" t="str">
            <v>1T3208F989</v>
          </cell>
        </row>
        <row r="8752">
          <cell r="D8752" t="str">
            <v>1PCD8069504449401</v>
          </cell>
          <cell r="E8752" t="str">
            <v>1T3208F989</v>
          </cell>
        </row>
        <row r="8753">
          <cell r="D8753" t="str">
            <v>1PCD8069504449401</v>
          </cell>
          <cell r="E8753" t="str">
            <v>1T3208F989</v>
          </cell>
        </row>
        <row r="8754">
          <cell r="D8754" t="str">
            <v>1PCD8069504449401</v>
          </cell>
          <cell r="E8754" t="str">
            <v>1T3208F989</v>
          </cell>
        </row>
        <row r="8755">
          <cell r="D8755" t="str">
            <v>1PCD8069504449401</v>
          </cell>
          <cell r="E8755" t="str">
            <v>1T3208F989</v>
          </cell>
        </row>
        <row r="8756">
          <cell r="D8756" t="str">
            <v>1PCD8069504449401</v>
          </cell>
          <cell r="E8756" t="str">
            <v>1T3208F989</v>
          </cell>
        </row>
        <row r="8757">
          <cell r="D8757" t="str">
            <v>1PCD8069504449401</v>
          </cell>
          <cell r="E8757" t="str">
            <v>1T3208F989</v>
          </cell>
        </row>
        <row r="8758">
          <cell r="D8758" t="str">
            <v>1PCD8069504449401</v>
          </cell>
          <cell r="E8758" t="str">
            <v>1T3208F989</v>
          </cell>
        </row>
        <row r="8759">
          <cell r="D8759" t="str">
            <v>1PCD8069504449401</v>
          </cell>
          <cell r="E8759" t="str">
            <v>1T3209F202</v>
          </cell>
        </row>
        <row r="8760">
          <cell r="D8760" t="str">
            <v>1PCD8069504449401</v>
          </cell>
          <cell r="E8760" t="str">
            <v>1T3209F202</v>
          </cell>
        </row>
        <row r="8761">
          <cell r="D8761" t="str">
            <v>1PCD8069504449401</v>
          </cell>
          <cell r="E8761" t="str">
            <v>1T3209F202</v>
          </cell>
        </row>
        <row r="8762">
          <cell r="D8762" t="str">
            <v>1PCD8069504449401</v>
          </cell>
          <cell r="E8762" t="str">
            <v>1T3209F022</v>
          </cell>
        </row>
        <row r="8763">
          <cell r="D8763" t="str">
            <v>1PCD8069504449401</v>
          </cell>
          <cell r="E8763" t="str">
            <v>1T3209F022</v>
          </cell>
        </row>
        <row r="8764">
          <cell r="D8764" t="str">
            <v>1PCD8069504449401</v>
          </cell>
          <cell r="E8764" t="str">
            <v>1T3209F022</v>
          </cell>
        </row>
        <row r="8765">
          <cell r="D8765" t="str">
            <v>1PCD8069504449401</v>
          </cell>
          <cell r="E8765" t="str">
            <v>1T3209F022</v>
          </cell>
        </row>
        <row r="8766">
          <cell r="D8766" t="str">
            <v>1PCD8069504449401</v>
          </cell>
          <cell r="E8766" t="str">
            <v>1T3209F022</v>
          </cell>
        </row>
        <row r="8767">
          <cell r="D8767" t="str">
            <v>1PCD8069504449401</v>
          </cell>
          <cell r="E8767" t="str">
            <v>1T3209F022</v>
          </cell>
        </row>
        <row r="8768">
          <cell r="D8768" t="str">
            <v>1PCD8069504449401</v>
          </cell>
          <cell r="E8768" t="str">
            <v>1T3209F022</v>
          </cell>
        </row>
        <row r="8769">
          <cell r="D8769" t="str">
            <v>1PCD8069504449401</v>
          </cell>
          <cell r="E8769" t="str">
            <v>1T3209F022</v>
          </cell>
        </row>
        <row r="8770">
          <cell r="D8770" t="str">
            <v>1PCD8069504449401</v>
          </cell>
          <cell r="E8770" t="str">
            <v>1T3209F022</v>
          </cell>
        </row>
        <row r="8771">
          <cell r="D8771" t="str">
            <v>1PCD8069504449401</v>
          </cell>
          <cell r="E8771" t="str">
            <v>1T3209F022</v>
          </cell>
        </row>
        <row r="8772">
          <cell r="D8772" t="str">
            <v>1PCD8069504449401</v>
          </cell>
          <cell r="E8772" t="str">
            <v>1T3209F022</v>
          </cell>
        </row>
        <row r="8773">
          <cell r="D8773" t="str">
            <v>1PCD8069504449401</v>
          </cell>
          <cell r="E8773" t="str">
            <v>1T3210F251</v>
          </cell>
        </row>
        <row r="8774">
          <cell r="D8774" t="str">
            <v>1PCD8069504449401</v>
          </cell>
          <cell r="E8774" t="str">
            <v>1T3210F251</v>
          </cell>
        </row>
        <row r="8775">
          <cell r="D8775" t="str">
            <v>1PCD8069504449401</v>
          </cell>
          <cell r="E8775" t="str">
            <v>1T3208G017</v>
          </cell>
        </row>
        <row r="8776">
          <cell r="D8776" t="str">
            <v>1PCD8069504449401</v>
          </cell>
          <cell r="E8776" t="str">
            <v>1T3208G017</v>
          </cell>
        </row>
        <row r="8777">
          <cell r="D8777" t="str">
            <v>1PCD8069504449401</v>
          </cell>
          <cell r="E8777" t="str">
            <v>1T3208G017</v>
          </cell>
        </row>
        <row r="8778">
          <cell r="D8778" t="str">
            <v>1PCD8069504449401</v>
          </cell>
          <cell r="E8778" t="str">
            <v>1T3208G017</v>
          </cell>
        </row>
        <row r="8779">
          <cell r="D8779" t="str">
            <v>1PCD8069504449401</v>
          </cell>
          <cell r="E8779" t="str">
            <v>1T3208G017</v>
          </cell>
        </row>
        <row r="8780">
          <cell r="D8780" t="str">
            <v>1PCD8069504449401</v>
          </cell>
          <cell r="E8780" t="str">
            <v>1T3208G017</v>
          </cell>
        </row>
        <row r="8781">
          <cell r="D8781" t="str">
            <v>1PCD8069504449401</v>
          </cell>
          <cell r="E8781" t="str">
            <v>1T3208G017</v>
          </cell>
        </row>
        <row r="8782">
          <cell r="D8782" t="str">
            <v>1PCD8069504449401</v>
          </cell>
          <cell r="E8782" t="str">
            <v>1T3208G017</v>
          </cell>
        </row>
        <row r="8783">
          <cell r="D8783" t="str">
            <v>1PCD8069504449401</v>
          </cell>
          <cell r="E8783" t="str">
            <v>1T3208G017</v>
          </cell>
        </row>
        <row r="8784">
          <cell r="D8784" t="str">
            <v>1PCD8069504449401</v>
          </cell>
          <cell r="E8784" t="str">
            <v>1T3208G017</v>
          </cell>
        </row>
        <row r="8785">
          <cell r="D8785" t="str">
            <v>1PCD8069504449401</v>
          </cell>
          <cell r="E8785" t="str">
            <v>1T3208G017</v>
          </cell>
        </row>
        <row r="8786">
          <cell r="D8786" t="str">
            <v>1PCD8069504449401</v>
          </cell>
          <cell r="E8786" t="str">
            <v>1T3208G017</v>
          </cell>
        </row>
        <row r="8787">
          <cell r="D8787" t="str">
            <v>1PCD8069504449401</v>
          </cell>
          <cell r="E8787" t="str">
            <v>1T3208G017</v>
          </cell>
        </row>
        <row r="8788">
          <cell r="D8788" t="str">
            <v>1PCD8069504449401</v>
          </cell>
          <cell r="E8788" t="str">
            <v>1T3208G017</v>
          </cell>
        </row>
        <row r="8789">
          <cell r="D8789" t="str">
            <v>1PCD8069504449401</v>
          </cell>
          <cell r="E8789" t="str">
            <v>1T3208G017</v>
          </cell>
        </row>
        <row r="8790">
          <cell r="D8790" t="str">
            <v>1PCD8069504449401</v>
          </cell>
          <cell r="E8790" t="str">
            <v>1T3208G017</v>
          </cell>
        </row>
        <row r="8791">
          <cell r="D8791" t="str">
            <v>1PCD8069504449401</v>
          </cell>
          <cell r="E8791" t="str">
            <v>1T3208G017</v>
          </cell>
        </row>
        <row r="8792">
          <cell r="D8792" t="str">
            <v>1PCD8069504449401</v>
          </cell>
          <cell r="E8792" t="str">
            <v>1T3208G017</v>
          </cell>
        </row>
        <row r="8793">
          <cell r="D8793" t="str">
            <v>1PCD8069504449401</v>
          </cell>
          <cell r="E8793" t="str">
            <v>1T3208G017</v>
          </cell>
        </row>
        <row r="8794">
          <cell r="D8794" t="str">
            <v>1PCD8069504449401</v>
          </cell>
          <cell r="E8794" t="str">
            <v>1T3210F096</v>
          </cell>
        </row>
        <row r="8795">
          <cell r="D8795" t="str">
            <v>BCM957412A4120AC</v>
          </cell>
          <cell r="E8795" t="str">
            <v>A41202144000R2FV</v>
          </cell>
        </row>
        <row r="8796">
          <cell r="D8796" t="str">
            <v>BCM957412A4120AC</v>
          </cell>
          <cell r="E8796" t="str">
            <v>A41202144000LPFV</v>
          </cell>
        </row>
        <row r="8797">
          <cell r="D8797" t="str">
            <v>BCM957412A4120AC</v>
          </cell>
          <cell r="E8797" t="str">
            <v>A41202144000LXFV</v>
          </cell>
        </row>
        <row r="8798">
          <cell r="D8798" t="str">
            <v>BCM957412A4120AC</v>
          </cell>
          <cell r="E8798" t="str">
            <v>A41202144000LYFV</v>
          </cell>
        </row>
        <row r="8799">
          <cell r="D8799" t="str">
            <v>BCM957412A4120AC</v>
          </cell>
          <cell r="E8799" t="str">
            <v>A41202144000KTFV</v>
          </cell>
        </row>
        <row r="8800">
          <cell r="D8800" t="str">
            <v>BCM957412A4120AC</v>
          </cell>
          <cell r="E8800" t="str">
            <v>A41202144000KVFV</v>
          </cell>
        </row>
        <row r="8801">
          <cell r="D8801" t="str">
            <v>BCM957412A4120AC</v>
          </cell>
          <cell r="E8801" t="str">
            <v>A41202144000D7FV</v>
          </cell>
        </row>
        <row r="8802">
          <cell r="D8802" t="str">
            <v>BCM957412A4120AC</v>
          </cell>
          <cell r="E8802" t="str">
            <v>A41202144000FCFV</v>
          </cell>
        </row>
        <row r="8803">
          <cell r="D8803" t="str">
            <v>BCM957412A4120AC</v>
          </cell>
          <cell r="E8803" t="str">
            <v>A41202144000FAFV</v>
          </cell>
        </row>
        <row r="8804">
          <cell r="D8804" t="str">
            <v>BCM957412A4120AC</v>
          </cell>
          <cell r="E8804" t="str">
            <v>A41202144000FWFV</v>
          </cell>
        </row>
        <row r="8805">
          <cell r="D8805" t="str">
            <v>BCM957412A4120AC</v>
          </cell>
          <cell r="E8805" t="str">
            <v>A41202144000FHFV</v>
          </cell>
        </row>
        <row r="8806">
          <cell r="D8806" t="str">
            <v>BCM957412A4120AC</v>
          </cell>
          <cell r="E8806" t="str">
            <v>A41202144000F8FV</v>
          </cell>
        </row>
        <row r="8807">
          <cell r="D8807" t="str">
            <v>BCM957412A4120AC</v>
          </cell>
          <cell r="E8807" t="str">
            <v>A41202144000EZFV</v>
          </cell>
        </row>
        <row r="8808">
          <cell r="D8808" t="str">
            <v>BCM957412A4120AC</v>
          </cell>
          <cell r="E8808" t="str">
            <v>A41202144000GLFV</v>
          </cell>
        </row>
        <row r="8809">
          <cell r="D8809" t="str">
            <v>BCM957412A4120AC</v>
          </cell>
          <cell r="E8809" t="str">
            <v>A41202144000FJFV</v>
          </cell>
        </row>
        <row r="8810">
          <cell r="D8810" t="str">
            <v>BCM957412A4120AC</v>
          </cell>
          <cell r="E8810" t="str">
            <v>A41202144000FUFV</v>
          </cell>
        </row>
        <row r="8811">
          <cell r="D8811" t="str">
            <v>BCM957412A4120AC</v>
          </cell>
          <cell r="E8811" t="str">
            <v>A41202144000JBFV</v>
          </cell>
        </row>
        <row r="8812">
          <cell r="D8812" t="str">
            <v>BCM957412A4120AC</v>
          </cell>
          <cell r="E8812" t="str">
            <v>A41202144000J5FV</v>
          </cell>
        </row>
        <row r="8813">
          <cell r="D8813" t="str">
            <v>BCM957412A4120AC</v>
          </cell>
          <cell r="E8813" t="str">
            <v>A41202144000KUFV</v>
          </cell>
        </row>
        <row r="8814">
          <cell r="D8814" t="str">
            <v>BCM957412A4120AC</v>
          </cell>
          <cell r="E8814" t="str">
            <v>A41202144000LNFV</v>
          </cell>
        </row>
        <row r="8815">
          <cell r="D8815" t="str">
            <v>BCM957412A4120AC</v>
          </cell>
          <cell r="E8815" t="str">
            <v>A41202144000J7FV</v>
          </cell>
        </row>
        <row r="8816">
          <cell r="D8816" t="str">
            <v>BCM957412A4120AC</v>
          </cell>
          <cell r="E8816" t="str">
            <v>A41202144000JAFV</v>
          </cell>
        </row>
        <row r="8817">
          <cell r="D8817" t="str">
            <v>BCM957412A4120AC</v>
          </cell>
          <cell r="E8817" t="str">
            <v>A41202144000J9FV</v>
          </cell>
        </row>
        <row r="8818">
          <cell r="D8818" t="str">
            <v>BCM957412A4120AC</v>
          </cell>
          <cell r="E8818" t="str">
            <v>A41202144000J8FV</v>
          </cell>
        </row>
        <row r="8819">
          <cell r="D8819" t="str">
            <v>BCM957412A4120AC</v>
          </cell>
          <cell r="E8819" t="str">
            <v>A41202144000KIFV</v>
          </cell>
        </row>
        <row r="8820">
          <cell r="D8820" t="str">
            <v>BCM957412A4120AC</v>
          </cell>
          <cell r="E8820" t="str">
            <v>A41202144000KKFV</v>
          </cell>
        </row>
        <row r="8821">
          <cell r="D8821" t="str">
            <v>BCM957412A4120AC</v>
          </cell>
          <cell r="E8821" t="str">
            <v>A41202140001A4FV</v>
          </cell>
        </row>
        <row r="8822">
          <cell r="D8822" t="str">
            <v>BCM957412A4120AC</v>
          </cell>
          <cell r="E8822" t="str">
            <v>A412021400001GFV</v>
          </cell>
        </row>
        <row r="8823">
          <cell r="D8823" t="str">
            <v>BCM957412A4120AC</v>
          </cell>
          <cell r="E8823" t="str">
            <v>A412021400002KFV</v>
          </cell>
        </row>
        <row r="8824">
          <cell r="D8824" t="str">
            <v>BCM957412A4120AC</v>
          </cell>
          <cell r="E8824" t="str">
            <v>A412021410002NFV</v>
          </cell>
        </row>
        <row r="8825">
          <cell r="D8825" t="str">
            <v>BCM957412A4120AC</v>
          </cell>
          <cell r="E8825" t="str">
            <v>A412021400002OFV</v>
          </cell>
        </row>
        <row r="8826">
          <cell r="D8826" t="str">
            <v>BCM957412A4120AC</v>
          </cell>
          <cell r="E8826" t="str">
            <v>A412021410002JFV</v>
          </cell>
        </row>
        <row r="8827">
          <cell r="D8827" t="str">
            <v>BCM957412A4120AC</v>
          </cell>
          <cell r="E8827" t="str">
            <v>A412021400001JFV</v>
          </cell>
        </row>
        <row r="8828">
          <cell r="D8828" t="str">
            <v>BCM957412A4120AC</v>
          </cell>
          <cell r="E8828" t="str">
            <v>A412021410003AFV</v>
          </cell>
        </row>
        <row r="8829">
          <cell r="D8829" t="str">
            <v>BCM957412A4120AC</v>
          </cell>
          <cell r="E8829" t="str">
            <v>A4120214000037FV</v>
          </cell>
        </row>
        <row r="8830">
          <cell r="D8830" t="str">
            <v>BCM957412A4120AC</v>
          </cell>
          <cell r="E8830" t="str">
            <v>A4120214100038FV</v>
          </cell>
        </row>
        <row r="8831">
          <cell r="D8831" t="str">
            <v>HBA 9400-8i  05-50008-01</v>
          </cell>
          <cell r="E8831" t="str">
            <v>SPB1214414</v>
          </cell>
        </row>
        <row r="8832">
          <cell r="D8832" t="str">
            <v>HBA 9400-8i  05-50008-01</v>
          </cell>
          <cell r="E8832" t="str">
            <v>SPB1214593</v>
          </cell>
        </row>
        <row r="8833">
          <cell r="D8833" t="str">
            <v>HBA 9400-8i  05-50008-01</v>
          </cell>
          <cell r="E8833" t="str">
            <v>SPB1214032</v>
          </cell>
        </row>
        <row r="8834">
          <cell r="D8834" t="str">
            <v>MegaRaid 9361-4i  05-25420-10</v>
          </cell>
          <cell r="E8834" t="str">
            <v>SK01185976</v>
          </cell>
        </row>
        <row r="8835">
          <cell r="D8835" t="str">
            <v>MegaRaid 9361-4i  05-25420-10</v>
          </cell>
          <cell r="E8835" t="str">
            <v>SK01185974</v>
          </cell>
        </row>
        <row r="8836">
          <cell r="D8836" t="str">
            <v>MB705M2P-B</v>
          </cell>
          <cell r="E8836" t="str">
            <v>S/N:21505231</v>
          </cell>
        </row>
        <row r="8837">
          <cell r="D8837" t="str">
            <v>MB705M2P-B</v>
          </cell>
          <cell r="E8837" t="str">
            <v>S/N:21505280</v>
          </cell>
        </row>
        <row r="8838">
          <cell r="D8838" t="str">
            <v>MB705M2P-B</v>
          </cell>
          <cell r="E8838" t="str">
            <v>S/N:21505279</v>
          </cell>
        </row>
        <row r="8839">
          <cell r="D8839" t="str">
            <v>MB705M2P-B</v>
          </cell>
          <cell r="E8839" t="str">
            <v>S/N:21505273</v>
          </cell>
        </row>
        <row r="8840">
          <cell r="D8840" t="str">
            <v>MB705M2P-B</v>
          </cell>
          <cell r="E8840" t="str">
            <v>S/N:21505272</v>
          </cell>
        </row>
        <row r="8841">
          <cell r="D8841" t="str">
            <v>MB705M2P-B</v>
          </cell>
          <cell r="E8841" t="str">
            <v>S/N:21505271</v>
          </cell>
        </row>
        <row r="8842">
          <cell r="D8842" t="str">
            <v>MB705M2P-B</v>
          </cell>
          <cell r="E8842" t="str">
            <v>S/N:21505276</v>
          </cell>
        </row>
        <row r="8843">
          <cell r="D8843" t="str">
            <v>MB705M2P-B</v>
          </cell>
          <cell r="E8843" t="str">
            <v>S/N:21505232</v>
          </cell>
        </row>
        <row r="8844">
          <cell r="D8844" t="str">
            <v>MB705M2P-B</v>
          </cell>
          <cell r="E8844" t="str">
            <v>S/N:21505233</v>
          </cell>
        </row>
        <row r="8845">
          <cell r="D8845" t="str">
            <v>MB705M2P-B</v>
          </cell>
          <cell r="E8845" t="str">
            <v>S/N:21505270</v>
          </cell>
        </row>
        <row r="8846">
          <cell r="D8846" t="str">
            <v>MB705M2P-B</v>
          </cell>
          <cell r="E8846" t="str">
            <v>S/N:21505278</v>
          </cell>
        </row>
        <row r="8847">
          <cell r="D8847" t="str">
            <v>MB705M2P-B</v>
          </cell>
          <cell r="E8847" t="str">
            <v>S/N:21505230</v>
          </cell>
        </row>
        <row r="8848">
          <cell r="D8848" t="str">
            <v>MB705M2P-B</v>
          </cell>
          <cell r="E8848" t="str">
            <v>S/N:21505229</v>
          </cell>
        </row>
        <row r="8849">
          <cell r="D8849" t="str">
            <v>MB705M2P-B</v>
          </cell>
          <cell r="E8849" t="str">
            <v>S/N:21505269</v>
          </cell>
        </row>
        <row r="8850">
          <cell r="D8850" t="str">
            <v>MB705M2P-B</v>
          </cell>
          <cell r="E8850" t="str">
            <v>S/N:21505268</v>
          </cell>
        </row>
        <row r="8851">
          <cell r="D8851" t="str">
            <v>MB705M2P-B</v>
          </cell>
          <cell r="E8851" t="str">
            <v>S/N:21505266</v>
          </cell>
        </row>
        <row r="8852">
          <cell r="D8852" t="str">
            <v>MB705M2P-B</v>
          </cell>
          <cell r="E8852" t="str">
            <v>S/N:21505267</v>
          </cell>
        </row>
        <row r="8853">
          <cell r="D8853" t="str">
            <v>MB705M2P-B</v>
          </cell>
          <cell r="E8853" t="str">
            <v>S/N:21505275</v>
          </cell>
        </row>
        <row r="8854">
          <cell r="D8854" t="str">
            <v>MB705M2P-B</v>
          </cell>
          <cell r="E8854" t="str">
            <v>S/N:21505274</v>
          </cell>
        </row>
        <row r="8855">
          <cell r="D8855" t="str">
            <v>MB705M2P-B</v>
          </cell>
          <cell r="E8855" t="str">
            <v>S/N:21505277</v>
          </cell>
        </row>
        <row r="8856">
          <cell r="D8856" t="str">
            <v>Intel Xeon E-2236</v>
          </cell>
          <cell r="E8856" t="str">
            <v>X104K108  U1RY414801958</v>
          </cell>
        </row>
        <row r="8857">
          <cell r="D8857" t="str">
            <v>Intel Xeon E-2236</v>
          </cell>
          <cell r="E8857" t="str">
            <v>X104K108  U1RY414802073</v>
          </cell>
        </row>
        <row r="8858">
          <cell r="D8858" t="str">
            <v>Intel Xeon E-2236</v>
          </cell>
          <cell r="E8858" t="str">
            <v>X104K108  U1RY414801456</v>
          </cell>
        </row>
        <row r="8859">
          <cell r="D8859" t="str">
            <v>Intel Xeon E-2236</v>
          </cell>
          <cell r="E8859" t="str">
            <v>X104K108  U1RY414802089</v>
          </cell>
        </row>
        <row r="8860">
          <cell r="D8860" t="str">
            <v>Intel Xeon E-2236</v>
          </cell>
          <cell r="E8860" t="str">
            <v>X104K108  U1RY414800336</v>
          </cell>
        </row>
        <row r="8861">
          <cell r="D8861" t="str">
            <v>Intel Xeon E-2236</v>
          </cell>
          <cell r="E8861" t="str">
            <v>X104K108  U1RY414802321</v>
          </cell>
        </row>
        <row r="8862">
          <cell r="D8862" t="str">
            <v>MG09ACA18TE</v>
          </cell>
          <cell r="E8862" t="str">
            <v>Y1S0A0FNFJDH</v>
          </cell>
        </row>
        <row r="8863">
          <cell r="D8863" t="str">
            <v>BX8071512900K</v>
          </cell>
          <cell r="E8863" t="str">
            <v>81KG537601161</v>
          </cell>
        </row>
        <row r="8864">
          <cell r="D8864" t="str">
            <v>SSDSC2KB019T801</v>
          </cell>
          <cell r="E8864" t="str">
            <v>PHYF207201JK1P9DGN</v>
          </cell>
        </row>
        <row r="8865">
          <cell r="D8865" t="str">
            <v>SSDSC2KB019T801</v>
          </cell>
          <cell r="E8865" t="str">
            <v>PHYF207300XT1P9DGN</v>
          </cell>
        </row>
        <row r="8866">
          <cell r="D8866" t="str">
            <v>SSDSC2KB019T801</v>
          </cell>
          <cell r="E8866" t="str">
            <v>PHYF207200271P9DGN</v>
          </cell>
        </row>
        <row r="8867">
          <cell r="D8867" t="str">
            <v>SSDSC2KB019T801</v>
          </cell>
          <cell r="E8867" t="str">
            <v>PHYF207201LZ1P9DGN</v>
          </cell>
        </row>
        <row r="8868">
          <cell r="D8868" t="str">
            <v>SSDSC2KB019T801</v>
          </cell>
          <cell r="E8868" t="str">
            <v>PHYF207300ZY1P9DGN</v>
          </cell>
        </row>
        <row r="8869">
          <cell r="D8869" t="str">
            <v>SSDSC2KB019T801</v>
          </cell>
          <cell r="E8869" t="str">
            <v>PHYF207300XG1P9DGN</v>
          </cell>
        </row>
        <row r="8870">
          <cell r="D8870" t="str">
            <v>SSDSC2KB019T801</v>
          </cell>
          <cell r="E8870" t="str">
            <v>PHYF207300W91P9DGN</v>
          </cell>
        </row>
        <row r="8871">
          <cell r="D8871" t="str">
            <v>SSDSC2KB019T801</v>
          </cell>
          <cell r="E8871" t="str">
            <v>PHYF207200121P9DGN</v>
          </cell>
        </row>
        <row r="8872">
          <cell r="D8872" t="str">
            <v>SSDSC2KB019T801</v>
          </cell>
          <cell r="E8872" t="str">
            <v>PHYF207300RH1P9DGN</v>
          </cell>
        </row>
        <row r="8873">
          <cell r="D8873" t="str">
            <v>SSDSC2KB019T801</v>
          </cell>
          <cell r="E8873" t="str">
            <v>PHYF2071038H1P9DGN</v>
          </cell>
        </row>
        <row r="8874">
          <cell r="D8874" t="str">
            <v>SSDSC2KB019T801</v>
          </cell>
          <cell r="E8874" t="str">
            <v>PHYF207103A61P9DGN</v>
          </cell>
        </row>
        <row r="8875">
          <cell r="D8875" t="str">
            <v>SSDSC2KB019T801</v>
          </cell>
          <cell r="E8875" t="str">
            <v>PHYF2071039V1P9DGN</v>
          </cell>
        </row>
        <row r="8876">
          <cell r="D8876" t="str">
            <v>SSDSC2KB019T801</v>
          </cell>
          <cell r="E8876" t="str">
            <v>PHYF2072000S1P9DGN</v>
          </cell>
        </row>
        <row r="8877">
          <cell r="D8877" t="str">
            <v>SSDSC2KB019T801</v>
          </cell>
          <cell r="E8877" t="str">
            <v>PHYF207301NE1P9DGN</v>
          </cell>
        </row>
        <row r="8878">
          <cell r="D8878" t="str">
            <v>SSDSC2KB019T801</v>
          </cell>
          <cell r="E8878" t="str">
            <v>PHYF207200231P9DGN</v>
          </cell>
        </row>
        <row r="8879">
          <cell r="D8879" t="str">
            <v>SSDSC2KB019T801</v>
          </cell>
          <cell r="E8879" t="str">
            <v>PHYF2072000M1P9DGN</v>
          </cell>
        </row>
        <row r="8880">
          <cell r="D8880" t="str">
            <v>SSDSC2KB019T801</v>
          </cell>
          <cell r="E8880" t="str">
            <v>PHYF207300S31P9DGN</v>
          </cell>
        </row>
        <row r="8881">
          <cell r="D8881" t="str">
            <v>SSDSC2KB019T801</v>
          </cell>
          <cell r="E8881" t="str">
            <v>PHYF207300TP1P9DGN</v>
          </cell>
        </row>
        <row r="8882">
          <cell r="D8882" t="str">
            <v>SSDSC2KB019T801</v>
          </cell>
          <cell r="E8882" t="str">
            <v>PHYF207300ZT1P9DGN</v>
          </cell>
        </row>
        <row r="8883">
          <cell r="D8883" t="str">
            <v>SSDSC2KB019T801</v>
          </cell>
          <cell r="E8883" t="str">
            <v>PHYF207300Y31P9DGN</v>
          </cell>
        </row>
        <row r="8884">
          <cell r="D8884" t="str">
            <v>SSDSC2KB019T801</v>
          </cell>
          <cell r="E8884" t="str">
            <v>PHYF207300TJ1P9DGN</v>
          </cell>
        </row>
        <row r="8885">
          <cell r="D8885" t="str">
            <v>SSDSC2KB019T801</v>
          </cell>
          <cell r="E8885" t="str">
            <v>PHYF207300RF1P9DGN</v>
          </cell>
        </row>
        <row r="8886">
          <cell r="D8886" t="str">
            <v>SSDSC2KB019T801</v>
          </cell>
          <cell r="E8886" t="str">
            <v>PHYF207300TN1P9DGN</v>
          </cell>
        </row>
        <row r="8887">
          <cell r="D8887" t="str">
            <v>SSDSC2KB019T801</v>
          </cell>
          <cell r="E8887" t="str">
            <v>PHYF2072002C1P9DGN</v>
          </cell>
        </row>
        <row r="8888">
          <cell r="D8888" t="str">
            <v>SSDSC2KB019T801</v>
          </cell>
          <cell r="E8888" t="str">
            <v>PHYF207201H31P9DGN</v>
          </cell>
        </row>
        <row r="8889">
          <cell r="D8889" t="str">
            <v>SSDSC2KB019T801</v>
          </cell>
          <cell r="E8889" t="str">
            <v>PHYF207201F91P9DGN</v>
          </cell>
        </row>
        <row r="8890">
          <cell r="D8890" t="str">
            <v>SSDSC2KB019T801</v>
          </cell>
          <cell r="E8890" t="str">
            <v>PHYF207201GY1P9DGN</v>
          </cell>
        </row>
        <row r="8891">
          <cell r="D8891" t="str">
            <v>SSDSC2KB019T801</v>
          </cell>
          <cell r="E8891" t="str">
            <v>PHYF206400321P9DGN</v>
          </cell>
        </row>
        <row r="8892">
          <cell r="D8892" t="str">
            <v>SSDSC2KB019T801</v>
          </cell>
          <cell r="E8892" t="str">
            <v>PHYF207103C01P9DGN</v>
          </cell>
        </row>
        <row r="8893">
          <cell r="D8893" t="str">
            <v>CSE-825TQC-600LPB</v>
          </cell>
          <cell r="E8893" t="str">
            <v>C8250FK42P50405</v>
          </cell>
          <cell r="K8893" t="str">
            <v>SO/2022/005842/A</v>
          </cell>
        </row>
        <row r="8894">
          <cell r="D8894" t="str">
            <v>BPN-SAS3-825TQ</v>
          </cell>
          <cell r="E8894" t="str">
            <v>EB214S004764</v>
          </cell>
          <cell r="K8894" t="str">
            <v>SO/2022/005842/A</v>
          </cell>
        </row>
        <row r="8895">
          <cell r="D8895" t="str">
            <v>PWS-605P-1H</v>
          </cell>
          <cell r="E8895" t="str">
            <v>P605A0L39G29776</v>
          </cell>
          <cell r="K8895" t="str">
            <v>SO/2022/005842/A</v>
          </cell>
        </row>
        <row r="8896">
          <cell r="D8896" t="str">
            <v>CSE-826BAC4-R920WB</v>
          </cell>
          <cell r="E8896" t="str">
            <v>C8260FK42P90023</v>
          </cell>
        </row>
        <row r="8897">
          <cell r="D8897" t="str">
            <v>CSE-826BAC4-R920WB</v>
          </cell>
          <cell r="E8897" t="str">
            <v>C8260FK42P90016</v>
          </cell>
        </row>
        <row r="8898">
          <cell r="D8898" t="str">
            <v>SYS-530MT-H8TNR</v>
          </cell>
          <cell r="E8898" t="str">
            <v>E459759X2304201</v>
          </cell>
        </row>
        <row r="8899">
          <cell r="D8899" t="str">
            <v>CSE</v>
          </cell>
          <cell r="E8899" t="str">
            <v>C9380AL10A00003</v>
          </cell>
        </row>
        <row r="8900">
          <cell r="D8900" t="str">
            <v>AOC</v>
          </cell>
          <cell r="E8900" t="str">
            <v>WA218S019684</v>
          </cell>
        </row>
        <row r="8901">
          <cell r="D8901" t="str">
            <v>AOC</v>
          </cell>
          <cell r="E8901" t="str">
            <v>WA202S006494</v>
          </cell>
        </row>
        <row r="8902">
          <cell r="D8902" t="str">
            <v>PWS</v>
          </cell>
          <cell r="E8902" t="str">
            <v>P2K4ACL20QN0058</v>
          </cell>
        </row>
        <row r="8903">
          <cell r="D8903" t="str">
            <v>PWS</v>
          </cell>
          <cell r="E8903" t="str">
            <v>P2K4ACL20QN0061</v>
          </cell>
        </row>
        <row r="8904">
          <cell r="D8904" t="str">
            <v>MBD</v>
          </cell>
          <cell r="E8904" t="str">
            <v>NM221S003427</v>
          </cell>
        </row>
        <row r="8905">
          <cell r="D8905" t="str">
            <v>AOC</v>
          </cell>
          <cell r="E8905" t="str">
            <v>VA201S006774</v>
          </cell>
        </row>
        <row r="8906">
          <cell r="D8906" t="str">
            <v>RSC</v>
          </cell>
          <cell r="E8906" t="str">
            <v>UR221S009680</v>
          </cell>
        </row>
        <row r="8907">
          <cell r="D8907" t="str">
            <v>MBD</v>
          </cell>
          <cell r="E8907" t="str">
            <v>NM221S003426</v>
          </cell>
        </row>
        <row r="8908">
          <cell r="D8908" t="str">
            <v>AOC</v>
          </cell>
          <cell r="E8908" t="str">
            <v>VA201S006777</v>
          </cell>
        </row>
        <row r="8909">
          <cell r="D8909" t="str">
            <v>RSC</v>
          </cell>
          <cell r="E8909" t="str">
            <v>UR221S009683</v>
          </cell>
        </row>
        <row r="8910">
          <cell r="D8910" t="str">
            <v>MBD</v>
          </cell>
          <cell r="E8910" t="str">
            <v>NM221S003429</v>
          </cell>
        </row>
        <row r="8911">
          <cell r="D8911" t="str">
            <v>AOC</v>
          </cell>
          <cell r="E8911" t="str">
            <v>VA201S006796</v>
          </cell>
        </row>
        <row r="8912">
          <cell r="D8912" t="str">
            <v>RSC</v>
          </cell>
          <cell r="E8912" t="str">
            <v>UR221S009649</v>
          </cell>
        </row>
        <row r="8913">
          <cell r="D8913" t="str">
            <v>MBD</v>
          </cell>
          <cell r="E8913" t="str">
            <v>NM221S003430</v>
          </cell>
        </row>
        <row r="8914">
          <cell r="D8914" t="str">
            <v>AOC</v>
          </cell>
          <cell r="E8914" t="str">
            <v>VA201S006773</v>
          </cell>
        </row>
        <row r="8915">
          <cell r="D8915" t="str">
            <v>RSC</v>
          </cell>
          <cell r="E8915" t="str">
            <v>UR221S009652</v>
          </cell>
        </row>
        <row r="8916">
          <cell r="D8916" t="str">
            <v>MBD</v>
          </cell>
          <cell r="E8916" t="str">
            <v>NM221S003459</v>
          </cell>
        </row>
        <row r="8917">
          <cell r="D8917" t="str">
            <v>AOC</v>
          </cell>
          <cell r="E8917" t="str">
            <v>VA201S006785</v>
          </cell>
        </row>
        <row r="8918">
          <cell r="D8918" t="str">
            <v>RSC</v>
          </cell>
          <cell r="E8918" t="str">
            <v>UR221S009694</v>
          </cell>
        </row>
        <row r="8919">
          <cell r="D8919" t="str">
            <v>MBD</v>
          </cell>
          <cell r="E8919" t="str">
            <v>NM221S003434</v>
          </cell>
        </row>
        <row r="8920">
          <cell r="D8920" t="str">
            <v>AOC</v>
          </cell>
          <cell r="E8920" t="str">
            <v>VA201S006806</v>
          </cell>
        </row>
        <row r="8921">
          <cell r="D8921" t="str">
            <v>RSC</v>
          </cell>
          <cell r="E8921" t="str">
            <v>UR221S009685</v>
          </cell>
        </row>
        <row r="8922">
          <cell r="D8922" t="str">
            <v>MBD</v>
          </cell>
          <cell r="E8922" t="str">
            <v>NM221S003460</v>
          </cell>
        </row>
        <row r="8923">
          <cell r="D8923" t="str">
            <v>AOC</v>
          </cell>
          <cell r="E8923" t="str">
            <v>VA201S006793</v>
          </cell>
        </row>
        <row r="8924">
          <cell r="D8924" t="str">
            <v>RSC</v>
          </cell>
          <cell r="E8924" t="str">
            <v>UR221S009648</v>
          </cell>
        </row>
        <row r="8925">
          <cell r="D8925" t="str">
            <v>MBD</v>
          </cell>
          <cell r="E8925" t="str">
            <v>NM221S003491</v>
          </cell>
        </row>
        <row r="8926">
          <cell r="D8926" t="str">
            <v>AOC</v>
          </cell>
          <cell r="E8926" t="str">
            <v>VA201S006781</v>
          </cell>
        </row>
        <row r="8927">
          <cell r="D8927" t="str">
            <v>RSC</v>
          </cell>
          <cell r="E8927" t="str">
            <v>UR221S009697</v>
          </cell>
        </row>
        <row r="8928">
          <cell r="D8928" t="str">
            <v>SYS-E301-9D-8CN8TP</v>
          </cell>
          <cell r="E8928" t="str">
            <v>A381333X2306252</v>
          </cell>
        </row>
        <row r="8929">
          <cell r="D8929" t="str">
            <v>CSE</v>
          </cell>
          <cell r="E8929" t="str">
            <v>CE301AJ33A10397</v>
          </cell>
        </row>
        <row r="8930">
          <cell r="D8930" t="str">
            <v>MBD</v>
          </cell>
          <cell r="E8930" t="str">
            <v>WM219S011358</v>
          </cell>
        </row>
        <row r="8931">
          <cell r="D8931" t="str">
            <v>MEM</v>
          </cell>
          <cell r="E8931" t="str">
            <v>Y12T020134243A8183</v>
          </cell>
        </row>
        <row r="8932">
          <cell r="D8932" t="str">
            <v>MEM</v>
          </cell>
          <cell r="E8932" t="str">
            <v>Y12T020134243A8180</v>
          </cell>
        </row>
        <row r="8933">
          <cell r="D8933" t="str">
            <v>HDS</v>
          </cell>
          <cell r="E8933" t="str">
            <v>S45NNA0T144351</v>
          </cell>
        </row>
        <row r="8934">
          <cell r="D8934" t="str">
            <v>HDS</v>
          </cell>
          <cell r="E8934" t="str">
            <v>S45NNA0T144348</v>
          </cell>
        </row>
        <row r="8935">
          <cell r="D8935" t="str">
            <v>HDS</v>
          </cell>
          <cell r="E8935" t="str">
            <v>81JFC27XFQB1</v>
          </cell>
        </row>
        <row r="8936">
          <cell r="D8936" t="str">
            <v>RSC-R1UW-2E16</v>
          </cell>
          <cell r="E8936" t="str">
            <v>VR217S025081</v>
          </cell>
        </row>
        <row r="8937">
          <cell r="D8937" t="str">
            <v>RSC-R1UW-2E16</v>
          </cell>
          <cell r="E8937" t="str">
            <v>VR217S025082</v>
          </cell>
        </row>
        <row r="8938">
          <cell r="D8938" t="str">
            <v>RSC-R1UW-2E16</v>
          </cell>
          <cell r="E8938" t="str">
            <v>VR217S025083</v>
          </cell>
        </row>
        <row r="8939">
          <cell r="D8939" t="str">
            <v>RSC-R1UW-2E16</v>
          </cell>
          <cell r="E8939" t="str">
            <v>VR217S025084</v>
          </cell>
        </row>
        <row r="8940">
          <cell r="D8940" t="str">
            <v>RSC-R1UW-2E16</v>
          </cell>
          <cell r="E8940" t="str">
            <v>VR217S025085</v>
          </cell>
        </row>
        <row r="8941">
          <cell r="D8941" t="str">
            <v>RSC-R1UW-2E16</v>
          </cell>
          <cell r="E8941" t="str">
            <v>VR217S025090</v>
          </cell>
        </row>
        <row r="8942">
          <cell r="D8942" t="str">
            <v>RSC-R1UW-2E16</v>
          </cell>
          <cell r="E8942" t="str">
            <v>VR217S025089</v>
          </cell>
        </row>
        <row r="8943">
          <cell r="D8943" t="str">
            <v>RSC-R1UW-2E16</v>
          </cell>
          <cell r="E8943" t="str">
            <v>VR217S025088</v>
          </cell>
        </row>
        <row r="8944">
          <cell r="D8944" t="str">
            <v>RSC-R1UW-2E16</v>
          </cell>
          <cell r="E8944" t="str">
            <v>VR217S025087</v>
          </cell>
        </row>
        <row r="8945">
          <cell r="D8945" t="str">
            <v>RSC-R1UW-2E16</v>
          </cell>
          <cell r="E8945" t="str">
            <v>VR217S025086</v>
          </cell>
        </row>
        <row r="8946">
          <cell r="D8946" t="str">
            <v>RSC-R1UW-2E16</v>
          </cell>
          <cell r="E8946" t="str">
            <v>VR217S025071</v>
          </cell>
        </row>
        <row r="8947">
          <cell r="D8947" t="str">
            <v>RSC-R1UW-2E16</v>
          </cell>
          <cell r="E8947" t="str">
            <v>VR217S025072</v>
          </cell>
        </row>
        <row r="8948">
          <cell r="D8948" t="str">
            <v>RSC-R1UW-2E16</v>
          </cell>
          <cell r="E8948" t="str">
            <v>VR217S025073</v>
          </cell>
        </row>
        <row r="8949">
          <cell r="D8949" t="str">
            <v>RSC-R1UW-2E16</v>
          </cell>
          <cell r="E8949" t="str">
            <v>VR217S025074</v>
          </cell>
        </row>
        <row r="8950">
          <cell r="D8950" t="str">
            <v>RSC-R1UW-2E16</v>
          </cell>
          <cell r="E8950" t="str">
            <v>VR217S025075</v>
          </cell>
        </row>
        <row r="8951">
          <cell r="D8951" t="str">
            <v>RSC-R1UW-2E16</v>
          </cell>
          <cell r="E8951" t="str">
            <v>VR217S025076</v>
          </cell>
        </row>
        <row r="8952">
          <cell r="D8952" t="str">
            <v>RSC-R1UW-2E16</v>
          </cell>
          <cell r="E8952" t="str">
            <v>VR217S025077</v>
          </cell>
        </row>
        <row r="8953">
          <cell r="D8953" t="str">
            <v>RSC-R1UW-2E16</v>
          </cell>
          <cell r="E8953" t="str">
            <v>VR217S025078</v>
          </cell>
        </row>
        <row r="8954">
          <cell r="D8954" t="str">
            <v>RSC-R1UW-2E16</v>
          </cell>
          <cell r="E8954" t="str">
            <v>VR217S025079</v>
          </cell>
        </row>
        <row r="8955">
          <cell r="D8955" t="str">
            <v>RSC-R1UW-2E16</v>
          </cell>
          <cell r="E8955" t="str">
            <v>VR217S025080</v>
          </cell>
        </row>
        <row r="8956">
          <cell r="D8956" t="str">
            <v>RSC-R1UW-2E16</v>
          </cell>
          <cell r="E8956" t="str">
            <v>VR217S025125</v>
          </cell>
        </row>
        <row r="8957">
          <cell r="D8957" t="str">
            <v>RSC-R1UW-2E16</v>
          </cell>
          <cell r="E8957" t="str">
            <v>VR217S025124</v>
          </cell>
        </row>
        <row r="8958">
          <cell r="D8958" t="str">
            <v>RSC-R1UW-2E16</v>
          </cell>
          <cell r="E8958" t="str">
            <v>VR217S025123</v>
          </cell>
        </row>
        <row r="8959">
          <cell r="D8959" t="str">
            <v>RSC-R1UW-2E16</v>
          </cell>
          <cell r="E8959" t="str">
            <v>VR217S025122</v>
          </cell>
        </row>
        <row r="8960">
          <cell r="D8960" t="str">
            <v>RSC-R1UW-2E16</v>
          </cell>
          <cell r="E8960" t="str">
            <v>VR217S025121</v>
          </cell>
        </row>
        <row r="8961">
          <cell r="D8961" t="str">
            <v>RSC-R1UW-2E16</v>
          </cell>
          <cell r="E8961" t="str">
            <v>VR217S025120</v>
          </cell>
        </row>
        <row r="8962">
          <cell r="D8962" t="str">
            <v>RSC-R1UW-2E16</v>
          </cell>
          <cell r="E8962" t="str">
            <v>VR217S025119</v>
          </cell>
        </row>
        <row r="8963">
          <cell r="D8963" t="str">
            <v>RSC-R1UW-2E16</v>
          </cell>
          <cell r="E8963" t="str">
            <v>VR217S025118</v>
          </cell>
        </row>
        <row r="8964">
          <cell r="D8964" t="str">
            <v>RSC-R1UW-2E16</v>
          </cell>
          <cell r="E8964" t="str">
            <v>VR217S025117</v>
          </cell>
        </row>
        <row r="8965">
          <cell r="D8965" t="str">
            <v>RSC-R1UW-2E16</v>
          </cell>
          <cell r="E8965" t="str">
            <v>VR217S025116</v>
          </cell>
        </row>
        <row r="8966">
          <cell r="D8966" t="str">
            <v>RSC-R1UW-2E16</v>
          </cell>
          <cell r="E8966" t="str">
            <v>VR217S025111</v>
          </cell>
        </row>
        <row r="8967">
          <cell r="D8967" t="str">
            <v>RSC-R1UW-2E16</v>
          </cell>
          <cell r="E8967" t="str">
            <v>VR217S025112</v>
          </cell>
        </row>
        <row r="8968">
          <cell r="D8968" t="str">
            <v>RSC-R1UW-2E16</v>
          </cell>
          <cell r="E8968" t="str">
            <v>VR217S025113</v>
          </cell>
        </row>
        <row r="8969">
          <cell r="D8969" t="str">
            <v>RSC-R1UW-2E16</v>
          </cell>
          <cell r="E8969" t="str">
            <v>VR217S025114</v>
          </cell>
        </row>
        <row r="8970">
          <cell r="D8970" t="str">
            <v>RSC-R1UW-2E16</v>
          </cell>
          <cell r="E8970" t="str">
            <v>VR217S025115</v>
          </cell>
        </row>
        <row r="8971">
          <cell r="D8971" t="str">
            <v>RSC-R1UW-2E16</v>
          </cell>
          <cell r="E8971" t="str">
            <v>VR217S025130</v>
          </cell>
        </row>
        <row r="8972">
          <cell r="D8972" t="str">
            <v>RSC-R1UW-2E16</v>
          </cell>
          <cell r="E8972" t="str">
            <v>VR217S025129</v>
          </cell>
        </row>
        <row r="8973">
          <cell r="D8973" t="str">
            <v>RSC-R1UW-2E16</v>
          </cell>
          <cell r="E8973" t="str">
            <v>VR217S025128</v>
          </cell>
        </row>
        <row r="8974">
          <cell r="D8974" t="str">
            <v>RSC-R1UW-2E16</v>
          </cell>
          <cell r="E8974" t="str">
            <v>VR217S025127</v>
          </cell>
        </row>
        <row r="8975">
          <cell r="D8975" t="str">
            <v>RSC-R1UW-2E16</v>
          </cell>
          <cell r="E8975" t="str">
            <v>VR217S025126</v>
          </cell>
        </row>
        <row r="8976">
          <cell r="D8976" t="str">
            <v>RSC-R1UW-2E16</v>
          </cell>
          <cell r="E8976" t="str">
            <v>VR217S025101</v>
          </cell>
        </row>
        <row r="8977">
          <cell r="D8977" t="str">
            <v>RSC-R1UW-2E16</v>
          </cell>
          <cell r="E8977" t="str">
            <v>VR217S025102</v>
          </cell>
        </row>
        <row r="8978">
          <cell r="D8978" t="str">
            <v>RSC-R1UW-2E16</v>
          </cell>
          <cell r="E8978" t="str">
            <v>VR217S025103</v>
          </cell>
        </row>
        <row r="8979">
          <cell r="D8979" t="str">
            <v>RSC-R1UW-2E16</v>
          </cell>
          <cell r="E8979" t="str">
            <v>VR217S025104</v>
          </cell>
        </row>
        <row r="8980">
          <cell r="D8980" t="str">
            <v>RSC-R1UW-2E16</v>
          </cell>
          <cell r="E8980" t="str">
            <v>VR217S025105</v>
          </cell>
        </row>
        <row r="8981">
          <cell r="D8981" t="str">
            <v>RSC-R1UW-2E16</v>
          </cell>
          <cell r="E8981" t="str">
            <v>VR217S025106</v>
          </cell>
        </row>
        <row r="8982">
          <cell r="D8982" t="str">
            <v>RSC-R1UW-2E16</v>
          </cell>
          <cell r="E8982" t="str">
            <v>VR217S025107</v>
          </cell>
        </row>
        <row r="8983">
          <cell r="D8983" t="str">
            <v>RSC-R1UW-2E16</v>
          </cell>
          <cell r="E8983" t="str">
            <v>VR217S025108</v>
          </cell>
        </row>
        <row r="8984">
          <cell r="D8984" t="str">
            <v>RSC-R1UW-2E16</v>
          </cell>
          <cell r="E8984" t="str">
            <v>VR217S025109</v>
          </cell>
        </row>
        <row r="8985">
          <cell r="D8985" t="str">
            <v>RSC-R1UW-2E16</v>
          </cell>
          <cell r="E8985" t="str">
            <v>VR217S025110</v>
          </cell>
        </row>
        <row r="8986">
          <cell r="D8986" t="str">
            <v>RSC-R1UW-2E16</v>
          </cell>
          <cell r="E8986" t="str">
            <v>VR217S024200</v>
          </cell>
        </row>
        <row r="8987">
          <cell r="D8987" t="str">
            <v>RSC-R1UW-2E16</v>
          </cell>
          <cell r="E8987" t="str">
            <v>VR217S024199</v>
          </cell>
        </row>
        <row r="8988">
          <cell r="D8988" t="str">
            <v>RSC-R1UW-2E16</v>
          </cell>
          <cell r="E8988" t="str">
            <v>VR217S024198</v>
          </cell>
        </row>
        <row r="8989">
          <cell r="D8989" t="str">
            <v>RSC-R1UW-2E16</v>
          </cell>
          <cell r="E8989" t="str">
            <v>VR217S024197</v>
          </cell>
        </row>
        <row r="8990">
          <cell r="D8990" t="str">
            <v>RSC-R1UW-2E16</v>
          </cell>
          <cell r="E8990" t="str">
            <v>VR217S024196</v>
          </cell>
        </row>
        <row r="8991">
          <cell r="D8991" t="str">
            <v>RSC-R1UW-2E16</v>
          </cell>
          <cell r="E8991" t="str">
            <v>VR217S024195</v>
          </cell>
        </row>
        <row r="8992">
          <cell r="D8992" t="str">
            <v>RSC-R1UW-2E16</v>
          </cell>
          <cell r="E8992" t="str">
            <v>VR217S024194</v>
          </cell>
        </row>
        <row r="8993">
          <cell r="D8993" t="str">
            <v>RSC-R1UW-2E16</v>
          </cell>
          <cell r="E8993" t="str">
            <v>VR217S024193</v>
          </cell>
        </row>
        <row r="8994">
          <cell r="D8994" t="str">
            <v>RSC-R1UW-2E16</v>
          </cell>
          <cell r="E8994" t="str">
            <v>VR217S024192</v>
          </cell>
        </row>
        <row r="8995">
          <cell r="D8995" t="str">
            <v>RSC-R1UW-2E16</v>
          </cell>
          <cell r="E8995" t="str">
            <v>VR217S024191</v>
          </cell>
        </row>
        <row r="8996">
          <cell r="D8996" t="str">
            <v>RSC-R1UW-2E16</v>
          </cell>
          <cell r="E8996" t="str">
            <v>VR217S024190</v>
          </cell>
        </row>
        <row r="8997">
          <cell r="D8997" t="str">
            <v>RSC-R1UW-2E16</v>
          </cell>
          <cell r="E8997" t="str">
            <v>VR217S024189</v>
          </cell>
        </row>
        <row r="8998">
          <cell r="D8998" t="str">
            <v>RSC-R1UW-2E16</v>
          </cell>
          <cell r="E8998" t="str">
            <v>VR217S024188</v>
          </cell>
        </row>
        <row r="8999">
          <cell r="D8999" t="str">
            <v>RSC-R1UW-2E16</v>
          </cell>
          <cell r="E8999" t="str">
            <v>VR217S024187</v>
          </cell>
        </row>
        <row r="9000">
          <cell r="D9000" t="str">
            <v>RSC-R1UW-2E16</v>
          </cell>
          <cell r="E9000" t="str">
            <v>VR217S024186</v>
          </cell>
        </row>
        <row r="9001">
          <cell r="D9001" t="str">
            <v>RSC-R1UW-2E16</v>
          </cell>
          <cell r="E9001" t="str">
            <v>VR217S024171</v>
          </cell>
        </row>
        <row r="9002">
          <cell r="D9002" t="str">
            <v>RSC-R1UW-2E16</v>
          </cell>
          <cell r="E9002" t="str">
            <v>VR217S024172</v>
          </cell>
        </row>
        <row r="9003">
          <cell r="D9003" t="str">
            <v>RSC-R1UW-2E16</v>
          </cell>
          <cell r="E9003" t="str">
            <v>VR217S024173</v>
          </cell>
        </row>
        <row r="9004">
          <cell r="D9004" t="str">
            <v>RSC-R1UW-2E16</v>
          </cell>
          <cell r="E9004" t="str">
            <v>VR217S024174</v>
          </cell>
        </row>
        <row r="9005">
          <cell r="D9005" t="str">
            <v>RSC-R1UW-2E16</v>
          </cell>
          <cell r="E9005" t="str">
            <v>VR217S024175</v>
          </cell>
        </row>
        <row r="9006">
          <cell r="D9006" t="str">
            <v>RSC-R1UW-2E16</v>
          </cell>
          <cell r="E9006" t="str">
            <v>VR217S024176</v>
          </cell>
        </row>
        <row r="9007">
          <cell r="D9007" t="str">
            <v>RSC-R1UW-2E16</v>
          </cell>
          <cell r="E9007" t="str">
            <v>VR217S024177</v>
          </cell>
        </row>
        <row r="9008">
          <cell r="D9008" t="str">
            <v>RSC-R1UW-2E16</v>
          </cell>
          <cell r="E9008" t="str">
            <v>VR217S024178</v>
          </cell>
        </row>
        <row r="9009">
          <cell r="D9009" t="str">
            <v>RSC-R1UW-2E16</v>
          </cell>
          <cell r="E9009" t="str">
            <v>VR217S024179</v>
          </cell>
        </row>
        <row r="9010">
          <cell r="D9010" t="str">
            <v>RSC-R1UW-2E16</v>
          </cell>
          <cell r="E9010" t="str">
            <v>VR217S024180</v>
          </cell>
        </row>
        <row r="9011">
          <cell r="D9011" t="str">
            <v>RSC-R1UW-2E16</v>
          </cell>
          <cell r="E9011" t="str">
            <v>VR217S024181</v>
          </cell>
        </row>
        <row r="9012">
          <cell r="D9012" t="str">
            <v>RSC-R1UW-2E16</v>
          </cell>
          <cell r="E9012" t="str">
            <v>VR217S024182</v>
          </cell>
        </row>
        <row r="9013">
          <cell r="D9013" t="str">
            <v>RSC-R1UW-2E16</v>
          </cell>
          <cell r="E9013" t="str">
            <v>VR217S024183</v>
          </cell>
        </row>
        <row r="9014">
          <cell r="D9014" t="str">
            <v>RSC-R1UW-2E16</v>
          </cell>
          <cell r="E9014" t="str">
            <v>VR217S024184</v>
          </cell>
        </row>
        <row r="9015">
          <cell r="D9015" t="str">
            <v>RSC-R1UW-2E16</v>
          </cell>
          <cell r="E9015" t="str">
            <v>VR217S024185</v>
          </cell>
        </row>
        <row r="9016">
          <cell r="D9016" t="str">
            <v>MEM-DR432L-CV01-EU32</v>
          </cell>
          <cell r="E9016" t="str">
            <v>S802C252149F2FFBD0B</v>
          </cell>
        </row>
        <row r="9017">
          <cell r="D9017" t="str">
            <v>MEM-DR432L-CV01-EU32</v>
          </cell>
          <cell r="E9017" t="str">
            <v>S802C252149F2FFBD15</v>
          </cell>
        </row>
        <row r="9018">
          <cell r="D9018" t="str">
            <v>MEM-DR432L-CV01-EU32</v>
          </cell>
          <cell r="E9018" t="str">
            <v>S802C252149F2FFB85E</v>
          </cell>
        </row>
        <row r="9019">
          <cell r="D9019" t="str">
            <v>MEM-DR432L-CV01-EU32</v>
          </cell>
          <cell r="E9019" t="str">
            <v>S802C252149F2FFB4F3</v>
          </cell>
        </row>
        <row r="9020">
          <cell r="D9020" t="str">
            <v>MEM-DR432L-CV01-EU32</v>
          </cell>
          <cell r="E9020" t="str">
            <v>S802C252149F2FFC1BE</v>
          </cell>
        </row>
        <row r="9021">
          <cell r="D9021" t="str">
            <v>MEM-DR432L-CV01-EU32</v>
          </cell>
          <cell r="E9021" t="str">
            <v>S802C252149F2FFB85C</v>
          </cell>
        </row>
        <row r="9022">
          <cell r="D9022" t="str">
            <v>MEM-DR432L-CV01-EU32</v>
          </cell>
          <cell r="E9022" t="str">
            <v>S802C252149F2FFBD03</v>
          </cell>
        </row>
        <row r="9023">
          <cell r="D9023" t="str">
            <v>MEM-DR432L-CV01-EU32</v>
          </cell>
          <cell r="E9023" t="str">
            <v>S802C252149F2FFAE12</v>
          </cell>
        </row>
        <row r="9024">
          <cell r="D9024" t="str">
            <v>RSC-R1UW-E8R</v>
          </cell>
          <cell r="E9024" t="str">
            <v>VR218S020907</v>
          </cell>
        </row>
        <row r="9025">
          <cell r="D9025" t="str">
            <v>BPN-SAS3-946BA</v>
          </cell>
          <cell r="E9025" t="str">
            <v>JBF188S001784</v>
          </cell>
        </row>
        <row r="9026">
          <cell r="D9026" t="str">
            <v>RSC-R2UW-2E8E16</v>
          </cell>
          <cell r="E9026" t="str">
            <v>ER219S001510</v>
          </cell>
        </row>
        <row r="9027">
          <cell r="D9027" t="str">
            <v>RSC-R2UW-2E8E16</v>
          </cell>
          <cell r="E9027" t="str">
            <v>ER219S001506</v>
          </cell>
        </row>
        <row r="9028">
          <cell r="D9028" t="str">
            <v>RSC-R2UW-2E8E16</v>
          </cell>
          <cell r="E9028" t="str">
            <v>ER219S001507</v>
          </cell>
        </row>
        <row r="9029">
          <cell r="D9029" t="str">
            <v>RSC-R2UW-2E8E16</v>
          </cell>
          <cell r="E9029" t="str">
            <v>ER219S001508</v>
          </cell>
        </row>
        <row r="9030">
          <cell r="D9030" t="str">
            <v>RSC-R2UW-2E8E16</v>
          </cell>
          <cell r="E9030" t="str">
            <v>ER219S001509</v>
          </cell>
        </row>
        <row r="9031">
          <cell r="D9031" t="str">
            <v>MBD-X12SPL-F-B</v>
          </cell>
          <cell r="E9031" t="str">
            <v>ZM223S005252</v>
          </cell>
          <cell r="K9031" t="str">
            <v>SO/2022/005842/A</v>
          </cell>
        </row>
        <row r="9032">
          <cell r="D9032" t="str">
            <v>RSC-R1UW-2E16</v>
          </cell>
          <cell r="E9032" t="str">
            <v>VR217S022675</v>
          </cell>
        </row>
        <row r="9033">
          <cell r="D9033" t="str">
            <v>RSC-R1UW-2E16</v>
          </cell>
          <cell r="E9033" t="str">
            <v>VR217S022674</v>
          </cell>
        </row>
        <row r="9034">
          <cell r="D9034" t="str">
            <v>RSC-R1UW-2E16</v>
          </cell>
          <cell r="E9034" t="str">
            <v>VR217S022673</v>
          </cell>
        </row>
        <row r="9035">
          <cell r="D9035" t="str">
            <v>RSC-R1UW-2E16</v>
          </cell>
          <cell r="E9035" t="str">
            <v>VR217S022672</v>
          </cell>
        </row>
        <row r="9036">
          <cell r="D9036" t="str">
            <v>RSC-R1UW-2E16</v>
          </cell>
          <cell r="E9036" t="str">
            <v>VR217S022671</v>
          </cell>
        </row>
        <row r="9037">
          <cell r="D9037" t="str">
            <v>RSC-R1UW-2E16</v>
          </cell>
          <cell r="E9037" t="str">
            <v>VR217S022705</v>
          </cell>
        </row>
        <row r="9038">
          <cell r="D9038" t="str">
            <v>RSC-R1UW-2E16</v>
          </cell>
          <cell r="E9038" t="str">
            <v>VR217S022704</v>
          </cell>
        </row>
        <row r="9039">
          <cell r="D9039" t="str">
            <v>RSC-R1UW-2E16</v>
          </cell>
          <cell r="E9039" t="str">
            <v>VR217S022703</v>
          </cell>
        </row>
        <row r="9040">
          <cell r="D9040" t="str">
            <v>RSC-R1UW-2E16</v>
          </cell>
          <cell r="E9040" t="str">
            <v>VR217S022702</v>
          </cell>
        </row>
        <row r="9041">
          <cell r="D9041" t="str">
            <v>RSC-R1UW-2E16</v>
          </cell>
          <cell r="E9041" t="str">
            <v>VR217S022701</v>
          </cell>
        </row>
        <row r="9042">
          <cell r="D9042" t="str">
            <v>RSC-R1UW-2E16</v>
          </cell>
          <cell r="E9042" t="str">
            <v>VR217S022686</v>
          </cell>
        </row>
        <row r="9043">
          <cell r="D9043" t="str">
            <v>RSC-R1UW-2E16</v>
          </cell>
          <cell r="E9043" t="str">
            <v>VR217S022687</v>
          </cell>
        </row>
        <row r="9044">
          <cell r="D9044" t="str">
            <v>RSC-R1UW-2E16</v>
          </cell>
          <cell r="E9044" t="str">
            <v>VR217S022688</v>
          </cell>
        </row>
        <row r="9045">
          <cell r="D9045" t="str">
            <v>RSC-R1UW-2E16</v>
          </cell>
          <cell r="E9045" t="str">
            <v>VR217S022689</v>
          </cell>
        </row>
        <row r="9046">
          <cell r="D9046" t="str">
            <v>RSC-R1UW-2E16</v>
          </cell>
          <cell r="E9046" t="str">
            <v>VR217S022690</v>
          </cell>
        </row>
        <row r="9047">
          <cell r="D9047" t="str">
            <v>RSC-R1UW-2E16</v>
          </cell>
          <cell r="E9047" t="str">
            <v>VR217S022715</v>
          </cell>
        </row>
        <row r="9048">
          <cell r="D9048" t="str">
            <v>RSC-R1UW-2E16</v>
          </cell>
          <cell r="E9048" t="str">
            <v>VR217S022714</v>
          </cell>
        </row>
        <row r="9049">
          <cell r="D9049" t="str">
            <v>RSC-R1UW-2E16</v>
          </cell>
          <cell r="E9049" t="str">
            <v>VR217S022713</v>
          </cell>
        </row>
        <row r="9050">
          <cell r="D9050" t="str">
            <v>RSC-R1UW-2E16</v>
          </cell>
          <cell r="E9050" t="str">
            <v>VR217S022712</v>
          </cell>
        </row>
        <row r="9051">
          <cell r="D9051" t="str">
            <v>RSC-R1UW-2E16</v>
          </cell>
          <cell r="E9051" t="str">
            <v>VR217S022711</v>
          </cell>
        </row>
        <row r="9052">
          <cell r="D9052" t="str">
            <v>RSC-R1UW-2E16</v>
          </cell>
          <cell r="E9052" t="str">
            <v>VR217S022710</v>
          </cell>
        </row>
        <row r="9053">
          <cell r="D9053" t="str">
            <v>RSC-R1UW-2E16</v>
          </cell>
          <cell r="E9053" t="str">
            <v>VR217S022709</v>
          </cell>
        </row>
        <row r="9054">
          <cell r="D9054" t="str">
            <v>RSC-R1UW-2E16</v>
          </cell>
          <cell r="E9054" t="str">
            <v>VR217S022708</v>
          </cell>
        </row>
        <row r="9055">
          <cell r="D9055" t="str">
            <v>RSC-R1UW-2E16</v>
          </cell>
          <cell r="E9055" t="str">
            <v>VR217S022707</v>
          </cell>
        </row>
        <row r="9056">
          <cell r="D9056" t="str">
            <v>RSC-R1UW-2E16</v>
          </cell>
          <cell r="E9056" t="str">
            <v>VR217S022706</v>
          </cell>
        </row>
        <row r="9057">
          <cell r="D9057" t="str">
            <v>RSC-R1UW-2E16</v>
          </cell>
          <cell r="E9057" t="str">
            <v>VR217S022685</v>
          </cell>
        </row>
        <row r="9058">
          <cell r="D9058" t="str">
            <v>RSC-R1UW-2E16</v>
          </cell>
          <cell r="E9058" t="str">
            <v>VR217S022684</v>
          </cell>
        </row>
        <row r="9059">
          <cell r="D9059" t="str">
            <v>RSC-R1UW-2E16</v>
          </cell>
          <cell r="E9059" t="str">
            <v>VR217S022683</v>
          </cell>
        </row>
        <row r="9060">
          <cell r="D9060" t="str">
            <v>RSC-R1UW-2E16</v>
          </cell>
          <cell r="E9060" t="str">
            <v>VR217S022682</v>
          </cell>
        </row>
        <row r="9061">
          <cell r="D9061" t="str">
            <v>RSC-R1UW-2E16</v>
          </cell>
          <cell r="E9061" t="str">
            <v>VR217S022681</v>
          </cell>
        </row>
        <row r="9062">
          <cell r="D9062" t="str">
            <v>RSC-R1UW-2E16</v>
          </cell>
          <cell r="E9062" t="str">
            <v>VR217S022680</v>
          </cell>
        </row>
        <row r="9063">
          <cell r="D9063" t="str">
            <v>RSC-R1UW-2E16</v>
          </cell>
          <cell r="E9063" t="str">
            <v>VR217S022679</v>
          </cell>
        </row>
        <row r="9064">
          <cell r="D9064" t="str">
            <v>RSC-R1UW-2E16</v>
          </cell>
          <cell r="E9064" t="str">
            <v>VR217S022678</v>
          </cell>
        </row>
        <row r="9065">
          <cell r="D9065" t="str">
            <v>RSC-R1UW-2E16</v>
          </cell>
          <cell r="E9065" t="str">
            <v>VR217S022677</v>
          </cell>
        </row>
        <row r="9066">
          <cell r="D9066" t="str">
            <v>RSC-R1UW-2E16</v>
          </cell>
          <cell r="E9066" t="str">
            <v>VR217S022676</v>
          </cell>
        </row>
        <row r="9067">
          <cell r="D9067" t="str">
            <v>RSC-R1UW-2E16</v>
          </cell>
          <cell r="E9067" t="str">
            <v>VR217S022691</v>
          </cell>
        </row>
        <row r="9068">
          <cell r="D9068" t="str">
            <v>RSC-R1UW-2E16</v>
          </cell>
          <cell r="E9068" t="str">
            <v>VR217S022692</v>
          </cell>
        </row>
        <row r="9069">
          <cell r="D9069" t="str">
            <v>RSC-R1UW-2E16</v>
          </cell>
          <cell r="E9069" t="str">
            <v>VR217S022693</v>
          </cell>
        </row>
        <row r="9070">
          <cell r="D9070" t="str">
            <v>RSC-R1UW-2E16</v>
          </cell>
          <cell r="E9070" t="str">
            <v>VR217S022694</v>
          </cell>
        </row>
        <row r="9071">
          <cell r="D9071" t="str">
            <v>RSC-R1UW-2E16</v>
          </cell>
          <cell r="E9071" t="str">
            <v>VR217S022695</v>
          </cell>
        </row>
        <row r="9072">
          <cell r="D9072" t="str">
            <v>RSC-R1UW-2E16</v>
          </cell>
          <cell r="E9072" t="str">
            <v>VR217S022697</v>
          </cell>
        </row>
        <row r="9073">
          <cell r="D9073" t="str">
            <v>RSC-R1UW-2E16</v>
          </cell>
          <cell r="E9073" t="str">
            <v>VR217S022696</v>
          </cell>
        </row>
        <row r="9074">
          <cell r="D9074" t="str">
            <v>RSC-R1UW-2E16</v>
          </cell>
          <cell r="E9074" t="str">
            <v>VR217S022698</v>
          </cell>
        </row>
        <row r="9075">
          <cell r="D9075" t="str">
            <v>RSC-R1UW-2E16</v>
          </cell>
          <cell r="E9075" t="str">
            <v>VR217S022699</v>
          </cell>
        </row>
        <row r="9076">
          <cell r="D9076" t="str">
            <v>RSC-R1UW-2E16</v>
          </cell>
          <cell r="E9076" t="str">
            <v>VR217S022700</v>
          </cell>
        </row>
        <row r="9077">
          <cell r="D9077" t="str">
            <v>ROMED4ID-2T</v>
          </cell>
          <cell r="E9077" t="str">
            <v>E8S0XW000160</v>
          </cell>
        </row>
        <row r="9078">
          <cell r="D9078" t="str">
            <v>1U4LW-X470</v>
          </cell>
          <cell r="E9078" t="str">
            <v>F2S0R8000045</v>
          </cell>
        </row>
        <row r="9079">
          <cell r="D9079" t="str">
            <v>C246 WS</v>
          </cell>
          <cell r="E9079" t="str">
            <v>EAS0XW001096</v>
          </cell>
        </row>
        <row r="9080">
          <cell r="D9080" t="str">
            <v>C246 WS</v>
          </cell>
          <cell r="E9080" t="str">
            <v>E8S0XW014434</v>
          </cell>
        </row>
        <row r="9081">
          <cell r="D9081" t="str">
            <v>X570D4U</v>
          </cell>
          <cell r="E9081" t="str">
            <v>EBS0XW011130</v>
          </cell>
        </row>
        <row r="9082">
          <cell r="D9082" t="str">
            <v xml:space="preserve">MZPLJ6T4HALA-000    </v>
          </cell>
          <cell r="E9082">
            <v>25389911502619</v>
          </cell>
        </row>
        <row r="9083">
          <cell r="D9083" t="str">
            <v>MZ7L31T9HBLT-00A07</v>
          </cell>
          <cell r="E9083" t="str">
            <v>S6ESNE0T305197</v>
          </cell>
        </row>
        <row r="9084">
          <cell r="D9084" t="str">
            <v>MZ7L31T9HBLT-00A07</v>
          </cell>
          <cell r="E9084" t="str">
            <v>S6ESNE0T305200</v>
          </cell>
        </row>
        <row r="9085">
          <cell r="D9085" t="str">
            <v>MCX516A-CDAT</v>
          </cell>
          <cell r="E9085" t="str">
            <v>MT2207K23503</v>
          </cell>
        </row>
        <row r="9086">
          <cell r="D9086" t="str">
            <v>MCX516A-CDAT</v>
          </cell>
          <cell r="E9086" t="str">
            <v>MT2207K23155</v>
          </cell>
        </row>
        <row r="9087">
          <cell r="D9087" t="str">
            <v>MCX516A-CDAT</v>
          </cell>
          <cell r="E9087" t="str">
            <v>MT2207K23073</v>
          </cell>
        </row>
        <row r="9088">
          <cell r="D9088" t="str">
            <v>MCX516A-CDAT</v>
          </cell>
          <cell r="E9088" t="str">
            <v>MT2207K23154</v>
          </cell>
        </row>
        <row r="9089">
          <cell r="D9089" t="str">
            <v>MCX516A-CDAT</v>
          </cell>
          <cell r="E9089" t="str">
            <v>MT2207K24010</v>
          </cell>
        </row>
        <row r="9090">
          <cell r="D9090" t="str">
            <v>MCX516A-CDAT</v>
          </cell>
          <cell r="E9090" t="str">
            <v>MT2207K23069</v>
          </cell>
        </row>
        <row r="9091">
          <cell r="D9091" t="str">
            <v>MCX516A-CDAT</v>
          </cell>
          <cell r="E9091" t="str">
            <v>MT2207K23501</v>
          </cell>
        </row>
        <row r="9092">
          <cell r="D9092" t="str">
            <v>MCX516A-CDAT</v>
          </cell>
          <cell r="E9092" t="str">
            <v>MT2207K23315</v>
          </cell>
        </row>
        <row r="9093">
          <cell r="D9093" t="str">
            <v>MCX516A-CDAT</v>
          </cell>
          <cell r="E9093" t="str">
            <v>MT2207K23318</v>
          </cell>
        </row>
        <row r="9094">
          <cell r="D9094" t="str">
            <v>MCX516A-CDAT</v>
          </cell>
          <cell r="E9094" t="str">
            <v>MT2207K24056</v>
          </cell>
        </row>
        <row r="9095">
          <cell r="D9095" t="str">
            <v xml:space="preserve">M391A1K43BB2-CTD </v>
          </cell>
          <cell r="E9095" t="str">
            <v>SNL341</v>
          </cell>
        </row>
        <row r="9096">
          <cell r="D9096" t="str">
            <v xml:space="preserve">M391A1K43BB2-CTD </v>
          </cell>
          <cell r="E9096" t="str">
            <v>SNL342</v>
          </cell>
        </row>
        <row r="9097">
          <cell r="D9097" t="str">
            <v xml:space="preserve">M391A1K43BB2-CTD </v>
          </cell>
          <cell r="E9097" t="str">
            <v>SNL343</v>
          </cell>
        </row>
        <row r="9098">
          <cell r="D9098" t="str">
            <v xml:space="preserve">M391A1K43BB2-CTD </v>
          </cell>
          <cell r="E9098" t="str">
            <v>SNL344</v>
          </cell>
        </row>
        <row r="9099">
          <cell r="D9099" t="str">
            <v>MZ7LH480HAHQ-00005</v>
          </cell>
          <cell r="E9099" t="str">
            <v>S45PNC0T360081</v>
          </cell>
          <cell r="K9099" t="str">
            <v>SO/2022/005825/A 1z2</v>
          </cell>
        </row>
        <row r="9100">
          <cell r="D9100" t="str">
            <v>MZ7LH480HAHQ-00005</v>
          </cell>
          <cell r="E9100" t="str">
            <v>S45PNC0RB81748</v>
          </cell>
          <cell r="K9100" t="str">
            <v>SO/2022/005825/A 2z2</v>
          </cell>
        </row>
        <row r="9101">
          <cell r="D9101" t="str">
            <v>MZ7LH480HAHQ-00005</v>
          </cell>
          <cell r="E9101" t="str">
            <v>S45PNC0RB81983</v>
          </cell>
          <cell r="K9101" t="str">
            <v>SO/2022/005939/A 2z2</v>
          </cell>
        </row>
        <row r="9102">
          <cell r="D9102" t="str">
            <v>MZ7LH480HAHQ-00005</v>
          </cell>
          <cell r="E9102" t="str">
            <v>S45PNC0RB81984</v>
          </cell>
          <cell r="K9102" t="str">
            <v>SO/2022/005939/A 1z2</v>
          </cell>
        </row>
        <row r="9103">
          <cell r="D9103" t="str">
            <v xml:space="preserve">M393A8G40AB2-CWE </v>
          </cell>
          <cell r="E9103" t="str">
            <v>SNL345</v>
          </cell>
        </row>
        <row r="9104">
          <cell r="D9104" t="str">
            <v xml:space="preserve">M393A8G40AB2-CWE </v>
          </cell>
          <cell r="E9104" t="str">
            <v>SNL346</v>
          </cell>
        </row>
        <row r="9105">
          <cell r="D9105" t="str">
            <v xml:space="preserve">M393A8G40AB2-CWE </v>
          </cell>
          <cell r="E9105" t="str">
            <v>SNL347</v>
          </cell>
        </row>
        <row r="9106">
          <cell r="D9106" t="str">
            <v xml:space="preserve">M393A8G40AB2-CWE </v>
          </cell>
          <cell r="E9106" t="str">
            <v>SNL348</v>
          </cell>
        </row>
        <row r="9107">
          <cell r="D9107" t="str">
            <v xml:space="preserve">M393A8G40AB2-CWE </v>
          </cell>
          <cell r="E9107" t="str">
            <v>SNL349</v>
          </cell>
        </row>
        <row r="9108">
          <cell r="D9108" t="str">
            <v xml:space="preserve">M393A8G40AB2-CWE </v>
          </cell>
          <cell r="E9108" t="str">
            <v>SNL350</v>
          </cell>
        </row>
        <row r="9109">
          <cell r="D9109" t="str">
            <v xml:space="preserve">M393A8G40AB2-CWE </v>
          </cell>
          <cell r="E9109" t="str">
            <v>SNL351</v>
          </cell>
        </row>
        <row r="9110">
          <cell r="D9110" t="str">
            <v xml:space="preserve">M393A8G40AB2-CWE </v>
          </cell>
          <cell r="E9110" t="str">
            <v>SNL352</v>
          </cell>
        </row>
        <row r="9111">
          <cell r="D9111" t="str">
            <v xml:space="preserve">M393A8G40AB2-CWE </v>
          </cell>
          <cell r="E9111" t="str">
            <v>SNL353</v>
          </cell>
        </row>
        <row r="9112">
          <cell r="D9112" t="str">
            <v xml:space="preserve">M393A8G40AB2-CWE </v>
          </cell>
          <cell r="E9112" t="str">
            <v>SNL354</v>
          </cell>
        </row>
        <row r="9113">
          <cell r="D9113" t="str">
            <v xml:space="preserve">M393A8G40AB2-CWE </v>
          </cell>
          <cell r="E9113" t="str">
            <v>SNL355</v>
          </cell>
        </row>
        <row r="9114">
          <cell r="D9114" t="str">
            <v xml:space="preserve">M393A8G40AB2-CWE </v>
          </cell>
          <cell r="E9114" t="str">
            <v>SNL356</v>
          </cell>
        </row>
        <row r="9115">
          <cell r="D9115" t="str">
            <v>MZ7L3480HCHQ-00A07</v>
          </cell>
          <cell r="E9115" t="str">
            <v>S664NE0RC30893</v>
          </cell>
        </row>
        <row r="9116">
          <cell r="D9116" t="str">
            <v>MZ7L3480HCHQ-00A07</v>
          </cell>
          <cell r="E9116" t="str">
            <v>S664NE0RC30887</v>
          </cell>
        </row>
        <row r="9117">
          <cell r="D9117" t="str">
            <v>MZ7L3480HCHQ-00A07</v>
          </cell>
          <cell r="E9117" t="str">
            <v>S664NE0RC30882</v>
          </cell>
        </row>
        <row r="9118">
          <cell r="D9118" t="str">
            <v>MZ7L3480HCHQ-00A07</v>
          </cell>
          <cell r="E9118" t="str">
            <v>S664NE0RC30891</v>
          </cell>
        </row>
        <row r="9119">
          <cell r="D9119" t="str">
            <v>MZ7L3480HCHQ-00A07</v>
          </cell>
          <cell r="E9119" t="str">
            <v>S664NE0RC30884</v>
          </cell>
        </row>
        <row r="9120">
          <cell r="D9120" t="str">
            <v>MZ7L3480HCHQ-00A07</v>
          </cell>
          <cell r="E9120" t="str">
            <v>S664NE0RC30889</v>
          </cell>
        </row>
        <row r="9121">
          <cell r="D9121" t="str">
            <v>MZ7L3480HCHQ-00A07</v>
          </cell>
          <cell r="E9121" t="str">
            <v>S664NE0RC31779</v>
          </cell>
        </row>
        <row r="9122">
          <cell r="D9122" t="str">
            <v>MZ7L3480HCHQ-00A07</v>
          </cell>
          <cell r="E9122" t="str">
            <v>S664NE0RC31781</v>
          </cell>
        </row>
        <row r="9123">
          <cell r="D9123" t="str">
            <v>MZ7L3480HCHQ-00A07</v>
          </cell>
          <cell r="E9123" t="str">
            <v>S664NE0RC31782</v>
          </cell>
        </row>
        <row r="9124">
          <cell r="D9124" t="str">
            <v>MZ7L3480HCHQ-00A07</v>
          </cell>
          <cell r="E9124" t="str">
            <v>S664NE0RC31778</v>
          </cell>
        </row>
        <row r="9125">
          <cell r="D9125" t="str">
            <v>MZ7L3480HCHQ-00A07</v>
          </cell>
          <cell r="E9125" t="str">
            <v>S664NE0RC31746</v>
          </cell>
        </row>
        <row r="9126">
          <cell r="D9126" t="str">
            <v>MZ7L3480HCHQ-00A07</v>
          </cell>
          <cell r="E9126" t="str">
            <v>S664NE0RC31444</v>
          </cell>
        </row>
        <row r="9127">
          <cell r="D9127" t="str">
            <v>MZ7L3480HCHQ-00A07</v>
          </cell>
          <cell r="E9127" t="str">
            <v>S664NE0RC31626</v>
          </cell>
        </row>
        <row r="9128">
          <cell r="D9128" t="str">
            <v>MZ7L3480HCHQ-00A07</v>
          </cell>
          <cell r="E9128" t="str">
            <v>S664NE0RC31629</v>
          </cell>
        </row>
        <row r="9129">
          <cell r="D9129" t="str">
            <v>MZ7L3480HCHQ-00A07</v>
          </cell>
          <cell r="E9129" t="str">
            <v>S664NE0RC31624</v>
          </cell>
        </row>
        <row r="9130">
          <cell r="D9130" t="str">
            <v>MZ7L3480HCHQ-00A07</v>
          </cell>
          <cell r="E9130" t="str">
            <v>S664NE0RC31623</v>
          </cell>
        </row>
        <row r="9131">
          <cell r="D9131" t="str">
            <v>MZ7L3480HCHQ-00A07</v>
          </cell>
          <cell r="E9131" t="str">
            <v>S664NE0RC31622</v>
          </cell>
        </row>
        <row r="9132">
          <cell r="D9132" t="str">
            <v>MZ7L3480HCHQ-00A07</v>
          </cell>
          <cell r="E9132" t="str">
            <v>S664NE0RC31621</v>
          </cell>
        </row>
        <row r="9133">
          <cell r="D9133" t="str">
            <v>MZ7L3480HCHQ-00A07</v>
          </cell>
          <cell r="E9133" t="str">
            <v>S664NE0RC31616</v>
          </cell>
        </row>
        <row r="9134">
          <cell r="D9134" t="str">
            <v>MZ7L3480HCHQ-00A07</v>
          </cell>
          <cell r="E9134" t="str">
            <v>S664NE0RC31620</v>
          </cell>
        </row>
        <row r="9135">
          <cell r="D9135" t="str">
            <v>MZ7L3480HCHQ-00A07</v>
          </cell>
          <cell r="E9135" t="str">
            <v>S664NE0RC31607</v>
          </cell>
        </row>
        <row r="9136">
          <cell r="D9136" t="str">
            <v>MZ7L3480HCHQ-00A07</v>
          </cell>
          <cell r="E9136" t="str">
            <v>S664NE0RC31606</v>
          </cell>
        </row>
        <row r="9137">
          <cell r="D9137" t="str">
            <v>MZ7L3480HCHQ-00A07</v>
          </cell>
          <cell r="E9137" t="str">
            <v>S664NE0RC31615</v>
          </cell>
        </row>
        <row r="9138">
          <cell r="D9138" t="str">
            <v>MZ7L3480HCHQ-00A07</v>
          </cell>
          <cell r="E9138" t="str">
            <v>S664NE0RC31613</v>
          </cell>
        </row>
        <row r="9139">
          <cell r="D9139" t="str">
            <v>MZ7L3480HCHQ-00A07</v>
          </cell>
          <cell r="E9139" t="str">
            <v>S664NE0RC31766</v>
          </cell>
        </row>
        <row r="9140">
          <cell r="D9140" t="str">
            <v>MZ7L3480HCHQ-00A07</v>
          </cell>
          <cell r="E9140" t="str">
            <v>S664NE0RC31767</v>
          </cell>
        </row>
        <row r="9141">
          <cell r="D9141" t="str">
            <v>Intel Xeon E-2246G</v>
          </cell>
          <cell r="E9141" t="str">
            <v>X146M143 U1MR633402092</v>
          </cell>
          <cell r="K9141" t="str">
            <v>przygnieciony naroznik ( pakowanie w transporcie)</v>
          </cell>
        </row>
        <row r="9142">
          <cell r="D9142" t="str">
            <v>MZ7LH1T9HMLT-00005</v>
          </cell>
          <cell r="E9142" t="str">
            <v>S455NC0T306034</v>
          </cell>
        </row>
        <row r="9143">
          <cell r="D9143" t="str">
            <v>MZ7LH1T9HMLT-00005</v>
          </cell>
          <cell r="E9143" t="str">
            <v>S455NC0T306021</v>
          </cell>
        </row>
        <row r="9144">
          <cell r="D9144" t="str">
            <v>0F38755</v>
          </cell>
          <cell r="E9144" t="str">
            <v>2LG86W3K</v>
          </cell>
        </row>
        <row r="9145">
          <cell r="D9145" t="str">
            <v>0F38755</v>
          </cell>
          <cell r="E9145" t="str">
            <v>2LG86SBK</v>
          </cell>
        </row>
        <row r="9146">
          <cell r="D9146" t="str">
            <v>0F38755</v>
          </cell>
          <cell r="E9146" t="str">
            <v>2LG879HK</v>
          </cell>
        </row>
        <row r="9147">
          <cell r="D9147" t="str">
            <v>0F38755</v>
          </cell>
          <cell r="E9147" t="str">
            <v>2LG85SXF</v>
          </cell>
        </row>
        <row r="9148">
          <cell r="D9148" t="str">
            <v>0F38755</v>
          </cell>
          <cell r="E9148" t="str">
            <v>2LG4A9TK</v>
          </cell>
        </row>
        <row r="9149">
          <cell r="D9149" t="str">
            <v>0F38755</v>
          </cell>
          <cell r="E9149" t="str">
            <v>2LG86X8K</v>
          </cell>
        </row>
        <row r="9150">
          <cell r="D9150" t="str">
            <v>0F38755</v>
          </cell>
          <cell r="E9150" t="str">
            <v>2LG4KURF</v>
          </cell>
        </row>
        <row r="9151">
          <cell r="D9151" t="str">
            <v>0F38462</v>
          </cell>
          <cell r="E9151" t="str">
            <v>2PH3L3TT</v>
          </cell>
        </row>
        <row r="9152">
          <cell r="D9152" t="str">
            <v>0F38462</v>
          </cell>
          <cell r="E9152" t="str">
            <v>2PH3L4ZT</v>
          </cell>
        </row>
        <row r="9153">
          <cell r="D9153" t="str">
            <v>0F38462</v>
          </cell>
          <cell r="E9153" t="str">
            <v>2PH45YAJ</v>
          </cell>
        </row>
        <row r="9154">
          <cell r="D9154" t="str">
            <v>0F38462</v>
          </cell>
          <cell r="E9154" t="str">
            <v>2PH3L33T</v>
          </cell>
        </row>
        <row r="9155">
          <cell r="D9155" t="str">
            <v>0F38462</v>
          </cell>
          <cell r="E9155" t="str">
            <v>2PH3YV6J</v>
          </cell>
        </row>
        <row r="9156">
          <cell r="D9156" t="str">
            <v>0F38462</v>
          </cell>
          <cell r="E9156" t="str">
            <v>2PH3L65T</v>
          </cell>
        </row>
        <row r="9157">
          <cell r="D9157" t="str">
            <v>0F38462</v>
          </cell>
          <cell r="E9157" t="str">
            <v>2PH3NZXT</v>
          </cell>
        </row>
        <row r="9158">
          <cell r="D9158" t="str">
            <v>0F38462</v>
          </cell>
          <cell r="E9158" t="str">
            <v>2PH3VS7J</v>
          </cell>
        </row>
        <row r="9159">
          <cell r="D9159" t="str">
            <v>0F38462</v>
          </cell>
          <cell r="E9159" t="str">
            <v>2PH5R4RT</v>
          </cell>
        </row>
        <row r="9160">
          <cell r="D9160" t="str">
            <v>0F38462</v>
          </cell>
          <cell r="E9160" t="str">
            <v>2PH7E25J</v>
          </cell>
        </row>
        <row r="9161">
          <cell r="D9161" t="str">
            <v>0F38462</v>
          </cell>
          <cell r="E9161" t="str">
            <v>2PH3DEST</v>
          </cell>
        </row>
        <row r="9162">
          <cell r="D9162" t="str">
            <v>0F38462</v>
          </cell>
          <cell r="E9162" t="str">
            <v>2PH3953T</v>
          </cell>
        </row>
        <row r="9163">
          <cell r="D9163" t="str">
            <v>0F38462</v>
          </cell>
          <cell r="E9163" t="str">
            <v>2PH3LLJT</v>
          </cell>
        </row>
        <row r="9164">
          <cell r="D9164" t="str">
            <v>0F38462</v>
          </cell>
          <cell r="E9164" t="str">
            <v>2PH368DJ</v>
          </cell>
        </row>
        <row r="9165">
          <cell r="D9165" t="str">
            <v>0F38462</v>
          </cell>
          <cell r="E9165" t="str">
            <v>2PH3AP6T</v>
          </cell>
        </row>
        <row r="9166">
          <cell r="D9166" t="str">
            <v>0F38462</v>
          </cell>
          <cell r="E9166" t="str">
            <v>2PH3YE2J</v>
          </cell>
        </row>
        <row r="9167">
          <cell r="D9167" t="str">
            <v>0F38462</v>
          </cell>
          <cell r="E9167" t="str">
            <v>2PH3KAET</v>
          </cell>
        </row>
        <row r="9168">
          <cell r="D9168" t="str">
            <v>0F38462</v>
          </cell>
          <cell r="E9168" t="str">
            <v>2PH3B94T</v>
          </cell>
        </row>
        <row r="9169">
          <cell r="D9169" t="str">
            <v>0F38462</v>
          </cell>
          <cell r="E9169" t="str">
            <v>2PH5Y38T</v>
          </cell>
        </row>
        <row r="9170">
          <cell r="D9170" t="str">
            <v>0F38462</v>
          </cell>
          <cell r="E9170" t="str">
            <v>2PH81VAT</v>
          </cell>
        </row>
        <row r="9171">
          <cell r="D9171" t="str">
            <v>0F38462</v>
          </cell>
          <cell r="E9171" t="str">
            <v>2PH3GE5J</v>
          </cell>
        </row>
        <row r="9172">
          <cell r="D9172" t="str">
            <v>0F38462</v>
          </cell>
          <cell r="E9172" t="str">
            <v>2PH3SBNJ</v>
          </cell>
        </row>
        <row r="9173">
          <cell r="D9173" t="str">
            <v>0F38462</v>
          </cell>
          <cell r="E9173" t="str">
            <v>2PH3NP5T</v>
          </cell>
        </row>
        <row r="9174">
          <cell r="D9174" t="str">
            <v>0F38462</v>
          </cell>
          <cell r="E9174" t="str">
            <v>2PH3V5VJ</v>
          </cell>
        </row>
        <row r="9175">
          <cell r="D9175" t="str">
            <v>0F38462</v>
          </cell>
          <cell r="E9175" t="str">
            <v>2PH39BMT</v>
          </cell>
        </row>
        <row r="9176">
          <cell r="D9176" t="str">
            <v>0F38462</v>
          </cell>
          <cell r="E9176" t="str">
            <v>2PH3XLVJ</v>
          </cell>
        </row>
        <row r="9177">
          <cell r="D9177" t="str">
            <v>0F38462</v>
          </cell>
          <cell r="E9177" t="str">
            <v>2PH37T2J</v>
          </cell>
        </row>
        <row r="9178">
          <cell r="D9178" t="str">
            <v>0F38462</v>
          </cell>
          <cell r="E9178" t="str">
            <v>2PH6UYAJ</v>
          </cell>
        </row>
        <row r="9179">
          <cell r="D9179" t="str">
            <v>0F38462</v>
          </cell>
          <cell r="E9179" t="str">
            <v>2PH6AXEJ</v>
          </cell>
        </row>
        <row r="9180">
          <cell r="D9180" t="str">
            <v>0F38462</v>
          </cell>
          <cell r="E9180" t="str">
            <v>2PH8476T</v>
          </cell>
        </row>
        <row r="9181">
          <cell r="D9181" t="str">
            <v>0F38462</v>
          </cell>
          <cell r="E9181" t="str">
            <v>2PH3TKSJ</v>
          </cell>
        </row>
        <row r="9182">
          <cell r="D9182" t="str">
            <v>0F38462</v>
          </cell>
          <cell r="E9182" t="str">
            <v>2PH3DYGT</v>
          </cell>
        </row>
        <row r="9183">
          <cell r="D9183" t="str">
            <v>0F38462</v>
          </cell>
          <cell r="E9183" t="str">
            <v>2PH3L2PT</v>
          </cell>
        </row>
        <row r="9184">
          <cell r="D9184" t="str">
            <v>0F38462</v>
          </cell>
          <cell r="E9184" t="str">
            <v>3WHJN12P</v>
          </cell>
        </row>
        <row r="9185">
          <cell r="D9185" t="str">
            <v>0F38462</v>
          </cell>
          <cell r="E9185" t="str">
            <v>2PH3UYGJ</v>
          </cell>
        </row>
        <row r="9186">
          <cell r="D9186" t="str">
            <v>0F38462</v>
          </cell>
          <cell r="E9186" t="str">
            <v>2PH3P3GT</v>
          </cell>
        </row>
        <row r="9187">
          <cell r="D9187" t="str">
            <v>0F38462</v>
          </cell>
          <cell r="E9187" t="str">
            <v>2PH3XLBJ</v>
          </cell>
        </row>
        <row r="9188">
          <cell r="D9188" t="str">
            <v>0F38462</v>
          </cell>
          <cell r="E9188" t="str">
            <v>2PH1JS5J</v>
          </cell>
        </row>
        <row r="9189">
          <cell r="D9189" t="str">
            <v>0F38462</v>
          </cell>
          <cell r="E9189" t="str">
            <v>2PH42PPJ</v>
          </cell>
        </row>
        <row r="9190">
          <cell r="D9190" t="str">
            <v>0F38462</v>
          </cell>
          <cell r="E9190" t="str">
            <v>2PH1JU1J</v>
          </cell>
        </row>
        <row r="9191">
          <cell r="D9191" t="str">
            <v>0F38462</v>
          </cell>
          <cell r="E9191" t="str">
            <v>2PH5NUMT</v>
          </cell>
        </row>
        <row r="9192">
          <cell r="D9192" t="str">
            <v>0F38462</v>
          </cell>
          <cell r="E9192" t="str">
            <v>2PH6NKBJ</v>
          </cell>
        </row>
        <row r="9193">
          <cell r="D9193" t="str">
            <v>0F38462</v>
          </cell>
          <cell r="E9193" t="str">
            <v>2PH76TUJ</v>
          </cell>
        </row>
        <row r="9194">
          <cell r="D9194" t="str">
            <v>0F38462</v>
          </cell>
          <cell r="E9194" t="str">
            <v>2PGXJXYV</v>
          </cell>
        </row>
        <row r="9195">
          <cell r="D9195" t="str">
            <v>0F38462</v>
          </cell>
          <cell r="E9195" t="str">
            <v>2PH6G0GJ</v>
          </cell>
        </row>
        <row r="9196">
          <cell r="D9196" t="str">
            <v>0F38462</v>
          </cell>
          <cell r="E9196" t="str">
            <v>2PH6WYHJ</v>
          </cell>
        </row>
        <row r="9197">
          <cell r="D9197" t="str">
            <v>0F38462</v>
          </cell>
          <cell r="E9197" t="str">
            <v>2PH78XTJ</v>
          </cell>
        </row>
        <row r="9198">
          <cell r="D9198" t="str">
            <v>0F38462</v>
          </cell>
          <cell r="E9198" t="str">
            <v>2PH613GT</v>
          </cell>
        </row>
        <row r="9199">
          <cell r="D9199" t="str">
            <v>0F38462</v>
          </cell>
          <cell r="E9199" t="str">
            <v>2PH6P4BJ</v>
          </cell>
        </row>
        <row r="9200">
          <cell r="D9200" t="str">
            <v>0F38462</v>
          </cell>
          <cell r="E9200" t="str">
            <v>2PH78L6J</v>
          </cell>
        </row>
        <row r="9201">
          <cell r="D9201" t="str">
            <v>0F38462</v>
          </cell>
          <cell r="E9201" t="str">
            <v>2PH4ULLT</v>
          </cell>
        </row>
        <row r="9202">
          <cell r="D9202" t="str">
            <v>0F38462</v>
          </cell>
          <cell r="E9202" t="str">
            <v>2PH6JHSJ</v>
          </cell>
        </row>
        <row r="9203">
          <cell r="D9203" t="str">
            <v>0F38462</v>
          </cell>
          <cell r="E9203" t="str">
            <v>2PH70KVJ</v>
          </cell>
        </row>
        <row r="9204">
          <cell r="D9204" t="str">
            <v>0F38462</v>
          </cell>
          <cell r="E9204" t="str">
            <v>2PH7K8HJ</v>
          </cell>
        </row>
        <row r="9205">
          <cell r="D9205" t="str">
            <v>0F38462</v>
          </cell>
          <cell r="E9205" t="str">
            <v>2PH69WXJ</v>
          </cell>
        </row>
        <row r="9206">
          <cell r="D9206" t="str">
            <v>0F38462</v>
          </cell>
          <cell r="E9206" t="str">
            <v>2PH6WN5J</v>
          </cell>
        </row>
        <row r="9207">
          <cell r="D9207" t="str">
            <v>0F38462</v>
          </cell>
          <cell r="E9207" t="str">
            <v>2PH78PAJ</v>
          </cell>
        </row>
        <row r="9208">
          <cell r="D9208" t="str">
            <v>0F38462</v>
          </cell>
          <cell r="E9208" t="str">
            <v>2PH6MK3J</v>
          </cell>
        </row>
        <row r="9209">
          <cell r="D9209" t="str">
            <v>0F38462</v>
          </cell>
          <cell r="E9209" t="str">
            <v>2PH7650J</v>
          </cell>
        </row>
        <row r="9210">
          <cell r="D9210" t="str">
            <v>0F38462</v>
          </cell>
          <cell r="E9210" t="str">
            <v>2PH80HVT</v>
          </cell>
        </row>
        <row r="9211">
          <cell r="D9211" t="str">
            <v>0F38462</v>
          </cell>
          <cell r="E9211" t="str">
            <v>2PH5S6VT</v>
          </cell>
        </row>
        <row r="9212">
          <cell r="D9212" t="str">
            <v>0F38462</v>
          </cell>
          <cell r="E9212" t="str">
            <v>2PH6XT8J</v>
          </cell>
        </row>
        <row r="9213">
          <cell r="D9213" t="str">
            <v>0F38462</v>
          </cell>
          <cell r="E9213" t="str">
            <v>2PH7WN6T</v>
          </cell>
        </row>
        <row r="9214">
          <cell r="D9214" t="str">
            <v>0F38462</v>
          </cell>
          <cell r="E9214" t="str">
            <v>2KG0YZGT</v>
          </cell>
        </row>
        <row r="9215">
          <cell r="D9215" t="str">
            <v>0F38462</v>
          </cell>
          <cell r="E9215" t="str">
            <v>2PH6PDRJ</v>
          </cell>
        </row>
        <row r="9216">
          <cell r="D9216" t="str">
            <v>0F38462</v>
          </cell>
          <cell r="E9216" t="str">
            <v>2PH7BNKJ</v>
          </cell>
        </row>
        <row r="9217">
          <cell r="D9217" t="str">
            <v>0F38462</v>
          </cell>
          <cell r="E9217" t="str">
            <v>2PH82YUT</v>
          </cell>
        </row>
        <row r="9218">
          <cell r="D9218" t="str">
            <v>0F38462</v>
          </cell>
          <cell r="E9218" t="str">
            <v>2PH648JT</v>
          </cell>
        </row>
        <row r="9219">
          <cell r="D9219" t="str">
            <v>0F38462</v>
          </cell>
          <cell r="E9219" t="str">
            <v>2PH72G4J</v>
          </cell>
        </row>
        <row r="9220">
          <cell r="D9220" t="str">
            <v>0F38462</v>
          </cell>
          <cell r="E9220" t="str">
            <v>2PH81R3T</v>
          </cell>
        </row>
        <row r="9221">
          <cell r="D9221" t="str">
            <v>0F38462</v>
          </cell>
          <cell r="E9221" t="str">
            <v>2PH5NDST</v>
          </cell>
        </row>
        <row r="9222">
          <cell r="D9222" t="str">
            <v>0F38462</v>
          </cell>
          <cell r="E9222" t="str">
            <v>2PH6RVYJ</v>
          </cell>
        </row>
        <row r="9223">
          <cell r="D9223" t="str">
            <v>0F38462</v>
          </cell>
          <cell r="E9223" t="str">
            <v>2PH7L21J</v>
          </cell>
        </row>
        <row r="9224">
          <cell r="D9224" t="str">
            <v>0F38462</v>
          </cell>
          <cell r="E9224" t="str">
            <v>2PH83E6T</v>
          </cell>
        </row>
        <row r="9225">
          <cell r="D9225" t="str">
            <v>0F38462</v>
          </cell>
          <cell r="E9225" t="str">
            <v>2PH6LYTJ</v>
          </cell>
        </row>
        <row r="9226">
          <cell r="D9226" t="str">
            <v>0F38462</v>
          </cell>
          <cell r="E9226" t="str">
            <v>2PH77GLJ</v>
          </cell>
        </row>
        <row r="9227">
          <cell r="D9227" t="str">
            <v>0F38462</v>
          </cell>
          <cell r="E9227" t="str">
            <v>2PH82X3T</v>
          </cell>
        </row>
        <row r="9228">
          <cell r="D9228" t="str">
            <v>0F38462</v>
          </cell>
          <cell r="E9228" t="str">
            <v>2PH6VEPJ</v>
          </cell>
        </row>
        <row r="9229">
          <cell r="D9229" t="str">
            <v>0F38462</v>
          </cell>
          <cell r="E9229" t="str">
            <v>2PH7SW6T</v>
          </cell>
        </row>
        <row r="9230">
          <cell r="D9230" t="str">
            <v>0F38462</v>
          </cell>
          <cell r="E9230" t="str">
            <v>2PH87T2T</v>
          </cell>
        </row>
        <row r="9231">
          <cell r="D9231" t="str">
            <v>0F38462</v>
          </cell>
          <cell r="E9231" t="str">
            <v>2PH5USPT</v>
          </cell>
        </row>
        <row r="9232">
          <cell r="D9232" t="str">
            <v>0F38462</v>
          </cell>
          <cell r="E9232" t="str">
            <v>2PH72VWJ</v>
          </cell>
        </row>
        <row r="9233">
          <cell r="D9233" t="str">
            <v>0F38462</v>
          </cell>
          <cell r="E9233" t="str">
            <v>2PH81BNT</v>
          </cell>
        </row>
        <row r="9234">
          <cell r="D9234" t="str">
            <v>0F38462</v>
          </cell>
          <cell r="E9234" t="str">
            <v>2PH3YKWJ</v>
          </cell>
        </row>
        <row r="9235">
          <cell r="D9235" t="str">
            <v>0F38462</v>
          </cell>
          <cell r="E9235" t="str">
            <v>2PH6LKPJ</v>
          </cell>
        </row>
        <row r="9236">
          <cell r="D9236" t="str">
            <v>0F38462</v>
          </cell>
          <cell r="E9236" t="str">
            <v>2PH7T4DT</v>
          </cell>
        </row>
        <row r="9237">
          <cell r="D9237" t="str">
            <v>0F38462</v>
          </cell>
          <cell r="E9237" t="str">
            <v>2PH88NST</v>
          </cell>
        </row>
        <row r="9238">
          <cell r="D9238" t="str">
            <v>0F38462</v>
          </cell>
          <cell r="E9238" t="str">
            <v>2PH5Y45T</v>
          </cell>
        </row>
        <row r="9239">
          <cell r="D9239" t="str">
            <v>0F38462</v>
          </cell>
          <cell r="E9239" t="str">
            <v>2PH7L7UJ</v>
          </cell>
        </row>
        <row r="9240">
          <cell r="D9240" t="str">
            <v>0F38462</v>
          </cell>
          <cell r="E9240" t="str">
            <v>2PH82MMT</v>
          </cell>
        </row>
        <row r="9241">
          <cell r="D9241" t="str">
            <v>0F38462</v>
          </cell>
          <cell r="E9241" t="str">
            <v>2PH4V0MT</v>
          </cell>
        </row>
        <row r="9242">
          <cell r="D9242" t="str">
            <v>0F38462</v>
          </cell>
          <cell r="E9242" t="str">
            <v>2PH6NS3J</v>
          </cell>
        </row>
        <row r="9243">
          <cell r="D9243" t="str">
            <v>0F38462</v>
          </cell>
          <cell r="E9243" t="str">
            <v>2PH80TET</v>
          </cell>
        </row>
        <row r="9244">
          <cell r="D9244" t="str">
            <v>0F38462</v>
          </cell>
          <cell r="E9244" t="str">
            <v>2PH8BNVT</v>
          </cell>
        </row>
        <row r="9245">
          <cell r="D9245" t="str">
            <v>0F38462</v>
          </cell>
          <cell r="E9245" t="str">
            <v>2PH604ZT</v>
          </cell>
        </row>
        <row r="9246">
          <cell r="D9246" t="str">
            <v>0F38462</v>
          </cell>
          <cell r="E9246" t="str">
            <v>2PH7M68J</v>
          </cell>
        </row>
        <row r="9247">
          <cell r="D9247" t="str">
            <v>0F38462</v>
          </cell>
          <cell r="E9247" t="str">
            <v>2PH87RBT</v>
          </cell>
        </row>
        <row r="9248">
          <cell r="D9248" t="str">
            <v>0F38462</v>
          </cell>
          <cell r="E9248" t="str">
            <v>2PH6P1DJ</v>
          </cell>
        </row>
        <row r="9249">
          <cell r="D9249" t="str">
            <v>0F38462</v>
          </cell>
          <cell r="E9249" t="str">
            <v>2PH810KT</v>
          </cell>
        </row>
        <row r="9250">
          <cell r="D9250" t="str">
            <v>0F38462</v>
          </cell>
          <cell r="E9250" t="str">
            <v>2PH8J02J</v>
          </cell>
        </row>
        <row r="9251">
          <cell r="D9251" t="str">
            <v>0F38462</v>
          </cell>
          <cell r="E9251" t="str">
            <v>2PH5786T</v>
          </cell>
        </row>
        <row r="9252">
          <cell r="D9252" t="str">
            <v>0F38462</v>
          </cell>
          <cell r="E9252" t="str">
            <v>2PH6JBAJ</v>
          </cell>
        </row>
        <row r="9253">
          <cell r="D9253" t="str">
            <v>0F38462</v>
          </cell>
          <cell r="E9253" t="str">
            <v>2PH7G4UJ</v>
          </cell>
        </row>
        <row r="9254">
          <cell r="D9254" t="str">
            <v>0F38462</v>
          </cell>
          <cell r="E9254" t="str">
            <v>2PH4YWYT</v>
          </cell>
        </row>
        <row r="9255">
          <cell r="D9255" t="str">
            <v>0F38462</v>
          </cell>
          <cell r="E9255" t="str">
            <v>2PH5ZYXT</v>
          </cell>
        </row>
        <row r="9256">
          <cell r="D9256" t="str">
            <v>0F38462</v>
          </cell>
          <cell r="E9256" t="str">
            <v>2PH6VM7J</v>
          </cell>
        </row>
        <row r="9257">
          <cell r="D9257" t="str">
            <v>0F38462</v>
          </cell>
          <cell r="E9257" t="str">
            <v>2PH85B3T</v>
          </cell>
        </row>
        <row r="9258">
          <cell r="D9258" t="str">
            <v>0F38462</v>
          </cell>
          <cell r="E9258" t="str">
            <v>2PH5HVET</v>
          </cell>
        </row>
        <row r="9259">
          <cell r="D9259" t="str">
            <v>0F38462</v>
          </cell>
          <cell r="E9259" t="str">
            <v>2PH6N47J</v>
          </cell>
        </row>
        <row r="9260">
          <cell r="D9260" t="str">
            <v>0F38462</v>
          </cell>
          <cell r="E9260" t="str">
            <v>2PH7ZSTT</v>
          </cell>
        </row>
        <row r="9261">
          <cell r="D9261" t="str">
            <v>0F38462</v>
          </cell>
          <cell r="E9261" t="str">
            <v>2PH55URT</v>
          </cell>
        </row>
        <row r="9262">
          <cell r="D9262" t="str">
            <v>0F38462</v>
          </cell>
          <cell r="E9262" t="str">
            <v>2PH6D2BJ</v>
          </cell>
        </row>
        <row r="9263">
          <cell r="D9263" t="str">
            <v>0F38462</v>
          </cell>
          <cell r="E9263" t="str">
            <v>2PH77TTJ</v>
          </cell>
        </row>
        <row r="9264">
          <cell r="D9264" t="str">
            <v>0F38462</v>
          </cell>
          <cell r="E9264" t="str">
            <v>2PH875WT</v>
          </cell>
        </row>
        <row r="9265">
          <cell r="D9265" t="str">
            <v>0F38462</v>
          </cell>
          <cell r="E9265" t="str">
            <v>2PH5J66T</v>
          </cell>
        </row>
        <row r="9266">
          <cell r="D9266" t="str">
            <v>0F38462</v>
          </cell>
          <cell r="E9266" t="str">
            <v>2PH6V3WJ</v>
          </cell>
        </row>
        <row r="9267">
          <cell r="D9267" t="str">
            <v>0F38462</v>
          </cell>
          <cell r="E9267" t="str">
            <v>2PH8402T</v>
          </cell>
        </row>
        <row r="9268">
          <cell r="D9268" t="str">
            <v>0F38462</v>
          </cell>
          <cell r="E9268" t="str">
            <v>2PH6GH1J</v>
          </cell>
        </row>
        <row r="9269">
          <cell r="D9269" t="str">
            <v>0F38462</v>
          </cell>
          <cell r="E9269" t="str">
            <v>2PH793LJ</v>
          </cell>
        </row>
        <row r="9270">
          <cell r="D9270" t="str">
            <v>0F38462</v>
          </cell>
          <cell r="E9270" t="str">
            <v>2PH876MT</v>
          </cell>
        </row>
        <row r="9271">
          <cell r="D9271" t="str">
            <v>0F38462</v>
          </cell>
          <cell r="E9271" t="str">
            <v>2PH6LKYJ</v>
          </cell>
        </row>
        <row r="9272">
          <cell r="D9272" t="str">
            <v>0F38462</v>
          </cell>
          <cell r="E9272" t="str">
            <v>2PH75MTJ</v>
          </cell>
        </row>
        <row r="9273">
          <cell r="D9273" t="str">
            <v>0F38462</v>
          </cell>
          <cell r="E9273" t="str">
            <v>2PH7L1DJ</v>
          </cell>
        </row>
        <row r="9274">
          <cell r="D9274" t="str">
            <v>0F38462</v>
          </cell>
          <cell r="E9274" t="str">
            <v>2PH6ALMJ</v>
          </cell>
        </row>
        <row r="9275">
          <cell r="D9275" t="str">
            <v>0F38462</v>
          </cell>
          <cell r="E9275" t="str">
            <v>2PH6ST8J</v>
          </cell>
        </row>
        <row r="9276">
          <cell r="D9276" t="str">
            <v>0F38462</v>
          </cell>
          <cell r="E9276" t="str">
            <v>2PH79A1J</v>
          </cell>
        </row>
        <row r="9277">
          <cell r="D9277" t="str">
            <v>0F38462</v>
          </cell>
          <cell r="E9277" t="str">
            <v>2PH828YT</v>
          </cell>
        </row>
        <row r="9278">
          <cell r="D9278" t="str">
            <v>0F38462</v>
          </cell>
          <cell r="E9278" t="str">
            <v>2PH6N57J</v>
          </cell>
        </row>
        <row r="9279">
          <cell r="D9279" t="str">
            <v>0F38462</v>
          </cell>
          <cell r="E9279" t="str">
            <v>2PH75UGJ</v>
          </cell>
        </row>
        <row r="9280">
          <cell r="D9280" t="str">
            <v>0F38462</v>
          </cell>
          <cell r="E9280" t="str">
            <v>2PH7L9JJ</v>
          </cell>
        </row>
        <row r="9281">
          <cell r="D9281" t="str">
            <v>0F38462</v>
          </cell>
          <cell r="E9281" t="str">
            <v>2PH6GEHJ</v>
          </cell>
        </row>
        <row r="9282">
          <cell r="D9282" t="str">
            <v>0F38462</v>
          </cell>
          <cell r="E9282" t="str">
            <v>2PH6X84J</v>
          </cell>
        </row>
        <row r="9283">
          <cell r="D9283" t="str">
            <v>0F38462</v>
          </cell>
          <cell r="E9283" t="str">
            <v>2PH7KM1J</v>
          </cell>
        </row>
        <row r="9284">
          <cell r="D9284" t="str">
            <v>0F38462</v>
          </cell>
          <cell r="E9284" t="str">
            <v>2PH840XT</v>
          </cell>
        </row>
        <row r="9285">
          <cell r="D9285" t="str">
            <v>0F38462</v>
          </cell>
          <cell r="E9285" t="str">
            <v>2PH6NHBJ</v>
          </cell>
        </row>
        <row r="9286">
          <cell r="D9286" t="str">
            <v>0F38462</v>
          </cell>
          <cell r="E9286" t="str">
            <v>2PH75UKJ</v>
          </cell>
        </row>
        <row r="9287">
          <cell r="D9287" t="str">
            <v>0F38462</v>
          </cell>
          <cell r="E9287" t="str">
            <v>2PH81EAT</v>
          </cell>
        </row>
        <row r="9288">
          <cell r="D9288" t="str">
            <v>0F38462</v>
          </cell>
          <cell r="E9288" t="str">
            <v>2PH71LNJ</v>
          </cell>
        </row>
        <row r="9289">
          <cell r="D9289" t="str">
            <v>0F38462</v>
          </cell>
          <cell r="E9289" t="str">
            <v>2PH7KMUJ</v>
          </cell>
        </row>
        <row r="9290">
          <cell r="D9290" t="str">
            <v>0F38462</v>
          </cell>
          <cell r="E9290" t="str">
            <v>2PH84YBT</v>
          </cell>
        </row>
        <row r="9291">
          <cell r="D9291" t="str">
            <v>0F38462</v>
          </cell>
          <cell r="E9291" t="str">
            <v>2PH56ZET</v>
          </cell>
        </row>
        <row r="9292">
          <cell r="D9292" t="str">
            <v>0F38462</v>
          </cell>
          <cell r="E9292" t="str">
            <v>2PH6RKAJ</v>
          </cell>
        </row>
        <row r="9293">
          <cell r="D9293" t="str">
            <v>0F38462</v>
          </cell>
          <cell r="E9293" t="str">
            <v>2PH7EZWJ</v>
          </cell>
        </row>
        <row r="9294">
          <cell r="D9294" t="str">
            <v>0F38462</v>
          </cell>
          <cell r="E9294" t="str">
            <v>2PH4768J</v>
          </cell>
        </row>
        <row r="9295">
          <cell r="D9295" t="str">
            <v>0F38462</v>
          </cell>
          <cell r="E9295" t="str">
            <v>2PH6EJEJ</v>
          </cell>
        </row>
        <row r="9296">
          <cell r="D9296" t="str">
            <v>0F38462</v>
          </cell>
          <cell r="E9296" t="str">
            <v>2PH6VUWJ</v>
          </cell>
        </row>
        <row r="9297">
          <cell r="D9297" t="str">
            <v>0F38462</v>
          </cell>
          <cell r="E9297" t="str">
            <v>2PH823MT</v>
          </cell>
        </row>
        <row r="9298">
          <cell r="D9298" t="str">
            <v>0F38462</v>
          </cell>
          <cell r="E9298" t="str">
            <v>2PH5S21T</v>
          </cell>
        </row>
        <row r="9299">
          <cell r="D9299" t="str">
            <v>0F38462</v>
          </cell>
          <cell r="E9299" t="str">
            <v>2PH6V4RJ</v>
          </cell>
        </row>
        <row r="9300">
          <cell r="D9300" t="str">
            <v>0F38462</v>
          </cell>
          <cell r="E9300" t="str">
            <v>2PH7LVZJ</v>
          </cell>
        </row>
        <row r="9301">
          <cell r="D9301" t="str">
            <v>0F38462</v>
          </cell>
          <cell r="E9301" t="str">
            <v>2PH48KMJ</v>
          </cell>
        </row>
        <row r="9302">
          <cell r="D9302" t="str">
            <v>0F38462</v>
          </cell>
          <cell r="E9302" t="str">
            <v>2PH6PPNJ</v>
          </cell>
        </row>
        <row r="9303">
          <cell r="D9303" t="str">
            <v>0F38462</v>
          </cell>
          <cell r="E9303" t="str">
            <v>2PH704NJ</v>
          </cell>
        </row>
        <row r="9304">
          <cell r="D9304" t="str">
            <v>0F38462</v>
          </cell>
          <cell r="E9304" t="str">
            <v>2PH84SNT</v>
          </cell>
        </row>
        <row r="9305">
          <cell r="D9305" t="str">
            <v>0F38462</v>
          </cell>
          <cell r="E9305" t="str">
            <v>2PH5S51T</v>
          </cell>
        </row>
        <row r="9306">
          <cell r="D9306" t="str">
            <v>0F38462</v>
          </cell>
          <cell r="E9306" t="str">
            <v>2PH6VUVJ</v>
          </cell>
        </row>
        <row r="9307">
          <cell r="D9307" t="str">
            <v>0F38462</v>
          </cell>
          <cell r="E9307" t="str">
            <v>2PH7NGYJ</v>
          </cell>
        </row>
        <row r="9308">
          <cell r="D9308" t="str">
            <v>0F38462</v>
          </cell>
          <cell r="E9308" t="str">
            <v>2PH6PZHJ</v>
          </cell>
        </row>
        <row r="9309">
          <cell r="D9309" t="str">
            <v>0F38462</v>
          </cell>
          <cell r="E9309" t="str">
            <v>2PH7769J</v>
          </cell>
        </row>
        <row r="9310">
          <cell r="D9310" t="str">
            <v>0F38462</v>
          </cell>
          <cell r="E9310" t="str">
            <v>2PH8530T</v>
          </cell>
        </row>
        <row r="9311">
          <cell r="D9311" t="str">
            <v>0F38462</v>
          </cell>
          <cell r="E9311" t="str">
            <v>2PH63NRT</v>
          </cell>
        </row>
        <row r="9312">
          <cell r="D9312" t="str">
            <v>0F38462</v>
          </cell>
          <cell r="E9312" t="str">
            <v>2PH71L0J</v>
          </cell>
        </row>
        <row r="9313">
          <cell r="D9313" t="str">
            <v>0F38462</v>
          </cell>
          <cell r="E9313" t="str">
            <v>2PH80L6T</v>
          </cell>
        </row>
        <row r="9314">
          <cell r="D9314" t="str">
            <v>0F38462</v>
          </cell>
          <cell r="E9314" t="str">
            <v>2KG1313T</v>
          </cell>
        </row>
        <row r="9315">
          <cell r="D9315" t="str">
            <v>0F38462</v>
          </cell>
          <cell r="E9315" t="str">
            <v>2PH6VLLJ</v>
          </cell>
        </row>
        <row r="9316">
          <cell r="D9316" t="str">
            <v>0F38462</v>
          </cell>
          <cell r="E9316" t="str">
            <v>2PH7RY4L</v>
          </cell>
        </row>
        <row r="9317">
          <cell r="D9317" t="str">
            <v>0F38462</v>
          </cell>
          <cell r="E9317" t="str">
            <v>2PH88XJT</v>
          </cell>
        </row>
        <row r="9318">
          <cell r="D9318" t="str">
            <v>0F38462</v>
          </cell>
          <cell r="E9318" t="str">
            <v>2PH6GU8J</v>
          </cell>
        </row>
        <row r="9319">
          <cell r="D9319" t="str">
            <v>0F38462</v>
          </cell>
          <cell r="E9319" t="str">
            <v>2PH7G60J</v>
          </cell>
        </row>
        <row r="9320">
          <cell r="D9320" t="str">
            <v>0F38462</v>
          </cell>
          <cell r="E9320" t="str">
            <v>2PH7TVAT</v>
          </cell>
        </row>
        <row r="9321">
          <cell r="D9321" t="str">
            <v>0F38462</v>
          </cell>
          <cell r="E9321" t="str">
            <v>2PH84YWT</v>
          </cell>
        </row>
        <row r="9322">
          <cell r="D9322" t="str">
            <v>0F38462</v>
          </cell>
          <cell r="E9322" t="str">
            <v>2PH0ZPDT</v>
          </cell>
        </row>
        <row r="9323">
          <cell r="D9323" t="str">
            <v>0F38462</v>
          </cell>
          <cell r="E9323" t="str">
            <v>2PH6X1LJ</v>
          </cell>
        </row>
        <row r="9324">
          <cell r="D9324" t="str">
            <v>0F38462</v>
          </cell>
          <cell r="E9324" t="str">
            <v>2PH8B17T</v>
          </cell>
        </row>
        <row r="9325">
          <cell r="D9325" t="str">
            <v>0F38462</v>
          </cell>
          <cell r="E9325" t="str">
            <v>2PH6S94J</v>
          </cell>
        </row>
        <row r="9326">
          <cell r="D9326" t="str">
            <v>0F38462</v>
          </cell>
          <cell r="E9326" t="str">
            <v>2PH7NPJJ</v>
          </cell>
        </row>
        <row r="9327">
          <cell r="D9327" t="str">
            <v>0F38462</v>
          </cell>
          <cell r="E9327" t="str">
            <v>2PH875HT</v>
          </cell>
        </row>
        <row r="9328">
          <cell r="D9328" t="str">
            <v>0F38462</v>
          </cell>
          <cell r="E9328" t="str">
            <v>2PH7198J</v>
          </cell>
        </row>
        <row r="9329">
          <cell r="D9329" t="str">
            <v>0F38462</v>
          </cell>
          <cell r="E9329" t="str">
            <v>2PH7X68T</v>
          </cell>
        </row>
        <row r="9330">
          <cell r="D9330" t="str">
            <v>0F38462</v>
          </cell>
          <cell r="E9330" t="str">
            <v>2PH8J63J</v>
          </cell>
        </row>
        <row r="9331">
          <cell r="D9331" t="str">
            <v>0F38462</v>
          </cell>
          <cell r="E9331" t="str">
            <v>2PH638MT</v>
          </cell>
        </row>
        <row r="9332">
          <cell r="D9332" t="str">
            <v>0F38462</v>
          </cell>
          <cell r="E9332" t="str">
            <v>2PH7TDPT</v>
          </cell>
        </row>
        <row r="9333">
          <cell r="D9333" t="str">
            <v>0F38462</v>
          </cell>
          <cell r="E9333" t="str">
            <v>2PH7ZZUT</v>
          </cell>
        </row>
        <row r="9334">
          <cell r="D9334" t="str">
            <v>0F38462</v>
          </cell>
          <cell r="E9334" t="str">
            <v>2PH5GZ8T</v>
          </cell>
        </row>
        <row r="9335">
          <cell r="D9335" t="str">
            <v>0F38462</v>
          </cell>
          <cell r="E9335" t="str">
            <v>2PH729JJ</v>
          </cell>
        </row>
        <row r="9336">
          <cell r="D9336" t="str">
            <v>0F38462</v>
          </cell>
          <cell r="E9336" t="str">
            <v>2PH7W9GT</v>
          </cell>
        </row>
        <row r="9337">
          <cell r="D9337" t="str">
            <v>0F38462</v>
          </cell>
          <cell r="E9337" t="str">
            <v>2PH84E2T</v>
          </cell>
        </row>
        <row r="9338">
          <cell r="D9338" t="str">
            <v>0F38462</v>
          </cell>
          <cell r="E9338" t="str">
            <v>2PH6N71J</v>
          </cell>
        </row>
        <row r="9339">
          <cell r="D9339" t="str">
            <v>0F38462</v>
          </cell>
          <cell r="E9339" t="str">
            <v>2PH7TVDT</v>
          </cell>
        </row>
        <row r="9340">
          <cell r="D9340" t="str">
            <v>0F38462</v>
          </cell>
          <cell r="E9340" t="str">
            <v>2PH802HT</v>
          </cell>
        </row>
        <row r="9341">
          <cell r="D9341" t="str">
            <v>0F38462</v>
          </cell>
          <cell r="E9341" t="str">
            <v>2PH5S2VT</v>
          </cell>
        </row>
        <row r="9342">
          <cell r="D9342" t="str">
            <v>0F38462</v>
          </cell>
          <cell r="E9342" t="str">
            <v>2PH7GHWJ</v>
          </cell>
        </row>
        <row r="9343">
          <cell r="D9343" t="str">
            <v>0F38462</v>
          </cell>
          <cell r="E9343" t="str">
            <v>2PH7X8UT</v>
          </cell>
        </row>
        <row r="9344">
          <cell r="D9344" t="str">
            <v>0F38462</v>
          </cell>
          <cell r="E9344" t="str">
            <v>2PH884VT</v>
          </cell>
        </row>
        <row r="9345">
          <cell r="D9345" t="str">
            <v>0F38462</v>
          </cell>
          <cell r="E9345" t="str">
            <v>2PH6PMWJ</v>
          </cell>
        </row>
        <row r="9346">
          <cell r="D9346" t="str">
            <v>0F38462</v>
          </cell>
          <cell r="E9346" t="str">
            <v>2PH7W94T</v>
          </cell>
        </row>
        <row r="9347">
          <cell r="D9347" t="str">
            <v>0F38462</v>
          </cell>
          <cell r="E9347" t="str">
            <v>2PH81MJT</v>
          </cell>
        </row>
        <row r="9348">
          <cell r="D9348" t="str">
            <v>0F38462</v>
          </cell>
          <cell r="E9348" t="str">
            <v>2PH7TBLT</v>
          </cell>
        </row>
        <row r="9349">
          <cell r="D9349" t="str">
            <v>0F38462</v>
          </cell>
          <cell r="E9349" t="str">
            <v>2PH7YB9T</v>
          </cell>
        </row>
        <row r="9350">
          <cell r="D9350" t="str">
            <v>0F38462</v>
          </cell>
          <cell r="E9350" t="str">
            <v>2PH8JLTJ</v>
          </cell>
        </row>
        <row r="9351">
          <cell r="D9351" t="str">
            <v>0F38462</v>
          </cell>
          <cell r="E9351" t="str">
            <v>2PH5VVHT</v>
          </cell>
        </row>
        <row r="9352">
          <cell r="D9352" t="str">
            <v>0F38462</v>
          </cell>
          <cell r="E9352" t="str">
            <v>2PH7NZJJ</v>
          </cell>
        </row>
        <row r="9353">
          <cell r="D9353" t="str">
            <v>0F38462</v>
          </cell>
          <cell r="E9353" t="str">
            <v>2PH840ZT</v>
          </cell>
        </row>
        <row r="9354">
          <cell r="D9354" t="str">
            <v>0F38462</v>
          </cell>
          <cell r="E9354" t="str">
            <v>2PH55NWT</v>
          </cell>
        </row>
        <row r="9355">
          <cell r="D9355" t="str">
            <v>0F38462</v>
          </cell>
          <cell r="E9355" t="str">
            <v>2PH7AY9J</v>
          </cell>
        </row>
        <row r="9356">
          <cell r="D9356" t="str">
            <v>0F38462</v>
          </cell>
          <cell r="E9356" t="str">
            <v>2PH7TYPT</v>
          </cell>
        </row>
        <row r="9357">
          <cell r="D9357" t="str">
            <v>0F38462</v>
          </cell>
          <cell r="E9357" t="str">
            <v>2PH84D8T</v>
          </cell>
        </row>
        <row r="9358">
          <cell r="D9358" t="str">
            <v>0F38462</v>
          </cell>
          <cell r="E9358" t="str">
            <v>2PH6G8GJ</v>
          </cell>
        </row>
        <row r="9359">
          <cell r="D9359" t="str">
            <v>0F38462</v>
          </cell>
          <cell r="E9359" t="str">
            <v>2PH7SK3T</v>
          </cell>
        </row>
        <row r="9360">
          <cell r="D9360" t="str">
            <v>0F38462</v>
          </cell>
          <cell r="E9360" t="str">
            <v>2PH84A6T</v>
          </cell>
        </row>
        <row r="9361">
          <cell r="D9361" t="str">
            <v>0F38462</v>
          </cell>
          <cell r="E9361" t="str">
            <v>2PH57DTT</v>
          </cell>
        </row>
        <row r="9362">
          <cell r="D9362" t="str">
            <v>0F38462</v>
          </cell>
          <cell r="E9362" t="str">
            <v>2PH7EX4J</v>
          </cell>
        </row>
        <row r="9363">
          <cell r="D9363" t="str">
            <v>0F38462</v>
          </cell>
          <cell r="E9363" t="str">
            <v>2PH7VYJT</v>
          </cell>
        </row>
        <row r="9364">
          <cell r="D9364" t="str">
            <v>0F38462</v>
          </cell>
          <cell r="E9364" t="str">
            <v>2PH84MGT</v>
          </cell>
        </row>
        <row r="9365">
          <cell r="D9365" t="str">
            <v>0F38462</v>
          </cell>
          <cell r="E9365" t="str">
            <v>2PH6LPSJ</v>
          </cell>
        </row>
        <row r="9366">
          <cell r="D9366" t="str">
            <v>0F38462</v>
          </cell>
          <cell r="E9366" t="str">
            <v>2PH7T6ZT</v>
          </cell>
        </row>
        <row r="9367">
          <cell r="D9367" t="str">
            <v>0F38462</v>
          </cell>
          <cell r="E9367" t="str">
            <v>2PH84BBT</v>
          </cell>
        </row>
        <row r="9368">
          <cell r="D9368" t="str">
            <v>0F38462</v>
          </cell>
          <cell r="E9368" t="str">
            <v>2PH7GK2J</v>
          </cell>
        </row>
        <row r="9369">
          <cell r="D9369" t="str">
            <v>0F38462</v>
          </cell>
          <cell r="E9369" t="str">
            <v>2PH81TJT</v>
          </cell>
        </row>
        <row r="9370">
          <cell r="D9370" t="str">
            <v>0F38462</v>
          </cell>
          <cell r="E9370" t="str">
            <v>2PH84UZT</v>
          </cell>
        </row>
        <row r="9371">
          <cell r="D9371" t="str">
            <v>0F38462</v>
          </cell>
          <cell r="E9371" t="str">
            <v>2PH64K4T</v>
          </cell>
        </row>
        <row r="9372">
          <cell r="D9372" t="str">
            <v>0F38462</v>
          </cell>
          <cell r="E9372" t="str">
            <v>2PH7BDGJ</v>
          </cell>
        </row>
        <row r="9373">
          <cell r="D9373" t="str">
            <v>0F38462</v>
          </cell>
          <cell r="E9373" t="str">
            <v>2PH7W7VT</v>
          </cell>
        </row>
        <row r="9374">
          <cell r="D9374" t="str">
            <v>0F38462</v>
          </cell>
          <cell r="E9374" t="str">
            <v>2KG12Y7T</v>
          </cell>
        </row>
        <row r="9375">
          <cell r="D9375" t="str">
            <v>0F38462</v>
          </cell>
          <cell r="E9375" t="str">
            <v>2PH70R7J</v>
          </cell>
        </row>
        <row r="9376">
          <cell r="D9376" t="str">
            <v>0F38462</v>
          </cell>
          <cell r="E9376" t="str">
            <v>2PH7L9LJ</v>
          </cell>
        </row>
        <row r="9377">
          <cell r="D9377" t="str">
            <v>0F38462</v>
          </cell>
          <cell r="E9377" t="str">
            <v>2PH84D2T</v>
          </cell>
        </row>
        <row r="9378">
          <cell r="D9378" t="str">
            <v>0F38462</v>
          </cell>
          <cell r="E9378" t="str">
            <v>2PH6U2SJ</v>
          </cell>
        </row>
        <row r="9379">
          <cell r="D9379" t="str">
            <v>0F38462</v>
          </cell>
          <cell r="E9379" t="str">
            <v>2PH7DM4J</v>
          </cell>
        </row>
        <row r="9380">
          <cell r="D9380" t="str">
            <v>0F38462</v>
          </cell>
          <cell r="E9380" t="str">
            <v>2PH81M6T</v>
          </cell>
        </row>
        <row r="9381">
          <cell r="D9381" t="str">
            <v>0F38462</v>
          </cell>
          <cell r="E9381" t="str">
            <v>2PH5P7YT</v>
          </cell>
        </row>
        <row r="9382">
          <cell r="D9382" t="str">
            <v>0F38462</v>
          </cell>
          <cell r="E9382" t="str">
            <v>2PH71YVJ</v>
          </cell>
        </row>
        <row r="9383">
          <cell r="D9383" t="str">
            <v>0F38462</v>
          </cell>
          <cell r="E9383" t="str">
            <v>2PH7W5YT</v>
          </cell>
        </row>
        <row r="9384">
          <cell r="D9384" t="str">
            <v>0F38462</v>
          </cell>
          <cell r="E9384" t="str">
            <v>2PH85M8T</v>
          </cell>
        </row>
        <row r="9385">
          <cell r="D9385" t="str">
            <v>0F38462</v>
          </cell>
          <cell r="E9385" t="str">
            <v>2PH6U3YJ</v>
          </cell>
        </row>
        <row r="9386">
          <cell r="D9386" t="str">
            <v>0F38462</v>
          </cell>
          <cell r="E9386" t="str">
            <v>2PH7DP5J</v>
          </cell>
        </row>
        <row r="9387">
          <cell r="D9387" t="str">
            <v>0F38462</v>
          </cell>
          <cell r="E9387" t="str">
            <v>2PH820ST</v>
          </cell>
        </row>
        <row r="9388">
          <cell r="D9388" t="str">
            <v>0F38462</v>
          </cell>
          <cell r="E9388" t="str">
            <v>2PH76DVJ</v>
          </cell>
        </row>
        <row r="9389">
          <cell r="D9389" t="str">
            <v>0F38462</v>
          </cell>
          <cell r="E9389" t="str">
            <v>2PH7W6PT</v>
          </cell>
        </row>
        <row r="9390">
          <cell r="D9390" t="str">
            <v>0F38462</v>
          </cell>
          <cell r="E9390" t="str">
            <v>2PH86ANT</v>
          </cell>
        </row>
        <row r="9391">
          <cell r="D9391" t="str">
            <v>0F38462</v>
          </cell>
          <cell r="E9391" t="str">
            <v>2PH5VBNT</v>
          </cell>
        </row>
        <row r="9392">
          <cell r="D9392" t="str">
            <v>0F38462</v>
          </cell>
          <cell r="E9392" t="str">
            <v>2PH6H3KJ</v>
          </cell>
        </row>
        <row r="9393">
          <cell r="D9393" t="str">
            <v>0F38462</v>
          </cell>
          <cell r="E9393" t="str">
            <v>2PH7VE9T</v>
          </cell>
        </row>
        <row r="9394">
          <cell r="D9394" t="str">
            <v>0F38462</v>
          </cell>
          <cell r="E9394" t="str">
            <v>2PH5G74T</v>
          </cell>
        </row>
        <row r="9395">
          <cell r="D9395" t="str">
            <v>0F38462</v>
          </cell>
          <cell r="E9395" t="str">
            <v>2PH5Y7HT</v>
          </cell>
        </row>
        <row r="9396">
          <cell r="D9396" t="str">
            <v>0F38462</v>
          </cell>
          <cell r="E9396" t="str">
            <v>2PH72R9J</v>
          </cell>
        </row>
        <row r="9397">
          <cell r="D9397" t="str">
            <v>0F38462</v>
          </cell>
          <cell r="E9397" t="str">
            <v>2PH837JT</v>
          </cell>
        </row>
        <row r="9398">
          <cell r="D9398" t="str">
            <v>0F38462</v>
          </cell>
          <cell r="E9398" t="str">
            <v>2PH5Y3AT</v>
          </cell>
        </row>
        <row r="9399">
          <cell r="D9399" t="str">
            <v>0F38462</v>
          </cell>
          <cell r="E9399" t="str">
            <v>2PH6HM6J</v>
          </cell>
        </row>
        <row r="9400">
          <cell r="D9400" t="str">
            <v>0F38462</v>
          </cell>
          <cell r="E9400" t="str">
            <v>2PH7VGET</v>
          </cell>
        </row>
        <row r="9401">
          <cell r="D9401" t="str">
            <v>0F38462</v>
          </cell>
          <cell r="E9401" t="str">
            <v>2PH5TRKT</v>
          </cell>
        </row>
        <row r="9402">
          <cell r="D9402" t="str">
            <v>0F38462</v>
          </cell>
          <cell r="E9402" t="str">
            <v>2PH69BVJ</v>
          </cell>
        </row>
        <row r="9403">
          <cell r="D9403" t="str">
            <v>0F38462</v>
          </cell>
          <cell r="E9403" t="str">
            <v>2PH75MDJ</v>
          </cell>
        </row>
        <row r="9404">
          <cell r="D9404" t="str">
            <v>0F38462</v>
          </cell>
          <cell r="E9404" t="str">
            <v>2PH88G9T</v>
          </cell>
        </row>
        <row r="9405">
          <cell r="D9405" t="str">
            <v>0F38462</v>
          </cell>
          <cell r="E9405" t="str">
            <v>2PH5Y6GT</v>
          </cell>
        </row>
        <row r="9406">
          <cell r="D9406" t="str">
            <v>0F38462</v>
          </cell>
          <cell r="E9406" t="str">
            <v>2PH6M66J</v>
          </cell>
        </row>
        <row r="9407">
          <cell r="D9407" t="str">
            <v>0F38462</v>
          </cell>
          <cell r="E9407" t="str">
            <v>2PH82YNT</v>
          </cell>
        </row>
        <row r="9408">
          <cell r="D9408" t="str">
            <v>0F38462</v>
          </cell>
          <cell r="E9408" t="str">
            <v>2PH6DREJ</v>
          </cell>
        </row>
        <row r="9409">
          <cell r="D9409" t="str">
            <v>0F38462</v>
          </cell>
          <cell r="E9409" t="str">
            <v>2PH7L7DJ</v>
          </cell>
        </row>
        <row r="9410">
          <cell r="D9410" t="str">
            <v>0F38462</v>
          </cell>
          <cell r="E9410" t="str">
            <v>2PH8H84J</v>
          </cell>
        </row>
        <row r="9411">
          <cell r="D9411" t="str">
            <v>0F38462</v>
          </cell>
          <cell r="E9411" t="str">
            <v>2PH63M0T</v>
          </cell>
        </row>
        <row r="9412">
          <cell r="D9412" t="str">
            <v>0F38462</v>
          </cell>
          <cell r="E9412" t="str">
            <v>2PH6D4TJ</v>
          </cell>
        </row>
        <row r="9413">
          <cell r="D9413" t="str">
            <v>0F38462</v>
          </cell>
          <cell r="E9413" t="str">
            <v>2PH7M63J</v>
          </cell>
        </row>
        <row r="9414">
          <cell r="D9414" t="str">
            <v>0F38462</v>
          </cell>
          <cell r="E9414" t="str">
            <v>2PGST5UT</v>
          </cell>
        </row>
        <row r="9415">
          <cell r="D9415" t="str">
            <v>0F38462</v>
          </cell>
          <cell r="E9415" t="str">
            <v>2PH68YAJ</v>
          </cell>
        </row>
        <row r="9416">
          <cell r="D9416" t="str">
            <v>0F38462</v>
          </cell>
          <cell r="E9416" t="str">
            <v>2PH70NXJ</v>
          </cell>
        </row>
        <row r="9417">
          <cell r="D9417" t="str">
            <v>0F38462</v>
          </cell>
          <cell r="E9417" t="str">
            <v>2PH828LT</v>
          </cell>
        </row>
        <row r="9418">
          <cell r="D9418" t="str">
            <v>0F38462</v>
          </cell>
          <cell r="E9418" t="str">
            <v>2PH6454T</v>
          </cell>
        </row>
        <row r="9419">
          <cell r="D9419" t="str">
            <v>0F38462</v>
          </cell>
          <cell r="E9419" t="str">
            <v>2PH6RRTJ</v>
          </cell>
        </row>
        <row r="9420">
          <cell r="D9420" t="str">
            <v>0F38462</v>
          </cell>
          <cell r="E9420" t="str">
            <v>2PH7N4HJ</v>
          </cell>
        </row>
        <row r="9421">
          <cell r="D9421" t="str">
            <v>0F38462</v>
          </cell>
          <cell r="E9421" t="str">
            <v>2PH633ZT</v>
          </cell>
        </row>
        <row r="9422">
          <cell r="D9422" t="str">
            <v>0F38462</v>
          </cell>
          <cell r="E9422" t="str">
            <v>2PH698KJ</v>
          </cell>
        </row>
        <row r="9423">
          <cell r="D9423" t="str">
            <v>0F38462</v>
          </cell>
          <cell r="E9423" t="str">
            <v>2PH71BMJ</v>
          </cell>
        </row>
        <row r="9424">
          <cell r="D9424" t="str">
            <v>0F38462</v>
          </cell>
          <cell r="E9424" t="str">
            <v>2PH87YJT</v>
          </cell>
        </row>
        <row r="9425">
          <cell r="D9425" t="str">
            <v>0F38462</v>
          </cell>
          <cell r="E9425" t="str">
            <v>2PH6865J</v>
          </cell>
        </row>
        <row r="9426">
          <cell r="D9426" t="str">
            <v>0F38462</v>
          </cell>
          <cell r="E9426" t="str">
            <v>2PH6S46J</v>
          </cell>
        </row>
        <row r="9427">
          <cell r="D9427" t="str">
            <v>0F38462</v>
          </cell>
          <cell r="E9427" t="str">
            <v>2PH7WMMT</v>
          </cell>
        </row>
        <row r="9428">
          <cell r="D9428" t="str">
            <v>0F38462</v>
          </cell>
          <cell r="E9428" t="str">
            <v>2PH69RXJ</v>
          </cell>
        </row>
        <row r="9429">
          <cell r="D9429" t="str">
            <v>0F38462</v>
          </cell>
          <cell r="E9429" t="str">
            <v>2PH7D3XJ</v>
          </cell>
        </row>
        <row r="9430">
          <cell r="D9430" t="str">
            <v>0F38462</v>
          </cell>
          <cell r="E9430" t="str">
            <v>2PH8HYEJ</v>
          </cell>
        </row>
        <row r="9431">
          <cell r="D9431" t="str">
            <v>0F38462</v>
          </cell>
          <cell r="E9431" t="str">
            <v>2PH6UD1J</v>
          </cell>
        </row>
        <row r="9432">
          <cell r="D9432" t="str">
            <v>0F38462</v>
          </cell>
          <cell r="E9432" t="str">
            <v>2PH74B1L</v>
          </cell>
        </row>
        <row r="9433">
          <cell r="D9433" t="str">
            <v>0F38462</v>
          </cell>
          <cell r="E9433" t="str">
            <v>2PH7KZZJ</v>
          </cell>
        </row>
        <row r="9434">
          <cell r="D9434" t="str">
            <v>0F38462</v>
          </cell>
          <cell r="E9434" t="str">
            <v>2KG0UH7T</v>
          </cell>
        </row>
        <row r="9435">
          <cell r="D9435" t="str">
            <v>0F38462</v>
          </cell>
          <cell r="E9435" t="str">
            <v>2PH725NJ</v>
          </cell>
        </row>
        <row r="9436">
          <cell r="D9436" t="str">
            <v>0F38462</v>
          </cell>
          <cell r="E9436" t="str">
            <v>2PH77NMJ</v>
          </cell>
        </row>
        <row r="9437">
          <cell r="D9437" t="str">
            <v>0F38462</v>
          </cell>
          <cell r="E9437" t="str">
            <v>2PH7T0LT</v>
          </cell>
        </row>
        <row r="9438">
          <cell r="D9438" t="str">
            <v>0F38462</v>
          </cell>
          <cell r="E9438" t="str">
            <v>2PH6UV2J</v>
          </cell>
        </row>
        <row r="9439">
          <cell r="D9439" t="str">
            <v>0F38462</v>
          </cell>
          <cell r="E9439" t="str">
            <v>2PH74EKL</v>
          </cell>
        </row>
        <row r="9440">
          <cell r="D9440" t="str">
            <v>0F38462</v>
          </cell>
          <cell r="E9440" t="str">
            <v>2PH7L3NJ</v>
          </cell>
        </row>
        <row r="9441">
          <cell r="D9441" t="str">
            <v>0F38462</v>
          </cell>
          <cell r="E9441" t="str">
            <v>2PH6PHPJ</v>
          </cell>
        </row>
        <row r="9442">
          <cell r="D9442" t="str">
            <v>0F38462</v>
          </cell>
          <cell r="E9442" t="str">
            <v>2PH734EL</v>
          </cell>
        </row>
        <row r="9443">
          <cell r="D9443" t="str">
            <v>0F38462</v>
          </cell>
          <cell r="E9443" t="str">
            <v>2PH7B5LJ</v>
          </cell>
        </row>
        <row r="9444">
          <cell r="D9444" t="str">
            <v>0F38462</v>
          </cell>
          <cell r="E9444" t="str">
            <v>2PH7Z6GT</v>
          </cell>
        </row>
        <row r="9445">
          <cell r="D9445" t="str">
            <v>0F38462</v>
          </cell>
          <cell r="E9445" t="str">
            <v>2PH6XVTJ</v>
          </cell>
        </row>
        <row r="9446">
          <cell r="D9446" t="str">
            <v>0F38462</v>
          </cell>
          <cell r="E9446" t="str">
            <v>2PH778SJ</v>
          </cell>
        </row>
        <row r="9447">
          <cell r="D9447" t="str">
            <v>0F38462</v>
          </cell>
          <cell r="E9447" t="str">
            <v>2PH7MGUJ</v>
          </cell>
        </row>
        <row r="9448">
          <cell r="D9448" t="str">
            <v>0F38462</v>
          </cell>
          <cell r="E9448" t="str">
            <v>2PH738YL</v>
          </cell>
        </row>
        <row r="9449">
          <cell r="D9449" t="str">
            <v>0F38462</v>
          </cell>
          <cell r="E9449" t="str">
            <v>2PH7E3SJ</v>
          </cell>
        </row>
        <row r="9450">
          <cell r="D9450" t="str">
            <v>0F38462</v>
          </cell>
          <cell r="E9450" t="str">
            <v>2PH871KT</v>
          </cell>
        </row>
        <row r="9451">
          <cell r="D9451" t="str">
            <v>0F38462</v>
          </cell>
          <cell r="E9451" t="str">
            <v>2PH4UZRT</v>
          </cell>
        </row>
        <row r="9452">
          <cell r="D9452" t="str">
            <v>0F38462</v>
          </cell>
          <cell r="E9452" t="str">
            <v>2PH6UJUJ</v>
          </cell>
        </row>
        <row r="9453">
          <cell r="D9453" t="str">
            <v>0F38462</v>
          </cell>
          <cell r="E9453" t="str">
            <v>2PH7K8TJ</v>
          </cell>
        </row>
        <row r="9454">
          <cell r="D9454" t="str">
            <v>0F38462</v>
          </cell>
          <cell r="E9454" t="str">
            <v>2BKENTST</v>
          </cell>
        </row>
        <row r="9455">
          <cell r="D9455" t="str">
            <v>0F38462</v>
          </cell>
          <cell r="E9455" t="str">
            <v>2PH6LTGJ</v>
          </cell>
        </row>
        <row r="9456">
          <cell r="D9456" t="str">
            <v>0F38462</v>
          </cell>
          <cell r="E9456" t="str">
            <v>2PH70BGJ</v>
          </cell>
        </row>
        <row r="9457">
          <cell r="D9457" t="str">
            <v>0F38462</v>
          </cell>
          <cell r="E9457" t="str">
            <v>2PH7TV8T</v>
          </cell>
        </row>
        <row r="9458">
          <cell r="D9458" t="str">
            <v>0F38462</v>
          </cell>
          <cell r="E9458" t="str">
            <v>2PH56R8T</v>
          </cell>
        </row>
        <row r="9459">
          <cell r="D9459" t="str">
            <v>0F38462</v>
          </cell>
          <cell r="E9459" t="str">
            <v>2PH6UKEJ</v>
          </cell>
        </row>
        <row r="9460">
          <cell r="D9460" t="str">
            <v>0F38462</v>
          </cell>
          <cell r="E9460" t="str">
            <v>2PH7LXBJ</v>
          </cell>
        </row>
        <row r="9461">
          <cell r="D9461" t="str">
            <v>0F38462</v>
          </cell>
          <cell r="E9461" t="str">
            <v>2PH47K6J</v>
          </cell>
        </row>
        <row r="9462">
          <cell r="D9462" t="str">
            <v>0F38462</v>
          </cell>
          <cell r="E9462" t="str">
            <v>2PH6NHKJ</v>
          </cell>
        </row>
        <row r="9463">
          <cell r="D9463" t="str">
            <v>0F38462</v>
          </cell>
          <cell r="E9463" t="str">
            <v>2PH71P1J</v>
          </cell>
        </row>
        <row r="9464">
          <cell r="D9464" t="str">
            <v>0F38462</v>
          </cell>
          <cell r="E9464" t="str">
            <v>2PH7WNHT</v>
          </cell>
        </row>
        <row r="9465">
          <cell r="D9465" t="str">
            <v>0F38462</v>
          </cell>
          <cell r="E9465" t="str">
            <v>2PH6L7BJ</v>
          </cell>
        </row>
        <row r="9466">
          <cell r="D9466" t="str">
            <v>0F38462</v>
          </cell>
          <cell r="E9466" t="str">
            <v>2PH6VSBJ</v>
          </cell>
        </row>
        <row r="9467">
          <cell r="D9467" t="str">
            <v>0F38462</v>
          </cell>
          <cell r="E9467" t="str">
            <v>2PH7NT9J</v>
          </cell>
        </row>
        <row r="9468">
          <cell r="D9468" t="str">
            <v>0F38462</v>
          </cell>
          <cell r="E9468" t="str">
            <v>2PH6RP0J</v>
          </cell>
        </row>
        <row r="9469">
          <cell r="D9469" t="str">
            <v>0F38462</v>
          </cell>
          <cell r="E9469" t="str">
            <v>2PH7DKBJ</v>
          </cell>
        </row>
        <row r="9470">
          <cell r="D9470" t="str">
            <v>0F38462</v>
          </cell>
          <cell r="E9470" t="str">
            <v>2PH82DXT</v>
          </cell>
        </row>
        <row r="9471">
          <cell r="D9471" t="str">
            <v>0F38462</v>
          </cell>
          <cell r="E9471" t="str">
            <v>2PH5WZNT</v>
          </cell>
        </row>
        <row r="9472">
          <cell r="D9472" t="str">
            <v>0F38462</v>
          </cell>
          <cell r="E9472" t="str">
            <v>2PH6TVWJ</v>
          </cell>
        </row>
        <row r="9473">
          <cell r="D9473" t="str">
            <v>0F38462</v>
          </cell>
          <cell r="E9473" t="str">
            <v>2PH7Y4MT</v>
          </cell>
        </row>
        <row r="9474">
          <cell r="D9474" t="str">
            <v>0F38462</v>
          </cell>
          <cell r="E9474" t="str">
            <v>2PH5KJ2T</v>
          </cell>
        </row>
        <row r="9475">
          <cell r="D9475" t="str">
            <v>0F38462</v>
          </cell>
          <cell r="E9475" t="str">
            <v>2PH6BYEJ</v>
          </cell>
        </row>
        <row r="9476">
          <cell r="D9476" t="str">
            <v>0F38462</v>
          </cell>
          <cell r="E9476" t="str">
            <v>2PH7SHLT</v>
          </cell>
        </row>
        <row r="9477">
          <cell r="D9477" t="str">
            <v>0F38462</v>
          </cell>
          <cell r="E9477" t="str">
            <v>2PH88Z2T</v>
          </cell>
        </row>
        <row r="9478">
          <cell r="D9478" t="str">
            <v>0F38462</v>
          </cell>
          <cell r="E9478" t="str">
            <v>2PH636ST</v>
          </cell>
        </row>
        <row r="9479">
          <cell r="D9479" t="str">
            <v>0F38462</v>
          </cell>
          <cell r="E9479" t="str">
            <v>2PH7D9VJ</v>
          </cell>
        </row>
        <row r="9480">
          <cell r="D9480" t="str">
            <v>0F38462</v>
          </cell>
          <cell r="E9480" t="str">
            <v>2PH7ZYLT</v>
          </cell>
        </row>
        <row r="9481">
          <cell r="D9481" t="str">
            <v>0F38462</v>
          </cell>
          <cell r="E9481" t="str">
            <v>2PH5P3WT</v>
          </cell>
        </row>
        <row r="9482">
          <cell r="D9482" t="str">
            <v>0F38462</v>
          </cell>
          <cell r="E9482" t="str">
            <v>2PH6GB5J</v>
          </cell>
        </row>
        <row r="9483">
          <cell r="D9483" t="str">
            <v>0F38462</v>
          </cell>
          <cell r="E9483" t="str">
            <v>2PH7U4HT</v>
          </cell>
        </row>
        <row r="9484">
          <cell r="D9484" t="str">
            <v>0F38462</v>
          </cell>
          <cell r="E9484" t="str">
            <v>2PH896JT</v>
          </cell>
        </row>
        <row r="9485">
          <cell r="D9485" t="str">
            <v>0F38462</v>
          </cell>
          <cell r="E9485" t="str">
            <v>2PH6909J</v>
          </cell>
        </row>
        <row r="9486">
          <cell r="D9486" t="str">
            <v>0F38462</v>
          </cell>
          <cell r="E9486" t="str">
            <v>2PH7LVYJ</v>
          </cell>
        </row>
        <row r="9487">
          <cell r="D9487" t="str">
            <v>0F38462</v>
          </cell>
          <cell r="E9487" t="str">
            <v>2PH82H6T</v>
          </cell>
        </row>
        <row r="9488">
          <cell r="D9488" t="str">
            <v>0F38462</v>
          </cell>
          <cell r="E9488" t="str">
            <v>2PH6HGLJ</v>
          </cell>
        </row>
        <row r="9489">
          <cell r="D9489" t="str">
            <v>0F38462</v>
          </cell>
          <cell r="E9489" t="str">
            <v>2PH7VG1T</v>
          </cell>
        </row>
        <row r="9490">
          <cell r="D9490" t="str">
            <v>0F38462</v>
          </cell>
          <cell r="E9490" t="str">
            <v>2PH8BLAT</v>
          </cell>
        </row>
        <row r="9491">
          <cell r="D9491" t="str">
            <v>0F38462</v>
          </cell>
          <cell r="E9491" t="str">
            <v>2PH5YM3T</v>
          </cell>
        </row>
        <row r="9492">
          <cell r="D9492" t="str">
            <v>0F38462</v>
          </cell>
          <cell r="E9492" t="str">
            <v>2PH6NZ3J</v>
          </cell>
        </row>
        <row r="9493">
          <cell r="D9493" t="str">
            <v>0F38462</v>
          </cell>
          <cell r="E9493" t="str">
            <v>2PH7AV2J</v>
          </cell>
        </row>
        <row r="9494">
          <cell r="D9494" t="str">
            <v>0F38462</v>
          </cell>
          <cell r="E9494" t="str">
            <v>2PGYVHMT</v>
          </cell>
        </row>
        <row r="9495">
          <cell r="D9495" t="str">
            <v>0F38462</v>
          </cell>
          <cell r="E9495" t="str">
            <v>2PH66BET</v>
          </cell>
        </row>
        <row r="9496">
          <cell r="D9496" t="str">
            <v>0F38462</v>
          </cell>
          <cell r="E9496" t="str">
            <v>2PH6XRUJ</v>
          </cell>
        </row>
        <row r="9497">
          <cell r="D9497" t="str">
            <v>0F38462</v>
          </cell>
          <cell r="E9497" t="str">
            <v>2PH855VT</v>
          </cell>
        </row>
        <row r="9498">
          <cell r="D9498" t="str">
            <v>0F38462</v>
          </cell>
          <cell r="E9498" t="str">
            <v>2PH6328T</v>
          </cell>
        </row>
        <row r="9499">
          <cell r="D9499" t="str">
            <v>0F38462</v>
          </cell>
          <cell r="E9499" t="str">
            <v>2PH6P91J</v>
          </cell>
        </row>
        <row r="9500">
          <cell r="D9500" t="str">
            <v>0F38462</v>
          </cell>
          <cell r="E9500" t="str">
            <v>2PH7SLNT</v>
          </cell>
        </row>
        <row r="9501">
          <cell r="D9501" t="str">
            <v>0F38462</v>
          </cell>
          <cell r="E9501" t="str">
            <v>2PH55H2T</v>
          </cell>
        </row>
        <row r="9502">
          <cell r="D9502" t="str">
            <v>0F38462</v>
          </cell>
          <cell r="E9502" t="str">
            <v>2PH66SDT</v>
          </cell>
        </row>
        <row r="9503">
          <cell r="D9503" t="str">
            <v>0F38462</v>
          </cell>
          <cell r="E9503" t="str">
            <v>2PH70S3J</v>
          </cell>
        </row>
        <row r="9504">
          <cell r="D9504" t="str">
            <v>0F38462</v>
          </cell>
          <cell r="E9504" t="str">
            <v>2PH85L8T</v>
          </cell>
        </row>
        <row r="9505">
          <cell r="D9505" t="str">
            <v>0F38462</v>
          </cell>
          <cell r="E9505" t="str">
            <v>2PH6356T</v>
          </cell>
        </row>
        <row r="9506">
          <cell r="D9506" t="str">
            <v>0F38462</v>
          </cell>
          <cell r="E9506" t="str">
            <v>2PH6T03J</v>
          </cell>
        </row>
        <row r="9507">
          <cell r="D9507" t="str">
            <v>0F38462</v>
          </cell>
          <cell r="E9507" t="str">
            <v>2PH81JET</v>
          </cell>
        </row>
        <row r="9508">
          <cell r="D9508" t="str">
            <v>0F38462</v>
          </cell>
          <cell r="E9508" t="str">
            <v>2PH6DKKJ</v>
          </cell>
        </row>
        <row r="9509">
          <cell r="D9509" t="str">
            <v>0F38462</v>
          </cell>
          <cell r="E9509" t="str">
            <v>2PH73Y7L</v>
          </cell>
        </row>
        <row r="9510">
          <cell r="D9510" t="str">
            <v>0F38462</v>
          </cell>
          <cell r="E9510" t="str">
            <v>2PH8B90T</v>
          </cell>
        </row>
        <row r="9511">
          <cell r="D9511" t="str">
            <v>0F38462</v>
          </cell>
          <cell r="E9511" t="str">
            <v>2PH5G0PT</v>
          </cell>
        </row>
        <row r="9512">
          <cell r="D9512" t="str">
            <v>0F38462</v>
          </cell>
          <cell r="E9512" t="str">
            <v>2PH785PJ</v>
          </cell>
        </row>
        <row r="9513">
          <cell r="D9513" t="str">
            <v>0F38462</v>
          </cell>
          <cell r="E9513" t="str">
            <v>2PH84P1T</v>
          </cell>
        </row>
        <row r="9514">
          <cell r="D9514" t="str">
            <v>0F38462</v>
          </cell>
          <cell r="E9514" t="str">
            <v>2PH56J7T</v>
          </cell>
        </row>
        <row r="9515">
          <cell r="D9515" t="str">
            <v>0F38462</v>
          </cell>
          <cell r="E9515" t="str">
            <v>2PH6JJ2J</v>
          </cell>
        </row>
        <row r="9516">
          <cell r="D9516" t="str">
            <v>0F38462</v>
          </cell>
          <cell r="E9516" t="str">
            <v>2PH7U76T</v>
          </cell>
        </row>
        <row r="9517">
          <cell r="D9517" t="str">
            <v>0F38462</v>
          </cell>
          <cell r="E9517" t="str">
            <v>2PH88RNT</v>
          </cell>
        </row>
        <row r="9518">
          <cell r="D9518" t="str">
            <v>0F38462</v>
          </cell>
          <cell r="E9518" t="str">
            <v>2PH66GWT</v>
          </cell>
        </row>
        <row r="9519">
          <cell r="D9519" t="str">
            <v>0F38462</v>
          </cell>
          <cell r="E9519" t="str">
            <v>2PH7DT7J</v>
          </cell>
        </row>
        <row r="9520">
          <cell r="D9520" t="str">
            <v>0F38462</v>
          </cell>
          <cell r="E9520" t="str">
            <v>2PH88E6T</v>
          </cell>
        </row>
        <row r="9521">
          <cell r="D9521" t="str">
            <v>0F38462</v>
          </cell>
          <cell r="E9521" t="str">
            <v>2PH59R1T</v>
          </cell>
        </row>
        <row r="9522">
          <cell r="D9522" t="str">
            <v>0F38462</v>
          </cell>
          <cell r="E9522" t="str">
            <v>2PH742PL</v>
          </cell>
        </row>
        <row r="9523">
          <cell r="D9523" t="str">
            <v>0F38462</v>
          </cell>
          <cell r="E9523" t="str">
            <v>2PH7W5MT</v>
          </cell>
        </row>
        <row r="9524">
          <cell r="D9524" t="str">
            <v>0F38462</v>
          </cell>
          <cell r="E9524" t="str">
            <v>2PH8HAGJ</v>
          </cell>
        </row>
        <row r="9525">
          <cell r="D9525" t="str">
            <v>0F38462</v>
          </cell>
          <cell r="E9525" t="str">
            <v>2PH6D22J</v>
          </cell>
        </row>
        <row r="9526">
          <cell r="D9526" t="str">
            <v>0F38462</v>
          </cell>
          <cell r="E9526" t="str">
            <v>2PH7L3LJ</v>
          </cell>
        </row>
        <row r="9527">
          <cell r="D9527" t="str">
            <v>0F38462</v>
          </cell>
          <cell r="E9527" t="str">
            <v>2PH88P9T</v>
          </cell>
        </row>
        <row r="9528">
          <cell r="D9528" t="str">
            <v>0F38462</v>
          </cell>
          <cell r="E9528" t="str">
            <v>2PH76PZJ</v>
          </cell>
        </row>
        <row r="9529">
          <cell r="D9529" t="str">
            <v>0F38462</v>
          </cell>
          <cell r="E9529" t="str">
            <v>2PH7ZWKT</v>
          </cell>
        </row>
        <row r="9530">
          <cell r="D9530" t="str">
            <v>0F38462</v>
          </cell>
          <cell r="E9530" t="str">
            <v>3LGDD9EU</v>
          </cell>
        </row>
        <row r="9531">
          <cell r="D9531" t="str">
            <v>0F38462</v>
          </cell>
          <cell r="E9531" t="str">
            <v>2PH5Y1MT</v>
          </cell>
        </row>
        <row r="9532">
          <cell r="D9532" t="str">
            <v>0F38462</v>
          </cell>
          <cell r="E9532" t="str">
            <v>2PH783UJ</v>
          </cell>
        </row>
        <row r="9533">
          <cell r="D9533" t="str">
            <v>0F38462</v>
          </cell>
          <cell r="E9533" t="str">
            <v>2PH85M3T</v>
          </cell>
        </row>
        <row r="9534">
          <cell r="D9534" t="str">
            <v>0F38462</v>
          </cell>
          <cell r="E9534" t="str">
            <v>2PGS868T</v>
          </cell>
        </row>
        <row r="9535">
          <cell r="D9535" t="str">
            <v>0F38462</v>
          </cell>
          <cell r="E9535" t="str">
            <v>2PH6H6SJ</v>
          </cell>
        </row>
        <row r="9536">
          <cell r="D9536" t="str">
            <v>0F38462</v>
          </cell>
          <cell r="E9536" t="str">
            <v>2PH7Z7ZT</v>
          </cell>
        </row>
        <row r="9537">
          <cell r="D9537" t="str">
            <v>0F38462</v>
          </cell>
          <cell r="E9537" t="str">
            <v>2PH89MET</v>
          </cell>
        </row>
        <row r="9538">
          <cell r="D9538" t="str">
            <v>0F38462</v>
          </cell>
          <cell r="E9538" t="str">
            <v>2PH6GB3J</v>
          </cell>
        </row>
        <row r="9539">
          <cell r="D9539" t="str">
            <v>0F38462</v>
          </cell>
          <cell r="E9539" t="str">
            <v>2PH7EA8J</v>
          </cell>
        </row>
        <row r="9540">
          <cell r="D9540" t="str">
            <v>0F38462</v>
          </cell>
          <cell r="E9540" t="str">
            <v>2PH85PYT</v>
          </cell>
        </row>
        <row r="9541">
          <cell r="D9541" t="str">
            <v>0F38462</v>
          </cell>
          <cell r="E9541" t="str">
            <v>2PH5ETRT</v>
          </cell>
        </row>
        <row r="9542">
          <cell r="D9542" t="str">
            <v>0F38462</v>
          </cell>
          <cell r="E9542" t="str">
            <v>2PH73EEL</v>
          </cell>
        </row>
        <row r="9543">
          <cell r="D9543" t="str">
            <v>0F38462</v>
          </cell>
          <cell r="E9543" t="str">
            <v>2PH80KGT</v>
          </cell>
        </row>
        <row r="9544">
          <cell r="D9544" t="str">
            <v>0F38462</v>
          </cell>
          <cell r="E9544" t="str">
            <v>2PH8BN0T</v>
          </cell>
        </row>
        <row r="9545">
          <cell r="D9545" t="str">
            <v>0F38462</v>
          </cell>
          <cell r="E9545" t="str">
            <v>2PH6GZMJ</v>
          </cell>
        </row>
        <row r="9546">
          <cell r="D9546" t="str">
            <v>0F38462</v>
          </cell>
          <cell r="E9546" t="str">
            <v>2PH7T28T</v>
          </cell>
        </row>
        <row r="9547">
          <cell r="D9547" t="str">
            <v>0F38462</v>
          </cell>
          <cell r="E9547" t="str">
            <v>2PH88V9T</v>
          </cell>
        </row>
        <row r="9548">
          <cell r="D9548" t="str">
            <v>0F38462</v>
          </cell>
          <cell r="E9548" t="str">
            <v>2PH748VL</v>
          </cell>
        </row>
        <row r="9549">
          <cell r="D9549" t="str">
            <v>0F38462</v>
          </cell>
          <cell r="E9549" t="str">
            <v>2PH856GT</v>
          </cell>
        </row>
        <row r="9550">
          <cell r="D9550" t="str">
            <v>0F38462</v>
          </cell>
          <cell r="E9550" t="str">
            <v>2PH8N7XJ</v>
          </cell>
        </row>
        <row r="9551">
          <cell r="D9551" t="str">
            <v>0F38462</v>
          </cell>
          <cell r="E9551" t="str">
            <v>2PH3NKVT</v>
          </cell>
        </row>
        <row r="9552">
          <cell r="D9552" t="str">
            <v>0F38462</v>
          </cell>
          <cell r="E9552" t="str">
            <v>2PH7096J</v>
          </cell>
        </row>
        <row r="9553">
          <cell r="D9553" t="str">
            <v>0F38462</v>
          </cell>
          <cell r="E9553" t="str">
            <v>2PH7Y76T</v>
          </cell>
        </row>
        <row r="9554">
          <cell r="D9554" t="str">
            <v>0F38462</v>
          </cell>
          <cell r="E9554" t="str">
            <v>2PH0HAVT</v>
          </cell>
        </row>
        <row r="9555">
          <cell r="D9555" t="str">
            <v>0F38462</v>
          </cell>
          <cell r="E9555" t="str">
            <v>2PH5VY0T</v>
          </cell>
        </row>
        <row r="9556">
          <cell r="D9556" t="str">
            <v>0F38462</v>
          </cell>
          <cell r="E9556" t="str">
            <v>2PH7N7UJ</v>
          </cell>
        </row>
        <row r="9557">
          <cell r="D9557" t="str">
            <v>0F38462</v>
          </cell>
          <cell r="E9557" t="str">
            <v>2PH8J24J</v>
          </cell>
        </row>
        <row r="9558">
          <cell r="D9558" t="str">
            <v>0F38462</v>
          </cell>
          <cell r="E9558" t="str">
            <v>2PH5G32T</v>
          </cell>
        </row>
        <row r="9559">
          <cell r="D9559" t="str">
            <v>0F38462</v>
          </cell>
          <cell r="E9559" t="str">
            <v>2PH7DRBJ</v>
          </cell>
        </row>
        <row r="9560">
          <cell r="D9560" t="str">
            <v>0F38462</v>
          </cell>
          <cell r="E9560" t="str">
            <v>2PH810XT</v>
          </cell>
        </row>
        <row r="9561">
          <cell r="D9561" t="str">
            <v>0F38462</v>
          </cell>
          <cell r="E9561" t="str">
            <v>2PH0SWPT</v>
          </cell>
        </row>
        <row r="9562">
          <cell r="D9562" t="str">
            <v>0F38462</v>
          </cell>
          <cell r="E9562" t="str">
            <v>2PH6M7NJ</v>
          </cell>
        </row>
        <row r="9563">
          <cell r="D9563" t="str">
            <v>0F38462</v>
          </cell>
          <cell r="E9563" t="str">
            <v>2PH7NZPJ</v>
          </cell>
        </row>
        <row r="9564">
          <cell r="D9564" t="str">
            <v>0F38462</v>
          </cell>
          <cell r="E9564" t="str">
            <v>2PH8J2BJ</v>
          </cell>
        </row>
        <row r="9565">
          <cell r="D9565" t="str">
            <v>0F38462</v>
          </cell>
          <cell r="E9565" t="str">
            <v>2PH5T1JT</v>
          </cell>
        </row>
        <row r="9566">
          <cell r="D9566" t="str">
            <v>0F38462</v>
          </cell>
          <cell r="E9566" t="str">
            <v>2PH7N0JJ</v>
          </cell>
        </row>
        <row r="9567">
          <cell r="D9567" t="str">
            <v>0F38462</v>
          </cell>
          <cell r="E9567" t="str">
            <v>2PH823HT</v>
          </cell>
        </row>
        <row r="9568">
          <cell r="D9568" t="str">
            <v>0F38462</v>
          </cell>
          <cell r="E9568" t="str">
            <v>2PH703WJ</v>
          </cell>
        </row>
        <row r="9569">
          <cell r="D9569" t="str">
            <v>0F38462</v>
          </cell>
          <cell r="E9569" t="str">
            <v>2PH7RYUL</v>
          </cell>
        </row>
        <row r="9570">
          <cell r="D9570" t="str">
            <v>0F38462</v>
          </cell>
          <cell r="E9570" t="str">
            <v>2PH8JN1J</v>
          </cell>
        </row>
        <row r="9571">
          <cell r="D9571" t="str">
            <v>0F38462</v>
          </cell>
          <cell r="E9571" t="str">
            <v>2PH5X30T</v>
          </cell>
        </row>
        <row r="9572">
          <cell r="D9572" t="str">
            <v>0F38462</v>
          </cell>
          <cell r="E9572" t="str">
            <v>2PH79A7J</v>
          </cell>
        </row>
        <row r="9573">
          <cell r="D9573" t="str">
            <v>0F38462</v>
          </cell>
          <cell r="E9573" t="str">
            <v>2PH7SPBT</v>
          </cell>
        </row>
        <row r="9574">
          <cell r="D9574" t="str">
            <v>0F38462</v>
          </cell>
          <cell r="E9574" t="str">
            <v>2PGRLM4T</v>
          </cell>
        </row>
        <row r="9575">
          <cell r="D9575" t="str">
            <v>0F38462</v>
          </cell>
          <cell r="E9575" t="str">
            <v>2PH6PJ3J</v>
          </cell>
        </row>
        <row r="9576">
          <cell r="D9576" t="str">
            <v>0F38462</v>
          </cell>
          <cell r="E9576" t="str">
            <v>2PH7D63J</v>
          </cell>
        </row>
        <row r="9577">
          <cell r="D9577" t="str">
            <v>0F38462</v>
          </cell>
          <cell r="E9577" t="str">
            <v>2PH82V2T</v>
          </cell>
        </row>
        <row r="9578">
          <cell r="D9578" t="str">
            <v>0F38462</v>
          </cell>
          <cell r="E9578" t="str">
            <v>2PH698GJ</v>
          </cell>
        </row>
        <row r="9579">
          <cell r="D9579" t="str">
            <v>0F38462</v>
          </cell>
          <cell r="E9579" t="str">
            <v>2PH79BPJ</v>
          </cell>
        </row>
        <row r="9580">
          <cell r="D9580" t="str">
            <v>0F38462</v>
          </cell>
          <cell r="E9580" t="str">
            <v>2PH80AHT</v>
          </cell>
        </row>
        <row r="9581">
          <cell r="D9581" t="str">
            <v>0F38462</v>
          </cell>
          <cell r="E9581" t="str">
            <v>2PH12JHT</v>
          </cell>
        </row>
        <row r="9582">
          <cell r="D9582" t="str">
            <v>0F38462</v>
          </cell>
          <cell r="E9582" t="str">
            <v>2PH777TJ</v>
          </cell>
        </row>
        <row r="9583">
          <cell r="D9583" t="str">
            <v>0F38462</v>
          </cell>
          <cell r="E9583" t="str">
            <v>2PH7LH8J</v>
          </cell>
        </row>
        <row r="9584">
          <cell r="D9584" t="str">
            <v>0F38462</v>
          </cell>
          <cell r="E9584" t="str">
            <v>2PH85R1T</v>
          </cell>
        </row>
        <row r="9585">
          <cell r="D9585" t="str">
            <v>0F38462</v>
          </cell>
          <cell r="E9585" t="str">
            <v>2PH6NDSJ</v>
          </cell>
        </row>
        <row r="9586">
          <cell r="D9586" t="str">
            <v>0F38462</v>
          </cell>
          <cell r="E9586" t="str">
            <v>2PH7D32J</v>
          </cell>
        </row>
        <row r="9587">
          <cell r="D9587" t="str">
            <v>0F38462</v>
          </cell>
          <cell r="E9587" t="str">
            <v>2PH81K3T</v>
          </cell>
        </row>
        <row r="9588">
          <cell r="D9588" t="str">
            <v>0F38462</v>
          </cell>
          <cell r="E9588" t="str">
            <v>2PH78L3J</v>
          </cell>
        </row>
        <row r="9589">
          <cell r="D9589" t="str">
            <v>0F38462</v>
          </cell>
          <cell r="E9589" t="str">
            <v>2PH7RUXL</v>
          </cell>
        </row>
        <row r="9590">
          <cell r="D9590" t="str">
            <v>0F38462</v>
          </cell>
          <cell r="E9590" t="str">
            <v>2PH8BK2T</v>
          </cell>
        </row>
        <row r="9591">
          <cell r="D9591" t="str">
            <v>0F38462</v>
          </cell>
          <cell r="E9591" t="str">
            <v>2PH5WUKT</v>
          </cell>
        </row>
        <row r="9592">
          <cell r="D9592" t="str">
            <v>0F38462</v>
          </cell>
          <cell r="E9592" t="str">
            <v>2PH6NJHJ</v>
          </cell>
        </row>
        <row r="9593">
          <cell r="D9593" t="str">
            <v>0F38462</v>
          </cell>
          <cell r="E9593" t="str">
            <v>2PH7LG4J</v>
          </cell>
        </row>
        <row r="9594">
          <cell r="D9594" t="str">
            <v>0F38462</v>
          </cell>
          <cell r="E9594" t="str">
            <v>2PH1PWNJ</v>
          </cell>
        </row>
        <row r="9595">
          <cell r="D9595" t="str">
            <v>0F38462</v>
          </cell>
          <cell r="E9595" t="str">
            <v>2PH66K2T</v>
          </cell>
        </row>
        <row r="9596">
          <cell r="D9596" t="str">
            <v>0F38462</v>
          </cell>
          <cell r="E9596" t="str">
            <v>2PH6X1YJ</v>
          </cell>
        </row>
        <row r="9597">
          <cell r="D9597" t="str">
            <v>0F38462</v>
          </cell>
          <cell r="E9597" t="str">
            <v>2PH87RXT</v>
          </cell>
        </row>
        <row r="9598">
          <cell r="D9598" t="str">
            <v>0F38462</v>
          </cell>
          <cell r="E9598" t="str">
            <v>2PH5WX0T</v>
          </cell>
        </row>
        <row r="9599">
          <cell r="D9599" t="str">
            <v>0F38462</v>
          </cell>
          <cell r="E9599" t="str">
            <v>2PH6SK2J</v>
          </cell>
        </row>
        <row r="9600">
          <cell r="D9600" t="str">
            <v>0F38462</v>
          </cell>
          <cell r="E9600" t="str">
            <v>2PH7X3MT</v>
          </cell>
        </row>
        <row r="9601">
          <cell r="D9601" t="str">
            <v>0F38462</v>
          </cell>
          <cell r="E9601" t="str">
            <v>2PH55JPT</v>
          </cell>
        </row>
        <row r="9602">
          <cell r="D9602" t="str">
            <v>0F38462</v>
          </cell>
          <cell r="E9602" t="str">
            <v>2PH6911J</v>
          </cell>
        </row>
        <row r="9603">
          <cell r="D9603" t="str">
            <v>0F38462</v>
          </cell>
          <cell r="E9603" t="str">
            <v>2PH709GJ</v>
          </cell>
        </row>
        <row r="9604">
          <cell r="D9604" t="str">
            <v>0F38462</v>
          </cell>
          <cell r="E9604" t="str">
            <v>2PH88SJT</v>
          </cell>
        </row>
        <row r="9605">
          <cell r="D9605" t="str">
            <v>0F38462</v>
          </cell>
          <cell r="E9605" t="str">
            <v>2PH603WT</v>
          </cell>
        </row>
        <row r="9606">
          <cell r="D9606" t="str">
            <v>0F38462</v>
          </cell>
          <cell r="E9606" t="str">
            <v>2PH6U05J</v>
          </cell>
        </row>
        <row r="9607">
          <cell r="D9607" t="str">
            <v>0F38462</v>
          </cell>
          <cell r="E9607" t="str">
            <v>2PH801VT</v>
          </cell>
        </row>
        <row r="9608">
          <cell r="D9608" t="str">
            <v>0F38462</v>
          </cell>
          <cell r="E9608" t="str">
            <v>2PH6M4TJ</v>
          </cell>
        </row>
        <row r="9609">
          <cell r="D9609" t="str">
            <v>0F38462</v>
          </cell>
          <cell r="E9609" t="str">
            <v>2PH7KHSJ</v>
          </cell>
        </row>
        <row r="9610">
          <cell r="D9610" t="str">
            <v>0F38462</v>
          </cell>
          <cell r="E9610" t="str">
            <v>2PH89ZGT</v>
          </cell>
        </row>
        <row r="9611">
          <cell r="D9611" t="str">
            <v>0F38462</v>
          </cell>
          <cell r="E9611" t="str">
            <v>2PH635KT</v>
          </cell>
        </row>
        <row r="9612">
          <cell r="D9612" t="str">
            <v>0F38462</v>
          </cell>
          <cell r="E9612" t="str">
            <v>2PH72GVJ</v>
          </cell>
        </row>
        <row r="9613">
          <cell r="D9613" t="str">
            <v>0F38462</v>
          </cell>
          <cell r="E9613" t="str">
            <v>2PH80DNT</v>
          </cell>
        </row>
        <row r="9614">
          <cell r="D9614" t="str">
            <v>0F38462</v>
          </cell>
          <cell r="E9614" t="str">
            <v>2PH2RUKT</v>
          </cell>
        </row>
        <row r="9615">
          <cell r="D9615" t="str">
            <v>0F38462</v>
          </cell>
          <cell r="E9615" t="str">
            <v>2PH6X3ZJ</v>
          </cell>
        </row>
        <row r="9616">
          <cell r="D9616" t="str">
            <v>0F38462</v>
          </cell>
          <cell r="E9616" t="str">
            <v>2PH7SS5T</v>
          </cell>
        </row>
        <row r="9617">
          <cell r="D9617" t="str">
            <v>0F38462</v>
          </cell>
          <cell r="E9617" t="str">
            <v>2PH82MTT</v>
          </cell>
        </row>
        <row r="9618">
          <cell r="D9618" t="str">
            <v>0F38462</v>
          </cell>
          <cell r="E9618" t="str">
            <v>2PH64GZT</v>
          </cell>
        </row>
        <row r="9619">
          <cell r="D9619" t="str">
            <v>0F38462</v>
          </cell>
          <cell r="E9619" t="str">
            <v>2PH78V6J</v>
          </cell>
        </row>
        <row r="9620">
          <cell r="D9620" t="str">
            <v>0F38462</v>
          </cell>
          <cell r="E9620" t="str">
            <v>2PH820VT</v>
          </cell>
        </row>
        <row r="9621">
          <cell r="D9621" t="str">
            <v>0F38462</v>
          </cell>
          <cell r="E9621" t="str">
            <v>2PH48A3J</v>
          </cell>
        </row>
        <row r="9622">
          <cell r="D9622" t="str">
            <v>0F38462</v>
          </cell>
          <cell r="E9622" t="str">
            <v>2PH6ZZWJ</v>
          </cell>
        </row>
        <row r="9623">
          <cell r="D9623" t="str">
            <v>0F38462</v>
          </cell>
          <cell r="E9623" t="str">
            <v>2PH7T6VT</v>
          </cell>
        </row>
        <row r="9624">
          <cell r="D9624" t="str">
            <v>0F38462</v>
          </cell>
          <cell r="E9624" t="str">
            <v>2PH84ZKT</v>
          </cell>
        </row>
        <row r="9625">
          <cell r="D9625" t="str">
            <v>0F38462</v>
          </cell>
          <cell r="E9625" t="str">
            <v>2PH67YEJ</v>
          </cell>
        </row>
        <row r="9626">
          <cell r="D9626" t="str">
            <v>0F38462</v>
          </cell>
          <cell r="E9626" t="str">
            <v>2PH7913J</v>
          </cell>
        </row>
        <row r="9627">
          <cell r="D9627" t="str">
            <v>0F38462</v>
          </cell>
          <cell r="E9627" t="str">
            <v>2PH8222T</v>
          </cell>
        </row>
        <row r="9628">
          <cell r="D9628" t="str">
            <v>0F38462</v>
          </cell>
          <cell r="E9628" t="str">
            <v>2PH71GAJ</v>
          </cell>
        </row>
        <row r="9629">
          <cell r="D9629" t="str">
            <v>0F38462</v>
          </cell>
          <cell r="E9629" t="str">
            <v>2PH7ZTXT</v>
          </cell>
        </row>
        <row r="9630">
          <cell r="D9630" t="str">
            <v>0F38462</v>
          </cell>
          <cell r="E9630" t="str">
            <v>2PH86H5T</v>
          </cell>
        </row>
        <row r="9631">
          <cell r="D9631" t="str">
            <v>SAS 9341-4i  05-26105-00</v>
          </cell>
          <cell r="E9631" t="str">
            <v>SPB2700525</v>
          </cell>
        </row>
        <row r="9632">
          <cell r="D9632" t="str">
            <v>SAS 9341-4i  05-26105-00</v>
          </cell>
          <cell r="E9632" t="str">
            <v>SPB2700801</v>
          </cell>
        </row>
        <row r="9633">
          <cell r="D9633" t="str">
            <v>SAS 9341-4i  05-26105-00</v>
          </cell>
          <cell r="E9633" t="str">
            <v>SPB2700957</v>
          </cell>
        </row>
        <row r="9634">
          <cell r="D9634" t="str">
            <v>SAS 9341-4i  05-26105-00</v>
          </cell>
          <cell r="E9634" t="str">
            <v>SPB2700797</v>
          </cell>
        </row>
        <row r="9635">
          <cell r="D9635" t="str">
            <v>SAS 9341-4i  05-26105-00</v>
          </cell>
          <cell r="E9635" t="str">
            <v>SPB2700952</v>
          </cell>
        </row>
        <row r="9636">
          <cell r="D9636" t="str">
            <v>SAS 9341-4i  05-26105-00</v>
          </cell>
          <cell r="E9636" t="str">
            <v>SPB2700814</v>
          </cell>
        </row>
        <row r="9637">
          <cell r="D9637" t="str">
            <v>Intel Xeon Silver 4216</v>
          </cell>
          <cell r="E9637" t="str">
            <v>12CEFEFBF23E6D6ERFBB   M1N01H7300041</v>
          </cell>
        </row>
        <row r="9638">
          <cell r="D9638" t="str">
            <v>Intel Xeon Silver 4216</v>
          </cell>
          <cell r="E9638" t="str">
            <v>1204F3FBE00C5841RFBB     M1HR418100347</v>
          </cell>
        </row>
        <row r="9639">
          <cell r="D9639" t="str">
            <v>CM8068404227903 Intel Xeon E-2246G</v>
          </cell>
          <cell r="E9639" t="str">
            <v>1TX120F195</v>
          </cell>
          <cell r="K9639" t="str">
            <v>SO/2022/005939/A 1z2</v>
          </cell>
        </row>
        <row r="9640">
          <cell r="D9640" t="str">
            <v xml:space="preserve">M393A8G40AB2-CWE </v>
          </cell>
          <cell r="E9640" t="str">
            <v>SNL357</v>
          </cell>
        </row>
        <row r="9641">
          <cell r="D9641" t="str">
            <v xml:space="preserve">M393A8G40AB2-CWE </v>
          </cell>
          <cell r="E9641" t="str">
            <v>SNL358</v>
          </cell>
        </row>
        <row r="9642">
          <cell r="D9642" t="str">
            <v xml:space="preserve">M393A8G40AB2-CWE </v>
          </cell>
          <cell r="E9642" t="str">
            <v>SNL359</v>
          </cell>
        </row>
        <row r="9643">
          <cell r="D9643" t="str">
            <v xml:space="preserve">M393A8G40AB2-CWE </v>
          </cell>
          <cell r="E9643" t="str">
            <v>SNL360</v>
          </cell>
        </row>
        <row r="9644">
          <cell r="D9644" t="str">
            <v xml:space="preserve">M393A8G40AB2-CWE </v>
          </cell>
          <cell r="E9644" t="str">
            <v>SNL361</v>
          </cell>
        </row>
        <row r="9645">
          <cell r="D9645" t="str">
            <v xml:space="preserve">M393A8G40AB2-CWE </v>
          </cell>
          <cell r="E9645" t="str">
            <v>SNL362</v>
          </cell>
        </row>
        <row r="9646">
          <cell r="D9646" t="str">
            <v xml:space="preserve">M393A8G40AB2-CWE </v>
          </cell>
          <cell r="E9646" t="str">
            <v>SNL363</v>
          </cell>
        </row>
        <row r="9647">
          <cell r="D9647" t="str">
            <v xml:space="preserve">M393A8G40AB2-CWE </v>
          </cell>
          <cell r="E9647" t="str">
            <v>SNL364</v>
          </cell>
        </row>
        <row r="9648">
          <cell r="D9648" t="str">
            <v xml:space="preserve">M393A8G40AB2-CWE </v>
          </cell>
          <cell r="E9648" t="str">
            <v>SNL365</v>
          </cell>
        </row>
        <row r="9649">
          <cell r="D9649" t="str">
            <v xml:space="preserve">M393A8G40AB2-CWE </v>
          </cell>
          <cell r="E9649" t="str">
            <v>SNL366</v>
          </cell>
        </row>
        <row r="9650">
          <cell r="D9650" t="str">
            <v xml:space="preserve">M393A8G40AB2-CWE </v>
          </cell>
          <cell r="E9650" t="str">
            <v>SNL367</v>
          </cell>
        </row>
        <row r="9651">
          <cell r="D9651" t="str">
            <v xml:space="preserve">M393A8G40AB2-CWE </v>
          </cell>
          <cell r="E9651" t="str">
            <v>SNL368</v>
          </cell>
        </row>
        <row r="9652">
          <cell r="D9652" t="str">
            <v xml:space="preserve">M393A8G40AB2-CWE </v>
          </cell>
          <cell r="E9652" t="str">
            <v>SNL369</v>
          </cell>
        </row>
        <row r="9653">
          <cell r="D9653" t="str">
            <v xml:space="preserve">M393A8G40AB2-CWE </v>
          </cell>
          <cell r="E9653" t="str">
            <v>SNL370</v>
          </cell>
        </row>
        <row r="9654">
          <cell r="D9654" t="str">
            <v xml:space="preserve">M393A8G40AB2-CWE </v>
          </cell>
          <cell r="E9654" t="str">
            <v>SNL371</v>
          </cell>
        </row>
        <row r="9655">
          <cell r="D9655" t="str">
            <v xml:space="preserve">M393A8G40AB2-CWE </v>
          </cell>
          <cell r="E9655" t="str">
            <v>SNL372</v>
          </cell>
        </row>
        <row r="9656">
          <cell r="D9656" t="str">
            <v xml:space="preserve">M393A8G40AB2-CWE </v>
          </cell>
          <cell r="E9656" t="str">
            <v>SNL373</v>
          </cell>
        </row>
        <row r="9657">
          <cell r="D9657" t="str">
            <v xml:space="preserve">M393A8G40AB2-CWE </v>
          </cell>
          <cell r="E9657" t="str">
            <v>SNL374</v>
          </cell>
        </row>
        <row r="9658">
          <cell r="D9658" t="str">
            <v xml:space="preserve">M393A8G40AB2-CWE </v>
          </cell>
          <cell r="E9658" t="str">
            <v>SNL375</v>
          </cell>
        </row>
        <row r="9659">
          <cell r="D9659" t="str">
            <v xml:space="preserve">M393A8G40AB2-CWE </v>
          </cell>
          <cell r="E9659" t="str">
            <v>SNL376</v>
          </cell>
        </row>
        <row r="9660">
          <cell r="D9660" t="str">
            <v xml:space="preserve">M393A8G40AB2-CWE </v>
          </cell>
          <cell r="E9660" t="str">
            <v>SNL377</v>
          </cell>
        </row>
        <row r="9661">
          <cell r="D9661" t="str">
            <v xml:space="preserve">M393A8G40AB2-CWE </v>
          </cell>
          <cell r="E9661" t="str">
            <v>SNL378</v>
          </cell>
        </row>
        <row r="9662">
          <cell r="D9662" t="str">
            <v xml:space="preserve">M393A8G40AB2-CWE </v>
          </cell>
          <cell r="E9662" t="str">
            <v>SNL379</v>
          </cell>
        </row>
        <row r="9663">
          <cell r="D9663" t="str">
            <v xml:space="preserve">M393A8G40AB2-CWE </v>
          </cell>
          <cell r="E9663" t="str">
            <v>SNL380</v>
          </cell>
        </row>
        <row r="9664">
          <cell r="D9664" t="str">
            <v>Intel Xeon Silver 4208</v>
          </cell>
          <cell r="E9664" t="str">
            <v>80BCC90B6D918F5ARFBM 722KE81801041</v>
          </cell>
        </row>
        <row r="9665">
          <cell r="D9665" t="str">
            <v>Intel Xeon Silver 4208</v>
          </cell>
          <cell r="E9665" t="str">
            <v>82719E0BE32D240BRFBM  72UU675100686</v>
          </cell>
        </row>
        <row r="9666">
          <cell r="D9666" t="str">
            <v>MEM-DR464L-CL02-ER32 (MTA36ASF8G72PZ-3G2B2 150)</v>
          </cell>
          <cell r="E9666" t="str">
            <v>S802C252150F30748DE</v>
          </cell>
        </row>
        <row r="9667">
          <cell r="D9667" t="str">
            <v>MEM-DR464L-CL02-ER32 (MTA36ASF8G72PZ-3G2B2 150)</v>
          </cell>
          <cell r="E9667" t="str">
            <v>S802C252150F3074967</v>
          </cell>
        </row>
        <row r="9668">
          <cell r="D9668" t="str">
            <v>MEM-DR464L-CL02-ER32 (MTA36ASF8G72PZ-3G2B2 150)</v>
          </cell>
          <cell r="E9668" t="str">
            <v>S802C252208F336BE38</v>
          </cell>
        </row>
        <row r="9669">
          <cell r="D9669" t="str">
            <v>MEM-DR464L-CL02-ER32 (MTA36ASF8G72PZ-3G2B2 150)</v>
          </cell>
          <cell r="E9669" t="str">
            <v>S802C252208F336BE5C</v>
          </cell>
        </row>
        <row r="9670">
          <cell r="D9670" t="str">
            <v>MEM-DR464L-CL02-ER32 (MTA36ASF8G72PZ-3G2B2 150)</v>
          </cell>
          <cell r="E9670" t="str">
            <v>S802C252208F336AEF5</v>
          </cell>
        </row>
        <row r="9671">
          <cell r="D9671" t="str">
            <v>MEM-DR464L-CL02-ER32 (MTA36ASF8G72PZ-3G2B2 150)</v>
          </cell>
          <cell r="E9671" t="str">
            <v>S802C252208F336AF16</v>
          </cell>
        </row>
        <row r="9672">
          <cell r="D9672" t="str">
            <v>MBD-X12DPI-N6-O</v>
          </cell>
          <cell r="E9672" t="str">
            <v>UM21CS004240</v>
          </cell>
          <cell r="K9672" t="str">
            <v>AWARIA; Wymiana na VM224S011492</v>
          </cell>
        </row>
        <row r="9673">
          <cell r="D9673" t="str">
            <v>MBD-X11SCW-F-B</v>
          </cell>
          <cell r="E9673" t="str">
            <v>ZM21CS014436</v>
          </cell>
        </row>
        <row r="9674">
          <cell r="D9674" t="str">
            <v>MBD-X11DDW-NT-O</v>
          </cell>
          <cell r="E9674" t="str">
            <v>NM214S003225</v>
          </cell>
        </row>
        <row r="9675">
          <cell r="D9675" t="str">
            <v>MBD-X11DDW-NT-O</v>
          </cell>
          <cell r="E9675" t="str">
            <v>NM214S003061</v>
          </cell>
        </row>
        <row r="9676">
          <cell r="D9676" t="str">
            <v>CSE-732D4-668B</v>
          </cell>
          <cell r="E9676" t="str">
            <v>C73230K36A00300</v>
          </cell>
        </row>
        <row r="9677">
          <cell r="D9677" t="str">
            <v>PWS</v>
          </cell>
          <cell r="E9677" t="str">
            <v>P668PAL32A00896</v>
          </cell>
        </row>
        <row r="9678">
          <cell r="D9678" t="str">
            <v>CSE-732D4-668B</v>
          </cell>
          <cell r="E9678" t="str">
            <v>C73230K36A00200</v>
          </cell>
        </row>
        <row r="9679">
          <cell r="D9679" t="str">
            <v>PWS</v>
          </cell>
          <cell r="E9679" t="str">
            <v>P668PAL32A00885</v>
          </cell>
        </row>
        <row r="9680">
          <cell r="D9680" t="str">
            <v>CSE-826BE1C-R920LPB</v>
          </cell>
          <cell r="E9680" t="str">
            <v>C8260FK51P60426</v>
          </cell>
        </row>
        <row r="9681">
          <cell r="D9681" t="str">
            <v>CSE-826BAC4-R920WB</v>
          </cell>
          <cell r="E9681" t="str">
            <v>C8260FK42P90033</v>
          </cell>
        </row>
        <row r="9682">
          <cell r="D9682" t="str">
            <v>CSE-826BAC4-R920WB</v>
          </cell>
          <cell r="E9682" t="str">
            <v>C8260FK42P90034</v>
          </cell>
        </row>
        <row r="9683">
          <cell r="D9683" t="str">
            <v>CSE-826BAC4-R920WB</v>
          </cell>
          <cell r="E9683" t="str">
            <v>C8260FK42P90027</v>
          </cell>
        </row>
        <row r="9684">
          <cell r="D9684" t="str">
            <v>QLE2692-SR</v>
          </cell>
          <cell r="E9684" t="str">
            <v>RFD2203W37836</v>
          </cell>
        </row>
        <row r="9685">
          <cell r="D9685" t="str">
            <v>QLE2692-SR</v>
          </cell>
          <cell r="E9685" t="str">
            <v>RFD2203W37774</v>
          </cell>
        </row>
        <row r="9686">
          <cell r="D9686" t="str">
            <v>QLE2692-SR</v>
          </cell>
          <cell r="E9686" t="str">
            <v>RFD2203W38894</v>
          </cell>
        </row>
        <row r="9687">
          <cell r="D9687" t="str">
            <v>QLE2692-SR</v>
          </cell>
          <cell r="E9687" t="str">
            <v>RFD2203W37764</v>
          </cell>
        </row>
        <row r="9688">
          <cell r="D9688" t="str">
            <v>X470D4U</v>
          </cell>
          <cell r="E9688" t="str">
            <v>E9S0XW013390</v>
          </cell>
        </row>
        <row r="9689">
          <cell r="D9689" t="str">
            <v>X470D4U</v>
          </cell>
          <cell r="E9689" t="str">
            <v>E9S0XW013391</v>
          </cell>
        </row>
        <row r="9690">
          <cell r="D9690" t="str">
            <v>X570D4U</v>
          </cell>
          <cell r="E9690" t="str">
            <v>F2S0XW002106</v>
          </cell>
        </row>
        <row r="9691">
          <cell r="D9691" t="str">
            <v>X570D4U</v>
          </cell>
          <cell r="E9691" t="str">
            <v>F2S0XW002105</v>
          </cell>
        </row>
        <row r="9692">
          <cell r="D9692" t="str">
            <v>SSDSC2KG019T801</v>
          </cell>
          <cell r="E9692" t="str">
            <v>PHYG1511035V1P9DGN</v>
          </cell>
        </row>
        <row r="9693">
          <cell r="D9693" t="str">
            <v>SSDSC2KG019T801</v>
          </cell>
          <cell r="E9693" t="str">
            <v>PHYG1511037M1P9DGN</v>
          </cell>
        </row>
        <row r="9694">
          <cell r="D9694" t="str">
            <v>SSDSC2KG019T801</v>
          </cell>
          <cell r="E9694" t="str">
            <v>PHYG1511035Q1P9DGN</v>
          </cell>
        </row>
        <row r="9695">
          <cell r="D9695" t="str">
            <v>SSDSC2KG019T801</v>
          </cell>
          <cell r="E9695" t="str">
            <v>PHYG151104Z11P9DGN</v>
          </cell>
        </row>
        <row r="9696">
          <cell r="D9696" t="str">
            <v>SSDSC2KG019T801</v>
          </cell>
          <cell r="E9696" t="str">
            <v>PHYG151104ZW1P9DGN</v>
          </cell>
        </row>
        <row r="9697">
          <cell r="D9697" t="str">
            <v>SSDSC2KG019T801</v>
          </cell>
          <cell r="E9697" t="str">
            <v>PHYG151103801P9DGN</v>
          </cell>
        </row>
        <row r="9698">
          <cell r="D9698" t="str">
            <v>SSDSC2KG019T801</v>
          </cell>
          <cell r="E9698" t="str">
            <v>PHYG1511035N1P9DGN</v>
          </cell>
        </row>
        <row r="9699">
          <cell r="D9699" t="str">
            <v>SSDSC2KG019T801</v>
          </cell>
          <cell r="E9699" t="str">
            <v>PHYG151105ED1P9DGN</v>
          </cell>
        </row>
        <row r="9700">
          <cell r="D9700" t="str">
            <v>CM8070804494617  Intel Xeon E-2388G</v>
          </cell>
          <cell r="E9700" t="str">
            <v>V144G247</v>
          </cell>
        </row>
        <row r="9701">
          <cell r="D9701" t="str">
            <v>CM8070804494617  Intel Xeon E-2388G</v>
          </cell>
          <cell r="E9701" t="str">
            <v>V144G247</v>
          </cell>
        </row>
        <row r="9702">
          <cell r="D9702" t="str">
            <v>CM8070804494617  Intel Xeon E-2388G</v>
          </cell>
          <cell r="E9702" t="str">
            <v>V144G247</v>
          </cell>
        </row>
        <row r="9703">
          <cell r="D9703" t="str">
            <v>CM8070804494617  Intel Xeon E-2388G</v>
          </cell>
          <cell r="E9703" t="str">
            <v>V144G247</v>
          </cell>
        </row>
        <row r="9704">
          <cell r="D9704" t="str">
            <v>CM8070804494617  Intel Xeon E-2388G</v>
          </cell>
          <cell r="E9704" t="str">
            <v>V144G247</v>
          </cell>
        </row>
        <row r="9705">
          <cell r="D9705" t="str">
            <v>CM8070804494617  Intel Xeon E-2388G</v>
          </cell>
          <cell r="E9705" t="str">
            <v>V144G247</v>
          </cell>
        </row>
        <row r="9706">
          <cell r="D9706" t="str">
            <v>CM8070804494617  Intel Xeon E-2388G</v>
          </cell>
          <cell r="E9706" t="str">
            <v>V144G247</v>
          </cell>
        </row>
        <row r="9707">
          <cell r="D9707" t="str">
            <v>CM8070804494617  Intel Xeon E-2388G</v>
          </cell>
          <cell r="E9707" t="str">
            <v>V144G247</v>
          </cell>
        </row>
        <row r="9708">
          <cell r="D9708" t="str">
            <v>CM8070804494617  Intel Xeon E-2388G</v>
          </cell>
          <cell r="E9708" t="str">
            <v>V144G247</v>
          </cell>
        </row>
        <row r="9709">
          <cell r="D9709" t="str">
            <v>CM8070804494617  Intel Xeon E-2388G</v>
          </cell>
          <cell r="E9709" t="str">
            <v>V144G247</v>
          </cell>
        </row>
        <row r="9710">
          <cell r="D9710" t="str">
            <v>CD8069504448800  Intel Xeon Gold 6230R</v>
          </cell>
          <cell r="E9710" t="str">
            <v>2F5CB8C0FBB5E2E4RGZA    72FQ165300834</v>
          </cell>
        </row>
        <row r="9711">
          <cell r="D9711" t="str">
            <v>CD8069504448800  Intel Xeon Gold 6230R</v>
          </cell>
          <cell r="E9711" t="str">
            <v xml:space="preserve">303DD7FBDAD01A18RGZA    72SV397200009 </v>
          </cell>
        </row>
        <row r="9712">
          <cell r="D9712" t="str">
            <v>CD8069504448800  Intel Xeon Gold 6230R</v>
          </cell>
          <cell r="E9712" t="str">
            <v>303E4CC152B111F8RGZA     72SV397200021</v>
          </cell>
        </row>
        <row r="9713">
          <cell r="D9713" t="str">
            <v>CD8069504448800  Intel Xeon Gold 6230R</v>
          </cell>
          <cell r="E9713" t="str">
            <v>303D80C1357D0403RGZA     72SV397201322</v>
          </cell>
        </row>
        <row r="9714">
          <cell r="D9714" t="str">
            <v>CD8069504448800  Intel Xeon Gold 6230R</v>
          </cell>
          <cell r="E9714" t="str">
            <v>303D71BF12CB0310RGZA     72SV397200038</v>
          </cell>
        </row>
        <row r="9715">
          <cell r="D9715" t="str">
            <v>CD8069504448800  Intel Xeon Gold 6230R</v>
          </cell>
          <cell r="E9715" t="str">
            <v>303D71BC86C3CFA7RGZA    72SV397201075</v>
          </cell>
        </row>
        <row r="9716">
          <cell r="D9716" t="str">
            <v>CM8070804494617  Intel Xeon E-2388G</v>
          </cell>
          <cell r="E9716" t="str">
            <v>V144G247</v>
          </cell>
        </row>
        <row r="9717">
          <cell r="D9717" t="str">
            <v>CM8070804494617  Intel Xeon E-2388G</v>
          </cell>
          <cell r="E9717" t="str">
            <v>V144G247</v>
          </cell>
        </row>
        <row r="9718">
          <cell r="D9718" t="str">
            <v>CM8070804494617  Intel Xeon E-2388G</v>
          </cell>
          <cell r="E9718" t="str">
            <v>V144G247</v>
          </cell>
        </row>
        <row r="9719">
          <cell r="D9719" t="str">
            <v>CM8070804494617  Intel Xeon E-2388G</v>
          </cell>
          <cell r="E9719" t="str">
            <v>V144G247</v>
          </cell>
        </row>
        <row r="9720">
          <cell r="D9720" t="str">
            <v>CM8070804494617  Intel Xeon E-2388G</v>
          </cell>
          <cell r="E9720" t="str">
            <v>V144G247</v>
          </cell>
        </row>
        <row r="9721">
          <cell r="D9721" t="str">
            <v>CM8070804494617  Intel Xeon E-2388G</v>
          </cell>
          <cell r="E9721" t="str">
            <v>V144G247</v>
          </cell>
        </row>
        <row r="9722">
          <cell r="D9722" t="str">
            <v>CM8070804494617  Intel Xeon E-2388G</v>
          </cell>
          <cell r="E9722" t="str">
            <v>V144G247</v>
          </cell>
        </row>
        <row r="9723">
          <cell r="D9723" t="str">
            <v>CM8070804494617  Intel Xeon E-2388G</v>
          </cell>
          <cell r="E9723" t="str">
            <v>V144G247</v>
          </cell>
        </row>
        <row r="9724">
          <cell r="D9724" t="str">
            <v>CM8070804494617  Intel Xeon E-2388G</v>
          </cell>
          <cell r="E9724" t="str">
            <v>V144G247</v>
          </cell>
        </row>
        <row r="9725">
          <cell r="D9725" t="str">
            <v>CM8070804494617  Intel Xeon E-2388G</v>
          </cell>
          <cell r="E9725" t="str">
            <v>V144G247</v>
          </cell>
        </row>
        <row r="9726">
          <cell r="D9726" t="str">
            <v>CM8068404174603  Intel Xeon E-2236</v>
          </cell>
          <cell r="E9726" t="str">
            <v>X209L060  U2N11G6801370</v>
          </cell>
        </row>
        <row r="9727">
          <cell r="D9727" t="str">
            <v>CM8068404174603  Intel Xeon E-2236</v>
          </cell>
          <cell r="E9727" t="str">
            <v>X209L060  U2N11G6801649</v>
          </cell>
        </row>
        <row r="9728">
          <cell r="D9728" t="str">
            <v>0F31284</v>
          </cell>
          <cell r="E9728" t="str">
            <v>9LJ7206G</v>
          </cell>
        </row>
        <row r="9729">
          <cell r="D9729" t="str">
            <v>0F31284</v>
          </cell>
          <cell r="E9729" t="str">
            <v>9LJ64G1G</v>
          </cell>
        </row>
        <row r="9730">
          <cell r="D9730" t="str">
            <v>I350T2V2BLK</v>
          </cell>
          <cell r="E9730" t="str">
            <v>0DA268142ADH47819004</v>
          </cell>
        </row>
        <row r="9731">
          <cell r="D9731" t="str">
            <v>I350T2V2BLK</v>
          </cell>
          <cell r="E9731" t="str">
            <v>0DA3C0142ADH47819004</v>
          </cell>
        </row>
        <row r="9732">
          <cell r="D9732" t="str">
            <v>I350T2V2BLK</v>
          </cell>
          <cell r="E9732" t="str">
            <v>0DA400142ADH47819004</v>
          </cell>
        </row>
        <row r="9733">
          <cell r="D9733" t="str">
            <v>I350T2V2BLK</v>
          </cell>
          <cell r="E9733" t="str">
            <v>0DA4B6142ADH47819004</v>
          </cell>
        </row>
        <row r="9734">
          <cell r="D9734" t="str">
            <v>I350T2V2BLK</v>
          </cell>
          <cell r="E9734" t="str">
            <v>0DA4C2142ADH47819004</v>
          </cell>
        </row>
        <row r="9735">
          <cell r="D9735" t="str">
            <v>I350T2V2BLK</v>
          </cell>
          <cell r="E9735" t="str">
            <v>0D9D9C142ADH47819004</v>
          </cell>
        </row>
        <row r="9736">
          <cell r="D9736" t="str">
            <v>I350T2V2BLK</v>
          </cell>
          <cell r="E9736" t="str">
            <v>0DA3DC142ADH47819004</v>
          </cell>
        </row>
        <row r="9737">
          <cell r="D9737" t="str">
            <v>I350T2V2BLK</v>
          </cell>
          <cell r="E9737" t="str">
            <v>0DA3E6142ADH47819004</v>
          </cell>
        </row>
        <row r="9738">
          <cell r="D9738" t="str">
            <v>I350T2V2BLK</v>
          </cell>
          <cell r="E9738" t="str">
            <v>0DA464142ADH47819004</v>
          </cell>
        </row>
        <row r="9739">
          <cell r="D9739" t="str">
            <v>I350T2V2BLK</v>
          </cell>
          <cell r="E9739" t="str">
            <v>0DA49A142ADH47819004</v>
          </cell>
        </row>
        <row r="9740">
          <cell r="D9740" t="str">
            <v>I350T2V2BLK</v>
          </cell>
          <cell r="E9740" t="str">
            <v>0DA026142ADH47819004</v>
          </cell>
        </row>
        <row r="9741">
          <cell r="D9741" t="str">
            <v>I350T2V2BLK</v>
          </cell>
          <cell r="E9741" t="str">
            <v>0DA02C142ADH47819004</v>
          </cell>
        </row>
        <row r="9742">
          <cell r="D9742" t="str">
            <v>I350T2V2BLK</v>
          </cell>
          <cell r="E9742" t="str">
            <v>0DA2FA142ADH47819004</v>
          </cell>
        </row>
        <row r="9743">
          <cell r="D9743" t="str">
            <v>I350T2V2BLK</v>
          </cell>
          <cell r="E9743" t="str">
            <v>0DA300142ADH47819004</v>
          </cell>
        </row>
        <row r="9744">
          <cell r="D9744" t="str">
            <v>I350T2V2BLK</v>
          </cell>
          <cell r="E9744" t="str">
            <v>0DA374142ADH47819004</v>
          </cell>
        </row>
        <row r="9745">
          <cell r="D9745" t="str">
            <v>I350T2V2BLK</v>
          </cell>
          <cell r="E9745" t="str">
            <v>0DA022142ADH47819004</v>
          </cell>
        </row>
        <row r="9746">
          <cell r="D9746" t="str">
            <v>I350T2V2BLK</v>
          </cell>
          <cell r="E9746" t="str">
            <v>0DA2EE142ADH47819004</v>
          </cell>
        </row>
        <row r="9747">
          <cell r="D9747" t="str">
            <v>I350T2V2BLK</v>
          </cell>
          <cell r="E9747" t="str">
            <v>0DA2F2142ADH47819004</v>
          </cell>
        </row>
        <row r="9748">
          <cell r="D9748" t="str">
            <v>I350T2V2BLK</v>
          </cell>
          <cell r="E9748" t="str">
            <v>0DA2F4142ADH47819004</v>
          </cell>
        </row>
        <row r="9749">
          <cell r="D9749" t="str">
            <v>I350T2V2BLK</v>
          </cell>
          <cell r="E9749" t="str">
            <v>0DA496142ADH47819004</v>
          </cell>
        </row>
        <row r="9750">
          <cell r="D9750" t="str">
            <v>I350T2V2BLK</v>
          </cell>
          <cell r="E9750" t="str">
            <v>0DA2FE142ADH47819004</v>
          </cell>
        </row>
        <row r="9751">
          <cell r="D9751" t="str">
            <v>I350T2V2BLK</v>
          </cell>
          <cell r="E9751" t="str">
            <v>0DA312142ADH47819004</v>
          </cell>
        </row>
        <row r="9752">
          <cell r="D9752" t="str">
            <v>I350T2V2BLK</v>
          </cell>
          <cell r="E9752" t="str">
            <v>0DA316142ADH47819004</v>
          </cell>
        </row>
        <row r="9753">
          <cell r="D9753" t="str">
            <v>I350T2V2BLK</v>
          </cell>
          <cell r="E9753" t="str">
            <v>0DA31E142ADH47819004</v>
          </cell>
        </row>
        <row r="9754">
          <cell r="D9754" t="str">
            <v>I350T2V2BLK</v>
          </cell>
          <cell r="E9754" t="str">
            <v>0DA354142ADH47819004</v>
          </cell>
        </row>
        <row r="9755">
          <cell r="D9755" t="str">
            <v>I350T2V2BLK</v>
          </cell>
          <cell r="E9755" t="str">
            <v>0DA2FC142ADH47819004</v>
          </cell>
        </row>
        <row r="9756">
          <cell r="D9756" t="str">
            <v>I350T2V2BLK</v>
          </cell>
          <cell r="E9756" t="str">
            <v>0DA376142ADH47819004</v>
          </cell>
        </row>
        <row r="9757">
          <cell r="D9757" t="str">
            <v>I350T2V2BLK</v>
          </cell>
          <cell r="E9757" t="str">
            <v>0DA37C142ADH47819004</v>
          </cell>
        </row>
        <row r="9758">
          <cell r="D9758" t="str">
            <v>I350T2V2BLK</v>
          </cell>
          <cell r="E9758" t="str">
            <v>0DA380142ADH47819004</v>
          </cell>
        </row>
        <row r="9759">
          <cell r="D9759" t="str">
            <v>I350T2V2BLK</v>
          </cell>
          <cell r="E9759" t="str">
            <v>0DA390142ADH47819004</v>
          </cell>
        </row>
        <row r="9760">
          <cell r="D9760" t="str">
            <v>I350T2V2BLK</v>
          </cell>
          <cell r="E9760" t="str">
            <v>0DA360142ADH47819004</v>
          </cell>
        </row>
        <row r="9761">
          <cell r="D9761" t="str">
            <v>I350T2V2BLK</v>
          </cell>
          <cell r="E9761" t="str">
            <v>0DA378142ADH47819004</v>
          </cell>
        </row>
        <row r="9762">
          <cell r="D9762" t="str">
            <v>I350T2V2BLK</v>
          </cell>
          <cell r="E9762" t="str">
            <v>0DA384142ADH47819004</v>
          </cell>
        </row>
        <row r="9763">
          <cell r="D9763" t="str">
            <v>I350T2V2BLK</v>
          </cell>
          <cell r="E9763" t="str">
            <v>0DA388142ADH47819004</v>
          </cell>
        </row>
        <row r="9764">
          <cell r="D9764" t="str">
            <v>I350T2V2BLK</v>
          </cell>
          <cell r="E9764" t="str">
            <v>0DA38E142ADH47819004</v>
          </cell>
        </row>
        <row r="9765">
          <cell r="D9765" t="str">
            <v>I350T2V2BLK</v>
          </cell>
          <cell r="E9765" t="str">
            <v>0DA0E2142ADH47819004</v>
          </cell>
        </row>
        <row r="9766">
          <cell r="D9766" t="str">
            <v>I350T2V2BLK</v>
          </cell>
          <cell r="E9766" t="str">
            <v>0DA108142ADH47819004</v>
          </cell>
        </row>
        <row r="9767">
          <cell r="D9767" t="str">
            <v>I350T2V2BLK</v>
          </cell>
          <cell r="E9767" t="str">
            <v>0DA11C142ADH47819004</v>
          </cell>
        </row>
        <row r="9768">
          <cell r="D9768" t="str">
            <v>I350T2V2BLK</v>
          </cell>
          <cell r="E9768" t="str">
            <v>0DA27A142ADH47819004</v>
          </cell>
        </row>
        <row r="9769">
          <cell r="D9769" t="str">
            <v>I350T2V2BLK</v>
          </cell>
          <cell r="E9769" t="str">
            <v>0DA27C142ADH47819004</v>
          </cell>
        </row>
        <row r="9770">
          <cell r="D9770" t="str">
            <v>I350T2V2BLK</v>
          </cell>
          <cell r="E9770" t="str">
            <v>0D9DB4142ADH47819004</v>
          </cell>
        </row>
        <row r="9771">
          <cell r="D9771" t="str">
            <v>I350T2V2BLK</v>
          </cell>
          <cell r="E9771" t="str">
            <v>0DA2EA142ADH47819004</v>
          </cell>
        </row>
        <row r="9772">
          <cell r="D9772" t="str">
            <v>I350T2V2BLK</v>
          </cell>
          <cell r="E9772" t="str">
            <v>0DA2EC142ADH47819004</v>
          </cell>
        </row>
        <row r="9773">
          <cell r="D9773" t="str">
            <v>I350T2V2BLK</v>
          </cell>
          <cell r="E9773" t="str">
            <v>0DA2F0142ADH47819004</v>
          </cell>
        </row>
        <row r="9774">
          <cell r="D9774" t="str">
            <v>I350T2V2BLK</v>
          </cell>
          <cell r="E9774" t="str">
            <v>0DA35A142ADH47819004</v>
          </cell>
        </row>
        <row r="9775">
          <cell r="D9775" t="str">
            <v>I350T2V2BLK</v>
          </cell>
          <cell r="E9775" t="str">
            <v>0DA1FE142ADH47819004</v>
          </cell>
        </row>
        <row r="9776">
          <cell r="D9776" t="str">
            <v>I350T2V2BLK</v>
          </cell>
          <cell r="E9776" t="str">
            <v>0DA31C142ADH47819004</v>
          </cell>
        </row>
        <row r="9777">
          <cell r="D9777" t="str">
            <v>I350T2V2BLK</v>
          </cell>
          <cell r="E9777" t="str">
            <v>0DA46E142ADH47819004</v>
          </cell>
        </row>
        <row r="9778">
          <cell r="D9778" t="str">
            <v>I350T2V2BLK</v>
          </cell>
          <cell r="E9778" t="str">
            <v>0DA484142ADH47819004</v>
          </cell>
        </row>
        <row r="9779">
          <cell r="D9779" t="str">
            <v>I350T2V2BLK</v>
          </cell>
          <cell r="E9779" t="str">
            <v>0DA498142ADH47819004</v>
          </cell>
        </row>
        <row r="9780">
          <cell r="D9780" t="str">
            <v>0B42258</v>
          </cell>
          <cell r="E9780" t="str">
            <v>VCK389KP</v>
          </cell>
        </row>
        <row r="9781">
          <cell r="D9781" t="str">
            <v>0B42258</v>
          </cell>
          <cell r="E9781" t="str">
            <v>VCK34W6P</v>
          </cell>
        </row>
        <row r="9782">
          <cell r="D9782" t="str">
            <v>0B42258</v>
          </cell>
          <cell r="E9782" t="str">
            <v>VCJU3X4P</v>
          </cell>
        </row>
        <row r="9783">
          <cell r="D9783" t="str">
            <v>0B42258</v>
          </cell>
          <cell r="E9783" t="str">
            <v>VCK31USP</v>
          </cell>
        </row>
        <row r="9784">
          <cell r="D9784" t="str">
            <v>0B42258</v>
          </cell>
          <cell r="E9784" t="str">
            <v>VCK34SZP</v>
          </cell>
        </row>
        <row r="9785">
          <cell r="D9785" t="str">
            <v>0B42258</v>
          </cell>
          <cell r="E9785" t="str">
            <v>VCK31UGP</v>
          </cell>
        </row>
        <row r="9786">
          <cell r="D9786" t="str">
            <v>0B42258</v>
          </cell>
          <cell r="E9786" t="str">
            <v>VCJV748P</v>
          </cell>
        </row>
        <row r="9787">
          <cell r="D9787" t="str">
            <v>0B42258</v>
          </cell>
          <cell r="E9787" t="str">
            <v>VCK30HZP</v>
          </cell>
        </row>
        <row r="9788">
          <cell r="D9788" t="str">
            <v>0B42258</v>
          </cell>
          <cell r="E9788" t="str">
            <v>VCK34KVP</v>
          </cell>
        </row>
        <row r="9789">
          <cell r="D9789" t="str">
            <v>0B42258</v>
          </cell>
          <cell r="E9789" t="str">
            <v>VCK3804P</v>
          </cell>
        </row>
        <row r="9790">
          <cell r="D9790" t="str">
            <v>0B42258</v>
          </cell>
          <cell r="E9790" t="str">
            <v>VCK2VKUP</v>
          </cell>
        </row>
        <row r="9791">
          <cell r="D9791" t="str">
            <v>0B42258</v>
          </cell>
          <cell r="E9791" t="str">
            <v>VCK1457P</v>
          </cell>
        </row>
        <row r="9792">
          <cell r="D9792" t="str">
            <v>0B42258</v>
          </cell>
          <cell r="E9792" t="str">
            <v>VCK38AXP</v>
          </cell>
        </row>
        <row r="9793">
          <cell r="D9793" t="str">
            <v>0B42258</v>
          </cell>
          <cell r="E9793" t="str">
            <v>VCK311JP</v>
          </cell>
        </row>
        <row r="9794">
          <cell r="D9794" t="str">
            <v>0B42258</v>
          </cell>
          <cell r="E9794" t="str">
            <v>VCK37ZBP</v>
          </cell>
        </row>
        <row r="9795">
          <cell r="D9795" t="str">
            <v>0B42258</v>
          </cell>
          <cell r="E9795" t="str">
            <v>VCK37XVP</v>
          </cell>
        </row>
        <row r="9796">
          <cell r="D9796" t="str">
            <v>0B42258</v>
          </cell>
          <cell r="E9796" t="str">
            <v>VCK311BP</v>
          </cell>
        </row>
        <row r="9797">
          <cell r="D9797" t="str">
            <v>0B42258</v>
          </cell>
          <cell r="E9797" t="str">
            <v>VCJN246P</v>
          </cell>
        </row>
        <row r="9798">
          <cell r="D9798" t="str">
            <v>0B42258</v>
          </cell>
          <cell r="E9798" t="str">
            <v>VCK37ZGP</v>
          </cell>
        </row>
        <row r="9799">
          <cell r="D9799" t="str">
            <v>0B42258</v>
          </cell>
          <cell r="E9799" t="str">
            <v>VCK389EP</v>
          </cell>
        </row>
        <row r="9800">
          <cell r="D9800" t="str">
            <v>0B42258</v>
          </cell>
          <cell r="E9800" t="str">
            <v>VCK3586P</v>
          </cell>
        </row>
        <row r="9801">
          <cell r="D9801" t="str">
            <v>0B42258</v>
          </cell>
          <cell r="E9801" t="str">
            <v>VCK15KKP</v>
          </cell>
        </row>
        <row r="9802">
          <cell r="D9802" t="str">
            <v>0B42258</v>
          </cell>
          <cell r="E9802" t="str">
            <v>VCK357EP</v>
          </cell>
        </row>
        <row r="9803">
          <cell r="D9803" t="str">
            <v>0B42258</v>
          </cell>
          <cell r="E9803" t="str">
            <v>VCK382XP</v>
          </cell>
        </row>
        <row r="9804">
          <cell r="D9804" t="str">
            <v>0B42258</v>
          </cell>
          <cell r="E9804" t="str">
            <v>VCK37LWP</v>
          </cell>
        </row>
        <row r="9805">
          <cell r="D9805" t="str">
            <v>0B42258</v>
          </cell>
          <cell r="E9805" t="str">
            <v>VCK37ZWP</v>
          </cell>
        </row>
        <row r="9806">
          <cell r="D9806" t="str">
            <v>0B42258</v>
          </cell>
          <cell r="E9806" t="str">
            <v>VCK31ULP</v>
          </cell>
        </row>
        <row r="9807">
          <cell r="D9807" t="str">
            <v>0B42258</v>
          </cell>
          <cell r="E9807" t="str">
            <v>VCK30JJP</v>
          </cell>
        </row>
        <row r="9808">
          <cell r="D9808" t="str">
            <v>0B42258</v>
          </cell>
          <cell r="E9808" t="str">
            <v>VCK0RDAP</v>
          </cell>
        </row>
        <row r="9809">
          <cell r="D9809" t="str">
            <v>0B42258</v>
          </cell>
          <cell r="E9809" t="str">
            <v>VCK388AP</v>
          </cell>
        </row>
        <row r="9810">
          <cell r="D9810" t="str">
            <v>0B42258</v>
          </cell>
          <cell r="E9810" t="str">
            <v>VCK356JP</v>
          </cell>
        </row>
        <row r="9811">
          <cell r="D9811" t="str">
            <v>0B42258</v>
          </cell>
          <cell r="E9811" t="str">
            <v>VCJW9YBP</v>
          </cell>
        </row>
        <row r="9812">
          <cell r="D9812" t="str">
            <v>AOC-S3008L-L8E</v>
          </cell>
          <cell r="E9812" t="str">
            <v>VA21BS027410</v>
          </cell>
        </row>
        <row r="9813">
          <cell r="D9813" t="str">
            <v>MZ-V7S2T0</v>
          </cell>
          <cell r="E9813" t="str">
            <v>S4J4NM0RB06911</v>
          </cell>
          <cell r="K9813" t="str">
            <v>SO/2022/006979/A 2z2 BERKOM</v>
          </cell>
        </row>
        <row r="9814">
          <cell r="D9814" t="str">
            <v>MZ-V7S2T0</v>
          </cell>
          <cell r="E9814" t="str">
            <v>S4J4NM0RB07135</v>
          </cell>
          <cell r="K9814" t="str">
            <v>SO/2022/006979/A 1z2 BERKOM</v>
          </cell>
        </row>
        <row r="9815">
          <cell r="D9815" t="str">
            <v>0B35950</v>
          </cell>
          <cell r="E9815" t="str">
            <v>VBH97P3H</v>
          </cell>
        </row>
        <row r="9816">
          <cell r="D9816" t="str">
            <v>0B35950</v>
          </cell>
          <cell r="E9816" t="str">
            <v>VBH976WH</v>
          </cell>
        </row>
        <row r="9817">
          <cell r="D9817" t="str">
            <v>0B35950</v>
          </cell>
          <cell r="E9817" t="str">
            <v>VBH98AEH</v>
          </cell>
        </row>
        <row r="9818">
          <cell r="D9818" t="str">
            <v>0B36040</v>
          </cell>
          <cell r="E9818" t="str">
            <v>V3GA2XEL</v>
          </cell>
          <cell r="K9818" t="str">
            <v>SO/2022/006979/A 2z2 BERKOM</v>
          </cell>
        </row>
        <row r="9819">
          <cell r="D9819" t="str">
            <v>0B36040</v>
          </cell>
          <cell r="E9819" t="str">
            <v>V3GA469L</v>
          </cell>
          <cell r="K9819" t="str">
            <v>SO/2022/006979/A 1z2 BERKOM</v>
          </cell>
        </row>
        <row r="9820">
          <cell r="D9820" t="str">
            <v>SAS 9341-4i  05-26105-00</v>
          </cell>
          <cell r="E9820" t="str">
            <v>SPB2700485</v>
          </cell>
        </row>
        <row r="9821">
          <cell r="D9821" t="str">
            <v>SAS 9341-4i  05-26105-00</v>
          </cell>
          <cell r="E9821" t="str">
            <v>SPB2700756</v>
          </cell>
        </row>
        <row r="9822">
          <cell r="D9822" t="str">
            <v>SAS 9341-4i  05-26105-00</v>
          </cell>
          <cell r="E9822" t="str">
            <v>SPB2700780</v>
          </cell>
        </row>
        <row r="9823">
          <cell r="D9823" t="str">
            <v>SAS 9341-4i  05-26105-00</v>
          </cell>
          <cell r="E9823" t="str">
            <v>SPB2700752</v>
          </cell>
        </row>
        <row r="9824">
          <cell r="D9824" t="str">
            <v>SAS 9341-4i  05-26105-00</v>
          </cell>
          <cell r="E9824" t="str">
            <v>SPB2700774</v>
          </cell>
        </row>
        <row r="9825">
          <cell r="D9825" t="str">
            <v>SAS 9341-4i  05-26105-00</v>
          </cell>
          <cell r="E9825" t="str">
            <v>SPB2700480</v>
          </cell>
        </row>
        <row r="9826">
          <cell r="D9826" t="str">
            <v>SAS 9341-4i  05-26105-00</v>
          </cell>
          <cell r="E9826" t="str">
            <v>SPB2801001</v>
          </cell>
        </row>
        <row r="9827">
          <cell r="D9827" t="str">
            <v>SAS 9341-4i  05-26105-00</v>
          </cell>
          <cell r="E9827" t="str">
            <v>SPB2801223</v>
          </cell>
        </row>
        <row r="9828">
          <cell r="D9828" t="str">
            <v>SAS 9341-4i  05-26105-00</v>
          </cell>
          <cell r="E9828" t="str">
            <v>SPB2701059</v>
          </cell>
        </row>
        <row r="9829">
          <cell r="D9829" t="str">
            <v>SAS 9341-4i  05-26105-00</v>
          </cell>
          <cell r="E9829" t="str">
            <v>SPB2801212</v>
          </cell>
        </row>
        <row r="9830">
          <cell r="D9830" t="str">
            <v>SSG-6049P-E1CR36H</v>
          </cell>
          <cell r="E9830" t="str">
            <v>A287680X2310082</v>
          </cell>
        </row>
        <row r="9831">
          <cell r="D9831" t="str">
            <v>CSE</v>
          </cell>
          <cell r="E9831" t="str">
            <v>C8470FL03P20169</v>
          </cell>
        </row>
        <row r="9832">
          <cell r="D9832" t="str">
            <v>PWS</v>
          </cell>
          <cell r="E9832" t="str">
            <v>P1K2ACM05SB2534</v>
          </cell>
        </row>
        <row r="9833">
          <cell r="D9833" t="str">
            <v>PWS</v>
          </cell>
          <cell r="E9833" t="str">
            <v>P1K2ACM05SB2535</v>
          </cell>
        </row>
        <row r="9834">
          <cell r="D9834" t="str">
            <v>MBD</v>
          </cell>
          <cell r="E9834" t="str">
            <v>ZM219S017886</v>
          </cell>
        </row>
        <row r="9835">
          <cell r="D9835" t="str">
            <v>BPN</v>
          </cell>
          <cell r="E9835" t="str">
            <v>HB221S046528</v>
          </cell>
        </row>
        <row r="9836">
          <cell r="D9836" t="str">
            <v>BPN</v>
          </cell>
          <cell r="E9836" t="str">
            <v>HB221S017169</v>
          </cell>
        </row>
        <row r="9837">
          <cell r="D9837" t="str">
            <v>AOC</v>
          </cell>
          <cell r="E9837" t="str">
            <v>VA21CS038899</v>
          </cell>
        </row>
        <row r="9838">
          <cell r="D9838" t="str">
            <v>AOC</v>
          </cell>
          <cell r="E9838" t="str">
            <v>JA21BS000494</v>
          </cell>
        </row>
        <row r="9839">
          <cell r="D9839" t="str">
            <v>SSG-6049P-E1CR36H</v>
          </cell>
          <cell r="E9839" t="str">
            <v>A287680X2310076</v>
          </cell>
        </row>
        <row r="9840">
          <cell r="D9840" t="str">
            <v>CSE</v>
          </cell>
          <cell r="E9840" t="str">
            <v>C8470FL03P20074</v>
          </cell>
        </row>
        <row r="9841">
          <cell r="D9841" t="str">
            <v>PWS</v>
          </cell>
          <cell r="E9841" t="str">
            <v>P1K2ACM05SB2549</v>
          </cell>
        </row>
        <row r="9842">
          <cell r="D9842" t="str">
            <v>PWS</v>
          </cell>
          <cell r="E9842" t="str">
            <v>P1K2ACM05SB2548</v>
          </cell>
        </row>
        <row r="9843">
          <cell r="D9843" t="str">
            <v>MBD</v>
          </cell>
          <cell r="E9843" t="str">
            <v>ZM219S015905</v>
          </cell>
        </row>
        <row r="9844">
          <cell r="D9844" t="str">
            <v>BPN</v>
          </cell>
          <cell r="E9844" t="str">
            <v>HB21CS007691</v>
          </cell>
        </row>
        <row r="9845">
          <cell r="D9845" t="str">
            <v>BPN</v>
          </cell>
          <cell r="E9845" t="str">
            <v>HB221S007356</v>
          </cell>
        </row>
        <row r="9846">
          <cell r="D9846" t="str">
            <v>AOC</v>
          </cell>
          <cell r="E9846" t="str">
            <v>VA21CS038916</v>
          </cell>
        </row>
        <row r="9847">
          <cell r="D9847" t="str">
            <v>AOC</v>
          </cell>
          <cell r="E9847" t="str">
            <v>JA21BS000445</v>
          </cell>
        </row>
        <row r="9848">
          <cell r="D9848" t="str">
            <v>SSG-6049P-E1CR36H</v>
          </cell>
          <cell r="E9848" t="str">
            <v>A287680X2310085</v>
          </cell>
        </row>
        <row r="9849">
          <cell r="D9849" t="str">
            <v>CSE</v>
          </cell>
          <cell r="E9849" t="str">
            <v>C8470FL03P20065</v>
          </cell>
        </row>
        <row r="9850">
          <cell r="D9850" t="str">
            <v>PWS</v>
          </cell>
          <cell r="E9850" t="str">
            <v>P1K2ACM05SB2537</v>
          </cell>
        </row>
        <row r="9851">
          <cell r="D9851" t="str">
            <v>PWS</v>
          </cell>
          <cell r="E9851" t="str">
            <v>P1K2ACM05SB2536</v>
          </cell>
        </row>
        <row r="9852">
          <cell r="D9852" t="str">
            <v>MBD</v>
          </cell>
          <cell r="E9852" t="str">
            <v>ZM219S015866</v>
          </cell>
        </row>
        <row r="9853">
          <cell r="D9853" t="str">
            <v>BPN</v>
          </cell>
          <cell r="E9853" t="str">
            <v>HB221S046529</v>
          </cell>
        </row>
        <row r="9854">
          <cell r="D9854" t="str">
            <v>BPN</v>
          </cell>
          <cell r="E9854" t="str">
            <v>HB221S017170</v>
          </cell>
        </row>
        <row r="9855">
          <cell r="D9855" t="str">
            <v>AOC</v>
          </cell>
          <cell r="E9855" t="str">
            <v>VA21CS038904</v>
          </cell>
        </row>
        <row r="9856">
          <cell r="D9856" t="str">
            <v>AOC</v>
          </cell>
          <cell r="E9856" t="str">
            <v>JA21BS000458</v>
          </cell>
        </row>
        <row r="9857">
          <cell r="D9857" t="str">
            <v>SYS-7049P-TRT</v>
          </cell>
          <cell r="E9857" t="str">
            <v>E264438X2200100</v>
          </cell>
          <cell r="K9857" t="str">
            <v>3 lata gwarancji</v>
          </cell>
        </row>
        <row r="9858">
          <cell r="D9858" t="str">
            <v>CSE</v>
          </cell>
          <cell r="E9858" t="str">
            <v>C7450FK35P30167</v>
          </cell>
        </row>
        <row r="9859">
          <cell r="D9859" t="str">
            <v>PWS</v>
          </cell>
          <cell r="E9859" t="str">
            <v>P1K2QCM02OB1181</v>
          </cell>
        </row>
        <row r="9860">
          <cell r="D9860" t="str">
            <v>PWS</v>
          </cell>
          <cell r="E9860" t="str">
            <v>P1K2QCM02OB1182</v>
          </cell>
        </row>
        <row r="9861">
          <cell r="D9861" t="str">
            <v>BPN</v>
          </cell>
          <cell r="E9861" t="str">
            <v>PB21BS008695</v>
          </cell>
        </row>
        <row r="9862">
          <cell r="D9862" t="str">
            <v>MBD</v>
          </cell>
          <cell r="E9862" t="str">
            <v>NM21CS001180</v>
          </cell>
        </row>
        <row r="9863">
          <cell r="D9863" t="str">
            <v>CPU</v>
          </cell>
          <cell r="E9863" t="str">
            <v>M1FK136800824</v>
          </cell>
        </row>
        <row r="9864">
          <cell r="D9864" t="str">
            <v>MEM</v>
          </cell>
          <cell r="E9864" t="str">
            <v>80AD02215225DFF90F</v>
          </cell>
        </row>
        <row r="9865">
          <cell r="D9865" t="str">
            <v>MEM</v>
          </cell>
          <cell r="E9865" t="str">
            <v>80AD02215225DFF8CD</v>
          </cell>
        </row>
        <row r="9866">
          <cell r="D9866" t="str">
            <v>MEM</v>
          </cell>
          <cell r="E9866" t="str">
            <v>80AD02215225DFF914</v>
          </cell>
        </row>
        <row r="9867">
          <cell r="D9867" t="str">
            <v>MEM</v>
          </cell>
          <cell r="E9867" t="str">
            <v>80AD02215225DFF9E6</v>
          </cell>
        </row>
        <row r="9868">
          <cell r="D9868" t="str">
            <v>HDD</v>
          </cell>
          <cell r="E9868" t="str">
            <v>WS23MY03</v>
          </cell>
        </row>
        <row r="9869">
          <cell r="D9869" t="str">
            <v>HDD</v>
          </cell>
          <cell r="E9869" t="str">
            <v>WS23Q37B</v>
          </cell>
        </row>
        <row r="9870">
          <cell r="D9870" t="str">
            <v>HDD</v>
          </cell>
          <cell r="E9870" t="str">
            <v>WS23PJYF</v>
          </cell>
        </row>
        <row r="9871">
          <cell r="D9871" t="str">
            <v>HDD</v>
          </cell>
          <cell r="E9871" t="str">
            <v>WS23LA3G</v>
          </cell>
        </row>
        <row r="9872">
          <cell r="D9872" t="str">
            <v>AOC</v>
          </cell>
          <cell r="E9872" t="str">
            <v>VA21BS027412</v>
          </cell>
        </row>
        <row r="9873">
          <cell r="D9873" t="str">
            <v>SYS-110C-FHN4T</v>
          </cell>
          <cell r="E9873" t="str">
            <v>S455515X2319364</v>
          </cell>
          <cell r="K9873" t="str">
            <v>3 lata gwarancji</v>
          </cell>
        </row>
        <row r="9874">
          <cell r="D9874" t="str">
            <v>CSE</v>
          </cell>
          <cell r="E9874" t="str">
            <v>C5100DJ49R70089</v>
          </cell>
        </row>
        <row r="9875">
          <cell r="D9875" t="str">
            <v>PWS</v>
          </cell>
          <cell r="E9875" t="str">
            <v>P20310K38F89966</v>
          </cell>
        </row>
        <row r="9876">
          <cell r="D9876" t="str">
            <v>BPN</v>
          </cell>
          <cell r="E9876" t="str">
            <v>EB213S003371</v>
          </cell>
        </row>
        <row r="9877">
          <cell r="D9877" t="str">
            <v>MBD</v>
          </cell>
          <cell r="E9877" t="str">
            <v>UM222S002988</v>
          </cell>
        </row>
        <row r="9878">
          <cell r="D9878" t="str">
            <v>RSC</v>
          </cell>
          <cell r="E9878" t="str">
            <v>UR21BS006726</v>
          </cell>
        </row>
        <row r="9879">
          <cell r="D9879" t="str">
            <v>CPU</v>
          </cell>
          <cell r="E9879" t="str">
            <v>U2J07B1204893</v>
          </cell>
        </row>
        <row r="9880">
          <cell r="D9880" t="str">
            <v>MEM</v>
          </cell>
          <cell r="E9880" t="str">
            <v>80AD01220795E6DCD1</v>
          </cell>
        </row>
        <row r="9881">
          <cell r="D9881" t="str">
            <v>MEM</v>
          </cell>
          <cell r="E9881" t="str">
            <v>80AD0121459590CF6B</v>
          </cell>
        </row>
        <row r="9882">
          <cell r="D9882" t="str">
            <v>MEM</v>
          </cell>
          <cell r="E9882" t="str">
            <v>80AD0121459590CF7B</v>
          </cell>
        </row>
        <row r="9883">
          <cell r="D9883" t="str">
            <v>MEM</v>
          </cell>
          <cell r="E9883" t="str">
            <v>80AD0121459590CFB1</v>
          </cell>
        </row>
        <row r="9884">
          <cell r="D9884" t="str">
            <v>HDS</v>
          </cell>
          <cell r="E9884" t="str">
            <v>S665NE0RC01749</v>
          </cell>
        </row>
        <row r="9885">
          <cell r="D9885" t="str">
            <v>SYS-110C-FHN4T</v>
          </cell>
          <cell r="E9885" t="str">
            <v>S455515X2319383</v>
          </cell>
          <cell r="K9885" t="str">
            <v>3 lata gwarancji</v>
          </cell>
        </row>
        <row r="9886">
          <cell r="D9886" t="str">
            <v>CSE</v>
          </cell>
          <cell r="E9886" t="str">
            <v>C5100DJ49R70015</v>
          </cell>
        </row>
        <row r="9887">
          <cell r="D9887" t="str">
            <v>PWS</v>
          </cell>
          <cell r="E9887" t="str">
            <v>P20310K38F89959</v>
          </cell>
        </row>
        <row r="9888">
          <cell r="D9888" t="str">
            <v>BPN</v>
          </cell>
          <cell r="E9888" t="str">
            <v>EB213S003364</v>
          </cell>
        </row>
        <row r="9889">
          <cell r="D9889" t="str">
            <v>MBD</v>
          </cell>
          <cell r="E9889" t="str">
            <v>UM222S002994</v>
          </cell>
        </row>
        <row r="9890">
          <cell r="D9890" t="str">
            <v>RSC</v>
          </cell>
          <cell r="E9890" t="str">
            <v>UR21BS006715</v>
          </cell>
        </row>
        <row r="9891">
          <cell r="D9891" t="str">
            <v>CPU</v>
          </cell>
          <cell r="E9891" t="str">
            <v>U2J07B1202290</v>
          </cell>
        </row>
        <row r="9892">
          <cell r="D9892" t="str">
            <v>MEM</v>
          </cell>
          <cell r="E9892" t="str">
            <v>80AD01220795E6DCD3</v>
          </cell>
        </row>
        <row r="9893">
          <cell r="D9893" t="str">
            <v>MEM</v>
          </cell>
          <cell r="E9893" t="str">
            <v>80AD01220795E6DCD2</v>
          </cell>
        </row>
        <row r="9894">
          <cell r="D9894" t="str">
            <v>MEM</v>
          </cell>
          <cell r="E9894" t="str">
            <v>80AD01220795E6DCA0</v>
          </cell>
        </row>
        <row r="9895">
          <cell r="D9895" t="str">
            <v>MEM</v>
          </cell>
          <cell r="E9895" t="str">
            <v>80AD01220795E6DC53</v>
          </cell>
        </row>
        <row r="9896">
          <cell r="D9896" t="str">
            <v>HDS</v>
          </cell>
          <cell r="E9896" t="str">
            <v>S665NE0RC01798</v>
          </cell>
        </row>
        <row r="9897">
          <cell r="D9897" t="str">
            <v>CSE-813MFTQC-350CB2</v>
          </cell>
          <cell r="E9897" t="str">
            <v>C813MLK42P60182</v>
          </cell>
        </row>
        <row r="9898">
          <cell r="D9898" t="str">
            <v>CSE-813MFTQC-350CB2</v>
          </cell>
          <cell r="E9898" t="str">
            <v>C813MLK42P60181</v>
          </cell>
        </row>
        <row r="9899">
          <cell r="D9899" t="str">
            <v>CSE-825TQ-600LPB</v>
          </cell>
          <cell r="E9899" t="str">
            <v>C8250FK29P30243</v>
          </cell>
        </row>
        <row r="9900">
          <cell r="D9900" t="str">
            <v>CSE-825TQ-600LPB</v>
          </cell>
          <cell r="E9900" t="str">
            <v>C8250FK29P30236</v>
          </cell>
        </row>
        <row r="9901">
          <cell r="D9901" t="str">
            <v>CSE-825TQ-600LPB</v>
          </cell>
          <cell r="E9901" t="str">
            <v>C8250FK29P30244</v>
          </cell>
        </row>
        <row r="9902">
          <cell r="D9902" t="str">
            <v>P4X-UPE2246G-SRF7N</v>
          </cell>
          <cell r="E9902" t="str">
            <v>U2TC541202640</v>
          </cell>
          <cell r="K9902" t="str">
            <v>SO/2022/005939/A 2z2</v>
          </cell>
        </row>
        <row r="9903">
          <cell r="D9903" t="str">
            <v>MBD-X11SCW-F-B</v>
          </cell>
          <cell r="E9903" t="str">
            <v>ZM21AS018750</v>
          </cell>
        </row>
        <row r="9904">
          <cell r="D9904" t="str">
            <v>MBD-X11SCW-F-B</v>
          </cell>
          <cell r="E9904" t="str">
            <v>ZM21AS019152</v>
          </cell>
        </row>
        <row r="9905">
          <cell r="D9905" t="str">
            <v>RSC-RR1U-E8</v>
          </cell>
          <cell r="E9905" t="str">
            <v>VR216S006472</v>
          </cell>
        </row>
        <row r="9906">
          <cell r="D9906" t="str">
            <v>RSC-RR1U-E8</v>
          </cell>
          <cell r="E9906" t="str">
            <v>VR216S006473</v>
          </cell>
        </row>
        <row r="9907">
          <cell r="D9907" t="str">
            <v>RSC-RR1U-E8</v>
          </cell>
          <cell r="E9907" t="str">
            <v>VR216S006470</v>
          </cell>
        </row>
        <row r="9908">
          <cell r="D9908" t="str">
            <v>RSC-RR1U-E8</v>
          </cell>
          <cell r="E9908" t="str">
            <v>VR216S006468</v>
          </cell>
        </row>
        <row r="9909">
          <cell r="D9909" t="str">
            <v>RSC-RR1U-E8</v>
          </cell>
          <cell r="E9909" t="str">
            <v>VR216S006471</v>
          </cell>
        </row>
        <row r="9910">
          <cell r="D9910" t="str">
            <v>AOC-SLG3-2M2-O</v>
          </cell>
          <cell r="E9910" t="str">
            <v>VA218S000006</v>
          </cell>
        </row>
        <row r="9911">
          <cell r="D9911" t="str">
            <v>AOC-SLG3-2M2-O</v>
          </cell>
          <cell r="E9911" t="str">
            <v>VA215S006389</v>
          </cell>
        </row>
        <row r="9912">
          <cell r="D9912" t="str">
            <v>AOC-SLG3-2M2-O</v>
          </cell>
          <cell r="E9912" t="str">
            <v>VA218S000005</v>
          </cell>
        </row>
        <row r="9913">
          <cell r="D9913" t="str">
            <v>AOC-SLG3-2M2-O</v>
          </cell>
          <cell r="E9913" t="str">
            <v>VA216S001871</v>
          </cell>
        </row>
        <row r="9914">
          <cell r="D9914" t="str">
            <v>AOC-SLG3-2M2-O</v>
          </cell>
          <cell r="E9914" t="str">
            <v>VA215S006391</v>
          </cell>
        </row>
        <row r="9915">
          <cell r="D9915" t="str">
            <v>RSC-W-68G4</v>
          </cell>
          <cell r="E9915" t="str">
            <v>WR221S007774</v>
          </cell>
        </row>
        <row r="9916">
          <cell r="D9916" t="str">
            <v>AOC-SGP-I2</v>
          </cell>
          <cell r="E9916" t="str">
            <v>VA21BS002292</v>
          </cell>
        </row>
        <row r="9917">
          <cell r="D9917" t="str">
            <v>AOC-SGP-I2</v>
          </cell>
          <cell r="E9917" t="str">
            <v>VA21BS002006</v>
          </cell>
        </row>
        <row r="9918">
          <cell r="D9918" t="str">
            <v>AOC-SGP-I2</v>
          </cell>
          <cell r="E9918" t="str">
            <v>VA21BS000781</v>
          </cell>
        </row>
        <row r="9919">
          <cell r="D9919" t="str">
            <v>Intel Xeon Silver 4114</v>
          </cell>
          <cell r="E9919" t="str">
            <v>7928W2U800500</v>
          </cell>
        </row>
        <row r="9920">
          <cell r="D9920" t="str">
            <v>MegaRaid 9361-4i  05-25420-10</v>
          </cell>
          <cell r="E9920" t="str">
            <v>SK01365230</v>
          </cell>
        </row>
        <row r="9921">
          <cell r="D9921" t="str">
            <v>0B35915</v>
          </cell>
          <cell r="E9921" t="str">
            <v>V1KSXAEG</v>
          </cell>
        </row>
        <row r="9922">
          <cell r="D9922" t="str">
            <v>0B35915</v>
          </cell>
          <cell r="E9922" t="str">
            <v>V1KT1Z0G</v>
          </cell>
        </row>
        <row r="9923">
          <cell r="D9923" t="str">
            <v>0B35915</v>
          </cell>
          <cell r="E9923" t="str">
            <v>V1KT3U5G</v>
          </cell>
        </row>
        <row r="9924">
          <cell r="D9924" t="str">
            <v>0B35915</v>
          </cell>
          <cell r="E9924" t="str">
            <v>V1KT3T8G</v>
          </cell>
        </row>
        <row r="9925">
          <cell r="D9925" t="str">
            <v>0B35915</v>
          </cell>
          <cell r="E9925" t="str">
            <v>V1KT2G3G</v>
          </cell>
        </row>
        <row r="9926">
          <cell r="D9926" t="str">
            <v>0B35915</v>
          </cell>
          <cell r="E9926" t="str">
            <v>V1KSW3GG</v>
          </cell>
        </row>
        <row r="9927">
          <cell r="D9927" t="str">
            <v>0B35915</v>
          </cell>
          <cell r="E9927" t="str">
            <v>V1KSW37G</v>
          </cell>
        </row>
        <row r="9928">
          <cell r="D9928" t="str">
            <v>0B35915</v>
          </cell>
          <cell r="E9928" t="str">
            <v>V1KT4TSG</v>
          </cell>
        </row>
        <row r="9929">
          <cell r="D9929" t="str">
            <v>0B35915</v>
          </cell>
          <cell r="E9929" t="str">
            <v>V1KT58AG</v>
          </cell>
        </row>
        <row r="9930">
          <cell r="D9930" t="str">
            <v>0B35915</v>
          </cell>
          <cell r="E9930" t="str">
            <v>V1KSXVUG</v>
          </cell>
        </row>
        <row r="9931">
          <cell r="D9931" t="str">
            <v>MBD-X11SCL-F-B</v>
          </cell>
          <cell r="E9931" t="str">
            <v>VM221s005284</v>
          </cell>
        </row>
        <row r="9932">
          <cell r="D9932" t="str">
            <v>MBD-X11SCL-F-B</v>
          </cell>
          <cell r="E9932" t="str">
            <v>VM221S005285</v>
          </cell>
        </row>
        <row r="9933">
          <cell r="D9933" t="str">
            <v>CM8070804494617  Intel Xeon E-2388G</v>
          </cell>
          <cell r="E9933" t="str">
            <v>V144H920</v>
          </cell>
        </row>
        <row r="9934">
          <cell r="D9934" t="str">
            <v>CM8070804494617  Intel Xeon E-2388G</v>
          </cell>
          <cell r="E9934" t="str">
            <v>V144H920</v>
          </cell>
        </row>
        <row r="9935">
          <cell r="D9935" t="str">
            <v>CM8070804494617  Intel Xeon E-2388G</v>
          </cell>
          <cell r="E9935" t="str">
            <v>V144H920</v>
          </cell>
        </row>
        <row r="9936">
          <cell r="D9936" t="str">
            <v>CM8070804494617  Intel Xeon E-2388G</v>
          </cell>
          <cell r="E9936" t="str">
            <v>V144H920</v>
          </cell>
        </row>
        <row r="9937">
          <cell r="D9937" t="str">
            <v>CM8070804494617  Intel Xeon E-2388G</v>
          </cell>
          <cell r="E9937" t="str">
            <v>V144H920</v>
          </cell>
        </row>
        <row r="9938">
          <cell r="D9938" t="str">
            <v>CM8070804494617  Intel Xeon E-2388G</v>
          </cell>
          <cell r="E9938" t="str">
            <v>V144G247</v>
          </cell>
        </row>
        <row r="9939">
          <cell r="D9939" t="str">
            <v>CM8070804494617  Intel Xeon E-2388G</v>
          </cell>
          <cell r="E9939" t="str">
            <v>V144G247</v>
          </cell>
        </row>
        <row r="9940">
          <cell r="D9940" t="str">
            <v>CM8070804494617  Intel Xeon E-2388G</v>
          </cell>
          <cell r="E9940" t="str">
            <v>V144G247</v>
          </cell>
        </row>
        <row r="9941">
          <cell r="D9941" t="str">
            <v>CM8070804494617  Intel Xeon E-2388G</v>
          </cell>
          <cell r="E9941" t="str">
            <v>V144G247</v>
          </cell>
        </row>
        <row r="9942">
          <cell r="D9942" t="str">
            <v>CM8070804494617  Intel Xeon E-2388G</v>
          </cell>
          <cell r="E9942" t="str">
            <v>V144G247</v>
          </cell>
        </row>
        <row r="9943">
          <cell r="D9943" t="str">
            <v>EPC621D8A</v>
          </cell>
          <cell r="E9943" t="str">
            <v>EBS0XW012193</v>
          </cell>
        </row>
        <row r="9944">
          <cell r="D9944" t="str">
            <v>B550D4-4L</v>
          </cell>
          <cell r="E9944" t="str">
            <v>F3S0XW008507</v>
          </cell>
        </row>
        <row r="9945">
          <cell r="D9945" t="str">
            <v>Intel Xeon W-2245</v>
          </cell>
          <cell r="E9945" t="str">
            <v>M2YE785301932</v>
          </cell>
          <cell r="K9945" t="str">
            <v>SO/2022/006979/A 1z2 BERKOM</v>
          </cell>
        </row>
        <row r="9946">
          <cell r="D9946" t="str">
            <v>Intel Xeon W-2245</v>
          </cell>
          <cell r="E9946" t="str">
            <v>M2YE785302245</v>
          </cell>
          <cell r="K9946" t="str">
            <v>SO/2022/006979/A 2z2 BERKOM</v>
          </cell>
        </row>
        <row r="9947">
          <cell r="D9947" t="str">
            <v>MZ7KH240HAHQ-00005</v>
          </cell>
          <cell r="E9947" t="str">
            <v>S47LNA0T307959</v>
          </cell>
        </row>
        <row r="9948">
          <cell r="D9948" t="str">
            <v>MZ7KH240HAHQ-00005</v>
          </cell>
          <cell r="E9948" t="str">
            <v>S47LNA0T307963</v>
          </cell>
        </row>
        <row r="9949">
          <cell r="D9949" t="str">
            <v>MZ7KH240HAHQ-00005</v>
          </cell>
          <cell r="E9949" t="str">
            <v>S47LNA0T307970</v>
          </cell>
        </row>
        <row r="9950">
          <cell r="D9950" t="str">
            <v>MZ7KH240HAHQ-00005</v>
          </cell>
          <cell r="E9950" t="str">
            <v>S47LNA0T307971</v>
          </cell>
        </row>
        <row r="9951">
          <cell r="D9951" t="str">
            <v>MZ7KH240HAHQ-00005</v>
          </cell>
          <cell r="E9951" t="str">
            <v>S47LNA0T307972</v>
          </cell>
        </row>
        <row r="9952">
          <cell r="D9952" t="str">
            <v>MZ7KH240HAHQ-00005</v>
          </cell>
          <cell r="E9952" t="str">
            <v>S47LNA0T307973</v>
          </cell>
        </row>
        <row r="9953">
          <cell r="D9953" t="str">
            <v>MZ7KH240HAHQ-00005</v>
          </cell>
          <cell r="E9953" t="str">
            <v>S47LNA0T307974</v>
          </cell>
        </row>
        <row r="9954">
          <cell r="D9954" t="str">
            <v>MZ7KH240HAHQ-00005</v>
          </cell>
          <cell r="E9954" t="str">
            <v>S47LNA0T307975</v>
          </cell>
        </row>
        <row r="9955">
          <cell r="D9955" t="str">
            <v>MZ7KH240HAHQ-00005</v>
          </cell>
          <cell r="E9955" t="str">
            <v>S47LNA0T307979</v>
          </cell>
        </row>
        <row r="9956">
          <cell r="D9956" t="str">
            <v>MZ7KH240HAHQ-00005</v>
          </cell>
          <cell r="E9956" t="str">
            <v>S47LNA0T307980</v>
          </cell>
        </row>
        <row r="9957">
          <cell r="D9957" t="str">
            <v>MZ7KH240HAHQ-00005</v>
          </cell>
          <cell r="E9957" t="str">
            <v>S47LNA0T307976</v>
          </cell>
        </row>
        <row r="9958">
          <cell r="D9958" t="str">
            <v>MZ7KH240HAHQ-00005</v>
          </cell>
          <cell r="E9958" t="str">
            <v>S47LNA0T307977</v>
          </cell>
        </row>
        <row r="9959">
          <cell r="D9959" t="str">
            <v>MZ7KH240HAHQ-00005</v>
          </cell>
          <cell r="E9959" t="str">
            <v>S47LNA0T307968</v>
          </cell>
        </row>
        <row r="9960">
          <cell r="D9960" t="str">
            <v>MZ7KH240HAHQ-00005</v>
          </cell>
          <cell r="E9960" t="str">
            <v>S47LNA0T307969</v>
          </cell>
        </row>
        <row r="9961">
          <cell r="D9961" t="str">
            <v>MZ7KH240HAHQ-00005</v>
          </cell>
          <cell r="E9961" t="str">
            <v>S47LNA0T307960</v>
          </cell>
        </row>
        <row r="9962">
          <cell r="D9962" t="str">
            <v>MZ7KH240HAHQ-00005</v>
          </cell>
          <cell r="E9962" t="str">
            <v>S47LNA0T307961</v>
          </cell>
        </row>
        <row r="9963">
          <cell r="D9963" t="str">
            <v>MZ7KH240HAHQ-00005</v>
          </cell>
          <cell r="E9963" t="str">
            <v>S47LNA0T307962</v>
          </cell>
        </row>
        <row r="9964">
          <cell r="D9964" t="str">
            <v>MZ7KH240HAHQ-00005</v>
          </cell>
          <cell r="E9964" t="str">
            <v>S47LNA0T307958</v>
          </cell>
        </row>
        <row r="9965">
          <cell r="D9965" t="str">
            <v>MZ7KH240HAHQ-00005</v>
          </cell>
          <cell r="E9965" t="str">
            <v>S47LNA0T307986</v>
          </cell>
        </row>
        <row r="9966">
          <cell r="D9966" t="str">
            <v>MZ7KH240HAHQ-00005</v>
          </cell>
          <cell r="E9966" t="str">
            <v>S47LNA0T307983</v>
          </cell>
        </row>
        <row r="9967">
          <cell r="D9967" t="str">
            <v>Intel Xeon E-2136</v>
          </cell>
          <cell r="E9967" t="str">
            <v>X133L958 U11E8C8701716</v>
          </cell>
        </row>
        <row r="9968">
          <cell r="D9968" t="str">
            <v>Intel Xeon E-2136</v>
          </cell>
          <cell r="E9968" t="str">
            <v>X133L958 U11E8C8700030</v>
          </cell>
        </row>
        <row r="9969">
          <cell r="D9969" t="str">
            <v>MZ7LH240HAHQ-00005</v>
          </cell>
          <cell r="E9969" t="str">
            <v>S45RNC0T218046</v>
          </cell>
        </row>
        <row r="9970">
          <cell r="D9970" t="str">
            <v>MZ7LH240HAHQ-00005</v>
          </cell>
          <cell r="E9970" t="str">
            <v>S45RNC0T218047</v>
          </cell>
        </row>
        <row r="9971">
          <cell r="D9971" t="str">
            <v>MZ7LH240HAHQ-00005</v>
          </cell>
          <cell r="E9971" t="str">
            <v>S45RNC0T218049</v>
          </cell>
        </row>
        <row r="9972">
          <cell r="D9972" t="str">
            <v>MZ7LH240HAHQ-00005</v>
          </cell>
          <cell r="E9972" t="str">
            <v>S45RNC0T218172</v>
          </cell>
        </row>
        <row r="9973">
          <cell r="D9973" t="str">
            <v xml:space="preserve">M393A4K40CB2-CVF </v>
          </cell>
          <cell r="E9973" t="str">
            <v>SNL381</v>
          </cell>
          <cell r="K9973" t="str">
            <v>SO/2022/006979/A 1z2 BERKOM</v>
          </cell>
        </row>
        <row r="9974">
          <cell r="D9974" t="str">
            <v xml:space="preserve">M393A4K40CB2-CVF </v>
          </cell>
          <cell r="E9974" t="str">
            <v>SNL382</v>
          </cell>
          <cell r="K9974" t="str">
            <v>SO/2022/006979/A 1z2 BERKOM</v>
          </cell>
        </row>
        <row r="9975">
          <cell r="D9975" t="str">
            <v xml:space="preserve">M393A4K40CB2-CVF </v>
          </cell>
          <cell r="E9975" t="str">
            <v>SNL383</v>
          </cell>
          <cell r="K9975" t="str">
            <v>SO/2022/006979/A 1z2 BERKOM</v>
          </cell>
        </row>
        <row r="9976">
          <cell r="D9976" t="str">
            <v xml:space="preserve">M393A4K40CB2-CVF </v>
          </cell>
          <cell r="E9976" t="str">
            <v>SNL384</v>
          </cell>
          <cell r="K9976" t="str">
            <v>SO/2022/006979/A 1z2 BERKOM</v>
          </cell>
        </row>
        <row r="9977">
          <cell r="D9977" t="str">
            <v xml:space="preserve">M393A4K40CB2-CVF </v>
          </cell>
          <cell r="E9977" t="str">
            <v>SNL385</v>
          </cell>
          <cell r="K9977" t="str">
            <v>SO/2022/006979/A 2z2 BERKOM</v>
          </cell>
        </row>
        <row r="9978">
          <cell r="D9978" t="str">
            <v xml:space="preserve">M393A4K40CB2-CVF </v>
          </cell>
          <cell r="E9978" t="str">
            <v>SNL386</v>
          </cell>
          <cell r="K9978" t="str">
            <v>SO/2022/006979/A 2z2 BERKOM</v>
          </cell>
        </row>
        <row r="9979">
          <cell r="D9979" t="str">
            <v xml:space="preserve">M393A4K40CB2-CVF </v>
          </cell>
          <cell r="E9979" t="str">
            <v>SNL387</v>
          </cell>
          <cell r="K9979" t="str">
            <v>SO/2022/006979/A 2z2 BERKOM</v>
          </cell>
        </row>
        <row r="9980">
          <cell r="D9980" t="str">
            <v xml:space="preserve">M393A4K40CB2-CVF </v>
          </cell>
          <cell r="E9980" t="str">
            <v>SNL388</v>
          </cell>
          <cell r="K9980" t="str">
            <v>SO/2022/006979/A 2z2 BERKOM</v>
          </cell>
        </row>
        <row r="9981">
          <cell r="D9981" t="str">
            <v>MZ-77E500B/EU</v>
          </cell>
          <cell r="E9981" t="str">
            <v>sS62BNF0R916586</v>
          </cell>
          <cell r="K9981" t="str">
            <v>SO/2022/006979/A 2z2 BERKOM</v>
          </cell>
        </row>
        <row r="9982">
          <cell r="D9982" t="str">
            <v>MZ-77E500B/EU</v>
          </cell>
          <cell r="E9982" t="str">
            <v>S6PYNF0T305922</v>
          </cell>
          <cell r="K9982" t="str">
            <v>SO/2022/006979/A 1z2 BERKOM</v>
          </cell>
        </row>
        <row r="9983">
          <cell r="D9983" t="str">
            <v>M391A1K43BB2-CTD</v>
          </cell>
          <cell r="E9983" t="str">
            <v>SNL389</v>
          </cell>
          <cell r="K9983" t="str">
            <v>SO/2022/005939/A 2z2</v>
          </cell>
        </row>
        <row r="9984">
          <cell r="D9984" t="str">
            <v>M391A1K43BB2-CTD</v>
          </cell>
          <cell r="E9984" t="str">
            <v>SNL390</v>
          </cell>
          <cell r="K9984" t="str">
            <v>SO/2022/005939/A 2z2</v>
          </cell>
        </row>
        <row r="9985">
          <cell r="D9985" t="str">
            <v>M391A1K43BB2-CTD</v>
          </cell>
          <cell r="E9985" t="str">
            <v>SNL391</v>
          </cell>
          <cell r="K9985" t="str">
            <v>SO/2022/005939/A 1z2</v>
          </cell>
        </row>
        <row r="9986">
          <cell r="D9986" t="str">
            <v>M391A1K43BB2-CTD</v>
          </cell>
          <cell r="E9986" t="str">
            <v>SNL392</v>
          </cell>
          <cell r="K9986" t="str">
            <v>SO/2022/005939/A 1z2</v>
          </cell>
        </row>
        <row r="9987">
          <cell r="D9987" t="str">
            <v>X470D4U</v>
          </cell>
          <cell r="E9987" t="str">
            <v>E9S0XW013388</v>
          </cell>
        </row>
        <row r="9988">
          <cell r="D9988" t="str">
            <v>X470D4U</v>
          </cell>
          <cell r="E9988" t="str">
            <v>E9S0XW013389</v>
          </cell>
        </row>
        <row r="9989">
          <cell r="D9989" t="str">
            <v>C246 WSI</v>
          </cell>
          <cell r="E9989" t="str">
            <v>F2S0XW015237</v>
          </cell>
        </row>
        <row r="9990">
          <cell r="D9990" t="str">
            <v>SSDSC2KG960G801</v>
          </cell>
          <cell r="E9990" t="str">
            <v>PHYG2043047T960CGN</v>
          </cell>
        </row>
        <row r="9991">
          <cell r="D9991" t="str">
            <v>SSDSC2KG960G801</v>
          </cell>
          <cell r="E9991" t="str">
            <v>PHYG204304FK960CGN</v>
          </cell>
        </row>
        <row r="9992">
          <cell r="D9992" t="str">
            <v>SSDSC2KG960G801</v>
          </cell>
          <cell r="E9992" t="str">
            <v>PHYG204302XA960CGN</v>
          </cell>
        </row>
        <row r="9993">
          <cell r="D9993" t="str">
            <v>SSDSC2KG960G801</v>
          </cell>
          <cell r="E9993" t="str">
            <v>PHYG204302T9960CGN</v>
          </cell>
        </row>
        <row r="9994">
          <cell r="D9994" t="str">
            <v>SSDSC2KG960G801</v>
          </cell>
          <cell r="E9994" t="str">
            <v>PHYG2043045U960CGN</v>
          </cell>
        </row>
        <row r="9995">
          <cell r="D9995" t="str">
            <v>SSDSC2KG960G801</v>
          </cell>
          <cell r="E9995" t="str">
            <v>PHYG204304E4960CGN</v>
          </cell>
        </row>
        <row r="9996">
          <cell r="D9996" t="str">
            <v>SSDSC2KG960G801</v>
          </cell>
          <cell r="E9996" t="str">
            <v>PHYG20430458960CGN</v>
          </cell>
        </row>
        <row r="9997">
          <cell r="D9997" t="str">
            <v>Intel Xeon E-2336</v>
          </cell>
          <cell r="E9997" t="str">
            <v>V205I789 822S8E5102473</v>
          </cell>
        </row>
        <row r="9998">
          <cell r="D9998" t="str">
            <v>Intel Xeon E-2336</v>
          </cell>
          <cell r="E9998" t="str">
            <v>V205I789  82SY838600957</v>
          </cell>
        </row>
        <row r="9999">
          <cell r="D9999" t="str">
            <v>Intel Xeon E-2336</v>
          </cell>
          <cell r="E9999" t="str">
            <v>V205I789  82SQ346701498</v>
          </cell>
        </row>
        <row r="10000">
          <cell r="D10000" t="str">
            <v>MBD-X11SCL-F-O</v>
          </cell>
          <cell r="E10000" t="str">
            <v>VM21AS009074</v>
          </cell>
        </row>
        <row r="10001">
          <cell r="D10001" t="str">
            <v>MBD-X11SCL-F-O</v>
          </cell>
          <cell r="E10001" t="str">
            <v>VM21AS009900</v>
          </cell>
        </row>
        <row r="10002">
          <cell r="D10002" t="str">
            <v>MegaRaid 9440-8i  05-50008-02</v>
          </cell>
          <cell r="E10002" t="str">
            <v>SPB4727111</v>
          </cell>
        </row>
        <row r="10003">
          <cell r="D10003" t="str">
            <v>SAS 9300-8e   H5-25460-00</v>
          </cell>
          <cell r="E10003" t="str">
            <v>SPB5049290</v>
          </cell>
        </row>
        <row r="10004">
          <cell r="D10004" t="str">
            <v>SAS 9300-8e   H5-25460-00</v>
          </cell>
          <cell r="E10004" t="str">
            <v>SPB5049472</v>
          </cell>
        </row>
        <row r="10005">
          <cell r="D10005" t="str">
            <v>SAS 9300-8e   H5-25460-00</v>
          </cell>
          <cell r="E10005" t="str">
            <v>SPB5048893</v>
          </cell>
        </row>
        <row r="10006">
          <cell r="D10006" t="str">
            <v>SAS 9300-8e   H5-25460-00</v>
          </cell>
          <cell r="E10006" t="str">
            <v>SPB5050144</v>
          </cell>
        </row>
        <row r="10007">
          <cell r="D10007" t="str">
            <v>SAS 9300-8e   H5-25460-00</v>
          </cell>
          <cell r="E10007" t="str">
            <v>SPB5048983</v>
          </cell>
        </row>
        <row r="10008">
          <cell r="D10008" t="str">
            <v>SSDSC2KB038T801</v>
          </cell>
          <cell r="E10008" t="str">
            <v>PHYF208100383P8EGN</v>
          </cell>
        </row>
        <row r="10009">
          <cell r="D10009" t="str">
            <v>SSDSC2KB038T801</v>
          </cell>
          <cell r="E10009" t="str">
            <v>PHYF208100103P8EGN</v>
          </cell>
        </row>
        <row r="10010">
          <cell r="D10010" t="str">
            <v>SSDSC2KB038T801</v>
          </cell>
          <cell r="E10010" t="str">
            <v>PHYF2081000A3P8EGN</v>
          </cell>
        </row>
        <row r="10011">
          <cell r="D10011" t="str">
            <v>SSDSC2KB038T801</v>
          </cell>
          <cell r="E10011" t="str">
            <v>PHYF2081007L3P8EGN</v>
          </cell>
        </row>
        <row r="10012">
          <cell r="D10012" t="str">
            <v>SSDSC2KB038T801</v>
          </cell>
          <cell r="E10012" t="str">
            <v>PHYF202102YB3P8EGN</v>
          </cell>
        </row>
        <row r="10013">
          <cell r="D10013" t="str">
            <v>SSDSC2KB038T801</v>
          </cell>
          <cell r="E10013" t="str">
            <v>PHYF202003BR3P8EGN</v>
          </cell>
        </row>
        <row r="10014">
          <cell r="D10014" t="str">
            <v>SSDSC2KB038T801</v>
          </cell>
          <cell r="E10014" t="str">
            <v>PHYF202102Z73P8EGN</v>
          </cell>
        </row>
        <row r="10015">
          <cell r="D10015" t="str">
            <v>SSDSC2KB038T801</v>
          </cell>
          <cell r="E10015" t="str">
            <v>PHYF202102YD3P8EGN</v>
          </cell>
        </row>
        <row r="10016">
          <cell r="D10016" t="str">
            <v>SSG-6029P-E1CR24L</v>
          </cell>
          <cell r="E10016" t="str">
            <v>A318070X2320021</v>
          </cell>
        </row>
        <row r="10017">
          <cell r="D10017" t="str">
            <v>CSE</v>
          </cell>
          <cell r="E10017" t="str">
            <v>C8260FK43AS0144</v>
          </cell>
        </row>
        <row r="10018">
          <cell r="D10018" t="str">
            <v>PWS</v>
          </cell>
          <cell r="E10018" t="str">
            <v>P1K6BCL48CB0177</v>
          </cell>
        </row>
        <row r="10019">
          <cell r="D10019" t="str">
            <v>PWS</v>
          </cell>
          <cell r="E10019" t="str">
            <v>P1K6BCL48CB0178</v>
          </cell>
        </row>
        <row r="10020">
          <cell r="D10020" t="str">
            <v>BPN</v>
          </cell>
          <cell r="E10020" t="str">
            <v>PB211S010825</v>
          </cell>
        </row>
        <row r="10021">
          <cell r="D10021" t="str">
            <v>BPN</v>
          </cell>
          <cell r="E10021" t="str">
            <v>PB211S010836</v>
          </cell>
        </row>
        <row r="10022">
          <cell r="D10022" t="str">
            <v>MBD</v>
          </cell>
          <cell r="E10022" t="str">
            <v>VM219S006332</v>
          </cell>
        </row>
        <row r="10023">
          <cell r="D10023" t="str">
            <v>AOC</v>
          </cell>
          <cell r="E10023" t="str">
            <v>ZA214S006293</v>
          </cell>
        </row>
        <row r="10024">
          <cell r="D10024" t="str">
            <v>CPU</v>
          </cell>
          <cell r="E10024" t="str">
            <v>716X3A0700343</v>
          </cell>
        </row>
        <row r="10025">
          <cell r="D10025" t="str">
            <v>CPU</v>
          </cell>
          <cell r="E10025" t="str">
            <v>716X3A0700420</v>
          </cell>
        </row>
        <row r="10026">
          <cell r="D10026" t="str">
            <v>MEM</v>
          </cell>
          <cell r="E10026" t="str">
            <v>H0FD0001344771081B</v>
          </cell>
        </row>
        <row r="10027">
          <cell r="D10027" t="str">
            <v>MEM</v>
          </cell>
          <cell r="E10027" t="str">
            <v>H0FD0001344771081C</v>
          </cell>
        </row>
        <row r="10028">
          <cell r="D10028" t="str">
            <v>MEM</v>
          </cell>
          <cell r="E10028" t="str">
            <v>H0FD00013447711104</v>
          </cell>
        </row>
        <row r="10029">
          <cell r="D10029" t="str">
            <v>MEM</v>
          </cell>
          <cell r="E10029" t="str">
            <v>H0FD000134477107F1</v>
          </cell>
        </row>
        <row r="10030">
          <cell r="D10030" t="str">
            <v>HDD</v>
          </cell>
          <cell r="E10030" t="str">
            <v>Y6G9WPLC</v>
          </cell>
        </row>
        <row r="10031">
          <cell r="D10031" t="str">
            <v>HDD</v>
          </cell>
          <cell r="E10031" t="str">
            <v>Y6G9J39C</v>
          </cell>
        </row>
        <row r="10032">
          <cell r="D10032" t="str">
            <v>HDD</v>
          </cell>
          <cell r="E10032" t="str">
            <v>Y6G9WP3C</v>
          </cell>
        </row>
        <row r="10033">
          <cell r="D10033" t="str">
            <v>HDD</v>
          </cell>
          <cell r="E10033" t="str">
            <v>Y6G97PNC</v>
          </cell>
        </row>
        <row r="10034">
          <cell r="D10034" t="str">
            <v>HDD</v>
          </cell>
          <cell r="E10034" t="str">
            <v>Y6GA0NLC</v>
          </cell>
        </row>
        <row r="10035">
          <cell r="D10035" t="str">
            <v>HDD</v>
          </cell>
          <cell r="E10035" t="str">
            <v>Y6G9WWJC</v>
          </cell>
        </row>
        <row r="10036">
          <cell r="D10036" t="str">
            <v>AOC</v>
          </cell>
          <cell r="E10036" t="str">
            <v>HA197S000201</v>
          </cell>
        </row>
        <row r="10037">
          <cell r="D10037" t="str">
            <v>HDS</v>
          </cell>
          <cell r="E10037" t="str">
            <v>BTYF1476034B240AGN</v>
          </cell>
        </row>
        <row r="10038">
          <cell r="D10038" t="str">
            <v>HDS</v>
          </cell>
          <cell r="E10038" t="str">
            <v>BTYF14750B2M240AGN</v>
          </cell>
        </row>
        <row r="10039">
          <cell r="D10039" t="str">
            <v>SSG-6029P-E1CR24L</v>
          </cell>
          <cell r="E10039" t="str">
            <v>A318070X2320020</v>
          </cell>
        </row>
        <row r="10040">
          <cell r="D10040" t="str">
            <v>CSE</v>
          </cell>
          <cell r="E10040" t="str">
            <v>C8260FK43AS0133</v>
          </cell>
        </row>
        <row r="10041">
          <cell r="D10041" t="str">
            <v>PWS</v>
          </cell>
          <cell r="E10041" t="str">
            <v>P1K6BCL48CB0174</v>
          </cell>
        </row>
        <row r="10042">
          <cell r="D10042" t="str">
            <v>PWS</v>
          </cell>
          <cell r="E10042" t="str">
            <v>P1K6BCL48CB0173</v>
          </cell>
        </row>
        <row r="10043">
          <cell r="D10043" t="str">
            <v>BPN</v>
          </cell>
          <cell r="E10043" t="str">
            <v>PB211S007916</v>
          </cell>
        </row>
        <row r="10044">
          <cell r="D10044" t="str">
            <v>BPN</v>
          </cell>
          <cell r="E10044" t="str">
            <v>PB211S007915</v>
          </cell>
        </row>
        <row r="10045">
          <cell r="D10045" t="str">
            <v>MBD</v>
          </cell>
          <cell r="E10045" t="str">
            <v>VM219S006329</v>
          </cell>
        </row>
        <row r="10046">
          <cell r="D10046" t="str">
            <v>AOC</v>
          </cell>
          <cell r="E10046" t="str">
            <v>ZA214S006239</v>
          </cell>
        </row>
        <row r="10047">
          <cell r="D10047" t="str">
            <v>CPU</v>
          </cell>
          <cell r="E10047" t="str">
            <v>716X3A0700811</v>
          </cell>
        </row>
        <row r="10048">
          <cell r="D10048" t="str">
            <v>CPU</v>
          </cell>
          <cell r="E10048" t="str">
            <v>716X3A0700782</v>
          </cell>
        </row>
        <row r="10049">
          <cell r="D10049" t="str">
            <v>MEM</v>
          </cell>
          <cell r="E10049" t="str">
            <v>H1VZ0001344770487C</v>
          </cell>
        </row>
        <row r="10050">
          <cell r="D10050" t="str">
            <v>MEM</v>
          </cell>
          <cell r="E10050" t="str">
            <v>H1VZ000134477047A7</v>
          </cell>
        </row>
        <row r="10051">
          <cell r="D10051" t="str">
            <v>MEM</v>
          </cell>
          <cell r="E10051" t="str">
            <v>H1VZ00013447704881</v>
          </cell>
        </row>
        <row r="10052">
          <cell r="D10052" t="str">
            <v>MEM</v>
          </cell>
          <cell r="E10052" t="str">
            <v>H1VZ0001344770476D</v>
          </cell>
        </row>
        <row r="10053">
          <cell r="D10053" t="str">
            <v>HDD</v>
          </cell>
          <cell r="E10053" t="str">
            <v>Y6G9NYHC</v>
          </cell>
        </row>
        <row r="10054">
          <cell r="D10054" t="str">
            <v>HDD</v>
          </cell>
          <cell r="E10054" t="str">
            <v>Y6G95E5C</v>
          </cell>
        </row>
        <row r="10055">
          <cell r="D10055" t="str">
            <v>HDD</v>
          </cell>
          <cell r="E10055" t="str">
            <v>Y6G9WT4C</v>
          </cell>
        </row>
        <row r="10056">
          <cell r="D10056" t="str">
            <v>HDD</v>
          </cell>
          <cell r="E10056" t="str">
            <v>Y6GAB7UC</v>
          </cell>
        </row>
        <row r="10057">
          <cell r="D10057" t="str">
            <v>HDD</v>
          </cell>
          <cell r="E10057" t="str">
            <v>Y6GA2MRC</v>
          </cell>
        </row>
        <row r="10058">
          <cell r="D10058" t="str">
            <v>HDD</v>
          </cell>
          <cell r="E10058" t="str">
            <v>Y6GA2BJC</v>
          </cell>
        </row>
        <row r="10059">
          <cell r="D10059" t="str">
            <v>AOC</v>
          </cell>
          <cell r="E10059" t="str">
            <v>HA197S000004</v>
          </cell>
        </row>
        <row r="10060">
          <cell r="D10060" t="str">
            <v>HDS</v>
          </cell>
          <cell r="E10060" t="str">
            <v>BTYF147604JA240AGN</v>
          </cell>
        </row>
        <row r="10061">
          <cell r="D10061" t="str">
            <v>HDS</v>
          </cell>
          <cell r="E10061" t="str">
            <v>BTYF147604GG240AGN</v>
          </cell>
        </row>
        <row r="10062">
          <cell r="D10062" t="str">
            <v>SSG-6029P-E1CR24L</v>
          </cell>
          <cell r="E10062" t="str">
            <v>A318070X2320016</v>
          </cell>
        </row>
        <row r="10063">
          <cell r="D10063" t="str">
            <v>CSE</v>
          </cell>
          <cell r="E10063" t="str">
            <v>C8260FK43AS0168</v>
          </cell>
        </row>
        <row r="10064">
          <cell r="D10064" t="str">
            <v>PWS</v>
          </cell>
          <cell r="E10064" t="str">
            <v>P1K6BCL48CB0179</v>
          </cell>
        </row>
        <row r="10065">
          <cell r="D10065" t="str">
            <v>PWS</v>
          </cell>
          <cell r="E10065" t="str">
            <v>P1K6BCL48CB0180</v>
          </cell>
        </row>
        <row r="10066">
          <cell r="D10066" t="str">
            <v>BPN</v>
          </cell>
          <cell r="E10066" t="str">
            <v>PB211S010827</v>
          </cell>
        </row>
        <row r="10067">
          <cell r="D10067" t="str">
            <v>BPN</v>
          </cell>
          <cell r="E10067" t="str">
            <v>PB211S010839</v>
          </cell>
        </row>
        <row r="10068">
          <cell r="D10068" t="str">
            <v>MBD</v>
          </cell>
          <cell r="E10068" t="str">
            <v>VM219S006262</v>
          </cell>
        </row>
        <row r="10069">
          <cell r="D10069" t="str">
            <v>AOC</v>
          </cell>
          <cell r="E10069" t="str">
            <v>ZA214S006362</v>
          </cell>
        </row>
        <row r="10070">
          <cell r="D10070" t="str">
            <v>CPU</v>
          </cell>
          <cell r="E10070" t="str">
            <v>716X3A0700357</v>
          </cell>
        </row>
        <row r="10071">
          <cell r="D10071" t="str">
            <v>CPU</v>
          </cell>
          <cell r="E10071" t="str">
            <v>716X3A0700763</v>
          </cell>
        </row>
        <row r="10072">
          <cell r="D10072" t="str">
            <v>MEM</v>
          </cell>
          <cell r="E10072" t="str">
            <v>H0FD00013447711164</v>
          </cell>
        </row>
        <row r="10073">
          <cell r="D10073" t="str">
            <v>MEM</v>
          </cell>
          <cell r="E10073" t="str">
            <v>H0FD00013447710F0B</v>
          </cell>
        </row>
        <row r="10074">
          <cell r="D10074" t="str">
            <v>MEM</v>
          </cell>
          <cell r="E10074" t="str">
            <v>H0FD00013447710F10</v>
          </cell>
        </row>
        <row r="10075">
          <cell r="D10075" t="str">
            <v>MEM</v>
          </cell>
          <cell r="E10075" t="str">
            <v>H0FD00013447710F3E</v>
          </cell>
        </row>
        <row r="10076">
          <cell r="D10076" t="str">
            <v>HDD</v>
          </cell>
          <cell r="E10076" t="str">
            <v>Y6G767PC</v>
          </cell>
        </row>
        <row r="10077">
          <cell r="D10077" t="str">
            <v>HDD</v>
          </cell>
          <cell r="E10077" t="str">
            <v>Q2G2D7WT</v>
          </cell>
        </row>
        <row r="10078">
          <cell r="D10078" t="str">
            <v>HDD</v>
          </cell>
          <cell r="E10078" t="str">
            <v>Y6G9WW3C</v>
          </cell>
        </row>
        <row r="10079">
          <cell r="D10079" t="str">
            <v>HDD</v>
          </cell>
          <cell r="E10079" t="str">
            <v>Y6G9S9YD</v>
          </cell>
        </row>
        <row r="10080">
          <cell r="D10080" t="str">
            <v>HDD</v>
          </cell>
          <cell r="E10080" t="str">
            <v>Y6G9WWAC</v>
          </cell>
        </row>
        <row r="10081">
          <cell r="D10081" t="str">
            <v>HDD</v>
          </cell>
          <cell r="E10081" t="str">
            <v>Y6G9W6DC</v>
          </cell>
        </row>
        <row r="10082">
          <cell r="D10082" t="str">
            <v>AOC</v>
          </cell>
          <cell r="E10082" t="str">
            <v>HA197S000292</v>
          </cell>
        </row>
        <row r="10083">
          <cell r="D10083" t="str">
            <v>HDS</v>
          </cell>
          <cell r="E10083" t="str">
            <v>BTYF147604GS240AGN</v>
          </cell>
        </row>
        <row r="10084">
          <cell r="D10084" t="str">
            <v>HDS</v>
          </cell>
          <cell r="E10084" t="str">
            <v>PHYF129607HB240AGN</v>
          </cell>
        </row>
        <row r="10085">
          <cell r="D10085" t="str">
            <v>CSE-512F-350B1</v>
          </cell>
          <cell r="E10085" t="str">
            <v>C5120LK42N90301</v>
          </cell>
        </row>
        <row r="10086">
          <cell r="D10086" t="str">
            <v>MBD-X11SCW-F-B</v>
          </cell>
          <cell r="E10086" t="str">
            <v>ZM21BS019006</v>
          </cell>
        </row>
        <row r="10087">
          <cell r="D10087" t="str">
            <v>MBD-X11SCW-F-B</v>
          </cell>
          <cell r="E10087" t="str">
            <v>ZM21BS019010</v>
          </cell>
        </row>
        <row r="10088">
          <cell r="D10088" t="str">
            <v>MEM-DR464L-CL02-ER32</v>
          </cell>
          <cell r="E10088" t="str">
            <v>K1LT00021014481804</v>
          </cell>
        </row>
        <row r="10089">
          <cell r="D10089" t="str">
            <v>MEM-DR464L-CL02-ER32</v>
          </cell>
          <cell r="E10089" t="str">
            <v>K1HS0002101446EC1D</v>
          </cell>
        </row>
        <row r="10090">
          <cell r="D10090" t="str">
            <v>MEM-DR464L-CL02-ER32</v>
          </cell>
          <cell r="E10090" t="str">
            <v>K1HS00021014471581</v>
          </cell>
        </row>
        <row r="10091">
          <cell r="D10091" t="str">
            <v>MEM-DR464L-CL02-ER32</v>
          </cell>
          <cell r="E10091" t="str">
            <v>K1HS000210144714E0</v>
          </cell>
        </row>
        <row r="10092">
          <cell r="D10092" t="str">
            <v>MEM-DR464L-CL02-ER32</v>
          </cell>
          <cell r="E10092" t="str">
            <v>K1HS00021014470F74</v>
          </cell>
        </row>
        <row r="10093">
          <cell r="D10093" t="str">
            <v>MEM-DR464L-CL02-ER32</v>
          </cell>
          <cell r="E10093" t="str">
            <v>K1HS00021014470F7C</v>
          </cell>
        </row>
        <row r="10094">
          <cell r="D10094" t="str">
            <v>MBD-X11SRA-RF-O</v>
          </cell>
          <cell r="E10094" t="str">
            <v>VM20AS000856</v>
          </cell>
          <cell r="K10094" t="str">
            <v>SO/2022/006979/A 1z2 BERKOM</v>
          </cell>
        </row>
        <row r="10095">
          <cell r="D10095" t="str">
            <v>MBD-X12DAI-N6-O</v>
          </cell>
          <cell r="E10095" t="str">
            <v>OM21CS053343</v>
          </cell>
        </row>
        <row r="10096">
          <cell r="D10096" t="str">
            <v>MBD-H12SSW-NT-O</v>
          </cell>
          <cell r="E10096" t="str">
            <v>ZM222S601094</v>
          </cell>
        </row>
        <row r="10097">
          <cell r="D10097" t="str">
            <v>MBD-X11SCW-F-B</v>
          </cell>
          <cell r="E10097" t="str">
            <v>ZM21BS019050</v>
          </cell>
        </row>
        <row r="10098">
          <cell r="D10098" t="str">
            <v>MBD-X11SCW-F-B</v>
          </cell>
          <cell r="E10098" t="str">
            <v>ZM21BS019054</v>
          </cell>
        </row>
        <row r="10099">
          <cell r="D10099" t="str">
            <v>MBD-X11SCW-F-B</v>
          </cell>
          <cell r="E10099" t="str">
            <v>ZM21BS019031</v>
          </cell>
        </row>
        <row r="10100">
          <cell r="D10100" t="str">
            <v>MBD-X11SCW-F-B</v>
          </cell>
          <cell r="E10100" t="str">
            <v>ZM21BS019075</v>
          </cell>
        </row>
        <row r="10101">
          <cell r="D10101" t="str">
            <v>MBD-X11SCW-F-B</v>
          </cell>
          <cell r="E10101" t="str">
            <v>ZM21BS018989</v>
          </cell>
        </row>
        <row r="10102">
          <cell r="D10102" t="str">
            <v>MBD-X11SCW-F-B</v>
          </cell>
          <cell r="E10102" t="str">
            <v>ZM21BS019074</v>
          </cell>
        </row>
        <row r="10103">
          <cell r="D10103" t="str">
            <v>MBD-X11SCW-F-B</v>
          </cell>
          <cell r="E10103" t="str">
            <v>ZM21BS019107</v>
          </cell>
        </row>
        <row r="10104">
          <cell r="D10104" t="str">
            <v>MBD-X11SCW-F-B</v>
          </cell>
          <cell r="E10104" t="str">
            <v>ZM21BS019082</v>
          </cell>
        </row>
        <row r="10105">
          <cell r="D10105" t="str">
            <v>MBD-X11SCW-F-B</v>
          </cell>
          <cell r="E10105" t="str">
            <v>ZM21BS018579</v>
          </cell>
        </row>
        <row r="10106">
          <cell r="D10106" t="str">
            <v>CSE-925TQC-R802LPB</v>
          </cell>
          <cell r="E10106" t="str">
            <v>C8250FL04P20064</v>
          </cell>
        </row>
        <row r="10107">
          <cell r="D10107" t="str">
            <v>CSE-925TQC-R802LPB</v>
          </cell>
          <cell r="E10107" t="str">
            <v>C8250FL04P20071</v>
          </cell>
        </row>
        <row r="10108">
          <cell r="D10108" t="str">
            <v>CSE-745BTQ-R920B</v>
          </cell>
          <cell r="E10108" t="str">
            <v>C7450FK45P30263</v>
          </cell>
          <cell r="K10108" t="str">
            <v>SO/2022/006979/A 1z2 BERKOM</v>
          </cell>
        </row>
        <row r="10109">
          <cell r="D10109" t="str">
            <v>PWS-920P-SQ</v>
          </cell>
          <cell r="E10109" t="str">
            <v>P9212CL31SN2743</v>
          </cell>
          <cell r="K10109" t="str">
            <v>SO/2022/006979/A 1z2 BERKOM</v>
          </cell>
        </row>
        <row r="10110">
          <cell r="D10110" t="str">
            <v>PWS-920P-SQ</v>
          </cell>
          <cell r="E10110" t="str">
            <v>P9212CL31SN2744</v>
          </cell>
          <cell r="K10110" t="str">
            <v>SO/2022/006979/A 1z2 BERKOM</v>
          </cell>
        </row>
        <row r="10111">
          <cell r="D10111" t="str">
            <v>BPN-SAS-743TQ</v>
          </cell>
          <cell r="E10111" t="str">
            <v>EB216S007484</v>
          </cell>
          <cell r="K10111" t="str">
            <v>SO/2022/006979/A 1z2 BERKOM</v>
          </cell>
        </row>
        <row r="10112">
          <cell r="D10112" t="str">
            <v>CSE-745BTQ-R920B</v>
          </cell>
          <cell r="E10112" t="str">
            <v>C7450FK45P30405</v>
          </cell>
          <cell r="K10112" t="str">
            <v>SO/2022/006979/A 2z2 BERKOM</v>
          </cell>
        </row>
        <row r="10113">
          <cell r="D10113" t="str">
            <v>PWS-920P-SQ</v>
          </cell>
          <cell r="E10113" t="str">
            <v>P9212CL38SN2534</v>
          </cell>
          <cell r="K10113" t="str">
            <v>SO/2022/006979/A 2z2 BERKOM</v>
          </cell>
        </row>
        <row r="10114">
          <cell r="D10114" t="str">
            <v>PWS-920P-SQ</v>
          </cell>
          <cell r="E10114" t="str">
            <v>P9212CL38SN2535</v>
          </cell>
          <cell r="K10114" t="str">
            <v>SO/2022/006979/A 2z2 BERKOM</v>
          </cell>
        </row>
        <row r="10115">
          <cell r="D10115" t="str">
            <v>BPN-SAS-743TQ</v>
          </cell>
          <cell r="E10115" t="str">
            <v>EB216S007471</v>
          </cell>
          <cell r="K10115" t="str">
            <v>SO/2022/006979/A 2z2 BERKOM</v>
          </cell>
        </row>
        <row r="10116">
          <cell r="D10116" t="str">
            <v>MBD-H12SSW-NT-O</v>
          </cell>
          <cell r="E10116" t="str">
            <v>ZM222S601278</v>
          </cell>
        </row>
        <row r="10117">
          <cell r="D10117" t="str">
            <v>MBD-H12SSW-NT-O</v>
          </cell>
          <cell r="E10117" t="str">
            <v>ZM222S601317</v>
          </cell>
        </row>
        <row r="10118">
          <cell r="D10118" t="str">
            <v>AOC-SLG3-2E4R-O</v>
          </cell>
          <cell r="E10118" t="str">
            <v>HA222S003440</v>
          </cell>
        </row>
        <row r="10119">
          <cell r="D10119" t="str">
            <v>AOC-SLG3-2E4R-O</v>
          </cell>
          <cell r="E10119" t="str">
            <v>HA222S003435</v>
          </cell>
        </row>
        <row r="10120">
          <cell r="D10120" t="str">
            <v>AOC-SLG3-2E4R-O</v>
          </cell>
          <cell r="E10120" t="str">
            <v>HA222S003434</v>
          </cell>
        </row>
        <row r="10121">
          <cell r="D10121" t="str">
            <v>AOM-C25G-M1SM-O</v>
          </cell>
          <cell r="E10121" t="str">
            <v>VA21BS018164</v>
          </cell>
        </row>
        <row r="10122">
          <cell r="D10122" t="str">
            <v>MBD-X11SRA-RF-O</v>
          </cell>
          <cell r="E10122" t="str">
            <v>VM20AS000855</v>
          </cell>
          <cell r="K10122" t="str">
            <v>SO/2022/006979/A 2z2 BERKOM</v>
          </cell>
        </row>
        <row r="10123">
          <cell r="D10123" t="str">
            <v>0F31284</v>
          </cell>
          <cell r="E10123" t="str">
            <v>9LJ6RPBG</v>
          </cell>
        </row>
        <row r="10124">
          <cell r="D10124" t="str">
            <v>0F31284</v>
          </cell>
          <cell r="E10124" t="str">
            <v>9LJ6XDTG</v>
          </cell>
        </row>
        <row r="10125">
          <cell r="D10125" t="str">
            <v>0F31284</v>
          </cell>
          <cell r="E10125" t="str">
            <v>9LJ6714G</v>
          </cell>
        </row>
        <row r="10126">
          <cell r="D10126" t="str">
            <v>SAS 9341-4i  05-26105-00</v>
          </cell>
          <cell r="E10126" t="str">
            <v>SPB2700209</v>
          </cell>
        </row>
        <row r="10127">
          <cell r="D10127" t="str">
            <v>SAS 9341-4i  05-26105-00</v>
          </cell>
          <cell r="E10127" t="str">
            <v>SPB2700748</v>
          </cell>
        </row>
        <row r="10128">
          <cell r="D10128" t="str">
            <v>SAS 9341-4i  05-26105-00</v>
          </cell>
          <cell r="E10128" t="str">
            <v>SPB2700842</v>
          </cell>
        </row>
        <row r="10129">
          <cell r="D10129" t="str">
            <v>SAS 9341-4i  05-26105-00</v>
          </cell>
          <cell r="E10129" t="str">
            <v>SPB2700632</v>
          </cell>
        </row>
        <row r="10130">
          <cell r="D10130" t="str">
            <v>SAS 9341-4i  05-26105-00</v>
          </cell>
          <cell r="E10130" t="str">
            <v>SPB2700782</v>
          </cell>
        </row>
        <row r="10131">
          <cell r="D10131" t="str">
            <v>SAS 9341-4i  05-26105-00</v>
          </cell>
          <cell r="E10131" t="str">
            <v>SPB2801008</v>
          </cell>
        </row>
        <row r="10132">
          <cell r="D10132" t="str">
            <v>SAS 9341-4i  05-26105-00</v>
          </cell>
          <cell r="E10132" t="str">
            <v>SPB2801148</v>
          </cell>
        </row>
        <row r="10133">
          <cell r="D10133" t="str">
            <v>SAS 9341-4i  05-26105-00</v>
          </cell>
          <cell r="E10133" t="str">
            <v>SPB2801272</v>
          </cell>
        </row>
        <row r="10134">
          <cell r="D10134" t="str">
            <v>SAS 9341-4i  05-26105-00</v>
          </cell>
          <cell r="E10134" t="str">
            <v>SPB2801012</v>
          </cell>
        </row>
        <row r="10135">
          <cell r="D10135" t="str">
            <v>SAS 9341-4i  05-26105-00</v>
          </cell>
          <cell r="E10135" t="str">
            <v>SPB2801246</v>
          </cell>
        </row>
        <row r="10136">
          <cell r="D10136" t="str">
            <v>E3C246D4M-4L</v>
          </cell>
          <cell r="E10136" t="str">
            <v>E9S0XW003490</v>
          </cell>
        </row>
        <row r="10137">
          <cell r="D10137" t="str">
            <v>MTFDDAK480TDT</v>
          </cell>
          <cell r="E10137" t="str">
            <v>22013428CEA0</v>
          </cell>
        </row>
        <row r="10138">
          <cell r="D10138" t="str">
            <v>CD8068904572501   Xeon Gold 6338</v>
          </cell>
          <cell r="E10138" t="str">
            <v>L138D719 M16C5V5800093</v>
          </cell>
        </row>
        <row r="10139">
          <cell r="D10139" t="str">
            <v>CD8068904572501   Xeon Gold 6338</v>
          </cell>
          <cell r="E10139" t="str">
            <v>L138D719 M16C5V5800096</v>
          </cell>
        </row>
        <row r="10140">
          <cell r="D10140" t="str">
            <v>CD8068904572501   Xeon Gold 6338</v>
          </cell>
          <cell r="E10140" t="str">
            <v>L138D719 M16C5V58000337</v>
          </cell>
        </row>
        <row r="10141">
          <cell r="D10141" t="str">
            <v>CD8068904572501   Xeon Gold 6338</v>
          </cell>
          <cell r="E10141" t="str">
            <v>L138D719 M16C5V58000357</v>
          </cell>
        </row>
        <row r="10142">
          <cell r="D10142" t="str">
            <v>CD8068904572101   Xeon Gold 6330</v>
          </cell>
          <cell r="E10142" t="str">
            <v>J135H135  712V2U8000594</v>
          </cell>
        </row>
        <row r="10143">
          <cell r="D10143" t="str">
            <v>CD8068904572101   Xeon Gold 6330</v>
          </cell>
          <cell r="E10143" t="str">
            <v>J135H135  712V2U8000193</v>
          </cell>
        </row>
        <row r="10144">
          <cell r="D10144" t="str">
            <v>CD8068904572101   Xeon Gold 6330</v>
          </cell>
          <cell r="E10144" t="str">
            <v>J136H028  71JJ268900107</v>
          </cell>
        </row>
        <row r="10145">
          <cell r="D10145" t="str">
            <v>CD8068904572101   Xeon Gold 6330</v>
          </cell>
          <cell r="E10145" t="str">
            <v>J136H028  71A853F200898</v>
          </cell>
        </row>
        <row r="10146">
          <cell r="D10146" t="str">
            <v>0F38462</v>
          </cell>
          <cell r="E10146" t="str">
            <v>2PH1KLLJ</v>
          </cell>
        </row>
        <row r="10147">
          <cell r="D10147" t="str">
            <v>0F38462</v>
          </cell>
          <cell r="E10147" t="str">
            <v>2PH3U5AJ</v>
          </cell>
        </row>
        <row r="10148">
          <cell r="D10148" t="str">
            <v>0F38462</v>
          </cell>
          <cell r="E10148" t="str">
            <v>2PH6LENJ</v>
          </cell>
        </row>
        <row r="10149">
          <cell r="D10149" t="str">
            <v>0F38462</v>
          </cell>
          <cell r="E10149" t="str">
            <v>2PH3PSEN</v>
          </cell>
        </row>
        <row r="10150">
          <cell r="D10150" t="str">
            <v>0F38462</v>
          </cell>
          <cell r="E10150" t="str">
            <v>2PH69WSJ</v>
          </cell>
        </row>
        <row r="10151">
          <cell r="D10151" t="str">
            <v>0F38462</v>
          </cell>
          <cell r="E10151" t="str">
            <v>2PH3LP9T</v>
          </cell>
        </row>
        <row r="10152">
          <cell r="D10152" t="str">
            <v>0F38462</v>
          </cell>
          <cell r="E10152" t="str">
            <v>2PH86JVT</v>
          </cell>
        </row>
        <row r="10153">
          <cell r="D10153" t="str">
            <v>0F38462</v>
          </cell>
          <cell r="E10153" t="str">
            <v>2PH5M1JT</v>
          </cell>
        </row>
        <row r="10154">
          <cell r="D10154" t="str">
            <v>0F38462</v>
          </cell>
          <cell r="E10154" t="str">
            <v>2PH7ZSAT</v>
          </cell>
        </row>
        <row r="10155">
          <cell r="D10155" t="str">
            <v>0F38462</v>
          </cell>
          <cell r="E10155" t="str">
            <v>2PH26ETT</v>
          </cell>
        </row>
        <row r="10156">
          <cell r="D10156" t="str">
            <v>0F38462</v>
          </cell>
          <cell r="E10156" t="str">
            <v>2PH43LZJ</v>
          </cell>
        </row>
        <row r="10157">
          <cell r="D10157" t="str">
            <v>0F38462</v>
          </cell>
          <cell r="E10157" t="str">
            <v>2PH3BNTT</v>
          </cell>
        </row>
        <row r="10158">
          <cell r="D10158" t="str">
            <v>0F38462</v>
          </cell>
          <cell r="E10158" t="str">
            <v>2PH3D19T</v>
          </cell>
        </row>
        <row r="10159">
          <cell r="D10159" t="str">
            <v>0F38462</v>
          </cell>
          <cell r="E10159" t="str">
            <v>2PH3STYJ</v>
          </cell>
        </row>
        <row r="10160">
          <cell r="D10160" t="str">
            <v>BCM957416A4160C</v>
          </cell>
          <cell r="E10160" t="str">
            <v>A41602135000MWFV</v>
          </cell>
          <cell r="K10160" t="str">
            <v>SO/2022/006979/A 2z2 BERKOM</v>
          </cell>
        </row>
        <row r="10161">
          <cell r="D10161" t="str">
            <v>BCM957416A4160C</v>
          </cell>
          <cell r="E10161" t="str">
            <v>A41602135000MQFV</v>
          </cell>
          <cell r="K10161" t="str">
            <v>SO/2022/006979/A 1z2 BERKOM</v>
          </cell>
        </row>
        <row r="10162">
          <cell r="D10162" t="str">
            <v>BX80708E2334</v>
          </cell>
          <cell r="E10162" t="str">
            <v>82Y25E3100020</v>
          </cell>
        </row>
        <row r="10163">
          <cell r="D10163" t="str">
            <v>BX80708E2334</v>
          </cell>
          <cell r="E10163" t="str">
            <v>82Y25E3102563</v>
          </cell>
        </row>
        <row r="10164">
          <cell r="D10164" t="str">
            <v>BX80708E2334</v>
          </cell>
          <cell r="E10164" t="str">
            <v>82Y25E3103025</v>
          </cell>
        </row>
        <row r="10165">
          <cell r="D10165" t="str">
            <v>BX80708E2334</v>
          </cell>
          <cell r="E10165" t="str">
            <v>82Y25E3101176</v>
          </cell>
        </row>
        <row r="10166">
          <cell r="D10166" t="str">
            <v>BX80708E2334</v>
          </cell>
          <cell r="E10166" t="str">
            <v>82Y25E3100597</v>
          </cell>
        </row>
        <row r="10167">
          <cell r="D10167" t="str">
            <v>1U4LW-X570/2L2T RPSU/EU</v>
          </cell>
          <cell r="E10167" t="str">
            <v>F3S0R8000770</v>
          </cell>
          <cell r="K10167" t="str">
            <v>SO/2022/006072/A 8z12</v>
          </cell>
        </row>
        <row r="10168">
          <cell r="D10168" t="str">
            <v>X570D4U-2L2T</v>
          </cell>
          <cell r="E10168" t="str">
            <v>M80-E5001000342</v>
          </cell>
          <cell r="K10168" t="str">
            <v>SO/2022/006072/A 8z12</v>
          </cell>
        </row>
        <row r="10169">
          <cell r="D10169" t="str">
            <v>1U4LW-X570/2L2T RPSU/EU</v>
          </cell>
          <cell r="E10169" t="str">
            <v>F3S0R8000763</v>
          </cell>
          <cell r="K10169" t="str">
            <v>SO/2022/006072/A 9z12</v>
          </cell>
        </row>
        <row r="10170">
          <cell r="D10170" t="str">
            <v>X570D4U-2L2T</v>
          </cell>
          <cell r="E10170" t="str">
            <v>M80-E5001000319</v>
          </cell>
          <cell r="K10170" t="str">
            <v>SO/2022/006072/A 9z12</v>
          </cell>
        </row>
        <row r="10171">
          <cell r="D10171" t="str">
            <v>1U4LW-X570/2L2T RPSU/EU</v>
          </cell>
          <cell r="E10171" t="str">
            <v>F3S0R8000760</v>
          </cell>
        </row>
        <row r="10172">
          <cell r="D10172" t="str">
            <v>1U4LW-X570/2L2T RPSU/EU</v>
          </cell>
          <cell r="E10172" t="str">
            <v>F3S0R8000752</v>
          </cell>
          <cell r="K10172" t="str">
            <v>SO/2022/006072/A 11z12</v>
          </cell>
        </row>
        <row r="10173">
          <cell r="D10173" t="str">
            <v>X570D4U-2L2T</v>
          </cell>
          <cell r="E10173" t="str">
            <v>M80-E5001001770</v>
          </cell>
          <cell r="K10173" t="str">
            <v>SO/2022/006072/A 11z12</v>
          </cell>
        </row>
        <row r="10174">
          <cell r="D10174" t="str">
            <v>1U4LW-X570/2L2T RPSU/EU</v>
          </cell>
          <cell r="E10174" t="str">
            <v>F3S0R8000746</v>
          </cell>
          <cell r="K10174" t="str">
            <v>SO/2022/006072/A 10z12</v>
          </cell>
        </row>
        <row r="10175">
          <cell r="D10175" t="str">
            <v>X570D4U-2L2T</v>
          </cell>
          <cell r="E10175" t="str">
            <v>M80-E5001000499</v>
          </cell>
          <cell r="K10175" t="str">
            <v>SO/2022/006072/A 10z12</v>
          </cell>
        </row>
        <row r="10176">
          <cell r="D10176" t="str">
            <v>1U4LW-X570/2L2T RPSU/EU</v>
          </cell>
          <cell r="E10176" t="str">
            <v>F3S0R8000762</v>
          </cell>
          <cell r="K10176" t="str">
            <v>SO/2022/006072/A 12z12</v>
          </cell>
        </row>
        <row r="10177">
          <cell r="D10177" t="str">
            <v>X570D4U-2L2T</v>
          </cell>
          <cell r="E10177" t="str">
            <v>M80-E5001001050</v>
          </cell>
          <cell r="K10177" t="str">
            <v>SO/2022/006072/A 12z12</v>
          </cell>
        </row>
        <row r="10178">
          <cell r="D10178" t="str">
            <v>1U4LW-X570/2L2T RPSU/EU</v>
          </cell>
          <cell r="E10178" t="str">
            <v>F3S0R8000755</v>
          </cell>
          <cell r="K10178" t="str">
            <v>SO/2022/006072/A 1z12</v>
          </cell>
        </row>
        <row r="10179">
          <cell r="D10179" t="str">
            <v>X570D4U-2L2T</v>
          </cell>
          <cell r="E10179" t="str">
            <v>M80-E5001000670</v>
          </cell>
          <cell r="K10179" t="str">
            <v>SO/2022/006072/A 1z12</v>
          </cell>
        </row>
        <row r="10180">
          <cell r="D10180" t="str">
            <v>1U4LW-X570/2L2T RPSU/EU</v>
          </cell>
          <cell r="E10180" t="str">
            <v>F3S0R8000766</v>
          </cell>
          <cell r="K10180" t="str">
            <v>SO/2022/006072/A 2z12</v>
          </cell>
        </row>
        <row r="10181">
          <cell r="D10181" t="str">
            <v>X570D4U-2L2T</v>
          </cell>
          <cell r="E10181" t="str">
            <v>M80-E5001000125</v>
          </cell>
          <cell r="K10181" t="str">
            <v>SO/2022/006072/A 2z12</v>
          </cell>
        </row>
        <row r="10182">
          <cell r="D10182" t="str">
            <v>1U4LW-X570/2L2T RPSU/EU</v>
          </cell>
          <cell r="E10182" t="str">
            <v>F3S0R8000761</v>
          </cell>
          <cell r="K10182" t="str">
            <v>SO/2022/006072/A 3z12</v>
          </cell>
        </row>
        <row r="10183">
          <cell r="D10183" t="str">
            <v>X570D4U-2L2T</v>
          </cell>
          <cell r="E10183" t="str">
            <v>M80-E5001002054</v>
          </cell>
          <cell r="K10183" t="str">
            <v>SO/2022/006072/A 3z12</v>
          </cell>
        </row>
        <row r="10184">
          <cell r="D10184" t="str">
            <v>1U4LW-X570/2L2T RPSU/EU</v>
          </cell>
          <cell r="E10184" t="str">
            <v>F3S0R8000745</v>
          </cell>
          <cell r="K10184" t="str">
            <v>SO/2022/006072/A 4z12</v>
          </cell>
        </row>
        <row r="10185">
          <cell r="D10185" t="str">
            <v>X570D4U-2L2T</v>
          </cell>
          <cell r="E10185" t="str">
            <v>M80-E5001000784</v>
          </cell>
          <cell r="K10185" t="str">
            <v>SO/2022/006072/A 4z12</v>
          </cell>
        </row>
        <row r="10186">
          <cell r="D10186" t="str">
            <v>1U4LW-X570/2L2T RPSU/EU</v>
          </cell>
          <cell r="E10186" t="str">
            <v>F3S0R8000758</v>
          </cell>
          <cell r="K10186" t="str">
            <v>SO/2022/006072/A 5z12</v>
          </cell>
        </row>
        <row r="10187">
          <cell r="D10187" t="str">
            <v>X570D4U-2L2T</v>
          </cell>
          <cell r="E10187" t="str">
            <v>M80-E5001001223</v>
          </cell>
          <cell r="K10187" t="str">
            <v>SO/2022/006072/A 5z12</v>
          </cell>
        </row>
        <row r="10188">
          <cell r="D10188" t="str">
            <v>1U4LW-X570/2L2T RPSU/EU</v>
          </cell>
          <cell r="E10188" t="str">
            <v>F3S0R8000747</v>
          </cell>
          <cell r="K10188" t="str">
            <v>SO/2022/006072/A 7z12</v>
          </cell>
        </row>
        <row r="10189">
          <cell r="D10189" t="str">
            <v>X570D4U-2L2T</v>
          </cell>
          <cell r="E10189" t="str">
            <v>M80-E5001000107</v>
          </cell>
          <cell r="K10189" t="str">
            <v>SO/2022/006072/A 7z12</v>
          </cell>
        </row>
        <row r="10190">
          <cell r="D10190" t="str">
            <v>1U4LW-X570/2L2T RPSU/EU</v>
          </cell>
          <cell r="E10190" t="str">
            <v>F3S0R8000748</v>
          </cell>
          <cell r="K10190" t="str">
            <v>SO/2022/006072/A 6z12</v>
          </cell>
        </row>
        <row r="10191">
          <cell r="D10191" t="str">
            <v>X570D4U-2L2T</v>
          </cell>
          <cell r="E10191" t="str">
            <v>M80-E5001000518</v>
          </cell>
          <cell r="K10191" t="str">
            <v>SO/2022/006072/A 6z12</v>
          </cell>
        </row>
        <row r="10192">
          <cell r="D10192" t="str">
            <v>Intel Xeon E-2650V4</v>
          </cell>
          <cell r="E10192" t="str">
            <v>L602G308  M6E600002346</v>
          </cell>
          <cell r="K10192" t="str">
            <v>AWARIA?</v>
          </cell>
        </row>
        <row r="10193">
          <cell r="D10193" t="str">
            <v>MZ7L33T8HBNA-00A07</v>
          </cell>
          <cell r="E10193" t="str">
            <v>S6EMNE0T100157</v>
          </cell>
        </row>
        <row r="10194">
          <cell r="D10194" t="str">
            <v>MZ7L33T8HBNA-00A07</v>
          </cell>
          <cell r="E10194" t="str">
            <v>S6EMNE0T100133</v>
          </cell>
        </row>
        <row r="10195">
          <cell r="D10195" t="str">
            <v>MZ7L33T8HBNA-00A07</v>
          </cell>
          <cell r="E10195" t="str">
            <v>S6EMNE0T100134</v>
          </cell>
        </row>
        <row r="10196">
          <cell r="D10196" t="str">
            <v>MZ7L33T8HBNA-00A07</v>
          </cell>
          <cell r="E10196" t="str">
            <v>S6EMNE0T100138</v>
          </cell>
        </row>
        <row r="10197">
          <cell r="D10197" t="str">
            <v>MZ7L33T8HBNA-00A07</v>
          </cell>
          <cell r="E10197" t="str">
            <v>S6EMNE0T100143</v>
          </cell>
        </row>
        <row r="10198">
          <cell r="D10198" t="str">
            <v>MZ7L33T8HBNA-00A07</v>
          </cell>
          <cell r="E10198" t="str">
            <v>S6EMNE0T100142</v>
          </cell>
        </row>
        <row r="10199">
          <cell r="D10199" t="str">
            <v>MZ7L33T8HBNA-00A07</v>
          </cell>
          <cell r="E10199" t="str">
            <v>S6EMNE0T100128</v>
          </cell>
        </row>
        <row r="10200">
          <cell r="D10200" t="str">
            <v>MZ7L33T8HBNA-00A07</v>
          </cell>
          <cell r="E10200" t="str">
            <v>S6EMNE0T100144</v>
          </cell>
        </row>
        <row r="10201">
          <cell r="D10201" t="str">
            <v>BX80684E2236</v>
          </cell>
          <cell r="E10201" t="str">
            <v>U2NM619700733</v>
          </cell>
        </row>
        <row r="10202">
          <cell r="D10202" t="str">
            <v>0F38462</v>
          </cell>
          <cell r="E10202" t="str">
            <v>2PH6NKEJ</v>
          </cell>
        </row>
        <row r="10203">
          <cell r="D10203" t="str">
            <v>0F38462</v>
          </cell>
          <cell r="E10203" t="str">
            <v>2PH67EDT</v>
          </cell>
        </row>
        <row r="10204">
          <cell r="D10204" t="str">
            <v>0F38462</v>
          </cell>
          <cell r="E10204" t="str">
            <v>2PH7WHZT</v>
          </cell>
        </row>
        <row r="10205">
          <cell r="D10205" t="str">
            <v>HBA 9500-8i  05-50077-03</v>
          </cell>
          <cell r="E10205" t="str">
            <v>SKC0868053</v>
          </cell>
        </row>
        <row r="10206">
          <cell r="D10206" t="str">
            <v>HBA 9500-8i  05-50077-03</v>
          </cell>
          <cell r="E10206" t="str">
            <v>SKC0868151</v>
          </cell>
        </row>
        <row r="10207">
          <cell r="D10207" t="str">
            <v>HBA 9500-8i  05-50077-03</v>
          </cell>
          <cell r="E10207" t="str">
            <v>SKC0871226</v>
          </cell>
        </row>
        <row r="10208">
          <cell r="D10208" t="str">
            <v>HBA 9500-8i  05-50077-03</v>
          </cell>
          <cell r="E10208" t="str">
            <v>SKC0868100</v>
          </cell>
        </row>
        <row r="10209">
          <cell r="D10209" t="str">
            <v>HBA 9500-8i  05-50077-03</v>
          </cell>
          <cell r="E10209" t="str">
            <v>SKC0868290</v>
          </cell>
        </row>
        <row r="10210">
          <cell r="D10210" t="str">
            <v>HBA 9500-8i  05-50077-03</v>
          </cell>
          <cell r="E10210" t="str">
            <v>SKC0868083</v>
          </cell>
        </row>
        <row r="10211">
          <cell r="D10211" t="str">
            <v>HBA 9500-8i  05-50077-03</v>
          </cell>
          <cell r="E10211" t="str">
            <v>SKC0868336</v>
          </cell>
        </row>
        <row r="10212">
          <cell r="D10212" t="str">
            <v>HBA 9500-8i  05-50077-03</v>
          </cell>
          <cell r="E10212" t="str">
            <v>SKC0868209</v>
          </cell>
        </row>
        <row r="10213">
          <cell r="D10213" t="str">
            <v>HBA 9500-8i  05-50077-03</v>
          </cell>
          <cell r="E10213" t="str">
            <v>SKC0868424</v>
          </cell>
        </row>
        <row r="10214">
          <cell r="D10214" t="str">
            <v>HBA 9500-8i  05-50077-03</v>
          </cell>
          <cell r="E10214" t="str">
            <v>SKC0868164</v>
          </cell>
        </row>
        <row r="10215">
          <cell r="D10215" t="str">
            <v>HBA 9500-8i  05-50077-03</v>
          </cell>
          <cell r="E10215" t="str">
            <v>SKC0868074</v>
          </cell>
        </row>
        <row r="10216">
          <cell r="D10216" t="str">
            <v>HBA 9500-8i  05-50077-03</v>
          </cell>
          <cell r="E10216" t="str">
            <v>SKC0868119</v>
          </cell>
        </row>
        <row r="10217">
          <cell r="D10217" t="str">
            <v>HBA 9500-8i  05-50077-03</v>
          </cell>
          <cell r="E10217" t="str">
            <v>SKC0868257</v>
          </cell>
        </row>
        <row r="10218">
          <cell r="D10218" t="str">
            <v>HBA 9500-8i  05-50077-03</v>
          </cell>
          <cell r="E10218" t="str">
            <v>SKC0868131</v>
          </cell>
        </row>
        <row r="10219">
          <cell r="D10219" t="str">
            <v>HBA 9500-8i  05-50077-03</v>
          </cell>
          <cell r="E10219" t="str">
            <v>SKC0868125</v>
          </cell>
        </row>
        <row r="10220">
          <cell r="D10220" t="str">
            <v>HBA 9500-8i  05-50077-03</v>
          </cell>
          <cell r="E10220" t="str">
            <v>SKC0868012</v>
          </cell>
        </row>
        <row r="10221">
          <cell r="D10221" t="str">
            <v>HBA 9500-8i  05-50077-03</v>
          </cell>
          <cell r="E10221" t="str">
            <v>SKC0871169</v>
          </cell>
        </row>
        <row r="10222">
          <cell r="D10222" t="str">
            <v>HBA 9500-8i  05-50077-03</v>
          </cell>
          <cell r="E10222" t="str">
            <v>SKC0871185</v>
          </cell>
        </row>
        <row r="10223">
          <cell r="D10223" t="str">
            <v>HBA 9500-8i  05-50077-03</v>
          </cell>
          <cell r="E10223" t="str">
            <v>SKC0871164</v>
          </cell>
        </row>
        <row r="10224">
          <cell r="D10224" t="str">
            <v>HBA 9500-8i  05-50077-03</v>
          </cell>
          <cell r="E10224" t="str">
            <v>SKC0871172</v>
          </cell>
        </row>
        <row r="10225">
          <cell r="D10225" t="str">
            <v>MZ7L33T8HBLT-00A07</v>
          </cell>
          <cell r="E10225" t="str">
            <v>S6ERNE0T101123</v>
          </cell>
        </row>
        <row r="10226">
          <cell r="D10226" t="str">
            <v>MZ7L33T8HBLT-00A07</v>
          </cell>
          <cell r="E10226" t="str">
            <v>S6ERNE0T101125</v>
          </cell>
        </row>
        <row r="10227">
          <cell r="D10227" t="str">
            <v>MZ7L33T8HBLT-00A07</v>
          </cell>
          <cell r="E10227" t="str">
            <v>S6ERNE0T101112</v>
          </cell>
        </row>
        <row r="10228">
          <cell r="D10228" t="str">
            <v>MZ7L33T8HBLT-00A07</v>
          </cell>
          <cell r="E10228" t="str">
            <v>S6ERNE0T101127</v>
          </cell>
        </row>
        <row r="10229">
          <cell r="D10229" t="str">
            <v>MZ7L33T8HBLT-00A07</v>
          </cell>
          <cell r="E10229" t="str">
            <v>S6ERNE0T101124</v>
          </cell>
        </row>
        <row r="10230">
          <cell r="D10230" t="str">
            <v>MZ7L33T8HBLT-00A07</v>
          </cell>
          <cell r="E10230" t="str">
            <v>S6ERNE0T101126</v>
          </cell>
        </row>
        <row r="10231">
          <cell r="D10231" t="str">
            <v>MZ7L33T8HBLT-00A07</v>
          </cell>
          <cell r="E10231" t="str">
            <v>S6ERNE0T101143</v>
          </cell>
        </row>
        <row r="10232">
          <cell r="D10232" t="str">
            <v>MZ7L33T8HBLT-00A07</v>
          </cell>
          <cell r="E10232" t="str">
            <v>S6ERNE0T101144</v>
          </cell>
        </row>
        <row r="10233">
          <cell r="D10233" t="str">
            <v>MZ7L33T8HBLT-00A07</v>
          </cell>
          <cell r="E10233" t="str">
            <v>S6ERNE0T101131</v>
          </cell>
        </row>
        <row r="10234">
          <cell r="D10234" t="str">
            <v>MZ7L33T8HBLT-00A07</v>
          </cell>
          <cell r="E10234" t="str">
            <v>S6ERNE0T101140</v>
          </cell>
        </row>
        <row r="10235">
          <cell r="D10235" t="str">
            <v>MZ7L33T8HBLT-00A07</v>
          </cell>
          <cell r="E10235" t="str">
            <v>S6ERNE0T101141</v>
          </cell>
        </row>
        <row r="10236">
          <cell r="D10236" t="str">
            <v>MZ7L33T8HBLT-00A07</v>
          </cell>
          <cell r="E10236" t="str">
            <v>S6ERNE0T101145</v>
          </cell>
        </row>
        <row r="10237">
          <cell r="D10237" t="str">
            <v>MZ7L33T8HBLT-00A07</v>
          </cell>
          <cell r="E10237" t="str">
            <v>S6ERNE0T101132</v>
          </cell>
        </row>
        <row r="10238">
          <cell r="D10238" t="str">
            <v>MZ7L33T8HBLT-00A07</v>
          </cell>
          <cell r="E10238" t="str">
            <v>S6ERNE0T101133</v>
          </cell>
        </row>
        <row r="10239">
          <cell r="D10239" t="str">
            <v>MZ7L33T8HBLT-00A07</v>
          </cell>
          <cell r="E10239" t="str">
            <v>S6ERNE0T101122</v>
          </cell>
        </row>
        <row r="10240">
          <cell r="D10240" t="str">
            <v>MZ7L33T8HBLT-00A07</v>
          </cell>
          <cell r="E10240" t="str">
            <v>S6ERNE0T101128</v>
          </cell>
        </row>
        <row r="10241">
          <cell r="D10241" t="str">
            <v>MZ7L33T8HBLT-00A07</v>
          </cell>
          <cell r="E10241" t="str">
            <v>S6ERNE0T101129</v>
          </cell>
        </row>
        <row r="10242">
          <cell r="D10242" t="str">
            <v>MZ7L33T8HBLT-00A07</v>
          </cell>
          <cell r="E10242" t="str">
            <v>S6ERNE0T101134</v>
          </cell>
        </row>
        <row r="10243">
          <cell r="D10243" t="str">
            <v>MZ7L33T8HBLT-00A07</v>
          </cell>
          <cell r="E10243" t="str">
            <v>S6ERNE0T301025</v>
          </cell>
        </row>
        <row r="10244">
          <cell r="D10244" t="str">
            <v>MZ7L33T8HBLT-00A07</v>
          </cell>
          <cell r="E10244" t="str">
            <v>S6ERNE0T301034</v>
          </cell>
        </row>
        <row r="10245">
          <cell r="D10245" t="str">
            <v>MZ7L33T8HBLT-00A07</v>
          </cell>
          <cell r="E10245" t="str">
            <v>S6ERNE0T101118</v>
          </cell>
        </row>
        <row r="10246">
          <cell r="D10246" t="str">
            <v>MZ7L33T8HBLT-00A07</v>
          </cell>
          <cell r="E10246" t="str">
            <v>S6ERNE0T300831</v>
          </cell>
        </row>
        <row r="10247">
          <cell r="D10247" t="str">
            <v>MZ7L33T8HBLT-00A07</v>
          </cell>
          <cell r="E10247" t="str">
            <v>S6ERNE0T300823</v>
          </cell>
        </row>
        <row r="10248">
          <cell r="D10248" t="str">
            <v>MZ7L33T8HBLT-00A07</v>
          </cell>
          <cell r="E10248" t="str">
            <v>S6ERNE0T101109</v>
          </cell>
        </row>
        <row r="10249">
          <cell r="D10249" t="str">
            <v>MZ7L33T8HBLT-00A07</v>
          </cell>
          <cell r="E10249" t="str">
            <v>S6ERNE0T101281</v>
          </cell>
        </row>
        <row r="10250">
          <cell r="D10250" t="str">
            <v>MZ7L33T8HBLT-00A07</v>
          </cell>
          <cell r="E10250" t="str">
            <v>S6ERNE0T101285</v>
          </cell>
        </row>
        <row r="10251">
          <cell r="D10251" t="str">
            <v>MZ7L31T9HBLT-00A07</v>
          </cell>
          <cell r="E10251" t="str">
            <v>S6ESNE0T304151</v>
          </cell>
        </row>
        <row r="10252">
          <cell r="D10252" t="str">
            <v>MZ7L31T9HBLT-00A07</v>
          </cell>
          <cell r="E10252" t="str">
            <v>S6ESNE0T304134</v>
          </cell>
        </row>
        <row r="10253">
          <cell r="D10253" t="str">
            <v>MZ7L31T9HBLT-00A07</v>
          </cell>
          <cell r="E10253" t="str">
            <v>S6ESNE0T304135</v>
          </cell>
        </row>
        <row r="10254">
          <cell r="D10254" t="str">
            <v>MZ7L31T9HBLT-00A07</v>
          </cell>
          <cell r="E10254" t="str">
            <v>S6ESNE0T304143</v>
          </cell>
        </row>
        <row r="10255">
          <cell r="D10255" t="str">
            <v>MZ7L31T9HBLT-00A07</v>
          </cell>
          <cell r="E10255" t="str">
            <v>S6ESNE0T304144</v>
          </cell>
        </row>
        <row r="10256">
          <cell r="D10256" t="str">
            <v>MZ7L31T9HBLT-00A07</v>
          </cell>
          <cell r="E10256" t="str">
            <v>S6ESNE0T304272</v>
          </cell>
        </row>
        <row r="10257">
          <cell r="D10257" t="str">
            <v>MZ7L31T9HBLT-00A07</v>
          </cell>
          <cell r="E10257" t="str">
            <v>S6ESNE0T300726</v>
          </cell>
        </row>
        <row r="10258">
          <cell r="D10258" t="str">
            <v>MZ7L31T9HBLT-00A07</v>
          </cell>
          <cell r="E10258" t="str">
            <v>S6ESNE0T304277</v>
          </cell>
        </row>
        <row r="10259">
          <cell r="D10259" t="str">
            <v>SYS-1019C-HTN2</v>
          </cell>
          <cell r="E10259" t="str">
            <v>A345069X2409126</v>
          </cell>
          <cell r="K10259" t="str">
            <v>gwarancja rozszerzona; SO/2022/005939/A 2z2</v>
          </cell>
        </row>
        <row r="10260">
          <cell r="D10260" t="str">
            <v>CSE</v>
          </cell>
          <cell r="E10260" t="str">
            <v>C5100LL02RA0275</v>
          </cell>
          <cell r="K10260" t="str">
            <v>gwarancja rozszerzona; SO/2022/005939/A 2z2</v>
          </cell>
        </row>
        <row r="10261">
          <cell r="D10261" t="str">
            <v>PWS</v>
          </cell>
          <cell r="E10261" t="str">
            <v>P20310L29G29135</v>
          </cell>
          <cell r="K10261" t="str">
            <v>gwarancja rozszerzona; SO/2022/005939/A 2z2</v>
          </cell>
        </row>
        <row r="10262">
          <cell r="D10262" t="str">
            <v>MBD</v>
          </cell>
          <cell r="E10262" t="str">
            <v>VM221S012839</v>
          </cell>
          <cell r="K10262" t="str">
            <v>gwarancja rozszerzona; SO/2022/005939/A 2z2</v>
          </cell>
        </row>
        <row r="10263">
          <cell r="D10263" t="str">
            <v>BPN</v>
          </cell>
          <cell r="E10263" t="str">
            <v>EB20BS009590</v>
          </cell>
          <cell r="K10263" t="str">
            <v>gwarancja rozszerzona; SO/2022/005939/A 2z2</v>
          </cell>
        </row>
        <row r="10264">
          <cell r="D10264" t="str">
            <v>RSC</v>
          </cell>
          <cell r="E10264" t="str">
            <v>VR21CS005014</v>
          </cell>
          <cell r="K10264" t="str">
            <v>gwarancja rozszerzona; SO/2022/005939/A 2z2</v>
          </cell>
        </row>
        <row r="10265">
          <cell r="D10265" t="str">
            <v>SYS-1019C-HTN2</v>
          </cell>
          <cell r="E10265" t="str">
            <v>A345069X2409132</v>
          </cell>
          <cell r="K10265" t="str">
            <v>gwarancja rozszerzona; SO/2022/005939/A 1z2</v>
          </cell>
        </row>
        <row r="10266">
          <cell r="D10266" t="str">
            <v>CSE</v>
          </cell>
          <cell r="E10266" t="str">
            <v>C5100LL02RA0292</v>
          </cell>
          <cell r="K10266" t="str">
            <v>gwarancja rozszerzona; SO/2022/005939/A 1z2</v>
          </cell>
        </row>
        <row r="10267">
          <cell r="D10267" t="str">
            <v>PWS</v>
          </cell>
          <cell r="E10267" t="str">
            <v>P20310L29G29141</v>
          </cell>
          <cell r="K10267" t="str">
            <v>gwarancja rozszerzona; SO/2022/005939/A 1z2</v>
          </cell>
        </row>
        <row r="10268">
          <cell r="D10268" t="str">
            <v>MBD</v>
          </cell>
          <cell r="E10268" t="str">
            <v>VM221S012841</v>
          </cell>
          <cell r="K10268" t="str">
            <v>gwarancja rozszerzona; SO/2022/005939/A 1z2</v>
          </cell>
        </row>
        <row r="10269">
          <cell r="D10269" t="str">
            <v>BPN</v>
          </cell>
          <cell r="E10269" t="str">
            <v>EB20BS009583</v>
          </cell>
          <cell r="K10269" t="str">
            <v>gwarancja rozszerzona; SO/2022/005939/A 1z2</v>
          </cell>
        </row>
        <row r="10270">
          <cell r="D10270" t="str">
            <v>RSC</v>
          </cell>
          <cell r="E10270" t="str">
            <v>VR21CS005031</v>
          </cell>
          <cell r="K10270" t="str">
            <v>gwarancja rozszerzona; SO/2022/005939/A 1z2</v>
          </cell>
        </row>
        <row r="10271">
          <cell r="D10271" t="str">
            <v>SYS-1019C-HTN2</v>
          </cell>
          <cell r="E10271" t="str">
            <v>A345069X2409120</v>
          </cell>
          <cell r="K10271" t="str">
            <v>gwarancja rozszerzona; SO/2022/005825/A 2z2</v>
          </cell>
        </row>
        <row r="10272">
          <cell r="D10272" t="str">
            <v>CSE</v>
          </cell>
          <cell r="E10272" t="str">
            <v>C5100LL02RA0278</v>
          </cell>
          <cell r="K10272" t="str">
            <v>gwarancja rozszerzona; SO/2022/005825/A 2z2</v>
          </cell>
        </row>
        <row r="10273">
          <cell r="D10273" t="str">
            <v>PWS</v>
          </cell>
          <cell r="E10273" t="str">
            <v>P20310L29G29146</v>
          </cell>
          <cell r="K10273" t="str">
            <v>gwarancja rozszerzona; SO/2022/005825/A 2z2</v>
          </cell>
        </row>
        <row r="10274">
          <cell r="D10274" t="str">
            <v>MBD</v>
          </cell>
          <cell r="E10274" t="str">
            <v>VM221S012591</v>
          </cell>
          <cell r="K10274" t="str">
            <v>gwarancja rozszerzona; SO/2022/005825/A 2z2</v>
          </cell>
        </row>
        <row r="10275">
          <cell r="D10275" t="str">
            <v>BPN</v>
          </cell>
          <cell r="E10275" t="str">
            <v>EB20BS009586</v>
          </cell>
          <cell r="K10275" t="str">
            <v>gwarancja rozszerzona; SO/2022/005825/A 2z2</v>
          </cell>
        </row>
        <row r="10276">
          <cell r="D10276" t="str">
            <v>RSC</v>
          </cell>
          <cell r="E10276" t="str">
            <v>VR21CS005013</v>
          </cell>
          <cell r="K10276" t="str">
            <v>gwarancja rozszerzona; SO/2022/005825/A 2z2</v>
          </cell>
        </row>
        <row r="10277">
          <cell r="D10277" t="str">
            <v>SYS-1019C-HTN2</v>
          </cell>
          <cell r="E10277" t="str">
            <v>A345069X2409109</v>
          </cell>
          <cell r="K10277" t="str">
            <v>gwarancja rozszerzona; SO/2022/005825/A 1z2</v>
          </cell>
        </row>
        <row r="10278">
          <cell r="D10278" t="str">
            <v>CSE</v>
          </cell>
          <cell r="E10278" t="str">
            <v>C5100LL02RA0284</v>
          </cell>
          <cell r="K10278" t="str">
            <v>gwarancja rozszerzona; SO/2022/005825/A 1z2</v>
          </cell>
        </row>
        <row r="10279">
          <cell r="D10279" t="str">
            <v>PWS</v>
          </cell>
          <cell r="E10279" t="str">
            <v>P20310L29G29137</v>
          </cell>
          <cell r="K10279" t="str">
            <v>gwarancja rozszerzona; SO/2022/005825/A 1z2</v>
          </cell>
        </row>
        <row r="10280">
          <cell r="D10280" t="str">
            <v>MBD</v>
          </cell>
          <cell r="E10280" t="str">
            <v>VM221S012592</v>
          </cell>
          <cell r="K10280" t="str">
            <v>gwarancja rozszerzona; SO/2022/005825/A 1z2</v>
          </cell>
        </row>
        <row r="10281">
          <cell r="D10281" t="str">
            <v>BPN</v>
          </cell>
          <cell r="E10281" t="str">
            <v>EB20BS009577</v>
          </cell>
          <cell r="K10281" t="str">
            <v>gwarancja rozszerzona; SO/2022/005825/A 1z2</v>
          </cell>
        </row>
        <row r="10282">
          <cell r="D10282" t="str">
            <v>RSC</v>
          </cell>
          <cell r="E10282" t="str">
            <v>VR21CS005012</v>
          </cell>
          <cell r="K10282" t="str">
            <v>gwarancja rozszerzona; SO/2022/005825/A 1z2</v>
          </cell>
        </row>
        <row r="10283">
          <cell r="D10283" t="str">
            <v>SSG-6049P-E1CR60L</v>
          </cell>
          <cell r="E10283" t="str">
            <v>a318056x2405920</v>
          </cell>
          <cell r="K10283" t="str">
            <v>gwarancja rozszerzona</v>
          </cell>
        </row>
        <row r="10284">
          <cell r="D10284" t="str">
            <v>CSE</v>
          </cell>
          <cell r="E10284" t="str">
            <v>c946sal03ad0118</v>
          </cell>
        </row>
        <row r="10285">
          <cell r="D10285" t="str">
            <v>PWS</v>
          </cell>
          <cell r="E10285" t="str">
            <v>p2k5acm12xb1130</v>
          </cell>
        </row>
        <row r="10286">
          <cell r="D10286" t="str">
            <v>PWS</v>
          </cell>
          <cell r="E10286" t="str">
            <v>p2k5acm12xb1125</v>
          </cell>
        </row>
        <row r="10287">
          <cell r="D10287" t="str">
            <v>MBD</v>
          </cell>
          <cell r="E10287" t="str">
            <v>vm21bs015043</v>
          </cell>
        </row>
        <row r="10288">
          <cell r="D10288" t="str">
            <v>BPN</v>
          </cell>
          <cell r="E10288" t="str">
            <v>pb222s005339</v>
          </cell>
        </row>
        <row r="10289">
          <cell r="D10289" t="str">
            <v>BPN</v>
          </cell>
          <cell r="E10289" t="str">
            <v>pb222s005377</v>
          </cell>
        </row>
        <row r="10290">
          <cell r="D10290" t="str">
            <v>BPN</v>
          </cell>
          <cell r="E10290" t="str">
            <v>hb221s036587</v>
          </cell>
        </row>
        <row r="10291">
          <cell r="D10291" t="str">
            <v>AOC</v>
          </cell>
          <cell r="E10291" t="str">
            <v>za214s006153</v>
          </cell>
        </row>
        <row r="10292">
          <cell r="D10292" t="str">
            <v>CPU</v>
          </cell>
          <cell r="E10292" t="str">
            <v>m14m7y9300698</v>
          </cell>
        </row>
        <row r="10293">
          <cell r="D10293" t="str">
            <v>CPU</v>
          </cell>
          <cell r="E10293" t="str">
            <v>m14m7y9300755</v>
          </cell>
        </row>
        <row r="10294">
          <cell r="D10294" t="str">
            <v>MEM</v>
          </cell>
          <cell r="E10294" t="str">
            <v>80ad0121338570b53b</v>
          </cell>
        </row>
        <row r="10295">
          <cell r="D10295" t="str">
            <v>MEM</v>
          </cell>
          <cell r="E10295" t="str">
            <v>80ad0121338570b518</v>
          </cell>
        </row>
        <row r="10296">
          <cell r="D10296" t="str">
            <v>MEM</v>
          </cell>
          <cell r="E10296" t="str">
            <v>80ad0121338570b44f</v>
          </cell>
        </row>
        <row r="10297">
          <cell r="D10297" t="str">
            <v>MEM</v>
          </cell>
          <cell r="E10297" t="str">
            <v>80ad0121338570b486</v>
          </cell>
        </row>
        <row r="10298">
          <cell r="D10298" t="str">
            <v>MEM</v>
          </cell>
          <cell r="E10298" t="str">
            <v>80ad0121338570b488</v>
          </cell>
        </row>
        <row r="10299">
          <cell r="D10299" t="str">
            <v>MEM</v>
          </cell>
          <cell r="E10299" t="str">
            <v>80ad0121338570b44c</v>
          </cell>
        </row>
        <row r="10300">
          <cell r="D10300" t="str">
            <v>HDD</v>
          </cell>
          <cell r="E10300" t="str">
            <v>zr57zzs4</v>
          </cell>
        </row>
        <row r="10301">
          <cell r="D10301" t="str">
            <v>HDD</v>
          </cell>
          <cell r="E10301" t="str">
            <v>zr57yncg</v>
          </cell>
        </row>
        <row r="10302">
          <cell r="D10302" t="str">
            <v>HDD</v>
          </cell>
          <cell r="E10302" t="str">
            <v>zr581q7w</v>
          </cell>
        </row>
        <row r="10303">
          <cell r="D10303" t="str">
            <v>HDD</v>
          </cell>
          <cell r="E10303" t="str">
            <v>zr52h8b5</v>
          </cell>
        </row>
        <row r="10304">
          <cell r="D10304" t="str">
            <v>HDD</v>
          </cell>
          <cell r="E10304" t="str">
            <v>zr57jasx</v>
          </cell>
        </row>
        <row r="10305">
          <cell r="D10305" t="str">
            <v>HDD</v>
          </cell>
          <cell r="E10305" t="str">
            <v>zr57j0jq</v>
          </cell>
        </row>
        <row r="10306">
          <cell r="D10306" t="str">
            <v>HDD</v>
          </cell>
          <cell r="E10306" t="str">
            <v>zr58005t</v>
          </cell>
        </row>
        <row r="10307">
          <cell r="D10307" t="str">
            <v>HDD</v>
          </cell>
          <cell r="E10307" t="str">
            <v>zr57zg3d</v>
          </cell>
        </row>
        <row r="10308">
          <cell r="D10308" t="str">
            <v>HDD</v>
          </cell>
          <cell r="E10308" t="str">
            <v>zr57zzsq</v>
          </cell>
        </row>
        <row r="10309">
          <cell r="D10309" t="str">
            <v>HDD</v>
          </cell>
          <cell r="E10309" t="str">
            <v>zr57czj3</v>
          </cell>
        </row>
        <row r="10310">
          <cell r="D10310" t="str">
            <v>HDD</v>
          </cell>
          <cell r="E10310" t="str">
            <v>ZR574MGZ</v>
          </cell>
        </row>
        <row r="10311">
          <cell r="D10311" t="str">
            <v>HDD</v>
          </cell>
          <cell r="E10311" t="str">
            <v>ZR56YJ5D</v>
          </cell>
        </row>
        <row r="10312">
          <cell r="D10312" t="str">
            <v>HDD</v>
          </cell>
          <cell r="E10312" t="str">
            <v>ZR580014</v>
          </cell>
        </row>
        <row r="10313">
          <cell r="D10313" t="str">
            <v>HDD</v>
          </cell>
          <cell r="E10313" t="str">
            <v>ZR57GJ05</v>
          </cell>
        </row>
        <row r="10314">
          <cell r="D10314" t="str">
            <v>HDD</v>
          </cell>
          <cell r="E10314" t="str">
            <v>ZR57ZE7D</v>
          </cell>
        </row>
        <row r="10315">
          <cell r="D10315" t="str">
            <v>HDD</v>
          </cell>
          <cell r="E10315" t="str">
            <v>ZR57M5N8</v>
          </cell>
        </row>
        <row r="10316">
          <cell r="D10316" t="str">
            <v>HDD</v>
          </cell>
          <cell r="E10316" t="str">
            <v>ZR57QPB0</v>
          </cell>
        </row>
        <row r="10317">
          <cell r="D10317" t="str">
            <v>HDD</v>
          </cell>
          <cell r="E10317" t="str">
            <v>ZR57ZE8P</v>
          </cell>
        </row>
        <row r="10318">
          <cell r="D10318" t="str">
            <v>HDD</v>
          </cell>
          <cell r="E10318" t="str">
            <v>ZR57ZVEC</v>
          </cell>
        </row>
        <row r="10319">
          <cell r="D10319" t="str">
            <v>HDD</v>
          </cell>
          <cell r="E10319" t="str">
            <v>ZR57X6MS</v>
          </cell>
        </row>
        <row r="10320">
          <cell r="D10320" t="str">
            <v>HDD</v>
          </cell>
          <cell r="E10320" t="str">
            <v>ZR57QJLT</v>
          </cell>
        </row>
        <row r="10321">
          <cell r="D10321" t="str">
            <v>HDD</v>
          </cell>
          <cell r="E10321" t="str">
            <v>ZR57QH6Y</v>
          </cell>
        </row>
        <row r="10322">
          <cell r="D10322" t="str">
            <v>HDD</v>
          </cell>
          <cell r="E10322" t="str">
            <v>ZR57K3N0</v>
          </cell>
        </row>
        <row r="10323">
          <cell r="D10323" t="str">
            <v>HDD</v>
          </cell>
          <cell r="E10323" t="str">
            <v>ZR57RZGY</v>
          </cell>
        </row>
        <row r="10324">
          <cell r="D10324" t="str">
            <v>HDD</v>
          </cell>
          <cell r="E10324" t="str">
            <v>ZR5807AR</v>
          </cell>
        </row>
        <row r="10325">
          <cell r="D10325" t="str">
            <v>HDD</v>
          </cell>
          <cell r="E10325" t="str">
            <v>ZR58EWF7</v>
          </cell>
        </row>
        <row r="10326">
          <cell r="D10326" t="str">
            <v>HDD</v>
          </cell>
          <cell r="E10326" t="str">
            <v>ZR58D2DS</v>
          </cell>
        </row>
        <row r="10327">
          <cell r="D10327" t="str">
            <v>HDD</v>
          </cell>
          <cell r="E10327" t="str">
            <v>ZR58BGXZ</v>
          </cell>
        </row>
        <row r="10328">
          <cell r="D10328" t="str">
            <v>HDD</v>
          </cell>
          <cell r="E10328" t="str">
            <v>ZR58EP2F</v>
          </cell>
        </row>
        <row r="10329">
          <cell r="D10329" t="str">
            <v>HDD</v>
          </cell>
          <cell r="E10329" t="str">
            <v>ZR58EJCV</v>
          </cell>
        </row>
        <row r="10330">
          <cell r="D10330" t="str">
            <v>HDD</v>
          </cell>
          <cell r="E10330" t="str">
            <v>ZR58R529</v>
          </cell>
        </row>
        <row r="10331">
          <cell r="D10331" t="str">
            <v>HDD</v>
          </cell>
          <cell r="E10331" t="str">
            <v>ZR527428</v>
          </cell>
        </row>
        <row r="10332">
          <cell r="D10332" t="str">
            <v>HDD</v>
          </cell>
          <cell r="E10332" t="str">
            <v>ZR58EJEP</v>
          </cell>
        </row>
        <row r="10333">
          <cell r="D10333" t="str">
            <v>HDD</v>
          </cell>
          <cell r="E10333" t="str">
            <v>ZR578VQJ</v>
          </cell>
        </row>
        <row r="10334">
          <cell r="D10334" t="str">
            <v>HDD</v>
          </cell>
          <cell r="E10334" t="str">
            <v>ZR54R6B8</v>
          </cell>
        </row>
        <row r="10335">
          <cell r="D10335" t="str">
            <v>HDD</v>
          </cell>
          <cell r="E10335" t="str">
            <v>ZR5607HF</v>
          </cell>
        </row>
        <row r="10336">
          <cell r="D10336" t="str">
            <v>HDD</v>
          </cell>
          <cell r="E10336" t="str">
            <v>ZR57X8GN</v>
          </cell>
        </row>
        <row r="10337">
          <cell r="D10337" t="str">
            <v>HDD</v>
          </cell>
          <cell r="E10337" t="str">
            <v>ZR571ADP</v>
          </cell>
        </row>
        <row r="10338">
          <cell r="D10338" t="str">
            <v>HDD</v>
          </cell>
          <cell r="E10338" t="str">
            <v>ZR57ZZTX</v>
          </cell>
        </row>
        <row r="10339">
          <cell r="D10339" t="str">
            <v>HDD</v>
          </cell>
          <cell r="E10339" t="str">
            <v>ZR57HVMS</v>
          </cell>
        </row>
        <row r="10340">
          <cell r="D10340" t="str">
            <v>HDD</v>
          </cell>
          <cell r="E10340" t="str">
            <v>ZR5869CD</v>
          </cell>
        </row>
        <row r="10341">
          <cell r="D10341" t="str">
            <v>HDD</v>
          </cell>
          <cell r="E10341" t="str">
            <v>ZR57X7F4</v>
          </cell>
        </row>
        <row r="10342">
          <cell r="D10342" t="str">
            <v>HDD</v>
          </cell>
          <cell r="E10342" t="str">
            <v>ZR5868WE</v>
          </cell>
        </row>
        <row r="10343">
          <cell r="D10343" t="str">
            <v>HDD</v>
          </cell>
          <cell r="E10343" t="str">
            <v>ZR57X7B8</v>
          </cell>
        </row>
        <row r="10344">
          <cell r="D10344" t="str">
            <v>HDD</v>
          </cell>
          <cell r="E10344" t="str">
            <v>ZR54VKJB</v>
          </cell>
        </row>
        <row r="10345">
          <cell r="D10345" t="str">
            <v>HDD</v>
          </cell>
          <cell r="E10345" t="str">
            <v>ZR57QNX0</v>
          </cell>
        </row>
        <row r="10346">
          <cell r="D10346" t="str">
            <v>HDD</v>
          </cell>
          <cell r="E10346" t="str">
            <v>ZR57YL5E</v>
          </cell>
        </row>
        <row r="10347">
          <cell r="D10347" t="str">
            <v>HDD</v>
          </cell>
          <cell r="E10347" t="str">
            <v>ZR57PY38</v>
          </cell>
        </row>
        <row r="10348">
          <cell r="D10348" t="str">
            <v>HDD</v>
          </cell>
          <cell r="E10348" t="str">
            <v>ZR5733QW</v>
          </cell>
        </row>
        <row r="10349">
          <cell r="D10349" t="str">
            <v>HDD</v>
          </cell>
          <cell r="E10349" t="str">
            <v>ZR58QVA4</v>
          </cell>
        </row>
        <row r="10350">
          <cell r="D10350" t="str">
            <v>HDD</v>
          </cell>
          <cell r="E10350" t="str">
            <v>ZR54TR1R</v>
          </cell>
        </row>
        <row r="10351">
          <cell r="D10351" t="str">
            <v>HDD</v>
          </cell>
          <cell r="E10351" t="str">
            <v>ZR589ZHY</v>
          </cell>
        </row>
        <row r="10352">
          <cell r="D10352" t="str">
            <v>HDD</v>
          </cell>
          <cell r="E10352" t="str">
            <v>ZR58PLAR</v>
          </cell>
        </row>
        <row r="10353">
          <cell r="D10353" t="str">
            <v>HDD</v>
          </cell>
          <cell r="E10353" t="str">
            <v>ZR51X2N1</v>
          </cell>
        </row>
        <row r="10354">
          <cell r="D10354" t="str">
            <v>HDD</v>
          </cell>
          <cell r="E10354" t="str">
            <v>ZR58EJFX</v>
          </cell>
        </row>
        <row r="10355">
          <cell r="D10355" t="str">
            <v>HDD</v>
          </cell>
          <cell r="E10355" t="str">
            <v>ZR58EN4H</v>
          </cell>
        </row>
        <row r="10356">
          <cell r="D10356" t="str">
            <v>HDD</v>
          </cell>
          <cell r="E10356" t="str">
            <v>ZR57FPRY</v>
          </cell>
        </row>
        <row r="10357">
          <cell r="D10357" t="str">
            <v>HDD</v>
          </cell>
          <cell r="E10357" t="str">
            <v>ZR58BZLP</v>
          </cell>
        </row>
        <row r="10358">
          <cell r="D10358" t="str">
            <v>HDD</v>
          </cell>
          <cell r="E10358" t="str">
            <v>ZR58EK7H</v>
          </cell>
        </row>
        <row r="10359">
          <cell r="D10359" t="str">
            <v>HDD</v>
          </cell>
          <cell r="E10359" t="str">
            <v>ZR58Q063</v>
          </cell>
        </row>
        <row r="10360">
          <cell r="D10360" t="str">
            <v>AOC</v>
          </cell>
          <cell r="E10360" t="str">
            <v>OA173S005818</v>
          </cell>
        </row>
        <row r="10361">
          <cell r="D10361" t="str">
            <v>AOC</v>
          </cell>
          <cell r="E10361" t="str">
            <v>VA21AS021946</v>
          </cell>
        </row>
        <row r="10362">
          <cell r="D10362" t="str">
            <v>SSG-6049P-E1CR60L</v>
          </cell>
          <cell r="E10362" t="str">
            <v>A318056X2405916</v>
          </cell>
          <cell r="K10362" t="str">
            <v>gwarancja rozszerzona</v>
          </cell>
        </row>
        <row r="10363">
          <cell r="D10363" t="str">
            <v>CSE</v>
          </cell>
          <cell r="E10363" t="str">
            <v>C946SAL03AD0302</v>
          </cell>
        </row>
        <row r="10364">
          <cell r="D10364" t="str">
            <v>PWS</v>
          </cell>
          <cell r="E10364" t="str">
            <v>P2K5ACM05UB1969</v>
          </cell>
        </row>
        <row r="10365">
          <cell r="D10365" t="str">
            <v>PWS</v>
          </cell>
          <cell r="E10365" t="str">
            <v>P2K5ACM12XB1162</v>
          </cell>
        </row>
        <row r="10366">
          <cell r="D10366" t="str">
            <v>MBD</v>
          </cell>
          <cell r="E10366" t="str">
            <v>VM21BS015029</v>
          </cell>
        </row>
        <row r="10367">
          <cell r="D10367" t="str">
            <v>BPN</v>
          </cell>
          <cell r="E10367" t="str">
            <v>PB222S005371</v>
          </cell>
        </row>
        <row r="10368">
          <cell r="D10368" t="str">
            <v>BPN</v>
          </cell>
          <cell r="E10368" t="str">
            <v>PB222S005372</v>
          </cell>
        </row>
        <row r="10369">
          <cell r="D10369" t="str">
            <v>BPN</v>
          </cell>
          <cell r="E10369" t="str">
            <v>HB221S036580</v>
          </cell>
        </row>
        <row r="10370">
          <cell r="D10370" t="str">
            <v>AOC</v>
          </cell>
          <cell r="E10370" t="str">
            <v>ZA214S006704</v>
          </cell>
        </row>
        <row r="10371">
          <cell r="D10371" t="str">
            <v>CPU</v>
          </cell>
          <cell r="E10371" t="str">
            <v>M14M7Y9300052</v>
          </cell>
        </row>
        <row r="10372">
          <cell r="D10372" t="str">
            <v>CPU</v>
          </cell>
          <cell r="E10372" t="str">
            <v>M14M7Y9300368</v>
          </cell>
        </row>
        <row r="10373">
          <cell r="D10373" t="str">
            <v>MEM</v>
          </cell>
          <cell r="E10373" t="str">
            <v>80AD0121338570B44D</v>
          </cell>
        </row>
        <row r="10374">
          <cell r="D10374" t="str">
            <v>MEM</v>
          </cell>
          <cell r="E10374" t="str">
            <v>80AD0121338570B4FF</v>
          </cell>
        </row>
        <row r="10375">
          <cell r="D10375" t="str">
            <v>MEM</v>
          </cell>
          <cell r="E10375" t="str">
            <v>80AD0121338570B489</v>
          </cell>
        </row>
        <row r="10376">
          <cell r="D10376" t="str">
            <v>MEM</v>
          </cell>
          <cell r="E10376" t="str">
            <v>80AD0121338570B506</v>
          </cell>
        </row>
        <row r="10377">
          <cell r="D10377" t="str">
            <v>MEM</v>
          </cell>
          <cell r="E10377" t="str">
            <v>80AD0121338570B526</v>
          </cell>
        </row>
        <row r="10378">
          <cell r="D10378" t="str">
            <v>MEM</v>
          </cell>
          <cell r="E10378" t="str">
            <v>80AD0121338570B487</v>
          </cell>
        </row>
        <row r="10379">
          <cell r="D10379" t="str">
            <v>HDD</v>
          </cell>
          <cell r="E10379" t="str">
            <v>ZR51C0SS</v>
          </cell>
        </row>
        <row r="10380">
          <cell r="D10380" t="str">
            <v>HDD</v>
          </cell>
          <cell r="E10380" t="str">
            <v>ZR51BMD3</v>
          </cell>
        </row>
        <row r="10381">
          <cell r="D10381" t="str">
            <v>HDD</v>
          </cell>
          <cell r="E10381" t="str">
            <v>ZR51BAHY</v>
          </cell>
        </row>
        <row r="10382">
          <cell r="D10382" t="str">
            <v>HDD</v>
          </cell>
          <cell r="E10382" t="str">
            <v>ZR50GP3F</v>
          </cell>
        </row>
        <row r="10383">
          <cell r="D10383" t="str">
            <v>HDD</v>
          </cell>
          <cell r="E10383" t="str">
            <v>ZR50DK2A</v>
          </cell>
        </row>
        <row r="10384">
          <cell r="D10384" t="str">
            <v>HDD</v>
          </cell>
          <cell r="E10384" t="str">
            <v>ZR517Z8L</v>
          </cell>
        </row>
        <row r="10385">
          <cell r="D10385" t="str">
            <v>HDD</v>
          </cell>
          <cell r="E10385" t="str">
            <v>ZR50GMMW</v>
          </cell>
        </row>
        <row r="10386">
          <cell r="D10386" t="str">
            <v>HDD</v>
          </cell>
          <cell r="E10386" t="str">
            <v>ZR5180GM</v>
          </cell>
        </row>
        <row r="10387">
          <cell r="D10387" t="str">
            <v>HDD</v>
          </cell>
          <cell r="E10387" t="str">
            <v>ZR50B0FF</v>
          </cell>
        </row>
        <row r="10388">
          <cell r="D10388" t="str">
            <v>HDD</v>
          </cell>
          <cell r="E10388" t="str">
            <v>ZR5180N8</v>
          </cell>
        </row>
        <row r="10389">
          <cell r="D10389" t="str">
            <v>HDD</v>
          </cell>
          <cell r="E10389" t="str">
            <v>ZR51BM1W</v>
          </cell>
        </row>
        <row r="10390">
          <cell r="D10390" t="str">
            <v>HDD</v>
          </cell>
          <cell r="E10390" t="str">
            <v>ZR51BVLT</v>
          </cell>
        </row>
        <row r="10391">
          <cell r="D10391" t="str">
            <v>HDD</v>
          </cell>
          <cell r="E10391" t="str">
            <v>ZR51BVMC</v>
          </cell>
        </row>
        <row r="10392">
          <cell r="D10392" t="str">
            <v>HDD</v>
          </cell>
          <cell r="E10392" t="str">
            <v>ZR51BM1F</v>
          </cell>
        </row>
        <row r="10393">
          <cell r="D10393" t="str">
            <v>HDD</v>
          </cell>
          <cell r="E10393" t="str">
            <v>ZR50F401</v>
          </cell>
        </row>
        <row r="10394">
          <cell r="D10394" t="str">
            <v>HDD</v>
          </cell>
          <cell r="E10394" t="str">
            <v>ZR51BTPL</v>
          </cell>
        </row>
        <row r="10395">
          <cell r="D10395" t="str">
            <v>HDD</v>
          </cell>
          <cell r="E10395" t="str">
            <v>ZR5180M9</v>
          </cell>
        </row>
        <row r="10396">
          <cell r="D10396" t="str">
            <v>HDD</v>
          </cell>
          <cell r="E10396" t="str">
            <v>ZR51BVWY</v>
          </cell>
        </row>
        <row r="10397">
          <cell r="D10397" t="str">
            <v>HDD</v>
          </cell>
          <cell r="E10397" t="str">
            <v>ZR51BVDQ</v>
          </cell>
        </row>
        <row r="10398">
          <cell r="D10398" t="str">
            <v>HDD</v>
          </cell>
          <cell r="E10398" t="str">
            <v>ZR51BTM6</v>
          </cell>
        </row>
        <row r="10399">
          <cell r="D10399" t="str">
            <v>HDD</v>
          </cell>
          <cell r="E10399" t="str">
            <v>ZR51BAR9</v>
          </cell>
        </row>
        <row r="10400">
          <cell r="D10400" t="str">
            <v>HDD</v>
          </cell>
          <cell r="E10400" t="str">
            <v>ZR51BLVZ</v>
          </cell>
        </row>
        <row r="10401">
          <cell r="D10401" t="str">
            <v>HDD</v>
          </cell>
          <cell r="E10401" t="str">
            <v>ZR51C0JQ</v>
          </cell>
        </row>
        <row r="10402">
          <cell r="D10402" t="str">
            <v>HDD</v>
          </cell>
          <cell r="E10402" t="str">
            <v>ZR51BVG9</v>
          </cell>
        </row>
        <row r="10403">
          <cell r="D10403" t="str">
            <v>HDD</v>
          </cell>
          <cell r="E10403" t="str">
            <v>ZR5180J1</v>
          </cell>
        </row>
        <row r="10404">
          <cell r="D10404" t="str">
            <v>HDD</v>
          </cell>
          <cell r="E10404" t="str">
            <v>ZR50DPD8</v>
          </cell>
        </row>
        <row r="10405">
          <cell r="D10405" t="str">
            <v>HDD</v>
          </cell>
          <cell r="E10405" t="str">
            <v>ZR51BVVL</v>
          </cell>
        </row>
        <row r="10406">
          <cell r="D10406" t="str">
            <v>HDD</v>
          </cell>
          <cell r="E10406" t="str">
            <v>ZR51DV65</v>
          </cell>
        </row>
        <row r="10407">
          <cell r="D10407" t="str">
            <v>HDD</v>
          </cell>
          <cell r="E10407" t="str">
            <v>ZR5180M3</v>
          </cell>
        </row>
        <row r="10408">
          <cell r="D10408" t="str">
            <v>HDD</v>
          </cell>
          <cell r="E10408" t="str">
            <v>ZR5180KR</v>
          </cell>
        </row>
        <row r="10409">
          <cell r="D10409" t="str">
            <v>HDD</v>
          </cell>
          <cell r="E10409" t="str">
            <v>ZR5180HG</v>
          </cell>
        </row>
        <row r="10410">
          <cell r="D10410" t="str">
            <v>HDD</v>
          </cell>
          <cell r="E10410" t="str">
            <v>ZR51BVVY</v>
          </cell>
        </row>
        <row r="10411">
          <cell r="D10411" t="str">
            <v>HDD</v>
          </cell>
          <cell r="E10411" t="str">
            <v>ZR51C0PY</v>
          </cell>
        </row>
        <row r="10412">
          <cell r="D10412" t="str">
            <v>HDD</v>
          </cell>
          <cell r="E10412" t="str">
            <v>ZR51BVMB</v>
          </cell>
        </row>
        <row r="10413">
          <cell r="D10413" t="str">
            <v>HDD</v>
          </cell>
          <cell r="E10413" t="str">
            <v>ZR51BM8T</v>
          </cell>
        </row>
        <row r="10414">
          <cell r="D10414" t="str">
            <v>HDD</v>
          </cell>
          <cell r="E10414" t="str">
            <v>ZR51BMPF</v>
          </cell>
        </row>
        <row r="10415">
          <cell r="D10415" t="str">
            <v>HDD</v>
          </cell>
          <cell r="E10415" t="str">
            <v>ZR50F79A</v>
          </cell>
        </row>
        <row r="10416">
          <cell r="D10416" t="str">
            <v>HDD</v>
          </cell>
          <cell r="E10416" t="str">
            <v>ZR51BTRE</v>
          </cell>
        </row>
        <row r="10417">
          <cell r="D10417" t="str">
            <v>HDD</v>
          </cell>
          <cell r="E10417" t="str">
            <v>ZR51C09W</v>
          </cell>
        </row>
        <row r="10418">
          <cell r="D10418" t="str">
            <v>HDD</v>
          </cell>
          <cell r="E10418" t="str">
            <v>ZR5180LK</v>
          </cell>
        </row>
        <row r="10419">
          <cell r="D10419" t="str">
            <v>HDD</v>
          </cell>
          <cell r="E10419" t="str">
            <v>ZR50DZ3V</v>
          </cell>
        </row>
        <row r="10420">
          <cell r="D10420" t="str">
            <v>HDD</v>
          </cell>
          <cell r="E10420" t="str">
            <v>ZR51BM7V</v>
          </cell>
        </row>
        <row r="10421">
          <cell r="D10421" t="str">
            <v>HDD</v>
          </cell>
          <cell r="E10421" t="str">
            <v>ZR51B0CP</v>
          </cell>
        </row>
        <row r="10422">
          <cell r="D10422" t="str">
            <v>HDD</v>
          </cell>
          <cell r="E10422" t="str">
            <v>ZR51BTNT</v>
          </cell>
        </row>
        <row r="10423">
          <cell r="D10423" t="str">
            <v>HDD</v>
          </cell>
          <cell r="E10423" t="str">
            <v>ZR5180K0</v>
          </cell>
        </row>
        <row r="10424">
          <cell r="D10424" t="str">
            <v>HDD</v>
          </cell>
          <cell r="E10424" t="str">
            <v>ZR5180G9</v>
          </cell>
        </row>
        <row r="10425">
          <cell r="D10425" t="str">
            <v>HDD</v>
          </cell>
          <cell r="E10425" t="str">
            <v>ZR51BAJK</v>
          </cell>
        </row>
        <row r="10426">
          <cell r="D10426" t="str">
            <v>HDD</v>
          </cell>
          <cell r="E10426" t="str">
            <v>ZR5180L9</v>
          </cell>
        </row>
        <row r="10427">
          <cell r="D10427" t="str">
            <v>HDD</v>
          </cell>
          <cell r="E10427" t="str">
            <v>ZR51C0J3</v>
          </cell>
        </row>
        <row r="10428">
          <cell r="D10428" t="str">
            <v>HDD</v>
          </cell>
          <cell r="E10428" t="str">
            <v>ZR5180J7</v>
          </cell>
        </row>
        <row r="10429">
          <cell r="D10429" t="str">
            <v>HDD</v>
          </cell>
          <cell r="E10429" t="str">
            <v>ZR51C0JA</v>
          </cell>
        </row>
        <row r="10430">
          <cell r="D10430" t="str">
            <v>HDD</v>
          </cell>
          <cell r="E10430" t="str">
            <v>ZR51BVM9</v>
          </cell>
        </row>
        <row r="10431">
          <cell r="D10431" t="str">
            <v>HDD</v>
          </cell>
          <cell r="E10431" t="str">
            <v>ZR51BVP0</v>
          </cell>
        </row>
        <row r="10432">
          <cell r="D10432" t="str">
            <v>HDD</v>
          </cell>
          <cell r="E10432" t="str">
            <v>ZR51DV57</v>
          </cell>
        </row>
        <row r="10433">
          <cell r="D10433" t="str">
            <v>HDD</v>
          </cell>
          <cell r="E10433" t="str">
            <v>ZR5180LD</v>
          </cell>
        </row>
        <row r="10434">
          <cell r="D10434" t="str">
            <v>HDD</v>
          </cell>
          <cell r="E10434" t="str">
            <v>ZR5180HQ</v>
          </cell>
        </row>
        <row r="10435">
          <cell r="D10435" t="str">
            <v>HDD</v>
          </cell>
          <cell r="E10435" t="str">
            <v>ZR5180N1</v>
          </cell>
        </row>
        <row r="10436">
          <cell r="D10436" t="str">
            <v>HDD</v>
          </cell>
          <cell r="E10436" t="str">
            <v>ZR5180GK</v>
          </cell>
        </row>
        <row r="10437">
          <cell r="D10437" t="str">
            <v>HDD</v>
          </cell>
          <cell r="E10437" t="str">
            <v>ZR51BLWN</v>
          </cell>
        </row>
        <row r="10438">
          <cell r="D10438" t="str">
            <v>HDD</v>
          </cell>
          <cell r="E10438" t="str">
            <v>ZR51BAF5</v>
          </cell>
        </row>
        <row r="10439">
          <cell r="D10439" t="str">
            <v>AOC</v>
          </cell>
          <cell r="E10439" t="str">
            <v>OA173S021329</v>
          </cell>
        </row>
        <row r="10440">
          <cell r="D10440" t="str">
            <v>AOC</v>
          </cell>
          <cell r="E10440" t="str">
            <v>VA21AS021761</v>
          </cell>
        </row>
        <row r="10441">
          <cell r="D10441" t="str">
            <v>SSG-6049P-E1CR60L</v>
          </cell>
          <cell r="E10441" t="str">
            <v>A318056X2405917</v>
          </cell>
          <cell r="K10441" t="str">
            <v>gwarancja rozszerzona</v>
          </cell>
        </row>
        <row r="10442">
          <cell r="D10442" t="str">
            <v>CSE</v>
          </cell>
          <cell r="E10442" t="str">
            <v>C946SAL03AD0293</v>
          </cell>
        </row>
        <row r="10443">
          <cell r="D10443" t="str">
            <v>PWS</v>
          </cell>
          <cell r="E10443" t="str">
            <v>P2K5ACM12XB1124</v>
          </cell>
        </row>
        <row r="10444">
          <cell r="D10444" t="str">
            <v>PWS</v>
          </cell>
          <cell r="E10444" t="str">
            <v>P2K5ACM12XB1131</v>
          </cell>
        </row>
        <row r="10445">
          <cell r="D10445" t="str">
            <v>MBD</v>
          </cell>
          <cell r="E10445" t="str">
            <v>VM21BS015100</v>
          </cell>
        </row>
        <row r="10446">
          <cell r="D10446" t="str">
            <v>BPN</v>
          </cell>
          <cell r="E10446" t="str">
            <v>PB221S002153</v>
          </cell>
        </row>
        <row r="10447">
          <cell r="D10447" t="str">
            <v>BPN</v>
          </cell>
          <cell r="E10447" t="str">
            <v>PB221S002169</v>
          </cell>
        </row>
        <row r="10448">
          <cell r="D10448" t="str">
            <v>BPN</v>
          </cell>
          <cell r="E10448" t="str">
            <v>HB221S036579</v>
          </cell>
        </row>
        <row r="10449">
          <cell r="D10449" t="str">
            <v>AOC</v>
          </cell>
          <cell r="E10449" t="str">
            <v>ZA214S006160</v>
          </cell>
        </row>
        <row r="10450">
          <cell r="D10450" t="str">
            <v>CPU</v>
          </cell>
          <cell r="E10450" t="str">
            <v>M14M7Y9300589</v>
          </cell>
        </row>
        <row r="10451">
          <cell r="D10451" t="str">
            <v>CPU</v>
          </cell>
          <cell r="E10451" t="str">
            <v>M14M7Y9300743</v>
          </cell>
        </row>
        <row r="10452">
          <cell r="D10452" t="str">
            <v>MEM</v>
          </cell>
          <cell r="E10452" t="str">
            <v>80AD0121338570B51A</v>
          </cell>
        </row>
        <row r="10453">
          <cell r="D10453" t="str">
            <v>MEM</v>
          </cell>
          <cell r="E10453" t="str">
            <v>80AD0121338570B493</v>
          </cell>
        </row>
        <row r="10454">
          <cell r="D10454" t="str">
            <v>MEM</v>
          </cell>
          <cell r="E10454" t="str">
            <v>80AD0121338570B457</v>
          </cell>
        </row>
        <row r="10455">
          <cell r="D10455" t="str">
            <v>MEM</v>
          </cell>
          <cell r="E10455" t="str">
            <v>80AD0121338570B549</v>
          </cell>
        </row>
        <row r="10456">
          <cell r="D10456" t="str">
            <v>MEM</v>
          </cell>
          <cell r="E10456" t="str">
            <v>80AD0121338570B459</v>
          </cell>
        </row>
        <row r="10457">
          <cell r="D10457" t="str">
            <v>MEM</v>
          </cell>
          <cell r="E10457" t="str">
            <v>80AD0121338570B56D</v>
          </cell>
        </row>
        <row r="10458">
          <cell r="D10458" t="str">
            <v>HDD</v>
          </cell>
          <cell r="E10458" t="str">
            <v>ZR52FC2K</v>
          </cell>
        </row>
        <row r="10459">
          <cell r="D10459" t="str">
            <v>HDD</v>
          </cell>
          <cell r="E10459" t="str">
            <v>ZR52FCAC</v>
          </cell>
        </row>
        <row r="10460">
          <cell r="D10460" t="str">
            <v>HDD</v>
          </cell>
          <cell r="E10460" t="str">
            <v>ZR52F61G</v>
          </cell>
        </row>
        <row r="10461">
          <cell r="D10461" t="str">
            <v>HDD</v>
          </cell>
          <cell r="E10461" t="str">
            <v>ZR52F66K</v>
          </cell>
        </row>
        <row r="10462">
          <cell r="D10462" t="str">
            <v>HDD</v>
          </cell>
          <cell r="E10462" t="str">
            <v>ZR52DVQ6</v>
          </cell>
        </row>
        <row r="10463">
          <cell r="D10463" t="str">
            <v>HDD</v>
          </cell>
          <cell r="E10463" t="str">
            <v>ZR52F6N1</v>
          </cell>
        </row>
        <row r="10464">
          <cell r="D10464" t="str">
            <v>HDD</v>
          </cell>
          <cell r="E10464" t="str">
            <v>ZR52FDFB</v>
          </cell>
        </row>
        <row r="10465">
          <cell r="D10465" t="str">
            <v>HDD</v>
          </cell>
          <cell r="E10465" t="str">
            <v>ZR52F56Z</v>
          </cell>
        </row>
        <row r="10466">
          <cell r="D10466" t="str">
            <v>HDD</v>
          </cell>
          <cell r="E10466" t="str">
            <v>ZR52F5NS</v>
          </cell>
        </row>
        <row r="10467">
          <cell r="D10467" t="str">
            <v>HDD</v>
          </cell>
          <cell r="E10467" t="str">
            <v>ZR52DXN4</v>
          </cell>
        </row>
        <row r="10468">
          <cell r="D10468" t="str">
            <v>HDD</v>
          </cell>
          <cell r="E10468" t="str">
            <v>ZR52F6EP</v>
          </cell>
        </row>
        <row r="10469">
          <cell r="D10469" t="str">
            <v>HDD</v>
          </cell>
          <cell r="E10469" t="str">
            <v>ZR52FDBF</v>
          </cell>
        </row>
        <row r="10470">
          <cell r="D10470" t="str">
            <v>HDD</v>
          </cell>
          <cell r="E10470" t="str">
            <v>ZR52FDV7</v>
          </cell>
        </row>
        <row r="10471">
          <cell r="D10471" t="str">
            <v>HDD</v>
          </cell>
          <cell r="E10471" t="str">
            <v>ZR52F729</v>
          </cell>
        </row>
        <row r="10472">
          <cell r="D10472" t="str">
            <v>HDD</v>
          </cell>
          <cell r="E10472" t="str">
            <v>ZR52F60G</v>
          </cell>
        </row>
        <row r="10473">
          <cell r="D10473" t="str">
            <v>HDD</v>
          </cell>
          <cell r="E10473" t="str">
            <v>ZR52F7R0</v>
          </cell>
        </row>
        <row r="10474">
          <cell r="D10474" t="str">
            <v>HDD</v>
          </cell>
          <cell r="E10474" t="str">
            <v>ZR52FCP3</v>
          </cell>
        </row>
        <row r="10475">
          <cell r="D10475" t="str">
            <v>HDD</v>
          </cell>
          <cell r="E10475" t="str">
            <v>ZR52F6ZE</v>
          </cell>
        </row>
        <row r="10476">
          <cell r="D10476" t="str">
            <v>HDD</v>
          </cell>
          <cell r="E10476" t="str">
            <v>ZR52FJH5</v>
          </cell>
        </row>
        <row r="10477">
          <cell r="D10477" t="str">
            <v>HDD</v>
          </cell>
          <cell r="E10477" t="str">
            <v>ZR52DX7X</v>
          </cell>
        </row>
        <row r="10478">
          <cell r="D10478" t="str">
            <v>HDD</v>
          </cell>
          <cell r="E10478" t="str">
            <v>ZR52F6S1</v>
          </cell>
        </row>
        <row r="10479">
          <cell r="D10479" t="str">
            <v>HDD</v>
          </cell>
          <cell r="E10479" t="str">
            <v>ZR52F77C</v>
          </cell>
        </row>
        <row r="10480">
          <cell r="D10480" t="str">
            <v>HDD</v>
          </cell>
          <cell r="E10480" t="str">
            <v>ZR52FDE8</v>
          </cell>
        </row>
        <row r="10481">
          <cell r="D10481" t="str">
            <v>HDD</v>
          </cell>
          <cell r="E10481" t="str">
            <v>ZR52FGVG</v>
          </cell>
        </row>
        <row r="10482">
          <cell r="D10482" t="str">
            <v>HDD</v>
          </cell>
          <cell r="E10482" t="str">
            <v>ZR52DVTB</v>
          </cell>
        </row>
        <row r="10483">
          <cell r="D10483" t="str">
            <v>HDD</v>
          </cell>
          <cell r="E10483" t="str">
            <v>ZR52FV7G</v>
          </cell>
        </row>
        <row r="10484">
          <cell r="D10484" t="str">
            <v>HDD</v>
          </cell>
          <cell r="E10484" t="str">
            <v>ZR52BNNH</v>
          </cell>
        </row>
        <row r="10485">
          <cell r="D10485" t="str">
            <v>HDD</v>
          </cell>
          <cell r="E10485" t="str">
            <v>ZR52AWL2</v>
          </cell>
        </row>
        <row r="10486">
          <cell r="D10486" t="str">
            <v>HDD</v>
          </cell>
          <cell r="E10486" t="str">
            <v>ZR52CJ21</v>
          </cell>
        </row>
        <row r="10487">
          <cell r="D10487" t="str">
            <v>HDD</v>
          </cell>
          <cell r="E10487" t="str">
            <v>ZR52G1KV</v>
          </cell>
        </row>
        <row r="10488">
          <cell r="D10488" t="str">
            <v>HDD</v>
          </cell>
          <cell r="E10488" t="str">
            <v>ZR52D3T4</v>
          </cell>
        </row>
        <row r="10489">
          <cell r="D10489" t="str">
            <v>HDD</v>
          </cell>
          <cell r="E10489" t="str">
            <v>ZR52CTH8</v>
          </cell>
        </row>
        <row r="10490">
          <cell r="D10490" t="str">
            <v>HDD</v>
          </cell>
          <cell r="E10490" t="str">
            <v>ZR52C7KF</v>
          </cell>
        </row>
        <row r="10491">
          <cell r="D10491" t="str">
            <v>HDD</v>
          </cell>
          <cell r="E10491" t="str">
            <v>ZR52BNRW</v>
          </cell>
        </row>
        <row r="10492">
          <cell r="D10492" t="str">
            <v>HDD</v>
          </cell>
          <cell r="E10492" t="str">
            <v>ZR52F7WG</v>
          </cell>
        </row>
        <row r="10493">
          <cell r="D10493" t="str">
            <v>HDD</v>
          </cell>
          <cell r="E10493" t="str">
            <v>ZR52FJHH</v>
          </cell>
        </row>
        <row r="10494">
          <cell r="D10494" t="str">
            <v>HDD</v>
          </cell>
          <cell r="E10494" t="str">
            <v>ZR52FCXA</v>
          </cell>
        </row>
        <row r="10495">
          <cell r="D10495" t="str">
            <v>HDD</v>
          </cell>
          <cell r="E10495" t="str">
            <v>ZR52F6E0</v>
          </cell>
        </row>
        <row r="10496">
          <cell r="D10496" t="str">
            <v>HDD</v>
          </cell>
          <cell r="E10496" t="str">
            <v>ZR52FGTA</v>
          </cell>
        </row>
        <row r="10497">
          <cell r="D10497" t="str">
            <v>HDD</v>
          </cell>
          <cell r="E10497" t="str">
            <v>ZR52DWB7</v>
          </cell>
        </row>
        <row r="10498">
          <cell r="D10498" t="str">
            <v>HDD</v>
          </cell>
          <cell r="E10498" t="str">
            <v>ZR52FDJ5</v>
          </cell>
        </row>
        <row r="10499">
          <cell r="D10499" t="str">
            <v>HDD</v>
          </cell>
          <cell r="E10499" t="str">
            <v>ZR52F52A</v>
          </cell>
        </row>
        <row r="10500">
          <cell r="D10500" t="str">
            <v>HDD</v>
          </cell>
          <cell r="E10500" t="str">
            <v>ZR52F6V4</v>
          </cell>
        </row>
        <row r="10501">
          <cell r="D10501" t="str">
            <v>HDD</v>
          </cell>
          <cell r="E10501" t="str">
            <v>ZR52FGY6</v>
          </cell>
        </row>
        <row r="10502">
          <cell r="D10502" t="str">
            <v>HDD</v>
          </cell>
          <cell r="E10502" t="str">
            <v>ZR52DVY1</v>
          </cell>
        </row>
        <row r="10503">
          <cell r="D10503" t="str">
            <v>HDD</v>
          </cell>
          <cell r="E10503" t="str">
            <v>ZR52F5RW</v>
          </cell>
        </row>
        <row r="10504">
          <cell r="D10504" t="str">
            <v>HDD</v>
          </cell>
          <cell r="E10504" t="str">
            <v>ZR52F6QC</v>
          </cell>
        </row>
        <row r="10505">
          <cell r="D10505" t="str">
            <v>HDD</v>
          </cell>
          <cell r="E10505" t="str">
            <v>ZR52FHWN</v>
          </cell>
        </row>
        <row r="10506">
          <cell r="D10506" t="str">
            <v>HDD</v>
          </cell>
          <cell r="E10506" t="str">
            <v>ZR52FDJX</v>
          </cell>
        </row>
        <row r="10507">
          <cell r="D10507" t="str">
            <v>HDD</v>
          </cell>
          <cell r="E10507" t="str">
            <v>ZR52FW97</v>
          </cell>
        </row>
        <row r="10508">
          <cell r="D10508" t="str">
            <v>HDD</v>
          </cell>
          <cell r="E10508" t="str">
            <v>ZR52G170</v>
          </cell>
        </row>
        <row r="10509">
          <cell r="D10509" t="str">
            <v>HDD</v>
          </cell>
          <cell r="E10509" t="str">
            <v>ZR52G6JR</v>
          </cell>
        </row>
        <row r="10510">
          <cell r="D10510" t="str">
            <v>HDD</v>
          </cell>
          <cell r="E10510" t="str">
            <v>ZR52G6PQ</v>
          </cell>
        </row>
        <row r="10511">
          <cell r="D10511" t="str">
            <v>HDD</v>
          </cell>
          <cell r="E10511" t="str">
            <v>ZR52CHSB</v>
          </cell>
        </row>
        <row r="10512">
          <cell r="D10512" t="str">
            <v>HDD</v>
          </cell>
          <cell r="E10512" t="str">
            <v>ZR52C8E6</v>
          </cell>
        </row>
        <row r="10513">
          <cell r="D10513" t="str">
            <v>HDD</v>
          </cell>
          <cell r="E10513" t="str">
            <v>ZR52G0V6</v>
          </cell>
        </row>
        <row r="10514">
          <cell r="D10514" t="str">
            <v>HDD</v>
          </cell>
          <cell r="E10514" t="str">
            <v>ZR52CJ1S</v>
          </cell>
        </row>
        <row r="10515">
          <cell r="D10515" t="str">
            <v>HDD</v>
          </cell>
          <cell r="E10515" t="str">
            <v>ZR52CHVK</v>
          </cell>
        </row>
        <row r="10516">
          <cell r="D10516" t="str">
            <v>HDD</v>
          </cell>
          <cell r="E10516" t="str">
            <v>ZR52AW7B</v>
          </cell>
        </row>
        <row r="10517">
          <cell r="D10517" t="str">
            <v>HDD</v>
          </cell>
          <cell r="E10517" t="str">
            <v>ZR52D3MV</v>
          </cell>
        </row>
        <row r="10518">
          <cell r="D10518" t="str">
            <v>AOC</v>
          </cell>
          <cell r="E10518" t="str">
            <v>OA173S021396</v>
          </cell>
        </row>
        <row r="10519">
          <cell r="D10519" t="str">
            <v>AOC</v>
          </cell>
          <cell r="E10519" t="str">
            <v>VA21AS022049</v>
          </cell>
        </row>
        <row r="10520">
          <cell r="D10520" t="str">
            <v>SSG-6049P-E1CR60L</v>
          </cell>
          <cell r="E10520" t="str">
            <v>A318056X2405919</v>
          </cell>
          <cell r="K10520" t="str">
            <v>gwarancja rozszerzona</v>
          </cell>
        </row>
        <row r="10521">
          <cell r="D10521" t="str">
            <v>CSE</v>
          </cell>
          <cell r="E10521" t="str">
            <v>C946SAL03AD0117</v>
          </cell>
        </row>
        <row r="10522">
          <cell r="D10522" t="str">
            <v>PWS</v>
          </cell>
          <cell r="E10522" t="str">
            <v>P2K5ACM12XB1126</v>
          </cell>
        </row>
        <row r="10523">
          <cell r="D10523" t="str">
            <v>PWS</v>
          </cell>
          <cell r="E10523" t="str">
            <v>P2K5ACM12XB1127</v>
          </cell>
        </row>
        <row r="10524">
          <cell r="D10524" t="str">
            <v>MBD</v>
          </cell>
          <cell r="E10524" t="str">
            <v>VM21BS015048</v>
          </cell>
        </row>
        <row r="10525">
          <cell r="D10525" t="str">
            <v>BPN</v>
          </cell>
          <cell r="E10525" t="str">
            <v>PB222S005375</v>
          </cell>
        </row>
        <row r="10526">
          <cell r="D10526" t="str">
            <v>BPN</v>
          </cell>
          <cell r="E10526" t="str">
            <v>PB221S007475</v>
          </cell>
        </row>
        <row r="10527">
          <cell r="D10527" t="str">
            <v>BPN</v>
          </cell>
          <cell r="E10527" t="str">
            <v>HB221S036583</v>
          </cell>
        </row>
        <row r="10528">
          <cell r="D10528" t="str">
            <v>AOC</v>
          </cell>
          <cell r="E10528" t="str">
            <v>ZA214S006219</v>
          </cell>
        </row>
        <row r="10529">
          <cell r="D10529" t="str">
            <v>CPU</v>
          </cell>
          <cell r="E10529" t="str">
            <v>M14M7Y9300409</v>
          </cell>
        </row>
        <row r="10530">
          <cell r="D10530" t="str">
            <v>CPU</v>
          </cell>
          <cell r="E10530" t="str">
            <v>M14M7Y9300420</v>
          </cell>
        </row>
        <row r="10531">
          <cell r="D10531" t="str">
            <v>MEM</v>
          </cell>
          <cell r="E10531" t="str">
            <v>80AD0121338570B507</v>
          </cell>
        </row>
        <row r="10532">
          <cell r="D10532" t="str">
            <v>MEM</v>
          </cell>
          <cell r="E10532" t="str">
            <v>80AD0121338570B540</v>
          </cell>
        </row>
        <row r="10533">
          <cell r="D10533" t="str">
            <v>MEM</v>
          </cell>
          <cell r="E10533" t="str">
            <v>80AD0121338570B54A</v>
          </cell>
        </row>
        <row r="10534">
          <cell r="D10534" t="str">
            <v>MEM</v>
          </cell>
          <cell r="E10534" t="str">
            <v>80AD0121338570B57E</v>
          </cell>
        </row>
        <row r="10535">
          <cell r="D10535" t="str">
            <v>MEM</v>
          </cell>
          <cell r="E10535" t="str">
            <v>80AD0121338570B51D</v>
          </cell>
        </row>
        <row r="10536">
          <cell r="D10536" t="str">
            <v>MEM</v>
          </cell>
          <cell r="E10536" t="str">
            <v>80AD0121338570B541</v>
          </cell>
        </row>
        <row r="10537">
          <cell r="D10537" t="str">
            <v>HDD</v>
          </cell>
          <cell r="E10537" t="str">
            <v>ZR52G1M1</v>
          </cell>
        </row>
        <row r="10538">
          <cell r="D10538" t="str">
            <v>HDD</v>
          </cell>
          <cell r="E10538" t="str">
            <v>ZR51BVMX</v>
          </cell>
        </row>
        <row r="10539">
          <cell r="D10539" t="str">
            <v>HDD</v>
          </cell>
          <cell r="E10539" t="str">
            <v>ZR52G1HL</v>
          </cell>
        </row>
        <row r="10540">
          <cell r="D10540" t="str">
            <v>HDD</v>
          </cell>
          <cell r="E10540" t="str">
            <v>ZR50FCLP</v>
          </cell>
        </row>
        <row r="10541">
          <cell r="D10541" t="str">
            <v>HDD</v>
          </cell>
          <cell r="E10541" t="str">
            <v>ZR5180JL</v>
          </cell>
        </row>
        <row r="10542">
          <cell r="D10542" t="str">
            <v>HDD</v>
          </cell>
          <cell r="E10542" t="str">
            <v>ZR52G1MC</v>
          </cell>
        </row>
        <row r="10543">
          <cell r="D10543" t="str">
            <v>HDD</v>
          </cell>
          <cell r="E10543" t="str">
            <v>ZR5180MF</v>
          </cell>
        </row>
        <row r="10544">
          <cell r="D10544" t="str">
            <v>HDD</v>
          </cell>
          <cell r="E10544" t="str">
            <v>ZR52G6KJ</v>
          </cell>
        </row>
        <row r="10545">
          <cell r="D10545" t="str">
            <v>HDD</v>
          </cell>
          <cell r="E10545" t="str">
            <v>ZR52G1GH</v>
          </cell>
        </row>
        <row r="10546">
          <cell r="D10546" t="str">
            <v>HDD</v>
          </cell>
          <cell r="E10546" t="str">
            <v>ZR52G1HG</v>
          </cell>
        </row>
        <row r="10547">
          <cell r="D10547" t="str">
            <v>HDD</v>
          </cell>
          <cell r="E10547" t="str">
            <v>ZR52B1X9</v>
          </cell>
        </row>
        <row r="10548">
          <cell r="D10548" t="str">
            <v>HDD</v>
          </cell>
          <cell r="E10548" t="str">
            <v>ZR52G175</v>
          </cell>
        </row>
        <row r="10549">
          <cell r="D10549" t="str">
            <v>HDD</v>
          </cell>
          <cell r="E10549" t="str">
            <v>ZR52G1MB</v>
          </cell>
        </row>
        <row r="10550">
          <cell r="D10550" t="str">
            <v>HDD</v>
          </cell>
          <cell r="E10550" t="str">
            <v>ZR52G1J7</v>
          </cell>
        </row>
        <row r="10551">
          <cell r="D10551" t="str">
            <v>HDD</v>
          </cell>
          <cell r="E10551" t="str">
            <v>ZR52G1KA</v>
          </cell>
        </row>
        <row r="10552">
          <cell r="D10552" t="str">
            <v>HDD</v>
          </cell>
          <cell r="E10552" t="str">
            <v>ZR52FV3T</v>
          </cell>
        </row>
        <row r="10553">
          <cell r="D10553" t="str">
            <v>HDD</v>
          </cell>
          <cell r="E10553" t="str">
            <v>ZR52B1XG</v>
          </cell>
        </row>
        <row r="10554">
          <cell r="D10554" t="str">
            <v>HDD</v>
          </cell>
          <cell r="E10554" t="str">
            <v>ZR52BNNJ</v>
          </cell>
        </row>
        <row r="10555">
          <cell r="D10555" t="str">
            <v>HDD</v>
          </cell>
          <cell r="E10555" t="str">
            <v>ZR52B1XQ</v>
          </cell>
        </row>
        <row r="10556">
          <cell r="D10556" t="str">
            <v>HDD</v>
          </cell>
          <cell r="E10556" t="str">
            <v>ZR52FV53</v>
          </cell>
        </row>
        <row r="10557">
          <cell r="D10557" t="str">
            <v>HDD</v>
          </cell>
          <cell r="E10557" t="str">
            <v>ZR52BYXY</v>
          </cell>
        </row>
        <row r="10558">
          <cell r="D10558" t="str">
            <v>HDD</v>
          </cell>
          <cell r="E10558" t="str">
            <v>ZR52G1H8</v>
          </cell>
        </row>
        <row r="10559">
          <cell r="D10559" t="str">
            <v>HDD</v>
          </cell>
          <cell r="E10559" t="str">
            <v>ZR52BMQH</v>
          </cell>
        </row>
        <row r="10560">
          <cell r="D10560" t="str">
            <v>HDD</v>
          </cell>
          <cell r="E10560" t="str">
            <v>ZR52BYXK</v>
          </cell>
        </row>
        <row r="10561">
          <cell r="D10561" t="str">
            <v>HDD</v>
          </cell>
          <cell r="E10561" t="str">
            <v>ZR52BNRP</v>
          </cell>
        </row>
        <row r="10562">
          <cell r="D10562" t="str">
            <v>HDD</v>
          </cell>
          <cell r="E10562" t="str">
            <v>ZR519BC4</v>
          </cell>
        </row>
        <row r="10563">
          <cell r="D10563" t="str">
            <v>HDD</v>
          </cell>
          <cell r="E10563" t="str">
            <v>ZR52BYXX</v>
          </cell>
        </row>
        <row r="10564">
          <cell r="D10564" t="str">
            <v>HDD</v>
          </cell>
          <cell r="E10564" t="str">
            <v>ZR51BZVN</v>
          </cell>
        </row>
        <row r="10565">
          <cell r="D10565" t="str">
            <v>HDD</v>
          </cell>
          <cell r="E10565" t="str">
            <v>ZR52G1NM</v>
          </cell>
        </row>
        <row r="10566">
          <cell r="D10566" t="str">
            <v>HDD</v>
          </cell>
          <cell r="E10566" t="str">
            <v>ZR51CE8W</v>
          </cell>
        </row>
        <row r="10567">
          <cell r="D10567" t="str">
            <v>HDD</v>
          </cell>
          <cell r="E10567" t="str">
            <v>ZR51AQ9V</v>
          </cell>
        </row>
        <row r="10568">
          <cell r="D10568" t="str">
            <v>HDD</v>
          </cell>
          <cell r="E10568" t="str">
            <v>ZR519QTK</v>
          </cell>
        </row>
        <row r="10569">
          <cell r="D10569" t="str">
            <v>HDD</v>
          </cell>
          <cell r="E10569" t="str">
            <v>ZR51BAE1</v>
          </cell>
        </row>
        <row r="10570">
          <cell r="D10570" t="str">
            <v>HDD</v>
          </cell>
          <cell r="E10570" t="str">
            <v>ZR517LDP</v>
          </cell>
        </row>
        <row r="10571">
          <cell r="D10571" t="str">
            <v>HDD</v>
          </cell>
          <cell r="E10571" t="str">
            <v>ZR52G6JK</v>
          </cell>
        </row>
        <row r="10572">
          <cell r="D10572" t="str">
            <v>HDD</v>
          </cell>
          <cell r="E10572" t="str">
            <v>ZR52G1H7</v>
          </cell>
        </row>
        <row r="10573">
          <cell r="D10573" t="str">
            <v>HDD</v>
          </cell>
          <cell r="E10573" t="str">
            <v>ZR52G173</v>
          </cell>
        </row>
        <row r="10574">
          <cell r="D10574" t="str">
            <v>HDD</v>
          </cell>
          <cell r="E10574" t="str">
            <v>ZR52G1G6</v>
          </cell>
        </row>
        <row r="10575">
          <cell r="D10575" t="str">
            <v>HDD</v>
          </cell>
          <cell r="E10575" t="str">
            <v>ZR52G1BQ</v>
          </cell>
        </row>
        <row r="10576">
          <cell r="D10576" t="str">
            <v>HDD</v>
          </cell>
          <cell r="E10576" t="str">
            <v>ZR52G1F6</v>
          </cell>
        </row>
        <row r="10577">
          <cell r="D10577" t="str">
            <v>HDD</v>
          </cell>
          <cell r="E10577" t="str">
            <v>ZR52G6P1</v>
          </cell>
        </row>
        <row r="10578">
          <cell r="D10578" t="str">
            <v>HDD</v>
          </cell>
          <cell r="E10578" t="str">
            <v>ZR52B1XC</v>
          </cell>
        </row>
        <row r="10579">
          <cell r="D10579" t="str">
            <v>HDD</v>
          </cell>
          <cell r="E10579" t="str">
            <v>ZR52AWDY</v>
          </cell>
        </row>
        <row r="10580">
          <cell r="D10580" t="str">
            <v>HDD</v>
          </cell>
          <cell r="E10580" t="str">
            <v>ZR52FVQK</v>
          </cell>
        </row>
        <row r="10581">
          <cell r="D10581" t="str">
            <v>HDD</v>
          </cell>
          <cell r="E10581" t="str">
            <v>ZR52G17L</v>
          </cell>
        </row>
        <row r="10582">
          <cell r="D10582" t="str">
            <v>HDD</v>
          </cell>
          <cell r="E10582" t="str">
            <v>ZR52BNPN</v>
          </cell>
        </row>
        <row r="10583">
          <cell r="D10583" t="str">
            <v>HDD</v>
          </cell>
          <cell r="E10583" t="str">
            <v>ZR52G1ML</v>
          </cell>
        </row>
        <row r="10584">
          <cell r="D10584" t="str">
            <v>HDD</v>
          </cell>
          <cell r="E10584" t="str">
            <v>ZR52BKWY</v>
          </cell>
        </row>
        <row r="10585">
          <cell r="D10585" t="str">
            <v>HDD</v>
          </cell>
          <cell r="E10585" t="str">
            <v>ZR52BKW5</v>
          </cell>
        </row>
        <row r="10586">
          <cell r="D10586" t="str">
            <v>HDD</v>
          </cell>
          <cell r="E10586" t="str">
            <v>ZR52BYY6</v>
          </cell>
        </row>
        <row r="10587">
          <cell r="D10587" t="str">
            <v>HDD</v>
          </cell>
          <cell r="E10587" t="str">
            <v>ZR519NVZ</v>
          </cell>
        </row>
        <row r="10588">
          <cell r="D10588" t="str">
            <v>HDD</v>
          </cell>
          <cell r="E10588" t="str">
            <v>ZR52BNP2</v>
          </cell>
        </row>
        <row r="10589">
          <cell r="D10589" t="str">
            <v>HDD</v>
          </cell>
          <cell r="E10589" t="str">
            <v>ZR51BSY3</v>
          </cell>
        </row>
        <row r="10590">
          <cell r="D10590" t="str">
            <v>HDD</v>
          </cell>
          <cell r="E10590" t="str">
            <v>ZR5163RH</v>
          </cell>
        </row>
        <row r="10591">
          <cell r="D10591" t="str">
            <v>HDD</v>
          </cell>
          <cell r="E10591" t="str">
            <v>ZR517LSF</v>
          </cell>
        </row>
        <row r="10592">
          <cell r="D10592" t="str">
            <v>HDD</v>
          </cell>
          <cell r="E10592" t="str">
            <v>ZR519CBY</v>
          </cell>
        </row>
        <row r="10593">
          <cell r="D10593" t="str">
            <v>HDD</v>
          </cell>
          <cell r="E10593" t="str">
            <v>ZR51C0GK</v>
          </cell>
        </row>
        <row r="10594">
          <cell r="D10594" t="str">
            <v>HDD</v>
          </cell>
          <cell r="E10594" t="str">
            <v>ZR51AQAA</v>
          </cell>
        </row>
        <row r="10595">
          <cell r="D10595" t="str">
            <v>HDD</v>
          </cell>
          <cell r="E10595" t="str">
            <v>ZR50KBGX</v>
          </cell>
        </row>
        <row r="10596">
          <cell r="D10596" t="str">
            <v>HDD</v>
          </cell>
          <cell r="E10596" t="str">
            <v>ZR50B8XA</v>
          </cell>
        </row>
        <row r="10597">
          <cell r="D10597" t="str">
            <v>AOC</v>
          </cell>
          <cell r="E10597" t="str">
            <v>OA173S021333</v>
          </cell>
        </row>
        <row r="10598">
          <cell r="D10598" t="str">
            <v>AOC</v>
          </cell>
          <cell r="E10598" t="str">
            <v>VA21AS021210</v>
          </cell>
        </row>
        <row r="10599">
          <cell r="D10599" t="str">
            <v>SSG-6049P-E1CR60L</v>
          </cell>
          <cell r="E10599" t="str">
            <v>A318056X2405918</v>
          </cell>
          <cell r="K10599" t="str">
            <v>gwarancja rozszerzona</v>
          </cell>
        </row>
        <row r="10600">
          <cell r="D10600" t="str">
            <v>CSE</v>
          </cell>
          <cell r="E10600" t="str">
            <v>C946SAL03AD0294</v>
          </cell>
        </row>
        <row r="10601">
          <cell r="D10601" t="str">
            <v>PWS</v>
          </cell>
          <cell r="E10601" t="str">
            <v>P2K5ACM12XB1128</v>
          </cell>
        </row>
        <row r="10602">
          <cell r="D10602" t="str">
            <v>PWS</v>
          </cell>
          <cell r="E10602" t="str">
            <v>P2K5ACM12XB1129</v>
          </cell>
        </row>
        <row r="10603">
          <cell r="D10603" t="str">
            <v>MBD</v>
          </cell>
          <cell r="E10603" t="str">
            <v>VM21BS015030</v>
          </cell>
        </row>
        <row r="10604">
          <cell r="D10604" t="str">
            <v>BPN</v>
          </cell>
          <cell r="E10604" t="str">
            <v>PB222S005373</v>
          </cell>
        </row>
        <row r="10605">
          <cell r="D10605" t="str">
            <v>BPN</v>
          </cell>
          <cell r="E10605" t="str">
            <v>PB222S005374</v>
          </cell>
        </row>
        <row r="10606">
          <cell r="D10606" t="str">
            <v>BPN</v>
          </cell>
          <cell r="E10606" t="str">
            <v>HB221S036578</v>
          </cell>
        </row>
        <row r="10607">
          <cell r="D10607" t="str">
            <v>AOC</v>
          </cell>
          <cell r="E10607" t="str">
            <v>ZA214S006161</v>
          </cell>
        </row>
        <row r="10608">
          <cell r="D10608" t="str">
            <v>CPU</v>
          </cell>
          <cell r="E10608" t="str">
            <v>M14M7Y9300446</v>
          </cell>
        </row>
        <row r="10609">
          <cell r="D10609" t="str">
            <v>CPU</v>
          </cell>
          <cell r="E10609" t="str">
            <v>M14M7Y9300186</v>
          </cell>
        </row>
        <row r="10610">
          <cell r="D10610" t="str">
            <v>MEM</v>
          </cell>
          <cell r="E10610" t="str">
            <v>80AD0121338570B522</v>
          </cell>
        </row>
        <row r="10611">
          <cell r="D10611" t="str">
            <v>MEM</v>
          </cell>
          <cell r="E10611" t="str">
            <v>80AD0121338570B534</v>
          </cell>
        </row>
        <row r="10612">
          <cell r="D10612" t="str">
            <v>MEM</v>
          </cell>
          <cell r="E10612" t="str">
            <v>80AD0121338570B53D</v>
          </cell>
        </row>
        <row r="10613">
          <cell r="D10613" t="str">
            <v>MEM</v>
          </cell>
          <cell r="E10613" t="str">
            <v>80AD0121338570B535</v>
          </cell>
        </row>
        <row r="10614">
          <cell r="D10614" t="str">
            <v>MEM</v>
          </cell>
          <cell r="E10614" t="str">
            <v>80AD0121338570B51B</v>
          </cell>
        </row>
        <row r="10615">
          <cell r="D10615" t="str">
            <v>MEM</v>
          </cell>
          <cell r="E10615" t="str">
            <v>80AD0121338570B4FE</v>
          </cell>
        </row>
        <row r="10616">
          <cell r="D10616" t="str">
            <v>HDD</v>
          </cell>
          <cell r="E10616" t="str">
            <v>ZR50FK7R</v>
          </cell>
        </row>
        <row r="10617">
          <cell r="D10617" t="str">
            <v>HDD</v>
          </cell>
          <cell r="E10617" t="str">
            <v>ZR51BTS2</v>
          </cell>
        </row>
        <row r="10618">
          <cell r="D10618" t="str">
            <v>HDD</v>
          </cell>
          <cell r="E10618" t="str">
            <v>ZR51C0TF</v>
          </cell>
        </row>
        <row r="10619">
          <cell r="D10619" t="str">
            <v>HDD</v>
          </cell>
          <cell r="E10619" t="str">
            <v>ZR51BMKR</v>
          </cell>
        </row>
        <row r="10620">
          <cell r="D10620" t="str">
            <v>HDD</v>
          </cell>
          <cell r="E10620" t="str">
            <v>ZR50FGQM</v>
          </cell>
        </row>
        <row r="10621">
          <cell r="D10621" t="str">
            <v>HDD</v>
          </cell>
          <cell r="E10621" t="str">
            <v>ZR50EGCT</v>
          </cell>
        </row>
        <row r="10622">
          <cell r="D10622" t="str">
            <v>HDD</v>
          </cell>
          <cell r="E10622" t="str">
            <v>ZR51C0LA</v>
          </cell>
        </row>
        <row r="10623">
          <cell r="D10623" t="str">
            <v>HDD</v>
          </cell>
          <cell r="E10623" t="str">
            <v>ZR51BMME</v>
          </cell>
        </row>
        <row r="10624">
          <cell r="D10624" t="str">
            <v>HDD</v>
          </cell>
          <cell r="E10624" t="str">
            <v>ZR51BM5J</v>
          </cell>
        </row>
        <row r="10625">
          <cell r="D10625" t="str">
            <v>HDD</v>
          </cell>
          <cell r="E10625" t="str">
            <v>ZR51BVKL</v>
          </cell>
        </row>
        <row r="10626">
          <cell r="D10626" t="str">
            <v>HDD</v>
          </cell>
          <cell r="E10626" t="str">
            <v>ZR51BM56</v>
          </cell>
        </row>
        <row r="10627">
          <cell r="D10627" t="str">
            <v>HDD</v>
          </cell>
          <cell r="E10627" t="str">
            <v>ZR52DXMG</v>
          </cell>
        </row>
        <row r="10628">
          <cell r="D10628" t="str">
            <v>HDD</v>
          </cell>
          <cell r="E10628" t="str">
            <v>ZR5180GW</v>
          </cell>
        </row>
        <row r="10629">
          <cell r="D10629" t="str">
            <v>HDD</v>
          </cell>
          <cell r="E10629" t="str">
            <v>ZR52CHXL</v>
          </cell>
        </row>
        <row r="10630">
          <cell r="D10630" t="str">
            <v>HDD</v>
          </cell>
          <cell r="E10630" t="str">
            <v>ZR51BACV</v>
          </cell>
        </row>
        <row r="10631">
          <cell r="D10631" t="str">
            <v>HDD</v>
          </cell>
          <cell r="E10631" t="str">
            <v>ZR52C7ZS</v>
          </cell>
        </row>
        <row r="10632">
          <cell r="D10632" t="str">
            <v>HDD</v>
          </cell>
          <cell r="E10632" t="str">
            <v>ZR52G1LW</v>
          </cell>
        </row>
        <row r="10633">
          <cell r="D10633" t="str">
            <v>HDD</v>
          </cell>
          <cell r="E10633" t="str">
            <v>ZR52C815</v>
          </cell>
        </row>
        <row r="10634">
          <cell r="D10634" t="str">
            <v>HDD</v>
          </cell>
          <cell r="E10634" t="str">
            <v>ZR52FTXE</v>
          </cell>
        </row>
        <row r="10635">
          <cell r="D10635" t="str">
            <v>HDD</v>
          </cell>
          <cell r="E10635" t="str">
            <v>ZR52C837</v>
          </cell>
        </row>
        <row r="10636">
          <cell r="D10636" t="str">
            <v>HDD</v>
          </cell>
          <cell r="E10636" t="str">
            <v>ZR52D4Y8</v>
          </cell>
        </row>
        <row r="10637">
          <cell r="D10637" t="str">
            <v>HDD</v>
          </cell>
          <cell r="E10637" t="str">
            <v>ZR52FHZ9</v>
          </cell>
        </row>
        <row r="10638">
          <cell r="D10638" t="str">
            <v>HDD</v>
          </cell>
          <cell r="E10638" t="str">
            <v>ZR50D03Y</v>
          </cell>
        </row>
        <row r="10639">
          <cell r="D10639" t="str">
            <v>HDD</v>
          </cell>
          <cell r="E10639" t="str">
            <v>ZR52BNNN</v>
          </cell>
        </row>
        <row r="10640">
          <cell r="D10640" t="str">
            <v>HDD</v>
          </cell>
          <cell r="E10640" t="str">
            <v>ZR52AY0H</v>
          </cell>
        </row>
        <row r="10641">
          <cell r="D10641" t="str">
            <v>HDD</v>
          </cell>
          <cell r="E10641" t="str">
            <v>ZR50GMEC</v>
          </cell>
        </row>
        <row r="10642">
          <cell r="D10642" t="str">
            <v>HDD</v>
          </cell>
          <cell r="E10642" t="str">
            <v>ZR51CXYB</v>
          </cell>
        </row>
        <row r="10643">
          <cell r="D10643" t="str">
            <v>HDD</v>
          </cell>
          <cell r="E10643" t="str">
            <v>ZR50ELZS</v>
          </cell>
        </row>
        <row r="10644">
          <cell r="D10644" t="str">
            <v>HDD</v>
          </cell>
          <cell r="E10644" t="str">
            <v>ZR50X1M1</v>
          </cell>
        </row>
        <row r="10645">
          <cell r="D10645" t="str">
            <v>HDD</v>
          </cell>
          <cell r="E10645" t="str">
            <v>ZR50FHHL</v>
          </cell>
        </row>
        <row r="10646">
          <cell r="D10646" t="str">
            <v>HDD</v>
          </cell>
          <cell r="E10646" t="str">
            <v>ZR50F26S</v>
          </cell>
        </row>
        <row r="10647">
          <cell r="D10647" t="str">
            <v>HDD</v>
          </cell>
          <cell r="E10647" t="str">
            <v>ZR50FH0J</v>
          </cell>
        </row>
        <row r="10648">
          <cell r="D10648" t="str">
            <v>HDD</v>
          </cell>
          <cell r="E10648" t="str">
            <v>ZR51DV5V</v>
          </cell>
        </row>
        <row r="10649">
          <cell r="D10649" t="str">
            <v>HDD</v>
          </cell>
          <cell r="E10649" t="str">
            <v>ZR50B98L</v>
          </cell>
        </row>
        <row r="10650">
          <cell r="D10650" t="str">
            <v>HDD</v>
          </cell>
          <cell r="E10650" t="str">
            <v>ZR52FHPJ</v>
          </cell>
        </row>
        <row r="10651">
          <cell r="D10651" t="str">
            <v>HDD</v>
          </cell>
          <cell r="E10651" t="str">
            <v>ZR50GNNE</v>
          </cell>
        </row>
        <row r="10652">
          <cell r="D10652" t="str">
            <v>HDD</v>
          </cell>
          <cell r="E10652" t="str">
            <v>ZR52AXND</v>
          </cell>
        </row>
        <row r="10653">
          <cell r="D10653" t="str">
            <v>HDD</v>
          </cell>
          <cell r="E10653" t="str">
            <v>ZR51BMH4</v>
          </cell>
        </row>
        <row r="10654">
          <cell r="D10654" t="str">
            <v>HDD</v>
          </cell>
          <cell r="E10654" t="str">
            <v>ZR51BMRB</v>
          </cell>
        </row>
        <row r="10655">
          <cell r="D10655" t="str">
            <v>HDD</v>
          </cell>
          <cell r="E10655" t="str">
            <v>ZR52C7KJ</v>
          </cell>
        </row>
        <row r="10656">
          <cell r="D10656" t="str">
            <v>HDD</v>
          </cell>
          <cell r="E10656" t="str">
            <v>ZR52CJ12</v>
          </cell>
        </row>
        <row r="10657">
          <cell r="D10657" t="str">
            <v>HDD</v>
          </cell>
          <cell r="E10657" t="str">
            <v>ZR52BRA0</v>
          </cell>
        </row>
        <row r="10658">
          <cell r="D10658" t="str">
            <v>HDD</v>
          </cell>
          <cell r="E10658" t="str">
            <v>ZR52G1HZ</v>
          </cell>
        </row>
        <row r="10659">
          <cell r="D10659" t="str">
            <v>HDD</v>
          </cell>
          <cell r="E10659" t="str">
            <v>ZR52CHSV</v>
          </cell>
        </row>
        <row r="10660">
          <cell r="D10660" t="str">
            <v>HDD</v>
          </cell>
          <cell r="E10660" t="str">
            <v>ZR52C876</v>
          </cell>
        </row>
        <row r="10661">
          <cell r="D10661" t="str">
            <v>HDD</v>
          </cell>
          <cell r="E10661" t="str">
            <v>ZR52AX1L</v>
          </cell>
        </row>
        <row r="10662">
          <cell r="D10662" t="str">
            <v>HDD</v>
          </cell>
          <cell r="E10662" t="str">
            <v>ZR52CJ91</v>
          </cell>
        </row>
        <row r="10663">
          <cell r="D10663" t="str">
            <v>HDD</v>
          </cell>
          <cell r="E10663" t="str">
            <v>ZR50GN43</v>
          </cell>
        </row>
        <row r="10664">
          <cell r="D10664" t="str">
            <v>HDD</v>
          </cell>
          <cell r="E10664" t="str">
            <v>ZR52C89W</v>
          </cell>
        </row>
        <row r="10665">
          <cell r="D10665" t="str">
            <v>HDD</v>
          </cell>
          <cell r="E10665" t="str">
            <v>ZR5180HB</v>
          </cell>
        </row>
        <row r="10666">
          <cell r="D10666" t="str">
            <v>HDD</v>
          </cell>
          <cell r="E10666" t="str">
            <v>ZR50GNX7</v>
          </cell>
        </row>
        <row r="10667">
          <cell r="D10667" t="str">
            <v>HDD</v>
          </cell>
          <cell r="E10667" t="str">
            <v>ZR5130TY</v>
          </cell>
        </row>
        <row r="10668">
          <cell r="D10668" t="str">
            <v>HDD</v>
          </cell>
          <cell r="E10668" t="str">
            <v>ZR50EECM</v>
          </cell>
        </row>
        <row r="10669">
          <cell r="D10669" t="str">
            <v>HDD</v>
          </cell>
          <cell r="E10669" t="str">
            <v>ZR50EEXT</v>
          </cell>
        </row>
        <row r="10670">
          <cell r="D10670" t="str">
            <v>HDD</v>
          </cell>
          <cell r="E10670" t="str">
            <v>ZR50KSG1</v>
          </cell>
        </row>
        <row r="10671">
          <cell r="D10671" t="str">
            <v>HDD</v>
          </cell>
          <cell r="E10671" t="str">
            <v>ZR5180FZ</v>
          </cell>
        </row>
        <row r="10672">
          <cell r="D10672" t="str">
            <v>HDD</v>
          </cell>
          <cell r="E10672" t="str">
            <v>ZR51ATQ1</v>
          </cell>
        </row>
        <row r="10673">
          <cell r="D10673" t="str">
            <v>HDD</v>
          </cell>
          <cell r="E10673" t="str">
            <v>ZR5180N6</v>
          </cell>
        </row>
        <row r="10674">
          <cell r="D10674" t="str">
            <v>HDD</v>
          </cell>
          <cell r="E10674" t="str">
            <v>ZR5180LT</v>
          </cell>
        </row>
        <row r="10675">
          <cell r="D10675" t="str">
            <v>HDD</v>
          </cell>
          <cell r="E10675" t="str">
            <v>ZR5180H8</v>
          </cell>
        </row>
        <row r="10676">
          <cell r="D10676" t="str">
            <v>AOC</v>
          </cell>
          <cell r="E10676" t="str">
            <v>OA173S021424</v>
          </cell>
        </row>
        <row r="10677">
          <cell r="D10677" t="str">
            <v>AOC</v>
          </cell>
          <cell r="E10677" t="str">
            <v>VA21AS021803</v>
          </cell>
        </row>
        <row r="10678">
          <cell r="D10678" t="str">
            <v>SSG-6049P-E1CR60L</v>
          </cell>
          <cell r="E10678" t="str">
            <v>A318056X2405915</v>
          </cell>
          <cell r="K10678" t="str">
            <v>gwarancja rozszerzona</v>
          </cell>
        </row>
        <row r="10679">
          <cell r="D10679" t="str">
            <v>CSE</v>
          </cell>
          <cell r="E10679" t="str">
            <v>C946SAL03AD0301</v>
          </cell>
        </row>
        <row r="10680">
          <cell r="D10680" t="str">
            <v>PWS</v>
          </cell>
          <cell r="E10680" t="str">
            <v>P2K5ACM12XB1122</v>
          </cell>
        </row>
        <row r="10681">
          <cell r="D10681" t="str">
            <v>PWS</v>
          </cell>
          <cell r="E10681" t="str">
            <v>P2K5ACM12XB1123</v>
          </cell>
        </row>
        <row r="10682">
          <cell r="D10682" t="str">
            <v>MBD</v>
          </cell>
          <cell r="E10682" t="str">
            <v>VM21BS015031</v>
          </cell>
        </row>
        <row r="10683">
          <cell r="D10683" t="str">
            <v>BPN</v>
          </cell>
          <cell r="E10683" t="str">
            <v>PB222S005340</v>
          </cell>
        </row>
        <row r="10684">
          <cell r="D10684" t="str">
            <v>BPN</v>
          </cell>
          <cell r="E10684" t="str">
            <v>PB222S005332</v>
          </cell>
        </row>
        <row r="10685">
          <cell r="D10685" t="str">
            <v>BPN</v>
          </cell>
          <cell r="E10685" t="str">
            <v>HB221S036575</v>
          </cell>
        </row>
        <row r="10686">
          <cell r="D10686" t="str">
            <v>AOC</v>
          </cell>
          <cell r="E10686" t="str">
            <v>ZA214S006705</v>
          </cell>
        </row>
        <row r="10687">
          <cell r="D10687" t="str">
            <v>CPU</v>
          </cell>
          <cell r="E10687" t="str">
            <v>M14M7Y9300355</v>
          </cell>
        </row>
        <row r="10688">
          <cell r="D10688" t="str">
            <v>CPU</v>
          </cell>
          <cell r="E10688" t="str">
            <v>M14M7Y9300737</v>
          </cell>
        </row>
        <row r="10689">
          <cell r="D10689" t="str">
            <v>MEM</v>
          </cell>
          <cell r="E10689" t="str">
            <v>80AD0121338570B473</v>
          </cell>
        </row>
        <row r="10690">
          <cell r="D10690" t="str">
            <v>MEM</v>
          </cell>
          <cell r="E10690" t="str">
            <v>80AD0121338570B543</v>
          </cell>
        </row>
        <row r="10691">
          <cell r="D10691" t="str">
            <v>MEM</v>
          </cell>
          <cell r="E10691" t="str">
            <v>80AD0121338570B48B</v>
          </cell>
        </row>
        <row r="10692">
          <cell r="D10692" t="str">
            <v>MEM</v>
          </cell>
          <cell r="E10692" t="str">
            <v>80AD0121338570B49F</v>
          </cell>
        </row>
        <row r="10693">
          <cell r="D10693" t="str">
            <v>MEM</v>
          </cell>
          <cell r="E10693" t="str">
            <v>80AD0121338570B471</v>
          </cell>
        </row>
        <row r="10694">
          <cell r="D10694" t="str">
            <v>MEM</v>
          </cell>
          <cell r="E10694" t="str">
            <v>80AD0121338570B470</v>
          </cell>
        </row>
        <row r="10695">
          <cell r="D10695" t="str">
            <v>HDD</v>
          </cell>
          <cell r="E10695" t="str">
            <v>ZR506QWV</v>
          </cell>
        </row>
        <row r="10696">
          <cell r="D10696" t="str">
            <v>HDD</v>
          </cell>
          <cell r="E10696" t="str">
            <v>ZR5037Z2</v>
          </cell>
        </row>
        <row r="10697">
          <cell r="D10697" t="str">
            <v>HDD</v>
          </cell>
          <cell r="E10697" t="str">
            <v>ZR50NRH6</v>
          </cell>
        </row>
        <row r="10698">
          <cell r="D10698" t="str">
            <v>HDD</v>
          </cell>
          <cell r="E10698" t="str">
            <v>ZR51X1Q2</v>
          </cell>
        </row>
        <row r="10699">
          <cell r="D10699" t="str">
            <v>HDD</v>
          </cell>
          <cell r="E10699" t="str">
            <v>ZR50T6PL</v>
          </cell>
        </row>
        <row r="10700">
          <cell r="D10700" t="str">
            <v>HDD</v>
          </cell>
          <cell r="E10700" t="str">
            <v>ZR50NRFN</v>
          </cell>
        </row>
        <row r="10701">
          <cell r="D10701" t="str">
            <v>HDD</v>
          </cell>
          <cell r="E10701" t="str">
            <v>ZR50NRLH</v>
          </cell>
        </row>
        <row r="10702">
          <cell r="D10702" t="str">
            <v>HDD</v>
          </cell>
          <cell r="E10702" t="str">
            <v>ZR50470Y</v>
          </cell>
        </row>
        <row r="10703">
          <cell r="D10703" t="str">
            <v>HDD</v>
          </cell>
          <cell r="E10703" t="str">
            <v>ZR508YN3</v>
          </cell>
        </row>
        <row r="10704">
          <cell r="D10704" t="str">
            <v>HDD</v>
          </cell>
          <cell r="E10704" t="str">
            <v>ZR502HW2</v>
          </cell>
        </row>
        <row r="10705">
          <cell r="D10705" t="str">
            <v>HDD</v>
          </cell>
          <cell r="E10705" t="str">
            <v>ZR50B9ZW</v>
          </cell>
        </row>
        <row r="10706">
          <cell r="D10706" t="str">
            <v>HDD</v>
          </cell>
          <cell r="E10706" t="str">
            <v>WS1084XE</v>
          </cell>
        </row>
        <row r="10707">
          <cell r="D10707" t="str">
            <v>HDD</v>
          </cell>
          <cell r="E10707" t="str">
            <v>ZR509508</v>
          </cell>
        </row>
        <row r="10708">
          <cell r="D10708" t="str">
            <v>HDD</v>
          </cell>
          <cell r="E10708" t="str">
            <v>WS10855H</v>
          </cell>
        </row>
        <row r="10709">
          <cell r="D10709" t="str">
            <v>HDD</v>
          </cell>
          <cell r="E10709" t="str">
            <v>WS1084X1</v>
          </cell>
        </row>
        <row r="10710">
          <cell r="D10710" t="str">
            <v>AOC</v>
          </cell>
          <cell r="E10710" t="str">
            <v>OA173S005790</v>
          </cell>
        </row>
        <row r="10711">
          <cell r="D10711" t="str">
            <v>AOC</v>
          </cell>
          <cell r="E10711" t="str">
            <v>VA21AS021465</v>
          </cell>
        </row>
        <row r="10712">
          <cell r="D10712" t="str">
            <v xml:space="preserve">M391A4G43AB1-CWE </v>
          </cell>
          <cell r="E10712" t="str">
            <v>SNL393</v>
          </cell>
        </row>
        <row r="10713">
          <cell r="D10713" t="str">
            <v xml:space="preserve">M391A4G43AB1-CWE </v>
          </cell>
          <cell r="E10713" t="str">
            <v>SNL394</v>
          </cell>
        </row>
        <row r="10714">
          <cell r="D10714" t="str">
            <v>MZ1LB960HAJQ-00007</v>
          </cell>
          <cell r="E10714" t="str">
            <v>S435NC0R702187</v>
          </cell>
        </row>
        <row r="10715">
          <cell r="D10715" t="str">
            <v>MegaRaid 9361-8i 05-25420-08</v>
          </cell>
          <cell r="E10715" t="str">
            <v>SKB2590090</v>
          </cell>
        </row>
        <row r="10716">
          <cell r="D10716" t="str">
            <v>Intel Xeon E-2246G</v>
          </cell>
          <cell r="E10716" t="str">
            <v>X212K806  U2AW250300339</v>
          </cell>
        </row>
        <row r="10717">
          <cell r="D10717" t="str">
            <v>Intel Xeon E-2246G</v>
          </cell>
          <cell r="E10717" t="str">
            <v>X212K806  U2AW250300426</v>
          </cell>
          <cell r="K10717" t="str">
            <v>SO/2022/006170/A 2z12</v>
          </cell>
        </row>
        <row r="10718">
          <cell r="D10718" t="str">
            <v>Intel Xeon E-2246G</v>
          </cell>
          <cell r="E10718" t="str">
            <v>X212K806  U2TC541202091</v>
          </cell>
          <cell r="K10718" t="str">
            <v>SO/2022/006170/A 1z12</v>
          </cell>
        </row>
        <row r="10719">
          <cell r="D10719" t="str">
            <v>MZ7L33T8HBLT-00A07</v>
          </cell>
          <cell r="E10719" t="str">
            <v>S6ERNE0T300950</v>
          </cell>
        </row>
        <row r="10720">
          <cell r="D10720" t="str">
            <v>MZ7L33T8HBLT-00A07</v>
          </cell>
          <cell r="E10720" t="str">
            <v>S6ERNE0T300951</v>
          </cell>
        </row>
        <row r="10721">
          <cell r="D10721" t="str">
            <v>MZ7L33T8HBLT-00A07</v>
          </cell>
          <cell r="E10721" t="str">
            <v>S6ERNE0T300948</v>
          </cell>
        </row>
        <row r="10722">
          <cell r="D10722" t="str">
            <v>MZ7L33T8HBLT-00A07</v>
          </cell>
          <cell r="E10722" t="str">
            <v>S6ERNE0T300949</v>
          </cell>
        </row>
        <row r="10723">
          <cell r="D10723" t="str">
            <v>MZ7L33T8HBLT-00A07</v>
          </cell>
          <cell r="E10723" t="str">
            <v>S6ERNE0T301435</v>
          </cell>
        </row>
        <row r="10724">
          <cell r="D10724" t="str">
            <v>MZ7L33T8HBLT-00A07</v>
          </cell>
          <cell r="E10724" t="str">
            <v>S6ERNE0T301420</v>
          </cell>
        </row>
        <row r="10725">
          <cell r="D10725" t="str">
            <v>MZ7L33T8HBLT-00A07</v>
          </cell>
          <cell r="E10725" t="str">
            <v>S6ERNE0T301295</v>
          </cell>
        </row>
        <row r="10726">
          <cell r="D10726" t="str">
            <v>MZ7L33T8HBLT-00A07</v>
          </cell>
          <cell r="E10726" t="str">
            <v>S6ERNE0T301297</v>
          </cell>
        </row>
        <row r="10727">
          <cell r="D10727" t="str">
            <v>MZ7L33T8HBLT-00A07</v>
          </cell>
          <cell r="E10727" t="str">
            <v>S6ERNE0T301422</v>
          </cell>
        </row>
        <row r="10728">
          <cell r="D10728" t="str">
            <v>MZ7L33T8HBLT-00A07</v>
          </cell>
          <cell r="E10728" t="str">
            <v>S6ERNE0T301412</v>
          </cell>
        </row>
        <row r="10729">
          <cell r="D10729" t="str">
            <v>MZ7L33T8HBLT-00A07</v>
          </cell>
          <cell r="E10729" t="str">
            <v>S6ERNE0T301433</v>
          </cell>
        </row>
        <row r="10730">
          <cell r="D10730" t="str">
            <v>MZ7L33T8HBLT-00A07</v>
          </cell>
          <cell r="E10730" t="str">
            <v>S6ERNE0T301442</v>
          </cell>
        </row>
        <row r="10731">
          <cell r="D10731" t="str">
            <v>MZ7L33T8HBLT-00A07</v>
          </cell>
          <cell r="E10731" t="str">
            <v>S6ERNE0T301443</v>
          </cell>
        </row>
        <row r="10732">
          <cell r="D10732" t="str">
            <v>MZ7L33T8HBLT-00A07</v>
          </cell>
          <cell r="E10732" t="str">
            <v>S6ERNE0T301438</v>
          </cell>
        </row>
        <row r="10733">
          <cell r="D10733" t="str">
            <v>MZ7L33T8HBLT-00A07</v>
          </cell>
          <cell r="E10733" t="str">
            <v>S6ERNE0T301424</v>
          </cell>
        </row>
        <row r="10734">
          <cell r="D10734" t="str">
            <v>MZ7L33T8HBLT-00A07</v>
          </cell>
          <cell r="E10734" t="str">
            <v>S6ERNE0T301437</v>
          </cell>
        </row>
        <row r="10735">
          <cell r="D10735" t="str">
            <v>MZ7L33T8HBLT-00A07</v>
          </cell>
          <cell r="E10735" t="str">
            <v>S6ERNE0T301439</v>
          </cell>
        </row>
        <row r="10736">
          <cell r="D10736" t="str">
            <v>MZ7L33T8HBLT-00A07</v>
          </cell>
          <cell r="E10736" t="str">
            <v>S6ERNE0T301425</v>
          </cell>
        </row>
        <row r="10737">
          <cell r="D10737" t="str">
            <v>MZ7L33T8HBLT-00A07</v>
          </cell>
          <cell r="E10737" t="str">
            <v>S6ERNE0T301426</v>
          </cell>
        </row>
        <row r="10738">
          <cell r="D10738" t="str">
            <v>MZ7L33T8HBLT-00A07</v>
          </cell>
          <cell r="E10738" t="str">
            <v>S6ERNE0T301434</v>
          </cell>
        </row>
        <row r="10739">
          <cell r="D10739" t="str">
            <v>MZ7L33T8HBLT-00A07</v>
          </cell>
          <cell r="E10739" t="str">
            <v>S6ERNE0T301429</v>
          </cell>
        </row>
        <row r="10740">
          <cell r="D10740" t="str">
            <v>MZ7L33T8HBLT-00A07</v>
          </cell>
          <cell r="E10740" t="str">
            <v>S6ERNE0T301427</v>
          </cell>
        </row>
        <row r="10741">
          <cell r="D10741" t="str">
            <v>MZ7L33T8HBLT-00A07</v>
          </cell>
          <cell r="E10741" t="str">
            <v>S6ERNE0T301275</v>
          </cell>
        </row>
        <row r="10742">
          <cell r="D10742" t="str">
            <v>MZ7L33T8HBLT-00A07</v>
          </cell>
          <cell r="E10742" t="str">
            <v>S6ERNE0T301276</v>
          </cell>
        </row>
        <row r="10743">
          <cell r="D10743" t="str">
            <v>MZ7L33T8HBLT-00A07</v>
          </cell>
          <cell r="E10743" t="str">
            <v>S6ERNE0T301277</v>
          </cell>
        </row>
        <row r="10744">
          <cell r="D10744" t="str">
            <v>MZ7L33T8HBLT-00A07</v>
          </cell>
          <cell r="E10744" t="str">
            <v>S6ERNE0T301270</v>
          </cell>
        </row>
        <row r="10745">
          <cell r="D10745" t="str">
            <v>MZ7L33T8HBLT-00A07</v>
          </cell>
          <cell r="E10745" t="str">
            <v>S6ERNE0T301282</v>
          </cell>
        </row>
        <row r="10746">
          <cell r="D10746" t="str">
            <v>MZ7L33T8HBLT-00A07</v>
          </cell>
          <cell r="E10746" t="str">
            <v>S6ERNE0T301281</v>
          </cell>
        </row>
        <row r="10747">
          <cell r="D10747" t="str">
            <v>MZ7L33T8HBLT-00A07</v>
          </cell>
          <cell r="E10747" t="str">
            <v>S6ERNE0T301271</v>
          </cell>
        </row>
        <row r="10748">
          <cell r="D10748" t="str">
            <v>MZ7L33T8HBLT-00A07</v>
          </cell>
          <cell r="E10748" t="str">
            <v>S6ERNE0T301272</v>
          </cell>
        </row>
        <row r="10749">
          <cell r="D10749" t="str">
            <v>MZ7L33T8HBLT-00A07</v>
          </cell>
          <cell r="E10749" t="str">
            <v>S6ERNE0T301273</v>
          </cell>
        </row>
        <row r="10750">
          <cell r="D10750" t="str">
            <v>MZ7L33T8HBLT-00A07</v>
          </cell>
          <cell r="E10750" t="str">
            <v>S6ERNE0T301678</v>
          </cell>
        </row>
        <row r="10751">
          <cell r="D10751" t="str">
            <v>MZ7L33T8HBLT-00A07</v>
          </cell>
          <cell r="E10751" t="str">
            <v>S6ERNE0T301267</v>
          </cell>
        </row>
        <row r="10752">
          <cell r="D10752" t="str">
            <v>MZ7L33T8HBLT-00A07</v>
          </cell>
          <cell r="E10752" t="str">
            <v>S6ERNE0T301266</v>
          </cell>
        </row>
        <row r="10753">
          <cell r="D10753" t="str">
            <v>MZ7L33T8HBLT-00A07</v>
          </cell>
          <cell r="E10753" t="str">
            <v>S6ERNE0T301284</v>
          </cell>
        </row>
        <row r="10754">
          <cell r="D10754" t="str">
            <v>MZ7L33T8HBLT-00A07</v>
          </cell>
          <cell r="E10754" t="str">
            <v>S6ERNE0T301268</v>
          </cell>
        </row>
        <row r="10755">
          <cell r="D10755" t="str">
            <v>MZ7L33T8HBLT-00A07</v>
          </cell>
          <cell r="E10755" t="str">
            <v>S6ERNE0T301285</v>
          </cell>
        </row>
        <row r="10756">
          <cell r="D10756" t="str">
            <v>MZ7L33T8HBLT-00A07</v>
          </cell>
          <cell r="E10756" t="str">
            <v>S6ERNE0T301274</v>
          </cell>
        </row>
        <row r="10757">
          <cell r="D10757" t="str">
            <v>MZ7L33T8HBLT-00A07</v>
          </cell>
          <cell r="E10757" t="str">
            <v>S6ERNE0T301269</v>
          </cell>
        </row>
        <row r="10758">
          <cell r="D10758" t="str">
            <v>MZ7L33T8HBLT-00A07</v>
          </cell>
          <cell r="E10758" t="str">
            <v>S6ERNE0T301286</v>
          </cell>
        </row>
        <row r="10759">
          <cell r="D10759" t="str">
            <v>MZ7L33T8HBLT-00A07</v>
          </cell>
          <cell r="E10759" t="str">
            <v>S6ERNE0T301288</v>
          </cell>
        </row>
        <row r="10760">
          <cell r="D10760" t="str">
            <v>MZ7L33T8HBLT-00A07</v>
          </cell>
          <cell r="E10760" t="str">
            <v>S6ERNE0T301291</v>
          </cell>
        </row>
        <row r="10761">
          <cell r="D10761" t="str">
            <v>MZ7L33T8HBLT-00A07</v>
          </cell>
          <cell r="E10761" t="str">
            <v>S6ERNE0T301292</v>
          </cell>
        </row>
        <row r="10762">
          <cell r="D10762" t="str">
            <v>MZ7L33T8HBLT-00A07</v>
          </cell>
          <cell r="E10762" t="str">
            <v>S6ERNE0T301283</v>
          </cell>
        </row>
        <row r="10763">
          <cell r="D10763" t="str">
            <v>MZ7L33T8HBLT-00A07</v>
          </cell>
          <cell r="E10763" t="str">
            <v>S6ERNE0T301294</v>
          </cell>
        </row>
        <row r="10764">
          <cell r="D10764" t="str">
            <v>MZ7L33T8HBLT-00A07</v>
          </cell>
          <cell r="E10764" t="str">
            <v>S6ERNE0T301293</v>
          </cell>
        </row>
        <row r="10765">
          <cell r="D10765" t="str">
            <v>ROMED4ID-2T</v>
          </cell>
          <cell r="E10765" t="str">
            <v>E8S0XW000161</v>
          </cell>
        </row>
        <row r="10766">
          <cell r="D10766" t="str">
            <v>CD8069504343701</v>
          </cell>
          <cell r="E10766" t="str">
            <v>1T3211G149</v>
          </cell>
        </row>
        <row r="10767">
          <cell r="D10767" t="str">
            <v>CD8069504343701</v>
          </cell>
          <cell r="E10767" t="str">
            <v>1T3211F860</v>
          </cell>
        </row>
        <row r="10768">
          <cell r="D10768" t="str">
            <v>CD8069504343701</v>
          </cell>
          <cell r="E10768" t="str">
            <v>1T3204G108</v>
          </cell>
        </row>
        <row r="10769">
          <cell r="D10769" t="str">
            <v>CD8069504343701</v>
          </cell>
          <cell r="E10769" t="str">
            <v>1T3211G221</v>
          </cell>
        </row>
        <row r="10770">
          <cell r="D10770" t="str">
            <v>CD8069504343701</v>
          </cell>
          <cell r="E10770" t="str">
            <v>1T3211G221</v>
          </cell>
        </row>
        <row r="10771">
          <cell r="D10771" t="str">
            <v>CD8069504343701</v>
          </cell>
          <cell r="E10771" t="str">
            <v>1T3211F956</v>
          </cell>
        </row>
        <row r="10772">
          <cell r="D10772" t="str">
            <v>CD8069504343701</v>
          </cell>
          <cell r="E10772" t="str">
            <v>1T3211F956</v>
          </cell>
        </row>
        <row r="10773">
          <cell r="D10773" t="str">
            <v>CD8069504343701</v>
          </cell>
          <cell r="E10773" t="str">
            <v>1T3211F956</v>
          </cell>
        </row>
        <row r="10774">
          <cell r="D10774" t="str">
            <v>CD8069504343701</v>
          </cell>
          <cell r="E10774" t="str">
            <v>1T3211F956</v>
          </cell>
        </row>
        <row r="10775">
          <cell r="D10775" t="str">
            <v>CD8069504343701</v>
          </cell>
          <cell r="E10775" t="str">
            <v>1T3211F956</v>
          </cell>
        </row>
        <row r="10776">
          <cell r="D10776" t="str">
            <v>CD8069504343701</v>
          </cell>
          <cell r="E10776" t="str">
            <v>1T3211F956</v>
          </cell>
        </row>
        <row r="10777">
          <cell r="D10777" t="str">
            <v>LIT iHAS124-14 DVDRW lb</v>
          </cell>
          <cell r="E10777" t="str">
            <v>3743524807 2D8143502272</v>
          </cell>
          <cell r="K10777" t="str">
            <v>SO/2022/006010/A SENETIC</v>
          </cell>
        </row>
        <row r="10778">
          <cell r="D10778" t="str">
            <v>RBC17 akumulator APC</v>
          </cell>
          <cell r="E10778" t="str">
            <v>S3A2124X15457</v>
          </cell>
        </row>
        <row r="10779">
          <cell r="D10779" t="str">
            <v>0B42266</v>
          </cell>
          <cell r="E10779" t="str">
            <v>VCJTU70P</v>
          </cell>
        </row>
        <row r="10780">
          <cell r="D10780" t="str">
            <v>0B42266</v>
          </cell>
          <cell r="E10780" t="str">
            <v>VCKAS8VP</v>
          </cell>
        </row>
        <row r="10781">
          <cell r="D10781" t="str">
            <v>0B42266</v>
          </cell>
          <cell r="E10781" t="str">
            <v>VCJMGLDP</v>
          </cell>
        </row>
        <row r="10782">
          <cell r="D10782" t="str">
            <v>0B36039</v>
          </cell>
          <cell r="E10782" t="str">
            <v>V9KLHYGL</v>
          </cell>
        </row>
        <row r="10783">
          <cell r="D10783" t="str">
            <v>0B36039</v>
          </cell>
          <cell r="E10783" t="str">
            <v>V9KLHY4L</v>
          </cell>
        </row>
        <row r="10784">
          <cell r="D10784" t="str">
            <v>MZ7L3960HCJR-00A07</v>
          </cell>
          <cell r="E10784" t="str">
            <v>S662NE0T309093</v>
          </cell>
          <cell r="K10784" t="str">
            <v>SO/2022/006072/A 12z12</v>
          </cell>
        </row>
        <row r="10785">
          <cell r="D10785" t="str">
            <v>MZ7L3960HCJR-00A07</v>
          </cell>
          <cell r="E10785" t="str">
            <v>S662NE0T309095</v>
          </cell>
          <cell r="K10785" t="str">
            <v>SO/2022/006072/A 11z12</v>
          </cell>
        </row>
        <row r="10786">
          <cell r="D10786" t="str">
            <v>MZ7L3960HCJR-00A07</v>
          </cell>
          <cell r="E10786" t="str">
            <v>S662NE0T309076</v>
          </cell>
          <cell r="K10786" t="str">
            <v>SO/2022/006072/A 10z12</v>
          </cell>
        </row>
        <row r="10787">
          <cell r="D10787" t="str">
            <v>MZ7L3960HCJR-00A07</v>
          </cell>
          <cell r="E10787" t="str">
            <v>S662NE0T309121</v>
          </cell>
          <cell r="K10787" t="str">
            <v>SO/2022/006072/A 7z12</v>
          </cell>
        </row>
        <row r="10788">
          <cell r="D10788" t="str">
            <v>MZ7L3960HCJR-00A07</v>
          </cell>
          <cell r="E10788" t="str">
            <v>S662NE0T309129</v>
          </cell>
          <cell r="K10788" t="str">
            <v>SO/2022/006072/A 8z12</v>
          </cell>
        </row>
        <row r="10789">
          <cell r="D10789" t="str">
            <v>MZ7L3960HCJR-00A07</v>
          </cell>
          <cell r="E10789" t="str">
            <v>S662NE0T309119</v>
          </cell>
          <cell r="K10789" t="str">
            <v>SO/2022/006072/A 9z12</v>
          </cell>
        </row>
        <row r="10790">
          <cell r="D10790" t="str">
            <v>MZ7L3960HCJR-00A07</v>
          </cell>
          <cell r="E10790" t="str">
            <v>S662NE0T309417</v>
          </cell>
          <cell r="K10790" t="str">
            <v>SO/2022/006072/A 1z12</v>
          </cell>
        </row>
        <row r="10791">
          <cell r="D10791" t="str">
            <v>MZ7L3960HCJR-00A07</v>
          </cell>
          <cell r="E10791" t="str">
            <v>S662NE0T309418</v>
          </cell>
          <cell r="K10791" t="str">
            <v>SO/2022/006072/A 2z12</v>
          </cell>
        </row>
        <row r="10792">
          <cell r="D10792" t="str">
            <v>MZ7L3960HCJR-00A07</v>
          </cell>
          <cell r="E10792" t="str">
            <v>S662NE0T309408</v>
          </cell>
          <cell r="K10792" t="str">
            <v>SO/2022/006072/A 3z12</v>
          </cell>
        </row>
        <row r="10793">
          <cell r="D10793" t="str">
            <v>MZ7L3960HCJR-00A07</v>
          </cell>
          <cell r="E10793" t="str">
            <v>S662NE0T309442</v>
          </cell>
          <cell r="K10793" t="str">
            <v>SO/2022/006072/A 4z12</v>
          </cell>
        </row>
        <row r="10794">
          <cell r="D10794" t="str">
            <v>MZ7L3960HCJR-00A07</v>
          </cell>
          <cell r="E10794" t="str">
            <v>S662NE0T309451</v>
          </cell>
          <cell r="K10794" t="str">
            <v>SO/2022/006072/A 5z12</v>
          </cell>
        </row>
        <row r="10795">
          <cell r="D10795" t="str">
            <v>MZ7L3960HCJR-00A07</v>
          </cell>
          <cell r="E10795" t="str">
            <v>S662NE0T309459</v>
          </cell>
          <cell r="K10795" t="str">
            <v>SO/2022/006072/A 6z12</v>
          </cell>
        </row>
        <row r="10796">
          <cell r="D10796" t="str">
            <v>MZ7L3960HCJR-00A07</v>
          </cell>
          <cell r="E10796" t="str">
            <v>S662NE0T309133</v>
          </cell>
        </row>
        <row r="10797">
          <cell r="D10797" t="str">
            <v>MZ7L3960HCJR-00A07</v>
          </cell>
          <cell r="E10797" t="str">
            <v>S662NE0T309144</v>
          </cell>
        </row>
        <row r="10798">
          <cell r="D10798" t="str">
            <v>MZ7L3960HCJR-00A07</v>
          </cell>
          <cell r="E10798" t="str">
            <v>S662NE0T309145</v>
          </cell>
        </row>
        <row r="10799">
          <cell r="D10799" t="str">
            <v>MZ7L3960HCJR-00A07</v>
          </cell>
          <cell r="E10799" t="str">
            <v>S662NE0T309425</v>
          </cell>
        </row>
        <row r="10800">
          <cell r="D10800" t="str">
            <v>MZ7L3960HCJR-00A07</v>
          </cell>
          <cell r="E10800" t="str">
            <v>S662NE0T309426</v>
          </cell>
        </row>
        <row r="10801">
          <cell r="D10801" t="str">
            <v>MZ7L3960HCJR-00A07</v>
          </cell>
          <cell r="E10801" t="str">
            <v>S662NE0T309416</v>
          </cell>
        </row>
        <row r="10802">
          <cell r="D10802" t="str">
            <v>MZ7L3960HCJR-00A07</v>
          </cell>
          <cell r="E10802" t="str">
            <v>S662NE0T309120</v>
          </cell>
        </row>
        <row r="10803">
          <cell r="D10803" t="str">
            <v>MZ7L3960HCJR-00A07</v>
          </cell>
          <cell r="E10803" t="str">
            <v>S662NE0T309122</v>
          </cell>
        </row>
        <row r="10804">
          <cell r="D10804" t="str">
            <v>MZ7L3960HCJR-00A07</v>
          </cell>
          <cell r="E10804" t="str">
            <v>S662NE0T309098</v>
          </cell>
        </row>
        <row r="10805">
          <cell r="D10805" t="str">
            <v>MZ7L3960HCJR-00A07</v>
          </cell>
          <cell r="E10805" t="str">
            <v>S662NE0T309148</v>
          </cell>
        </row>
        <row r="10806">
          <cell r="D10806" t="str">
            <v>MZ7L3960HCJR-00A07</v>
          </cell>
          <cell r="E10806" t="str">
            <v>S662NE0T309156</v>
          </cell>
        </row>
        <row r="10807">
          <cell r="D10807" t="str">
            <v>MZ7L3960HCJR-00A07</v>
          </cell>
          <cell r="E10807" t="str">
            <v>S662NE0T309146</v>
          </cell>
        </row>
        <row r="10808">
          <cell r="D10808" t="str">
            <v>MZ7L3960HCJR-00A07</v>
          </cell>
          <cell r="E10808" t="str">
            <v>S662NE0T309111</v>
          </cell>
        </row>
        <row r="10809">
          <cell r="D10809" t="str">
            <v>MZ7L3960HCJR-00A07</v>
          </cell>
          <cell r="E10809" t="str">
            <v>S662NE0T309112</v>
          </cell>
        </row>
        <row r="10810">
          <cell r="D10810" t="str">
            <v>MZ7L3960HCJR-00A07</v>
          </cell>
          <cell r="E10810" t="str">
            <v>S662NE0T309113</v>
          </cell>
        </row>
        <row r="10811">
          <cell r="D10811" t="str">
            <v>MZ7L3960HCJR-00A07</v>
          </cell>
          <cell r="E10811" t="str">
            <v>S662NE0T309123</v>
          </cell>
        </row>
        <row r="10812">
          <cell r="D10812" t="str">
            <v>MZ7L3960HCJR-00A07</v>
          </cell>
          <cell r="E10812" t="str">
            <v>S662NE0T309132</v>
          </cell>
        </row>
        <row r="10813">
          <cell r="D10813" t="str">
            <v>MZ7L3960HCJR-00A07</v>
          </cell>
          <cell r="E10813" t="str">
            <v>S662NE0T309109</v>
          </cell>
        </row>
        <row r="10814">
          <cell r="D10814" t="str">
            <v>SSDSC2KB038T801</v>
          </cell>
          <cell r="E10814" t="str">
            <v>PHYF1430030Q3P8EGN</v>
          </cell>
        </row>
        <row r="10815">
          <cell r="D10815" t="str">
            <v>SSDPE2KX080T801</v>
          </cell>
          <cell r="E10815" t="str">
            <v>BTLJ1413003A8P0HGN</v>
          </cell>
        </row>
        <row r="10816">
          <cell r="D10816" t="str">
            <v>SSDSC2KB480G801</v>
          </cell>
          <cell r="E10816" t="str">
            <v>BTYF208303JU480BGN</v>
          </cell>
        </row>
        <row r="10817">
          <cell r="D10817" t="str">
            <v>SSDSC2KB480G801</v>
          </cell>
          <cell r="E10817" t="str">
            <v>BTYF208304NL480BGN</v>
          </cell>
        </row>
        <row r="10818">
          <cell r="D10818" t="str">
            <v>SSDSC2KB480G801</v>
          </cell>
          <cell r="E10818" t="str">
            <v>BTYF208303GT480BGN</v>
          </cell>
        </row>
        <row r="10819">
          <cell r="D10819" t="str">
            <v>SSDSC2KB480G801</v>
          </cell>
          <cell r="E10819" t="str">
            <v>BTYF208304QT480BGN</v>
          </cell>
        </row>
        <row r="10820">
          <cell r="D10820" t="str">
            <v>SSDSC2KB480G801</v>
          </cell>
          <cell r="E10820" t="str">
            <v>BTYF208301VD480BGN</v>
          </cell>
        </row>
        <row r="10821">
          <cell r="D10821" t="str">
            <v>SSDSC2KB480G801</v>
          </cell>
          <cell r="E10821" t="str">
            <v>BTYF208301V3480BGN</v>
          </cell>
        </row>
        <row r="10822">
          <cell r="D10822" t="str">
            <v>SSDSC2KB480G801</v>
          </cell>
          <cell r="E10822" t="str">
            <v>BTYF208303EF480BGN</v>
          </cell>
        </row>
        <row r="10823">
          <cell r="D10823" t="str">
            <v>SSDSC2KB480G801</v>
          </cell>
          <cell r="E10823" t="str">
            <v>BTYF2083042J480BGN</v>
          </cell>
        </row>
        <row r="10824">
          <cell r="D10824" t="str">
            <v>SSDSC2KB480G801</v>
          </cell>
          <cell r="E10824" t="str">
            <v>BTYF208301ZT480BGN</v>
          </cell>
        </row>
        <row r="10825">
          <cell r="D10825" t="str">
            <v>SSDSC2KB480G801</v>
          </cell>
          <cell r="E10825" t="str">
            <v>BTYF20830205480BGN</v>
          </cell>
        </row>
        <row r="10826">
          <cell r="D10826" t="str">
            <v>SSDSC2KB480G801</v>
          </cell>
          <cell r="E10826" t="str">
            <v>BTYF208302RA480BGN</v>
          </cell>
        </row>
        <row r="10827">
          <cell r="D10827" t="str">
            <v>SSDSC2KB480G801</v>
          </cell>
          <cell r="E10827" t="str">
            <v>BTYF2083052H480BGN</v>
          </cell>
        </row>
        <row r="10828">
          <cell r="D10828" t="str">
            <v>SSDSC2KB480G801</v>
          </cell>
          <cell r="E10828" t="str">
            <v>BTYF208304QJ480BGN</v>
          </cell>
        </row>
        <row r="10829">
          <cell r="D10829" t="str">
            <v>SSDSC2KB480G801</v>
          </cell>
          <cell r="E10829" t="str">
            <v>BTYF20830319480BGN</v>
          </cell>
        </row>
        <row r="10830">
          <cell r="D10830" t="str">
            <v>SSDSC2KB480G801</v>
          </cell>
          <cell r="E10830" t="str">
            <v>BTYF208303KR480BGN</v>
          </cell>
        </row>
        <row r="10831">
          <cell r="D10831" t="str">
            <v>SSDSC2KB480G801</v>
          </cell>
          <cell r="E10831" t="str">
            <v>BTYF208303KQ480BGN</v>
          </cell>
        </row>
        <row r="10832">
          <cell r="D10832" t="str">
            <v>SSDSC2KB480G801</v>
          </cell>
          <cell r="E10832" t="str">
            <v>BTYF2083043Q480BGN</v>
          </cell>
        </row>
        <row r="10833">
          <cell r="D10833" t="str">
            <v>SSDSC2KB480G801</v>
          </cell>
          <cell r="E10833" t="str">
            <v>BTYF208303J2480BGN</v>
          </cell>
        </row>
        <row r="10834">
          <cell r="D10834" t="str">
            <v>MegaRaid 9341-4i   05-26105-00</v>
          </cell>
          <cell r="E10834" t="str">
            <v>SPB2800987</v>
          </cell>
        </row>
        <row r="10835">
          <cell r="D10835" t="str">
            <v>MegaRaid 9341-4i   05-26105-00</v>
          </cell>
          <cell r="E10835" t="str">
            <v>SPB2700333</v>
          </cell>
        </row>
        <row r="10836">
          <cell r="D10836" t="str">
            <v>MegaRaid 9341-4i   05-26105-00</v>
          </cell>
          <cell r="E10836" t="str">
            <v>SPB2700679</v>
          </cell>
        </row>
        <row r="10837">
          <cell r="D10837" t="str">
            <v>MegaRaid 9341-4i   05-26105-00</v>
          </cell>
          <cell r="E10837" t="str">
            <v>SPB2801083</v>
          </cell>
        </row>
        <row r="10838">
          <cell r="D10838" t="str">
            <v>MegaRaid 9341-4i   05-26105-00</v>
          </cell>
          <cell r="E10838" t="str">
            <v>SPB2700614</v>
          </cell>
        </row>
        <row r="10839">
          <cell r="D10839" t="str">
            <v>MegaRaid 9341-4i   05-26105-00</v>
          </cell>
          <cell r="E10839" t="str">
            <v>SPB2700765</v>
          </cell>
        </row>
        <row r="10840">
          <cell r="D10840" t="str">
            <v>MegaRaid 9341-4i   05-26105-00</v>
          </cell>
          <cell r="E10840" t="str">
            <v>SPB2700301</v>
          </cell>
        </row>
        <row r="10841">
          <cell r="D10841" t="str">
            <v>MegaRaid 9341-4i   05-26105-00</v>
          </cell>
          <cell r="E10841" t="str">
            <v>SPB2700861</v>
          </cell>
        </row>
        <row r="10842">
          <cell r="D10842" t="str">
            <v>MegaRaid 9341-4i   05-26105-00</v>
          </cell>
          <cell r="E10842" t="str">
            <v>SPB2700892</v>
          </cell>
        </row>
        <row r="10843">
          <cell r="D10843" t="str">
            <v>MegaRaid 9341-4i   05-26105-00</v>
          </cell>
          <cell r="E10843" t="str">
            <v>SPB2700520</v>
          </cell>
        </row>
        <row r="10844">
          <cell r="D10844" t="str">
            <v>MegaRaid 9341-4i   05-26105-00</v>
          </cell>
          <cell r="E10844" t="str">
            <v>SPB2700870</v>
          </cell>
        </row>
        <row r="10845">
          <cell r="D10845" t="str">
            <v>MegaRaid 9341-4i   05-26105-00</v>
          </cell>
          <cell r="E10845" t="str">
            <v>SPB2800986</v>
          </cell>
        </row>
        <row r="10846">
          <cell r="D10846" t="str">
            <v>MegaRaid 9341-4i   05-26105-00</v>
          </cell>
          <cell r="E10846" t="str">
            <v>SPB2801195</v>
          </cell>
        </row>
        <row r="10847">
          <cell r="D10847" t="str">
            <v>MegaRaid 9341-4i   05-26105-00</v>
          </cell>
          <cell r="E10847" t="str">
            <v>SPB2801229</v>
          </cell>
        </row>
        <row r="10848">
          <cell r="D10848" t="str">
            <v>MegaRaid 9341-4i   05-26105-00</v>
          </cell>
          <cell r="E10848" t="str">
            <v>SPB2801186</v>
          </cell>
        </row>
        <row r="10849">
          <cell r="D10849" t="str">
            <v>MegaRaid 9341-4i   05-26105-00</v>
          </cell>
          <cell r="E10849" t="str">
            <v>SPB2801199</v>
          </cell>
        </row>
        <row r="10850">
          <cell r="D10850" t="str">
            <v>ACS8032MDAC-404</v>
          </cell>
          <cell r="E10850">
            <v>520411058</v>
          </cell>
        </row>
        <row r="10851">
          <cell r="D10851" t="str">
            <v>SSDSC2KB960G801</v>
          </cell>
          <cell r="E10851" t="str">
            <v>BTYF209303R6960CGN</v>
          </cell>
        </row>
        <row r="10852">
          <cell r="D10852" t="str">
            <v>SSDSC2KB960G801</v>
          </cell>
          <cell r="E10852" t="str">
            <v>BTYF209303Q8960CGN</v>
          </cell>
        </row>
        <row r="10853">
          <cell r="D10853" t="str">
            <v>SSDSC2KB960G801</v>
          </cell>
          <cell r="E10853" t="str">
            <v>BTYF209302KH960CGN</v>
          </cell>
        </row>
        <row r="10854">
          <cell r="D10854" t="str">
            <v>SSDSC2KB960G801</v>
          </cell>
          <cell r="E10854" t="str">
            <v>BTYF209303R5960CGN</v>
          </cell>
        </row>
        <row r="10855">
          <cell r="D10855" t="str">
            <v>SSDSC2KB960G801</v>
          </cell>
          <cell r="E10855" t="str">
            <v>BTYF209302K0960CGN</v>
          </cell>
        </row>
        <row r="10856">
          <cell r="D10856" t="str">
            <v>SSDSC2KB960G801</v>
          </cell>
          <cell r="E10856" t="str">
            <v>BTYF209302KL960CGN</v>
          </cell>
        </row>
        <row r="10857">
          <cell r="D10857" t="str">
            <v>SSDSC2KB960G801</v>
          </cell>
          <cell r="E10857" t="str">
            <v>BTYF2100020Z960CGN</v>
          </cell>
        </row>
        <row r="10858">
          <cell r="D10858" t="str">
            <v>SSDSC2KB960G801</v>
          </cell>
          <cell r="E10858" t="str">
            <v>BTYF21000207960CGN</v>
          </cell>
        </row>
        <row r="10859">
          <cell r="D10859" t="str">
            <v>SSDSC2KB960G801</v>
          </cell>
          <cell r="E10859" t="str">
            <v>BTYF2100020W960CGN</v>
          </cell>
        </row>
        <row r="10860">
          <cell r="D10860" t="str">
            <v>SSDSC2KB960G801</v>
          </cell>
          <cell r="E10860" t="str">
            <v>BTYF209303DX960CGN</v>
          </cell>
        </row>
        <row r="10861">
          <cell r="D10861" t="str">
            <v>SSDSC2KB960G801</v>
          </cell>
          <cell r="E10861" t="str">
            <v>BTYF20960EJH960CGN</v>
          </cell>
        </row>
        <row r="10862">
          <cell r="D10862" t="str">
            <v>LSI00418/LSICVM020  03-25444-06</v>
          </cell>
          <cell r="E10862" t="str">
            <v>SK11152608</v>
          </cell>
        </row>
        <row r="10863">
          <cell r="D10863" t="str">
            <v>LSI00418/LSICVM020  03-25444-06</v>
          </cell>
          <cell r="E10863" t="str">
            <v>SK11152540</v>
          </cell>
        </row>
        <row r="10864">
          <cell r="D10864" t="str">
            <v>0F29530</v>
          </cell>
          <cell r="E10864" t="str">
            <v>5QJ0B7VB</v>
          </cell>
        </row>
        <row r="10865">
          <cell r="D10865" t="str">
            <v>0F29530</v>
          </cell>
          <cell r="E10865" t="str">
            <v>5QJ2738B</v>
          </cell>
        </row>
        <row r="10866">
          <cell r="D10866" t="str">
            <v>0F29530</v>
          </cell>
          <cell r="E10866" t="str">
            <v>5QJ26KXB</v>
          </cell>
        </row>
        <row r="10867">
          <cell r="D10867" t="str">
            <v>0F29530</v>
          </cell>
          <cell r="E10867" t="str">
            <v>5QJ0GMBB</v>
          </cell>
        </row>
        <row r="10868">
          <cell r="D10868" t="str">
            <v>0F29530</v>
          </cell>
          <cell r="E10868" t="str">
            <v>5QJ1545B</v>
          </cell>
        </row>
        <row r="10869">
          <cell r="D10869" t="str">
            <v>0F29530</v>
          </cell>
          <cell r="E10869" t="str">
            <v>5QJ0S15B</v>
          </cell>
        </row>
        <row r="10870">
          <cell r="D10870" t="str">
            <v>0F29530</v>
          </cell>
          <cell r="E10870" t="str">
            <v>5QJ28NUB</v>
          </cell>
        </row>
        <row r="10871">
          <cell r="D10871" t="str">
            <v>0F38353</v>
          </cell>
          <cell r="E10871" t="str">
            <v>2MGRT90B</v>
          </cell>
        </row>
        <row r="10872">
          <cell r="D10872" t="str">
            <v>0F38353</v>
          </cell>
          <cell r="E10872" t="str">
            <v>2MGNA51B</v>
          </cell>
        </row>
        <row r="10873">
          <cell r="D10873" t="str">
            <v>0F38353</v>
          </cell>
          <cell r="E10873" t="str">
            <v>2MGR2ARB</v>
          </cell>
        </row>
        <row r="10874">
          <cell r="D10874" t="str">
            <v>0F38353</v>
          </cell>
          <cell r="E10874" t="str">
            <v>2MGPZ6SB</v>
          </cell>
        </row>
        <row r="10875">
          <cell r="D10875" t="str">
            <v>0F38353</v>
          </cell>
          <cell r="E10875" t="str">
            <v>2NGWXABB</v>
          </cell>
        </row>
        <row r="10876">
          <cell r="D10876" t="str">
            <v>0F38353</v>
          </cell>
          <cell r="E10876" t="str">
            <v>2MGPZ6DB</v>
          </cell>
        </row>
        <row r="10877">
          <cell r="D10877" t="str">
            <v>0F38353</v>
          </cell>
          <cell r="E10877" t="str">
            <v>2MGP4Y1B</v>
          </cell>
        </row>
        <row r="10878">
          <cell r="D10878" t="str">
            <v>0F38353</v>
          </cell>
          <cell r="E10878" t="str">
            <v>2NGX729B</v>
          </cell>
        </row>
        <row r="10879">
          <cell r="D10879" t="str">
            <v>0F38353</v>
          </cell>
          <cell r="E10879" t="str">
            <v>2NGX70JB</v>
          </cell>
        </row>
        <row r="10880">
          <cell r="D10880" t="str">
            <v>0F38353</v>
          </cell>
          <cell r="E10880" t="str">
            <v>2MGPE5UB</v>
          </cell>
        </row>
        <row r="10881">
          <cell r="D10881" t="str">
            <v>0F38353</v>
          </cell>
          <cell r="E10881" t="str">
            <v>2MGLAG1B</v>
          </cell>
        </row>
        <row r="10882">
          <cell r="D10882" t="str">
            <v>0F38353</v>
          </cell>
          <cell r="E10882" t="str">
            <v>2MGR1NNB</v>
          </cell>
        </row>
        <row r="10883">
          <cell r="D10883" t="str">
            <v>0F38353</v>
          </cell>
          <cell r="E10883" t="str">
            <v>2MGRT8HB</v>
          </cell>
        </row>
        <row r="10884">
          <cell r="D10884" t="str">
            <v>0F38353</v>
          </cell>
          <cell r="E10884" t="str">
            <v>2MGR213B</v>
          </cell>
        </row>
        <row r="10885">
          <cell r="D10885" t="str">
            <v>0F38353</v>
          </cell>
          <cell r="E10885" t="str">
            <v>2MGLYJ3B</v>
          </cell>
        </row>
        <row r="10886">
          <cell r="D10886" t="str">
            <v>0F38353</v>
          </cell>
          <cell r="E10886" t="str">
            <v>2MGPE4HB</v>
          </cell>
        </row>
        <row r="10887">
          <cell r="D10887" t="str">
            <v>0F38353</v>
          </cell>
          <cell r="E10887" t="str">
            <v>2NGWKP3B</v>
          </cell>
        </row>
        <row r="10888">
          <cell r="D10888" t="str">
            <v>0F38353</v>
          </cell>
          <cell r="E10888" t="str">
            <v>2MGR1YNB</v>
          </cell>
        </row>
        <row r="10889">
          <cell r="D10889" t="str">
            <v>0F38353</v>
          </cell>
          <cell r="E10889" t="str">
            <v>2MGR35RB</v>
          </cell>
        </row>
        <row r="10890">
          <cell r="D10890" t="str">
            <v>SYS-530MT-H12TRF</v>
          </cell>
          <cell r="E10890" t="str">
            <v>E459735X2400233</v>
          </cell>
          <cell r="K10890" t="str">
            <v>3 lata gwarancji</v>
          </cell>
        </row>
        <row r="10891">
          <cell r="D10891" t="str">
            <v>CSE</v>
          </cell>
          <cell r="E10891" t="str">
            <v>C9390AK30P40182</v>
          </cell>
        </row>
        <row r="10892">
          <cell r="D10892" t="str">
            <v>AOC</v>
          </cell>
          <cell r="E10892" t="str">
            <v>WA216S012699</v>
          </cell>
        </row>
        <row r="10893">
          <cell r="D10893" t="str">
            <v>AOC</v>
          </cell>
          <cell r="E10893" t="str">
            <v>WA196S005089</v>
          </cell>
        </row>
        <row r="10894">
          <cell r="D10894" t="str">
            <v>BPN</v>
          </cell>
          <cell r="E10894" t="str">
            <v>JB21BS001735</v>
          </cell>
        </row>
        <row r="10895">
          <cell r="D10895" t="str">
            <v>NUM</v>
          </cell>
          <cell r="E10895" t="str">
            <v>E459735X2400233</v>
          </cell>
        </row>
        <row r="10896">
          <cell r="D10896" t="str">
            <v>PWS</v>
          </cell>
          <cell r="E10896" t="str">
            <v>P2K2FCL49FB0314</v>
          </cell>
        </row>
        <row r="10897">
          <cell r="D10897" t="str">
            <v>PWS</v>
          </cell>
          <cell r="E10897" t="str">
            <v>P2K2FCL49FB0315</v>
          </cell>
        </row>
        <row r="10898">
          <cell r="D10898" t="str">
            <v>NUM</v>
          </cell>
          <cell r="E10898">
            <v>8801026277</v>
          </cell>
        </row>
        <row r="10899">
          <cell r="D10899" t="str">
            <v>MBD</v>
          </cell>
          <cell r="E10899" t="str">
            <v>NM222S003479</v>
          </cell>
        </row>
        <row r="10900">
          <cell r="D10900" t="str">
            <v>AOC</v>
          </cell>
          <cell r="E10900" t="str">
            <v>OA222S004049</v>
          </cell>
        </row>
        <row r="10901">
          <cell r="D10901" t="str">
            <v>AOC</v>
          </cell>
          <cell r="E10901" t="str">
            <v>VA202S002071</v>
          </cell>
        </row>
        <row r="10902">
          <cell r="D10902" t="str">
            <v>AOC</v>
          </cell>
          <cell r="E10902" t="str">
            <v>ZA21AS004821</v>
          </cell>
        </row>
        <row r="10903">
          <cell r="D10903" t="str">
            <v>NUM</v>
          </cell>
          <cell r="E10903" t="str">
            <v>3CECEFE7D134</v>
          </cell>
        </row>
        <row r="10904">
          <cell r="D10904" t="str">
            <v>NUM</v>
          </cell>
          <cell r="E10904" t="str">
            <v>ISBKPOPTPN</v>
          </cell>
        </row>
        <row r="10905">
          <cell r="D10905" t="str">
            <v>NUM</v>
          </cell>
          <cell r="E10905" t="str">
            <v>E459735X2400233A</v>
          </cell>
        </row>
        <row r="10906">
          <cell r="D10906" t="str">
            <v>SFT</v>
          </cell>
          <cell r="E10906" t="str">
            <v>3CECEFE7D134</v>
          </cell>
        </row>
        <row r="10907">
          <cell r="D10907" t="str">
            <v>CPU</v>
          </cell>
          <cell r="E10907" t="str">
            <v>819F9Q3901660</v>
          </cell>
        </row>
        <row r="10908">
          <cell r="D10908" t="str">
            <v>MEM</v>
          </cell>
          <cell r="E10908" t="str">
            <v>S802C252149F2FFB23F</v>
          </cell>
        </row>
        <row r="10909">
          <cell r="D10909" t="str">
            <v>MEM</v>
          </cell>
          <cell r="E10909" t="str">
            <v>S802C252149F2FFB9C4</v>
          </cell>
        </row>
        <row r="10910">
          <cell r="D10910" t="str">
            <v>HDS</v>
          </cell>
          <cell r="E10910" t="str">
            <v>PHYF149608GJ3P8EGN</v>
          </cell>
        </row>
        <row r="10911">
          <cell r="D10911" t="str">
            <v>AOC</v>
          </cell>
          <cell r="E10911" t="str">
            <v>VA21AS011289</v>
          </cell>
        </row>
        <row r="10912">
          <cell r="D10912" t="str">
            <v>MBD</v>
          </cell>
          <cell r="E10912" t="str">
            <v>NM222S003489</v>
          </cell>
        </row>
        <row r="10913">
          <cell r="D10913" t="str">
            <v>AOC</v>
          </cell>
          <cell r="E10913" t="str">
            <v>OA222S004051</v>
          </cell>
        </row>
        <row r="10914">
          <cell r="D10914" t="str">
            <v>AOC</v>
          </cell>
          <cell r="E10914" t="str">
            <v>VA202S002082</v>
          </cell>
        </row>
        <row r="10915">
          <cell r="D10915" t="str">
            <v>NUM</v>
          </cell>
          <cell r="E10915" t="str">
            <v>JUHSGJZJHL</v>
          </cell>
        </row>
        <row r="10916">
          <cell r="D10916" t="str">
            <v>SFT</v>
          </cell>
          <cell r="E10916" t="str">
            <v>3CECEFE7D139</v>
          </cell>
        </row>
        <row r="10917">
          <cell r="D10917" t="str">
            <v>MEM</v>
          </cell>
          <cell r="E10917" t="str">
            <v>S802C252149F2FFB295</v>
          </cell>
        </row>
        <row r="10918">
          <cell r="D10918" t="str">
            <v>HDS</v>
          </cell>
          <cell r="E10918" t="str">
            <v>PHYF1496093P3P8EGN</v>
          </cell>
        </row>
        <row r="10919">
          <cell r="D10919" t="str">
            <v>AOC</v>
          </cell>
          <cell r="E10919" t="str">
            <v>OA221S009945</v>
          </cell>
        </row>
        <row r="10920">
          <cell r="D10920" t="str">
            <v>AOC</v>
          </cell>
          <cell r="E10920" t="str">
            <v>ZA21AS006499</v>
          </cell>
        </row>
        <row r="10921">
          <cell r="D10921" t="str">
            <v>NUM</v>
          </cell>
          <cell r="E10921" t="str">
            <v>3CECEFE7D138</v>
          </cell>
        </row>
        <row r="10922">
          <cell r="D10922" t="str">
            <v>NUM</v>
          </cell>
          <cell r="E10922" t="str">
            <v>E459735X2400233C</v>
          </cell>
        </row>
        <row r="10923">
          <cell r="D10923" t="str">
            <v>CPU</v>
          </cell>
          <cell r="E10923" t="str">
            <v>819F9Q3902395</v>
          </cell>
        </row>
        <row r="10924">
          <cell r="D10924" t="str">
            <v>MEM</v>
          </cell>
          <cell r="E10924" t="str">
            <v>S802C252149F2FFB2E6</v>
          </cell>
        </row>
        <row r="10925">
          <cell r="D10925" t="str">
            <v>AOC</v>
          </cell>
          <cell r="E10925" t="str">
            <v>VA21AS011266</v>
          </cell>
        </row>
        <row r="10926">
          <cell r="D10926" t="str">
            <v>MBD</v>
          </cell>
          <cell r="E10926" t="str">
            <v>NM222S003475</v>
          </cell>
        </row>
        <row r="10927">
          <cell r="D10927" t="str">
            <v>AOC</v>
          </cell>
          <cell r="E10927" t="str">
            <v>VA202S002081</v>
          </cell>
        </row>
        <row r="10928">
          <cell r="D10928" t="str">
            <v>NUM</v>
          </cell>
          <cell r="E10928" t="str">
            <v>NM222S003479</v>
          </cell>
        </row>
        <row r="10929">
          <cell r="D10929" t="str">
            <v>SFT</v>
          </cell>
          <cell r="E10929" t="str">
            <v>IRWAEQOMNV</v>
          </cell>
        </row>
        <row r="10930">
          <cell r="D10930" t="str">
            <v>MEM</v>
          </cell>
          <cell r="E10930" t="str">
            <v>S802C252149F2FFAFF4</v>
          </cell>
        </row>
        <row r="10931">
          <cell r="D10931" t="str">
            <v>HDS</v>
          </cell>
          <cell r="E10931" t="str">
            <v>PHYF1496087G3P8EGN</v>
          </cell>
        </row>
        <row r="10932">
          <cell r="D10932" t="str">
            <v>AOC</v>
          </cell>
          <cell r="E10932" t="str">
            <v>OA221S009939</v>
          </cell>
        </row>
        <row r="10933">
          <cell r="D10933" t="str">
            <v>AOC</v>
          </cell>
          <cell r="E10933" t="str">
            <v>ZA21AS006587</v>
          </cell>
        </row>
        <row r="10934">
          <cell r="D10934" t="str">
            <v>NUM</v>
          </cell>
          <cell r="E10934" t="str">
            <v>3CECEFE7D14C</v>
          </cell>
        </row>
        <row r="10935">
          <cell r="D10935" t="str">
            <v>NUM</v>
          </cell>
          <cell r="E10935" t="str">
            <v>E459735X2400233E</v>
          </cell>
        </row>
        <row r="10936">
          <cell r="D10936" t="str">
            <v>AOC</v>
          </cell>
          <cell r="E10936" t="str">
            <v>ZA21AS006129</v>
          </cell>
        </row>
        <row r="10937">
          <cell r="D10937" t="str">
            <v>NUM</v>
          </cell>
          <cell r="E10937" t="str">
            <v>3CECEFE7D139</v>
          </cell>
        </row>
        <row r="10938">
          <cell r="D10938" t="str">
            <v>NUM</v>
          </cell>
          <cell r="E10938" t="str">
            <v>E459735X2400233B</v>
          </cell>
        </row>
        <row r="10939">
          <cell r="D10939" t="str">
            <v>CPU</v>
          </cell>
          <cell r="E10939" t="str">
            <v>81RL334302749</v>
          </cell>
        </row>
        <row r="10940">
          <cell r="D10940" t="str">
            <v>MEM</v>
          </cell>
          <cell r="E10940" t="str">
            <v>S802C252149F2FFADEC</v>
          </cell>
        </row>
        <row r="10941">
          <cell r="D10941" t="str">
            <v>AOC</v>
          </cell>
          <cell r="E10941" t="str">
            <v>VA21AS011271</v>
          </cell>
        </row>
        <row r="10942">
          <cell r="D10942" t="str">
            <v>MBD</v>
          </cell>
          <cell r="E10942" t="str">
            <v>NM222S003487</v>
          </cell>
        </row>
        <row r="10943">
          <cell r="D10943" t="str">
            <v>AOC</v>
          </cell>
          <cell r="E10943" t="str">
            <v>VA202S002084</v>
          </cell>
        </row>
        <row r="10944">
          <cell r="D10944" t="str">
            <v>NUM</v>
          </cell>
          <cell r="E10944" t="str">
            <v>JNYDKLMRMK</v>
          </cell>
        </row>
        <row r="10945">
          <cell r="D10945" t="str">
            <v>SFT</v>
          </cell>
          <cell r="E10945" t="str">
            <v>3CECEFE7D138</v>
          </cell>
        </row>
        <row r="10946">
          <cell r="D10946" t="str">
            <v>MEM</v>
          </cell>
          <cell r="E10946" t="str">
            <v>S802C252149F2FFBA12</v>
          </cell>
        </row>
        <row r="10947">
          <cell r="D10947" t="str">
            <v>HDS</v>
          </cell>
          <cell r="E10947" t="str">
            <v>PHYF149601L83P8EGN</v>
          </cell>
        </row>
        <row r="10948">
          <cell r="D10948" t="str">
            <v>AOC</v>
          </cell>
          <cell r="E10948" t="str">
            <v>OA221S009938</v>
          </cell>
        </row>
        <row r="10949">
          <cell r="D10949" t="str">
            <v>AOC</v>
          </cell>
          <cell r="E10949" t="str">
            <v>ZA21AS006617</v>
          </cell>
        </row>
        <row r="10950">
          <cell r="D10950" t="str">
            <v>NUM</v>
          </cell>
          <cell r="E10950" t="str">
            <v>3CECEFE7D133</v>
          </cell>
        </row>
        <row r="10951">
          <cell r="D10951" t="str">
            <v>NUM</v>
          </cell>
          <cell r="E10951" t="str">
            <v>E459735X2400233D</v>
          </cell>
        </row>
        <row r="10952">
          <cell r="D10952" t="str">
            <v>CPU</v>
          </cell>
          <cell r="E10952" t="str">
            <v>819F9Q3900447</v>
          </cell>
        </row>
        <row r="10953">
          <cell r="D10953" t="str">
            <v>MEM</v>
          </cell>
          <cell r="E10953" t="str">
            <v>S802C252149F2FFB29A</v>
          </cell>
        </row>
        <row r="10954">
          <cell r="D10954" t="str">
            <v>AOC</v>
          </cell>
          <cell r="E10954" t="str">
            <v>VA21AS011344</v>
          </cell>
        </row>
        <row r="10955">
          <cell r="D10955" t="str">
            <v>MBD</v>
          </cell>
          <cell r="E10955" t="str">
            <v>NM222S003494</v>
          </cell>
        </row>
        <row r="10956">
          <cell r="D10956" t="str">
            <v>AOC</v>
          </cell>
          <cell r="E10956" t="str">
            <v>VA202S002083</v>
          </cell>
        </row>
        <row r="10957">
          <cell r="D10957" t="str">
            <v>NUM</v>
          </cell>
          <cell r="E10957" t="str">
            <v>NUXBVWVEZE</v>
          </cell>
        </row>
        <row r="10958">
          <cell r="D10958" t="str">
            <v>CPU</v>
          </cell>
          <cell r="E10958" t="str">
            <v>819f9q3901410</v>
          </cell>
        </row>
        <row r="10959">
          <cell r="D10959" t="str">
            <v>MEM</v>
          </cell>
          <cell r="E10959" t="str">
            <v>s802c252149f2ffb253</v>
          </cell>
        </row>
        <row r="10960">
          <cell r="D10960" t="str">
            <v>AOC</v>
          </cell>
          <cell r="E10960" t="str">
            <v>va21as011279</v>
          </cell>
        </row>
        <row r="10961">
          <cell r="D10961" t="str">
            <v>MBD</v>
          </cell>
          <cell r="E10961" t="str">
            <v>nm222s003483</v>
          </cell>
        </row>
        <row r="10962">
          <cell r="D10962" t="str">
            <v>AOC</v>
          </cell>
          <cell r="E10962" t="str">
            <v>va202s002098</v>
          </cell>
        </row>
        <row r="10963">
          <cell r="D10963" t="str">
            <v>NUM</v>
          </cell>
          <cell r="E10963" t="str">
            <v>jinrjcyisi</v>
          </cell>
        </row>
        <row r="10964">
          <cell r="D10964" t="str">
            <v>SFT</v>
          </cell>
          <cell r="E10964" t="str">
            <v>3cecefe7d137</v>
          </cell>
        </row>
        <row r="10965">
          <cell r="D10965" t="str">
            <v>MEM</v>
          </cell>
          <cell r="E10965" t="str">
            <v>s802c252149f2ffb263</v>
          </cell>
        </row>
        <row r="10966">
          <cell r="D10966" t="str">
            <v>HDS</v>
          </cell>
          <cell r="E10966" t="str">
            <v>phyf1496007g3p8egn</v>
          </cell>
        </row>
        <row r="10967">
          <cell r="D10967" t="str">
            <v>AOC</v>
          </cell>
          <cell r="E10967" t="str">
            <v>m01g825001220103000518</v>
          </cell>
        </row>
        <row r="10968">
          <cell r="D10968" t="str">
            <v>AOC</v>
          </cell>
          <cell r="E10968" t="str">
            <v>za21as006137</v>
          </cell>
        </row>
        <row r="10969">
          <cell r="D10969" t="str">
            <v>NUM</v>
          </cell>
          <cell r="E10969" t="str">
            <v>3cecefe7d11a</v>
          </cell>
        </row>
        <row r="10970">
          <cell r="D10970" t="str">
            <v>NUM</v>
          </cell>
          <cell r="E10970" t="str">
            <v>e459735x2400233g</v>
          </cell>
        </row>
        <row r="10971">
          <cell r="D10971" t="str">
            <v>CPU</v>
          </cell>
          <cell r="E10971" t="str">
            <v>81na540101628</v>
          </cell>
        </row>
        <row r="10972">
          <cell r="D10972" t="str">
            <v>MEM</v>
          </cell>
          <cell r="E10972" t="str">
            <v>s802c252149f2ffb9c1</v>
          </cell>
        </row>
        <row r="10973">
          <cell r="D10973" t="str">
            <v>AOC</v>
          </cell>
          <cell r="E10973" t="str">
            <v>va21as011277</v>
          </cell>
        </row>
        <row r="10974">
          <cell r="D10974" t="str">
            <v>MBD</v>
          </cell>
          <cell r="E10974" t="str">
            <v>nm222s003203</v>
          </cell>
        </row>
        <row r="10975">
          <cell r="D10975" t="str">
            <v>AOC</v>
          </cell>
          <cell r="E10975" t="str">
            <v>va202s002054</v>
          </cell>
        </row>
        <row r="10976">
          <cell r="D10976" t="str">
            <v>NUM</v>
          </cell>
          <cell r="E10976" t="str">
            <v>dqelcgayoe</v>
          </cell>
        </row>
        <row r="10977">
          <cell r="D10977" t="str">
            <v>SFT</v>
          </cell>
          <cell r="E10977" t="str">
            <v>3cecefe7d026</v>
          </cell>
        </row>
        <row r="10978">
          <cell r="D10978" t="str">
            <v>MEM</v>
          </cell>
          <cell r="E10978" t="str">
            <v>s802c252149f2ffb55b</v>
          </cell>
        </row>
        <row r="10979">
          <cell r="D10979" t="str">
            <v>SFT</v>
          </cell>
          <cell r="E10979" t="str">
            <v>3CECEFE7D14C</v>
          </cell>
        </row>
        <row r="10980">
          <cell r="D10980" t="str">
            <v>MEM</v>
          </cell>
          <cell r="E10980" t="str">
            <v>S802C252149F2FFB26B</v>
          </cell>
        </row>
        <row r="10981">
          <cell r="D10981" t="str">
            <v>HDS</v>
          </cell>
          <cell r="E10981" t="str">
            <v>PHYF149608GE3P8EGN</v>
          </cell>
        </row>
        <row r="10982">
          <cell r="D10982" t="str">
            <v>AOC</v>
          </cell>
          <cell r="E10982" t="str">
            <v>OA221S009936</v>
          </cell>
        </row>
        <row r="10983">
          <cell r="D10983" t="str">
            <v>AOC</v>
          </cell>
          <cell r="E10983" t="str">
            <v>ZA21AS006151</v>
          </cell>
        </row>
        <row r="10984">
          <cell r="D10984" t="str">
            <v>NUM</v>
          </cell>
          <cell r="E10984" t="str">
            <v>3CECEFE7D137</v>
          </cell>
        </row>
        <row r="10985">
          <cell r="D10985" t="str">
            <v>NUM</v>
          </cell>
          <cell r="E10985" t="str">
            <v>E459735X2400233F</v>
          </cell>
        </row>
        <row r="10986">
          <cell r="D10986" t="str">
            <v>CPU</v>
          </cell>
          <cell r="E10986" t="str">
            <v>81NA540101644</v>
          </cell>
        </row>
        <row r="10987">
          <cell r="D10987" t="str">
            <v>MEM</v>
          </cell>
          <cell r="E10987" t="str">
            <v>S802C252149F2FFB264</v>
          </cell>
        </row>
        <row r="10988">
          <cell r="D10988" t="str">
            <v>AOC</v>
          </cell>
          <cell r="E10988" t="str">
            <v>VA21AS011294</v>
          </cell>
        </row>
        <row r="10989">
          <cell r="D10989" t="str">
            <v>MBD</v>
          </cell>
          <cell r="E10989" t="str">
            <v>NM222S003435</v>
          </cell>
        </row>
        <row r="10990">
          <cell r="D10990" t="str">
            <v>AOC</v>
          </cell>
          <cell r="E10990" t="str">
            <v>VA202S002063</v>
          </cell>
        </row>
        <row r="10991">
          <cell r="D10991" t="str">
            <v>NUMM</v>
          </cell>
          <cell r="E10991" t="str">
            <v>CFTLKUSTIV</v>
          </cell>
        </row>
        <row r="10992">
          <cell r="D10992" t="str">
            <v>SFT</v>
          </cell>
          <cell r="E10992" t="str">
            <v>3CECEFE7D11A</v>
          </cell>
        </row>
        <row r="10993">
          <cell r="D10993" t="str">
            <v>MEM</v>
          </cell>
          <cell r="E10993" t="str">
            <v>S802C252149F2FFBBB4</v>
          </cell>
        </row>
        <row r="10994">
          <cell r="D10994" t="str">
            <v>HDS</v>
          </cell>
          <cell r="E10994" t="str">
            <v>PHYF149608863P8EGN</v>
          </cell>
        </row>
        <row r="10995">
          <cell r="D10995" t="str">
            <v>AOC</v>
          </cell>
          <cell r="E10995" t="str">
            <v>OA221S009931</v>
          </cell>
        </row>
        <row r="10996">
          <cell r="D10996" t="str">
            <v>AOC</v>
          </cell>
          <cell r="E10996" t="str">
            <v>ZA21AS006619</v>
          </cell>
        </row>
        <row r="10997">
          <cell r="D10997" t="str">
            <v>NUM</v>
          </cell>
          <cell r="E10997" t="str">
            <v>3CECEFE7D026</v>
          </cell>
        </row>
        <row r="10998">
          <cell r="D10998" t="str">
            <v>NUM</v>
          </cell>
          <cell r="E10998" t="str">
            <v>E459735X2400233H</v>
          </cell>
        </row>
        <row r="10999">
          <cell r="D10999" t="str">
            <v>CPU</v>
          </cell>
          <cell r="E10999" t="str">
            <v>819F0Q3901675</v>
          </cell>
        </row>
        <row r="11000">
          <cell r="D11000" t="str">
            <v>HDS</v>
          </cell>
          <cell r="E11000" t="str">
            <v>PHYF1496099W3P8EGN</v>
          </cell>
        </row>
        <row r="11001">
          <cell r="D11001" t="str">
            <v>AOC</v>
          </cell>
          <cell r="E11001" t="str">
            <v>M01G825001220103000888</v>
          </cell>
        </row>
        <row r="11002">
          <cell r="D11002" t="str">
            <v>AOC</v>
          </cell>
          <cell r="E11002" t="str">
            <v>ZA21AS006514</v>
          </cell>
        </row>
        <row r="11003">
          <cell r="D11003" t="str">
            <v>NUM</v>
          </cell>
          <cell r="E11003" t="str">
            <v>3CECEFE7D024</v>
          </cell>
        </row>
        <row r="11004">
          <cell r="D11004" t="str">
            <v>NUM</v>
          </cell>
          <cell r="E11004" t="str">
            <v>E459735X2400233I</v>
          </cell>
        </row>
        <row r="11005">
          <cell r="D11005" t="str">
            <v>CPU</v>
          </cell>
          <cell r="E11005" t="str">
            <v>819F9Q3900438</v>
          </cell>
        </row>
        <row r="11006">
          <cell r="D11006" t="str">
            <v>MEM</v>
          </cell>
          <cell r="E11006" t="str">
            <v>S802C252149F2FFB2D5</v>
          </cell>
        </row>
        <row r="11007">
          <cell r="D11007" t="str">
            <v>AOC</v>
          </cell>
          <cell r="E11007" t="str">
            <v>VA21AS011341</v>
          </cell>
        </row>
        <row r="11008">
          <cell r="D11008" t="str">
            <v>MBD</v>
          </cell>
          <cell r="E11008" t="str">
            <v>NM222S003195</v>
          </cell>
        </row>
        <row r="11009">
          <cell r="D11009" t="str">
            <v>AOC</v>
          </cell>
          <cell r="E11009" t="str">
            <v>VA202S002058</v>
          </cell>
        </row>
        <row r="11010">
          <cell r="D11010" t="str">
            <v>NUM</v>
          </cell>
          <cell r="E11010" t="str">
            <v>DJHGCHUHFD</v>
          </cell>
        </row>
        <row r="11011">
          <cell r="D11011" t="str">
            <v>SFT</v>
          </cell>
          <cell r="E11011" t="str">
            <v>3CECEFE7D025</v>
          </cell>
        </row>
        <row r="11012">
          <cell r="D11012" t="str">
            <v>MEM</v>
          </cell>
          <cell r="E11012" t="str">
            <v>S802C252149F2FFB2BB</v>
          </cell>
        </row>
        <row r="11013">
          <cell r="D11013" t="str">
            <v>HDS</v>
          </cell>
          <cell r="E11013" t="str">
            <v>PHYF149601PP3P8EGN</v>
          </cell>
        </row>
        <row r="11014">
          <cell r="D11014" t="str">
            <v>AOC</v>
          </cell>
          <cell r="E11014" t="str">
            <v>OA221S009937</v>
          </cell>
        </row>
        <row r="11015">
          <cell r="D11015" t="str">
            <v>AOC</v>
          </cell>
          <cell r="E11015" t="str">
            <v>ZA21AS006132</v>
          </cell>
        </row>
        <row r="11016">
          <cell r="D11016" t="str">
            <v>NUM</v>
          </cell>
          <cell r="E11016" t="str">
            <v>3CECEFE7CB4D</v>
          </cell>
        </row>
        <row r="11017">
          <cell r="D11017" t="str">
            <v>NUM</v>
          </cell>
          <cell r="E11017" t="str">
            <v>E459735X2400233K</v>
          </cell>
        </row>
        <row r="11018">
          <cell r="D11018" t="str">
            <v>CPU</v>
          </cell>
          <cell r="E11018" t="str">
            <v>819F9Q3900619</v>
          </cell>
        </row>
        <row r="11019">
          <cell r="D11019" t="str">
            <v>MEM</v>
          </cell>
          <cell r="E11019" t="str">
            <v>S802C252149F2FFBCBF</v>
          </cell>
        </row>
        <row r="11020">
          <cell r="D11020" t="str">
            <v>AOC</v>
          </cell>
          <cell r="E11020" t="str">
            <v>VA21AS011347</v>
          </cell>
        </row>
        <row r="11021">
          <cell r="D11021" t="str">
            <v>MEM</v>
          </cell>
          <cell r="E11021" t="str">
            <v>S802C252149F2FFBA03</v>
          </cell>
        </row>
        <row r="11022">
          <cell r="D11022" t="str">
            <v>AOC</v>
          </cell>
          <cell r="E11022" t="str">
            <v>VA21AS011276</v>
          </cell>
        </row>
        <row r="11023">
          <cell r="D11023" t="str">
            <v>MBD</v>
          </cell>
          <cell r="E11023" t="str">
            <v>NM222S003197</v>
          </cell>
        </row>
        <row r="11024">
          <cell r="D11024" t="str">
            <v>AOC</v>
          </cell>
          <cell r="E11024" t="str">
            <v>VA202S002056</v>
          </cell>
        </row>
        <row r="11025">
          <cell r="D11025" t="str">
            <v>NUM</v>
          </cell>
          <cell r="E11025" t="str">
            <v>DJEKDCHHWV</v>
          </cell>
        </row>
        <row r="11026">
          <cell r="D11026" t="str">
            <v>SFT</v>
          </cell>
          <cell r="E11026" t="str">
            <v>3CECEFE7D024</v>
          </cell>
        </row>
        <row r="11027">
          <cell r="D11027" t="str">
            <v>MEM</v>
          </cell>
          <cell r="E11027" t="str">
            <v>S802C252149F2FFAE1B</v>
          </cell>
        </row>
        <row r="11028">
          <cell r="D11028" t="str">
            <v>HDS</v>
          </cell>
          <cell r="E11028" t="str">
            <v>PHYF149601PM3P8EGN</v>
          </cell>
        </row>
        <row r="11029">
          <cell r="D11029" t="str">
            <v>AOC</v>
          </cell>
          <cell r="E11029" t="str">
            <v>OA221S009943</v>
          </cell>
        </row>
        <row r="11030">
          <cell r="D11030" t="str">
            <v>AOC</v>
          </cell>
          <cell r="E11030" t="str">
            <v>ZA21AS006138</v>
          </cell>
        </row>
        <row r="11031">
          <cell r="D11031" t="str">
            <v>NUM</v>
          </cell>
          <cell r="E11031" t="str">
            <v>3CECEFE7D025</v>
          </cell>
        </row>
        <row r="11032">
          <cell r="D11032" t="str">
            <v>NUM</v>
          </cell>
          <cell r="E11032" t="str">
            <v>E459735X2400233J</v>
          </cell>
        </row>
        <row r="11033">
          <cell r="D11033" t="str">
            <v>CPU</v>
          </cell>
          <cell r="E11033" t="str">
            <v>819F9Q3901319</v>
          </cell>
        </row>
        <row r="11034">
          <cell r="D11034" t="str">
            <v>MEM</v>
          </cell>
          <cell r="E11034" t="str">
            <v>S802C252149F2FFAFF3</v>
          </cell>
        </row>
        <row r="11035">
          <cell r="D11035" t="str">
            <v>AOC</v>
          </cell>
          <cell r="E11035" t="str">
            <v>VA21AS011272</v>
          </cell>
        </row>
        <row r="11036">
          <cell r="D11036" t="str">
            <v>MBD</v>
          </cell>
          <cell r="E11036" t="str">
            <v>NM222S001971</v>
          </cell>
        </row>
        <row r="11037">
          <cell r="D11037" t="str">
            <v>AOC</v>
          </cell>
          <cell r="E11037" t="str">
            <v>VA202S002077</v>
          </cell>
        </row>
        <row r="11038">
          <cell r="D11038" t="str">
            <v>NUM</v>
          </cell>
          <cell r="E11038" t="str">
            <v>BTISKDDPEV</v>
          </cell>
        </row>
        <row r="11039">
          <cell r="D11039" t="str">
            <v>SFT</v>
          </cell>
          <cell r="E11039" t="str">
            <v>3CECEFE7CB4D</v>
          </cell>
        </row>
        <row r="11040">
          <cell r="D11040" t="str">
            <v>MEM</v>
          </cell>
          <cell r="E11040" t="str">
            <v>S802C252149F2FFB292</v>
          </cell>
        </row>
        <row r="11041">
          <cell r="D11041" t="str">
            <v>HDS</v>
          </cell>
          <cell r="E11041" t="str">
            <v>PHYF1360004X3P8EGN</v>
          </cell>
        </row>
        <row r="11042">
          <cell r="D11042" t="str">
            <v>MBD</v>
          </cell>
          <cell r="E11042" t="str">
            <v>nm222s003496</v>
          </cell>
        </row>
        <row r="11043">
          <cell r="D11043" t="str">
            <v>AOC</v>
          </cell>
          <cell r="E11043" t="str">
            <v>va202s002072</v>
          </cell>
        </row>
        <row r="11044">
          <cell r="D11044" t="str">
            <v>NUM</v>
          </cell>
          <cell r="E11044" t="str">
            <v>oqwbiydcgn</v>
          </cell>
        </row>
        <row r="11045">
          <cell r="D11045" t="str">
            <v>SFT</v>
          </cell>
          <cell r="E11045" t="str">
            <v>3cecefe7d14f</v>
          </cell>
        </row>
        <row r="11046">
          <cell r="D11046" t="str">
            <v>MEM</v>
          </cell>
          <cell r="E11046" t="str">
            <v>s802c252149f2ffb9c7</v>
          </cell>
        </row>
        <row r="11047">
          <cell r="D11047" t="str">
            <v>HDS</v>
          </cell>
          <cell r="E11047" t="str">
            <v>phyf149601kn3p8egn</v>
          </cell>
        </row>
        <row r="11048">
          <cell r="D11048" t="str">
            <v>AOC</v>
          </cell>
          <cell r="E11048" t="str">
            <v>oa221s009944</v>
          </cell>
        </row>
        <row r="11049">
          <cell r="D11049" t="str">
            <v>AOC</v>
          </cell>
          <cell r="E11049" t="str">
            <v>za21as006622</v>
          </cell>
        </row>
        <row r="11050">
          <cell r="D11050" t="str">
            <v>NUM</v>
          </cell>
          <cell r="E11050" t="str">
            <v>3cecefe7d14f</v>
          </cell>
        </row>
        <row r="11051">
          <cell r="D11051" t="str">
            <v>NUM</v>
          </cell>
          <cell r="E11051" t="str">
            <v>e459735x2400233l</v>
          </cell>
        </row>
        <row r="11052">
          <cell r="D11052" t="str">
            <v>CPU</v>
          </cell>
          <cell r="E11052" t="str">
            <v>819f9q3901420</v>
          </cell>
        </row>
        <row r="11053">
          <cell r="D11053" t="str">
            <v>MEM</v>
          </cell>
          <cell r="E11053" t="str">
            <v>s802c252149f2ffb9b6</v>
          </cell>
        </row>
        <row r="11054">
          <cell r="D11054" t="str">
            <v>AOC</v>
          </cell>
          <cell r="E11054" t="str">
            <v>va21as011282</v>
          </cell>
        </row>
        <row r="11055">
          <cell r="D11055" t="str">
            <v>MZ7KH480HAHQ-00005</v>
          </cell>
          <cell r="E11055" t="str">
            <v>S47MNA0T103542</v>
          </cell>
        </row>
        <row r="11056">
          <cell r="D11056" t="str">
            <v>B550D4-4L</v>
          </cell>
          <cell r="E11056" t="str">
            <v>F3S0XW008506</v>
          </cell>
        </row>
        <row r="11057">
          <cell r="D11057" t="str">
            <v>X299 WS/IPMI</v>
          </cell>
          <cell r="E11057" t="str">
            <v>E8S0XW014798</v>
          </cell>
        </row>
        <row r="11058">
          <cell r="D11058" t="str">
            <v>X570D4U-2L2T</v>
          </cell>
          <cell r="E11058" t="str">
            <v>EBS0XW006479</v>
          </cell>
        </row>
        <row r="11059">
          <cell r="D11059" t="str">
            <v>X570D4U-2L2T</v>
          </cell>
          <cell r="E11059" t="str">
            <v>EBS0XW006486</v>
          </cell>
        </row>
        <row r="11060">
          <cell r="D11060" t="str">
            <v>X570D4U-2L2T</v>
          </cell>
          <cell r="E11060" t="str">
            <v>EBS0XW006487</v>
          </cell>
        </row>
        <row r="11061">
          <cell r="D11061" t="str">
            <v>X570D4U-2L2T</v>
          </cell>
          <cell r="E11061" t="str">
            <v>EBS0XW006488</v>
          </cell>
        </row>
        <row r="11062">
          <cell r="D11062" t="str">
            <v>X570D4U-2L2T</v>
          </cell>
          <cell r="E11062" t="str">
            <v>EBS0XW006480</v>
          </cell>
        </row>
        <row r="11063">
          <cell r="D11063" t="str">
            <v>X570D4U-2L2T</v>
          </cell>
          <cell r="E11063" t="str">
            <v>EBS0XW006481</v>
          </cell>
        </row>
        <row r="11064">
          <cell r="D11064" t="str">
            <v>X570D4U-2L2T</v>
          </cell>
          <cell r="E11064" t="str">
            <v>EBS0XW006482</v>
          </cell>
        </row>
        <row r="11065">
          <cell r="D11065" t="str">
            <v>X570D4U-2L2T</v>
          </cell>
          <cell r="E11065" t="str">
            <v>EBS0XW006483</v>
          </cell>
        </row>
        <row r="11066">
          <cell r="D11066" t="str">
            <v>X570D4U-2L2T</v>
          </cell>
          <cell r="E11066" t="str">
            <v>EBS0XW006484</v>
          </cell>
        </row>
        <row r="11067">
          <cell r="D11067" t="str">
            <v>X570D4U-2L2T</v>
          </cell>
          <cell r="E11067" t="str">
            <v>EBS0XW006485</v>
          </cell>
        </row>
        <row r="11068">
          <cell r="D11068" t="str">
            <v>SSDSC2KB480G801</v>
          </cell>
          <cell r="E11068" t="str">
            <v>BTYF2083030K480BGN</v>
          </cell>
        </row>
        <row r="11069">
          <cell r="D11069" t="str">
            <v>SSDSC2KB480G801</v>
          </cell>
          <cell r="E11069" t="str">
            <v>BTYF208305C7480BGN</v>
          </cell>
        </row>
        <row r="11070">
          <cell r="D11070" t="str">
            <v>M393A4K40EB3-CWE</v>
          </cell>
          <cell r="E11070" t="str">
            <v>SNL395</v>
          </cell>
        </row>
        <row r="11071">
          <cell r="D11071" t="str">
            <v>M393A4K40EB3-CWE</v>
          </cell>
          <cell r="E11071" t="str">
            <v>SNL396</v>
          </cell>
        </row>
        <row r="11072">
          <cell r="D11072" t="str">
            <v>M393A4K40EB3-CWE</v>
          </cell>
          <cell r="E11072" t="str">
            <v>SNL397</v>
          </cell>
        </row>
        <row r="11073">
          <cell r="D11073" t="str">
            <v>M393A4K40EB3-CWE</v>
          </cell>
          <cell r="E11073" t="str">
            <v>SNL398</v>
          </cell>
        </row>
        <row r="11074">
          <cell r="D11074" t="str">
            <v>M393A4K40EB3-CWE</v>
          </cell>
          <cell r="E11074" t="str">
            <v>SNL399</v>
          </cell>
        </row>
        <row r="11075">
          <cell r="D11075" t="str">
            <v>M393A4K40EB3-CWE</v>
          </cell>
          <cell r="E11075" t="str">
            <v>SNL400</v>
          </cell>
        </row>
        <row r="11076">
          <cell r="D11076" t="str">
            <v>M393A4K40EB3-CWE</v>
          </cell>
          <cell r="E11076" t="str">
            <v>SNL401</v>
          </cell>
        </row>
        <row r="11077">
          <cell r="D11077" t="str">
            <v>M393A4K40EB3-CWE</v>
          </cell>
          <cell r="E11077" t="str">
            <v>SNL402</v>
          </cell>
        </row>
        <row r="11078">
          <cell r="D11078" t="str">
            <v>M393A4K40EB3-CWE</v>
          </cell>
          <cell r="E11078" t="str">
            <v>SNL403</v>
          </cell>
        </row>
        <row r="11079">
          <cell r="D11079" t="str">
            <v>M393A4K40EB3-CWE</v>
          </cell>
          <cell r="E11079" t="str">
            <v>SNL404</v>
          </cell>
        </row>
        <row r="11080">
          <cell r="D11080" t="str">
            <v>M393A4K40EB3-CWE</v>
          </cell>
          <cell r="E11080" t="str">
            <v>SNL405</v>
          </cell>
        </row>
        <row r="11081">
          <cell r="D11081" t="str">
            <v>M393A4K40EB3-CWE</v>
          </cell>
          <cell r="E11081" t="str">
            <v>SNL406</v>
          </cell>
        </row>
        <row r="11082">
          <cell r="D11082" t="str">
            <v>M393A4K40EB3-CWE</v>
          </cell>
          <cell r="E11082" t="str">
            <v>SNL407</v>
          </cell>
        </row>
        <row r="11083">
          <cell r="D11083" t="str">
            <v>M393A4K40EB3-CWE</v>
          </cell>
          <cell r="E11083" t="str">
            <v>SNL408</v>
          </cell>
        </row>
        <row r="11084">
          <cell r="D11084" t="str">
            <v>M393A4K40EB3-CWE</v>
          </cell>
          <cell r="E11084" t="str">
            <v>SNL409</v>
          </cell>
        </row>
        <row r="11085">
          <cell r="D11085" t="str">
            <v>M393A4K40EB3-CWE</v>
          </cell>
          <cell r="E11085" t="str">
            <v>SNL410</v>
          </cell>
        </row>
        <row r="11086">
          <cell r="D11086" t="str">
            <v>M393A4K40EB3-CWE</v>
          </cell>
          <cell r="E11086" t="str">
            <v>SNL411</v>
          </cell>
        </row>
        <row r="11087">
          <cell r="D11087" t="str">
            <v>M393A4K40EB3-CWE</v>
          </cell>
          <cell r="E11087" t="str">
            <v>SNL412</v>
          </cell>
        </row>
        <row r="11088">
          <cell r="D11088" t="str">
            <v>M393A4K40EB3-CWE</v>
          </cell>
          <cell r="E11088" t="str">
            <v>SNL413</v>
          </cell>
        </row>
        <row r="11089">
          <cell r="D11089" t="str">
            <v>M393A4K40EB3-CWE</v>
          </cell>
          <cell r="E11089" t="str">
            <v>SNL414</v>
          </cell>
        </row>
        <row r="11090">
          <cell r="D11090" t="str">
            <v>M393A4K40EB3-CWE</v>
          </cell>
          <cell r="E11090" t="str">
            <v>SNL415</v>
          </cell>
        </row>
        <row r="11091">
          <cell r="D11091" t="str">
            <v>M393A4K40EB3-CWE</v>
          </cell>
          <cell r="E11091" t="str">
            <v>SNL416</v>
          </cell>
        </row>
        <row r="11092">
          <cell r="D11092" t="str">
            <v>M393A4K40EB3-CWE</v>
          </cell>
          <cell r="E11092" t="str">
            <v>SNL417</v>
          </cell>
        </row>
        <row r="11093">
          <cell r="D11093" t="str">
            <v>M393A4K40EB3-CWE</v>
          </cell>
          <cell r="E11093" t="str">
            <v>SNL418</v>
          </cell>
        </row>
        <row r="11094">
          <cell r="D11094" t="str">
            <v>M393A4K40EB3-CWE</v>
          </cell>
          <cell r="E11094" t="str">
            <v>SNL419</v>
          </cell>
        </row>
        <row r="11095">
          <cell r="D11095" t="str">
            <v>M393A4K40EB3-CWE</v>
          </cell>
          <cell r="E11095" t="str">
            <v>SNL420</v>
          </cell>
        </row>
        <row r="11096">
          <cell r="D11096" t="str">
            <v>M393A4K40EB3-CWE</v>
          </cell>
          <cell r="E11096" t="str">
            <v>SNL421</v>
          </cell>
        </row>
        <row r="11097">
          <cell r="D11097" t="str">
            <v>M393A4K40EB3-CWE</v>
          </cell>
          <cell r="E11097" t="str">
            <v>SNL422</v>
          </cell>
        </row>
        <row r="11098">
          <cell r="D11098" t="str">
            <v>M393A4K40EB3-CWE</v>
          </cell>
          <cell r="E11098" t="str">
            <v>SNL423</v>
          </cell>
        </row>
        <row r="11099">
          <cell r="D11099" t="str">
            <v>M393A4K40EB3-CWE</v>
          </cell>
          <cell r="E11099" t="str">
            <v>SNL424</v>
          </cell>
        </row>
        <row r="11100">
          <cell r="D11100" t="str">
            <v>M393A4K40EB3-CWE</v>
          </cell>
          <cell r="E11100" t="str">
            <v>SNL425</v>
          </cell>
        </row>
        <row r="11101">
          <cell r="D11101" t="str">
            <v>M393A4K40EB3-CWE</v>
          </cell>
          <cell r="E11101" t="str">
            <v>SNL426</v>
          </cell>
        </row>
        <row r="11102">
          <cell r="D11102" t="str">
            <v>M393A4K40EB3-CWE</v>
          </cell>
          <cell r="E11102" t="str">
            <v>SNL427</v>
          </cell>
        </row>
        <row r="11103">
          <cell r="D11103" t="str">
            <v>M393A4K40EB3-CWE</v>
          </cell>
          <cell r="E11103" t="str">
            <v>SNL428</v>
          </cell>
        </row>
        <row r="11104">
          <cell r="D11104" t="str">
            <v>M393A4K40EB3-CWE</v>
          </cell>
          <cell r="E11104" t="str">
            <v>SNL429</v>
          </cell>
        </row>
        <row r="11105">
          <cell r="D11105" t="str">
            <v>M393A4K40EB3-CWE</v>
          </cell>
          <cell r="E11105" t="str">
            <v>SNL430</v>
          </cell>
        </row>
        <row r="11106">
          <cell r="D11106" t="str">
            <v>M393A4K40EB3-CWE</v>
          </cell>
          <cell r="E11106" t="str">
            <v>SNL431</v>
          </cell>
        </row>
        <row r="11107">
          <cell r="D11107" t="str">
            <v>M393A4K40EB3-CWE</v>
          </cell>
          <cell r="E11107" t="str">
            <v>SNL432</v>
          </cell>
        </row>
        <row r="11108">
          <cell r="D11108" t="str">
            <v>M393A4K40EB3-CWE</v>
          </cell>
          <cell r="E11108" t="str">
            <v>SNL433</v>
          </cell>
        </row>
        <row r="11109">
          <cell r="D11109" t="str">
            <v>M393A4K40EB3-CWE</v>
          </cell>
          <cell r="E11109" t="str">
            <v>SNL434</v>
          </cell>
        </row>
        <row r="11110">
          <cell r="D11110" t="str">
            <v>M393A4K40EB3-CWE</v>
          </cell>
          <cell r="E11110" t="str">
            <v>SNL435</v>
          </cell>
        </row>
        <row r="11111">
          <cell r="D11111" t="str">
            <v>M393A4K40EB3-CWE</v>
          </cell>
          <cell r="E11111" t="str">
            <v>SNL436</v>
          </cell>
        </row>
        <row r="11112">
          <cell r="D11112" t="str">
            <v>M393A4K40EB3-CWE</v>
          </cell>
          <cell r="E11112" t="str">
            <v>SNL437</v>
          </cell>
        </row>
        <row r="11113">
          <cell r="D11113" t="str">
            <v>M393A4K40EB3-CWE</v>
          </cell>
          <cell r="E11113" t="str">
            <v>SNL438</v>
          </cell>
        </row>
        <row r="11114">
          <cell r="D11114" t="str">
            <v>MZ7L31T9HBLT-00A07</v>
          </cell>
          <cell r="E11114" t="str">
            <v>S6ESNE0T305869</v>
          </cell>
        </row>
        <row r="11115">
          <cell r="D11115" t="str">
            <v>MZ7L31T9HBLT-00A07</v>
          </cell>
          <cell r="E11115" t="str">
            <v>S6ESNE0T305871</v>
          </cell>
        </row>
        <row r="11116">
          <cell r="D11116" t="str">
            <v>MZ7L31T9HBLT-00A07</v>
          </cell>
          <cell r="E11116" t="str">
            <v>S6ESNE0T305872</v>
          </cell>
        </row>
        <row r="11117">
          <cell r="D11117" t="str">
            <v>MZ7L31T9HBLT-00A07</v>
          </cell>
          <cell r="E11117" t="str">
            <v>S6ESNE0T305883</v>
          </cell>
        </row>
        <row r="11118">
          <cell r="D11118" t="str">
            <v>MZ7L31T9HBLT-00A07</v>
          </cell>
          <cell r="E11118" t="str">
            <v>S6ESNE0T305878</v>
          </cell>
        </row>
        <row r="11119">
          <cell r="D11119" t="str">
            <v>MZ7L31T9HBLT-00A07</v>
          </cell>
          <cell r="E11119" t="str">
            <v>S6ESNE0T305868</v>
          </cell>
        </row>
        <row r="11120">
          <cell r="D11120" t="str">
            <v>MZ7L31T9HBLT-00A07</v>
          </cell>
          <cell r="E11120" t="str">
            <v>S6ESNE0T305887</v>
          </cell>
        </row>
        <row r="11121">
          <cell r="D11121" t="str">
            <v>MZ7L31T9HBLT-00A07</v>
          </cell>
          <cell r="E11121" t="str">
            <v>S6ESNE0T305875</v>
          </cell>
        </row>
        <row r="11122">
          <cell r="D11122" t="str">
            <v>MZ7L31T9HBLT-00A07</v>
          </cell>
          <cell r="E11122" t="str">
            <v>S6ESNE0T305877</v>
          </cell>
        </row>
        <row r="11123">
          <cell r="D11123" t="str">
            <v>MZ7L31T9HBLT-00A07</v>
          </cell>
          <cell r="E11123" t="str">
            <v>S6ESNE0T305893</v>
          </cell>
        </row>
        <row r="11124">
          <cell r="D11124" t="str">
            <v>MZ7L31T9HBLT-00A07</v>
          </cell>
          <cell r="E11124" t="str">
            <v>S6ESNE0T305889</v>
          </cell>
        </row>
        <row r="11125">
          <cell r="D11125" t="str">
            <v>MZ7L31T9HBLT-00A07</v>
          </cell>
          <cell r="E11125" t="str">
            <v>S6ESNE0T305886</v>
          </cell>
        </row>
        <row r="11126">
          <cell r="D11126" t="str">
            <v>MZ7L31T9HBLT-00A07</v>
          </cell>
          <cell r="E11126" t="str">
            <v>S6ESNE0T401437</v>
          </cell>
        </row>
        <row r="11127">
          <cell r="D11127" t="str">
            <v>MZ7L31T9HBLT-00A07</v>
          </cell>
          <cell r="E11127" t="str">
            <v>S6ESNE0T401432</v>
          </cell>
        </row>
        <row r="11128">
          <cell r="D11128" t="str">
            <v>MZ7L31T9HBLT-00A07</v>
          </cell>
          <cell r="E11128" t="str">
            <v>S6ESNE0T401433</v>
          </cell>
        </row>
        <row r="11129">
          <cell r="D11129" t="str">
            <v>MZ7L31T9HBLT-00A07</v>
          </cell>
          <cell r="E11129" t="str">
            <v>S6ESNE0T401431</v>
          </cell>
        </row>
        <row r="11130">
          <cell r="D11130" t="str">
            <v>MZ7L31T9HBLT-00A07</v>
          </cell>
          <cell r="E11130" t="str">
            <v>S6ESNE0T401436</v>
          </cell>
        </row>
        <row r="11131">
          <cell r="D11131" t="str">
            <v>MZ7L31T9HBLT-00A07</v>
          </cell>
          <cell r="E11131" t="str">
            <v>S6ESNE0T401428</v>
          </cell>
        </row>
        <row r="11132">
          <cell r="D11132" t="str">
            <v>MZ7L31T9HBLT-00A07</v>
          </cell>
          <cell r="E11132" t="str">
            <v>S6ESNE0T401418</v>
          </cell>
        </row>
        <row r="11133">
          <cell r="D11133" t="str">
            <v>MZ7L31T9HBLT-00A07</v>
          </cell>
          <cell r="E11133" t="str">
            <v>S6ESNE0T401426</v>
          </cell>
        </row>
        <row r="11134">
          <cell r="D11134" t="str">
            <v>MZ7L31T9HBLT-00A07</v>
          </cell>
          <cell r="E11134" t="str">
            <v>S6ESNE0T401427</v>
          </cell>
        </row>
        <row r="11135">
          <cell r="D11135" t="str">
            <v>MZ7L31T9HBLT-00A07</v>
          </cell>
          <cell r="E11135" t="str">
            <v>S6ESNE0T401434</v>
          </cell>
        </row>
        <row r="11136">
          <cell r="D11136" t="str">
            <v>MZ7L31T9HBLT-00A07</v>
          </cell>
          <cell r="E11136" t="str">
            <v>S6ESNE0T401430</v>
          </cell>
        </row>
        <row r="11137">
          <cell r="D11137" t="str">
            <v>MZ7L31T9HBLT-00A07</v>
          </cell>
          <cell r="E11137" t="str">
            <v>S6ESNE0T401429</v>
          </cell>
        </row>
        <row r="11138">
          <cell r="D11138" t="str">
            <v>MZ7L31T9HBLT-00A07</v>
          </cell>
          <cell r="E11138" t="str">
            <v>S6ESNE0T401424</v>
          </cell>
        </row>
        <row r="11139">
          <cell r="D11139" t="str">
            <v>MZ7L31T9HBLT-00A07</v>
          </cell>
          <cell r="E11139" t="str">
            <v>S6ESNE0T401419</v>
          </cell>
        </row>
        <row r="11140">
          <cell r="D11140" t="str">
            <v>MZ7L31T9HBLT-00A07</v>
          </cell>
          <cell r="E11140" t="str">
            <v>S6ESNE0T401420</v>
          </cell>
        </row>
        <row r="11141">
          <cell r="D11141" t="str">
            <v>MZ7L31T9HBLT-00A07</v>
          </cell>
          <cell r="E11141" t="str">
            <v>S6ESNE0T401423</v>
          </cell>
        </row>
        <row r="11142">
          <cell r="D11142" t="str">
            <v>MZ7L31T9HBLT-00A07</v>
          </cell>
          <cell r="E11142" t="str">
            <v>S6ESNE0T401422</v>
          </cell>
        </row>
        <row r="11143">
          <cell r="D11143" t="str">
            <v>MZ7L31T9HBLT-00A07</v>
          </cell>
          <cell r="E11143" t="str">
            <v>S6ESNE0T401415</v>
          </cell>
        </row>
        <row r="11144">
          <cell r="D11144" t="str">
            <v>MZ7L31T9HBLT-00A07</v>
          </cell>
          <cell r="E11144" t="str">
            <v>S6ESNE0T401406</v>
          </cell>
        </row>
        <row r="11145">
          <cell r="D11145" t="str">
            <v>MZ7L31T9HBLT-00A07</v>
          </cell>
          <cell r="E11145" t="str">
            <v>S6ESNE0T401413</v>
          </cell>
        </row>
        <row r="11146">
          <cell r="D11146" t="str">
            <v>MZ7L31T9HBLT-00A07</v>
          </cell>
          <cell r="E11146" t="str">
            <v>S6ESNE0T401414</v>
          </cell>
        </row>
        <row r="11147">
          <cell r="D11147" t="str">
            <v>MZ7L31T9HBLT-00A07</v>
          </cell>
          <cell r="E11147" t="str">
            <v>S6ESNE0T401421</v>
          </cell>
        </row>
        <row r="11148">
          <cell r="D11148" t="str">
            <v>MZ7L31T9HBLT-00A07</v>
          </cell>
          <cell r="E11148" t="str">
            <v>S6ESNE0T401417</v>
          </cell>
        </row>
        <row r="11149">
          <cell r="D11149" t="str">
            <v>MZ7L31T9HBLT-00A07</v>
          </cell>
          <cell r="E11149" t="str">
            <v>S6ESNE0T401416</v>
          </cell>
        </row>
        <row r="11150">
          <cell r="D11150" t="str">
            <v>MZ7L31T9HBLT-00A07</v>
          </cell>
          <cell r="E11150" t="str">
            <v>S6ESNE0T401462</v>
          </cell>
        </row>
        <row r="11151">
          <cell r="D11151" t="str">
            <v>MZ7L31T9HBLT-00A07</v>
          </cell>
          <cell r="E11151" t="str">
            <v>S6ESNE0T401463</v>
          </cell>
        </row>
        <row r="11152">
          <cell r="D11152" t="str">
            <v>MZ7L31T9HBLT-00A07</v>
          </cell>
          <cell r="E11152" t="str">
            <v>S6ESNE0T401465</v>
          </cell>
        </row>
        <row r="11153">
          <cell r="D11153" t="str">
            <v>MZ7L31T9HBLT-00A07</v>
          </cell>
          <cell r="E11153" t="str">
            <v>S6ESNE0T401473</v>
          </cell>
        </row>
        <row r="11154">
          <cell r="D11154" t="str">
            <v>MZ7L31T9HBLT-00A07</v>
          </cell>
          <cell r="E11154" t="str">
            <v>S6ESNE0T401470</v>
          </cell>
        </row>
        <row r="11155">
          <cell r="D11155" t="str">
            <v>MZ7L31T9HBLT-00A07</v>
          </cell>
          <cell r="E11155" t="str">
            <v>S6ESNE0T401466</v>
          </cell>
        </row>
        <row r="11156">
          <cell r="D11156" t="str">
            <v>MZ7L31T9HBLT-00A07</v>
          </cell>
          <cell r="E11156" t="str">
            <v>S6ESNE0T401456</v>
          </cell>
        </row>
        <row r="11157">
          <cell r="D11157" t="str">
            <v>MZ7L31T9HBLT-00A07</v>
          </cell>
          <cell r="E11157" t="str">
            <v>S6ESNE0T401457</v>
          </cell>
        </row>
        <row r="11158">
          <cell r="D11158" t="str">
            <v>MZ7L31T9HBLT-00A07</v>
          </cell>
          <cell r="E11158" t="str">
            <v>S6ESNE0T401452</v>
          </cell>
        </row>
        <row r="11159">
          <cell r="D11159" t="str">
            <v>MZ7L31T9HBLT-00A07</v>
          </cell>
          <cell r="E11159" t="str">
            <v>S6ESNE0T401455</v>
          </cell>
        </row>
        <row r="11160">
          <cell r="D11160" t="str">
            <v>MZ7L31T9HBLT-00A07</v>
          </cell>
          <cell r="E11160" t="str">
            <v>S6ESNE0T401460</v>
          </cell>
        </row>
        <row r="11161">
          <cell r="D11161" t="str">
            <v>MZ7L31T9HBLT-00A07</v>
          </cell>
          <cell r="E11161" t="str">
            <v>S6ESNE0T401459</v>
          </cell>
        </row>
        <row r="11162">
          <cell r="D11162" t="str">
            <v>MZ7L31T9HBLT-00A07</v>
          </cell>
          <cell r="E11162" t="str">
            <v>S6ESNE0T401450</v>
          </cell>
        </row>
        <row r="11163">
          <cell r="D11163" t="str">
            <v>MZ7L31T9HBLT-00A07</v>
          </cell>
          <cell r="E11163" t="str">
            <v>S6ESNE0T401451</v>
          </cell>
        </row>
        <row r="11164">
          <cell r="D11164" t="str">
            <v>MZ7L31T9HBLT-00A07</v>
          </cell>
          <cell r="E11164" t="str">
            <v>S6ESNE0T401453</v>
          </cell>
        </row>
        <row r="11165">
          <cell r="D11165" t="str">
            <v>MZ7L31T9HBLT-00A07</v>
          </cell>
          <cell r="E11165" t="str">
            <v>S6ESNE0T401461</v>
          </cell>
        </row>
        <row r="11166">
          <cell r="D11166" t="str">
            <v>MZ7L31T9HBLT-00A07</v>
          </cell>
          <cell r="E11166" t="str">
            <v>S6ESNE0T401458</v>
          </cell>
        </row>
        <row r="11167">
          <cell r="D11167" t="str">
            <v>MZ7L31T9HBLT-00A07</v>
          </cell>
          <cell r="E11167" t="str">
            <v>S6ESNE0T401454</v>
          </cell>
        </row>
        <row r="11168">
          <cell r="D11168" t="str">
            <v>MZ7L31T9HBLT-00A07</v>
          </cell>
          <cell r="E11168" t="str">
            <v>S6ESNE0T401444</v>
          </cell>
        </row>
        <row r="11169">
          <cell r="D11169" t="str">
            <v>MZ7L31T9HBLT-00A07</v>
          </cell>
          <cell r="E11169" t="str">
            <v>S6ESNE0T401445</v>
          </cell>
        </row>
        <row r="11170">
          <cell r="D11170" t="str">
            <v>MZ7L31T9HBLT-00A07</v>
          </cell>
          <cell r="E11170" t="str">
            <v>S6ESNE0T401440</v>
          </cell>
        </row>
        <row r="11171">
          <cell r="D11171" t="str">
            <v>MZ7L31T9HBLT-00A07</v>
          </cell>
          <cell r="E11171" t="str">
            <v>S6ESNE0T401443</v>
          </cell>
        </row>
        <row r="11172">
          <cell r="D11172" t="str">
            <v>MZ7L31T9HBLT-00A07</v>
          </cell>
          <cell r="E11172" t="str">
            <v>S6ESNE0T401448</v>
          </cell>
        </row>
        <row r="11173">
          <cell r="D11173" t="str">
            <v>MZ7L31T9HBLT-00A07</v>
          </cell>
          <cell r="E11173" t="str">
            <v>S6ESNE0T401447</v>
          </cell>
        </row>
        <row r="11174">
          <cell r="D11174" t="str">
            <v>MZ7L31T9HBLT-00A07</v>
          </cell>
          <cell r="E11174" t="str">
            <v>S6ESNE0T401438</v>
          </cell>
        </row>
        <row r="11175">
          <cell r="D11175" t="str">
            <v>MZ7L31T9HBLT-00A07</v>
          </cell>
          <cell r="E11175" t="str">
            <v>S6ESNE0T401439</v>
          </cell>
        </row>
        <row r="11176">
          <cell r="D11176" t="str">
            <v>MZ7L31T9HBLT-00A07</v>
          </cell>
          <cell r="E11176" t="str">
            <v>S6ESNE0T401441</v>
          </cell>
        </row>
        <row r="11177">
          <cell r="D11177" t="str">
            <v>MZ7L31T9HBLT-00A07</v>
          </cell>
          <cell r="E11177" t="str">
            <v>S6ESNE0T401449</v>
          </cell>
        </row>
        <row r="11178">
          <cell r="D11178" t="str">
            <v>MZ7L31T9HBLT-00A07</v>
          </cell>
          <cell r="E11178" t="str">
            <v>S6ESNE0T401446</v>
          </cell>
        </row>
        <row r="11179">
          <cell r="D11179" t="str">
            <v>MZ7L31T9HBLT-00A07</v>
          </cell>
          <cell r="E11179" t="str">
            <v>S6ESNE0T401442</v>
          </cell>
        </row>
        <row r="11180">
          <cell r="D11180" t="str">
            <v>2294800-R</v>
          </cell>
          <cell r="E11180" t="str">
            <v>S1A05F3010E1</v>
          </cell>
          <cell r="K11180" t="str">
            <v>ean 760884157848</v>
          </cell>
        </row>
        <row r="11181">
          <cell r="D11181" t="str">
            <v>Intel Xeon Gold 6230R</v>
          </cell>
          <cell r="E11181" t="str">
            <v>33F310BD68E02899RGZA M2TP523200130</v>
          </cell>
        </row>
        <row r="11182">
          <cell r="D11182" t="str">
            <v>Intel Xeon Gold 6230R</v>
          </cell>
          <cell r="E11182" t="str">
            <v>33F272BD97164728RGZA  M2TP523200118</v>
          </cell>
        </row>
        <row r="11183">
          <cell r="D11183" t="str">
            <v>0B35950</v>
          </cell>
          <cell r="E11183" t="str">
            <v>VBH98BZH</v>
          </cell>
        </row>
        <row r="11184">
          <cell r="D11184" t="str">
            <v>0B35950</v>
          </cell>
          <cell r="E11184" t="str">
            <v>VBH97K4H</v>
          </cell>
        </row>
        <row r="11185">
          <cell r="D11185" t="str">
            <v>Intel Xeon Silver 4216</v>
          </cell>
          <cell r="E11185" t="str">
            <v>2D296E0E7FC86433RFBB  M2M89U6201228</v>
          </cell>
        </row>
        <row r="11186">
          <cell r="D11186" t="str">
            <v xml:space="preserve">AMD EPYC 7443P </v>
          </cell>
          <cell r="E11186" t="str">
            <v>9KI2334O20222_100-000000342</v>
          </cell>
        </row>
        <row r="11187">
          <cell r="D11187" t="str">
            <v xml:space="preserve">AMD EPYC 7443P </v>
          </cell>
          <cell r="E11187" t="str">
            <v>9KI2503O20094_100-000000342</v>
          </cell>
        </row>
        <row r="11188">
          <cell r="D11188" t="str">
            <v xml:space="preserve">M391A4G43BB1-CWE </v>
          </cell>
          <cell r="E11188" t="str">
            <v>SNL439</v>
          </cell>
        </row>
        <row r="11189">
          <cell r="D11189" t="str">
            <v xml:space="preserve">M391A4G43BB1-CWE </v>
          </cell>
          <cell r="E11189" t="str">
            <v>SNL440</v>
          </cell>
        </row>
        <row r="11190">
          <cell r="D11190" t="str">
            <v xml:space="preserve">M391A4G43BB1-CWE </v>
          </cell>
          <cell r="E11190" t="str">
            <v>SNL441</v>
          </cell>
        </row>
        <row r="11191">
          <cell r="D11191" t="str">
            <v xml:space="preserve">M391A4G43BB1-CWE </v>
          </cell>
          <cell r="E11191" t="str">
            <v>SNL442</v>
          </cell>
        </row>
        <row r="11192">
          <cell r="D11192" t="str">
            <v xml:space="preserve">M391A4G43BB1-CWE </v>
          </cell>
          <cell r="E11192" t="str">
            <v>SNL443</v>
          </cell>
        </row>
        <row r="11193">
          <cell r="D11193" t="str">
            <v xml:space="preserve">M391A4G43BB1-CWE </v>
          </cell>
          <cell r="E11193" t="str">
            <v>SNL444</v>
          </cell>
        </row>
        <row r="11194">
          <cell r="D11194" t="str">
            <v xml:space="preserve">M391A4G43BB1-CWE </v>
          </cell>
          <cell r="E11194" t="str">
            <v>SNL445</v>
          </cell>
        </row>
        <row r="11195">
          <cell r="D11195" t="str">
            <v xml:space="preserve">M391A4G43BB1-CWE </v>
          </cell>
          <cell r="E11195" t="str">
            <v>SNL446</v>
          </cell>
        </row>
        <row r="11196">
          <cell r="D11196" t="str">
            <v xml:space="preserve">M391A4G43BB1-CWE </v>
          </cell>
          <cell r="E11196" t="str">
            <v>SNL447</v>
          </cell>
        </row>
        <row r="11197">
          <cell r="D11197" t="str">
            <v xml:space="preserve">M391A4G43BB1-CWE </v>
          </cell>
          <cell r="E11197" t="str">
            <v>SNL448</v>
          </cell>
        </row>
        <row r="11198">
          <cell r="D11198" t="str">
            <v>MZ7LH3T8HMLT-00005</v>
          </cell>
          <cell r="E11198" t="str">
            <v>S456NC0T316244</v>
          </cell>
        </row>
        <row r="11199">
          <cell r="D11199" t="str">
            <v>MZ7LH3T8HMLT-00005</v>
          </cell>
          <cell r="E11199" t="str">
            <v>S456NC0T316245</v>
          </cell>
        </row>
        <row r="11200">
          <cell r="D11200" t="str">
            <v>MZ7LH3T8HMLT-00005</v>
          </cell>
          <cell r="E11200" t="str">
            <v>S456NC0T316247</v>
          </cell>
        </row>
        <row r="11201">
          <cell r="D11201" t="str">
            <v>MZ7LH3T8HMLT-00005</v>
          </cell>
          <cell r="E11201" t="str">
            <v>S456NC0T316248</v>
          </cell>
        </row>
        <row r="11202">
          <cell r="D11202" t="str">
            <v>MZ7LH3T8HMLT-00005</v>
          </cell>
          <cell r="E11202" t="str">
            <v>S456NC0T316250</v>
          </cell>
        </row>
        <row r="11203">
          <cell r="D11203" t="str">
            <v>MZ7LH3T8HMLT-00005</v>
          </cell>
          <cell r="E11203" t="str">
            <v>S456NC0T316251</v>
          </cell>
        </row>
        <row r="11204">
          <cell r="D11204" t="str">
            <v>MZ7LH3T8HMLT-00005</v>
          </cell>
          <cell r="E11204" t="str">
            <v>S456NC0T316252</v>
          </cell>
        </row>
        <row r="11205">
          <cell r="D11205" t="str">
            <v>MZ7LH3T8HMLT-00005</v>
          </cell>
          <cell r="E11205" t="str">
            <v>S456NC0T316253</v>
          </cell>
        </row>
        <row r="11206">
          <cell r="D11206" t="str">
            <v>MZ7LH3T8HMLT-00005</v>
          </cell>
          <cell r="E11206" t="str">
            <v>S456NC0T316254</v>
          </cell>
        </row>
        <row r="11207">
          <cell r="D11207" t="str">
            <v>MZ7LH3T8HMLT-00005</v>
          </cell>
          <cell r="E11207" t="str">
            <v>S456NC0T316255</v>
          </cell>
        </row>
        <row r="11208">
          <cell r="D11208" t="str">
            <v>MZ7LH1T9HMLT-00005</v>
          </cell>
          <cell r="E11208" t="str">
            <v>S455NC0RC13868</v>
          </cell>
        </row>
        <row r="11209">
          <cell r="D11209" t="str">
            <v>MZ7LH1T9HMLT-00005</v>
          </cell>
          <cell r="E11209" t="str">
            <v>S455NC0RC13866</v>
          </cell>
        </row>
        <row r="11210">
          <cell r="D11210" t="str">
            <v>MZ7LH1T9HMLT-00005</v>
          </cell>
          <cell r="E11210" t="str">
            <v>S455NC0RC13867</v>
          </cell>
        </row>
        <row r="11211">
          <cell r="D11211" t="str">
            <v>MZ7LH1T9HMLT-00005</v>
          </cell>
          <cell r="E11211" t="str">
            <v>S455NC0RC13869</v>
          </cell>
        </row>
        <row r="11212">
          <cell r="D11212" t="str">
            <v>MZ7LH1T9HMLT-00005</v>
          </cell>
          <cell r="E11212" t="str">
            <v>S455NC0RC13722</v>
          </cell>
        </row>
        <row r="11213">
          <cell r="D11213" t="str">
            <v>MZ7LH1T9HMLT-00005</v>
          </cell>
          <cell r="E11213" t="str">
            <v>S455NC0RC13723</v>
          </cell>
        </row>
        <row r="11214">
          <cell r="D11214" t="str">
            <v>MZ7LH1T9HMLT-00005</v>
          </cell>
          <cell r="E11214" t="str">
            <v>S455NC0RC13859</v>
          </cell>
        </row>
        <row r="11215">
          <cell r="D11215" t="str">
            <v>MZ7LH1T9HMLT-00005</v>
          </cell>
          <cell r="E11215" t="str">
            <v>S455NC0RC13862</v>
          </cell>
        </row>
        <row r="11216">
          <cell r="D11216" t="str">
            <v>MZ7LH1T9HMLT-00005</v>
          </cell>
          <cell r="E11216" t="str">
            <v>S455NC0RC13861</v>
          </cell>
        </row>
        <row r="11217">
          <cell r="D11217" t="str">
            <v>MZ7LH1T9HMLT-00005</v>
          </cell>
          <cell r="E11217" t="str">
            <v>S455NC0RC13860</v>
          </cell>
        </row>
        <row r="11218">
          <cell r="D11218" t="str">
            <v>MZ7LH1T9HMLT-00005</v>
          </cell>
          <cell r="E11218" t="str">
            <v>S455NC0RC13714</v>
          </cell>
        </row>
        <row r="11219">
          <cell r="D11219" t="str">
            <v>MZ7LH1T9HMLT-00005</v>
          </cell>
          <cell r="E11219" t="str">
            <v>S455NC0RC13715</v>
          </cell>
        </row>
        <row r="11220">
          <cell r="D11220" t="str">
            <v>MZ7LH1T9HMLT-00005</v>
          </cell>
          <cell r="E11220" t="str">
            <v>S455NC0RC13716</v>
          </cell>
        </row>
        <row r="11221">
          <cell r="D11221" t="str">
            <v>MZ7LH1T9HMLT-00005</v>
          </cell>
          <cell r="E11221" t="str">
            <v>S455NC0RC13720</v>
          </cell>
        </row>
        <row r="11222">
          <cell r="D11222" t="str">
            <v>MZ7LH1T9HMLT-00005</v>
          </cell>
          <cell r="E11222" t="str">
            <v>S455NC0RC13717</v>
          </cell>
        </row>
        <row r="11223">
          <cell r="D11223" t="str">
            <v>MZ7LH1T9HMLT-00005</v>
          </cell>
          <cell r="E11223" t="str">
            <v>S455NC0RC13719</v>
          </cell>
        </row>
        <row r="11224">
          <cell r="D11224" t="str">
            <v>MZ7LH1T9HMLT-00005</v>
          </cell>
          <cell r="E11224" t="str">
            <v>S455NC0RC13707</v>
          </cell>
        </row>
        <row r="11225">
          <cell r="D11225" t="str">
            <v>MZ7LH1T9HMLT-00005</v>
          </cell>
          <cell r="E11225" t="str">
            <v>S455NC0RC13709</v>
          </cell>
        </row>
        <row r="11226">
          <cell r="D11226" t="str">
            <v>MZ7LH1T9HMLT-00005</v>
          </cell>
          <cell r="E11226" t="str">
            <v>S455NC0RC13710</v>
          </cell>
        </row>
        <row r="11227">
          <cell r="D11227" t="str">
            <v>MZ7LH1T9HMLT-00005</v>
          </cell>
          <cell r="E11227" t="str">
            <v>S455NC0RC13712</v>
          </cell>
        </row>
        <row r="11228">
          <cell r="D11228" t="str">
            <v>MZ7LH1T9HMLT-00005</v>
          </cell>
          <cell r="E11228" t="str">
            <v>S455NC0RC13711</v>
          </cell>
        </row>
        <row r="11229">
          <cell r="D11229" t="str">
            <v>MZ7LH1T9HMLT-00005</v>
          </cell>
          <cell r="E11229" t="str">
            <v>S455NC0RC13713</v>
          </cell>
        </row>
        <row r="11230">
          <cell r="D11230" t="str">
            <v>SSDPE2KE032T807</v>
          </cell>
          <cell r="E11230" t="str">
            <v>PHLN136600LL3P2FGN</v>
          </cell>
        </row>
        <row r="11231">
          <cell r="D11231" t="str">
            <v>SSDPE2KE032T807</v>
          </cell>
          <cell r="E11231" t="str">
            <v>PHLN136600LP3P2FGN</v>
          </cell>
        </row>
        <row r="11232">
          <cell r="D11232" t="str">
            <v>SSDPE2KE032T807</v>
          </cell>
          <cell r="E11232" t="str">
            <v>PHLN136600LC3P2FGN</v>
          </cell>
        </row>
        <row r="11233">
          <cell r="D11233" t="str">
            <v>SSDPE2KE032T807</v>
          </cell>
          <cell r="E11233" t="str">
            <v>PHLN136600TY3P2FGN</v>
          </cell>
        </row>
        <row r="11234">
          <cell r="D11234" t="str">
            <v>LSI00418/LSICVM02  05-254440-00</v>
          </cell>
          <cell r="E11234" t="str">
            <v>SKC0103918</v>
          </cell>
          <cell r="K11234" t="str">
            <v>awaria</v>
          </cell>
        </row>
        <row r="11235">
          <cell r="D11235" t="str">
            <v>LSI00418/LSICVM02  05-254440-00</v>
          </cell>
          <cell r="E11235" t="str">
            <v>SKC0103604</v>
          </cell>
        </row>
        <row r="11236">
          <cell r="D11236" t="str">
            <v>LSI00418/LSICVM02  05-254440-00</v>
          </cell>
          <cell r="E11236" t="str">
            <v>SKC0103968</v>
          </cell>
        </row>
        <row r="11237">
          <cell r="D11237" t="str">
            <v>LSI00418/LSICVM02  05-254440-00</v>
          </cell>
          <cell r="E11237" t="str">
            <v>SKC0103603</v>
          </cell>
        </row>
        <row r="11238">
          <cell r="D11238" t="str">
            <v>LSI00418/LSICVM02  05-254440-00</v>
          </cell>
          <cell r="E11238" t="str">
            <v>SKC0104009</v>
          </cell>
        </row>
        <row r="11239">
          <cell r="D11239" t="str">
            <v>BCM957416A4160C</v>
          </cell>
          <cell r="E11239" t="str">
            <v>A41602135001NYFV</v>
          </cell>
        </row>
        <row r="11240">
          <cell r="D11240" t="str">
            <v>BCM957416A4160C</v>
          </cell>
          <cell r="E11240" t="str">
            <v>A416021350001QFV</v>
          </cell>
        </row>
        <row r="11241">
          <cell r="D11241" t="str">
            <v>BCM957416A4160C</v>
          </cell>
          <cell r="E11241" t="str">
            <v>A41602207000FVFV</v>
          </cell>
        </row>
        <row r="11242">
          <cell r="D11242" t="str">
            <v>BCM957416A4160C</v>
          </cell>
          <cell r="E11242" t="str">
            <v>A41602135001OEFV</v>
          </cell>
        </row>
        <row r="11243">
          <cell r="D11243" t="str">
            <v>Intel Xeon Gold 5317</v>
          </cell>
          <cell r="E11243" t="str">
            <v>0FF755FC017FA455RKXM    71HV208500902</v>
          </cell>
        </row>
        <row r="11244">
          <cell r="D11244" t="str">
            <v>Intel Xeon Gold 5317</v>
          </cell>
          <cell r="E11244" t="str">
            <v>0FEA1BFC5DE7F98FRKXM  71HV208501458</v>
          </cell>
        </row>
        <row r="11245">
          <cell r="D11245" t="str">
            <v>MCX515A-CCAT</v>
          </cell>
          <cell r="E11245" t="str">
            <v>MT2152K02506</v>
          </cell>
        </row>
        <row r="11246">
          <cell r="D11246" t="str">
            <v>MCX515A-CCAT</v>
          </cell>
          <cell r="E11246" t="str">
            <v>MT2152K02185</v>
          </cell>
        </row>
        <row r="11247">
          <cell r="D11247" t="str">
            <v>SYS-6029P-TRT</v>
          </cell>
          <cell r="E11247" t="str">
            <v>E263370X2500043</v>
          </cell>
        </row>
        <row r="11248">
          <cell r="D11248" t="str">
            <v>CSE</v>
          </cell>
          <cell r="E11248" t="str">
            <v>C8250FK45P10473</v>
          </cell>
        </row>
        <row r="11249">
          <cell r="D11249" t="str">
            <v>PDB</v>
          </cell>
          <cell r="E11249" t="str">
            <v>PT8254L31NN0022</v>
          </cell>
        </row>
        <row r="11250">
          <cell r="D11250" t="str">
            <v>PWS</v>
          </cell>
          <cell r="E11250" t="str">
            <v>P1K03AL53IN0500</v>
          </cell>
        </row>
        <row r="11251">
          <cell r="D11251" t="str">
            <v>PWS</v>
          </cell>
          <cell r="E11251" t="str">
            <v>P1K03AL53IN0499</v>
          </cell>
        </row>
        <row r="11252">
          <cell r="D11252" t="str">
            <v>BPN</v>
          </cell>
          <cell r="E11252" t="str">
            <v>EB222S020152</v>
          </cell>
        </row>
        <row r="11253">
          <cell r="D11253" t="str">
            <v>MBD</v>
          </cell>
          <cell r="E11253" t="str">
            <v>NM221S005525</v>
          </cell>
        </row>
        <row r="11254">
          <cell r="D11254" t="str">
            <v>SYS-6029P-TRT</v>
          </cell>
          <cell r="E11254" t="str">
            <v>E263370X2500033</v>
          </cell>
        </row>
        <row r="11255">
          <cell r="D11255" t="str">
            <v>CSE</v>
          </cell>
          <cell r="E11255" t="str">
            <v>C8250FK45P10597</v>
          </cell>
        </row>
        <row r="11256">
          <cell r="D11256" t="str">
            <v>PDB</v>
          </cell>
          <cell r="E11256" t="str">
            <v>PT8254L31NN0175</v>
          </cell>
        </row>
        <row r="11257">
          <cell r="D11257" t="str">
            <v>PWS</v>
          </cell>
          <cell r="E11257" t="str">
            <v>P1K03AL53IN0497</v>
          </cell>
        </row>
        <row r="11258">
          <cell r="D11258" t="str">
            <v>PWS</v>
          </cell>
          <cell r="E11258" t="str">
            <v>P1K03AM10NN1463</v>
          </cell>
        </row>
        <row r="11259">
          <cell r="D11259" t="str">
            <v>BPN</v>
          </cell>
          <cell r="E11259" t="str">
            <v>EB222S020170</v>
          </cell>
        </row>
        <row r="11260">
          <cell r="D11260" t="str">
            <v>MBD</v>
          </cell>
          <cell r="E11260" t="str">
            <v>NM221S005598</v>
          </cell>
        </row>
        <row r="11261">
          <cell r="D11261" t="str">
            <v>SYS-6029P-TRT</v>
          </cell>
          <cell r="E11261" t="str">
            <v>E263370X2500030</v>
          </cell>
        </row>
        <row r="11262">
          <cell r="D11262" t="str">
            <v>CSE</v>
          </cell>
          <cell r="E11262" t="str">
            <v>C8250FK45P10477</v>
          </cell>
        </row>
        <row r="11263">
          <cell r="D11263" t="str">
            <v>PDB</v>
          </cell>
          <cell r="E11263" t="str">
            <v>PT8254L31NN0079</v>
          </cell>
        </row>
        <row r="11264">
          <cell r="D11264" t="str">
            <v>PWS</v>
          </cell>
          <cell r="E11264" t="str">
            <v>P1K03AM10NN1448</v>
          </cell>
        </row>
        <row r="11265">
          <cell r="D11265" t="str">
            <v>PWS</v>
          </cell>
          <cell r="E11265" t="str">
            <v>P1K03AM10NN1447</v>
          </cell>
        </row>
        <row r="11266">
          <cell r="D11266" t="str">
            <v>BPN</v>
          </cell>
          <cell r="E11266" t="str">
            <v>EB222S020239</v>
          </cell>
        </row>
        <row r="11267">
          <cell r="D11267" t="str">
            <v>MBD</v>
          </cell>
          <cell r="E11267" t="str">
            <v>NM221S001259</v>
          </cell>
        </row>
        <row r="11268">
          <cell r="D11268" t="str">
            <v>SYS-6029P-TRT</v>
          </cell>
          <cell r="E11268" t="str">
            <v>E263370X2500013</v>
          </cell>
        </row>
        <row r="11269">
          <cell r="D11269" t="str">
            <v>CSE</v>
          </cell>
          <cell r="E11269" t="str">
            <v>C8250FK45P10567</v>
          </cell>
        </row>
        <row r="11270">
          <cell r="D11270" t="str">
            <v>PDB</v>
          </cell>
          <cell r="E11270" t="str">
            <v>PT8254L31NN0114</v>
          </cell>
        </row>
        <row r="11271">
          <cell r="D11271" t="str">
            <v>PWS</v>
          </cell>
          <cell r="E11271" t="str">
            <v>P1K03AM10NN1464</v>
          </cell>
        </row>
        <row r="11272">
          <cell r="D11272" t="str">
            <v>PWS</v>
          </cell>
          <cell r="E11272" t="str">
            <v>P1K03AM10NN1442</v>
          </cell>
        </row>
        <row r="11273">
          <cell r="D11273" t="str">
            <v>BPN</v>
          </cell>
          <cell r="E11273" t="str">
            <v>EB222S020234</v>
          </cell>
        </row>
        <row r="11274">
          <cell r="D11274" t="str">
            <v>MBD</v>
          </cell>
          <cell r="E11274" t="str">
            <v>NM221S001014</v>
          </cell>
        </row>
        <row r="11275">
          <cell r="D11275" t="str">
            <v>SYS-6029P-TRT</v>
          </cell>
          <cell r="E11275" t="str">
            <v>E263370X2500028</v>
          </cell>
        </row>
        <row r="11276">
          <cell r="D11276" t="str">
            <v>CSE</v>
          </cell>
          <cell r="E11276" t="str">
            <v>C8250FK45P10472</v>
          </cell>
        </row>
        <row r="11277">
          <cell r="D11277" t="str">
            <v>PDB</v>
          </cell>
          <cell r="E11277" t="str">
            <v>PT8254L31NN0021</v>
          </cell>
        </row>
        <row r="11278">
          <cell r="D11278" t="str">
            <v>PWS</v>
          </cell>
          <cell r="E11278" t="str">
            <v>P1K03AM10NN1445</v>
          </cell>
        </row>
        <row r="11279">
          <cell r="D11279" t="str">
            <v>PWS</v>
          </cell>
          <cell r="E11279" t="str">
            <v>P1K03AM10NN1446</v>
          </cell>
        </row>
        <row r="11280">
          <cell r="D11280" t="str">
            <v>BPN</v>
          </cell>
          <cell r="E11280" t="str">
            <v>EB222S020244</v>
          </cell>
        </row>
        <row r="11281">
          <cell r="D11281" t="str">
            <v>MBD</v>
          </cell>
          <cell r="E11281" t="str">
            <v>NM221S001442</v>
          </cell>
        </row>
        <row r="11282">
          <cell r="D11282" t="str">
            <v>SYS-6029P-TRT</v>
          </cell>
          <cell r="E11282" t="str">
            <v>E263370X2500041</v>
          </cell>
        </row>
        <row r="11283">
          <cell r="D11283" t="str">
            <v>CSE</v>
          </cell>
          <cell r="E11283" t="str">
            <v>C8250FK45P10589</v>
          </cell>
        </row>
        <row r="11284">
          <cell r="D11284" t="str">
            <v>PDB</v>
          </cell>
          <cell r="E11284" t="str">
            <v>PT8254L31NN0047</v>
          </cell>
        </row>
        <row r="11285">
          <cell r="D11285" t="str">
            <v>PWS</v>
          </cell>
          <cell r="E11285" t="str">
            <v>P1K03AM10NN1453</v>
          </cell>
        </row>
        <row r="11286">
          <cell r="D11286" t="str">
            <v>PWS</v>
          </cell>
          <cell r="E11286" t="str">
            <v>P1K03AM10NN1454</v>
          </cell>
        </row>
        <row r="11287">
          <cell r="D11287" t="str">
            <v>BPN</v>
          </cell>
          <cell r="E11287" t="str">
            <v>EB222S020151</v>
          </cell>
        </row>
        <row r="11288">
          <cell r="D11288" t="str">
            <v>MBD</v>
          </cell>
          <cell r="E11288" t="str">
            <v>NM221S005604</v>
          </cell>
        </row>
        <row r="11289">
          <cell r="D11289" t="str">
            <v>SYS-6029P-TRT</v>
          </cell>
          <cell r="E11289" t="str">
            <v>E263370X2500035</v>
          </cell>
        </row>
        <row r="11290">
          <cell r="D11290" t="str">
            <v>CSE</v>
          </cell>
          <cell r="E11290" t="str">
            <v>C8250FK45P10577</v>
          </cell>
        </row>
        <row r="11291">
          <cell r="D11291" t="str">
            <v>PDB</v>
          </cell>
          <cell r="E11291" t="str">
            <v>PT8254L31NN0959</v>
          </cell>
        </row>
        <row r="11292">
          <cell r="D11292" t="str">
            <v>PWS</v>
          </cell>
          <cell r="E11292" t="str">
            <v>P1K03AM10NN1480</v>
          </cell>
        </row>
        <row r="11293">
          <cell r="D11293" t="str">
            <v>PWS</v>
          </cell>
          <cell r="E11293" t="str">
            <v>P1K03AM10NN1481</v>
          </cell>
        </row>
        <row r="11294">
          <cell r="D11294" t="str">
            <v>BPN</v>
          </cell>
          <cell r="E11294" t="str">
            <v>EB222S020158</v>
          </cell>
        </row>
        <row r="11295">
          <cell r="D11295" t="str">
            <v>MBD</v>
          </cell>
          <cell r="E11295" t="str">
            <v>NM221S005622</v>
          </cell>
        </row>
        <row r="11296">
          <cell r="D11296" t="str">
            <v>SYS-6029P-TRT</v>
          </cell>
          <cell r="E11296" t="str">
            <v>E263370X2305046</v>
          </cell>
        </row>
        <row r="11297">
          <cell r="D11297" t="str">
            <v>CSE</v>
          </cell>
          <cell r="E11297" t="str">
            <v>C8250FK45P10455</v>
          </cell>
        </row>
        <row r="11298">
          <cell r="D11298" t="str">
            <v>PDB</v>
          </cell>
          <cell r="E11298" t="str">
            <v>PT8254L31NN0186</v>
          </cell>
        </row>
        <row r="11299">
          <cell r="D11299" t="str">
            <v>PWS</v>
          </cell>
          <cell r="E11299" t="str">
            <v>P1K03AM04KB0908</v>
          </cell>
        </row>
        <row r="11300">
          <cell r="D11300" t="str">
            <v>PWS</v>
          </cell>
          <cell r="E11300" t="str">
            <v>P1K03AM04KB0907</v>
          </cell>
        </row>
        <row r="11301">
          <cell r="D11301" t="str">
            <v>BPN</v>
          </cell>
          <cell r="E11301" t="str">
            <v>EB222S020277</v>
          </cell>
        </row>
        <row r="11302">
          <cell r="D11302" t="str">
            <v>MBD</v>
          </cell>
          <cell r="E11302" t="str">
            <v>OM21BS026081</v>
          </cell>
        </row>
        <row r="11303">
          <cell r="D11303" t="str">
            <v>SYS-6029P-TRT</v>
          </cell>
          <cell r="E11303" t="str">
            <v>E263370X2401725</v>
          </cell>
        </row>
        <row r="11304">
          <cell r="D11304" t="str">
            <v>CSE</v>
          </cell>
          <cell r="E11304" t="str">
            <v>C8250FK45P10502</v>
          </cell>
        </row>
        <row r="11305">
          <cell r="D11305" t="str">
            <v>PDB</v>
          </cell>
          <cell r="E11305" t="str">
            <v>PT8254L31NN0155</v>
          </cell>
        </row>
        <row r="11306">
          <cell r="D11306" t="str">
            <v>PWS</v>
          </cell>
          <cell r="E11306" t="str">
            <v>P1K03AM10NN1075</v>
          </cell>
        </row>
        <row r="11307">
          <cell r="D11307" t="str">
            <v>PWS</v>
          </cell>
          <cell r="E11307" t="str">
            <v>P1K03AM10NN1125</v>
          </cell>
        </row>
        <row r="11308">
          <cell r="D11308" t="str">
            <v>BPN</v>
          </cell>
          <cell r="E11308" t="str">
            <v>EB222S020432</v>
          </cell>
        </row>
        <row r="11309">
          <cell r="D11309" t="str">
            <v>MBD</v>
          </cell>
          <cell r="E11309" t="str">
            <v>NM221S001012</v>
          </cell>
        </row>
        <row r="11310">
          <cell r="D11310" t="str">
            <v>SYS-6029P-TRT</v>
          </cell>
          <cell r="E11310" t="str">
            <v>E263370X2401730</v>
          </cell>
        </row>
        <row r="11311">
          <cell r="D11311" t="str">
            <v>CSE</v>
          </cell>
          <cell r="E11311" t="str">
            <v>C8250FK45P10493</v>
          </cell>
        </row>
        <row r="11312">
          <cell r="D11312" t="str">
            <v>PDB</v>
          </cell>
          <cell r="E11312" t="str">
            <v>PT8254L31NN0159</v>
          </cell>
        </row>
        <row r="11313">
          <cell r="D11313" t="str">
            <v>PWS</v>
          </cell>
          <cell r="E11313" t="str">
            <v>P1K03AM10NN1133</v>
          </cell>
        </row>
        <row r="11314">
          <cell r="D11314" t="str">
            <v>PWS</v>
          </cell>
          <cell r="E11314" t="str">
            <v>P1K03AM10NN1132</v>
          </cell>
        </row>
        <row r="11315">
          <cell r="D11315" t="str">
            <v>BPN</v>
          </cell>
          <cell r="E11315" t="str">
            <v>EB222S020442</v>
          </cell>
        </row>
        <row r="11316">
          <cell r="D11316" t="str">
            <v>MBD</v>
          </cell>
          <cell r="E11316" t="str">
            <v>NM21CS008174</v>
          </cell>
        </row>
        <row r="11317">
          <cell r="D11317" t="str">
            <v>SYS-6029P-TRT</v>
          </cell>
          <cell r="E11317" t="str">
            <v>E263370X2401721</v>
          </cell>
        </row>
        <row r="11318">
          <cell r="D11318" t="str">
            <v>CSE</v>
          </cell>
          <cell r="E11318" t="str">
            <v>C8250FK45P10498</v>
          </cell>
        </row>
        <row r="11319">
          <cell r="D11319" t="str">
            <v>PDB</v>
          </cell>
          <cell r="E11319" t="str">
            <v>PT8254L31NN0085</v>
          </cell>
        </row>
        <row r="11320">
          <cell r="D11320" t="str">
            <v>PWS</v>
          </cell>
          <cell r="E11320" t="str">
            <v>P1K03AM10NN1071</v>
          </cell>
        </row>
        <row r="11321">
          <cell r="D11321" t="str">
            <v>PWS</v>
          </cell>
          <cell r="E11321" t="str">
            <v>P1K03AM10NN1072</v>
          </cell>
        </row>
        <row r="11322">
          <cell r="D11322" t="str">
            <v>BPN</v>
          </cell>
          <cell r="E11322" t="str">
            <v>EB222S020437</v>
          </cell>
        </row>
        <row r="11323">
          <cell r="D11323" t="str">
            <v>MBD</v>
          </cell>
          <cell r="E11323" t="str">
            <v>NM221S001581</v>
          </cell>
        </row>
        <row r="11324">
          <cell r="D11324" t="str">
            <v>SYS-6029P-TRT</v>
          </cell>
          <cell r="E11324" t="str">
            <v>E263370X2401729</v>
          </cell>
        </row>
        <row r="11325">
          <cell r="D11325" t="str">
            <v>CSE</v>
          </cell>
          <cell r="E11325" t="str">
            <v>C8250FK45P10504</v>
          </cell>
        </row>
        <row r="11326">
          <cell r="D11326" t="str">
            <v>PDB</v>
          </cell>
          <cell r="E11326" t="str">
            <v>PT8254L31NN0092</v>
          </cell>
        </row>
        <row r="11327">
          <cell r="D11327" t="str">
            <v>PWS</v>
          </cell>
          <cell r="E11327" t="str">
            <v>P1K03AM10NN1127</v>
          </cell>
        </row>
        <row r="11328">
          <cell r="D11328" t="str">
            <v>PWS</v>
          </cell>
          <cell r="E11328" t="str">
            <v>P1K03AM10NN1126</v>
          </cell>
        </row>
        <row r="11329">
          <cell r="D11329" t="str">
            <v>BPN</v>
          </cell>
          <cell r="E11329" t="str">
            <v>EB222S020446</v>
          </cell>
        </row>
        <row r="11330">
          <cell r="D11330" t="str">
            <v>MBD</v>
          </cell>
          <cell r="E11330" t="str">
            <v>NM21CS002872</v>
          </cell>
        </row>
        <row r="11331">
          <cell r="D11331" t="str">
            <v>SYS-6029P-TRT</v>
          </cell>
          <cell r="E11331" t="str">
            <v>E263370X2401726</v>
          </cell>
        </row>
        <row r="11332">
          <cell r="D11332" t="str">
            <v>CSE</v>
          </cell>
          <cell r="E11332" t="str">
            <v>C8250FK45P10495</v>
          </cell>
        </row>
        <row r="11333">
          <cell r="D11333" t="str">
            <v>PDB</v>
          </cell>
          <cell r="E11333" t="str">
            <v>PT8254L31NN0083</v>
          </cell>
        </row>
        <row r="11334">
          <cell r="D11334" t="str">
            <v>PWS</v>
          </cell>
          <cell r="E11334" t="str">
            <v>P1K03AM10NN1077</v>
          </cell>
        </row>
        <row r="11335">
          <cell r="D11335" t="str">
            <v>PWS</v>
          </cell>
          <cell r="E11335" t="str">
            <v>P1K03AM10NN1076</v>
          </cell>
        </row>
        <row r="11336">
          <cell r="D11336" t="str">
            <v>BPN</v>
          </cell>
          <cell r="E11336" t="str">
            <v>EB222S020436</v>
          </cell>
        </row>
        <row r="11337">
          <cell r="D11337" t="str">
            <v>MBD</v>
          </cell>
          <cell r="E11337" t="str">
            <v>NM21CS006014</v>
          </cell>
        </row>
        <row r="11338">
          <cell r="D11338" t="str">
            <v>SYS-6029P-TRT</v>
          </cell>
          <cell r="E11338" t="str">
            <v>E263370X2401722</v>
          </cell>
        </row>
        <row r="11339">
          <cell r="D11339" t="str">
            <v>CSE</v>
          </cell>
          <cell r="E11339" t="str">
            <v>C8250FK45P10585</v>
          </cell>
        </row>
        <row r="11340">
          <cell r="D11340" t="str">
            <v>PDB</v>
          </cell>
          <cell r="E11340" t="str">
            <v>PT8254L31NN0169</v>
          </cell>
        </row>
        <row r="11341">
          <cell r="D11341" t="str">
            <v>PWS</v>
          </cell>
          <cell r="E11341" t="str">
            <v>P1K03AM10NN1073</v>
          </cell>
        </row>
        <row r="11342">
          <cell r="D11342" t="str">
            <v>PWS</v>
          </cell>
          <cell r="E11342" t="str">
            <v>P1K03AM10NN1074</v>
          </cell>
        </row>
        <row r="11343">
          <cell r="D11343" t="str">
            <v>BPN</v>
          </cell>
          <cell r="E11343" t="str">
            <v>EB222S020438</v>
          </cell>
        </row>
        <row r="11344">
          <cell r="D11344" t="str">
            <v>MBD</v>
          </cell>
          <cell r="E11344" t="str">
            <v>NM221S001624</v>
          </cell>
        </row>
        <row r="11345">
          <cell r="D11345" t="str">
            <v>SYS-6029P-TRT</v>
          </cell>
          <cell r="E11345" t="str">
            <v>E263370X2500010</v>
          </cell>
        </row>
        <row r="11346">
          <cell r="D11346" t="str">
            <v>CSE</v>
          </cell>
          <cell r="E11346" t="str">
            <v>C8250FK45P10564</v>
          </cell>
        </row>
        <row r="11347">
          <cell r="D11347" t="str">
            <v>PDB</v>
          </cell>
          <cell r="E11347" t="str">
            <v>PT8254L31NN0002</v>
          </cell>
        </row>
        <row r="11348">
          <cell r="D11348" t="str">
            <v>PWS</v>
          </cell>
          <cell r="E11348" t="str">
            <v>P1K03AM10NN1466</v>
          </cell>
        </row>
        <row r="11349">
          <cell r="D11349" t="str">
            <v>PWS</v>
          </cell>
          <cell r="E11349" t="str">
            <v>P1K03AM10NN1465</v>
          </cell>
        </row>
        <row r="11350">
          <cell r="D11350" t="str">
            <v>BPN</v>
          </cell>
          <cell r="E11350" t="str">
            <v>EB222S020237</v>
          </cell>
        </row>
        <row r="11351">
          <cell r="D11351" t="str">
            <v>MBD</v>
          </cell>
          <cell r="E11351" t="str">
            <v>NM221S001024</v>
          </cell>
        </row>
        <row r="11352">
          <cell r="D11352" t="str">
            <v>SYS-6029P-TRT</v>
          </cell>
          <cell r="E11352" t="str">
            <v>E263370X2500014</v>
          </cell>
        </row>
        <row r="11353">
          <cell r="D11353" t="str">
            <v>CSE</v>
          </cell>
          <cell r="E11353" t="str">
            <v>C8250FK45P10568</v>
          </cell>
        </row>
        <row r="11354">
          <cell r="D11354" t="str">
            <v>PDB</v>
          </cell>
          <cell r="E11354" t="str">
            <v>PT8254L31NN0116</v>
          </cell>
        </row>
        <row r="11355">
          <cell r="D11355" t="str">
            <v>PWS</v>
          </cell>
          <cell r="E11355" t="str">
            <v>P1K03AM10NN1443</v>
          </cell>
        </row>
        <row r="11356">
          <cell r="D11356" t="str">
            <v>PWS</v>
          </cell>
          <cell r="E11356" t="str">
            <v>P1K03AM10NN1444</v>
          </cell>
        </row>
        <row r="11357">
          <cell r="D11357" t="str">
            <v>BPN</v>
          </cell>
          <cell r="E11357" t="str">
            <v>EB222S020168</v>
          </cell>
        </row>
        <row r="11358">
          <cell r="D11358" t="str">
            <v>MBD</v>
          </cell>
          <cell r="E11358" t="str">
            <v>NM21CS005835</v>
          </cell>
        </row>
        <row r="11359">
          <cell r="D11359" t="str">
            <v>SYS-6029P-TRT</v>
          </cell>
          <cell r="E11359" t="str">
            <v>E263370X2500021</v>
          </cell>
        </row>
        <row r="11360">
          <cell r="D11360" t="str">
            <v>CSE</v>
          </cell>
          <cell r="E11360" t="str">
            <v>C8250FK45P10466</v>
          </cell>
        </row>
        <row r="11361">
          <cell r="D11361" t="str">
            <v>PDB</v>
          </cell>
          <cell r="E11361" t="str">
            <v>PT8254L31NN0064</v>
          </cell>
        </row>
        <row r="11362">
          <cell r="D11362" t="str">
            <v>PWS</v>
          </cell>
          <cell r="E11362" t="str">
            <v>P1K03AM10NN1258</v>
          </cell>
        </row>
        <row r="11363">
          <cell r="D11363" t="str">
            <v>PWS</v>
          </cell>
          <cell r="E11363" t="str">
            <v>P1K03AM10NN1257</v>
          </cell>
        </row>
        <row r="11364">
          <cell r="D11364" t="str">
            <v>BPN</v>
          </cell>
          <cell r="E11364" t="str">
            <v>EB222S020232</v>
          </cell>
        </row>
        <row r="11365">
          <cell r="D11365" t="str">
            <v>MBD</v>
          </cell>
          <cell r="E11365" t="str">
            <v>NM221S001565</v>
          </cell>
        </row>
        <row r="11366">
          <cell r="D11366" t="str">
            <v>SYS-6029P-TRT</v>
          </cell>
          <cell r="E11366" t="str">
            <v>E263370X2500024</v>
          </cell>
        </row>
        <row r="11367">
          <cell r="D11367" t="str">
            <v>CSE</v>
          </cell>
          <cell r="E11367" t="str">
            <v>C8250FK45P10471</v>
          </cell>
        </row>
        <row r="11368">
          <cell r="D11368" t="str">
            <v>PDB</v>
          </cell>
          <cell r="E11368" t="str">
            <v>PT8254L31NN0027</v>
          </cell>
        </row>
        <row r="11369">
          <cell r="D11369" t="str">
            <v>PWS</v>
          </cell>
          <cell r="E11369" t="str">
            <v>P1K03AM10NN1256</v>
          </cell>
        </row>
        <row r="11370">
          <cell r="D11370" t="str">
            <v>PWS</v>
          </cell>
          <cell r="E11370" t="str">
            <v>P1K03AM10NN1255</v>
          </cell>
        </row>
        <row r="11371">
          <cell r="D11371" t="str">
            <v>BPN</v>
          </cell>
          <cell r="E11371" t="str">
            <v>EB222S020231</v>
          </cell>
        </row>
        <row r="11372">
          <cell r="D11372" t="str">
            <v>MBD</v>
          </cell>
          <cell r="E11372" t="str">
            <v>NM221S005577</v>
          </cell>
        </row>
        <row r="11373">
          <cell r="D11373" t="str">
            <v>SYS-6029P-TRT</v>
          </cell>
          <cell r="E11373" t="str">
            <v>E263370X2500042</v>
          </cell>
        </row>
        <row r="11374">
          <cell r="D11374" t="str">
            <v>CSE</v>
          </cell>
          <cell r="E11374" t="str">
            <v>C8250FK45P10576</v>
          </cell>
        </row>
        <row r="11375">
          <cell r="D11375" t="str">
            <v>PDB</v>
          </cell>
          <cell r="E11375" t="str">
            <v>PT8254L31NN0957</v>
          </cell>
        </row>
        <row r="11376">
          <cell r="D11376" t="str">
            <v>PWS</v>
          </cell>
          <cell r="E11376" t="str">
            <v>P1K03AL53IN0496</v>
          </cell>
        </row>
        <row r="11377">
          <cell r="D11377" t="str">
            <v>PWS</v>
          </cell>
          <cell r="E11377" t="str">
            <v>P1K03AL53IN0498</v>
          </cell>
        </row>
        <row r="11378">
          <cell r="D11378" t="str">
            <v>BPN</v>
          </cell>
          <cell r="E11378" t="str">
            <v>EB222S020153</v>
          </cell>
        </row>
        <row r="11379">
          <cell r="D11379" t="str">
            <v>MBD</v>
          </cell>
          <cell r="E11379" t="str">
            <v>NM221S005592</v>
          </cell>
        </row>
        <row r="11380">
          <cell r="D11380" t="str">
            <v>SYS-6029P-TRT</v>
          </cell>
          <cell r="E11380" t="str">
            <v>E263370X2500044</v>
          </cell>
        </row>
        <row r="11381">
          <cell r="D11381" t="str">
            <v>CSE</v>
          </cell>
          <cell r="E11381" t="str">
            <v>C8250FK45P10465</v>
          </cell>
        </row>
        <row r="11382">
          <cell r="D11382" t="str">
            <v>PDB</v>
          </cell>
          <cell r="E11382" t="str">
            <v>PT8254L31NN0067</v>
          </cell>
        </row>
        <row r="11383">
          <cell r="D11383" t="str">
            <v>PWS</v>
          </cell>
          <cell r="E11383" t="str">
            <v>P1K03AM10NN1460</v>
          </cell>
        </row>
        <row r="11384">
          <cell r="D11384" t="str">
            <v>PWS</v>
          </cell>
          <cell r="E11384" t="str">
            <v>P1K03AM10NN1461</v>
          </cell>
        </row>
        <row r="11385">
          <cell r="D11385" t="str">
            <v>BPN</v>
          </cell>
          <cell r="E11385" t="str">
            <v>EB222S020160</v>
          </cell>
        </row>
        <row r="11386">
          <cell r="D11386" t="str">
            <v>MBD</v>
          </cell>
          <cell r="E11386" t="str">
            <v>NM221S005599</v>
          </cell>
        </row>
        <row r="11387">
          <cell r="D11387" t="str">
            <v>SYS-6029P-TRT</v>
          </cell>
          <cell r="E11387" t="str">
            <v>E263370X2500032</v>
          </cell>
        </row>
        <row r="11388">
          <cell r="D11388" t="str">
            <v>CSE</v>
          </cell>
          <cell r="E11388" t="str">
            <v>C8250FK45P10562</v>
          </cell>
        </row>
        <row r="11389">
          <cell r="D11389" t="str">
            <v>PDB</v>
          </cell>
          <cell r="E11389" t="str">
            <v>PT8254L31NN0035</v>
          </cell>
        </row>
        <row r="11390">
          <cell r="D11390" t="str">
            <v>PWS</v>
          </cell>
          <cell r="E11390" t="str">
            <v>P1K03AM10NN1470</v>
          </cell>
        </row>
        <row r="11391">
          <cell r="D11391" t="str">
            <v>PWS</v>
          </cell>
          <cell r="E11391" t="str">
            <v>P1K03AM10NN1469</v>
          </cell>
        </row>
        <row r="11392">
          <cell r="D11392" t="str">
            <v>BPN</v>
          </cell>
          <cell r="E11392" t="str">
            <v>EB222S020166</v>
          </cell>
        </row>
        <row r="11393">
          <cell r="D11393" t="str">
            <v>MBD</v>
          </cell>
          <cell r="E11393" t="str">
            <v>NM221S005520</v>
          </cell>
        </row>
        <row r="11394">
          <cell r="D11394" t="str">
            <v>SYS-6029P-TRT</v>
          </cell>
          <cell r="E11394" t="str">
            <v>E263370X2500015</v>
          </cell>
        </row>
        <row r="11395">
          <cell r="D11395" t="str">
            <v>CSE</v>
          </cell>
          <cell r="E11395" t="str">
            <v>C8250FK45P10574</v>
          </cell>
        </row>
        <row r="11396">
          <cell r="D11396" t="str">
            <v>PDB</v>
          </cell>
          <cell r="E11396" t="str">
            <v>PT8254L31NN0958</v>
          </cell>
        </row>
        <row r="11397">
          <cell r="D11397" t="str">
            <v>PWS</v>
          </cell>
          <cell r="E11397" t="str">
            <v>P1K03AM10NN1467</v>
          </cell>
        </row>
        <row r="11398">
          <cell r="D11398" t="str">
            <v>PWS</v>
          </cell>
          <cell r="E11398" t="str">
            <v>P1K03AM10NN1468</v>
          </cell>
        </row>
        <row r="11399">
          <cell r="D11399" t="str">
            <v>BPN</v>
          </cell>
          <cell r="E11399" t="str">
            <v>EB222S020167</v>
          </cell>
        </row>
        <row r="11400">
          <cell r="D11400" t="str">
            <v>MBD</v>
          </cell>
          <cell r="E11400" t="str">
            <v>NM221S001598</v>
          </cell>
        </row>
        <row r="11401">
          <cell r="D11401" t="str">
            <v>SYS-6029P-TRT</v>
          </cell>
          <cell r="E11401" t="str">
            <v>E263370X2500011</v>
          </cell>
        </row>
        <row r="11402">
          <cell r="D11402" t="str">
            <v>CSE</v>
          </cell>
          <cell r="E11402" t="str">
            <v>C8250FK45P10566</v>
          </cell>
        </row>
        <row r="11403">
          <cell r="D11403" t="str">
            <v>PDB</v>
          </cell>
          <cell r="E11403" t="str">
            <v>PT8254L31NN0009</v>
          </cell>
        </row>
        <row r="11404">
          <cell r="D11404" t="str">
            <v>PWS</v>
          </cell>
          <cell r="E11404" t="str">
            <v>P1K03AM10NN1472</v>
          </cell>
        </row>
        <row r="11405">
          <cell r="D11405" t="str">
            <v>PWS</v>
          </cell>
          <cell r="E11405" t="str">
            <v>P1K03AM10NN1471</v>
          </cell>
        </row>
        <row r="11406">
          <cell r="D11406" t="str">
            <v>BPN</v>
          </cell>
          <cell r="E11406" t="str">
            <v>EB222S020233</v>
          </cell>
        </row>
        <row r="11407">
          <cell r="D11407" t="str">
            <v>MBD</v>
          </cell>
          <cell r="E11407" t="str">
            <v>NM221S005527</v>
          </cell>
        </row>
        <row r="11408">
          <cell r="D11408" t="str">
            <v>SYS-6029P-TRT</v>
          </cell>
          <cell r="E11408" t="str">
            <v>E263370X2500012</v>
          </cell>
        </row>
        <row r="11409">
          <cell r="D11409" t="str">
            <v>CSE</v>
          </cell>
          <cell r="E11409" t="str">
            <v>C8250FK45P10573</v>
          </cell>
        </row>
        <row r="11410">
          <cell r="D11410" t="str">
            <v>PDB</v>
          </cell>
          <cell r="E11410" t="str">
            <v>PT8254L31NN0955</v>
          </cell>
        </row>
        <row r="11411">
          <cell r="D11411" t="str">
            <v>PWS</v>
          </cell>
          <cell r="E11411" t="str">
            <v>P1K03AM10NN1473</v>
          </cell>
        </row>
        <row r="11412">
          <cell r="D11412" t="str">
            <v>PWS</v>
          </cell>
          <cell r="E11412" t="str">
            <v>P1K03AM10NN1474</v>
          </cell>
        </row>
        <row r="11413">
          <cell r="D11413" t="str">
            <v>BPN</v>
          </cell>
          <cell r="E11413" t="str">
            <v>EB222S020236</v>
          </cell>
        </row>
        <row r="11414">
          <cell r="D11414" t="str">
            <v>MBD</v>
          </cell>
          <cell r="E11414" t="str">
            <v>NM221S005526</v>
          </cell>
        </row>
        <row r="11415">
          <cell r="D11415" t="str">
            <v>SYS-6029P-TRT</v>
          </cell>
          <cell r="E11415" t="str">
            <v>E263370X2500034</v>
          </cell>
        </row>
        <row r="11416">
          <cell r="D11416" t="str">
            <v>CSE</v>
          </cell>
          <cell r="E11416" t="str">
            <v>C8250FK45P10584</v>
          </cell>
        </row>
        <row r="11417">
          <cell r="D11417" t="str">
            <v>PDB</v>
          </cell>
          <cell r="E11417" t="str">
            <v>PT8254L31NN0172</v>
          </cell>
        </row>
        <row r="11418">
          <cell r="D11418" t="str">
            <v>PWS</v>
          </cell>
          <cell r="E11418" t="str">
            <v>P1K03AM10NN1477</v>
          </cell>
        </row>
        <row r="11419">
          <cell r="D11419" t="str">
            <v>PWS</v>
          </cell>
          <cell r="E11419" t="str">
            <v>P1K03AM10NN1475</v>
          </cell>
        </row>
        <row r="11420">
          <cell r="D11420" t="str">
            <v>BPN</v>
          </cell>
          <cell r="E11420" t="str">
            <v>EB222S020157</v>
          </cell>
        </row>
        <row r="11421">
          <cell r="D11421" t="str">
            <v>MBD</v>
          </cell>
          <cell r="E11421" t="str">
            <v>NM221S001564</v>
          </cell>
        </row>
        <row r="11422">
          <cell r="D11422" t="str">
            <v>SYS-6029P-TRT</v>
          </cell>
          <cell r="E11422" t="str">
            <v>E263370X2500036</v>
          </cell>
        </row>
        <row r="11423">
          <cell r="D11423" t="str">
            <v>CSE</v>
          </cell>
          <cell r="E11423" t="str">
            <v>C8250FK45P10474</v>
          </cell>
        </row>
        <row r="11424">
          <cell r="D11424" t="str">
            <v>PDB</v>
          </cell>
          <cell r="E11424" t="str">
            <v>PT8254L31NN0018</v>
          </cell>
        </row>
        <row r="11425">
          <cell r="D11425" t="str">
            <v>PWS</v>
          </cell>
          <cell r="E11425" t="str">
            <v>P1K03AM10NN1485</v>
          </cell>
        </row>
        <row r="11426">
          <cell r="D11426" t="str">
            <v>PWS</v>
          </cell>
          <cell r="E11426" t="str">
            <v>P1K03AM10NN1484</v>
          </cell>
        </row>
        <row r="11427">
          <cell r="D11427" t="str">
            <v>BPN</v>
          </cell>
          <cell r="E11427" t="str">
            <v>EB222S020155</v>
          </cell>
        </row>
        <row r="11428">
          <cell r="D11428" t="str">
            <v>MBD</v>
          </cell>
          <cell r="E11428" t="str">
            <v>NM221S001563</v>
          </cell>
        </row>
        <row r="11429">
          <cell r="D11429" t="str">
            <v>SYS-6029P-TRT</v>
          </cell>
          <cell r="E11429" t="str">
            <v>E263370X2500039</v>
          </cell>
        </row>
        <row r="11430">
          <cell r="D11430" t="str">
            <v>CSE</v>
          </cell>
          <cell r="E11430" t="str">
            <v>C8250FK45P10578</v>
          </cell>
        </row>
        <row r="11431">
          <cell r="D11431" t="str">
            <v>PDB</v>
          </cell>
          <cell r="E11431" t="str">
            <v>PT8254L31NN0960</v>
          </cell>
        </row>
        <row r="11432">
          <cell r="D11432" t="str">
            <v>PWS</v>
          </cell>
          <cell r="E11432" t="str">
            <v>P1K03AM10NN1456</v>
          </cell>
        </row>
        <row r="11433">
          <cell r="D11433" t="str">
            <v>PWS</v>
          </cell>
          <cell r="E11433" t="str">
            <v>P1K03AM10NN1455</v>
          </cell>
        </row>
        <row r="11434">
          <cell r="D11434" t="str">
            <v>BPN</v>
          </cell>
          <cell r="E11434" t="str">
            <v>EB222S020156</v>
          </cell>
        </row>
        <row r="11435">
          <cell r="D11435" t="str">
            <v>MBD</v>
          </cell>
          <cell r="E11435" t="str">
            <v>NM221S005508</v>
          </cell>
        </row>
        <row r="11436">
          <cell r="D11436" t="str">
            <v>SYS-6029P-TRT</v>
          </cell>
          <cell r="E11436" t="str">
            <v>E263370X2500019</v>
          </cell>
        </row>
        <row r="11437">
          <cell r="D11437" t="str">
            <v>CSE</v>
          </cell>
          <cell r="E11437" t="str">
            <v>C8250FK45P10552</v>
          </cell>
        </row>
        <row r="11438">
          <cell r="D11438" t="str">
            <v>PDB</v>
          </cell>
          <cell r="E11438" t="str">
            <v>PT8254L31NN0043</v>
          </cell>
        </row>
        <row r="11439">
          <cell r="D11439" t="str">
            <v>PWS</v>
          </cell>
          <cell r="E11439" t="str">
            <v>P1K03AM10NN1457</v>
          </cell>
        </row>
        <row r="11440">
          <cell r="D11440" t="str">
            <v>PWS</v>
          </cell>
          <cell r="E11440" t="str">
            <v>P1K03AM10NN1458</v>
          </cell>
        </row>
        <row r="11441">
          <cell r="D11441" t="str">
            <v>BPN</v>
          </cell>
          <cell r="E11441" t="str">
            <v>EB222S020159</v>
          </cell>
        </row>
        <row r="11442">
          <cell r="D11442" t="str">
            <v>MBD</v>
          </cell>
          <cell r="E11442" t="str">
            <v>NM221S005517</v>
          </cell>
        </row>
        <row r="11443">
          <cell r="D11443" t="str">
            <v>SYS-6029P-TRT</v>
          </cell>
          <cell r="E11443" t="str">
            <v>E263370X2500037</v>
          </cell>
        </row>
        <row r="11444">
          <cell r="D11444" t="str">
            <v>CSE</v>
          </cell>
          <cell r="E11444" t="str">
            <v>C8250FK45P10475</v>
          </cell>
        </row>
        <row r="11445">
          <cell r="D11445" t="str">
            <v>PDB</v>
          </cell>
          <cell r="E11445" t="str">
            <v>PT8254L31NN0023</v>
          </cell>
        </row>
        <row r="11446">
          <cell r="D11446" t="str">
            <v>PWS</v>
          </cell>
          <cell r="E11446" t="str">
            <v>P1K03AM10NN1482</v>
          </cell>
        </row>
        <row r="11447">
          <cell r="D11447" t="str">
            <v>PWS</v>
          </cell>
          <cell r="E11447" t="str">
            <v>P1K03AM10NN1483</v>
          </cell>
        </row>
        <row r="11448">
          <cell r="D11448" t="str">
            <v>BPN</v>
          </cell>
          <cell r="E11448" t="str">
            <v>EB222S020161</v>
          </cell>
        </row>
        <row r="11449">
          <cell r="D11449" t="str">
            <v>MBD</v>
          </cell>
          <cell r="E11449" t="str">
            <v>NM221S005624</v>
          </cell>
        </row>
        <row r="11450">
          <cell r="D11450" t="str">
            <v>SYS-6029P-TRT</v>
          </cell>
          <cell r="E11450" t="str">
            <v>E263370X2500038</v>
          </cell>
        </row>
        <row r="11451">
          <cell r="D11451" t="str">
            <v>CSE</v>
          </cell>
          <cell r="E11451" t="str">
            <v>C8250FK45P10464</v>
          </cell>
        </row>
        <row r="11452">
          <cell r="D11452" t="str">
            <v>PDB</v>
          </cell>
          <cell r="E11452" t="str">
            <v>PT8254L31NN0070</v>
          </cell>
        </row>
        <row r="11453">
          <cell r="D11453" t="str">
            <v>PWS</v>
          </cell>
          <cell r="E11453" t="str">
            <v>P1K03AM10NN1476</v>
          </cell>
        </row>
        <row r="11454">
          <cell r="D11454" t="str">
            <v>PWS</v>
          </cell>
          <cell r="E11454" t="str">
            <v>P1K03AM10NN1478</v>
          </cell>
        </row>
        <row r="11455">
          <cell r="D11455" t="str">
            <v>BPN</v>
          </cell>
          <cell r="E11455" t="str">
            <v>EB222S020162</v>
          </cell>
        </row>
        <row r="11456">
          <cell r="D11456" t="str">
            <v>MBD</v>
          </cell>
          <cell r="E11456" t="str">
            <v>NM221S005621</v>
          </cell>
        </row>
        <row r="11457">
          <cell r="D11457" t="str">
            <v>AS-2124GQ-NART</v>
          </cell>
          <cell r="E11457" t="str">
            <v>E430390X2403005</v>
          </cell>
        </row>
        <row r="11458">
          <cell r="D11458" t="str">
            <v>CSE</v>
          </cell>
          <cell r="E11458" t="str">
            <v>C228G0K15A40251</v>
          </cell>
        </row>
        <row r="11459">
          <cell r="D11459" t="str">
            <v>PWS</v>
          </cell>
          <cell r="E11459" t="str">
            <v>P2K2GCL08KB0726</v>
          </cell>
        </row>
        <row r="11460">
          <cell r="D11460" t="str">
            <v>PWS</v>
          </cell>
          <cell r="E11460" t="str">
            <v>P2K2GCL08KB0727</v>
          </cell>
        </row>
        <row r="11461">
          <cell r="D11461" t="str">
            <v>BPN</v>
          </cell>
          <cell r="E11461" t="str">
            <v>HB20BS012757</v>
          </cell>
        </row>
        <row r="11462">
          <cell r="D11462" t="str">
            <v>MBD</v>
          </cell>
          <cell r="E11462" t="str">
            <v>UM211S601982</v>
          </cell>
        </row>
        <row r="11463">
          <cell r="D11463" t="str">
            <v>AOC</v>
          </cell>
          <cell r="E11463" t="str">
            <v>OA21CS007824</v>
          </cell>
        </row>
        <row r="11464">
          <cell r="D11464" t="str">
            <v>AOC</v>
          </cell>
          <cell r="E11464" t="str">
            <v>EA213S001360</v>
          </cell>
        </row>
        <row r="11465">
          <cell r="D11465" t="str">
            <v>AOC</v>
          </cell>
          <cell r="E11465" t="str">
            <v>UA212S000854</v>
          </cell>
        </row>
        <row r="11466">
          <cell r="D11466" t="str">
            <v>RSC</v>
          </cell>
          <cell r="E11466" t="str">
            <v>UR20CS001134</v>
          </cell>
        </row>
        <row r="11467">
          <cell r="D11467" t="str">
            <v>RSC</v>
          </cell>
          <cell r="E11467" t="str">
            <v>UR20CS001136</v>
          </cell>
        </row>
        <row r="11468">
          <cell r="D11468" t="str">
            <v>RSC</v>
          </cell>
          <cell r="E11468" t="str">
            <v>UR20CS001135</v>
          </cell>
        </row>
        <row r="11469">
          <cell r="D11469" t="str">
            <v>CPU</v>
          </cell>
          <cell r="E11469" t="str">
            <v>9KI8146P20086</v>
          </cell>
        </row>
        <row r="11470">
          <cell r="D11470" t="str">
            <v>CPU</v>
          </cell>
          <cell r="E11470" t="str">
            <v>9KI8146P20002</v>
          </cell>
        </row>
        <row r="11471">
          <cell r="D11471" t="str">
            <v>MEM</v>
          </cell>
          <cell r="E11471" t="str">
            <v>S802C1A2211D0102D1B</v>
          </cell>
        </row>
        <row r="11472">
          <cell r="D11472" t="str">
            <v>MEM</v>
          </cell>
          <cell r="E11472" t="str">
            <v>S802C1A2211D0102B4E</v>
          </cell>
        </row>
        <row r="11473">
          <cell r="D11473" t="str">
            <v>MEM</v>
          </cell>
          <cell r="E11473" t="str">
            <v>S802C1A2211D0102977</v>
          </cell>
        </row>
        <row r="11474">
          <cell r="D11474" t="str">
            <v>MEM</v>
          </cell>
          <cell r="E11474" t="str">
            <v>S802C1A2211D0102B0F</v>
          </cell>
        </row>
        <row r="11475">
          <cell r="D11475" t="str">
            <v>MEM</v>
          </cell>
          <cell r="E11475" t="str">
            <v>S802C1A2211D0102B98</v>
          </cell>
        </row>
        <row r="11476">
          <cell r="D11476" t="str">
            <v>MEM</v>
          </cell>
          <cell r="E11476" t="str">
            <v>S802C1A2211D0102B62</v>
          </cell>
        </row>
        <row r="11477">
          <cell r="D11477" t="str">
            <v>MEM</v>
          </cell>
          <cell r="E11477" t="str">
            <v>S802C1A2211D0101D3C</v>
          </cell>
        </row>
        <row r="11478">
          <cell r="D11478" t="str">
            <v>MEM</v>
          </cell>
          <cell r="E11478" t="str">
            <v>S802C1A2211D0102B3E</v>
          </cell>
        </row>
        <row r="11479">
          <cell r="D11479" t="str">
            <v>MEM</v>
          </cell>
          <cell r="E11479" t="str">
            <v>S802C1A2211D0102B3B</v>
          </cell>
        </row>
        <row r="11480">
          <cell r="D11480" t="str">
            <v>MEM</v>
          </cell>
          <cell r="E11480" t="str">
            <v>S802C1A2211D01017FA</v>
          </cell>
        </row>
        <row r="11481">
          <cell r="D11481" t="str">
            <v>MEM</v>
          </cell>
          <cell r="E11481" t="str">
            <v>S802C1A2211D01017E9</v>
          </cell>
        </row>
        <row r="11482">
          <cell r="D11482" t="str">
            <v>MEM</v>
          </cell>
          <cell r="E11482" t="str">
            <v>S802C1A2211D01013B7</v>
          </cell>
        </row>
        <row r="11483">
          <cell r="D11483" t="str">
            <v>MEM</v>
          </cell>
          <cell r="E11483" t="str">
            <v>S802C1A2211D0101CFF</v>
          </cell>
        </row>
        <row r="11484">
          <cell r="D11484" t="str">
            <v>MEM</v>
          </cell>
          <cell r="E11484" t="str">
            <v>S802C1A2211D010182D</v>
          </cell>
        </row>
        <row r="11485">
          <cell r="D11485" t="str">
            <v>MEM</v>
          </cell>
          <cell r="E11485" t="str">
            <v>S802C1A2211D0101001</v>
          </cell>
        </row>
        <row r="11486">
          <cell r="D11486" t="str">
            <v>MEM</v>
          </cell>
          <cell r="E11486" t="str">
            <v>S802C1A2211D010180D</v>
          </cell>
        </row>
        <row r="11487">
          <cell r="D11487" t="str">
            <v>AOC</v>
          </cell>
          <cell r="E11487" t="str">
            <v>VA218S000227</v>
          </cell>
        </row>
        <row r="11488">
          <cell r="D11488" t="str">
            <v>HDS</v>
          </cell>
          <cell r="E11488" t="str">
            <v>S436NC0R624371</v>
          </cell>
        </row>
        <row r="11489">
          <cell r="D11489" t="str">
            <v>HDS</v>
          </cell>
          <cell r="E11489" t="str">
            <v>S436NC0R624364</v>
          </cell>
        </row>
        <row r="11490">
          <cell r="D11490" t="str">
            <v>GPU</v>
          </cell>
          <cell r="E11490">
            <v>1574820000240</v>
          </cell>
        </row>
        <row r="11491">
          <cell r="D11491" t="str">
            <v>GPU</v>
          </cell>
          <cell r="E11491" t="str">
            <v>JE070820T1365460005657</v>
          </cell>
        </row>
        <row r="11492">
          <cell r="D11492" t="str">
            <v>GPU</v>
          </cell>
          <cell r="E11492" t="str">
            <v>JE070820T1365460007498</v>
          </cell>
        </row>
        <row r="11493">
          <cell r="D11493" t="str">
            <v>GPU</v>
          </cell>
          <cell r="E11493" t="str">
            <v>JE120820T1365460000681</v>
          </cell>
        </row>
        <row r="11494">
          <cell r="D11494" t="str">
            <v>GPU</v>
          </cell>
          <cell r="E11494" t="str">
            <v>JE070820T1365460005835</v>
          </cell>
        </row>
        <row r="11495">
          <cell r="D11495" t="str">
            <v>AS-2124GQ-NART</v>
          </cell>
          <cell r="E11495" t="str">
            <v>E430390X2403004</v>
          </cell>
        </row>
        <row r="11496">
          <cell r="D11496" t="str">
            <v>CSE</v>
          </cell>
          <cell r="E11496" t="str">
            <v>C228G0K15A40042</v>
          </cell>
        </row>
        <row r="11497">
          <cell r="D11497" t="str">
            <v>PWS</v>
          </cell>
          <cell r="E11497" t="str">
            <v>P2K2GCL08KB0764</v>
          </cell>
        </row>
        <row r="11498">
          <cell r="D11498" t="str">
            <v>PWS</v>
          </cell>
          <cell r="E11498" t="str">
            <v>P2K2GCL08KB0763</v>
          </cell>
        </row>
        <row r="11499">
          <cell r="D11499" t="str">
            <v>BPN</v>
          </cell>
          <cell r="E11499" t="str">
            <v>HB20BS012818</v>
          </cell>
        </row>
        <row r="11500">
          <cell r="D11500" t="str">
            <v>MBD</v>
          </cell>
          <cell r="E11500" t="str">
            <v>UM211S601965</v>
          </cell>
        </row>
        <row r="11501">
          <cell r="D11501" t="str">
            <v>AOC</v>
          </cell>
          <cell r="E11501" t="str">
            <v>OA21CS007499</v>
          </cell>
        </row>
        <row r="11502">
          <cell r="D11502" t="str">
            <v>AOC</v>
          </cell>
          <cell r="E11502" t="str">
            <v>EA213S001359</v>
          </cell>
        </row>
        <row r="11503">
          <cell r="D11503" t="str">
            <v>AOC</v>
          </cell>
          <cell r="E11503" t="str">
            <v>UA212S000851</v>
          </cell>
        </row>
        <row r="11504">
          <cell r="D11504" t="str">
            <v>RSC</v>
          </cell>
          <cell r="E11504" t="str">
            <v>UR20CS001132</v>
          </cell>
        </row>
        <row r="11505">
          <cell r="D11505" t="str">
            <v>RSC</v>
          </cell>
          <cell r="E11505" t="str">
            <v>UR20CS001139</v>
          </cell>
        </row>
        <row r="11506">
          <cell r="D11506" t="str">
            <v>RSC</v>
          </cell>
          <cell r="E11506" t="str">
            <v>UR20CS001137</v>
          </cell>
        </row>
        <row r="11507">
          <cell r="D11507" t="str">
            <v>CPU</v>
          </cell>
          <cell r="E11507" t="str">
            <v>9KI3048P20156</v>
          </cell>
        </row>
        <row r="11508">
          <cell r="D11508" t="str">
            <v>CPU</v>
          </cell>
          <cell r="E11508" t="str">
            <v>9KI3048P20166</v>
          </cell>
        </row>
        <row r="11509">
          <cell r="D11509" t="str">
            <v>MEM</v>
          </cell>
          <cell r="E11509" t="str">
            <v>S802C1A2211D0102D19</v>
          </cell>
        </row>
        <row r="11510">
          <cell r="D11510" t="str">
            <v>MEM</v>
          </cell>
          <cell r="E11510" t="str">
            <v>S802C1A2211D0101D04</v>
          </cell>
        </row>
        <row r="11511">
          <cell r="D11511" t="str">
            <v>MEM</v>
          </cell>
          <cell r="E11511" t="str">
            <v>S802C1A2211D0102D03</v>
          </cell>
        </row>
        <row r="11512">
          <cell r="D11512" t="str">
            <v>MEM</v>
          </cell>
          <cell r="E11512" t="str">
            <v>S802C1A2211D0102219</v>
          </cell>
        </row>
        <row r="11513">
          <cell r="D11513" t="str">
            <v>MEM</v>
          </cell>
          <cell r="E11513" t="str">
            <v>S802C1A2211D0102D18</v>
          </cell>
        </row>
        <row r="11514">
          <cell r="D11514" t="str">
            <v>MEM</v>
          </cell>
          <cell r="E11514" t="str">
            <v>S802C1A2211D0102B6E</v>
          </cell>
        </row>
        <row r="11515">
          <cell r="D11515" t="str">
            <v>MEM</v>
          </cell>
          <cell r="E11515" t="str">
            <v>S802C1A2211D0102D1A</v>
          </cell>
        </row>
        <row r="11516">
          <cell r="D11516" t="str">
            <v>MEM</v>
          </cell>
          <cell r="E11516" t="str">
            <v>S802C1A2211D010222D</v>
          </cell>
        </row>
        <row r="11517">
          <cell r="D11517" t="str">
            <v>MEM</v>
          </cell>
          <cell r="E11517" t="str">
            <v>S802C1A2211D0102214</v>
          </cell>
        </row>
        <row r="11518">
          <cell r="D11518" t="str">
            <v>MEM</v>
          </cell>
          <cell r="E11518" t="str">
            <v>S802C1A2211D0102BBC</v>
          </cell>
        </row>
        <row r="11519">
          <cell r="D11519" t="str">
            <v>MEM</v>
          </cell>
          <cell r="E11519" t="str">
            <v>S802C1A2211D0102215</v>
          </cell>
        </row>
        <row r="11520">
          <cell r="D11520" t="str">
            <v>MEM</v>
          </cell>
          <cell r="E11520" t="str">
            <v>S802C1A2211D010222F</v>
          </cell>
        </row>
        <row r="11521">
          <cell r="D11521" t="str">
            <v>MEM</v>
          </cell>
          <cell r="E11521" t="str">
            <v>S802C1A2211D0102BB9</v>
          </cell>
        </row>
        <row r="11522">
          <cell r="D11522" t="str">
            <v>MEM</v>
          </cell>
          <cell r="E11522" t="str">
            <v>S802C1A2211D0102218</v>
          </cell>
        </row>
        <row r="11523">
          <cell r="D11523" t="str">
            <v>MEM</v>
          </cell>
          <cell r="E11523" t="str">
            <v>S802C1A2211D0102216</v>
          </cell>
        </row>
        <row r="11524">
          <cell r="D11524" t="str">
            <v>MEM</v>
          </cell>
          <cell r="E11524" t="str">
            <v>S802C1A2211D0102D08</v>
          </cell>
        </row>
        <row r="11525">
          <cell r="D11525" t="str">
            <v>AOC</v>
          </cell>
          <cell r="E11525" t="str">
            <v>VA218S000232</v>
          </cell>
        </row>
        <row r="11526">
          <cell r="D11526" t="str">
            <v>HDS</v>
          </cell>
          <cell r="E11526" t="str">
            <v>S436NC0R624369</v>
          </cell>
        </row>
        <row r="11527">
          <cell r="D11527" t="str">
            <v>HDS</v>
          </cell>
          <cell r="E11527" t="str">
            <v>S436NC0R624370</v>
          </cell>
        </row>
        <row r="11528">
          <cell r="D11528" t="str">
            <v>GPU</v>
          </cell>
          <cell r="E11528">
            <v>1574520000023</v>
          </cell>
        </row>
        <row r="11529">
          <cell r="D11529" t="str">
            <v>GPU</v>
          </cell>
          <cell r="E11529" t="str">
            <v>JE280520T1365460005202</v>
          </cell>
        </row>
        <row r="11530">
          <cell r="D11530" t="str">
            <v>GPU</v>
          </cell>
          <cell r="E11530" t="str">
            <v>JE160720T1365460003251</v>
          </cell>
        </row>
        <row r="11531">
          <cell r="D11531" t="str">
            <v>GPU</v>
          </cell>
          <cell r="E11531" t="str">
            <v>JE190220T1365460002385</v>
          </cell>
        </row>
        <row r="11532">
          <cell r="D11532" t="str">
            <v>GPU</v>
          </cell>
          <cell r="E11532" t="str">
            <v>JE240220T1365460002892</v>
          </cell>
        </row>
        <row r="11533">
          <cell r="D11533" t="str">
            <v>AS-2124GQ-NART</v>
          </cell>
          <cell r="E11533" t="str">
            <v>E430390X2403008</v>
          </cell>
        </row>
        <row r="11534">
          <cell r="D11534" t="str">
            <v>CSE</v>
          </cell>
          <cell r="E11534" t="str">
            <v>C228G0K15A40031</v>
          </cell>
        </row>
        <row r="11535">
          <cell r="D11535" t="str">
            <v>PWS</v>
          </cell>
          <cell r="E11535" t="str">
            <v>P2K2GCL08KB0755</v>
          </cell>
        </row>
        <row r="11536">
          <cell r="D11536" t="str">
            <v>PWS</v>
          </cell>
          <cell r="E11536" t="str">
            <v>P2K2GCL08KB0793</v>
          </cell>
        </row>
        <row r="11537">
          <cell r="D11537" t="str">
            <v>BPN</v>
          </cell>
          <cell r="E11537" t="str">
            <v>HB20BS012762</v>
          </cell>
        </row>
        <row r="11538">
          <cell r="D11538" t="str">
            <v>MBD</v>
          </cell>
          <cell r="E11538" t="str">
            <v>UM21CS602865</v>
          </cell>
        </row>
        <row r="11539">
          <cell r="D11539" t="str">
            <v>AOC</v>
          </cell>
          <cell r="E11539" t="str">
            <v>OA21CS007733</v>
          </cell>
        </row>
        <row r="11540">
          <cell r="D11540" t="str">
            <v>AOC</v>
          </cell>
          <cell r="E11540" t="str">
            <v>EA213S001350</v>
          </cell>
        </row>
        <row r="11541">
          <cell r="D11541" t="str">
            <v>AOC</v>
          </cell>
          <cell r="E11541" t="str">
            <v>UA212S000853</v>
          </cell>
        </row>
        <row r="11542">
          <cell r="D11542" t="str">
            <v>RSC</v>
          </cell>
          <cell r="E11542" t="str">
            <v>UR20CS001128</v>
          </cell>
        </row>
        <row r="11543">
          <cell r="D11543" t="str">
            <v>RSC</v>
          </cell>
          <cell r="E11543" t="str">
            <v>UR20CS001138</v>
          </cell>
        </row>
        <row r="11544">
          <cell r="D11544" t="str">
            <v>RSC</v>
          </cell>
          <cell r="E11544" t="str">
            <v>UR20CS001142</v>
          </cell>
        </row>
        <row r="11545">
          <cell r="D11545" t="str">
            <v>CPU</v>
          </cell>
          <cell r="E11545" t="str">
            <v>9KI8150P20197</v>
          </cell>
        </row>
        <row r="11546">
          <cell r="D11546" t="str">
            <v>CPU</v>
          </cell>
          <cell r="E11546" t="str">
            <v>9KI8150P20028</v>
          </cell>
        </row>
        <row r="11547">
          <cell r="D11547" t="str">
            <v>MEM</v>
          </cell>
          <cell r="E11547" t="str">
            <v>S802C1A2211D010139B</v>
          </cell>
        </row>
        <row r="11548">
          <cell r="D11548" t="str">
            <v>MEM</v>
          </cell>
          <cell r="E11548" t="str">
            <v>S802C1A2211D0101B13</v>
          </cell>
        </row>
        <row r="11549">
          <cell r="D11549" t="str">
            <v>MEM</v>
          </cell>
          <cell r="E11549" t="str">
            <v>S802C1A2211D010103C</v>
          </cell>
        </row>
        <row r="11550">
          <cell r="D11550" t="str">
            <v>MEM</v>
          </cell>
          <cell r="E11550" t="str">
            <v>S802C1A2211D0101039</v>
          </cell>
        </row>
        <row r="11551">
          <cell r="D11551" t="str">
            <v>MEM</v>
          </cell>
          <cell r="E11551" t="str">
            <v>S802C1A2211D0101829</v>
          </cell>
        </row>
        <row r="11552">
          <cell r="D11552" t="str">
            <v>MEM</v>
          </cell>
          <cell r="E11552" t="str">
            <v>S802C1A2211D0101810</v>
          </cell>
        </row>
        <row r="11553">
          <cell r="D11553" t="str">
            <v>MEM</v>
          </cell>
          <cell r="E11553" t="str">
            <v>S802C1A2211D01017FB</v>
          </cell>
        </row>
        <row r="11554">
          <cell r="D11554" t="str">
            <v>MEM</v>
          </cell>
          <cell r="E11554" t="str">
            <v>S802C1A2211D0101108</v>
          </cell>
        </row>
        <row r="11555">
          <cell r="D11555" t="str">
            <v>MEM</v>
          </cell>
          <cell r="E11555" t="str">
            <v>S802C1A2211D010180B</v>
          </cell>
        </row>
        <row r="11556">
          <cell r="D11556" t="str">
            <v>MEM</v>
          </cell>
          <cell r="E11556" t="str">
            <v>S802C1A2211D0101C0C</v>
          </cell>
        </row>
        <row r="11557">
          <cell r="D11557" t="str">
            <v>MEM</v>
          </cell>
          <cell r="E11557" t="str">
            <v>S802C1A2211D0101C29</v>
          </cell>
        </row>
        <row r="11558">
          <cell r="D11558" t="str">
            <v>MEM</v>
          </cell>
          <cell r="E11558" t="str">
            <v>S802C1A2211D0100F38</v>
          </cell>
        </row>
        <row r="11559">
          <cell r="D11559" t="str">
            <v>MEM</v>
          </cell>
          <cell r="E11559" t="str">
            <v>S802C1A2211D010180E</v>
          </cell>
        </row>
        <row r="11560">
          <cell r="D11560" t="str">
            <v>MEM</v>
          </cell>
          <cell r="E11560" t="str">
            <v>S802C1A2211D01017F6</v>
          </cell>
        </row>
        <row r="11561">
          <cell r="D11561" t="str">
            <v>MEM</v>
          </cell>
          <cell r="E11561" t="str">
            <v>S802C1A2211D0101C0D</v>
          </cell>
        </row>
        <row r="11562">
          <cell r="D11562" t="str">
            <v>MEM</v>
          </cell>
          <cell r="E11562" t="str">
            <v>S802C1A2211D0101C25</v>
          </cell>
        </row>
        <row r="11563">
          <cell r="D11563" t="str">
            <v>AOC</v>
          </cell>
          <cell r="E11563" t="str">
            <v>VA218S000161</v>
          </cell>
        </row>
        <row r="11564">
          <cell r="D11564" t="str">
            <v>HDS</v>
          </cell>
          <cell r="E11564" t="str">
            <v>S436NC0R624372</v>
          </cell>
        </row>
        <row r="11565">
          <cell r="D11565" t="str">
            <v>HDS</v>
          </cell>
          <cell r="E11565" t="str">
            <v>S436NC0R624365</v>
          </cell>
        </row>
        <row r="11566">
          <cell r="D11566" t="str">
            <v>GPU</v>
          </cell>
          <cell r="E11566">
            <v>1574020000207</v>
          </cell>
        </row>
        <row r="11567">
          <cell r="D11567" t="str">
            <v>GPU</v>
          </cell>
          <cell r="E11567" t="str">
            <v>YY02042014108090000799</v>
          </cell>
        </row>
        <row r="11568">
          <cell r="D11568" t="str">
            <v>GPU</v>
          </cell>
          <cell r="E11568" t="str">
            <v>JE240220T1365460001925</v>
          </cell>
        </row>
        <row r="11569">
          <cell r="D11569" t="str">
            <v>GPU</v>
          </cell>
          <cell r="E11569" t="str">
            <v>JE160520T1365460002033</v>
          </cell>
        </row>
        <row r="11570">
          <cell r="D11570" t="str">
            <v>GPU</v>
          </cell>
          <cell r="E11570" t="str">
            <v>JE270220T1365460001774</v>
          </cell>
        </row>
        <row r="11571">
          <cell r="D11571" t="str">
            <v>AS-2124GQ-NART</v>
          </cell>
          <cell r="E11571" t="str">
            <v>E430390X2403007</v>
          </cell>
        </row>
        <row r="11572">
          <cell r="D11572" t="str">
            <v>CSE</v>
          </cell>
          <cell r="E11572" t="str">
            <v>C228G0K15A40058</v>
          </cell>
        </row>
        <row r="11573">
          <cell r="D11573" t="str">
            <v>PWS</v>
          </cell>
          <cell r="E11573" t="str">
            <v>P2K2GCL08KB0766</v>
          </cell>
        </row>
        <row r="11574">
          <cell r="D11574" t="str">
            <v>PWS</v>
          </cell>
          <cell r="E11574" t="str">
            <v>P2K2GCL08KB0765</v>
          </cell>
        </row>
        <row r="11575">
          <cell r="D11575" t="str">
            <v>BPN</v>
          </cell>
          <cell r="E11575" t="str">
            <v>HB20BS012760</v>
          </cell>
        </row>
        <row r="11576">
          <cell r="D11576" t="str">
            <v>MBD</v>
          </cell>
          <cell r="E11576" t="str">
            <v>UM211S601975</v>
          </cell>
        </row>
        <row r="11577">
          <cell r="D11577" t="str">
            <v>AOC</v>
          </cell>
          <cell r="E11577" t="str">
            <v>OA21CS008002</v>
          </cell>
        </row>
        <row r="11578">
          <cell r="D11578" t="str">
            <v>AOC</v>
          </cell>
          <cell r="E11578" t="str">
            <v>EA213S001349</v>
          </cell>
        </row>
        <row r="11579">
          <cell r="D11579" t="str">
            <v>AOC</v>
          </cell>
          <cell r="E11579" t="str">
            <v>UA212S000855</v>
          </cell>
        </row>
        <row r="11580">
          <cell r="D11580" t="str">
            <v>RSC</v>
          </cell>
          <cell r="E11580" t="str">
            <v>UR20CS001133</v>
          </cell>
        </row>
        <row r="11581">
          <cell r="D11581" t="str">
            <v>RSC</v>
          </cell>
          <cell r="E11581" t="str">
            <v>UR20CS001129</v>
          </cell>
        </row>
        <row r="11582">
          <cell r="D11582" t="str">
            <v>RSC</v>
          </cell>
          <cell r="E11582" t="str">
            <v>UR20CS001140</v>
          </cell>
        </row>
        <row r="11583">
          <cell r="D11583" t="str">
            <v>CPU</v>
          </cell>
          <cell r="E11583" t="str">
            <v>9KI8150P20195</v>
          </cell>
        </row>
        <row r="11584">
          <cell r="D11584" t="str">
            <v>CPU</v>
          </cell>
          <cell r="E11584" t="str">
            <v>9KI8146P20081</v>
          </cell>
        </row>
        <row r="11585">
          <cell r="D11585" t="str">
            <v>MEM</v>
          </cell>
          <cell r="E11585" t="str">
            <v>S802C1A2211D0101F36</v>
          </cell>
        </row>
        <row r="11586">
          <cell r="D11586" t="str">
            <v>MEM</v>
          </cell>
          <cell r="E11586" t="str">
            <v>S802C1A2211D0102BA7</v>
          </cell>
        </row>
        <row r="11587">
          <cell r="D11587" t="str">
            <v>MEM</v>
          </cell>
          <cell r="E11587" t="str">
            <v>S802C1A2211D0102B7A</v>
          </cell>
        </row>
        <row r="11588">
          <cell r="D11588" t="str">
            <v>MEM</v>
          </cell>
          <cell r="E11588" t="str">
            <v>S802C1A2211D0102B0C</v>
          </cell>
        </row>
        <row r="11589">
          <cell r="D11589" t="str">
            <v>MEM</v>
          </cell>
          <cell r="E11589" t="str">
            <v>S802C1A2211D0102BA9</v>
          </cell>
        </row>
        <row r="11590">
          <cell r="D11590" t="str">
            <v>MEM</v>
          </cell>
          <cell r="E11590" t="str">
            <v>S802C1A2211D0102B61</v>
          </cell>
        </row>
        <row r="11591">
          <cell r="D11591" t="str">
            <v>MEM</v>
          </cell>
          <cell r="E11591" t="str">
            <v>S802C1A2211D0102741</v>
          </cell>
        </row>
        <row r="11592">
          <cell r="D11592" t="str">
            <v>MEM</v>
          </cell>
          <cell r="E11592" t="str">
            <v>S802C1A2211D0101FEE</v>
          </cell>
        </row>
        <row r="11593">
          <cell r="D11593" t="str">
            <v>MEM</v>
          </cell>
          <cell r="E11593" t="str">
            <v>S802C1A2211D0102952</v>
          </cell>
        </row>
        <row r="11594">
          <cell r="D11594" t="str">
            <v>MEM</v>
          </cell>
          <cell r="E11594" t="str">
            <v>S802C1A2211D010296C</v>
          </cell>
        </row>
        <row r="11595">
          <cell r="D11595" t="str">
            <v>MEM</v>
          </cell>
          <cell r="E11595" t="str">
            <v>S802C1A2211D0101E62</v>
          </cell>
        </row>
        <row r="11596">
          <cell r="D11596" t="str">
            <v>MEM</v>
          </cell>
          <cell r="E11596" t="str">
            <v>S802C1A2211D0101D03</v>
          </cell>
        </row>
        <row r="11597">
          <cell r="D11597" t="str">
            <v>MEM</v>
          </cell>
          <cell r="E11597" t="str">
            <v>S802C1A2211D0101FED</v>
          </cell>
        </row>
        <row r="11598">
          <cell r="D11598" t="str">
            <v>MEM</v>
          </cell>
          <cell r="E11598" t="str">
            <v>S802C1A2211D010296A</v>
          </cell>
        </row>
        <row r="11599">
          <cell r="D11599" t="str">
            <v>MEM</v>
          </cell>
          <cell r="E11599" t="str">
            <v>S802C1A2211D0102B5F</v>
          </cell>
        </row>
        <row r="11600">
          <cell r="D11600" t="str">
            <v>MEM</v>
          </cell>
          <cell r="E11600" t="str">
            <v>S802C1A2211D0101D01</v>
          </cell>
        </row>
        <row r="11601">
          <cell r="D11601" t="str">
            <v>AOC</v>
          </cell>
          <cell r="E11601" t="str">
            <v>VA218S000231</v>
          </cell>
        </row>
        <row r="11602">
          <cell r="D11602" t="str">
            <v>HDS</v>
          </cell>
          <cell r="E11602" t="str">
            <v>S436NC0R624366</v>
          </cell>
        </row>
        <row r="11603">
          <cell r="D11603" t="str">
            <v>HDS</v>
          </cell>
          <cell r="E11603" t="str">
            <v>S436NC0R624499</v>
          </cell>
        </row>
        <row r="11604">
          <cell r="D11604" t="str">
            <v>GPU</v>
          </cell>
          <cell r="E11604">
            <v>1574520000018</v>
          </cell>
        </row>
        <row r="11605">
          <cell r="D11605" t="str">
            <v>GPU</v>
          </cell>
          <cell r="E11605" t="str">
            <v>JE030220T1365460000554</v>
          </cell>
        </row>
        <row r="11606">
          <cell r="D11606" t="str">
            <v>GPU</v>
          </cell>
          <cell r="E11606" t="str">
            <v>JE250720T1365460000219</v>
          </cell>
        </row>
        <row r="11607">
          <cell r="D11607" t="str">
            <v>GPU</v>
          </cell>
          <cell r="E11607" t="str">
            <v>JE071119T1365460000712</v>
          </cell>
        </row>
        <row r="11608">
          <cell r="D11608" t="str">
            <v>GPU</v>
          </cell>
          <cell r="E11608" t="str">
            <v>JE240620T1365460000551</v>
          </cell>
        </row>
        <row r="11609">
          <cell r="D11609" t="str">
            <v>AS-2124GQ-NART</v>
          </cell>
          <cell r="E11609" t="str">
            <v>E430390X2403006</v>
          </cell>
        </row>
        <row r="11610">
          <cell r="D11610" t="str">
            <v>CSE</v>
          </cell>
          <cell r="E11610" t="str">
            <v>C228G0K15A40046</v>
          </cell>
        </row>
        <row r="11611">
          <cell r="D11611" t="str">
            <v>PWS</v>
          </cell>
          <cell r="E11611" t="str">
            <v>P2K2GCL08KB0762</v>
          </cell>
        </row>
        <row r="11612">
          <cell r="D11612" t="str">
            <v>PWS</v>
          </cell>
          <cell r="E11612" t="str">
            <v>P2K2GCL08KB0728</v>
          </cell>
        </row>
        <row r="11613">
          <cell r="D11613" t="str">
            <v>BPN</v>
          </cell>
          <cell r="E11613" t="str">
            <v>HB20BS012761</v>
          </cell>
        </row>
        <row r="11614">
          <cell r="D11614" t="str">
            <v>MBD</v>
          </cell>
          <cell r="E11614" t="str">
            <v>UM211S601960</v>
          </cell>
        </row>
        <row r="11615">
          <cell r="D11615" t="str">
            <v>AOC</v>
          </cell>
          <cell r="E11615" t="str">
            <v>OA21CS007500</v>
          </cell>
        </row>
        <row r="11616">
          <cell r="D11616" t="str">
            <v>AOC</v>
          </cell>
          <cell r="E11616" t="str">
            <v>EA213S001348</v>
          </cell>
        </row>
        <row r="11617">
          <cell r="D11617" t="str">
            <v>AOC</v>
          </cell>
          <cell r="E11617" t="str">
            <v>UA212S000852</v>
          </cell>
        </row>
        <row r="11618">
          <cell r="D11618" t="str">
            <v>RSC</v>
          </cell>
          <cell r="E11618" t="str">
            <v>UR20CS001141</v>
          </cell>
        </row>
        <row r="11619">
          <cell r="D11619" t="str">
            <v>RSC</v>
          </cell>
          <cell r="E11619" t="str">
            <v>UR20CS001131</v>
          </cell>
        </row>
        <row r="11620">
          <cell r="D11620" t="str">
            <v>RSC</v>
          </cell>
          <cell r="E11620" t="str">
            <v>UR20CS001130</v>
          </cell>
        </row>
        <row r="11621">
          <cell r="D11621" t="str">
            <v>CPU</v>
          </cell>
          <cell r="E11621" t="str">
            <v>9KI8146P20037</v>
          </cell>
        </row>
        <row r="11622">
          <cell r="D11622" t="str">
            <v>CPU</v>
          </cell>
          <cell r="E11622" t="str">
            <v>9KI8146P20001</v>
          </cell>
        </row>
        <row r="11623">
          <cell r="D11623" t="str">
            <v>MEM</v>
          </cell>
          <cell r="E11623" t="str">
            <v>S802C1A2211D0102B7E</v>
          </cell>
        </row>
        <row r="11624">
          <cell r="D11624" t="str">
            <v>MEM</v>
          </cell>
          <cell r="E11624" t="str">
            <v>S802C1A2211D010221A</v>
          </cell>
        </row>
        <row r="11625">
          <cell r="D11625" t="str">
            <v>MEM</v>
          </cell>
          <cell r="E11625" t="str">
            <v>S802C1A2211D0101CEC</v>
          </cell>
        </row>
        <row r="11626">
          <cell r="D11626" t="str">
            <v>MEM</v>
          </cell>
          <cell r="E11626" t="str">
            <v>S802C1A2211D010297A</v>
          </cell>
        </row>
        <row r="11627">
          <cell r="D11627" t="str">
            <v>MEM</v>
          </cell>
          <cell r="E11627" t="str">
            <v>S802C1A2211D0102217</v>
          </cell>
        </row>
        <row r="11628">
          <cell r="D11628" t="str">
            <v>MEM</v>
          </cell>
          <cell r="E11628" t="str">
            <v>S802C1A2211D0102D07</v>
          </cell>
        </row>
        <row r="11629">
          <cell r="D11629" t="str">
            <v>MEM</v>
          </cell>
          <cell r="E11629" t="str">
            <v>S802C1A2211D0101CD9</v>
          </cell>
        </row>
        <row r="11630">
          <cell r="D11630" t="str">
            <v>MEM</v>
          </cell>
          <cell r="E11630" t="str">
            <v>S802C1A2211D0102599</v>
          </cell>
        </row>
        <row r="11631">
          <cell r="D11631" t="str">
            <v>MEM</v>
          </cell>
          <cell r="E11631" t="str">
            <v>S802C1A2211D010224E</v>
          </cell>
        </row>
        <row r="11632">
          <cell r="D11632" t="str">
            <v>MEM</v>
          </cell>
          <cell r="E11632" t="str">
            <v>S802C1A2211D010214D</v>
          </cell>
        </row>
        <row r="11633">
          <cell r="D11633" t="str">
            <v>MEM</v>
          </cell>
          <cell r="E11633" t="str">
            <v>S802C1A2211D010213F</v>
          </cell>
        </row>
        <row r="11634">
          <cell r="D11634" t="str">
            <v>MEM</v>
          </cell>
          <cell r="E11634" t="str">
            <v>S802C1A2211D0102183</v>
          </cell>
        </row>
        <row r="11635">
          <cell r="D11635" t="str">
            <v>MEM</v>
          </cell>
          <cell r="E11635" t="str">
            <v>S802C1A2211D010222A</v>
          </cell>
        </row>
        <row r="11636">
          <cell r="D11636" t="str">
            <v>MEM</v>
          </cell>
          <cell r="E11636" t="str">
            <v>S802C1A2211D010216F</v>
          </cell>
        </row>
        <row r="11637">
          <cell r="D11637" t="str">
            <v>MEM</v>
          </cell>
          <cell r="E11637" t="str">
            <v>S802C1A2211D010215F</v>
          </cell>
        </row>
        <row r="11638">
          <cell r="D11638" t="str">
            <v>MEM</v>
          </cell>
          <cell r="E11638" t="str">
            <v>S802C1A2211D0101FB5</v>
          </cell>
        </row>
        <row r="11639">
          <cell r="D11639" t="str">
            <v>AOC</v>
          </cell>
          <cell r="E11639" t="str">
            <v>VA218S000228</v>
          </cell>
        </row>
        <row r="11640">
          <cell r="D11640" t="str">
            <v>HDS</v>
          </cell>
          <cell r="E11640" t="str">
            <v>S436NC0R624367</v>
          </cell>
        </row>
        <row r="11641">
          <cell r="D11641" t="str">
            <v>HDS</v>
          </cell>
          <cell r="E11641" t="str">
            <v>S436NC0R624363</v>
          </cell>
        </row>
        <row r="11642">
          <cell r="D11642" t="str">
            <v>GPU</v>
          </cell>
          <cell r="E11642">
            <v>1574520000015</v>
          </cell>
        </row>
        <row r="11643">
          <cell r="D11643" t="str">
            <v>GPU</v>
          </cell>
          <cell r="E11643" t="str">
            <v>JE160720T1365460003103</v>
          </cell>
        </row>
        <row r="11644">
          <cell r="D11644" t="str">
            <v>GPU</v>
          </cell>
          <cell r="E11644" t="str">
            <v>JE190320T1365460001246</v>
          </cell>
        </row>
        <row r="11645">
          <cell r="D11645" t="str">
            <v>GPU</v>
          </cell>
          <cell r="E11645" t="str">
            <v>JE220720T1365460004068</v>
          </cell>
        </row>
        <row r="11646">
          <cell r="D11646" t="str">
            <v>GPU</v>
          </cell>
          <cell r="E11646" t="str">
            <v>JE220720T1365460007133</v>
          </cell>
        </row>
        <row r="11647">
          <cell r="D11647" t="str">
            <v>AS-4023S-TRT</v>
          </cell>
          <cell r="E11647" t="str">
            <v>E296347X1C02985</v>
          </cell>
        </row>
        <row r="11648">
          <cell r="D11648" t="str">
            <v>CSE</v>
          </cell>
          <cell r="E11648" t="str">
            <v>C7450FK35P30132</v>
          </cell>
        </row>
        <row r="11649">
          <cell r="D11649" t="str">
            <v>PWS</v>
          </cell>
          <cell r="E11649" t="str">
            <v>P1K2QCL47NB1184</v>
          </cell>
        </row>
        <row r="11650">
          <cell r="D11650" t="str">
            <v>PWS</v>
          </cell>
          <cell r="E11650" t="str">
            <v>P1K2QCL47NB1189</v>
          </cell>
        </row>
        <row r="11651">
          <cell r="D11651" t="str">
            <v>BPN</v>
          </cell>
          <cell r="E11651" t="str">
            <v>PB217S004870</v>
          </cell>
        </row>
        <row r="11652">
          <cell r="D11652" t="str">
            <v>MBD</v>
          </cell>
          <cell r="E11652" t="str">
            <v>ZM20CS600164</v>
          </cell>
        </row>
        <row r="11653">
          <cell r="D11653" t="str">
            <v>CSE-745BTQ-R920B</v>
          </cell>
          <cell r="E11653" t="str">
            <v>C7450FK45P30209</v>
          </cell>
          <cell r="K11653" t="str">
            <v>SO/2022/006010/A SENETIC</v>
          </cell>
        </row>
        <row r="11654">
          <cell r="D11654" t="str">
            <v>BPN</v>
          </cell>
          <cell r="E11654" t="str">
            <v>EB216S007309</v>
          </cell>
          <cell r="K11654" t="str">
            <v>SO/2022/006010/A SENETIC</v>
          </cell>
        </row>
        <row r="11655">
          <cell r="D11655" t="str">
            <v>PWS</v>
          </cell>
          <cell r="E11655" t="str">
            <v>P9212CL31SN1020</v>
          </cell>
          <cell r="K11655" t="str">
            <v>SO/2022/006010/A SENETIC</v>
          </cell>
        </row>
        <row r="11656">
          <cell r="D11656" t="str">
            <v>PWS</v>
          </cell>
          <cell r="E11656" t="str">
            <v>P9212CL31SN1087</v>
          </cell>
          <cell r="K11656" t="str">
            <v>SO/2022/006010/A SENETIC</v>
          </cell>
        </row>
        <row r="11657">
          <cell r="D11657" t="str">
            <v>CSE-826BAC4-R920WB</v>
          </cell>
          <cell r="E11657" t="str">
            <v>C8260FK42P90039</v>
          </cell>
        </row>
        <row r="11658">
          <cell r="D11658" t="str">
            <v>CSE-826BAC4-R920WB</v>
          </cell>
          <cell r="E11658" t="str">
            <v>C8260FK42P90002</v>
          </cell>
        </row>
        <row r="11659">
          <cell r="D11659" t="str">
            <v>CSE-113AC2-R706WB2</v>
          </cell>
          <cell r="E11659" t="str">
            <v>C1130LK35P60098</v>
          </cell>
        </row>
        <row r="11660">
          <cell r="D11660" t="str">
            <v>CSE-113AC2-R706WB2</v>
          </cell>
          <cell r="E11660" t="str">
            <v>CA130LK35P60102</v>
          </cell>
        </row>
        <row r="11661">
          <cell r="D11661" t="str">
            <v>CSE-113AC2-R706WB2</v>
          </cell>
          <cell r="E11661" t="str">
            <v>C1130LK35P60111</v>
          </cell>
        </row>
        <row r="11662">
          <cell r="D11662" t="str">
            <v>CSE-113AC2-R706WB2</v>
          </cell>
          <cell r="E11662" t="str">
            <v>C1130LK35P60104</v>
          </cell>
        </row>
        <row r="11663">
          <cell r="D11663" t="str">
            <v>CSE-113AC2-R706WB2</v>
          </cell>
          <cell r="E11663" t="str">
            <v>C1130LK35P60110</v>
          </cell>
        </row>
        <row r="11664">
          <cell r="D11664" t="str">
            <v>CSE-113AC2-R706WB2</v>
          </cell>
          <cell r="E11664" t="str">
            <v>C1130LK35P60041</v>
          </cell>
        </row>
        <row r="11665">
          <cell r="D11665" t="str">
            <v>CSE-113AC2-R706WB2</v>
          </cell>
          <cell r="E11665" t="str">
            <v>C1130LK35P60109</v>
          </cell>
        </row>
        <row r="11666">
          <cell r="D11666" t="str">
            <v>CSE-113AC2-R706WB2</v>
          </cell>
          <cell r="E11666" t="str">
            <v>C1130LK35P60103</v>
          </cell>
        </row>
        <row r="11667">
          <cell r="D11667" t="str">
            <v>CSE-113AC2-R706WB2</v>
          </cell>
          <cell r="E11667" t="str">
            <v>C1130LK35P60108</v>
          </cell>
        </row>
        <row r="11668">
          <cell r="D11668" t="str">
            <v>CSE-113AC2-R706WB2</v>
          </cell>
          <cell r="E11668" t="str">
            <v>C1130LK35P60101</v>
          </cell>
        </row>
        <row r="11669">
          <cell r="D11669" t="str">
            <v>CSE-113AC2-R706WB2</v>
          </cell>
          <cell r="E11669" t="str">
            <v>C1130LK35P60107</v>
          </cell>
        </row>
        <row r="11670">
          <cell r="D11670" t="str">
            <v>CSE-113AC2-R706WB2</v>
          </cell>
          <cell r="E11670" t="str">
            <v>C1130LK35P60076</v>
          </cell>
        </row>
        <row r="11671">
          <cell r="D11671" t="str">
            <v>CSE-113AC2-R706WB2</v>
          </cell>
          <cell r="E11671" t="str">
            <v>C1130LK35P60113</v>
          </cell>
        </row>
        <row r="11672">
          <cell r="D11672" t="str">
            <v>P4X-UPE2378-SRKN4</v>
          </cell>
          <cell r="E11672" t="str">
            <v>82C53A6800127</v>
          </cell>
        </row>
        <row r="11673">
          <cell r="D11673" t="str">
            <v>P4X-UPE2378-SRKN4</v>
          </cell>
          <cell r="E11673" t="str">
            <v>U29P6U8405274</v>
          </cell>
        </row>
        <row r="11674">
          <cell r="D11674" t="str">
            <v>MBD-X11SCW-F-B</v>
          </cell>
          <cell r="E11674" t="str">
            <v>ZM21AS018545</v>
          </cell>
        </row>
        <row r="11675">
          <cell r="D11675" t="str">
            <v>MBD-X10SRI-F-O</v>
          </cell>
          <cell r="E11675" t="str">
            <v>NM21AS006764</v>
          </cell>
        </row>
        <row r="11676">
          <cell r="D11676" t="str">
            <v>MBD-X11DDW-NT-B</v>
          </cell>
          <cell r="E11676" t="str">
            <v>NM223S004683</v>
          </cell>
        </row>
        <row r="11677">
          <cell r="D11677" t="str">
            <v>AOC-VROCSTNMOD</v>
          </cell>
          <cell r="E11677" t="str">
            <v>QSVC734S01AX</v>
          </cell>
        </row>
        <row r="11678">
          <cell r="D11678" t="str">
            <v>AOC-VROCSTNMOD</v>
          </cell>
          <cell r="E11678" t="str">
            <v>QSVC734S02MY</v>
          </cell>
        </row>
        <row r="11679">
          <cell r="D11679" t="str">
            <v>AOC-VROCSTNMOD</v>
          </cell>
          <cell r="E11679" t="str">
            <v>QSVC734S02N0</v>
          </cell>
        </row>
        <row r="11680">
          <cell r="D11680" t="str">
            <v>AOC-VROCSTNMOD</v>
          </cell>
          <cell r="E11680" t="str">
            <v>QSVC734S00GA</v>
          </cell>
        </row>
        <row r="11681">
          <cell r="D11681" t="str">
            <v>AOC-VROCSTNMOD</v>
          </cell>
          <cell r="E11681" t="str">
            <v>QSVC734S02MG</v>
          </cell>
        </row>
        <row r="11682">
          <cell r="D11682" t="str">
            <v>AOC-VROCSTNMOD</v>
          </cell>
          <cell r="E11682" t="str">
            <v>QSVC734S02MZ</v>
          </cell>
        </row>
        <row r="11683">
          <cell r="D11683" t="str">
            <v>AOC-VROCSTNMOD</v>
          </cell>
          <cell r="E11683" t="str">
            <v>QSVC735S00TP</v>
          </cell>
        </row>
        <row r="11684">
          <cell r="D11684" t="str">
            <v>AOC-VROCSTNMOD</v>
          </cell>
          <cell r="E11684" t="str">
            <v>QSVC735S00TS</v>
          </cell>
        </row>
        <row r="11685">
          <cell r="D11685" t="str">
            <v>AOC-VROCSTNMOD</v>
          </cell>
          <cell r="E11685" t="str">
            <v>QSVC735S00TZ</v>
          </cell>
        </row>
        <row r="11686">
          <cell r="D11686" t="str">
            <v>AOC-VROCSTNMOD</v>
          </cell>
          <cell r="E11686" t="str">
            <v>QSVC735S00U2</v>
          </cell>
        </row>
        <row r="11687">
          <cell r="D11687" t="str">
            <v>AOC-VROCSTNMOD</v>
          </cell>
          <cell r="E11687" t="str">
            <v>QSVC735S00TK</v>
          </cell>
        </row>
        <row r="11688">
          <cell r="D11688" t="str">
            <v>PWS-741P-1R</v>
          </cell>
          <cell r="E11688" t="str">
            <v>P741PCK36ON2907</v>
          </cell>
        </row>
        <row r="11689">
          <cell r="D11689" t="str">
            <v>PWS-741P-1R</v>
          </cell>
          <cell r="E11689" t="str">
            <v>P741PCK36ON2912</v>
          </cell>
        </row>
        <row r="11690">
          <cell r="D11690" t="str">
            <v>PWS-741P-1R</v>
          </cell>
          <cell r="E11690" t="str">
            <v>P741PCK36ON2911</v>
          </cell>
        </row>
        <row r="11691">
          <cell r="D11691" t="str">
            <v>PWS-741P-1R</v>
          </cell>
          <cell r="E11691" t="str">
            <v>P741PCK36ON2910</v>
          </cell>
        </row>
        <row r="11692">
          <cell r="D11692" t="str">
            <v>PWS-741P-1R</v>
          </cell>
          <cell r="E11692" t="str">
            <v>P741PCK36ON2909</v>
          </cell>
        </row>
        <row r="11693">
          <cell r="D11693" t="str">
            <v>PWS-741P-1R</v>
          </cell>
          <cell r="E11693" t="str">
            <v>P741PCK36ON2908</v>
          </cell>
        </row>
        <row r="11694">
          <cell r="D11694" t="str">
            <v>AOC-SLG3-2M2-O</v>
          </cell>
          <cell r="E11694" t="str">
            <v>VA21BS021039</v>
          </cell>
        </row>
        <row r="11695">
          <cell r="D11695" t="str">
            <v>AOC-SLG3-2M2-O</v>
          </cell>
          <cell r="E11695" t="str">
            <v>VA21BS021041</v>
          </cell>
        </row>
        <row r="11696">
          <cell r="D11696" t="str">
            <v>AOC-SLG3-2M2-O</v>
          </cell>
          <cell r="E11696" t="str">
            <v>VA21BS021042</v>
          </cell>
        </row>
        <row r="11697">
          <cell r="D11697" t="str">
            <v>AOC-SLG3-2M2-O</v>
          </cell>
          <cell r="E11697" t="str">
            <v>VA21BS021044</v>
          </cell>
        </row>
        <row r="11698">
          <cell r="D11698" t="str">
            <v>AOC-SLG3-2M2-O</v>
          </cell>
          <cell r="E11698" t="str">
            <v>VA21BS021045</v>
          </cell>
        </row>
        <row r="11699">
          <cell r="D11699" t="str">
            <v>AOC-SLG3-2M2-O</v>
          </cell>
          <cell r="E11699" t="str">
            <v>VA21BS021046</v>
          </cell>
        </row>
        <row r="11700">
          <cell r="D11700" t="str">
            <v>MBD-X12SPL-F-B</v>
          </cell>
          <cell r="E11700" t="str">
            <v>WM224S001000</v>
          </cell>
          <cell r="K11700" t="str">
            <v>SO/2022/006010/A SENETIC</v>
          </cell>
        </row>
        <row r="11701">
          <cell r="D11701" t="str">
            <v>MEM-DR480L-HL01-ER32</v>
          </cell>
          <cell r="E11701" t="str">
            <v>80AD0121517547AA47</v>
          </cell>
          <cell r="K11701" t="str">
            <v>SO/2022/006010/A SENETIC</v>
          </cell>
        </row>
        <row r="11702">
          <cell r="D11702" t="str">
            <v>MEM-DR480L-HL01-ER32</v>
          </cell>
          <cell r="E11702" t="str">
            <v>80AD0121517547AA3E</v>
          </cell>
          <cell r="K11702" t="str">
            <v>SO/2022/006010/A SENETIC</v>
          </cell>
        </row>
        <row r="11703">
          <cell r="D11703" t="str">
            <v>HDS-I2T0-SSDSC2KG480G8</v>
          </cell>
          <cell r="E11703" t="str">
            <v>PHYG211505X5480BGN</v>
          </cell>
          <cell r="K11703" t="str">
            <v>SO/2022/006010/A SENETIC</v>
          </cell>
        </row>
        <row r="11704">
          <cell r="D11704" t="str">
            <v>HDS-I2T0-SSDSC2KG480G8</v>
          </cell>
          <cell r="E11704" t="str">
            <v>PHYG2115060Q480BGN</v>
          </cell>
          <cell r="K11704" t="str">
            <v>SO/2022/006010/A SENETIC</v>
          </cell>
        </row>
        <row r="11705">
          <cell r="D11705" t="str">
            <v>MBD-X11DDW-NT-B</v>
          </cell>
          <cell r="E11705" t="str">
            <v>NM223S004684</v>
          </cell>
        </row>
        <row r="11706">
          <cell r="D11706" t="str">
            <v>MBD-X11DDW-NT-B</v>
          </cell>
          <cell r="E11706" t="str">
            <v>NM223S004842</v>
          </cell>
        </row>
        <row r="11707">
          <cell r="D11707" t="str">
            <v>MBD-X11DDW-NT-B</v>
          </cell>
          <cell r="E11707" t="str">
            <v>NM223S004995</v>
          </cell>
        </row>
        <row r="11708">
          <cell r="D11708" t="str">
            <v>MBD-X11DDW-NT-B</v>
          </cell>
          <cell r="E11708" t="str">
            <v>NM222S004094</v>
          </cell>
        </row>
        <row r="11709">
          <cell r="D11709" t="str">
            <v>MBD-X11DDW-NT-B</v>
          </cell>
          <cell r="E11709" t="str">
            <v>NM223S004521</v>
          </cell>
        </row>
        <row r="11710">
          <cell r="D11710" t="str">
            <v>MBD-X11DDW-NT-B</v>
          </cell>
          <cell r="E11710" t="str">
            <v>NM223S004735</v>
          </cell>
        </row>
        <row r="11711">
          <cell r="D11711" t="str">
            <v>MBD-X11DDW-NT-B</v>
          </cell>
          <cell r="E11711" t="str">
            <v>NM222S004119</v>
          </cell>
        </row>
        <row r="11712">
          <cell r="D11712" t="str">
            <v>MBD-X11DDW-NT-B</v>
          </cell>
          <cell r="E11712" t="str">
            <v>NM223S004988</v>
          </cell>
        </row>
        <row r="11713">
          <cell r="D11713" t="str">
            <v>MBD-X11DDW-NT-B</v>
          </cell>
          <cell r="E11713" t="str">
            <v>NM223S004911</v>
          </cell>
        </row>
        <row r="11714">
          <cell r="D11714" t="str">
            <v>MBD-X11DDW-NT-B</v>
          </cell>
          <cell r="E11714" t="str">
            <v>NM223S004488</v>
          </cell>
        </row>
        <row r="11715">
          <cell r="D11715" t="str">
            <v>MBD-X11DDW-NT-B</v>
          </cell>
          <cell r="E11715" t="str">
            <v>NM223S004924</v>
          </cell>
        </row>
        <row r="11716">
          <cell r="D11716" t="str">
            <v>MBD-X11DDW-NT-B</v>
          </cell>
          <cell r="E11716" t="str">
            <v>NM222S004312</v>
          </cell>
        </row>
        <row r="11717">
          <cell r="D11717" t="str">
            <v>HDD-A4000-MG08SDA400E</v>
          </cell>
          <cell r="E11717" t="str">
            <v>22J0A0B8FXKG</v>
          </cell>
        </row>
        <row r="11718">
          <cell r="D11718" t="str">
            <v>HDD-A4000-MG08SDA400E</v>
          </cell>
          <cell r="E11718" t="str">
            <v>22J0A0D9FXKG</v>
          </cell>
        </row>
        <row r="11719">
          <cell r="D11719" t="str">
            <v>HDD-A4000-MG08SDA400E</v>
          </cell>
          <cell r="E11719" t="str">
            <v>22J0A0AQFXKG</v>
          </cell>
        </row>
        <row r="11720">
          <cell r="D11720" t="str">
            <v>HDD-A4000-MG08SDA400E</v>
          </cell>
          <cell r="E11720" t="str">
            <v>22J0A0CZFXKG</v>
          </cell>
        </row>
        <row r="11721">
          <cell r="D11721" t="str">
            <v>HDD-A4000-MG08SDA400E</v>
          </cell>
          <cell r="E11721" t="str">
            <v>22J0A0JCFXKG</v>
          </cell>
        </row>
        <row r="11722">
          <cell r="D11722" t="str">
            <v>MBD-X10SAE-B</v>
          </cell>
          <cell r="E11722" t="str">
            <v>NM218S000961</v>
          </cell>
        </row>
        <row r="11723">
          <cell r="D11723" t="str">
            <v>SSDPE2KE032T807</v>
          </cell>
          <cell r="E11723" t="str">
            <v>PHLN136600K13P2FGN</v>
          </cell>
        </row>
        <row r="11724">
          <cell r="D11724" t="str">
            <v>SSDPE2KE032T807</v>
          </cell>
          <cell r="E11724" t="str">
            <v>PHLN136600HW3P2FGN</v>
          </cell>
        </row>
        <row r="11725">
          <cell r="D11725" t="str">
            <v>SSDPE2KE032T807</v>
          </cell>
          <cell r="E11725" t="str">
            <v>PHLN137602D93P2FGN</v>
          </cell>
        </row>
        <row r="11726">
          <cell r="D11726" t="str">
            <v>SSDPE2KE032T807</v>
          </cell>
          <cell r="E11726" t="str">
            <v>PHLN136600Q03P2FGN</v>
          </cell>
        </row>
        <row r="11727">
          <cell r="D11727" t="str">
            <v>SSDPE2KE032T807</v>
          </cell>
          <cell r="E11727" t="str">
            <v>PHLN136600H03P2FGN</v>
          </cell>
        </row>
        <row r="11728">
          <cell r="D11728" t="str">
            <v>SSDPE2KE032T807</v>
          </cell>
          <cell r="E11728" t="str">
            <v>PHLN137502563P2FGN</v>
          </cell>
        </row>
        <row r="11729">
          <cell r="D11729" t="str">
            <v>SSDPE2KE032T807</v>
          </cell>
          <cell r="E11729" t="str">
            <v>PHLN136600MQ3P2FGN</v>
          </cell>
        </row>
        <row r="11730">
          <cell r="D11730" t="str">
            <v>SSDPE2KE032T807</v>
          </cell>
          <cell r="E11730" t="str">
            <v>PHLN136600KC3P2FGN</v>
          </cell>
        </row>
        <row r="11731">
          <cell r="D11731" t="str">
            <v>SSDPE2KE032T807</v>
          </cell>
          <cell r="E11731" t="str">
            <v>PHLN136600H33P2FGN</v>
          </cell>
        </row>
        <row r="11732">
          <cell r="D11732" t="str">
            <v>SSDPE2KE032T807</v>
          </cell>
          <cell r="E11732" t="str">
            <v>PHLN136601G83P2FGN</v>
          </cell>
        </row>
        <row r="11733">
          <cell r="D11733" t="str">
            <v>SSDPE2KE032T807</v>
          </cell>
          <cell r="E11733" t="str">
            <v>PHLN136600KJ3P2FGN</v>
          </cell>
        </row>
        <row r="11734">
          <cell r="D11734" t="str">
            <v>SSDPE2KE032T807</v>
          </cell>
          <cell r="E11734" t="str">
            <v>PHLN136600RE3P2FGN</v>
          </cell>
        </row>
        <row r="11735">
          <cell r="D11735" t="str">
            <v>1W10002</v>
          </cell>
          <cell r="E11735" t="str">
            <v>WCC6N3XVSVNX</v>
          </cell>
        </row>
        <row r="11736">
          <cell r="D11736" t="str">
            <v>1W10002</v>
          </cell>
          <cell r="E11736" t="str">
            <v>WCC6N6DE7KL2</v>
          </cell>
        </row>
        <row r="11737">
          <cell r="D11737" t="str">
            <v>1W10002</v>
          </cell>
          <cell r="E11737" t="str">
            <v>WCC6N3XVS45C</v>
          </cell>
        </row>
        <row r="11738">
          <cell r="D11738" t="str">
            <v>1W10002</v>
          </cell>
          <cell r="E11738" t="str">
            <v>WCC6N6DE7ZX9</v>
          </cell>
        </row>
        <row r="11739">
          <cell r="D11739" t="str">
            <v>1W10002</v>
          </cell>
          <cell r="E11739" t="str">
            <v>WCC6N3XVSUYK</v>
          </cell>
        </row>
        <row r="11740">
          <cell r="D11740" t="str">
            <v>1W10002</v>
          </cell>
          <cell r="E11740" t="str">
            <v>WCC6N3XVSHFL</v>
          </cell>
        </row>
        <row r="11741">
          <cell r="D11741" t="str">
            <v>1W10002</v>
          </cell>
          <cell r="E11741" t="str">
            <v>WCC6N3XVSUVC</v>
          </cell>
        </row>
        <row r="11742">
          <cell r="D11742" t="str">
            <v>1W10002</v>
          </cell>
          <cell r="E11742" t="str">
            <v>WCC6N6DE7P0V</v>
          </cell>
        </row>
        <row r="11743">
          <cell r="D11743" t="str">
            <v>1W10002</v>
          </cell>
          <cell r="E11743" t="str">
            <v>WCC6N3XVSZCN</v>
          </cell>
        </row>
        <row r="11744">
          <cell r="D11744" t="str">
            <v>1W10002</v>
          </cell>
          <cell r="E11744" t="str">
            <v>WCC6N3XVS9LF</v>
          </cell>
        </row>
        <row r="11745">
          <cell r="D11745" t="str">
            <v>0F38462</v>
          </cell>
          <cell r="E11745" t="str">
            <v>2BJDRMDN</v>
          </cell>
        </row>
        <row r="11746">
          <cell r="D11746" t="str">
            <v>0F38462</v>
          </cell>
          <cell r="E11746" t="str">
            <v>2BJBG8HN</v>
          </cell>
        </row>
        <row r="11747">
          <cell r="D11747" t="str">
            <v>0F38462</v>
          </cell>
          <cell r="E11747" t="str">
            <v>2CKRK2VJ</v>
          </cell>
        </row>
        <row r="11748">
          <cell r="D11748" t="str">
            <v>0F38462</v>
          </cell>
          <cell r="E11748" t="str">
            <v>2BJBEL8N</v>
          </cell>
        </row>
        <row r="11749">
          <cell r="D11749" t="str">
            <v>0F38462</v>
          </cell>
          <cell r="E11749" t="str">
            <v>2CGNMHAN</v>
          </cell>
        </row>
        <row r="11750">
          <cell r="D11750" t="str">
            <v>0F38462</v>
          </cell>
          <cell r="E11750" t="str">
            <v>2BJBUWUN</v>
          </cell>
        </row>
        <row r="11751">
          <cell r="D11751" t="str">
            <v>0F38462</v>
          </cell>
          <cell r="E11751" t="str">
            <v>2CHU42SP</v>
          </cell>
        </row>
        <row r="11752">
          <cell r="D11752" t="str">
            <v>0F38462</v>
          </cell>
          <cell r="E11752" t="str">
            <v>2BJBR0HN</v>
          </cell>
        </row>
        <row r="11753">
          <cell r="D11753" t="str">
            <v>0F38462</v>
          </cell>
          <cell r="E11753" t="str">
            <v>2BJDKD3N</v>
          </cell>
        </row>
        <row r="11754">
          <cell r="D11754" t="str">
            <v>0F38462</v>
          </cell>
          <cell r="E11754" t="str">
            <v>2BJ3NEEN</v>
          </cell>
        </row>
        <row r="11755">
          <cell r="D11755" t="str">
            <v>0F38462</v>
          </cell>
          <cell r="E11755" t="str">
            <v>2CKR9KHJ</v>
          </cell>
        </row>
        <row r="11756">
          <cell r="D11756" t="str">
            <v>0F38462</v>
          </cell>
          <cell r="E11756" t="str">
            <v>2CKRGAGJ</v>
          </cell>
        </row>
        <row r="11757">
          <cell r="D11757" t="str">
            <v>0F38462</v>
          </cell>
          <cell r="E11757" t="str">
            <v>2BJBRTXN</v>
          </cell>
        </row>
        <row r="11758">
          <cell r="D11758" t="str">
            <v>0F38462</v>
          </cell>
          <cell r="E11758" t="str">
            <v>2CJXESUJ</v>
          </cell>
        </row>
        <row r="11759">
          <cell r="D11759" t="str">
            <v>0F38462</v>
          </cell>
          <cell r="E11759" t="str">
            <v>2CJXG6KJ</v>
          </cell>
        </row>
        <row r="11760">
          <cell r="D11760" t="str">
            <v>0F38462</v>
          </cell>
          <cell r="E11760" t="str">
            <v>2CGU5YYP</v>
          </cell>
        </row>
        <row r="11761">
          <cell r="D11761" t="str">
            <v>0F38462</v>
          </cell>
          <cell r="E11761" t="str">
            <v>2CKNGSJN</v>
          </cell>
        </row>
        <row r="11762">
          <cell r="D11762" t="str">
            <v>0F38462</v>
          </cell>
          <cell r="E11762" t="str">
            <v>2BJD67AN</v>
          </cell>
        </row>
        <row r="11763">
          <cell r="D11763" t="str">
            <v>0F38462</v>
          </cell>
          <cell r="E11763" t="str">
            <v>2CJXE88J</v>
          </cell>
        </row>
        <row r="11764">
          <cell r="D11764" t="str">
            <v>0F38462</v>
          </cell>
          <cell r="E11764" t="str">
            <v>2BJAHNLN</v>
          </cell>
        </row>
        <row r="11765">
          <cell r="D11765" t="str">
            <v>MZ7L33T8HBNA-00A07</v>
          </cell>
          <cell r="E11765" t="str">
            <v>S6EMNE0T100122</v>
          </cell>
        </row>
        <row r="11766">
          <cell r="D11766" t="str">
            <v>MZ7L33T8HBNA-00A07</v>
          </cell>
          <cell r="E11766" t="str">
            <v>S6EMNE0T100121</v>
          </cell>
        </row>
        <row r="11767">
          <cell r="D11767" t="str">
            <v>MZ7L33T8HBNA-00A07</v>
          </cell>
          <cell r="E11767" t="str">
            <v>S6EMNE0T100130</v>
          </cell>
        </row>
        <row r="11768">
          <cell r="D11768" t="str">
            <v>MZ7L33T8HBNA-00A07</v>
          </cell>
          <cell r="E11768" t="str">
            <v>S6EMNE0T100131</v>
          </cell>
        </row>
        <row r="11769">
          <cell r="D11769" t="str">
            <v>MZ7L33T8HBNA-00A07</v>
          </cell>
          <cell r="E11769" t="str">
            <v>S6EMNE0T100126</v>
          </cell>
        </row>
        <row r="11770">
          <cell r="D11770" t="str">
            <v>MZ7L33T8HBNA-00A07</v>
          </cell>
          <cell r="E11770" t="str">
            <v>S6EMNE0T100225</v>
          </cell>
        </row>
        <row r="11771">
          <cell r="D11771" t="str">
            <v>MZ7L33T8HBNA-00A07</v>
          </cell>
          <cell r="E11771" t="str">
            <v>S6EMNE0T100195</v>
          </cell>
        </row>
        <row r="11772">
          <cell r="D11772" t="str">
            <v>MZ7L33T8HBNA-00A07</v>
          </cell>
          <cell r="E11772" t="str">
            <v>S6EMNE0T100196</v>
          </cell>
        </row>
        <row r="11773">
          <cell r="D11773" t="str">
            <v>MZ7L33T8HBNA-00A07</v>
          </cell>
          <cell r="E11773" t="str">
            <v>S6EMNE0T100229</v>
          </cell>
        </row>
        <row r="11774">
          <cell r="D11774" t="str">
            <v>MZ7L33T8HBNA-00A07</v>
          </cell>
          <cell r="E11774" t="str">
            <v>S6EMNE0T100228</v>
          </cell>
        </row>
        <row r="11775">
          <cell r="D11775" t="str">
            <v>MZ7L33T8HBNA-00A07</v>
          </cell>
          <cell r="E11775" t="str">
            <v>S6EMNE0T100226</v>
          </cell>
        </row>
        <row r="11776">
          <cell r="D11776" t="str">
            <v>MZ7L33T8HBNA-00A07</v>
          </cell>
          <cell r="E11776" t="str">
            <v>S6EMNE0T100140</v>
          </cell>
        </row>
        <row r="11777">
          <cell r="D11777" t="str">
            <v>MZ7L33T8HBNA-00A07</v>
          </cell>
          <cell r="E11777" t="str">
            <v>S6EMNE0T100135</v>
          </cell>
        </row>
        <row r="11778">
          <cell r="D11778" t="str">
            <v>MZ7L33T8HBNA-00A07</v>
          </cell>
          <cell r="E11778" t="str">
            <v>S6EMNE0T100209</v>
          </cell>
        </row>
        <row r="11779">
          <cell r="D11779" t="str">
            <v>MZ7L33T8HBNA-00A07</v>
          </cell>
          <cell r="E11779" t="str">
            <v>S6EMNE0T100208</v>
          </cell>
        </row>
        <row r="11780">
          <cell r="D11780" t="str">
            <v>MZ7L33T8HBNA-00A07</v>
          </cell>
          <cell r="E11780" t="str">
            <v>S6EMNE0T100207</v>
          </cell>
        </row>
        <row r="11781">
          <cell r="D11781" t="str">
            <v>MZ7L33T8HBNA-00A07</v>
          </cell>
          <cell r="E11781" t="str">
            <v>S6EMNE0T100212</v>
          </cell>
        </row>
        <row r="11782">
          <cell r="D11782" t="str">
            <v>MZ7L33T8HBNA-00A07</v>
          </cell>
          <cell r="E11782" t="str">
            <v>S6EMNE0T100176</v>
          </cell>
        </row>
        <row r="11783">
          <cell r="D11783" t="str">
            <v>MZ7L33T8HBNA-00A07</v>
          </cell>
          <cell r="E11783" t="str">
            <v>S6EMNE0T100257</v>
          </cell>
        </row>
        <row r="11784">
          <cell r="D11784" t="str">
            <v>MZ7L33T8HBNA-00A07</v>
          </cell>
          <cell r="E11784" t="str">
            <v>S6EMNE0T100255</v>
          </cell>
        </row>
        <row r="11785">
          <cell r="D11785" t="str">
            <v>MZ7L33T8HBNA-00A07</v>
          </cell>
          <cell r="E11785" t="str">
            <v>S6EMNE0T100033</v>
          </cell>
        </row>
        <row r="11786">
          <cell r="D11786" t="str">
            <v>MZ7L33T8HBNA-00A07</v>
          </cell>
          <cell r="E11786" t="str">
            <v>S6EMNE0T100170</v>
          </cell>
        </row>
        <row r="11787">
          <cell r="D11787" t="str">
            <v>MZ7L33T8HBNA-00A07</v>
          </cell>
          <cell r="E11787" t="str">
            <v>S6EMNE0T100174</v>
          </cell>
        </row>
        <row r="11788">
          <cell r="D11788" t="str">
            <v>MZ7L33T8HBNA-00A07</v>
          </cell>
          <cell r="E11788" t="str">
            <v>S6EMNE0T100197</v>
          </cell>
        </row>
        <row r="11789">
          <cell r="D11789" t="str">
            <v>MZ7L33T8HBNA-00A07</v>
          </cell>
          <cell r="E11789" t="str">
            <v>S6EMNE0T100256</v>
          </cell>
        </row>
        <row r="11790">
          <cell r="D11790" t="str">
            <v>MZ7L33T8HBNA-00A07</v>
          </cell>
          <cell r="E11790" t="str">
            <v>S6EMNE0T100258</v>
          </cell>
        </row>
        <row r="11791">
          <cell r="D11791" t="str">
            <v>MZ7L33T8HBNA-00A07</v>
          </cell>
          <cell r="E11791" t="str">
            <v>S6EMNE0T100200</v>
          </cell>
        </row>
        <row r="11792">
          <cell r="D11792" t="str">
            <v>MZ7L33T8HBNA-00A07</v>
          </cell>
          <cell r="E11792" t="str">
            <v>S6EMNE0T100205</v>
          </cell>
        </row>
        <row r="11793">
          <cell r="D11793" t="str">
            <v>MZ7L33T8HBNA-00A07</v>
          </cell>
          <cell r="E11793" t="str">
            <v>S6EMNE0T100204</v>
          </cell>
        </row>
        <row r="11794">
          <cell r="D11794" t="str">
            <v>MZ7L33T8HBNA-00A07</v>
          </cell>
          <cell r="E11794" t="str">
            <v>S6EMNE0T100213</v>
          </cell>
        </row>
        <row r="11795">
          <cell r="D11795" t="str">
            <v>MZ7L33T8HBNA-00A07</v>
          </cell>
          <cell r="E11795" t="str">
            <v>S6EMNE0T100201</v>
          </cell>
        </row>
        <row r="11796">
          <cell r="D11796" t="str">
            <v>MZ7L33T8HBNA-00A07</v>
          </cell>
          <cell r="E11796" t="str">
            <v>S6EMNE0T100202</v>
          </cell>
        </row>
        <row r="11797">
          <cell r="D11797" t="str">
            <v>MZ7L33T8HBNA-00A07</v>
          </cell>
          <cell r="E11797" t="str">
            <v>S6EMNE0T100217</v>
          </cell>
        </row>
        <row r="11798">
          <cell r="D11798" t="str">
            <v>MZ7L33T8HBNA-00A07</v>
          </cell>
          <cell r="E11798" t="str">
            <v>S6EMNE0T100216</v>
          </cell>
        </row>
        <row r="11799">
          <cell r="D11799" t="str">
            <v>MZ7L33T8HBNA-00A07</v>
          </cell>
          <cell r="E11799" t="str">
            <v>S6EMNE0T100214</v>
          </cell>
        </row>
        <row r="11800">
          <cell r="D11800" t="str">
            <v>MZ7L33T8HBNA-00A07</v>
          </cell>
          <cell r="E11800" t="str">
            <v>S6EMNE0T100219</v>
          </cell>
        </row>
        <row r="11801">
          <cell r="D11801" t="str">
            <v>MZ7L33T8HBNA-00A07</v>
          </cell>
          <cell r="E11801" t="str">
            <v>S6EMNE0T100215</v>
          </cell>
        </row>
        <row r="11802">
          <cell r="D11802" t="str">
            <v>MZ7L33T8HBNA-00A07</v>
          </cell>
          <cell r="E11802" t="str">
            <v>S6EMNE0T100218</v>
          </cell>
        </row>
        <row r="11803">
          <cell r="D11803" t="str">
            <v>MZ7L33T8HBNA-00A07</v>
          </cell>
          <cell r="E11803" t="str">
            <v>S6EMNE0T100223</v>
          </cell>
        </row>
        <row r="11804">
          <cell r="D11804" t="str">
            <v>MZ7L33T8HBNA-00A07</v>
          </cell>
          <cell r="E11804" t="str">
            <v>S6EMNE0T100222</v>
          </cell>
        </row>
        <row r="11805">
          <cell r="D11805" t="str">
            <v>MZ7L33T8HBNA-00A07</v>
          </cell>
          <cell r="E11805" t="str">
            <v>S6EMNE0T100220</v>
          </cell>
        </row>
        <row r="11806">
          <cell r="D11806" t="str">
            <v>MZ7L33T8HBNA-00A07</v>
          </cell>
          <cell r="E11806" t="str">
            <v>S6EMNE0T100111</v>
          </cell>
        </row>
        <row r="11807">
          <cell r="D11807" t="str">
            <v>MZ7L33T8HBNA-00A07</v>
          </cell>
          <cell r="E11807" t="str">
            <v>S6EMNE0T100221</v>
          </cell>
        </row>
        <row r="11808">
          <cell r="D11808" t="str">
            <v>MZ7L33T8HBNA-00A07</v>
          </cell>
          <cell r="E11808" t="str">
            <v>S6EMNE0T100224</v>
          </cell>
        </row>
        <row r="11809">
          <cell r="D11809" t="str">
            <v>MZ7L33T8HBNA-00A07</v>
          </cell>
          <cell r="E11809" t="str">
            <v>S6EMNE0T100119</v>
          </cell>
        </row>
        <row r="11810">
          <cell r="D11810" t="str">
            <v>MZ7L33T8HBNA-00A07</v>
          </cell>
          <cell r="E11810" t="str">
            <v>S6EMNE0T100116</v>
          </cell>
        </row>
        <row r="11811">
          <cell r="D11811" t="str">
            <v>MZ7L33T8HBNA-00A07</v>
          </cell>
          <cell r="E11811" t="str">
            <v>S6EMNE0T100112</v>
          </cell>
        </row>
        <row r="11812">
          <cell r="D11812" t="str">
            <v>MZ7L33T8HBNA-00A07</v>
          </cell>
          <cell r="E11812" t="str">
            <v>S6EMNE0T100110</v>
          </cell>
        </row>
        <row r="11813">
          <cell r="D11813" t="str">
            <v>MZ7L33T8HBNA-00A07</v>
          </cell>
          <cell r="E11813" t="str">
            <v>S6EMNE0T100108</v>
          </cell>
        </row>
        <row r="11814">
          <cell r="D11814" t="str">
            <v>MZ7L33T8HBNA-00A07</v>
          </cell>
          <cell r="E11814" t="str">
            <v>S6EMNE0T100109</v>
          </cell>
        </row>
        <row r="11815">
          <cell r="D11815" t="str">
            <v>MZ7L33T8HBNA-00A07</v>
          </cell>
          <cell r="E11815" t="str">
            <v>S6EMNE0T100113</v>
          </cell>
        </row>
        <row r="11816">
          <cell r="D11816" t="str">
            <v>MZ7L33T8HBNA-00A07</v>
          </cell>
          <cell r="E11816" t="str">
            <v>S6EMNE0T100118</v>
          </cell>
        </row>
        <row r="11817">
          <cell r="D11817" t="str">
            <v>MZ7L33T8HBNA-00A07</v>
          </cell>
          <cell r="E11817" t="str">
            <v>S6EMNE0T100117</v>
          </cell>
        </row>
        <row r="11818">
          <cell r="D11818" t="str">
            <v>MZ7L33T8HBNA-00A07</v>
          </cell>
          <cell r="E11818" t="str">
            <v>S6EMNE0T100124</v>
          </cell>
        </row>
        <row r="11819">
          <cell r="D11819" t="str">
            <v>MZ7L33T8HBNA-00A07</v>
          </cell>
          <cell r="E11819" t="str">
            <v>S6EMNE0T100114</v>
          </cell>
        </row>
        <row r="11820">
          <cell r="D11820" t="str">
            <v>MZ7L33T8HBNA-00A07</v>
          </cell>
          <cell r="E11820" t="str">
            <v>S6EMNE0T100115</v>
          </cell>
        </row>
        <row r="11821">
          <cell r="D11821" t="str">
            <v>MZ7L33T8HBNA-00A07</v>
          </cell>
          <cell r="E11821" t="str">
            <v>S6EMNE0T100132</v>
          </cell>
        </row>
        <row r="11822">
          <cell r="D11822" t="str">
            <v>MZ7L33T8HBNA-00A07</v>
          </cell>
          <cell r="E11822" t="str">
            <v>S6EMNE0T100129</v>
          </cell>
        </row>
        <row r="11823">
          <cell r="D11823" t="str">
            <v>MZ7L33T8HBNA-00A07</v>
          </cell>
          <cell r="E11823" t="str">
            <v>S6EMNE0T100125</v>
          </cell>
        </row>
        <row r="11824">
          <cell r="D11824" t="str">
            <v>EPYC3101D4I-2T</v>
          </cell>
          <cell r="E11824" t="str">
            <v>08S0XW016508</v>
          </cell>
        </row>
        <row r="11825">
          <cell r="D11825" t="str">
            <v>HBA 9500-16e  05-50075-00</v>
          </cell>
          <cell r="E11825" t="str">
            <v>SPB4919014</v>
          </cell>
        </row>
        <row r="11826">
          <cell r="D11826" t="str">
            <v>MZ7L33T8HBNA-00A07</v>
          </cell>
          <cell r="E11826" t="str">
            <v>S6EMNE0RC00226</v>
          </cell>
        </row>
        <row r="11827">
          <cell r="D11827" t="str">
            <v>MZ7L33T8HBNA-00A07</v>
          </cell>
          <cell r="E11827" t="str">
            <v>S6EMNE0T100434</v>
          </cell>
        </row>
        <row r="11828">
          <cell r="D11828" t="str">
            <v>MZ7L33T8HBNA-00A07</v>
          </cell>
          <cell r="E11828" t="str">
            <v>S6EMNE0RC00191</v>
          </cell>
        </row>
        <row r="11829">
          <cell r="D11829" t="str">
            <v>MZ7L33T8HBNA-00A07</v>
          </cell>
          <cell r="E11829" t="str">
            <v>S6EMNE0RC00098</v>
          </cell>
        </row>
        <row r="11830">
          <cell r="D11830" t="str">
            <v>MZ7L33T8HBNA-00A07</v>
          </cell>
          <cell r="E11830" t="str">
            <v>S6EMNE0T100450</v>
          </cell>
        </row>
        <row r="11831">
          <cell r="D11831" t="str">
            <v>MZ7L33T8HBNA-00A07</v>
          </cell>
          <cell r="E11831" t="str">
            <v>S6EMNE0T100451</v>
          </cell>
        </row>
        <row r="11832">
          <cell r="D11832" t="str">
            <v>MZ7L33T8HBNA-00A07</v>
          </cell>
          <cell r="E11832" t="str">
            <v>S6EMNE0T100446</v>
          </cell>
        </row>
        <row r="11833">
          <cell r="D11833" t="str">
            <v>MZ7L33T8HBNA-00A07</v>
          </cell>
          <cell r="E11833" t="str">
            <v>S6EMNE0T100442</v>
          </cell>
        </row>
        <row r="11834">
          <cell r="D11834" t="str">
            <v>MZ7L33T8HBNA-00A07</v>
          </cell>
          <cell r="E11834" t="str">
            <v>S6EMNE0T100448</v>
          </cell>
        </row>
        <row r="11835">
          <cell r="D11835" t="str">
            <v>MZ7L33T8HBNA-00A07</v>
          </cell>
          <cell r="E11835" t="str">
            <v>S6EMNE0T100447</v>
          </cell>
        </row>
        <row r="11836">
          <cell r="D11836" t="str">
            <v>MZ7L33T8HBNA-00A07</v>
          </cell>
          <cell r="E11836" t="str">
            <v>S6EMNE0RC00267</v>
          </cell>
        </row>
        <row r="11837">
          <cell r="D11837" t="str">
            <v>MZ7L33T8HBNA-00A07</v>
          </cell>
          <cell r="E11837" t="str">
            <v>S6EMNE0RC00269</v>
          </cell>
        </row>
        <row r="11838">
          <cell r="D11838" t="str">
            <v>MZ7L33T8HBNA-00A07</v>
          </cell>
          <cell r="E11838" t="str">
            <v>S6EMNE0RC00262</v>
          </cell>
        </row>
        <row r="11839">
          <cell r="D11839" t="str">
            <v>MZ7L33T8HBNA-00A07</v>
          </cell>
          <cell r="E11839" t="str">
            <v>S6EMNE0RC00064</v>
          </cell>
        </row>
        <row r="11840">
          <cell r="D11840" t="str">
            <v>MZ7L33T8HBNA-00A07</v>
          </cell>
          <cell r="E11840" t="str">
            <v>S6EMNE0RC00050</v>
          </cell>
        </row>
        <row r="11841">
          <cell r="D11841" t="str">
            <v>MZ7L33T8HBNA-00A07</v>
          </cell>
          <cell r="E11841" t="str">
            <v>S6EMNE0RC00048</v>
          </cell>
        </row>
        <row r="11842">
          <cell r="D11842" t="str">
            <v>MZ7L33T8HBNA-00A07</v>
          </cell>
          <cell r="E11842" t="str">
            <v>S6EMNE0RC00157</v>
          </cell>
        </row>
        <row r="11843">
          <cell r="D11843" t="str">
            <v>MZ7L33T8HBNA-00A07</v>
          </cell>
          <cell r="E11843" t="str">
            <v>S6EMNE0RC00167</v>
          </cell>
        </row>
        <row r="11844">
          <cell r="D11844" t="str">
            <v>MZ7L33T8HBNA-00A07</v>
          </cell>
          <cell r="E11844" t="str">
            <v>S6EMNE0RC00222</v>
          </cell>
        </row>
        <row r="11845">
          <cell r="D11845" t="str">
            <v>MZ7L33T8HBNA-00A07</v>
          </cell>
          <cell r="E11845" t="str">
            <v>S6EMNE0RC00193</v>
          </cell>
        </row>
        <row r="11846">
          <cell r="D11846" t="str">
            <v>MZ7L33T8HBNA-00A07</v>
          </cell>
          <cell r="E11846" t="str">
            <v>S6EMNE0RC00184</v>
          </cell>
        </row>
        <row r="11847">
          <cell r="D11847" t="str">
            <v>MZ7L33T8HBNA-00A07</v>
          </cell>
          <cell r="E11847" t="str">
            <v>S6EMNE0RC00180</v>
          </cell>
        </row>
        <row r="11848">
          <cell r="D11848" t="str">
            <v>MZ1L2960HCJR-00A07</v>
          </cell>
          <cell r="E11848" t="str">
            <v>S665NE0T306653</v>
          </cell>
          <cell r="K11848" t="str">
            <v>SO/2022/006072/A 7z12</v>
          </cell>
        </row>
        <row r="11849">
          <cell r="D11849" t="str">
            <v>MZ1L2960HCJR-00A07</v>
          </cell>
          <cell r="E11849" t="str">
            <v>S665NE0T306655</v>
          </cell>
          <cell r="K11849" t="str">
            <v>SO/2022/006072/A 6z12</v>
          </cell>
        </row>
        <row r="11850">
          <cell r="D11850" t="str">
            <v>MZ1L2960HCJR-00A07</v>
          </cell>
          <cell r="E11850" t="str">
            <v>S665NE0T306649</v>
          </cell>
          <cell r="K11850" t="str">
            <v>SO/2022/006072/A 5z12</v>
          </cell>
        </row>
        <row r="11851">
          <cell r="D11851" t="str">
            <v>MZ1L2960HCJR-00A07</v>
          </cell>
          <cell r="E11851" t="str">
            <v>S665NE0T306641</v>
          </cell>
          <cell r="K11851" t="str">
            <v>SO/2022/006072/A 4z12</v>
          </cell>
        </row>
        <row r="11852">
          <cell r="D11852" t="str">
            <v>MZ1L2960HCJR-00A07</v>
          </cell>
          <cell r="E11852" t="str">
            <v>S665NE0T306643</v>
          </cell>
          <cell r="K11852" t="str">
            <v>SO/2022/006072/A 3z12</v>
          </cell>
        </row>
        <row r="11853">
          <cell r="D11853" t="str">
            <v>MZ1L2960HCJR-00A07</v>
          </cell>
          <cell r="E11853" t="str">
            <v>S665NE0T306876</v>
          </cell>
          <cell r="K11853" t="str">
            <v>SO/2022/006072/A 12z12</v>
          </cell>
        </row>
        <row r="11854">
          <cell r="D11854" t="str">
            <v>MZ1L2960HCJR-00A07</v>
          </cell>
          <cell r="E11854" t="str">
            <v>S665NE0T306878</v>
          </cell>
          <cell r="K11854" t="str">
            <v>SO/2022/006072/A 11z12</v>
          </cell>
        </row>
        <row r="11855">
          <cell r="D11855" t="str">
            <v>MZ1L2960HCJR-00A07</v>
          </cell>
          <cell r="E11855" t="str">
            <v>S665NE0T306654</v>
          </cell>
          <cell r="K11855" t="str">
            <v>SO/2022/006072/A 10z12</v>
          </cell>
        </row>
        <row r="11856">
          <cell r="D11856" t="str">
            <v>MZ1L2960HCJR-00A07</v>
          </cell>
          <cell r="E11856" t="str">
            <v>S665NE0T306656</v>
          </cell>
          <cell r="K11856" t="str">
            <v>SO/2022/006072/A 9z12</v>
          </cell>
        </row>
        <row r="11857">
          <cell r="D11857" t="str">
            <v>MZ1L2960HCJR-00A07</v>
          </cell>
          <cell r="E11857" t="str">
            <v>S665NE0T306651</v>
          </cell>
          <cell r="K11857" t="str">
            <v>SO/2022/006072/A 8z12</v>
          </cell>
        </row>
        <row r="11858">
          <cell r="D11858" t="str">
            <v>MZ1L2960HCJR-00A07</v>
          </cell>
          <cell r="E11858" t="str">
            <v>S665NE0T301449</v>
          </cell>
          <cell r="K11858" t="str">
            <v>SO/2022/006072/A 1z12</v>
          </cell>
        </row>
        <row r="11859">
          <cell r="D11859" t="str">
            <v>MZ1L2960HCJR-00A07</v>
          </cell>
          <cell r="E11859" t="str">
            <v>S665NE0T301455</v>
          </cell>
          <cell r="K11859" t="str">
            <v>SO/2022/006072/A 2z12</v>
          </cell>
        </row>
        <row r="11860">
          <cell r="D11860" t="str">
            <v>AMD AM4 Ryzen 9 5900X</v>
          </cell>
          <cell r="E11860" t="str">
            <v>9LB7149N20115</v>
          </cell>
          <cell r="K11860" t="str">
            <v>SO/2022/006072/A 12z12</v>
          </cell>
        </row>
        <row r="11861">
          <cell r="D11861" t="str">
            <v>AMD AM4 Ryzen 9 5900X</v>
          </cell>
          <cell r="E11861" t="str">
            <v>9LB7149N20153</v>
          </cell>
          <cell r="K11861" t="str">
            <v>SO/2022/006072/A 11z12</v>
          </cell>
        </row>
        <row r="11862">
          <cell r="D11862" t="str">
            <v>AMD AM4 Ryzen 9 5900X</v>
          </cell>
          <cell r="E11862" t="str">
            <v>9LB7149N20152</v>
          </cell>
          <cell r="K11862" t="str">
            <v>SO/2022/006072/A 10z12</v>
          </cell>
        </row>
        <row r="11863">
          <cell r="D11863" t="str">
            <v>AMD AM4 Ryzen 9 5900X</v>
          </cell>
          <cell r="E11863" t="str">
            <v>9LB7149N20040</v>
          </cell>
          <cell r="K11863" t="str">
            <v>SO/2022/006072/A 9z12</v>
          </cell>
        </row>
        <row r="11864">
          <cell r="D11864" t="str">
            <v>AMD AM4 Ryzen 9 5900X</v>
          </cell>
          <cell r="E11864" t="str">
            <v>9LB0126N20607</v>
          </cell>
          <cell r="K11864" t="str">
            <v>SO/2022/006072/A 8z12</v>
          </cell>
        </row>
        <row r="11865">
          <cell r="D11865" t="str">
            <v>AMD AM4 Ryzen 9 5900X</v>
          </cell>
          <cell r="E11865" t="str">
            <v>9LB5891N20054</v>
          </cell>
          <cell r="K11865" t="str">
            <v>SO/2022/006072/A 7z12</v>
          </cell>
        </row>
        <row r="11866">
          <cell r="D11866" t="str">
            <v>AMD AM4 Ryzen 9 5900X</v>
          </cell>
          <cell r="E11866" t="str">
            <v>9LB5891N20056</v>
          </cell>
          <cell r="K11866" t="str">
            <v>SO/2022/006072/A 6z12</v>
          </cell>
        </row>
        <row r="11867">
          <cell r="D11867" t="str">
            <v>AMD AM4 Ryzen 9 5900X</v>
          </cell>
          <cell r="E11867" t="str">
            <v>9LB5921N20031</v>
          </cell>
          <cell r="K11867" t="str">
            <v>SO/2022/006072/A 5z12</v>
          </cell>
        </row>
        <row r="11868">
          <cell r="D11868" t="str">
            <v>AMD AM4 Ryzen 9 5900X</v>
          </cell>
          <cell r="E11868" t="str">
            <v>9LB5921N20124</v>
          </cell>
          <cell r="K11868" t="str">
            <v>SO/2022/006072/A 4z12</v>
          </cell>
        </row>
        <row r="11869">
          <cell r="D11869" t="str">
            <v>AMD AM4 Ryzen 9 5900X</v>
          </cell>
          <cell r="E11869" t="str">
            <v>9LB0126N20128</v>
          </cell>
          <cell r="K11869" t="str">
            <v>SO/2022/006072/A 3z12</v>
          </cell>
        </row>
        <row r="11870">
          <cell r="D11870" t="str">
            <v>AMD AM4 Ryzen 9 5900X</v>
          </cell>
          <cell r="E11870" t="str">
            <v>9LB0126N20124</v>
          </cell>
          <cell r="K11870" t="str">
            <v>SO/2022/006072/A 1z12</v>
          </cell>
        </row>
        <row r="11871">
          <cell r="D11871" t="str">
            <v>AMD AM4 Ryzen 9 5900X</v>
          </cell>
          <cell r="E11871" t="str">
            <v>9LB0126N20126</v>
          </cell>
          <cell r="K11871" t="str">
            <v>SO/2022/006072/A 2z12</v>
          </cell>
        </row>
        <row r="11872">
          <cell r="D11872" t="str">
            <v>0F30146</v>
          </cell>
          <cell r="E11872" t="str">
            <v>D5HEM5AF</v>
          </cell>
        </row>
        <row r="11873">
          <cell r="D11873" t="str">
            <v>0F30146</v>
          </cell>
          <cell r="E11873" t="str">
            <v>D5HESA1F</v>
          </cell>
        </row>
        <row r="11874">
          <cell r="D11874" t="str">
            <v>0F30146</v>
          </cell>
          <cell r="E11874" t="str">
            <v>D5HEY3DF</v>
          </cell>
        </row>
        <row r="11875">
          <cell r="D11875" t="str">
            <v>0F30146</v>
          </cell>
          <cell r="E11875" t="str">
            <v>D5HEG3UF</v>
          </cell>
        </row>
        <row r="11876">
          <cell r="D11876" t="str">
            <v>0F30146</v>
          </cell>
          <cell r="E11876" t="str">
            <v>D5HEPEGF</v>
          </cell>
        </row>
        <row r="11877">
          <cell r="D11877" t="str">
            <v>0F30146</v>
          </cell>
          <cell r="E11877" t="str">
            <v>D5HEWB2F</v>
          </cell>
        </row>
        <row r="11878">
          <cell r="D11878" t="str">
            <v>0F30146</v>
          </cell>
          <cell r="E11878" t="str">
            <v>D5HEYA7F</v>
          </cell>
        </row>
        <row r="11879">
          <cell r="D11879" t="str">
            <v>0F30146</v>
          </cell>
          <cell r="E11879" t="str">
            <v>D5HEP13F</v>
          </cell>
        </row>
        <row r="11880">
          <cell r="D11880" t="str">
            <v>0F30146</v>
          </cell>
          <cell r="E11880" t="str">
            <v>D5HEVZSF</v>
          </cell>
        </row>
        <row r="11881">
          <cell r="D11881" t="str">
            <v>0F30146</v>
          </cell>
          <cell r="E11881" t="str">
            <v>D5HEY45F</v>
          </cell>
        </row>
        <row r="11882">
          <cell r="D11882" t="str">
            <v>0F30146</v>
          </cell>
          <cell r="E11882" t="str">
            <v>D5HEM02F</v>
          </cell>
        </row>
        <row r="11883">
          <cell r="D11883" t="str">
            <v>0F30146</v>
          </cell>
          <cell r="E11883" t="str">
            <v>D5HERDEF</v>
          </cell>
        </row>
        <row r="11884">
          <cell r="D11884" t="str">
            <v>0F30146</v>
          </cell>
          <cell r="E11884" t="str">
            <v>D5HEX9BF</v>
          </cell>
        </row>
        <row r="11885">
          <cell r="D11885" t="str">
            <v>0F30146</v>
          </cell>
          <cell r="E11885" t="str">
            <v>D5HEZBMF</v>
          </cell>
        </row>
        <row r="11886">
          <cell r="D11886" t="str">
            <v>0F30146</v>
          </cell>
          <cell r="E11886" t="str">
            <v>D5HEPBEF</v>
          </cell>
        </row>
        <row r="11887">
          <cell r="D11887" t="str">
            <v>0F30146</v>
          </cell>
          <cell r="E11887" t="str">
            <v>D5HEWAZF</v>
          </cell>
        </row>
        <row r="11888">
          <cell r="D11888" t="str">
            <v>0F30146</v>
          </cell>
          <cell r="E11888" t="str">
            <v>D5HEY57F</v>
          </cell>
        </row>
        <row r="11889">
          <cell r="D11889" t="str">
            <v>0F30146</v>
          </cell>
          <cell r="E11889" t="str">
            <v>D5HERGWF</v>
          </cell>
        </row>
        <row r="11890">
          <cell r="D11890" t="str">
            <v>0F30146</v>
          </cell>
          <cell r="E11890" t="str">
            <v>D5HEY1WF</v>
          </cell>
        </row>
        <row r="11891">
          <cell r="D11891" t="str">
            <v>0F30146</v>
          </cell>
          <cell r="E11891" t="str">
            <v>D5HG17JF</v>
          </cell>
        </row>
        <row r="11892">
          <cell r="D11892" t="str">
            <v>0F30146</v>
          </cell>
          <cell r="E11892" t="str">
            <v>5QJJTDAB</v>
          </cell>
        </row>
        <row r="11893">
          <cell r="D11893" t="str">
            <v>0F30146</v>
          </cell>
          <cell r="E11893" t="str">
            <v>D5HEW07F</v>
          </cell>
        </row>
        <row r="11894">
          <cell r="D11894" t="str">
            <v>SA400M8/240G</v>
          </cell>
          <cell r="E11894" t="str">
            <v>50026B76856D6A09</v>
          </cell>
        </row>
        <row r="11895">
          <cell r="D11895" t="str">
            <v>SA400M8/240G</v>
          </cell>
          <cell r="E11895" t="str">
            <v>50026B76856D6A78</v>
          </cell>
        </row>
        <row r="11896">
          <cell r="D11896" t="str">
            <v>SA400M8/240G</v>
          </cell>
          <cell r="E11896" t="str">
            <v>50026B76856D6B6A</v>
          </cell>
        </row>
        <row r="11897">
          <cell r="D11897" t="str">
            <v>SA400M8/240G</v>
          </cell>
          <cell r="E11897" t="str">
            <v>50026B76856D6B61</v>
          </cell>
        </row>
        <row r="11898">
          <cell r="D11898" t="str">
            <v>SA400M8/240G</v>
          </cell>
          <cell r="E11898" t="str">
            <v>50026B76856D6A7A</v>
          </cell>
        </row>
        <row r="11899">
          <cell r="D11899" t="str">
            <v>SA400M8/240G</v>
          </cell>
          <cell r="E11899" t="str">
            <v>50026B76856D6AA4</v>
          </cell>
        </row>
        <row r="11900">
          <cell r="D11900" t="str">
            <v>SA400M8/240G</v>
          </cell>
          <cell r="E11900" t="str">
            <v>50026B76856D6B14</v>
          </cell>
        </row>
        <row r="11901">
          <cell r="D11901" t="str">
            <v>SA400M8/240G</v>
          </cell>
          <cell r="E11901" t="str">
            <v>50026B76856D6A6B</v>
          </cell>
        </row>
        <row r="11902">
          <cell r="D11902" t="str">
            <v>SA400M8/240G</v>
          </cell>
          <cell r="E11902" t="str">
            <v>50026B76856D6AAB</v>
          </cell>
        </row>
        <row r="11903">
          <cell r="D11903" t="str">
            <v>SA400M8/240G</v>
          </cell>
          <cell r="E11903" t="str">
            <v>50026B76856D6AA8</v>
          </cell>
        </row>
        <row r="11904">
          <cell r="D11904" t="str">
            <v>SA400M8/240G</v>
          </cell>
          <cell r="E11904" t="str">
            <v>50026B76856D6AFB</v>
          </cell>
        </row>
        <row r="11905">
          <cell r="D11905" t="str">
            <v>SA400M8/240G</v>
          </cell>
          <cell r="E11905" t="str">
            <v>50026B76856D61E2</v>
          </cell>
        </row>
        <row r="11906">
          <cell r="D11906" t="str">
            <v>SA400M8/240G</v>
          </cell>
          <cell r="E11906" t="str">
            <v>50026B76856D61DA</v>
          </cell>
        </row>
        <row r="11907">
          <cell r="D11907" t="str">
            <v>SA400M8/240G</v>
          </cell>
          <cell r="E11907" t="str">
            <v>50026B76856D6A7F</v>
          </cell>
        </row>
        <row r="11908">
          <cell r="D11908" t="str">
            <v>SA400M8/240G</v>
          </cell>
          <cell r="E11908" t="str">
            <v>50026B76856D6AAE</v>
          </cell>
        </row>
        <row r="11909">
          <cell r="D11909" t="str">
            <v>SA400M8/240G</v>
          </cell>
          <cell r="E11909" t="str">
            <v>50026B76856D6AA1</v>
          </cell>
        </row>
        <row r="11910">
          <cell r="D11910" t="str">
            <v>SA400M8/240G</v>
          </cell>
          <cell r="E11910" t="str">
            <v>50026B76856D6AFA</v>
          </cell>
        </row>
        <row r="11911">
          <cell r="D11911" t="str">
            <v>SA400M8/240G</v>
          </cell>
          <cell r="E11911" t="str">
            <v>50026B76856D6A08</v>
          </cell>
        </row>
        <row r="11912">
          <cell r="D11912" t="str">
            <v>SA400M8/240G</v>
          </cell>
          <cell r="E11912" t="str">
            <v>50026B76856D61D9</v>
          </cell>
        </row>
        <row r="11913">
          <cell r="D11913" t="str">
            <v>SA400M8/240G</v>
          </cell>
          <cell r="E11913" t="str">
            <v>50026B76856D61DC</v>
          </cell>
        </row>
        <row r="11914">
          <cell r="D11914" t="str">
            <v>CD8069504446300  Xeon Gold 5218R</v>
          </cell>
          <cell r="E11914" t="str">
            <v>3213G241</v>
          </cell>
        </row>
        <row r="11915">
          <cell r="D11915" t="str">
            <v>CD8069504446300  Xeon Gold 5218R</v>
          </cell>
          <cell r="E11915" t="str">
            <v>3213G241</v>
          </cell>
        </row>
        <row r="11916">
          <cell r="D11916" t="str">
            <v>CD8069504446300  Xeon Gold 5218R</v>
          </cell>
          <cell r="E11916" t="str">
            <v>3213G241</v>
          </cell>
        </row>
        <row r="11917">
          <cell r="D11917" t="str">
            <v>CD8069504446300  Xeon Gold 5218R</v>
          </cell>
          <cell r="E11917" t="str">
            <v>3213G241</v>
          </cell>
        </row>
        <row r="11918">
          <cell r="D11918" t="str">
            <v>CD8069504446300  Xeon Gold 5218R</v>
          </cell>
          <cell r="E11918" t="str">
            <v>3213G241</v>
          </cell>
        </row>
        <row r="11919">
          <cell r="D11919" t="str">
            <v>CD8069504446300  Xeon Gold 5218R</v>
          </cell>
          <cell r="E11919" t="str">
            <v>3213G241</v>
          </cell>
        </row>
        <row r="11920">
          <cell r="D11920" t="str">
            <v xml:space="preserve">M393A4K40EB3-CWE </v>
          </cell>
          <cell r="E11920" t="str">
            <v>SNL453</v>
          </cell>
        </row>
        <row r="11921">
          <cell r="D11921" t="str">
            <v xml:space="preserve">M393A4K40EB3-CWE </v>
          </cell>
          <cell r="E11921" t="str">
            <v>SNL454</v>
          </cell>
        </row>
        <row r="11922">
          <cell r="D11922" t="str">
            <v xml:space="preserve">M393A4K40EB3-CWE </v>
          </cell>
          <cell r="E11922" t="str">
            <v>SNL455</v>
          </cell>
        </row>
        <row r="11923">
          <cell r="D11923" t="str">
            <v xml:space="preserve">M393A4K40EB3-CWE </v>
          </cell>
          <cell r="E11923" t="str">
            <v>SNL456</v>
          </cell>
        </row>
        <row r="11924">
          <cell r="D11924" t="str">
            <v xml:space="preserve">M393A4K40EB3-CWE </v>
          </cell>
          <cell r="E11924" t="str">
            <v>SNL457</v>
          </cell>
        </row>
        <row r="11925">
          <cell r="D11925" t="str">
            <v xml:space="preserve">M393A4K40EB3-CWE </v>
          </cell>
          <cell r="E11925" t="str">
            <v>SNL458</v>
          </cell>
        </row>
        <row r="11926">
          <cell r="D11926" t="str">
            <v xml:space="preserve">M393A4K40EB3-CWE </v>
          </cell>
          <cell r="E11926" t="str">
            <v>SNL459</v>
          </cell>
        </row>
        <row r="11927">
          <cell r="D11927" t="str">
            <v xml:space="preserve">M393A4K40EB3-CWE </v>
          </cell>
          <cell r="E11927" t="str">
            <v>SNL460</v>
          </cell>
        </row>
        <row r="11928">
          <cell r="D11928" t="str">
            <v xml:space="preserve">M393A4K40EB3-CWE </v>
          </cell>
          <cell r="E11928" t="str">
            <v>SNL461</v>
          </cell>
        </row>
        <row r="11929">
          <cell r="D11929" t="str">
            <v xml:space="preserve">M393A4K40EB3-CWE </v>
          </cell>
          <cell r="E11929" t="str">
            <v>SNL462</v>
          </cell>
        </row>
        <row r="11930">
          <cell r="D11930" t="str">
            <v xml:space="preserve">M393A4K40EB3-CWE </v>
          </cell>
          <cell r="E11930" t="str">
            <v>SNL463</v>
          </cell>
        </row>
        <row r="11931">
          <cell r="D11931" t="str">
            <v xml:space="preserve">M393A4K40EB3-CWE </v>
          </cell>
          <cell r="E11931" t="str">
            <v>SNL464</v>
          </cell>
        </row>
        <row r="11932">
          <cell r="D11932" t="str">
            <v xml:space="preserve">M393A4K40EB3-CWE </v>
          </cell>
          <cell r="E11932" t="str">
            <v>SNL465</v>
          </cell>
        </row>
        <row r="11933">
          <cell r="D11933" t="str">
            <v xml:space="preserve">M393A4K40EB3-CWE </v>
          </cell>
          <cell r="E11933" t="str">
            <v>SNL466</v>
          </cell>
        </row>
        <row r="11934">
          <cell r="D11934" t="str">
            <v xml:space="preserve">M393A4K40EB3-CWE </v>
          </cell>
          <cell r="E11934" t="str">
            <v>SNL467</v>
          </cell>
        </row>
        <row r="11935">
          <cell r="D11935" t="str">
            <v xml:space="preserve">M393A4K40EB3-CWE </v>
          </cell>
          <cell r="E11935" t="str">
            <v>SNL468</v>
          </cell>
        </row>
        <row r="11936">
          <cell r="D11936" t="str">
            <v xml:space="preserve">M393A4K40EB3-CWE </v>
          </cell>
          <cell r="E11936" t="str">
            <v>SNL469</v>
          </cell>
        </row>
        <row r="11937">
          <cell r="D11937" t="str">
            <v xml:space="preserve">M393A4K40EB3-CWE </v>
          </cell>
          <cell r="E11937" t="str">
            <v>SNL470</v>
          </cell>
        </row>
        <row r="11938">
          <cell r="D11938" t="str">
            <v xml:space="preserve">M393A4K40EB3-CWE </v>
          </cell>
          <cell r="E11938" t="str">
            <v>SNL471</v>
          </cell>
        </row>
        <row r="11939">
          <cell r="D11939" t="str">
            <v xml:space="preserve">M393A4K40EB3-CWE </v>
          </cell>
          <cell r="E11939" t="str">
            <v>SNL472</v>
          </cell>
        </row>
        <row r="11940">
          <cell r="D11940" t="str">
            <v xml:space="preserve">M393A4K40EB3-CWE </v>
          </cell>
          <cell r="E11940" t="str">
            <v>SNL473</v>
          </cell>
        </row>
        <row r="11941">
          <cell r="D11941" t="str">
            <v xml:space="preserve">M393A4K40EB3-CWE </v>
          </cell>
          <cell r="E11941" t="str">
            <v>SNL474</v>
          </cell>
        </row>
        <row r="11942">
          <cell r="D11942" t="str">
            <v xml:space="preserve">M393A4K40EB3-CWE </v>
          </cell>
          <cell r="E11942" t="str">
            <v>SNL475</v>
          </cell>
        </row>
        <row r="11943">
          <cell r="D11943" t="str">
            <v xml:space="preserve">M393A4K40EB3-CWE </v>
          </cell>
          <cell r="E11943" t="str">
            <v>SNL476</v>
          </cell>
        </row>
        <row r="11944">
          <cell r="D11944" t="str">
            <v xml:space="preserve">M393A4K40EB3-CWE </v>
          </cell>
          <cell r="E11944" t="str">
            <v>SNL477</v>
          </cell>
        </row>
        <row r="11945">
          <cell r="D11945" t="str">
            <v xml:space="preserve">M393A4K40EB3-CWE </v>
          </cell>
          <cell r="E11945" t="str">
            <v>SNL478</v>
          </cell>
        </row>
        <row r="11946">
          <cell r="D11946" t="str">
            <v xml:space="preserve">M393A4K40EB3-CWE </v>
          </cell>
          <cell r="E11946" t="str">
            <v>SNL479</v>
          </cell>
        </row>
        <row r="11947">
          <cell r="D11947" t="str">
            <v xml:space="preserve">M393A4K40EB3-CWE </v>
          </cell>
          <cell r="E11947" t="str">
            <v>SNL480</v>
          </cell>
        </row>
        <row r="11948">
          <cell r="D11948" t="str">
            <v xml:space="preserve">M393A4K40EB3-CWE </v>
          </cell>
          <cell r="E11948" t="str">
            <v>SNL481</v>
          </cell>
        </row>
        <row r="11949">
          <cell r="D11949" t="str">
            <v xml:space="preserve">M393A4K40EB3-CWE </v>
          </cell>
          <cell r="E11949" t="str">
            <v>SNL482</v>
          </cell>
        </row>
        <row r="11950">
          <cell r="D11950" t="str">
            <v xml:space="preserve">M393A4K40EB3-CWE </v>
          </cell>
          <cell r="E11950" t="str">
            <v>SNL483</v>
          </cell>
        </row>
        <row r="11951">
          <cell r="D11951" t="str">
            <v xml:space="preserve">M393A4K40EB3-CWE </v>
          </cell>
          <cell r="E11951" t="str">
            <v>SNL484</v>
          </cell>
        </row>
        <row r="11952">
          <cell r="D11952" t="str">
            <v xml:space="preserve">M393A4K40EB3-CWE </v>
          </cell>
          <cell r="E11952" t="str">
            <v>SNL485</v>
          </cell>
        </row>
        <row r="11953">
          <cell r="D11953" t="str">
            <v xml:space="preserve">M393A4K40EB3-CWE </v>
          </cell>
          <cell r="E11953" t="str">
            <v>SNL486</v>
          </cell>
        </row>
        <row r="11954">
          <cell r="D11954" t="str">
            <v xml:space="preserve">M393A4K40EB3-CWE </v>
          </cell>
          <cell r="E11954" t="str">
            <v>SNL487</v>
          </cell>
        </row>
        <row r="11955">
          <cell r="D11955" t="str">
            <v xml:space="preserve">M393A4K40EB3-CWE </v>
          </cell>
          <cell r="E11955" t="str">
            <v>SNL488</v>
          </cell>
        </row>
        <row r="11956">
          <cell r="D11956" t="str">
            <v xml:space="preserve">M393A4K40EB3-CWE </v>
          </cell>
          <cell r="E11956" t="str">
            <v>SNL489</v>
          </cell>
        </row>
        <row r="11957">
          <cell r="D11957" t="str">
            <v xml:space="preserve">M393A4K40EB3-CWE </v>
          </cell>
          <cell r="E11957" t="str">
            <v>SNL490</v>
          </cell>
        </row>
        <row r="11958">
          <cell r="D11958" t="str">
            <v xml:space="preserve">M393A4K40EB3-CWE </v>
          </cell>
          <cell r="E11958" t="str">
            <v>SNL491</v>
          </cell>
        </row>
        <row r="11959">
          <cell r="D11959" t="str">
            <v xml:space="preserve">M393A4K40EB3-CWE </v>
          </cell>
          <cell r="E11959" t="str">
            <v>SNL492</v>
          </cell>
        </row>
        <row r="11960">
          <cell r="D11960" t="str">
            <v xml:space="preserve">M393A4K40EB3-CWE </v>
          </cell>
          <cell r="E11960" t="str">
            <v>SNL493</v>
          </cell>
        </row>
        <row r="11961">
          <cell r="D11961" t="str">
            <v xml:space="preserve">M393A4K40EB3-CWE </v>
          </cell>
          <cell r="E11961" t="str">
            <v>SNL494</v>
          </cell>
        </row>
        <row r="11962">
          <cell r="D11962" t="str">
            <v xml:space="preserve">M393A4K40EB3-CWE </v>
          </cell>
          <cell r="E11962" t="str">
            <v>SNL495</v>
          </cell>
        </row>
        <row r="11963">
          <cell r="D11963" t="str">
            <v xml:space="preserve">M393A4K40EB3-CWE </v>
          </cell>
          <cell r="E11963" t="str">
            <v>SNL496</v>
          </cell>
        </row>
        <row r="11964">
          <cell r="D11964" t="str">
            <v xml:space="preserve">M393A4K40EB3-CWE </v>
          </cell>
          <cell r="E11964" t="str">
            <v>SNL497</v>
          </cell>
        </row>
        <row r="11965">
          <cell r="D11965" t="str">
            <v xml:space="preserve">M393A4K40EB3-CWE </v>
          </cell>
          <cell r="E11965" t="str">
            <v>SNL498</v>
          </cell>
        </row>
        <row r="11966">
          <cell r="D11966" t="str">
            <v xml:space="preserve">M393A4K40EB3-CWE </v>
          </cell>
          <cell r="E11966" t="str">
            <v>SNL499</v>
          </cell>
        </row>
        <row r="11967">
          <cell r="D11967" t="str">
            <v xml:space="preserve">M393A4K40EB3-CWE </v>
          </cell>
          <cell r="E11967" t="str">
            <v>SNL500</v>
          </cell>
        </row>
        <row r="11968">
          <cell r="D11968" t="str">
            <v xml:space="preserve">M393A4K40EB3-CWE </v>
          </cell>
          <cell r="E11968" t="str">
            <v>SNL501</v>
          </cell>
        </row>
        <row r="11969">
          <cell r="D11969" t="str">
            <v xml:space="preserve">M393A4K40EB3-CWE </v>
          </cell>
          <cell r="E11969" t="str">
            <v>SNL502</v>
          </cell>
        </row>
        <row r="11970">
          <cell r="D11970" t="str">
            <v xml:space="preserve">M393A4K40EB3-CWE </v>
          </cell>
          <cell r="E11970" t="str">
            <v>SNL503</v>
          </cell>
        </row>
        <row r="11971">
          <cell r="D11971" t="str">
            <v xml:space="preserve">M393A4K40EB3-CWE </v>
          </cell>
          <cell r="E11971" t="str">
            <v>SNL504</v>
          </cell>
        </row>
        <row r="11972">
          <cell r="D11972" t="str">
            <v xml:space="preserve">M393A4K40EB3-CWE </v>
          </cell>
          <cell r="E11972" t="str">
            <v>SNL505</v>
          </cell>
        </row>
        <row r="11973">
          <cell r="D11973" t="str">
            <v xml:space="preserve">M393A4K40EB3-CWE </v>
          </cell>
          <cell r="E11973" t="str">
            <v>SNL506</v>
          </cell>
        </row>
        <row r="11974">
          <cell r="D11974" t="str">
            <v xml:space="preserve">M393A4K40EB3-CWE </v>
          </cell>
          <cell r="E11974" t="str">
            <v>SNL507</v>
          </cell>
        </row>
        <row r="11975">
          <cell r="D11975" t="str">
            <v xml:space="preserve">M393A4K40EB3-CWE </v>
          </cell>
          <cell r="E11975" t="str">
            <v>SNL508</v>
          </cell>
        </row>
        <row r="11976">
          <cell r="D11976" t="str">
            <v xml:space="preserve">M393A4K40EB3-CWE </v>
          </cell>
          <cell r="E11976" t="str">
            <v>SNL509</v>
          </cell>
        </row>
        <row r="11977">
          <cell r="D11977" t="str">
            <v xml:space="preserve">M393A4K40EB3-CWE </v>
          </cell>
          <cell r="E11977" t="str">
            <v>SNL510</v>
          </cell>
        </row>
        <row r="11978">
          <cell r="D11978" t="str">
            <v xml:space="preserve">M393A4K40EB3-CWE </v>
          </cell>
          <cell r="E11978" t="str">
            <v>SNL511</v>
          </cell>
        </row>
        <row r="11979">
          <cell r="D11979" t="str">
            <v xml:space="preserve">M393A4K40EB3-CWE </v>
          </cell>
          <cell r="E11979" t="str">
            <v>SNL512</v>
          </cell>
        </row>
        <row r="11980">
          <cell r="D11980" t="str">
            <v xml:space="preserve">M393A4K40EB3-CWE </v>
          </cell>
          <cell r="E11980" t="str">
            <v>SNL513</v>
          </cell>
        </row>
        <row r="11981">
          <cell r="D11981" t="str">
            <v xml:space="preserve">M393A4K40EB3-CWE </v>
          </cell>
          <cell r="E11981" t="str">
            <v>SNL514</v>
          </cell>
        </row>
        <row r="11982">
          <cell r="D11982" t="str">
            <v xml:space="preserve">M393A4K40EB3-CWE </v>
          </cell>
          <cell r="E11982" t="str">
            <v>SNL515</v>
          </cell>
        </row>
        <row r="11983">
          <cell r="D11983" t="str">
            <v xml:space="preserve">M393A4K40EB3-CWE </v>
          </cell>
          <cell r="E11983" t="str">
            <v>SNL516</v>
          </cell>
        </row>
        <row r="11984">
          <cell r="D11984" t="str">
            <v xml:space="preserve">M393A4K40EB3-CWE </v>
          </cell>
          <cell r="E11984" t="str">
            <v>SNL517</v>
          </cell>
        </row>
        <row r="11985">
          <cell r="D11985" t="str">
            <v xml:space="preserve">M393A4K40EB3-CWE </v>
          </cell>
          <cell r="E11985" t="str">
            <v>SNL518</v>
          </cell>
        </row>
        <row r="11986">
          <cell r="D11986" t="str">
            <v xml:space="preserve">M393A4K40EB3-CWE </v>
          </cell>
          <cell r="E11986" t="str">
            <v>SNL519</v>
          </cell>
        </row>
        <row r="11987">
          <cell r="D11987" t="str">
            <v xml:space="preserve">M393A4K40EB3-CWE </v>
          </cell>
          <cell r="E11987" t="str">
            <v>SNL520</v>
          </cell>
        </row>
        <row r="11988">
          <cell r="D11988" t="str">
            <v xml:space="preserve">M393A4K40EB3-CWE </v>
          </cell>
          <cell r="E11988" t="str">
            <v>SNL521</v>
          </cell>
        </row>
        <row r="11989">
          <cell r="D11989" t="str">
            <v xml:space="preserve">M393A4K40EB3-CWE </v>
          </cell>
          <cell r="E11989" t="str">
            <v>SNL522</v>
          </cell>
        </row>
        <row r="11990">
          <cell r="D11990" t="str">
            <v xml:space="preserve">M393A4K40EB3-CWE </v>
          </cell>
          <cell r="E11990" t="str">
            <v>SNL523</v>
          </cell>
        </row>
        <row r="11991">
          <cell r="D11991" t="str">
            <v xml:space="preserve">M393A4K40EB3-CWE </v>
          </cell>
          <cell r="E11991" t="str">
            <v>SNL524</v>
          </cell>
        </row>
        <row r="11992">
          <cell r="D11992" t="str">
            <v xml:space="preserve">M393A4K40EB3-CWE </v>
          </cell>
          <cell r="E11992" t="str">
            <v>SNL525</v>
          </cell>
        </row>
        <row r="11993">
          <cell r="D11993" t="str">
            <v xml:space="preserve">M393A4K40EB3-CWE </v>
          </cell>
          <cell r="E11993" t="str">
            <v>SNL526</v>
          </cell>
        </row>
        <row r="11994">
          <cell r="D11994" t="str">
            <v xml:space="preserve">M393A4K40EB3-CWE </v>
          </cell>
          <cell r="E11994" t="str">
            <v>SNL527</v>
          </cell>
        </row>
        <row r="11995">
          <cell r="D11995" t="str">
            <v xml:space="preserve">M393A4K40EB3-CWE </v>
          </cell>
          <cell r="E11995" t="str">
            <v>SNL528</v>
          </cell>
        </row>
        <row r="11996">
          <cell r="D11996" t="str">
            <v xml:space="preserve">M393A2K40DB3-CWE </v>
          </cell>
          <cell r="E11996" t="str">
            <v>SNL529</v>
          </cell>
        </row>
        <row r="11997">
          <cell r="D11997" t="str">
            <v xml:space="preserve">M393A2K40DB3-CWE </v>
          </cell>
          <cell r="E11997" t="str">
            <v>SNL530</v>
          </cell>
        </row>
        <row r="11998">
          <cell r="D11998" t="str">
            <v xml:space="preserve">M393A2K40DB3-CWE </v>
          </cell>
          <cell r="E11998" t="str">
            <v>SNL531</v>
          </cell>
        </row>
        <row r="11999">
          <cell r="D11999" t="str">
            <v xml:space="preserve">M393A2K40DB3-CWE </v>
          </cell>
          <cell r="E11999" t="str">
            <v>SNL532</v>
          </cell>
        </row>
        <row r="12000">
          <cell r="D12000" t="str">
            <v xml:space="preserve">M393A2K40DB3-CWE </v>
          </cell>
          <cell r="E12000" t="str">
            <v>SNL533</v>
          </cell>
        </row>
        <row r="12001">
          <cell r="D12001" t="str">
            <v xml:space="preserve">M393A2K40DB3-CWE </v>
          </cell>
          <cell r="E12001" t="str">
            <v>SNL534</v>
          </cell>
        </row>
        <row r="12002">
          <cell r="D12002" t="str">
            <v xml:space="preserve">M393A2K40DB3-CWE </v>
          </cell>
          <cell r="E12002" t="str">
            <v>SNL535</v>
          </cell>
        </row>
        <row r="12003">
          <cell r="D12003" t="str">
            <v xml:space="preserve">M393A2K40DB3-CWE </v>
          </cell>
          <cell r="E12003" t="str">
            <v>SNL536</v>
          </cell>
        </row>
        <row r="12004">
          <cell r="D12004" t="str">
            <v xml:space="preserve">M393A2K40DB3-CWE </v>
          </cell>
          <cell r="E12004" t="str">
            <v>SNL537</v>
          </cell>
        </row>
        <row r="12005">
          <cell r="D12005" t="str">
            <v xml:space="preserve">M393A2K40DB3-CWE </v>
          </cell>
          <cell r="E12005" t="str">
            <v>SNL538</v>
          </cell>
        </row>
        <row r="12006">
          <cell r="D12006" t="str">
            <v xml:space="preserve">M393A2K40DB3-CWE </v>
          </cell>
          <cell r="E12006" t="str">
            <v>SNL539</v>
          </cell>
        </row>
        <row r="12007">
          <cell r="D12007" t="str">
            <v xml:space="preserve">M393A2K40DB3-CWE </v>
          </cell>
          <cell r="E12007" t="str">
            <v>SNL540</v>
          </cell>
        </row>
        <row r="12008">
          <cell r="D12008" t="str">
            <v xml:space="preserve">M393A2K40DB3-CWE </v>
          </cell>
          <cell r="E12008" t="str">
            <v>SNL541</v>
          </cell>
        </row>
        <row r="12009">
          <cell r="D12009" t="str">
            <v xml:space="preserve">M393A2K40DB3-CWE </v>
          </cell>
          <cell r="E12009" t="str">
            <v>SNL542</v>
          </cell>
        </row>
        <row r="12010">
          <cell r="D12010" t="str">
            <v xml:space="preserve">M393A2K40DB3-CWE </v>
          </cell>
          <cell r="E12010" t="str">
            <v>SNL543</v>
          </cell>
        </row>
        <row r="12011">
          <cell r="D12011" t="str">
            <v xml:space="preserve">M393A2K40DB3-CWE </v>
          </cell>
          <cell r="E12011" t="str">
            <v>SNL544</v>
          </cell>
        </row>
        <row r="12012">
          <cell r="D12012" t="str">
            <v xml:space="preserve">M393A2K40DB3-CWE </v>
          </cell>
          <cell r="E12012" t="str">
            <v>SNL545</v>
          </cell>
        </row>
        <row r="12013">
          <cell r="D12013" t="str">
            <v xml:space="preserve">M393A2K40DB3-CWE </v>
          </cell>
          <cell r="E12013" t="str">
            <v>SNL546</v>
          </cell>
        </row>
        <row r="12014">
          <cell r="D12014" t="str">
            <v xml:space="preserve">M393A2K40DB3-CWE </v>
          </cell>
          <cell r="E12014" t="str">
            <v>SNL547</v>
          </cell>
        </row>
        <row r="12015">
          <cell r="D12015" t="str">
            <v xml:space="preserve">M393A2K40DB3-CWE </v>
          </cell>
          <cell r="E12015" t="str">
            <v>SNL548</v>
          </cell>
        </row>
        <row r="12016">
          <cell r="D12016" t="str">
            <v xml:space="preserve">M393A2K40DB3-CWE </v>
          </cell>
          <cell r="E12016" t="str">
            <v>SNL549</v>
          </cell>
        </row>
        <row r="12017">
          <cell r="D12017" t="str">
            <v xml:space="preserve">M393A2K40DB3-CWE </v>
          </cell>
          <cell r="E12017" t="str">
            <v>SNL550</v>
          </cell>
        </row>
        <row r="12018">
          <cell r="D12018" t="str">
            <v xml:space="preserve">M393A2K40DB3-CWE </v>
          </cell>
          <cell r="E12018" t="str">
            <v>SNL551</v>
          </cell>
        </row>
        <row r="12019">
          <cell r="D12019" t="str">
            <v xml:space="preserve">M393A2K40DB3-CWE </v>
          </cell>
          <cell r="E12019" t="str">
            <v>SNL552</v>
          </cell>
        </row>
        <row r="12020">
          <cell r="D12020" t="str">
            <v xml:space="preserve">M393A2K40DB3-CWE </v>
          </cell>
          <cell r="E12020" t="str">
            <v>SNL553</v>
          </cell>
        </row>
        <row r="12021">
          <cell r="D12021" t="str">
            <v xml:space="preserve">M393A2K40DB3-CWE </v>
          </cell>
          <cell r="E12021" t="str">
            <v>SNL554</v>
          </cell>
        </row>
        <row r="12022">
          <cell r="D12022" t="str">
            <v xml:space="preserve">M393A2K40DB3-CWE </v>
          </cell>
          <cell r="E12022" t="str">
            <v>SNL555</v>
          </cell>
        </row>
        <row r="12023">
          <cell r="D12023" t="str">
            <v xml:space="preserve">M393A2K40DB3-CWE </v>
          </cell>
          <cell r="E12023" t="str">
            <v>SNL556</v>
          </cell>
        </row>
        <row r="12024">
          <cell r="D12024" t="str">
            <v xml:space="preserve">M393A2K40DB3-CWE </v>
          </cell>
          <cell r="E12024" t="str">
            <v>SNL557</v>
          </cell>
        </row>
        <row r="12025">
          <cell r="D12025" t="str">
            <v xml:space="preserve">M393A2K40DB3-CWE </v>
          </cell>
          <cell r="E12025" t="str">
            <v>SNL558</v>
          </cell>
        </row>
        <row r="12026">
          <cell r="D12026" t="str">
            <v xml:space="preserve">M393A2K40DB3-CWE </v>
          </cell>
          <cell r="E12026" t="str">
            <v>SNL559</v>
          </cell>
        </row>
        <row r="12027">
          <cell r="D12027" t="str">
            <v xml:space="preserve">M393A2K40DB3-CWE </v>
          </cell>
          <cell r="E12027" t="str">
            <v>SNL560</v>
          </cell>
        </row>
        <row r="12028">
          <cell r="D12028" t="str">
            <v xml:space="preserve">M393A2K40DB3-CWE </v>
          </cell>
          <cell r="E12028" t="str">
            <v>SNL561</v>
          </cell>
        </row>
        <row r="12029">
          <cell r="D12029" t="str">
            <v xml:space="preserve">M393A2K40DB3-CWE </v>
          </cell>
          <cell r="E12029" t="str">
            <v>SNL562</v>
          </cell>
        </row>
        <row r="12030">
          <cell r="D12030" t="str">
            <v xml:space="preserve">M393A2K40DB3-CWE </v>
          </cell>
          <cell r="E12030" t="str">
            <v>SNL563</v>
          </cell>
        </row>
        <row r="12031">
          <cell r="D12031" t="str">
            <v xml:space="preserve">M393A2K40DB3-CWE </v>
          </cell>
          <cell r="E12031" t="str">
            <v>SNL564</v>
          </cell>
        </row>
        <row r="12032">
          <cell r="D12032" t="str">
            <v xml:space="preserve">M393A2K40DB3-CWE </v>
          </cell>
          <cell r="E12032" t="str">
            <v>SNL565</v>
          </cell>
        </row>
        <row r="12033">
          <cell r="D12033" t="str">
            <v xml:space="preserve">M393A2K40DB3-CWE </v>
          </cell>
          <cell r="E12033" t="str">
            <v>SNL566</v>
          </cell>
        </row>
        <row r="12034">
          <cell r="D12034" t="str">
            <v xml:space="preserve">M393A2K40DB3-CWE </v>
          </cell>
          <cell r="E12034" t="str">
            <v>SNL567</v>
          </cell>
        </row>
        <row r="12035">
          <cell r="D12035" t="str">
            <v xml:space="preserve">M393A2K40DB3-CWE </v>
          </cell>
          <cell r="E12035" t="str">
            <v>SNL568</v>
          </cell>
        </row>
        <row r="12036">
          <cell r="D12036" t="str">
            <v xml:space="preserve">M393A2K40DB3-CWE </v>
          </cell>
          <cell r="E12036" t="str">
            <v>SNL569</v>
          </cell>
        </row>
        <row r="12037">
          <cell r="D12037" t="str">
            <v xml:space="preserve">M393A2K40DB3-CWE </v>
          </cell>
          <cell r="E12037" t="str">
            <v>SNL570</v>
          </cell>
        </row>
        <row r="12038">
          <cell r="D12038" t="str">
            <v xml:space="preserve">M393A2K40DB3-CWE </v>
          </cell>
          <cell r="E12038" t="str">
            <v>SNL571</v>
          </cell>
        </row>
        <row r="12039">
          <cell r="D12039" t="str">
            <v xml:space="preserve">M393A2K40DB3-CWE </v>
          </cell>
          <cell r="E12039" t="str">
            <v>SNL572</v>
          </cell>
        </row>
        <row r="12040">
          <cell r="D12040" t="str">
            <v xml:space="preserve">M393A2K40DB3-CWE </v>
          </cell>
          <cell r="E12040" t="str">
            <v>SNL573</v>
          </cell>
        </row>
        <row r="12041">
          <cell r="D12041" t="str">
            <v xml:space="preserve">M393A2K40DB3-CWE </v>
          </cell>
          <cell r="E12041" t="str">
            <v>SNL574</v>
          </cell>
        </row>
        <row r="12042">
          <cell r="D12042" t="str">
            <v xml:space="preserve">M393A2K40DB3-CWE </v>
          </cell>
          <cell r="E12042" t="str">
            <v>SNL575</v>
          </cell>
        </row>
        <row r="12043">
          <cell r="D12043" t="str">
            <v xml:space="preserve">M393A2K40DB3-CWE </v>
          </cell>
          <cell r="E12043" t="str">
            <v>SNL576</v>
          </cell>
        </row>
        <row r="12044">
          <cell r="D12044" t="str">
            <v xml:space="preserve">M393A2K40DB3-CWE </v>
          </cell>
          <cell r="E12044" t="str">
            <v>SNL577</v>
          </cell>
        </row>
        <row r="12045">
          <cell r="D12045" t="str">
            <v xml:space="preserve">M393A2K40DB3-CWE </v>
          </cell>
          <cell r="E12045" t="str">
            <v>SNL578</v>
          </cell>
        </row>
        <row r="12046">
          <cell r="D12046" t="str">
            <v xml:space="preserve">M393A2K40DB3-CWE </v>
          </cell>
          <cell r="E12046" t="str">
            <v>SNL579</v>
          </cell>
        </row>
        <row r="12047">
          <cell r="D12047" t="str">
            <v xml:space="preserve">M393A2K40DB3-CWE </v>
          </cell>
          <cell r="E12047" t="str">
            <v>SNL580</v>
          </cell>
        </row>
        <row r="12048">
          <cell r="D12048" t="str">
            <v xml:space="preserve">M393A2K40DB3-CWE </v>
          </cell>
          <cell r="E12048" t="str">
            <v>SNL581</v>
          </cell>
        </row>
        <row r="12049">
          <cell r="D12049" t="str">
            <v xml:space="preserve">M393A2K40DB3-CWE </v>
          </cell>
          <cell r="E12049" t="str">
            <v>SNL582</v>
          </cell>
        </row>
        <row r="12050">
          <cell r="D12050" t="str">
            <v xml:space="preserve">M393A2K40DB3-CWE </v>
          </cell>
          <cell r="E12050" t="str">
            <v>SNL583</v>
          </cell>
        </row>
        <row r="12051">
          <cell r="D12051" t="str">
            <v xml:space="preserve">M393A2K40DB3-CWE </v>
          </cell>
          <cell r="E12051" t="str">
            <v>SNL584</v>
          </cell>
        </row>
        <row r="12052">
          <cell r="D12052" t="str">
            <v xml:space="preserve">M393A2K40DB3-CWE </v>
          </cell>
          <cell r="E12052" t="str">
            <v>SNL585</v>
          </cell>
        </row>
        <row r="12053">
          <cell r="D12053" t="str">
            <v xml:space="preserve">M393A2K40DB3-CWE </v>
          </cell>
          <cell r="E12053" t="str">
            <v>SNL586</v>
          </cell>
        </row>
        <row r="12054">
          <cell r="D12054" t="str">
            <v xml:space="preserve">M393A2K40DB3-CWE </v>
          </cell>
          <cell r="E12054" t="str">
            <v>SNL587</v>
          </cell>
        </row>
        <row r="12055">
          <cell r="D12055" t="str">
            <v xml:space="preserve">M393A2K40DB3-CWE </v>
          </cell>
          <cell r="E12055" t="str">
            <v>SNL588</v>
          </cell>
        </row>
        <row r="12056">
          <cell r="D12056" t="str">
            <v xml:space="preserve">M393A2K40DB3-CWE </v>
          </cell>
          <cell r="E12056" t="str">
            <v>SNL589</v>
          </cell>
        </row>
        <row r="12057">
          <cell r="D12057" t="str">
            <v xml:space="preserve">M393A2K40DB3-CWE </v>
          </cell>
          <cell r="E12057" t="str">
            <v>SNL590</v>
          </cell>
        </row>
        <row r="12058">
          <cell r="D12058" t="str">
            <v xml:space="preserve">M393A2K40DB3-CWE </v>
          </cell>
          <cell r="E12058" t="str">
            <v>SNL591</v>
          </cell>
        </row>
        <row r="12059">
          <cell r="D12059" t="str">
            <v xml:space="preserve">M393A2K40DB3-CWE </v>
          </cell>
          <cell r="E12059" t="str">
            <v>SNL592</v>
          </cell>
        </row>
        <row r="12060">
          <cell r="D12060" t="str">
            <v>1W10002</v>
          </cell>
          <cell r="E12060" t="str">
            <v>WCC6N3XVSDN7</v>
          </cell>
        </row>
        <row r="12061">
          <cell r="D12061" t="str">
            <v>1W10002</v>
          </cell>
          <cell r="E12061" t="str">
            <v>WCC6N3XVS51F</v>
          </cell>
        </row>
        <row r="12062">
          <cell r="D12062" t="str">
            <v>1W10002</v>
          </cell>
          <cell r="E12062" t="str">
            <v>WCC6N0LF2YHU</v>
          </cell>
        </row>
        <row r="12063">
          <cell r="D12063" t="str">
            <v>1W10002</v>
          </cell>
          <cell r="E12063" t="str">
            <v>WCC6N3XVSEH0</v>
          </cell>
        </row>
        <row r="12064">
          <cell r="D12064" t="str">
            <v>1W10002</v>
          </cell>
          <cell r="E12064" t="str">
            <v>WCC6N3XVSL8C</v>
          </cell>
        </row>
        <row r="12065">
          <cell r="D12065" t="str">
            <v>1W10002</v>
          </cell>
          <cell r="E12065" t="str">
            <v>WCC6N3XVSTLD</v>
          </cell>
        </row>
        <row r="12066">
          <cell r="D12066" t="str">
            <v>1W10002</v>
          </cell>
          <cell r="E12066" t="str">
            <v>WCC6N3XVSTFN</v>
          </cell>
        </row>
        <row r="12067">
          <cell r="D12067" t="str">
            <v>1W10002</v>
          </cell>
          <cell r="E12067" t="str">
            <v>WCC6N3XVSLPZ</v>
          </cell>
        </row>
        <row r="12068">
          <cell r="D12068" t="str">
            <v>1W10002</v>
          </cell>
          <cell r="E12068" t="str">
            <v>WCC6N3XVS04S</v>
          </cell>
        </row>
        <row r="12069">
          <cell r="D12069" t="str">
            <v>1W10002</v>
          </cell>
          <cell r="E12069" t="str">
            <v>WCC6N6DE7CL0</v>
          </cell>
        </row>
        <row r="12070">
          <cell r="D12070" t="str">
            <v>1W10002</v>
          </cell>
          <cell r="E12070" t="str">
            <v>WCC6N3XVSD0E</v>
          </cell>
        </row>
        <row r="12071">
          <cell r="D12071" t="str">
            <v>1W10002</v>
          </cell>
          <cell r="E12071" t="str">
            <v>WCC6N3XVS1VH</v>
          </cell>
        </row>
        <row r="12072">
          <cell r="D12072" t="str">
            <v>1W10002</v>
          </cell>
          <cell r="E12072" t="str">
            <v>WCC6N3XVSD1V</v>
          </cell>
        </row>
        <row r="12073">
          <cell r="D12073" t="str">
            <v>1W10002</v>
          </cell>
          <cell r="E12073" t="str">
            <v>WCC6N3XVSC3A</v>
          </cell>
        </row>
        <row r="12074">
          <cell r="D12074" t="str">
            <v>1W10002</v>
          </cell>
          <cell r="E12074" t="str">
            <v>WCC6N3XVSPJU</v>
          </cell>
        </row>
        <row r="12075">
          <cell r="D12075" t="str">
            <v>1W10002</v>
          </cell>
          <cell r="E12075" t="str">
            <v>WCC6N3XVSJUF</v>
          </cell>
        </row>
        <row r="12076">
          <cell r="D12076" t="str">
            <v>1W10002</v>
          </cell>
          <cell r="E12076" t="str">
            <v>WCC6N3XVSHXS</v>
          </cell>
        </row>
        <row r="12077">
          <cell r="D12077" t="str">
            <v>1W10002</v>
          </cell>
          <cell r="E12077" t="str">
            <v>WCC6N3XVS40K</v>
          </cell>
        </row>
        <row r="12078">
          <cell r="D12078" t="str">
            <v>1W10002</v>
          </cell>
          <cell r="E12078" t="str">
            <v>WCC6N3XVSD6H</v>
          </cell>
        </row>
        <row r="12079">
          <cell r="D12079" t="str">
            <v>1W10002</v>
          </cell>
          <cell r="E12079" t="str">
            <v>WCC6N3XVS0X2</v>
          </cell>
        </row>
        <row r="12080">
          <cell r="D12080" t="str">
            <v>0B36039</v>
          </cell>
          <cell r="E12080" t="str">
            <v>V9KLJT3L</v>
          </cell>
        </row>
        <row r="12081">
          <cell r="D12081" t="str">
            <v>0B36039</v>
          </cell>
          <cell r="E12081" t="str">
            <v>V9KLPKRL</v>
          </cell>
        </row>
        <row r="12082">
          <cell r="D12082" t="str">
            <v>0B36039</v>
          </cell>
          <cell r="E12082" t="str">
            <v>V9KLT$WL</v>
          </cell>
        </row>
        <row r="12083">
          <cell r="D12083" t="str">
            <v>0B36039</v>
          </cell>
          <cell r="E12083" t="str">
            <v>V9KLBDNL</v>
          </cell>
        </row>
        <row r="12084">
          <cell r="D12084" t="str">
            <v>0B36039</v>
          </cell>
          <cell r="E12084" t="str">
            <v>V9KLL3SL</v>
          </cell>
        </row>
        <row r="12085">
          <cell r="D12085" t="str">
            <v>0B36039</v>
          </cell>
          <cell r="E12085" t="str">
            <v>V9KLRNBL</v>
          </cell>
        </row>
        <row r="12086">
          <cell r="D12086" t="str">
            <v>0B36039</v>
          </cell>
          <cell r="E12086" t="str">
            <v>V9KLUB7L</v>
          </cell>
        </row>
        <row r="12087">
          <cell r="D12087" t="str">
            <v>0B36039</v>
          </cell>
          <cell r="E12087" t="str">
            <v>V9KLJTPL</v>
          </cell>
        </row>
        <row r="12088">
          <cell r="D12088" t="str">
            <v>0B36039</v>
          </cell>
          <cell r="E12088" t="str">
            <v>V9KLPY8L</v>
          </cell>
        </row>
        <row r="12089">
          <cell r="D12089" t="str">
            <v>0B36039</v>
          </cell>
          <cell r="E12089" t="str">
            <v>V9KLV96L</v>
          </cell>
        </row>
        <row r="12090">
          <cell r="D12090" t="str">
            <v>0B36039</v>
          </cell>
          <cell r="E12090" t="str">
            <v>V9KLJ7DL</v>
          </cell>
        </row>
        <row r="12091">
          <cell r="D12091" t="str">
            <v>0B36039</v>
          </cell>
          <cell r="E12091" t="str">
            <v>V9KLNTZL</v>
          </cell>
        </row>
        <row r="12092">
          <cell r="D12092" t="str">
            <v>0B36039</v>
          </cell>
          <cell r="E12092" t="str">
            <v>V9KLUANL</v>
          </cell>
        </row>
        <row r="12093">
          <cell r="D12093" t="str">
            <v>0B36039</v>
          </cell>
          <cell r="E12093" t="str">
            <v>V9KLV96L</v>
          </cell>
        </row>
        <row r="12094">
          <cell r="D12094" t="str">
            <v>0B36039</v>
          </cell>
          <cell r="E12094" t="str">
            <v>V9KLKRLL</v>
          </cell>
        </row>
        <row r="12095">
          <cell r="D12095" t="str">
            <v>0B36039</v>
          </cell>
          <cell r="E12095" t="str">
            <v>V9KLRL8L</v>
          </cell>
        </row>
        <row r="12096">
          <cell r="D12096" t="str">
            <v>0B36039</v>
          </cell>
          <cell r="E12096" t="str">
            <v>V9KLUANL</v>
          </cell>
        </row>
        <row r="12097">
          <cell r="D12097" t="str">
            <v>0B36039</v>
          </cell>
          <cell r="E12097" t="str">
            <v>V9KLPE4L</v>
          </cell>
        </row>
        <row r="12098">
          <cell r="D12098" t="str">
            <v>0B36039</v>
          </cell>
          <cell r="E12098" t="str">
            <v>V9KLSXTL</v>
          </cell>
        </row>
        <row r="12099">
          <cell r="D12099" t="str">
            <v>0B36039</v>
          </cell>
          <cell r="E12099" t="str">
            <v>V9KL ABL</v>
          </cell>
        </row>
        <row r="12100">
          <cell r="D12100" t="str">
            <v>0B36039</v>
          </cell>
          <cell r="E12100" t="str">
            <v>V9KLL3ML</v>
          </cell>
        </row>
        <row r="12101">
          <cell r="D12101" t="str">
            <v>0B36039</v>
          </cell>
          <cell r="E12101" t="str">
            <v>V9KLK24L</v>
          </cell>
        </row>
        <row r="12102">
          <cell r="D12102" t="str">
            <v>0B36039</v>
          </cell>
          <cell r="E12102" t="str">
            <v>V9KLMJAL</v>
          </cell>
        </row>
        <row r="12103">
          <cell r="D12103" t="str">
            <v>0B36039</v>
          </cell>
          <cell r="E12103" t="str">
            <v>V9KLHVEL</v>
          </cell>
        </row>
        <row r="12104">
          <cell r="D12104" t="str">
            <v>0B36039</v>
          </cell>
          <cell r="E12104" t="str">
            <v>V9KLHT7L</v>
          </cell>
        </row>
        <row r="12105">
          <cell r="D12105" t="str">
            <v>0B36039</v>
          </cell>
          <cell r="E12105" t="str">
            <v>V9KLM9VL</v>
          </cell>
        </row>
        <row r="12106">
          <cell r="D12106" t="str">
            <v>0B36039</v>
          </cell>
          <cell r="E12106" t="str">
            <v>V9KLHVGL</v>
          </cell>
        </row>
        <row r="12107">
          <cell r="D12107" t="str">
            <v>0B36039</v>
          </cell>
          <cell r="E12107" t="str">
            <v>V9KM25TL</v>
          </cell>
        </row>
        <row r="12108">
          <cell r="D12108" t="str">
            <v>0B36039</v>
          </cell>
          <cell r="E12108" t="str">
            <v>V9KLUR0L</v>
          </cell>
        </row>
        <row r="12109">
          <cell r="D12109" t="str">
            <v>0B36039</v>
          </cell>
          <cell r="E12109" t="str">
            <v>V9KLL06L</v>
          </cell>
        </row>
        <row r="12110">
          <cell r="D12110" t="str">
            <v>0B36039</v>
          </cell>
          <cell r="E12110" t="str">
            <v>V9KLB9SL</v>
          </cell>
        </row>
        <row r="12111">
          <cell r="D12111" t="str">
            <v>0B36039</v>
          </cell>
          <cell r="E12111" t="str">
            <v>V9KLBBVL</v>
          </cell>
        </row>
        <row r="12112">
          <cell r="D12112" t="str">
            <v>0B36039</v>
          </cell>
          <cell r="E12112" t="str">
            <v>V9KLR1GL</v>
          </cell>
        </row>
        <row r="12113">
          <cell r="D12113" t="str">
            <v>0B36039</v>
          </cell>
          <cell r="E12113" t="str">
            <v>V9KLB64L</v>
          </cell>
        </row>
        <row r="12114">
          <cell r="D12114" t="str">
            <v>0B36039</v>
          </cell>
          <cell r="E12114" t="str">
            <v>V9KLBB5L</v>
          </cell>
        </row>
        <row r="12115">
          <cell r="D12115" t="str">
            <v>0B36039</v>
          </cell>
          <cell r="E12115" t="str">
            <v>V9KLPZ2L</v>
          </cell>
        </row>
        <row r="12116">
          <cell r="D12116" t="str">
            <v>0B36039</v>
          </cell>
          <cell r="E12116" t="str">
            <v>V9KLTXSL</v>
          </cell>
        </row>
        <row r="12117">
          <cell r="D12117" t="str">
            <v>0B36039</v>
          </cell>
          <cell r="E12117" t="str">
            <v>V9KLB9WL</v>
          </cell>
        </row>
        <row r="12118">
          <cell r="D12118" t="str">
            <v>0B36039</v>
          </cell>
          <cell r="E12118" t="str">
            <v>V9KLJU6L</v>
          </cell>
        </row>
        <row r="12119">
          <cell r="D12119" t="str">
            <v>0B36039</v>
          </cell>
          <cell r="E12119" t="str">
            <v>V9KLRMWL</v>
          </cell>
        </row>
        <row r="12120">
          <cell r="D12120" t="str">
            <v>0B36039</v>
          </cell>
          <cell r="E12120" t="str">
            <v>V9KLB6LL</v>
          </cell>
        </row>
        <row r="12121">
          <cell r="D12121" t="str">
            <v>0B36039</v>
          </cell>
          <cell r="E12121" t="str">
            <v>V9KLBBKL</v>
          </cell>
        </row>
        <row r="12122">
          <cell r="D12122" t="str">
            <v>0B36039</v>
          </cell>
          <cell r="E12122" t="str">
            <v>V9KLPZ4L</v>
          </cell>
        </row>
        <row r="12123">
          <cell r="D12123" t="str">
            <v>0B36039</v>
          </cell>
          <cell r="E12123" t="str">
            <v>V9KLTXWL</v>
          </cell>
        </row>
        <row r="12124">
          <cell r="D12124" t="str">
            <v>0B36039</v>
          </cell>
          <cell r="E12124" t="str">
            <v>V9KLBAZL</v>
          </cell>
        </row>
        <row r="12125">
          <cell r="D12125" t="str">
            <v>0B36039</v>
          </cell>
          <cell r="E12125" t="str">
            <v>V9KLPXUL</v>
          </cell>
        </row>
        <row r="12126">
          <cell r="D12126" t="str">
            <v>0B36039</v>
          </cell>
          <cell r="E12126" t="str">
            <v>V9KLTRJL</v>
          </cell>
        </row>
        <row r="12127">
          <cell r="D12127" t="str">
            <v>0B36039</v>
          </cell>
          <cell r="E12127" t="str">
            <v>V9KLBBNL</v>
          </cell>
        </row>
        <row r="12128">
          <cell r="D12128" t="str">
            <v>0B36039</v>
          </cell>
          <cell r="E12128" t="str">
            <v>V9KLR06L</v>
          </cell>
        </row>
        <row r="12129">
          <cell r="D12129" t="str">
            <v>0B36039</v>
          </cell>
          <cell r="E12129" t="str">
            <v>V9KM3L2L</v>
          </cell>
        </row>
        <row r="12130">
          <cell r="D12130" t="str">
            <v>0F31052</v>
          </cell>
          <cell r="E12130" t="str">
            <v>9LJ4AL3G</v>
          </cell>
        </row>
        <row r="12131">
          <cell r="D12131" t="str">
            <v>0F31052</v>
          </cell>
          <cell r="E12131" t="str">
            <v>9LJ3RR2G</v>
          </cell>
        </row>
        <row r="12132">
          <cell r="D12132" t="str">
            <v>0F31052</v>
          </cell>
          <cell r="E12132" t="str">
            <v>9LJ493YG</v>
          </cell>
        </row>
        <row r="12133">
          <cell r="D12133" t="str">
            <v>LSI00418 05-25444-00</v>
          </cell>
          <cell r="E12133" t="str">
            <v>SKC0104478</v>
          </cell>
        </row>
        <row r="12134">
          <cell r="D12134" t="str">
            <v>LSI00418 05-25444-00</v>
          </cell>
          <cell r="E12134" t="str">
            <v>SKC0103542</v>
          </cell>
        </row>
        <row r="12135">
          <cell r="D12135" t="str">
            <v>LSI00418 05-25444-00</v>
          </cell>
          <cell r="E12135" t="str">
            <v>SKC0103516</v>
          </cell>
        </row>
        <row r="12136">
          <cell r="D12136" t="str">
            <v>LSI00418 05-25444-00</v>
          </cell>
          <cell r="E12136" t="str">
            <v>SKC0104158</v>
          </cell>
        </row>
        <row r="12137">
          <cell r="D12137" t="str">
            <v>LSI00418 05-25444-00</v>
          </cell>
          <cell r="E12137" t="str">
            <v>SKC0103545</v>
          </cell>
        </row>
        <row r="12138">
          <cell r="D12138" t="str">
            <v>CD8069504343701 Xeon Silver 4214R</v>
          </cell>
          <cell r="E12138" t="str">
            <v>1T3211G206</v>
          </cell>
        </row>
        <row r="12139">
          <cell r="D12139" t="str">
            <v>CD8069504343701 Xeon Silver 4214R</v>
          </cell>
          <cell r="E12139" t="str">
            <v>1T3206F616</v>
          </cell>
        </row>
        <row r="12140">
          <cell r="D12140" t="str">
            <v>CD8069504343701 Xeon Silver 4214R</v>
          </cell>
          <cell r="E12140" t="str">
            <v>1T3213G536</v>
          </cell>
        </row>
        <row r="12141">
          <cell r="D12141" t="str">
            <v>CD8069504343701 Xeon Silver 4214R</v>
          </cell>
          <cell r="E12141" t="str">
            <v>1T3211G023</v>
          </cell>
        </row>
        <row r="12142">
          <cell r="D12142" t="str">
            <v>SSDSC2KB960G801</v>
          </cell>
          <cell r="E12142" t="str">
            <v>BTYF207500SC960CGN</v>
          </cell>
        </row>
        <row r="12143">
          <cell r="D12143" t="str">
            <v>SSDSC2KB960G801</v>
          </cell>
          <cell r="E12143" t="str">
            <v>BTYF207300P2960CGN</v>
          </cell>
        </row>
        <row r="12144">
          <cell r="D12144" t="str">
            <v>SSDSC2KB960G801</v>
          </cell>
          <cell r="E12144" t="str">
            <v>BTYF207500TV960CGN</v>
          </cell>
        </row>
        <row r="12145">
          <cell r="D12145" t="str">
            <v>SSDSC2KB960G801</v>
          </cell>
          <cell r="E12145" t="str">
            <v>BTYF207500GR960CGN</v>
          </cell>
        </row>
        <row r="12146">
          <cell r="D12146" t="str">
            <v>SSDSC2KB960G801</v>
          </cell>
          <cell r="E12146" t="str">
            <v>BTYF2075016G960CGN</v>
          </cell>
        </row>
        <row r="12147">
          <cell r="D12147" t="str">
            <v>SSDSC2KB960G801</v>
          </cell>
          <cell r="E12147" t="str">
            <v>BTYF207500H1960CGN</v>
          </cell>
        </row>
        <row r="12148">
          <cell r="D12148" t="str">
            <v>SSDSC2KB960G801</v>
          </cell>
          <cell r="E12148" t="str">
            <v>BTYF20750160960CGN</v>
          </cell>
        </row>
        <row r="12149">
          <cell r="D12149" t="str">
            <v>SSDSC2KB960G801</v>
          </cell>
          <cell r="E12149" t="str">
            <v>BTYF207500S9960CGN</v>
          </cell>
        </row>
        <row r="12150">
          <cell r="D12150" t="str">
            <v>SSDSC2KB960G801</v>
          </cell>
          <cell r="E12150" t="str">
            <v>BTYF207500TL960CGN</v>
          </cell>
        </row>
        <row r="12151">
          <cell r="D12151" t="str">
            <v>SSDSC2KB960G801</v>
          </cell>
          <cell r="E12151" t="str">
            <v>BTYF207500HF960CGN</v>
          </cell>
        </row>
        <row r="12152">
          <cell r="D12152" t="str">
            <v>SSDSC2KB960G801</v>
          </cell>
          <cell r="E12152" t="str">
            <v>BTYF2075016A960CGN</v>
          </cell>
        </row>
        <row r="12153">
          <cell r="D12153" t="str">
            <v>SSDSC2KB960G801</v>
          </cell>
          <cell r="E12153" t="str">
            <v>BTYF207300P9960CGN</v>
          </cell>
        </row>
        <row r="12154">
          <cell r="D12154" t="str">
            <v>VCNRTXA6000-EDU-SB</v>
          </cell>
          <cell r="E12154" t="str">
            <v>PG133UR132152000EN</v>
          </cell>
        </row>
        <row r="12155">
          <cell r="D12155" t="str">
            <v>VCNRTXA6000-EDU-SB</v>
          </cell>
          <cell r="E12155" t="str">
            <v>PG133UR132152000EP</v>
          </cell>
        </row>
        <row r="12156">
          <cell r="D12156" t="str">
            <v>VCNRTXA6000-EDU-SB</v>
          </cell>
          <cell r="E12156" t="str">
            <v>PG133UR132152000EJ</v>
          </cell>
        </row>
        <row r="12157">
          <cell r="D12157" t="str">
            <v>VCNRTXA6000-EDU-SB</v>
          </cell>
          <cell r="E12157" t="str">
            <v>PG133UR132152000ER</v>
          </cell>
        </row>
        <row r="12158">
          <cell r="D12158" t="str">
            <v>VCNRTXA6000-EDU-SB</v>
          </cell>
          <cell r="E12158" t="str">
            <v>PG133UR132152000EU</v>
          </cell>
        </row>
        <row r="12159">
          <cell r="D12159" t="str">
            <v>VCNRTXA6000-EDU-SB</v>
          </cell>
          <cell r="E12159" t="str">
            <v>PG133UR132152000X0</v>
          </cell>
        </row>
        <row r="12160">
          <cell r="D12160" t="str">
            <v>VCNRTXA6000-EDU-SB</v>
          </cell>
          <cell r="E12160" t="str">
            <v>PG133UR132152000X1</v>
          </cell>
        </row>
        <row r="12161">
          <cell r="D12161" t="str">
            <v>VCNRTXA6000-EDU-SB</v>
          </cell>
          <cell r="E12161" t="str">
            <v>PG133UR132152000X4</v>
          </cell>
        </row>
        <row r="12162">
          <cell r="D12162" t="str">
            <v>VCNRTXA6000-EDU-SB</v>
          </cell>
          <cell r="E12162" t="str">
            <v>PG133UR132152000XI</v>
          </cell>
        </row>
        <row r="12163">
          <cell r="D12163" t="str">
            <v>VCNRTXA6000-EDU-SB</v>
          </cell>
          <cell r="E12163" t="str">
            <v>PG133UR132152000X2</v>
          </cell>
        </row>
        <row r="12164">
          <cell r="D12164" t="str">
            <v>VCNRTXA6000-EDU-SB</v>
          </cell>
          <cell r="E12164" t="str">
            <v>PG133UR132152000X6</v>
          </cell>
        </row>
        <row r="12165">
          <cell r="D12165" t="str">
            <v>VCNRTXA6000-EDU-SB</v>
          </cell>
          <cell r="E12165" t="str">
            <v>PG133UR132152000WZ</v>
          </cell>
        </row>
        <row r="12166">
          <cell r="D12166" t="str">
            <v>VCNRTXA6000-EDU-SB</v>
          </cell>
          <cell r="E12166" t="str">
            <v>PG133UR132152000WT</v>
          </cell>
        </row>
        <row r="12167">
          <cell r="D12167" t="str">
            <v>VCNRTXA6000-EDU-SB</v>
          </cell>
          <cell r="E12167" t="str">
            <v>PG133UR132152000EQ</v>
          </cell>
        </row>
        <row r="12168">
          <cell r="D12168" t="str">
            <v>VCNRTXA6000-EDU-SB</v>
          </cell>
          <cell r="E12168" t="str">
            <v>PG133UR132152000X3</v>
          </cell>
        </row>
        <row r="12169">
          <cell r="D12169" t="str">
            <v>VCNRTXA6000-EDU-SB</v>
          </cell>
          <cell r="E12169" t="str">
            <v>PG133UR132152000WW</v>
          </cell>
        </row>
        <row r="12170">
          <cell r="D12170" t="str">
            <v>VCNRTXA6000-EDU-SB</v>
          </cell>
          <cell r="E12170" t="str">
            <v>PG133UR132152000EO</v>
          </cell>
        </row>
        <row r="12171">
          <cell r="D12171" t="str">
            <v>VCNRTXA6000-EDU-SB</v>
          </cell>
          <cell r="E12171" t="str">
            <v>PG133UR132152000XV</v>
          </cell>
        </row>
        <row r="12172">
          <cell r="D12172" t="str">
            <v>VCNRTXA6000-EDU-SB</v>
          </cell>
          <cell r="E12172" t="str">
            <v>PG133UR132152000XR</v>
          </cell>
        </row>
        <row r="12173">
          <cell r="D12173" t="str">
            <v>VCNRTXA6000-EDU-SB</v>
          </cell>
          <cell r="E12173" t="str">
            <v>PG133UR132152000XS</v>
          </cell>
        </row>
        <row r="12174">
          <cell r="D12174" t="str">
            <v>VCNRTXA6000-EDU-SB</v>
          </cell>
          <cell r="E12174" t="str">
            <v>PG133UR132152000Y1</v>
          </cell>
        </row>
        <row r="12175">
          <cell r="D12175" t="str">
            <v>VCNRTXA6000-EDU-SB</v>
          </cell>
          <cell r="E12175" t="str">
            <v>PG133UR132152000XU</v>
          </cell>
        </row>
        <row r="12176">
          <cell r="D12176" t="str">
            <v>VCNRTXA6000-EDU-SB</v>
          </cell>
          <cell r="E12176" t="str">
            <v>PG133UR132152000XX</v>
          </cell>
        </row>
        <row r="12177">
          <cell r="D12177" t="str">
            <v>VCNRTXA6000-EDU-SB</v>
          </cell>
          <cell r="E12177" t="str">
            <v>PG133UR132152000XT</v>
          </cell>
        </row>
        <row r="12178">
          <cell r="D12178" t="str">
            <v>VCNRTXA6000-EDU-SB</v>
          </cell>
          <cell r="E12178" t="str">
            <v>PG133UR132152000XW</v>
          </cell>
        </row>
        <row r="12179">
          <cell r="D12179" t="str">
            <v>VCNRTXA6000-EDU-SB</v>
          </cell>
          <cell r="E12179" t="str">
            <v>PG133UR132152000XY</v>
          </cell>
        </row>
        <row r="12180">
          <cell r="D12180" t="str">
            <v>VCNRTXA6000-EDU-SB</v>
          </cell>
          <cell r="E12180" t="str">
            <v>PG133UR13215200157</v>
          </cell>
        </row>
        <row r="12181">
          <cell r="D12181" t="str">
            <v>VCNRTXA6000-EDU-SB</v>
          </cell>
          <cell r="E12181" t="str">
            <v>PG133UR132152000RM</v>
          </cell>
        </row>
        <row r="12182">
          <cell r="D12182" t="str">
            <v>VCNRTXA6000-EDU-SB</v>
          </cell>
          <cell r="E12182" t="str">
            <v>PG133UR132152000RK</v>
          </cell>
        </row>
        <row r="12183">
          <cell r="D12183" t="str">
            <v>VCNRTXA6000-EDU-SB</v>
          </cell>
          <cell r="E12183" t="str">
            <v>PG133UR132152000RJ</v>
          </cell>
        </row>
        <row r="12184">
          <cell r="D12184" t="str">
            <v>VCNRTXA6000-EDU-SB</v>
          </cell>
          <cell r="E12184" t="str">
            <v>PG133UR132152000RH</v>
          </cell>
        </row>
        <row r="12185">
          <cell r="D12185" t="str">
            <v>VCNRTXA6000-EDU-SB</v>
          </cell>
          <cell r="E12185" t="str">
            <v>PG133UR132152000RL</v>
          </cell>
        </row>
        <row r="12186">
          <cell r="D12186" t="str">
            <v>AMD 7371</v>
          </cell>
          <cell r="E12186" t="str">
            <v>4349469M90033_PS7371BDVGPAF</v>
          </cell>
        </row>
        <row r="12187">
          <cell r="D12187" t="str">
            <v>AMD 7371</v>
          </cell>
          <cell r="E12187" t="str">
            <v>4349469M90055_PS7371BDVGPAF</v>
          </cell>
        </row>
        <row r="12188">
          <cell r="D12188" t="str">
            <v>0F31052</v>
          </cell>
          <cell r="E12188" t="str">
            <v>9MHJB4PT</v>
          </cell>
        </row>
        <row r="12189">
          <cell r="D12189" t="str">
            <v>0F31052</v>
          </cell>
          <cell r="E12189" t="str">
            <v>9MHJ802T</v>
          </cell>
        </row>
        <row r="12190">
          <cell r="D12190" t="str">
            <v>0F31052</v>
          </cell>
          <cell r="E12190" t="str">
            <v>9MHHR71T</v>
          </cell>
        </row>
        <row r="12191">
          <cell r="D12191" t="str">
            <v>0F31052</v>
          </cell>
          <cell r="E12191" t="str">
            <v>9MHJEV8T</v>
          </cell>
        </row>
        <row r="12192">
          <cell r="D12192" t="str">
            <v>0F31052</v>
          </cell>
          <cell r="E12192" t="str">
            <v>9MHHRKHT</v>
          </cell>
        </row>
        <row r="12193">
          <cell r="D12193" t="str">
            <v>0F31052</v>
          </cell>
          <cell r="E12193" t="str">
            <v>9MHJ6ZAT</v>
          </cell>
        </row>
        <row r="12194">
          <cell r="D12194" t="str">
            <v>0F31052</v>
          </cell>
          <cell r="E12194" t="str">
            <v>9MHJ1NGT</v>
          </cell>
        </row>
        <row r="12195">
          <cell r="D12195" t="str">
            <v>0F31052</v>
          </cell>
          <cell r="E12195" t="str">
            <v>9MHJ1VRT</v>
          </cell>
        </row>
        <row r="12196">
          <cell r="D12196" t="str">
            <v>0F31052</v>
          </cell>
          <cell r="E12196" t="str">
            <v>X0H7M9LC</v>
          </cell>
        </row>
        <row r="12197">
          <cell r="D12197" t="str">
            <v>0F31052</v>
          </cell>
          <cell r="E12197" t="str">
            <v>9MHJ6W4T</v>
          </cell>
        </row>
        <row r="12198">
          <cell r="D12198" t="str">
            <v>0F31052</v>
          </cell>
          <cell r="E12198" t="str">
            <v>9MHJBTNT</v>
          </cell>
        </row>
        <row r="12199">
          <cell r="D12199" t="str">
            <v>0F31052</v>
          </cell>
          <cell r="E12199" t="str">
            <v>9MHJ1ZLT</v>
          </cell>
        </row>
        <row r="12200">
          <cell r="D12200" t="str">
            <v>0F31052</v>
          </cell>
          <cell r="E12200" t="str">
            <v>X0HGZRLC</v>
          </cell>
        </row>
        <row r="12201">
          <cell r="D12201" t="str">
            <v>0F31052</v>
          </cell>
          <cell r="E12201" t="str">
            <v>X0HHD75C</v>
          </cell>
        </row>
        <row r="12202">
          <cell r="D12202" t="str">
            <v>0F31052</v>
          </cell>
          <cell r="E12202" t="str">
            <v>9MHJ1Y4T</v>
          </cell>
        </row>
        <row r="12203">
          <cell r="D12203" t="str">
            <v>0F31052</v>
          </cell>
          <cell r="E12203" t="str">
            <v>9MHJ17ET</v>
          </cell>
        </row>
        <row r="12204">
          <cell r="D12204" t="str">
            <v>0F31052</v>
          </cell>
          <cell r="E12204" t="str">
            <v>9MHGPTGK</v>
          </cell>
        </row>
        <row r="12205">
          <cell r="D12205" t="str">
            <v>0F31052</v>
          </cell>
          <cell r="E12205" t="str">
            <v>9MHH0LVT</v>
          </cell>
        </row>
        <row r="12206">
          <cell r="D12206" t="str">
            <v>0F31052</v>
          </cell>
          <cell r="E12206" t="str">
            <v>9MHH5KHT</v>
          </cell>
        </row>
        <row r="12207">
          <cell r="D12207" t="str">
            <v>0F31052</v>
          </cell>
          <cell r="E12207" t="str">
            <v>9MHEU1ZT</v>
          </cell>
        </row>
        <row r="12208">
          <cell r="D12208" t="str">
            <v>0F31052</v>
          </cell>
          <cell r="E12208" t="str">
            <v>9MHGZ8BT</v>
          </cell>
        </row>
        <row r="12209">
          <cell r="D12209" t="str">
            <v>0F31052</v>
          </cell>
          <cell r="E12209" t="str">
            <v>9MHH1JGT</v>
          </cell>
        </row>
        <row r="12210">
          <cell r="D12210" t="str">
            <v>0F31052</v>
          </cell>
          <cell r="E12210" t="str">
            <v>9MHH6AMT</v>
          </cell>
        </row>
        <row r="12211">
          <cell r="D12211" t="str">
            <v>0F31052</v>
          </cell>
          <cell r="E12211" t="str">
            <v>9MHGW3GT</v>
          </cell>
        </row>
        <row r="12212">
          <cell r="D12212" t="str">
            <v>0F31052</v>
          </cell>
          <cell r="E12212" t="str">
            <v>9MHH0P2T</v>
          </cell>
        </row>
        <row r="12213">
          <cell r="D12213" t="str">
            <v>0F31052</v>
          </cell>
          <cell r="E12213" t="str">
            <v>9MHH5NHT</v>
          </cell>
        </row>
        <row r="12214">
          <cell r="D12214" t="str">
            <v>0F31052</v>
          </cell>
          <cell r="E12214" t="str">
            <v>9MHGPHZK</v>
          </cell>
        </row>
        <row r="12215">
          <cell r="D12215" t="str">
            <v>0F31052</v>
          </cell>
          <cell r="E12215" t="str">
            <v>9MHGZEHT</v>
          </cell>
        </row>
        <row r="12216">
          <cell r="D12216" t="str">
            <v>0F31052</v>
          </cell>
          <cell r="E12216" t="str">
            <v>9MHH1PWT</v>
          </cell>
        </row>
        <row r="12217">
          <cell r="D12217" t="str">
            <v>0F31052</v>
          </cell>
          <cell r="E12217" t="str">
            <v>9MHH6AST</v>
          </cell>
        </row>
        <row r="12218">
          <cell r="D12218" t="str">
            <v>0F31052</v>
          </cell>
          <cell r="E12218" t="str">
            <v>9MHGZ5GT</v>
          </cell>
        </row>
        <row r="12219">
          <cell r="D12219" t="str">
            <v>0F31052</v>
          </cell>
          <cell r="E12219" t="str">
            <v>9MHH19ET</v>
          </cell>
        </row>
        <row r="12220">
          <cell r="D12220" t="str">
            <v>0F31052</v>
          </cell>
          <cell r="E12220" t="str">
            <v>9MHH5TET</v>
          </cell>
        </row>
        <row r="12221">
          <cell r="D12221" t="str">
            <v>0F31052</v>
          </cell>
          <cell r="E12221" t="str">
            <v>9MHH00NT</v>
          </cell>
        </row>
        <row r="12222">
          <cell r="D12222" t="str">
            <v>0F31052</v>
          </cell>
          <cell r="E12222" t="str">
            <v>9MHH55BT</v>
          </cell>
        </row>
        <row r="12223">
          <cell r="D12223" t="str">
            <v>0F31052</v>
          </cell>
          <cell r="E12223" t="str">
            <v>9MHH6B5T</v>
          </cell>
        </row>
        <row r="12224">
          <cell r="D12224" t="str">
            <v>BCM957412A4120AC</v>
          </cell>
          <cell r="E12224" t="str">
            <v>A4120214600381FV</v>
          </cell>
        </row>
        <row r="12225">
          <cell r="D12225" t="str">
            <v>BCM957412A4120AC</v>
          </cell>
          <cell r="E12225" t="str">
            <v>A41202146002I3FV</v>
          </cell>
        </row>
        <row r="12226">
          <cell r="D12226" t="str">
            <v>BCM957412A4120AC</v>
          </cell>
          <cell r="E12226" t="str">
            <v>A4120214600399FV</v>
          </cell>
        </row>
        <row r="12227">
          <cell r="D12227" t="str">
            <v>BCM957412A4120AC</v>
          </cell>
          <cell r="E12227" t="str">
            <v>A412021460037KFV</v>
          </cell>
        </row>
        <row r="12228">
          <cell r="D12228" t="str">
            <v>BCM957412A4120AC</v>
          </cell>
          <cell r="E12228" t="str">
            <v>A412021460039WFV</v>
          </cell>
        </row>
        <row r="12229">
          <cell r="D12229" t="str">
            <v>BCM957412A4120AC</v>
          </cell>
          <cell r="E12229" t="str">
            <v>A412021460037SFV</v>
          </cell>
        </row>
        <row r="12230">
          <cell r="D12230" t="str">
            <v>BCM957412A4120AC</v>
          </cell>
          <cell r="E12230" t="str">
            <v>A412021460037OFV</v>
          </cell>
        </row>
        <row r="12231">
          <cell r="D12231" t="str">
            <v>BCM957412A4120AC</v>
          </cell>
          <cell r="E12231" t="str">
            <v>A412021460037QFV</v>
          </cell>
        </row>
        <row r="12232">
          <cell r="D12232" t="str">
            <v>BCM957412A4120AC</v>
          </cell>
          <cell r="E12232" t="str">
            <v>A412021460039RFV</v>
          </cell>
        </row>
        <row r="12233">
          <cell r="D12233" t="str">
            <v>BCM957412A4120AC</v>
          </cell>
          <cell r="E12233" t="str">
            <v>A412021460037YFV</v>
          </cell>
          <cell r="K12233" t="str">
            <v>RO/2021/005594/A 1z2</v>
          </cell>
        </row>
        <row r="12234">
          <cell r="D12234" t="str">
            <v>BCM957412A4120AC</v>
          </cell>
          <cell r="E12234" t="str">
            <v>A41202146002EZFV</v>
          </cell>
          <cell r="K12234" t="str">
            <v>RO/2021/005594/A 2z2</v>
          </cell>
        </row>
        <row r="12235">
          <cell r="D12235" t="str">
            <v>BCM957412A4120AC</v>
          </cell>
          <cell r="E12235" t="str">
            <v>A4120214400083FV</v>
          </cell>
        </row>
        <row r="12236">
          <cell r="D12236" t="str">
            <v>BCM957412A4120AC</v>
          </cell>
          <cell r="E12236" t="str">
            <v>A412021440005IFV</v>
          </cell>
        </row>
        <row r="12237">
          <cell r="D12237" t="str">
            <v>BCM957412A4120AC</v>
          </cell>
          <cell r="E12237" t="str">
            <v>A412021440007UFV</v>
          </cell>
        </row>
        <row r="12238">
          <cell r="D12238" t="str">
            <v>BCM957412A4120AC</v>
          </cell>
          <cell r="E12238" t="str">
            <v>A412021440007LFV</v>
          </cell>
        </row>
        <row r="12239">
          <cell r="D12239" t="str">
            <v>BCM957412A4120AC</v>
          </cell>
          <cell r="E12239" t="str">
            <v>A412021440007DFV</v>
          </cell>
        </row>
        <row r="12240">
          <cell r="D12240" t="str">
            <v>BCM957412A4120AC</v>
          </cell>
          <cell r="E12240" t="str">
            <v>A412021440005LFV</v>
          </cell>
        </row>
        <row r="12241">
          <cell r="D12241" t="str">
            <v>BCM957412A4120AC</v>
          </cell>
          <cell r="E12241" t="str">
            <v>A412021440006GFV</v>
          </cell>
        </row>
        <row r="12242">
          <cell r="D12242" t="str">
            <v>BCM957412A4120AC</v>
          </cell>
          <cell r="E12242" t="str">
            <v>A412021440005OFV</v>
          </cell>
        </row>
        <row r="12243">
          <cell r="D12243" t="str">
            <v>BCM957412A4120AC</v>
          </cell>
          <cell r="E12243" t="str">
            <v>A412021440005NFV</v>
          </cell>
        </row>
        <row r="12244">
          <cell r="D12244" t="str">
            <v>BCM957412A4120AC</v>
          </cell>
          <cell r="E12244" t="str">
            <v>A412021440005KFV</v>
          </cell>
        </row>
        <row r="12245">
          <cell r="D12245" t="str">
            <v>0F38462</v>
          </cell>
          <cell r="E12245" t="str">
            <v>2PH84Z6T</v>
          </cell>
        </row>
        <row r="12246">
          <cell r="D12246" t="str">
            <v>0F38462</v>
          </cell>
          <cell r="E12246" t="str">
            <v>2PH85HYT</v>
          </cell>
        </row>
        <row r="12247">
          <cell r="D12247" t="str">
            <v>0F38459</v>
          </cell>
          <cell r="E12247" t="str">
            <v>3FJA56RT</v>
          </cell>
        </row>
        <row r="12248">
          <cell r="D12248" t="str">
            <v>0F38459</v>
          </cell>
          <cell r="E12248" t="str">
            <v>3FJDZ7ZT</v>
          </cell>
        </row>
        <row r="12249">
          <cell r="D12249" t="str">
            <v>CSE-113AC2-R706WB2</v>
          </cell>
          <cell r="E12249" t="str">
            <v>C1130LK35P60122</v>
          </cell>
        </row>
        <row r="12250">
          <cell r="D12250" t="str">
            <v>CSE-113AC2-R706WB2</v>
          </cell>
          <cell r="E12250" t="str">
            <v>C1130LK35P60118</v>
          </cell>
        </row>
        <row r="12251">
          <cell r="D12251" t="str">
            <v>CSE-113AC2-R706WB2</v>
          </cell>
          <cell r="E12251" t="str">
            <v>C1130LK35P60120</v>
          </cell>
        </row>
        <row r="12252">
          <cell r="D12252" t="str">
            <v>CSE-113AC2-R706WB2</v>
          </cell>
          <cell r="E12252" t="str">
            <v>C1130LK35P60088</v>
          </cell>
        </row>
        <row r="12253">
          <cell r="D12253" t="str">
            <v>CSE-113AC2-R706WB2</v>
          </cell>
          <cell r="E12253" t="str">
            <v>C1130LK35P67212</v>
          </cell>
        </row>
        <row r="12254">
          <cell r="D12254" t="str">
            <v>CSE-113AC2-R706WB2</v>
          </cell>
          <cell r="E12254" t="str">
            <v>C1130LK35P60105</v>
          </cell>
        </row>
        <row r="12255">
          <cell r="D12255" t="str">
            <v>CSE-113AC2-R706WB2</v>
          </cell>
          <cell r="E12255" t="str">
            <v>C1130LK35P60100</v>
          </cell>
        </row>
        <row r="12256">
          <cell r="D12256" t="str">
            <v>CSE-113AC2-R706WB2</v>
          </cell>
          <cell r="E12256" t="str">
            <v>C1130LK24P70477</v>
          </cell>
        </row>
        <row r="12257">
          <cell r="D12257" t="str">
            <v>PWS</v>
          </cell>
          <cell r="E12257" t="str">
            <v>P7061VL27CB1263</v>
          </cell>
        </row>
        <row r="12258">
          <cell r="D12258" t="str">
            <v>PWS</v>
          </cell>
          <cell r="E12258" t="str">
            <v>P7061VL27CB1264</v>
          </cell>
        </row>
        <row r="12259">
          <cell r="D12259" t="str">
            <v>BPN</v>
          </cell>
          <cell r="E12259" t="str">
            <v>PB214S008564</v>
          </cell>
        </row>
        <row r="12260">
          <cell r="D12260" t="str">
            <v>CSE-113AC2-R706WB2</v>
          </cell>
          <cell r="E12260" t="str">
            <v>C1130LK24P70337</v>
          </cell>
        </row>
        <row r="12261">
          <cell r="D12261" t="str">
            <v>PWS</v>
          </cell>
          <cell r="E12261" t="str">
            <v>P7061VL27CB1337</v>
          </cell>
        </row>
        <row r="12262">
          <cell r="D12262" t="str">
            <v>PWS</v>
          </cell>
          <cell r="E12262" t="str">
            <v>P7061VL27CB1338</v>
          </cell>
        </row>
        <row r="12263">
          <cell r="D12263" t="str">
            <v>BPN</v>
          </cell>
          <cell r="E12263" t="str">
            <v>PB214S008863</v>
          </cell>
        </row>
        <row r="12264">
          <cell r="D12264" t="str">
            <v>CSE-113AC2-R706WB2</v>
          </cell>
          <cell r="E12264" t="str">
            <v>C1130LK24P70493</v>
          </cell>
        </row>
        <row r="12265">
          <cell r="D12265" t="str">
            <v>PWS</v>
          </cell>
          <cell r="E12265" t="str">
            <v>P7061VL27CB1280</v>
          </cell>
        </row>
        <row r="12266">
          <cell r="D12266" t="str">
            <v>PWS</v>
          </cell>
          <cell r="E12266" t="str">
            <v>P7061VL27CB1279</v>
          </cell>
        </row>
        <row r="12267">
          <cell r="D12267" t="str">
            <v>BPN</v>
          </cell>
          <cell r="E12267" t="str">
            <v>PB214S008575</v>
          </cell>
        </row>
        <row r="12268">
          <cell r="D12268" t="str">
            <v>CSE-826BAC4-R920WB</v>
          </cell>
          <cell r="E12268" t="str">
            <v>C8260FK42P90001</v>
          </cell>
        </row>
        <row r="12269">
          <cell r="D12269" t="str">
            <v>CSE-826BAC4-R920WB</v>
          </cell>
          <cell r="E12269" t="str">
            <v>C8260FK42P90004</v>
          </cell>
        </row>
        <row r="12270">
          <cell r="D12270" t="str">
            <v>CSE-826BAC4-R920WB</v>
          </cell>
          <cell r="E12270" t="str">
            <v>C8260FK42P90003</v>
          </cell>
        </row>
        <row r="12271">
          <cell r="D12271" t="str">
            <v>CSE-826BAC4-R920WB</v>
          </cell>
          <cell r="E12271" t="str">
            <v>C8260FK42P90005</v>
          </cell>
        </row>
        <row r="12272">
          <cell r="D12272" t="str">
            <v>CSE-826BAC4-R920WB</v>
          </cell>
          <cell r="E12272" t="str">
            <v>C8260FK42P90012</v>
          </cell>
        </row>
        <row r="12273">
          <cell r="D12273" t="str">
            <v>CSE-826BAC4-R920WB</v>
          </cell>
          <cell r="E12273" t="str">
            <v>C8260FK42P90011</v>
          </cell>
        </row>
        <row r="12274">
          <cell r="D12274" t="str">
            <v>CSE-826BAC4-R920WB</v>
          </cell>
          <cell r="E12274" t="str">
            <v>C8260FK42P90010</v>
          </cell>
        </row>
        <row r="12275">
          <cell r="D12275" t="str">
            <v>CSE-826BAC4-R920WB</v>
          </cell>
          <cell r="E12275" t="str">
            <v>C8260FK42P90009</v>
          </cell>
        </row>
        <row r="12276">
          <cell r="D12276" t="str">
            <v>MBD-X11DDW-NT</v>
          </cell>
          <cell r="E12276" t="str">
            <v>NM223S004846</v>
          </cell>
        </row>
        <row r="12277">
          <cell r="D12277" t="str">
            <v>MBD-X11DDW-NT</v>
          </cell>
          <cell r="E12277" t="str">
            <v>NM223S004845</v>
          </cell>
        </row>
        <row r="12278">
          <cell r="D12278" t="str">
            <v>MBD-X11DDW-NT</v>
          </cell>
          <cell r="E12278" t="str">
            <v>NM223S004843</v>
          </cell>
        </row>
        <row r="12279">
          <cell r="D12279" t="str">
            <v>MBD-X11DDW-NT</v>
          </cell>
          <cell r="E12279" t="str">
            <v>NM223S004794</v>
          </cell>
        </row>
        <row r="12280">
          <cell r="D12280" t="str">
            <v>MBD-X11DDW-NT</v>
          </cell>
          <cell r="E12280" t="str">
            <v>NM223S004862</v>
          </cell>
        </row>
        <row r="12281">
          <cell r="D12281" t="str">
            <v>MBD-X11DDW-NT</v>
          </cell>
          <cell r="E12281" t="str">
            <v>NM223S004793</v>
          </cell>
        </row>
        <row r="12282">
          <cell r="D12282" t="str">
            <v>MBD-X11DDW-NT</v>
          </cell>
          <cell r="E12282" t="str">
            <v>NM223S004844</v>
          </cell>
        </row>
        <row r="12283">
          <cell r="D12283" t="str">
            <v>MBD-X11DDW-NT</v>
          </cell>
          <cell r="E12283" t="str">
            <v>NM223S004713</v>
          </cell>
        </row>
        <row r="12284">
          <cell r="D12284" t="str">
            <v>MBD-X11DDW-NT</v>
          </cell>
          <cell r="E12284" t="str">
            <v>NM223S004715</v>
          </cell>
        </row>
        <row r="12285">
          <cell r="D12285" t="str">
            <v>MBD-X11DDW-NT</v>
          </cell>
          <cell r="E12285" t="str">
            <v>NM223S004579</v>
          </cell>
        </row>
        <row r="12286">
          <cell r="D12286" t="str">
            <v>CSE-826BAC4-R920WB</v>
          </cell>
          <cell r="E12286" t="str">
            <v>C8260FK42P90006</v>
          </cell>
        </row>
        <row r="12287">
          <cell r="D12287" t="str">
            <v>CSE-826BAC4-R920WB</v>
          </cell>
          <cell r="E12287" t="str">
            <v>C8260FK42P90007</v>
          </cell>
        </row>
        <row r="12288">
          <cell r="D12288" t="str">
            <v>SYS-510T-M-21</v>
          </cell>
          <cell r="E12288" t="str">
            <v>A459117X2500080</v>
          </cell>
          <cell r="K12288" t="str">
            <v>RO/2021/005594/A 1z2</v>
          </cell>
        </row>
        <row r="12289">
          <cell r="D12289" t="str">
            <v>CSE</v>
          </cell>
          <cell r="E12289" t="str">
            <v>C813MLL10A10072</v>
          </cell>
          <cell r="K12289" t="str">
            <v>RO/2021/005594/A 1z2</v>
          </cell>
        </row>
        <row r="12290">
          <cell r="D12290" t="str">
            <v>PWS</v>
          </cell>
          <cell r="E12290" t="str">
            <v>P3501AL52GN0780</v>
          </cell>
          <cell r="K12290" t="str">
            <v>RO/2021/005594/A 1z2</v>
          </cell>
        </row>
        <row r="12291">
          <cell r="D12291" t="str">
            <v>BPN</v>
          </cell>
          <cell r="E12291" t="str">
            <v>EB21AS029936</v>
          </cell>
          <cell r="K12291" t="str">
            <v>RO/2021/005594/A 1z2</v>
          </cell>
        </row>
        <row r="12292">
          <cell r="D12292" t="str">
            <v>MBD</v>
          </cell>
          <cell r="E12292" t="str">
            <v>WM224S004143</v>
          </cell>
          <cell r="K12292" t="str">
            <v>RO/2021/005594/A 1z2</v>
          </cell>
        </row>
        <row r="12293">
          <cell r="D12293" t="str">
            <v>RSC</v>
          </cell>
          <cell r="E12293" t="str">
            <v>OR223S036214</v>
          </cell>
          <cell r="K12293" t="str">
            <v>RO/2021/005594/A 1z2</v>
          </cell>
        </row>
        <row r="12294">
          <cell r="D12294" t="str">
            <v>CPU</v>
          </cell>
          <cell r="E12294" t="str">
            <v>U1H33M8205861</v>
          </cell>
          <cell r="K12294" t="str">
            <v>RO/2021/005594/A 1z2</v>
          </cell>
        </row>
        <row r="12295">
          <cell r="D12295" t="str">
            <v>MEM</v>
          </cell>
          <cell r="E12295" t="str">
            <v>80AD01213195461961</v>
          </cell>
          <cell r="K12295" t="str">
            <v>RO/2021/005594/A 1z2</v>
          </cell>
        </row>
        <row r="12296">
          <cell r="D12296" t="str">
            <v>MEM</v>
          </cell>
          <cell r="E12296" t="str">
            <v>80AD01213195461938</v>
          </cell>
          <cell r="K12296" t="str">
            <v>RO/2021/005594/A 1z2</v>
          </cell>
        </row>
        <row r="12297">
          <cell r="D12297" t="str">
            <v>HDD</v>
          </cell>
          <cell r="E12297" t="str">
            <v>V9KBW32L</v>
          </cell>
          <cell r="K12297" t="str">
            <v>RO/2021/005594/A 1z2</v>
          </cell>
        </row>
        <row r="12298">
          <cell r="D12298" t="str">
            <v>HDD</v>
          </cell>
          <cell r="E12298" t="str">
            <v>V9KBNL6L</v>
          </cell>
          <cell r="K12298" t="str">
            <v>RO/2021/005594/A 1z2</v>
          </cell>
        </row>
        <row r="12299">
          <cell r="D12299" t="str">
            <v>HDD</v>
          </cell>
          <cell r="E12299" t="str">
            <v>V9KBUBJL</v>
          </cell>
          <cell r="K12299" t="str">
            <v>RO/2021/005594/A 1z2</v>
          </cell>
        </row>
        <row r="12300">
          <cell r="D12300" t="str">
            <v>HDD</v>
          </cell>
          <cell r="E12300" t="str">
            <v>V9KBT23L</v>
          </cell>
          <cell r="K12300" t="str">
            <v>RO/2021/005594/A 1z2</v>
          </cell>
        </row>
        <row r="12301">
          <cell r="D12301" t="str">
            <v>HDS</v>
          </cell>
          <cell r="E12301" t="str">
            <v>S665NE0R501323</v>
          </cell>
          <cell r="K12301" t="str">
            <v>RO/2021/005594/A 1z2</v>
          </cell>
        </row>
        <row r="12302">
          <cell r="D12302" t="str">
            <v>SYS-510T-M-21</v>
          </cell>
          <cell r="E12302" t="str">
            <v>A459117X2500079</v>
          </cell>
          <cell r="K12302" t="str">
            <v>RO/2021/005594/A 2z2</v>
          </cell>
        </row>
        <row r="12303">
          <cell r="D12303" t="str">
            <v>CSE</v>
          </cell>
          <cell r="E12303" t="str">
            <v>C813MLL10A10061</v>
          </cell>
          <cell r="K12303" t="str">
            <v>RO/2021/005594/A 2z2</v>
          </cell>
        </row>
        <row r="12304">
          <cell r="D12304" t="str">
            <v>PWS</v>
          </cell>
          <cell r="E12304" t="str">
            <v>P3501AL52GN0778</v>
          </cell>
          <cell r="K12304" t="str">
            <v>RO/2021/005594/A 2z2</v>
          </cell>
        </row>
        <row r="12305">
          <cell r="D12305" t="str">
            <v>BPN</v>
          </cell>
          <cell r="E12305" t="str">
            <v>EB21AS029937</v>
          </cell>
          <cell r="K12305" t="str">
            <v>RO/2021/005594/A 2z2</v>
          </cell>
        </row>
        <row r="12306">
          <cell r="D12306" t="str">
            <v>MBD</v>
          </cell>
          <cell r="E12306" t="str">
            <v>WM224S004127</v>
          </cell>
          <cell r="K12306" t="str">
            <v>RO/2021/005594/A 2z2</v>
          </cell>
        </row>
        <row r="12307">
          <cell r="D12307" t="str">
            <v>RSC</v>
          </cell>
          <cell r="E12307" t="str">
            <v>OR223S036211</v>
          </cell>
          <cell r="K12307" t="str">
            <v>RO/2021/005594/A 2z2</v>
          </cell>
        </row>
        <row r="12308">
          <cell r="D12308" t="str">
            <v>CPU</v>
          </cell>
          <cell r="E12308" t="str">
            <v>U1H33M8202305</v>
          </cell>
          <cell r="K12308" t="str">
            <v>RO/2021/005594/A 2z2</v>
          </cell>
        </row>
        <row r="12309">
          <cell r="D12309" t="str">
            <v>MEM</v>
          </cell>
          <cell r="E12309" t="str">
            <v>80AD01213195461895</v>
          </cell>
          <cell r="K12309" t="str">
            <v>RO/2021/005594/A 2z2</v>
          </cell>
        </row>
        <row r="12310">
          <cell r="D12310" t="str">
            <v>MEM</v>
          </cell>
          <cell r="E12310" t="str">
            <v>80AD0121319546194C</v>
          </cell>
          <cell r="K12310" t="str">
            <v>RO/2021/005594/A 2z2</v>
          </cell>
        </row>
        <row r="12311">
          <cell r="D12311" t="str">
            <v>HDD</v>
          </cell>
          <cell r="E12311" t="str">
            <v>V9KBN2GL</v>
          </cell>
          <cell r="K12311" t="str">
            <v>RO/2021/005594/A 2z2</v>
          </cell>
        </row>
        <row r="12312">
          <cell r="D12312" t="str">
            <v>HDD</v>
          </cell>
          <cell r="E12312" t="str">
            <v>V9KBKZZL</v>
          </cell>
          <cell r="K12312" t="str">
            <v>RO/2021/005594/A 2z2</v>
          </cell>
        </row>
        <row r="12313">
          <cell r="D12313" t="str">
            <v>HDD</v>
          </cell>
          <cell r="E12313" t="str">
            <v>V9KBKN6L</v>
          </cell>
          <cell r="K12313" t="str">
            <v>RO/2021/005594/A 2z2</v>
          </cell>
        </row>
        <row r="12314">
          <cell r="D12314" t="str">
            <v>HDD</v>
          </cell>
          <cell r="E12314" t="str">
            <v>V9KBR2AL</v>
          </cell>
          <cell r="K12314" t="str">
            <v>RO/2021/005594/A 2z2</v>
          </cell>
        </row>
        <row r="12315">
          <cell r="D12315" t="str">
            <v>HDS</v>
          </cell>
          <cell r="E12315" t="str">
            <v>S665NE0R501318</v>
          </cell>
          <cell r="K12315" t="str">
            <v>RO/2021/005594/A 2z2</v>
          </cell>
        </row>
        <row r="12316">
          <cell r="D12316" t="str">
            <v>SYS-5019P-WTR</v>
          </cell>
          <cell r="E12316" t="str">
            <v>E263776X2401672</v>
          </cell>
        </row>
        <row r="12317">
          <cell r="D12317" t="str">
            <v>CSE</v>
          </cell>
          <cell r="E12317" t="str">
            <v>C8150LK28P71017</v>
          </cell>
        </row>
        <row r="12318">
          <cell r="D12318" t="str">
            <v>PWS</v>
          </cell>
          <cell r="E12318" t="str">
            <v>P5041CM10OB1688</v>
          </cell>
        </row>
        <row r="12319">
          <cell r="D12319" t="str">
            <v>PWS</v>
          </cell>
          <cell r="E12319" t="str">
            <v>P5041CM10OB1687</v>
          </cell>
        </row>
        <row r="12320">
          <cell r="D12320" t="str">
            <v>BPN</v>
          </cell>
          <cell r="E12320" t="str">
            <v>EB217S016808</v>
          </cell>
        </row>
        <row r="12321">
          <cell r="D12321" t="str">
            <v>MBD</v>
          </cell>
          <cell r="E12321" t="str">
            <v>NM21CS004260</v>
          </cell>
        </row>
        <row r="12322">
          <cell r="D12322" t="str">
            <v>RSC</v>
          </cell>
          <cell r="E12322" t="str">
            <v>VR217S023273</v>
          </cell>
        </row>
        <row r="12323">
          <cell r="D12323" t="str">
            <v>RSC</v>
          </cell>
          <cell r="E12323" t="str">
            <v>VR21AS001070</v>
          </cell>
        </row>
        <row r="12324">
          <cell r="D12324" t="str">
            <v>CPU</v>
          </cell>
          <cell r="E12324" t="str">
            <v>727T1F6600174</v>
          </cell>
        </row>
        <row r="12325">
          <cell r="D12325" t="str">
            <v>MEM</v>
          </cell>
          <cell r="E12325" t="str">
            <v>S802C062209356FBD52</v>
          </cell>
        </row>
        <row r="12326">
          <cell r="D12326" t="str">
            <v>MEM</v>
          </cell>
          <cell r="E12326" t="str">
            <v>S802C062209356FBD56</v>
          </cell>
        </row>
        <row r="12327">
          <cell r="D12327" t="str">
            <v>AOC</v>
          </cell>
          <cell r="E12327" t="str">
            <v>VA21BS024450</v>
          </cell>
        </row>
        <row r="12328">
          <cell r="D12328" t="str">
            <v>HDS</v>
          </cell>
          <cell r="E12328" t="str">
            <v>S45NNC0R421223</v>
          </cell>
        </row>
        <row r="12329">
          <cell r="D12329" t="str">
            <v>HDS</v>
          </cell>
          <cell r="E12329" t="str">
            <v>S45NNC0R421235</v>
          </cell>
        </row>
        <row r="12330">
          <cell r="D12330" t="str">
            <v>SYS-5019P-WTR</v>
          </cell>
          <cell r="E12330" t="str">
            <v>E263776X2401675</v>
          </cell>
        </row>
        <row r="12331">
          <cell r="D12331" t="str">
            <v>CSE</v>
          </cell>
          <cell r="E12331" t="str">
            <v>C8150LK28P71021</v>
          </cell>
        </row>
        <row r="12332">
          <cell r="D12332" t="str">
            <v>PWS</v>
          </cell>
          <cell r="E12332" t="str">
            <v>P5041CM10OB1677</v>
          </cell>
        </row>
        <row r="12333">
          <cell r="D12333" t="str">
            <v>PWS</v>
          </cell>
          <cell r="E12333" t="str">
            <v>P5041CM10OB1678</v>
          </cell>
        </row>
        <row r="12334">
          <cell r="D12334" t="str">
            <v>BPN</v>
          </cell>
          <cell r="E12334" t="str">
            <v>EB217S017101</v>
          </cell>
        </row>
        <row r="12335">
          <cell r="D12335" t="str">
            <v>MBD</v>
          </cell>
          <cell r="E12335" t="str">
            <v>NM21CS004298</v>
          </cell>
        </row>
        <row r="12336">
          <cell r="D12336" t="str">
            <v>RSC</v>
          </cell>
          <cell r="E12336" t="str">
            <v>VR217S023276</v>
          </cell>
        </row>
        <row r="12337">
          <cell r="D12337" t="str">
            <v>RSC</v>
          </cell>
          <cell r="E12337" t="str">
            <v>VR21AS001098</v>
          </cell>
        </row>
        <row r="12338">
          <cell r="D12338" t="str">
            <v>CPU</v>
          </cell>
          <cell r="E12338" t="str">
            <v>727T1F6600538</v>
          </cell>
        </row>
        <row r="12339">
          <cell r="D12339" t="str">
            <v>MEM</v>
          </cell>
          <cell r="E12339" t="str">
            <v>S802C062209356FBDDE</v>
          </cell>
        </row>
        <row r="12340">
          <cell r="D12340" t="str">
            <v>MEM</v>
          </cell>
          <cell r="E12340" t="str">
            <v>S802C062209356FC232</v>
          </cell>
        </row>
        <row r="12341">
          <cell r="D12341" t="str">
            <v>AOC</v>
          </cell>
          <cell r="E12341" t="str">
            <v>VA21BS024449</v>
          </cell>
        </row>
        <row r="12342">
          <cell r="D12342" t="str">
            <v>HDS</v>
          </cell>
          <cell r="E12342" t="str">
            <v>S45NNC0R421228</v>
          </cell>
        </row>
        <row r="12343">
          <cell r="D12343" t="str">
            <v>HDS</v>
          </cell>
          <cell r="E12343" t="str">
            <v>S45NNC0R421221</v>
          </cell>
        </row>
        <row r="12344">
          <cell r="D12344" t="str">
            <v>SYS-5019P-WTR</v>
          </cell>
          <cell r="E12344" t="str">
            <v>E263776X2401668</v>
          </cell>
        </row>
        <row r="12345">
          <cell r="D12345" t="str">
            <v>CSE</v>
          </cell>
          <cell r="E12345" t="str">
            <v>C8150LK28P71016</v>
          </cell>
        </row>
        <row r="12346">
          <cell r="D12346" t="str">
            <v>PWS</v>
          </cell>
          <cell r="E12346" t="str">
            <v>P5041CM10OB1700</v>
          </cell>
        </row>
        <row r="12347">
          <cell r="D12347" t="str">
            <v>PWS</v>
          </cell>
          <cell r="E12347" t="str">
            <v>P5041CM10OB1699</v>
          </cell>
        </row>
        <row r="12348">
          <cell r="D12348" t="str">
            <v>BPN</v>
          </cell>
          <cell r="E12348" t="str">
            <v>EB217S016814</v>
          </cell>
        </row>
        <row r="12349">
          <cell r="D12349" t="str">
            <v>MBD</v>
          </cell>
          <cell r="E12349" t="str">
            <v>NM21CS005369</v>
          </cell>
        </row>
        <row r="12350">
          <cell r="D12350" t="str">
            <v>RSC</v>
          </cell>
          <cell r="E12350" t="str">
            <v>VR217S023286</v>
          </cell>
        </row>
        <row r="12351">
          <cell r="D12351" t="str">
            <v>RSC</v>
          </cell>
          <cell r="E12351" t="str">
            <v>VR21AS001083</v>
          </cell>
        </row>
        <row r="12352">
          <cell r="D12352" t="str">
            <v>CPU</v>
          </cell>
          <cell r="E12352" t="str">
            <v>727T1F6600321</v>
          </cell>
        </row>
        <row r="12353">
          <cell r="D12353" t="str">
            <v>MEM</v>
          </cell>
          <cell r="E12353" t="str">
            <v>S802C062209356FC72B</v>
          </cell>
        </row>
        <row r="12354">
          <cell r="D12354" t="str">
            <v>MEM</v>
          </cell>
          <cell r="E12354" t="str">
            <v>S802C062209356FC32A</v>
          </cell>
        </row>
        <row r="12355">
          <cell r="D12355" t="str">
            <v>AOC</v>
          </cell>
          <cell r="E12355" t="str">
            <v>VA21BS024452</v>
          </cell>
        </row>
        <row r="12356">
          <cell r="D12356" t="str">
            <v>HDS</v>
          </cell>
          <cell r="E12356" t="str">
            <v>S45NNC0R421224</v>
          </cell>
        </row>
        <row r="12357">
          <cell r="D12357" t="str">
            <v>HDS</v>
          </cell>
          <cell r="E12357" t="str">
            <v>S45NNC0R421229</v>
          </cell>
        </row>
        <row r="12358">
          <cell r="D12358" t="str">
            <v>SYS-5019P-WTR</v>
          </cell>
          <cell r="E12358" t="str">
            <v>E263776X2401690</v>
          </cell>
        </row>
        <row r="12359">
          <cell r="D12359" t="str">
            <v>CSE</v>
          </cell>
          <cell r="E12359" t="str">
            <v>C8150LK28P71015</v>
          </cell>
        </row>
        <row r="12360">
          <cell r="D12360" t="str">
            <v>PWS</v>
          </cell>
          <cell r="E12360" t="str">
            <v>P5041CM10OB1723</v>
          </cell>
        </row>
        <row r="12361">
          <cell r="D12361" t="str">
            <v>PWS</v>
          </cell>
          <cell r="E12361" t="str">
            <v>P5041CM10OB1724</v>
          </cell>
        </row>
        <row r="12362">
          <cell r="D12362" t="str">
            <v>BPN</v>
          </cell>
          <cell r="E12362" t="str">
            <v>EB217S016819</v>
          </cell>
        </row>
        <row r="12363">
          <cell r="D12363" t="str">
            <v>MBD</v>
          </cell>
          <cell r="E12363" t="str">
            <v>NM21CS005209</v>
          </cell>
        </row>
        <row r="12364">
          <cell r="D12364" t="str">
            <v>RSC</v>
          </cell>
          <cell r="E12364" t="str">
            <v>VR217S023283</v>
          </cell>
        </row>
        <row r="12365">
          <cell r="D12365" t="str">
            <v>RSC</v>
          </cell>
          <cell r="E12365" t="str">
            <v>VR21AS001056</v>
          </cell>
        </row>
        <row r="12366">
          <cell r="D12366" t="str">
            <v>CPU</v>
          </cell>
          <cell r="E12366" t="str">
            <v>727T1F6600046</v>
          </cell>
        </row>
        <row r="12367">
          <cell r="D12367" t="str">
            <v>MEM</v>
          </cell>
          <cell r="E12367" t="str">
            <v>S802C062209356FC5DC</v>
          </cell>
        </row>
        <row r="12368">
          <cell r="D12368" t="str">
            <v>MEM</v>
          </cell>
          <cell r="E12368" t="str">
            <v>S802C062209356FC7EF</v>
          </cell>
        </row>
        <row r="12369">
          <cell r="D12369" t="str">
            <v>AOC</v>
          </cell>
          <cell r="E12369" t="str">
            <v>VA21BS024451</v>
          </cell>
        </row>
        <row r="12370">
          <cell r="D12370" t="str">
            <v>HDS</v>
          </cell>
          <cell r="E12370" t="str">
            <v>S45NNC0R421222</v>
          </cell>
        </row>
        <row r="12371">
          <cell r="D12371" t="str">
            <v>HDS</v>
          </cell>
          <cell r="E12371" t="str">
            <v>S45NNC0R421227</v>
          </cell>
        </row>
        <row r="12372">
          <cell r="D12372" t="str">
            <v>SSG-6049P-E1CR36H</v>
          </cell>
          <cell r="E12372" t="str">
            <v>E287680X2500090</v>
          </cell>
        </row>
        <row r="12373">
          <cell r="D12373" t="str">
            <v>CSE</v>
          </cell>
          <cell r="E12373" t="str">
            <v>C8470FK48P20864</v>
          </cell>
        </row>
        <row r="12374">
          <cell r="D12374" t="str">
            <v>PWS</v>
          </cell>
          <cell r="E12374" t="str">
            <v>P1K2ACL44RB5006</v>
          </cell>
        </row>
        <row r="12375">
          <cell r="D12375" t="str">
            <v>PWS</v>
          </cell>
          <cell r="E12375" t="str">
            <v>P1K2ACL44RB5007</v>
          </cell>
        </row>
        <row r="12376">
          <cell r="D12376" t="str">
            <v>MBD</v>
          </cell>
          <cell r="E12376" t="str">
            <v>ZM21AS002258</v>
          </cell>
        </row>
        <row r="12377">
          <cell r="D12377" t="str">
            <v>BPN</v>
          </cell>
          <cell r="E12377" t="str">
            <v>HB21BS012456</v>
          </cell>
        </row>
        <row r="12378">
          <cell r="D12378" t="str">
            <v>BPN</v>
          </cell>
          <cell r="E12378" t="str">
            <v>HB21CS015094</v>
          </cell>
        </row>
        <row r="12379">
          <cell r="D12379" t="str">
            <v>AOC</v>
          </cell>
          <cell r="E12379" t="str">
            <v>VA21CS025918</v>
          </cell>
        </row>
        <row r="12380">
          <cell r="D12380" t="str">
            <v>AOC</v>
          </cell>
          <cell r="E12380" t="str">
            <v>JA218S002111</v>
          </cell>
        </row>
        <row r="12381">
          <cell r="D12381" t="str">
            <v>AOC-VROCSTNMOD</v>
          </cell>
          <cell r="E12381" t="str">
            <v>QSVC734S032T</v>
          </cell>
        </row>
        <row r="12382">
          <cell r="D12382" t="str">
            <v>AOC-VROCSTNMOD</v>
          </cell>
          <cell r="E12382" t="str">
            <v>QSVC734S032P</v>
          </cell>
        </row>
        <row r="12383">
          <cell r="D12383" t="str">
            <v>AOC-VROCSTNMOD</v>
          </cell>
          <cell r="E12383" t="str">
            <v>QSVC734S032N</v>
          </cell>
        </row>
        <row r="12384">
          <cell r="D12384" t="str">
            <v>AOC-VROCSTNMOD</v>
          </cell>
          <cell r="E12384" t="str">
            <v>QSVC734S01AQ</v>
          </cell>
        </row>
        <row r="12385">
          <cell r="D12385" t="str">
            <v>AOC-VROCSTNMOD</v>
          </cell>
          <cell r="E12385" t="str">
            <v>QSVC734S01AT</v>
          </cell>
        </row>
        <row r="12386">
          <cell r="D12386" t="str">
            <v>AOC-VROCSTNMOD</v>
          </cell>
          <cell r="E12386" t="str">
            <v>QSVC735S0108</v>
          </cell>
        </row>
        <row r="12387">
          <cell r="D12387" t="str">
            <v>AOC-VROCSTNMOD</v>
          </cell>
          <cell r="E12387" t="str">
            <v>QSVC735S010L</v>
          </cell>
        </row>
        <row r="12388">
          <cell r="D12388" t="str">
            <v>AOC-VROCSTNMOD</v>
          </cell>
          <cell r="E12388" t="str">
            <v>QSVC735S00ZX</v>
          </cell>
        </row>
        <row r="12389">
          <cell r="D12389" t="str">
            <v>AOC-VROCSTNMOD</v>
          </cell>
          <cell r="E12389" t="str">
            <v>QSVC735S0109</v>
          </cell>
        </row>
        <row r="12390">
          <cell r="D12390" t="str">
            <v>AOC-VROCINTMOD</v>
          </cell>
          <cell r="E12390" t="str">
            <v>QSVC725I0DB0</v>
          </cell>
        </row>
        <row r="12391">
          <cell r="D12391" t="str">
            <v>AOC-VROCINTMOD</v>
          </cell>
          <cell r="E12391" t="str">
            <v>QSVC725I0DAD</v>
          </cell>
        </row>
        <row r="12392">
          <cell r="D12392" t="str">
            <v>AOC-VROCINTMOD</v>
          </cell>
          <cell r="E12392" t="str">
            <v>QSVC725I0DAA</v>
          </cell>
        </row>
        <row r="12393">
          <cell r="D12393" t="str">
            <v>AOC-VROCINTMOD</v>
          </cell>
          <cell r="E12393" t="str">
            <v>QSVC725I0DA7</v>
          </cell>
        </row>
        <row r="12394">
          <cell r="D12394" t="str">
            <v>AOC-VROCINTMOD</v>
          </cell>
          <cell r="E12394" t="str">
            <v>QSVC725I0DAG</v>
          </cell>
        </row>
        <row r="12395">
          <cell r="D12395" t="str">
            <v>AOC-VROCINTMOD</v>
          </cell>
          <cell r="E12395" t="str">
            <v>QSVC729I05UW</v>
          </cell>
        </row>
        <row r="12396">
          <cell r="D12396" t="str">
            <v>AOC-VROCINTMOD</v>
          </cell>
          <cell r="E12396" t="str">
            <v>QSVC729I03X4</v>
          </cell>
        </row>
        <row r="12397">
          <cell r="D12397" t="str">
            <v>AOC-VROCINTMOD</v>
          </cell>
          <cell r="E12397" t="str">
            <v>QSVC729I02NR</v>
          </cell>
        </row>
        <row r="12398">
          <cell r="D12398" t="str">
            <v>AOC-VROCINTMOD</v>
          </cell>
          <cell r="E12398" t="str">
            <v>QSVC729I03I1</v>
          </cell>
        </row>
        <row r="12399">
          <cell r="D12399" t="str">
            <v>PWS-2K63A-1R</v>
          </cell>
          <cell r="E12399" t="str">
            <v>P2K63CM17KB1251</v>
          </cell>
        </row>
        <row r="12400">
          <cell r="D12400" t="str">
            <v>PWS-2K63A-1R</v>
          </cell>
          <cell r="E12400" t="str">
            <v>P2K63CM17KB1252</v>
          </cell>
        </row>
        <row r="12401">
          <cell r="D12401" t="str">
            <v>AOC-VROCSTNMOD</v>
          </cell>
          <cell r="E12401" t="str">
            <v>QSVC734S03CU</v>
          </cell>
        </row>
        <row r="12402">
          <cell r="D12402" t="str">
            <v>AOC-VROCSTNMOD</v>
          </cell>
          <cell r="E12402" t="str">
            <v>QSVC734S03CQ</v>
          </cell>
        </row>
        <row r="12403">
          <cell r="D12403" t="str">
            <v>AOC-VROCSTNMOD</v>
          </cell>
          <cell r="E12403" t="str">
            <v>QSVC734S036X</v>
          </cell>
        </row>
        <row r="12404">
          <cell r="D12404" t="str">
            <v>AOC-VROCSTNMOD</v>
          </cell>
          <cell r="E12404" t="str">
            <v>QSVC734S038F</v>
          </cell>
        </row>
        <row r="12405">
          <cell r="D12405" t="str">
            <v>AOC-VROCSTNMOD</v>
          </cell>
          <cell r="E12405" t="str">
            <v>QSVC734S035F</v>
          </cell>
        </row>
        <row r="12406">
          <cell r="D12406" t="str">
            <v>AOC-VROCSTNMOD</v>
          </cell>
          <cell r="E12406" t="str">
            <v>QSVC734S035G</v>
          </cell>
        </row>
        <row r="12407">
          <cell r="D12407" t="str">
            <v>AOC-VROCSTNMOD</v>
          </cell>
          <cell r="E12407" t="str">
            <v>QSVC734S03O7</v>
          </cell>
        </row>
        <row r="12408">
          <cell r="D12408" t="str">
            <v>AOC-VROCSTNMOD</v>
          </cell>
          <cell r="E12408" t="str">
            <v>QSVC734S038E</v>
          </cell>
        </row>
        <row r="12409">
          <cell r="D12409" t="str">
            <v>AOC-VROCSTNMOD</v>
          </cell>
          <cell r="E12409" t="str">
            <v>QSVC734S03CV</v>
          </cell>
        </row>
        <row r="12410">
          <cell r="D12410" t="str">
            <v>AOC-VROCSTNMOD</v>
          </cell>
          <cell r="E12410" t="str">
            <v>QSVC734S03CZ</v>
          </cell>
        </row>
        <row r="12411">
          <cell r="D12411" t="str">
            <v>AOC-VROCSTNMOD</v>
          </cell>
          <cell r="E12411" t="str">
            <v>QSVC734S036W</v>
          </cell>
        </row>
        <row r="12412">
          <cell r="D12412" t="str">
            <v>AOC-VROCSTNMOD</v>
          </cell>
          <cell r="E12412" t="str">
            <v>QSVC734S035T</v>
          </cell>
        </row>
        <row r="12413">
          <cell r="D12413" t="str">
            <v>AOC-VROCINTMOD</v>
          </cell>
          <cell r="E12413" t="str">
            <v>QSVC729I05W0</v>
          </cell>
        </row>
        <row r="12414">
          <cell r="D12414" t="str">
            <v>AOC-VROCINTMOD</v>
          </cell>
          <cell r="E12414" t="str">
            <v>QSVC729I03D0</v>
          </cell>
        </row>
        <row r="12415">
          <cell r="D12415" t="str">
            <v>AOC-VROCINTMOD</v>
          </cell>
          <cell r="E12415" t="str">
            <v>QSVC729I037F</v>
          </cell>
        </row>
        <row r="12416">
          <cell r="D12416" t="str">
            <v>AOC-VROCINTMOD</v>
          </cell>
          <cell r="E12416" t="str">
            <v>QSVC729I0352</v>
          </cell>
        </row>
        <row r="12417">
          <cell r="D12417" t="str">
            <v>AOC-VROCINTMOD</v>
          </cell>
          <cell r="E12417" t="str">
            <v>QSVC729I034L</v>
          </cell>
        </row>
        <row r="12418">
          <cell r="D12418" t="str">
            <v>AOC-VROCINTMOD</v>
          </cell>
          <cell r="E12418" t="str">
            <v>QSVC729I035H</v>
          </cell>
        </row>
        <row r="12419">
          <cell r="D12419" t="str">
            <v>AOC-VROCINTMOD</v>
          </cell>
          <cell r="E12419" t="str">
            <v>QSVC729I03V5</v>
          </cell>
        </row>
        <row r="12420">
          <cell r="D12420" t="str">
            <v>AOC-VROCINTMOD</v>
          </cell>
          <cell r="E12420" t="str">
            <v>QSVC729I03UN</v>
          </cell>
        </row>
        <row r="12421">
          <cell r="D12421" t="str">
            <v>AOC-VROCINTMOD</v>
          </cell>
          <cell r="E12421" t="str">
            <v>QSVC729I03UO</v>
          </cell>
        </row>
        <row r="12422">
          <cell r="D12422" t="str">
            <v>AOC-VROCINTMOD</v>
          </cell>
          <cell r="E12422" t="str">
            <v>QSVC729I03UM</v>
          </cell>
        </row>
        <row r="12423">
          <cell r="D12423" t="str">
            <v>AOC-VROCINTMOD</v>
          </cell>
          <cell r="E12423" t="str">
            <v>QSVC729I03UA</v>
          </cell>
        </row>
        <row r="12424">
          <cell r="D12424" t="str">
            <v>RSC-R1UW-2E16</v>
          </cell>
          <cell r="E12424" t="str">
            <v>VR218S035224</v>
          </cell>
        </row>
        <row r="12425">
          <cell r="D12425" t="str">
            <v>RSC-R1UW-2E16</v>
          </cell>
          <cell r="E12425" t="str">
            <v>VR218S035221</v>
          </cell>
        </row>
        <row r="12426">
          <cell r="D12426" t="str">
            <v>RSC-R1UW-2E16</v>
          </cell>
          <cell r="E12426" t="str">
            <v>VR218S035223</v>
          </cell>
        </row>
        <row r="12427">
          <cell r="D12427" t="str">
            <v>RSC-R1UW-2E16</v>
          </cell>
          <cell r="E12427" t="str">
            <v>VR218S035216</v>
          </cell>
        </row>
        <row r="12428">
          <cell r="D12428" t="str">
            <v>RSC-R1UW-2E16</v>
          </cell>
          <cell r="E12428" t="str">
            <v>VR218S035219</v>
          </cell>
        </row>
        <row r="12429">
          <cell r="D12429" t="str">
            <v>RSC-R1UW-2E16</v>
          </cell>
          <cell r="E12429" t="str">
            <v>VR218S035220</v>
          </cell>
        </row>
        <row r="12430">
          <cell r="D12430" t="str">
            <v>RSC-R1UW-2E16</v>
          </cell>
          <cell r="E12430" t="str">
            <v>VR218S035217</v>
          </cell>
        </row>
        <row r="12431">
          <cell r="D12431" t="str">
            <v>RSC-R1UW-2E16</v>
          </cell>
          <cell r="E12431" t="str">
            <v>VR218S035218</v>
          </cell>
        </row>
        <row r="12432">
          <cell r="D12432" t="str">
            <v>RSC-R1UW-2E16</v>
          </cell>
          <cell r="E12432" t="str">
            <v>VR218S035222</v>
          </cell>
        </row>
        <row r="12433">
          <cell r="D12433" t="str">
            <v>HDD-2A1200-ST1200MM0009</v>
          </cell>
          <cell r="E12433" t="str">
            <v>WFK8ZKNC</v>
          </cell>
        </row>
        <row r="12434">
          <cell r="D12434" t="str">
            <v>HDS-TMN0-KXG60ZNV512G</v>
          </cell>
          <cell r="E12434" t="str">
            <v>81VY109JYRX1</v>
          </cell>
        </row>
        <row r="12435">
          <cell r="D12435" t="str">
            <v>HDS-TMN0-KXG60ZNV512G</v>
          </cell>
          <cell r="E12435" t="str">
            <v>81VY109KYRX1</v>
          </cell>
        </row>
        <row r="12436">
          <cell r="D12436" t="str">
            <v>MBD-A2SDI-8C+-HLN4F-O</v>
          </cell>
          <cell r="E12436" t="str">
            <v>OM21CS056533</v>
          </cell>
        </row>
        <row r="12437">
          <cell r="D12437" t="str">
            <v>MBD-X11SCA-F-O</v>
          </cell>
          <cell r="E12437" t="str">
            <v>VM21BS002180</v>
          </cell>
        </row>
        <row r="12438">
          <cell r="D12438" t="str">
            <v>AOC-VROCSTNMOD</v>
          </cell>
          <cell r="E12438" t="str">
            <v>QSVC734S03NW</v>
          </cell>
        </row>
        <row r="12439">
          <cell r="D12439" t="str">
            <v>AOC-VROCSTNMOD</v>
          </cell>
          <cell r="E12439" t="str">
            <v>QSVC734S03LJ</v>
          </cell>
        </row>
        <row r="12440">
          <cell r="D12440" t="str">
            <v>AOC-VROCSTNMOD</v>
          </cell>
          <cell r="E12440" t="str">
            <v>QSVC734S03CY</v>
          </cell>
        </row>
        <row r="12441">
          <cell r="D12441" t="str">
            <v>AOC-VROCSTNMOD</v>
          </cell>
          <cell r="E12441" t="str">
            <v>QSVC734S03CX</v>
          </cell>
        </row>
        <row r="12442">
          <cell r="D12442" t="str">
            <v>AOC-VROCSTNMOD</v>
          </cell>
          <cell r="E12442" t="str">
            <v>QSVC734S03PO</v>
          </cell>
        </row>
        <row r="12443">
          <cell r="D12443" t="str">
            <v>AOC-VROCSTNMOD</v>
          </cell>
          <cell r="E12443" t="str">
            <v>QSVC734S01MY</v>
          </cell>
        </row>
        <row r="12444">
          <cell r="D12444" t="str">
            <v>AOC-VROCSTNMOD</v>
          </cell>
          <cell r="E12444" t="str">
            <v>QSVC734S015S</v>
          </cell>
        </row>
        <row r="12445">
          <cell r="D12445" t="str">
            <v>AOC-VROCSTNMOD</v>
          </cell>
          <cell r="E12445" t="str">
            <v>QSVC734S03E0</v>
          </cell>
        </row>
        <row r="12446">
          <cell r="D12446" t="str">
            <v>AOC-VROCSTNMOD</v>
          </cell>
          <cell r="E12446" t="str">
            <v>QSVC734S03EB</v>
          </cell>
        </row>
        <row r="12447">
          <cell r="D12447" t="str">
            <v>AOC-VROCSTNMOD</v>
          </cell>
          <cell r="E12447" t="str">
            <v>QSVC734S03LT</v>
          </cell>
        </row>
        <row r="12448">
          <cell r="D12448" t="str">
            <v>AOC-VROCSTNMOD</v>
          </cell>
          <cell r="E12448" t="str">
            <v>QSVC734S03M1</v>
          </cell>
        </row>
        <row r="12449">
          <cell r="D12449" t="str">
            <v>AOC-VROCSTNMOD</v>
          </cell>
          <cell r="E12449" t="str">
            <v>QSVC734S03M7</v>
          </cell>
        </row>
        <row r="12450">
          <cell r="D12450" t="str">
            <v>AOC-VROCSTNMOD</v>
          </cell>
          <cell r="E12450" t="str">
            <v>QSVC734S03LV</v>
          </cell>
        </row>
        <row r="12451">
          <cell r="D12451" t="str">
            <v>AOC-VROCSTNMOD</v>
          </cell>
          <cell r="E12451" t="str">
            <v>QSVC734S036P</v>
          </cell>
        </row>
        <row r="12452">
          <cell r="D12452" t="str">
            <v>AOC-VROCSTNMOD</v>
          </cell>
          <cell r="E12452" t="str">
            <v>QSVC734S03ZN</v>
          </cell>
        </row>
        <row r="12453">
          <cell r="D12453" t="str">
            <v>AOC-VROCSTNMOD</v>
          </cell>
          <cell r="E12453" t="str">
            <v>QSVC734S03ZJ</v>
          </cell>
        </row>
        <row r="12454">
          <cell r="D12454" t="str">
            <v>AOC-VROCSTNMOD</v>
          </cell>
          <cell r="E12454" t="str">
            <v>QSVC734S040C</v>
          </cell>
        </row>
        <row r="12455">
          <cell r="D12455" t="str">
            <v>AOC-VROCSTNMOD</v>
          </cell>
          <cell r="E12455" t="str">
            <v>QSVC734S040B</v>
          </cell>
        </row>
        <row r="12456">
          <cell r="D12456" t="str">
            <v>AOC-VROCSTNMOD</v>
          </cell>
          <cell r="E12456" t="str">
            <v>QSVC734S03ZE</v>
          </cell>
        </row>
        <row r="12457">
          <cell r="D12457" t="str">
            <v>MBD-X11SCW-F-B</v>
          </cell>
          <cell r="E12457" t="str">
            <v>ZM21BS018345</v>
          </cell>
        </row>
        <row r="12458">
          <cell r="D12458" t="str">
            <v>MBD-X11SCW-F-B</v>
          </cell>
          <cell r="E12458" t="str">
            <v>ZM21BS018368</v>
          </cell>
        </row>
        <row r="12459">
          <cell r="D12459" t="str">
            <v>MBD-X11SCW-F-B</v>
          </cell>
          <cell r="E12459" t="str">
            <v>ZM21BS018419</v>
          </cell>
        </row>
        <row r="12460">
          <cell r="D12460" t="str">
            <v>MBD-X11SCW-F-B</v>
          </cell>
          <cell r="E12460" t="str">
            <v>ZM21BS018433</v>
          </cell>
        </row>
        <row r="12461">
          <cell r="D12461" t="str">
            <v>MBD-X11SCW-F-B</v>
          </cell>
          <cell r="E12461" t="str">
            <v>ZM21BS018475</v>
          </cell>
        </row>
        <row r="12462">
          <cell r="D12462" t="str">
            <v>MBD-X11SCW-F-B</v>
          </cell>
          <cell r="E12462" t="str">
            <v>ZM21BS018481</v>
          </cell>
        </row>
        <row r="12463">
          <cell r="D12463" t="str">
            <v>MBD-X11SCW-F-B</v>
          </cell>
          <cell r="E12463" t="str">
            <v>ZM21BS018483</v>
          </cell>
        </row>
        <row r="12464">
          <cell r="D12464" t="str">
            <v>MBD-X11SCW-F-B</v>
          </cell>
          <cell r="E12464" t="str">
            <v>ZM21BS018490</v>
          </cell>
        </row>
        <row r="12465">
          <cell r="D12465" t="str">
            <v>MBD-X11SCW-F-B</v>
          </cell>
          <cell r="E12465" t="str">
            <v>ZM21BS018508</v>
          </cell>
        </row>
        <row r="12466">
          <cell r="D12466" t="str">
            <v>MBD-X11SCW-F-B</v>
          </cell>
          <cell r="E12466" t="str">
            <v>ZM21BS018514</v>
          </cell>
        </row>
        <row r="12467">
          <cell r="D12467" t="str">
            <v>RSC-R1UW-E8R</v>
          </cell>
          <cell r="E12467" t="str">
            <v>VR219S005689</v>
          </cell>
        </row>
        <row r="12468">
          <cell r="D12468" t="str">
            <v>RSC-R1UW-E8R</v>
          </cell>
          <cell r="E12468" t="str">
            <v>VR219S005679</v>
          </cell>
        </row>
        <row r="12469">
          <cell r="D12469" t="str">
            <v>RSC-R1UW-E8R</v>
          </cell>
          <cell r="E12469" t="str">
            <v>VR219S005678</v>
          </cell>
        </row>
        <row r="12470">
          <cell r="D12470" t="str">
            <v>RSC-R1UW-E8R</v>
          </cell>
          <cell r="E12470" t="str">
            <v>VR219S005699</v>
          </cell>
        </row>
        <row r="12471">
          <cell r="D12471" t="str">
            <v>RSC-R1UW-E8R</v>
          </cell>
          <cell r="E12471" t="str">
            <v>VR219S005680</v>
          </cell>
        </row>
        <row r="12472">
          <cell r="D12472" t="str">
            <v>RSC-R1UW-E8R</v>
          </cell>
          <cell r="E12472" t="str">
            <v>VR219S005677</v>
          </cell>
        </row>
        <row r="12473">
          <cell r="D12473" t="str">
            <v>RSC-R1UW-E8R</v>
          </cell>
          <cell r="E12473" t="str">
            <v>VR222S024528</v>
          </cell>
        </row>
        <row r="12474">
          <cell r="D12474" t="str">
            <v>RSC-R1UW-E8R</v>
          </cell>
          <cell r="E12474" t="str">
            <v>VR219S005700</v>
          </cell>
        </row>
        <row r="12475">
          <cell r="D12475" t="str">
            <v>RSC-R1UW-E8R</v>
          </cell>
          <cell r="E12475" t="str">
            <v>VR222S024526</v>
          </cell>
        </row>
        <row r="12476">
          <cell r="D12476" t="str">
            <v>RSC-R1UW-E8R</v>
          </cell>
          <cell r="E12476" t="str">
            <v>VR222S024536</v>
          </cell>
        </row>
        <row r="12477">
          <cell r="D12477" t="str">
            <v>RSC-R1UW-E8R</v>
          </cell>
          <cell r="E12477" t="str">
            <v>VR222S024540</v>
          </cell>
        </row>
        <row r="12478">
          <cell r="D12478" t="str">
            <v>RSC-R1UW-E8R</v>
          </cell>
          <cell r="E12478" t="str">
            <v>VR222S024539</v>
          </cell>
        </row>
        <row r="12479">
          <cell r="D12479" t="str">
            <v>RSC-R1UW-E8R</v>
          </cell>
          <cell r="E12479" t="str">
            <v>VR222S024538</v>
          </cell>
        </row>
        <row r="12480">
          <cell r="D12480" t="str">
            <v>RSC-R1UW-E8R</v>
          </cell>
          <cell r="E12480" t="str">
            <v>VR222S024537</v>
          </cell>
        </row>
        <row r="12481">
          <cell r="D12481" t="str">
            <v>RSC-R1UW-E8R</v>
          </cell>
          <cell r="E12481" t="str">
            <v>VR222S024530</v>
          </cell>
        </row>
        <row r="12482">
          <cell r="D12482" t="str">
            <v>RSC-R1UW-E8R</v>
          </cell>
          <cell r="E12482" t="str">
            <v>VR222S024531</v>
          </cell>
        </row>
        <row r="12483">
          <cell r="D12483" t="str">
            <v>RSC-R1UW-E8R</v>
          </cell>
          <cell r="E12483" t="str">
            <v>VR222S024532</v>
          </cell>
        </row>
        <row r="12484">
          <cell r="D12484" t="str">
            <v>RSC-R1UW-E8R</v>
          </cell>
          <cell r="E12484" t="str">
            <v>VR222S024533</v>
          </cell>
        </row>
        <row r="12485">
          <cell r="D12485" t="str">
            <v>RSC-R1UW-E8R</v>
          </cell>
          <cell r="E12485" t="str">
            <v>VR222S024534</v>
          </cell>
        </row>
        <row r="12486">
          <cell r="D12486" t="str">
            <v>RSC-R1UW-E8R</v>
          </cell>
          <cell r="E12486" t="str">
            <v>VR222S024535</v>
          </cell>
        </row>
        <row r="12487">
          <cell r="D12487" t="str">
            <v>RSC-R1UW-E8R</v>
          </cell>
          <cell r="E12487" t="str">
            <v>VR222S024550</v>
          </cell>
        </row>
        <row r="12488">
          <cell r="D12488" t="str">
            <v>RSC-R1UW-E8R</v>
          </cell>
          <cell r="E12488" t="str">
            <v>VR222S024549</v>
          </cell>
        </row>
        <row r="12489">
          <cell r="D12489" t="str">
            <v>RSC-R1UW-E8R</v>
          </cell>
          <cell r="E12489" t="str">
            <v>VR222S024548</v>
          </cell>
        </row>
        <row r="12490">
          <cell r="D12490" t="str">
            <v>RSC-R1UW-E8R</v>
          </cell>
          <cell r="E12490" t="str">
            <v>VR222S024547</v>
          </cell>
        </row>
        <row r="12491">
          <cell r="D12491" t="str">
            <v>RSC-R1UW-E8R</v>
          </cell>
          <cell r="E12491" t="str">
            <v>VR222S024546</v>
          </cell>
        </row>
        <row r="12492">
          <cell r="D12492" t="str">
            <v>RSC-R1UW-E8R</v>
          </cell>
          <cell r="E12492" t="str">
            <v>VR222S024545</v>
          </cell>
        </row>
        <row r="12493">
          <cell r="D12493" t="str">
            <v>RSC-R1UW-E8R</v>
          </cell>
          <cell r="E12493" t="str">
            <v>VR222S024544</v>
          </cell>
        </row>
        <row r="12494">
          <cell r="D12494" t="str">
            <v>RSC-R1UW-E8R</v>
          </cell>
          <cell r="E12494" t="str">
            <v>VR222S024543</v>
          </cell>
        </row>
        <row r="12495">
          <cell r="D12495" t="str">
            <v>RSC-R1UW-E8R</v>
          </cell>
          <cell r="E12495" t="str">
            <v>VR222S024542</v>
          </cell>
        </row>
        <row r="12496">
          <cell r="D12496" t="str">
            <v>RSC-R1UW-E8R</v>
          </cell>
          <cell r="E12496" t="str">
            <v>VR222S024541</v>
          </cell>
        </row>
        <row r="12497">
          <cell r="D12497" t="str">
            <v>RSC-R1UW-E8R</v>
          </cell>
          <cell r="E12497" t="str">
            <v>VR222S024558</v>
          </cell>
        </row>
        <row r="12498">
          <cell r="D12498" t="str">
            <v>RSC-R1UW-E8R</v>
          </cell>
          <cell r="E12498" t="str">
            <v>VR222S024560</v>
          </cell>
        </row>
        <row r="12499">
          <cell r="D12499" t="str">
            <v>RSC-R1UW-E8R</v>
          </cell>
          <cell r="E12499" t="str">
            <v>VR222S024559</v>
          </cell>
        </row>
        <row r="12500">
          <cell r="D12500" t="str">
            <v>RSC-R1UW-E8R</v>
          </cell>
          <cell r="E12500" t="str">
            <v>VR222S024557</v>
          </cell>
        </row>
        <row r="12501">
          <cell r="D12501" t="str">
            <v>RSC-R1UW-E8R</v>
          </cell>
          <cell r="E12501" t="str">
            <v>VR222S024556</v>
          </cell>
        </row>
        <row r="12502">
          <cell r="D12502" t="str">
            <v>RSC-R1UW-E8R</v>
          </cell>
          <cell r="E12502" t="str">
            <v>VR222S024555</v>
          </cell>
        </row>
        <row r="12503">
          <cell r="D12503" t="str">
            <v>RSC-R1UW-E8R</v>
          </cell>
          <cell r="E12503" t="str">
            <v>VR222S024554</v>
          </cell>
        </row>
        <row r="12504">
          <cell r="D12504" t="str">
            <v>RSC-R1UW-E8R</v>
          </cell>
          <cell r="E12504" t="str">
            <v>VR222S024553</v>
          </cell>
        </row>
        <row r="12505">
          <cell r="D12505" t="str">
            <v>RSC-R1UW-E8R</v>
          </cell>
          <cell r="E12505" t="str">
            <v>VR222S024552</v>
          </cell>
        </row>
        <row r="12506">
          <cell r="D12506" t="str">
            <v>RSC-R1UW-E8R</v>
          </cell>
          <cell r="E12506" t="str">
            <v>VR222S024551</v>
          </cell>
        </row>
        <row r="12507">
          <cell r="D12507" t="str">
            <v>RSC-R1UW-2E16</v>
          </cell>
          <cell r="E12507" t="str">
            <v>VR218S035212</v>
          </cell>
        </row>
        <row r="12508">
          <cell r="D12508" t="str">
            <v>RSC-R1UW-2E16</v>
          </cell>
          <cell r="E12508" t="str">
            <v>VR218S035211</v>
          </cell>
        </row>
        <row r="12509">
          <cell r="D12509" t="str">
            <v>RSC-R1UW-2E16</v>
          </cell>
          <cell r="E12509" t="str">
            <v>VR218S035210</v>
          </cell>
        </row>
        <row r="12510">
          <cell r="D12510" t="str">
            <v>RSC-R1UW-2E16</v>
          </cell>
          <cell r="E12510" t="str">
            <v>VR218S035209</v>
          </cell>
        </row>
        <row r="12511">
          <cell r="D12511" t="str">
            <v>RSC-R1UW-2E16</v>
          </cell>
          <cell r="E12511" t="str">
            <v>VR218S035208</v>
          </cell>
        </row>
        <row r="12512">
          <cell r="D12512" t="str">
            <v>RSC-R1UW-2E16</v>
          </cell>
          <cell r="E12512" t="str">
            <v>VR218S035207</v>
          </cell>
        </row>
        <row r="12513">
          <cell r="D12513" t="str">
            <v>RSC-R1UW-2E16</v>
          </cell>
          <cell r="E12513" t="str">
            <v>VR218S035206</v>
          </cell>
        </row>
        <row r="12514">
          <cell r="D12514" t="str">
            <v>RSC-R1UW-2E16</v>
          </cell>
          <cell r="E12514" t="str">
            <v>VR218S035205</v>
          </cell>
        </row>
        <row r="12515">
          <cell r="D12515" t="str">
            <v>RSC-R1UW-2E16</v>
          </cell>
          <cell r="E12515" t="str">
            <v>VR218S035204</v>
          </cell>
        </row>
        <row r="12516">
          <cell r="D12516" t="str">
            <v>RSC-R1UW-2E16</v>
          </cell>
          <cell r="E12516" t="str">
            <v>VR218S035203</v>
          </cell>
        </row>
        <row r="12517">
          <cell r="D12517" t="str">
            <v>RSC-R1UW-2E16</v>
          </cell>
          <cell r="E12517" t="str">
            <v>VR218S035202</v>
          </cell>
        </row>
        <row r="12518">
          <cell r="D12518" t="str">
            <v>RSC-R1UW-2E16</v>
          </cell>
          <cell r="E12518" t="str">
            <v>VR218S035201</v>
          </cell>
        </row>
        <row r="12519">
          <cell r="D12519" t="str">
            <v>RSC-R1UW-2E16</v>
          </cell>
          <cell r="E12519" t="str">
            <v>VR218S035243</v>
          </cell>
        </row>
        <row r="12520">
          <cell r="D12520" t="str">
            <v>RSC-R1UW-2E16</v>
          </cell>
          <cell r="E12520" t="str">
            <v>VR218S035230</v>
          </cell>
        </row>
        <row r="12521">
          <cell r="D12521" t="str">
            <v>RSC-R1UW-2E16</v>
          </cell>
          <cell r="E12521" t="str">
            <v>VR218S035232</v>
          </cell>
        </row>
        <row r="12522">
          <cell r="D12522" t="str">
            <v>RSC-R1UW-2E16</v>
          </cell>
          <cell r="E12522" t="str">
            <v>VR218S035231</v>
          </cell>
        </row>
        <row r="12523">
          <cell r="D12523" t="str">
            <v>RSC-R1UW-2E16</v>
          </cell>
          <cell r="E12523" t="str">
            <v>VR218S035225</v>
          </cell>
        </row>
        <row r="12524">
          <cell r="D12524" t="str">
            <v>RSC-R1UW-2E16</v>
          </cell>
          <cell r="E12524" t="str">
            <v>VR218S035226</v>
          </cell>
        </row>
        <row r="12525">
          <cell r="D12525" t="str">
            <v>RSC-R1UW-2E16</v>
          </cell>
          <cell r="E12525" t="str">
            <v>VR218S035227</v>
          </cell>
        </row>
        <row r="12526">
          <cell r="D12526" t="str">
            <v>RSC-R1UW-2E16</v>
          </cell>
          <cell r="E12526" t="str">
            <v>VR218S035215</v>
          </cell>
        </row>
        <row r="12527">
          <cell r="D12527" t="str">
            <v>RSC-R1UW-2E16</v>
          </cell>
          <cell r="E12527" t="str">
            <v>VR218S035214</v>
          </cell>
        </row>
        <row r="12528">
          <cell r="D12528" t="str">
            <v>RSC-R1UW-2E16</v>
          </cell>
          <cell r="E12528" t="str">
            <v>VR218S035213</v>
          </cell>
        </row>
        <row r="12529">
          <cell r="D12529" t="str">
            <v>RSC-R1UW-2E16</v>
          </cell>
          <cell r="E12529" t="str">
            <v>VR218S035238</v>
          </cell>
        </row>
        <row r="12530">
          <cell r="D12530" t="str">
            <v>RSC-R1UW-2E16</v>
          </cell>
          <cell r="E12530" t="str">
            <v>VR218S035236</v>
          </cell>
        </row>
        <row r="12531">
          <cell r="D12531" t="str">
            <v>RSC-R1UW-2E16</v>
          </cell>
          <cell r="E12531" t="str">
            <v>VR218S035240</v>
          </cell>
        </row>
        <row r="12532">
          <cell r="D12532" t="str">
            <v>RSC-R1UW-2E16</v>
          </cell>
          <cell r="E12532" t="str">
            <v>VR218S035237</v>
          </cell>
        </row>
        <row r="12533">
          <cell r="D12533" t="str">
            <v>RSC-R1UW-2E16</v>
          </cell>
          <cell r="E12533" t="str">
            <v>VR218S035229</v>
          </cell>
        </row>
        <row r="12534">
          <cell r="D12534" t="str">
            <v>RSC-R1UW-2E16</v>
          </cell>
          <cell r="E12534" t="str">
            <v>VR218S035239</v>
          </cell>
        </row>
        <row r="12535">
          <cell r="D12535" t="str">
            <v>RSC-R1UW-2E16</v>
          </cell>
          <cell r="E12535" t="str">
            <v>VR218S035241</v>
          </cell>
        </row>
        <row r="12536">
          <cell r="D12536" t="str">
            <v>RSC-R1UW-2E16</v>
          </cell>
          <cell r="E12536" t="str">
            <v>VR218S035234</v>
          </cell>
        </row>
        <row r="12537">
          <cell r="D12537" t="str">
            <v>RSC-R1UW-2E16</v>
          </cell>
          <cell r="E12537" t="str">
            <v>VR218S035174</v>
          </cell>
        </row>
        <row r="12538">
          <cell r="D12538" t="str">
            <v>M391A4G43BB1-CWE</v>
          </cell>
          <cell r="E12538" t="str">
            <v>SNL593</v>
          </cell>
        </row>
        <row r="12539">
          <cell r="D12539" t="str">
            <v>M391A4G43BB1-CWE</v>
          </cell>
          <cell r="E12539" t="str">
            <v>SNL594</v>
          </cell>
        </row>
        <row r="12540">
          <cell r="D12540" t="str">
            <v>M391A4G43BB1-CWE</v>
          </cell>
          <cell r="E12540" t="str">
            <v>SNL595</v>
          </cell>
        </row>
        <row r="12541">
          <cell r="D12541" t="str">
            <v>M391A4G43BB1-CWE</v>
          </cell>
          <cell r="E12541" t="str">
            <v>SNL596</v>
          </cell>
        </row>
        <row r="12542">
          <cell r="D12542" t="str">
            <v>M391A4G43BB1-CWE</v>
          </cell>
          <cell r="E12542" t="str">
            <v>SNL597</v>
          </cell>
        </row>
        <row r="12543">
          <cell r="D12543" t="str">
            <v>M391A4G43BB1-CWE</v>
          </cell>
          <cell r="E12543" t="str">
            <v>SNL598</v>
          </cell>
        </row>
        <row r="12544">
          <cell r="D12544" t="str">
            <v>M391A4G43BB1-CWE</v>
          </cell>
          <cell r="E12544" t="str">
            <v>SNL599</v>
          </cell>
        </row>
        <row r="12545">
          <cell r="D12545" t="str">
            <v>M391A4G43BB1-CWE</v>
          </cell>
          <cell r="E12545" t="str">
            <v>SNL600</v>
          </cell>
        </row>
        <row r="12546">
          <cell r="D12546" t="str">
            <v>M391A4G43BB1-CWE</v>
          </cell>
          <cell r="E12546" t="str">
            <v>SNL601</v>
          </cell>
        </row>
        <row r="12547">
          <cell r="D12547" t="str">
            <v>M391A4G43BB1-CWE</v>
          </cell>
          <cell r="E12547" t="str">
            <v>SNL602</v>
          </cell>
        </row>
        <row r="12548">
          <cell r="D12548" t="str">
            <v>KSM32ED8/32ME</v>
          </cell>
          <cell r="E12548" t="str">
            <v>2216 0000009462562-T000160</v>
          </cell>
        </row>
        <row r="12549">
          <cell r="D12549" t="str">
            <v>KSM32ED8/32ME</v>
          </cell>
          <cell r="E12549" t="str">
            <v>2216 0000009462562-T000204</v>
          </cell>
        </row>
        <row r="12550">
          <cell r="D12550" t="str">
            <v>KSM32ES8/16ME</v>
          </cell>
          <cell r="E12550" t="str">
            <v>2216 0000009465823-T000269</v>
          </cell>
          <cell r="K12550" t="str">
            <v>SO/2022/006072/A 4z12</v>
          </cell>
        </row>
        <row r="12551">
          <cell r="D12551" t="str">
            <v>KSM32ES8/16ME</v>
          </cell>
          <cell r="E12551" t="str">
            <v>2216 0000009465823-T000181</v>
          </cell>
          <cell r="K12551" t="str">
            <v>SO/2022/006072/A 4z12</v>
          </cell>
        </row>
        <row r="12552">
          <cell r="D12552" t="str">
            <v>KSM32ES8/16ME</v>
          </cell>
          <cell r="E12552" t="str">
            <v>2216 0000009465823-T000037</v>
          </cell>
          <cell r="K12552" t="str">
            <v>SO/2022/006072/A 3z12</v>
          </cell>
        </row>
        <row r="12553">
          <cell r="D12553" t="str">
            <v>KSM32ES8/16ME</v>
          </cell>
          <cell r="E12553" t="str">
            <v>2216 0000009465823-T000032</v>
          </cell>
          <cell r="K12553" t="str">
            <v>SO/2022/006072/A 3z12</v>
          </cell>
        </row>
        <row r="12554">
          <cell r="D12554" t="str">
            <v>KSM32ES8/16ME</v>
          </cell>
          <cell r="E12554" t="str">
            <v>2216 0000009465823-T000183</v>
          </cell>
          <cell r="K12554" t="str">
            <v>SO/2022/006072/A 4z12</v>
          </cell>
        </row>
        <row r="12555">
          <cell r="D12555" t="str">
            <v>KSM32ES8/16ME</v>
          </cell>
          <cell r="E12555" t="str">
            <v>2216 0000009465823-T000150</v>
          </cell>
          <cell r="K12555" t="str">
            <v>SO/2022/006072/A 3z12</v>
          </cell>
        </row>
        <row r="12556">
          <cell r="D12556" t="str">
            <v>KSM32ES8/16ME</v>
          </cell>
          <cell r="E12556" t="str">
            <v>2216 0000009465823-T000205</v>
          </cell>
          <cell r="K12556" t="str">
            <v>SO/2022/006072/A 2z12</v>
          </cell>
        </row>
        <row r="12557">
          <cell r="D12557" t="str">
            <v>KSM32ES8/16ME</v>
          </cell>
          <cell r="E12557" t="str">
            <v>2216 0000009465823-T000239</v>
          </cell>
          <cell r="K12557" t="str">
            <v>SO/2022/006072/A 2z12</v>
          </cell>
        </row>
        <row r="12558">
          <cell r="D12558" t="str">
            <v>KSM32ES8/16ME</v>
          </cell>
          <cell r="E12558" t="str">
            <v>2216 0000009465823-T000204</v>
          </cell>
          <cell r="K12558" t="str">
            <v>SO/2022/006072/A 2z12</v>
          </cell>
        </row>
        <row r="12559">
          <cell r="D12559" t="str">
            <v>KSM32ES8/16ME</v>
          </cell>
          <cell r="E12559" t="str">
            <v>2216 0000009465823-T000078</v>
          </cell>
          <cell r="K12559" t="str">
            <v>SO/2022/006072/A 2z12</v>
          </cell>
        </row>
        <row r="12560">
          <cell r="D12560" t="str">
            <v>KSM32ES8/16ME</v>
          </cell>
          <cell r="E12560" t="str">
            <v>2216 0000009465823-T000212</v>
          </cell>
          <cell r="K12560" t="str">
            <v>SO/2022/006072/A 1z12</v>
          </cell>
        </row>
        <row r="12561">
          <cell r="D12561" t="str">
            <v>KSM32ES8/16ME</v>
          </cell>
          <cell r="E12561" t="str">
            <v>2216 0000009465823-T000108</v>
          </cell>
          <cell r="K12561" t="str">
            <v>SO/2022/006072/A 1z12</v>
          </cell>
        </row>
        <row r="12562">
          <cell r="D12562" t="str">
            <v>KSM32ES8/16ME</v>
          </cell>
          <cell r="E12562" t="str">
            <v>2216 0000009465823-T000195</v>
          </cell>
          <cell r="K12562" t="str">
            <v>SO/2022/006072/A 3z12</v>
          </cell>
        </row>
        <row r="12563">
          <cell r="D12563" t="str">
            <v>KSM32ES8/16ME</v>
          </cell>
          <cell r="E12563" t="str">
            <v>2216 0000009465823-T000054</v>
          </cell>
          <cell r="K12563" t="str">
            <v>SO/2022/006072/A 1z12</v>
          </cell>
        </row>
        <row r="12564">
          <cell r="D12564" t="str">
            <v>KSM32ES8/16ME</v>
          </cell>
          <cell r="E12564" t="str">
            <v>2216 0000009465823-T000121</v>
          </cell>
          <cell r="K12564" t="str">
            <v>SO/2022/006072/A 1z12</v>
          </cell>
        </row>
        <row r="12565">
          <cell r="D12565" t="str">
            <v>KSM32ES8/16ME</v>
          </cell>
          <cell r="E12565" t="str">
            <v>2216 0000009465823-T000118</v>
          </cell>
          <cell r="K12565" t="str">
            <v>SO/2022/006072/A 6z12</v>
          </cell>
        </row>
        <row r="12566">
          <cell r="D12566" t="str">
            <v>KSM32ES8/16ME</v>
          </cell>
          <cell r="E12566" t="str">
            <v>2216 0000009465823-T000100</v>
          </cell>
          <cell r="K12566" t="str">
            <v>SO/2022/006072/A 6z12</v>
          </cell>
        </row>
        <row r="12567">
          <cell r="D12567" t="str">
            <v>KSM32ES8/16ME</v>
          </cell>
          <cell r="E12567" t="str">
            <v>2216 0000009465823-T000106</v>
          </cell>
          <cell r="K12567" t="str">
            <v>SO/2022/006072/A 6z12</v>
          </cell>
        </row>
        <row r="12568">
          <cell r="D12568" t="str">
            <v>KSM32ES8/16ME</v>
          </cell>
          <cell r="E12568" t="str">
            <v>2216 0000009465823-T000178</v>
          </cell>
          <cell r="K12568" t="str">
            <v>SO/2022/006072/A 5z12</v>
          </cell>
        </row>
        <row r="12569">
          <cell r="D12569" t="str">
            <v>KSM32ES8/16ME</v>
          </cell>
          <cell r="E12569" t="str">
            <v>2216 0000009465823-T000110</v>
          </cell>
          <cell r="K12569" t="str">
            <v>SO/2022/006072/A 5z12</v>
          </cell>
        </row>
        <row r="12570">
          <cell r="D12570" t="str">
            <v>KSM32ES8/16ME</v>
          </cell>
          <cell r="E12570" t="str">
            <v>2216 0000009465823-T000208</v>
          </cell>
          <cell r="K12570" t="str">
            <v>SO/2022/006072/A 5z12</v>
          </cell>
        </row>
        <row r="12571">
          <cell r="D12571" t="str">
            <v>KSM32ES8/16ME</v>
          </cell>
          <cell r="E12571" t="str">
            <v>2216 0000009465823-T000112</v>
          </cell>
          <cell r="K12571" t="str">
            <v>SO/2022/006072/A 5z12</v>
          </cell>
        </row>
        <row r="12572">
          <cell r="D12572" t="str">
            <v>KSM32ES8/16ME</v>
          </cell>
          <cell r="E12572" t="str">
            <v>2216 0000009465823-T000041</v>
          </cell>
          <cell r="K12572" t="str">
            <v>SO/2022/006072/A 4z12</v>
          </cell>
        </row>
        <row r="12573">
          <cell r="D12573" t="str">
            <v>KSM32ES8/16ME</v>
          </cell>
          <cell r="E12573" t="str">
            <v>2216 0000009465823-T000184</v>
          </cell>
          <cell r="K12573" t="str">
            <v>SO/2022/006072/A 12z12</v>
          </cell>
        </row>
        <row r="12574">
          <cell r="D12574" t="str">
            <v>KSM32ES8/16ME</v>
          </cell>
          <cell r="E12574" t="str">
            <v>2216 0000009465823-T000046</v>
          </cell>
          <cell r="K12574" t="str">
            <v>SO/2022/006072/A 12z12</v>
          </cell>
        </row>
        <row r="12575">
          <cell r="D12575" t="str">
            <v>KSM32ES8/16ME</v>
          </cell>
          <cell r="E12575" t="str">
            <v>2216 0000009465823-T000196</v>
          </cell>
          <cell r="K12575" t="str">
            <v>SO/2022/006072/A 12z12</v>
          </cell>
        </row>
        <row r="12576">
          <cell r="D12576" t="str">
            <v>KSM32ES8/16ME</v>
          </cell>
          <cell r="E12576" t="str">
            <v>2216 0000009465823-T000197</v>
          </cell>
          <cell r="K12576" t="str">
            <v>SO/2022/006072/A 12z12</v>
          </cell>
        </row>
        <row r="12577">
          <cell r="D12577" t="str">
            <v>KSM32ES8/16ME</v>
          </cell>
          <cell r="E12577" t="str">
            <v>2216 0000009465823-T000180</v>
          </cell>
          <cell r="K12577" t="str">
            <v>SO/2022/006072/A 11z12</v>
          </cell>
        </row>
        <row r="12578">
          <cell r="D12578" t="str">
            <v>KSM32ES8/16ME</v>
          </cell>
          <cell r="E12578" t="str">
            <v>2216 0000009465823-T000188</v>
          </cell>
          <cell r="K12578" t="str">
            <v>SO/2022/006072/A 11z12</v>
          </cell>
        </row>
        <row r="12579">
          <cell r="D12579" t="str">
            <v>KSM32ES8/16ME</v>
          </cell>
          <cell r="E12579" t="str">
            <v>2216 0000009465823-T000044</v>
          </cell>
          <cell r="K12579" t="str">
            <v>SO/2022/006072/A 11z12</v>
          </cell>
        </row>
        <row r="12580">
          <cell r="D12580" t="str">
            <v>KSM32ES8/16ME</v>
          </cell>
          <cell r="E12580" t="str">
            <v>2216 0000009465823-T000220</v>
          </cell>
          <cell r="K12580" t="str">
            <v>SO/2022/006072/A 11z12</v>
          </cell>
        </row>
        <row r="12581">
          <cell r="D12581" t="str">
            <v>KSM32ES8/16ME</v>
          </cell>
          <cell r="E12581" t="str">
            <v>2216 0000009465823-T000236</v>
          </cell>
          <cell r="K12581" t="str">
            <v>SO/2022/006072/A 10z12</v>
          </cell>
        </row>
        <row r="12582">
          <cell r="D12582" t="str">
            <v>KSM32ES8/16ME</v>
          </cell>
          <cell r="E12582" t="str">
            <v>2216 0000009465823-T000177</v>
          </cell>
          <cell r="K12582" t="str">
            <v>SO/2022/006072/A 10z12</v>
          </cell>
        </row>
        <row r="12583">
          <cell r="D12583" t="str">
            <v>KSM32ES8/16ME</v>
          </cell>
          <cell r="E12583" t="str">
            <v>2216 0000009465823-T000142</v>
          </cell>
          <cell r="K12583" t="str">
            <v>SO/2022/006072/A 10z12</v>
          </cell>
        </row>
        <row r="12584">
          <cell r="D12584" t="str">
            <v>KSM32ES8/16ME</v>
          </cell>
          <cell r="E12584" t="str">
            <v>2216 0000009465823-T000073</v>
          </cell>
          <cell r="K12584" t="str">
            <v>SO/2022/006072/A 10z12</v>
          </cell>
        </row>
        <row r="12585">
          <cell r="D12585" t="str">
            <v>KSM32ES8/16ME</v>
          </cell>
          <cell r="E12585" t="str">
            <v>2216 0000009465823-T000020</v>
          </cell>
          <cell r="K12585" t="str">
            <v>SO/2022/006072/A 9z12</v>
          </cell>
        </row>
        <row r="12586">
          <cell r="D12586" t="str">
            <v>KSM32ES8/16ME</v>
          </cell>
          <cell r="E12586" t="str">
            <v>2216 0000009465823-T000266</v>
          </cell>
          <cell r="K12586" t="str">
            <v>SO/2022/006072/A 9z12</v>
          </cell>
        </row>
        <row r="12587">
          <cell r="D12587" t="str">
            <v>KSM32ES8/16ME</v>
          </cell>
          <cell r="E12587" t="str">
            <v>2216 0000009465823-T000048</v>
          </cell>
          <cell r="K12587" t="str">
            <v>SO/2022/006072/A 9z12</v>
          </cell>
        </row>
        <row r="12588">
          <cell r="D12588" t="str">
            <v>KSM32ES8/16ME</v>
          </cell>
          <cell r="E12588" t="str">
            <v>2216 0000009465823-T000271</v>
          </cell>
          <cell r="K12588" t="str">
            <v>SO/2022/006072/A 9z12</v>
          </cell>
        </row>
        <row r="12589">
          <cell r="D12589" t="str">
            <v>KSM32ES8/16ME</v>
          </cell>
          <cell r="E12589" t="str">
            <v>2216 0000009465823-T000284</v>
          </cell>
          <cell r="K12589" t="str">
            <v>SO/2022/006072/A 8z12</v>
          </cell>
        </row>
        <row r="12590">
          <cell r="D12590" t="str">
            <v>KSM32ES8/16ME</v>
          </cell>
          <cell r="E12590" t="str">
            <v>2216 0000009465823-T000187</v>
          </cell>
          <cell r="K12590" t="str">
            <v>SO/2022/006072/A 8z12</v>
          </cell>
        </row>
        <row r="12591">
          <cell r="D12591" t="str">
            <v>KSM32ES8/16ME</v>
          </cell>
          <cell r="E12591" t="str">
            <v>2216 0000009465823-T000080</v>
          </cell>
          <cell r="K12591" t="str">
            <v>SO/2022/006072/A 8z12</v>
          </cell>
        </row>
        <row r="12592">
          <cell r="D12592" t="str">
            <v>KSM32ES8/16ME</v>
          </cell>
          <cell r="E12592" t="str">
            <v>2216 0000009465823-T000182</v>
          </cell>
          <cell r="K12592" t="str">
            <v>SO/2022/006072/A 8z12</v>
          </cell>
        </row>
        <row r="12593">
          <cell r="D12593" t="str">
            <v>KSM32ES8/16ME</v>
          </cell>
          <cell r="E12593" t="str">
            <v>2216 0000009465823-T000130</v>
          </cell>
          <cell r="K12593" t="str">
            <v>SO/2022/006072/A 7z12</v>
          </cell>
        </row>
        <row r="12594">
          <cell r="D12594" t="str">
            <v>KSM32ES8/16ME</v>
          </cell>
          <cell r="E12594" t="str">
            <v>2216 0000009465823-T000247</v>
          </cell>
          <cell r="K12594" t="str">
            <v>SO/2022/006072/A 7z12</v>
          </cell>
        </row>
        <row r="12595">
          <cell r="D12595" t="str">
            <v>KSM32ES8/16ME</v>
          </cell>
          <cell r="E12595" t="str">
            <v>2216 0000009465823-T000245</v>
          </cell>
          <cell r="K12595" t="str">
            <v>SO/2022/006072/A 7z12</v>
          </cell>
        </row>
        <row r="12596">
          <cell r="D12596" t="str">
            <v>KSM32ES8/16ME</v>
          </cell>
          <cell r="E12596" t="str">
            <v>2216 0000009465823-T000230</v>
          </cell>
          <cell r="K12596" t="str">
            <v>SO/2022/006072/A 7z12</v>
          </cell>
        </row>
        <row r="12597">
          <cell r="D12597" t="str">
            <v>KSM32ES8/16ME</v>
          </cell>
          <cell r="E12597" t="str">
            <v>2216 0000009465823-T000034</v>
          </cell>
          <cell r="K12597" t="str">
            <v>SO/2022/006072/A 6z12</v>
          </cell>
        </row>
        <row r="12598">
          <cell r="D12598" t="str">
            <v>0B36039</v>
          </cell>
          <cell r="E12598" t="str">
            <v>V9KLTUHL</v>
          </cell>
        </row>
        <row r="12599">
          <cell r="D12599" t="str">
            <v>0B36039</v>
          </cell>
          <cell r="E12599" t="str">
            <v>V9KLMD3L</v>
          </cell>
        </row>
        <row r="12600">
          <cell r="D12600" t="str">
            <v>0B36039</v>
          </cell>
          <cell r="E12600" t="str">
            <v>V9KLWGJL</v>
          </cell>
        </row>
        <row r="12601">
          <cell r="D12601" t="str">
            <v>0B36039</v>
          </cell>
          <cell r="E12601" t="str">
            <v>V9KLUX0L</v>
          </cell>
        </row>
        <row r="12602">
          <cell r="D12602" t="str">
            <v>0B36039</v>
          </cell>
          <cell r="E12602" t="str">
            <v>V9KLB6YL</v>
          </cell>
        </row>
        <row r="12603">
          <cell r="D12603" t="str">
            <v>0B36039</v>
          </cell>
          <cell r="E12603" t="str">
            <v>V9KLJWHL</v>
          </cell>
        </row>
        <row r="12604">
          <cell r="D12604" t="str">
            <v>0B36039</v>
          </cell>
          <cell r="E12604" t="str">
            <v>V9KLTSKL</v>
          </cell>
        </row>
        <row r="12605">
          <cell r="D12605" t="str">
            <v>0B36039</v>
          </cell>
          <cell r="E12605" t="str">
            <v>V9KLB7GL</v>
          </cell>
        </row>
        <row r="12606">
          <cell r="D12606" t="str">
            <v>0B36039</v>
          </cell>
          <cell r="E12606" t="str">
            <v>V9KLGZVL</v>
          </cell>
        </row>
        <row r="12607">
          <cell r="D12607" t="str">
            <v>0B36039</v>
          </cell>
          <cell r="E12607" t="str">
            <v>V9KLR07L</v>
          </cell>
        </row>
        <row r="12608">
          <cell r="D12608" t="str">
            <v>0B36039</v>
          </cell>
          <cell r="E12608" t="str">
            <v>V9KLZX6L</v>
          </cell>
        </row>
        <row r="12609">
          <cell r="D12609" t="str">
            <v>0B36039</v>
          </cell>
          <cell r="E12609" t="str">
            <v>V9KLB7GL</v>
          </cell>
        </row>
        <row r="12610">
          <cell r="D12610" t="str">
            <v>0B36039</v>
          </cell>
          <cell r="E12610" t="str">
            <v>V9KLK44L</v>
          </cell>
        </row>
        <row r="12611">
          <cell r="D12611" t="str">
            <v>0B36039</v>
          </cell>
          <cell r="E12611" t="str">
            <v>V9KLVZDL</v>
          </cell>
        </row>
        <row r="12612">
          <cell r="D12612" t="str">
            <v>0B36039</v>
          </cell>
          <cell r="E12612" t="str">
            <v>V9KLB5WL</v>
          </cell>
        </row>
        <row r="12613">
          <cell r="D12613" t="str">
            <v>0B36039</v>
          </cell>
          <cell r="E12613" t="str">
            <v>V9KLJRVL</v>
          </cell>
        </row>
        <row r="12614">
          <cell r="D12614" t="str">
            <v>0B36039</v>
          </cell>
          <cell r="E12614" t="str">
            <v>V9KLSH0L</v>
          </cell>
        </row>
        <row r="12615">
          <cell r="D12615" t="str">
            <v>0B36039</v>
          </cell>
          <cell r="E12615" t="str">
            <v>V9KLZZXL</v>
          </cell>
        </row>
        <row r="12616">
          <cell r="D12616" t="str">
            <v>0B36039</v>
          </cell>
          <cell r="E12616" t="str">
            <v>V9KLBBGL</v>
          </cell>
        </row>
        <row r="12617">
          <cell r="D12617" t="str">
            <v>0B36039</v>
          </cell>
          <cell r="E12617" t="str">
            <v>V9KLKAHL</v>
          </cell>
        </row>
        <row r="12618">
          <cell r="D12618" t="str">
            <v>0B36039</v>
          </cell>
          <cell r="E12618" t="str">
            <v>V9KLWJYL</v>
          </cell>
        </row>
        <row r="12619">
          <cell r="D12619" t="str">
            <v>0B36039</v>
          </cell>
          <cell r="E12619" t="str">
            <v>V9KLJU8L</v>
          </cell>
        </row>
        <row r="12620">
          <cell r="D12620" t="str">
            <v>0B36039</v>
          </cell>
          <cell r="E12620" t="str">
            <v>V9KLTRWL</v>
          </cell>
        </row>
        <row r="12621">
          <cell r="D12621" t="str">
            <v>0B36039</v>
          </cell>
          <cell r="E12621" t="str">
            <v>V9KM18NL</v>
          </cell>
        </row>
        <row r="12622">
          <cell r="D12622" t="str">
            <v>0B36048</v>
          </cell>
          <cell r="E12622" t="str">
            <v>VBH6EJAF</v>
          </cell>
        </row>
        <row r="12623">
          <cell r="D12623" t="str">
            <v>0B36048</v>
          </cell>
          <cell r="E12623" t="str">
            <v>VBH6EJBF</v>
          </cell>
        </row>
        <row r="12624">
          <cell r="D12624" t="str">
            <v>0B36048</v>
          </cell>
          <cell r="E12624" t="str">
            <v>VBH6DTWF</v>
          </cell>
        </row>
        <row r="12625">
          <cell r="D12625" t="str">
            <v>0B36048</v>
          </cell>
          <cell r="E12625" t="str">
            <v>VBH6JVGF</v>
          </cell>
        </row>
        <row r="12626">
          <cell r="D12626" t="str">
            <v>0B36048</v>
          </cell>
          <cell r="E12626" t="str">
            <v>VBH6GNTF</v>
          </cell>
        </row>
        <row r="12627">
          <cell r="D12627" t="str">
            <v>0B36048</v>
          </cell>
          <cell r="E12627" t="str">
            <v>VBH6ES0F</v>
          </cell>
        </row>
        <row r="12628">
          <cell r="D12628" t="str">
            <v>0B36048</v>
          </cell>
          <cell r="E12628" t="str">
            <v>VBH6K39F</v>
          </cell>
        </row>
        <row r="12629">
          <cell r="D12629" t="str">
            <v>0B36048</v>
          </cell>
          <cell r="E12629" t="str">
            <v>VBH6EPAF</v>
          </cell>
        </row>
        <row r="12630">
          <cell r="D12630" t="str">
            <v>Iphone 12 mini blue 128</v>
          </cell>
          <cell r="E12630" t="str">
            <v>SF4GH22E60GQ0</v>
          </cell>
        </row>
        <row r="12631">
          <cell r="D12631" t="str">
            <v xml:space="preserve">Xeon Gold 5320 </v>
          </cell>
          <cell r="E12631" t="str">
            <v>6EF573EB4CA92102RKWU 71D672V800194</v>
          </cell>
        </row>
        <row r="12632">
          <cell r="D12632" t="str">
            <v xml:space="preserve">Xeon Gold 5320 </v>
          </cell>
          <cell r="E12632" t="str">
            <v>6F5761EB30A1E50ERKWU  71D672V800715</v>
          </cell>
        </row>
        <row r="12633">
          <cell r="D12633" t="str">
            <v xml:space="preserve">Xeon Gold 5320 </v>
          </cell>
          <cell r="E12633" t="str">
            <v>6F5D6EEBF8A64D2FRKWU  71D672V801428</v>
          </cell>
        </row>
        <row r="12634">
          <cell r="D12634" t="str">
            <v xml:space="preserve">Xeon Gold 5320 </v>
          </cell>
          <cell r="E12634" t="str">
            <v>6F647BEB273174FBRKWU  71D672V800785</v>
          </cell>
        </row>
        <row r="12635">
          <cell r="D12635" t="str">
            <v>X570D4U</v>
          </cell>
          <cell r="E12635" t="str">
            <v>F1S0XW000427</v>
          </cell>
        </row>
        <row r="12636">
          <cell r="D12636" t="str">
            <v>X570D4U</v>
          </cell>
          <cell r="E12636" t="str">
            <v>F1S0XW000424</v>
          </cell>
        </row>
        <row r="12637">
          <cell r="D12637" t="str">
            <v>MZ7L3960HCJR-00A07</v>
          </cell>
          <cell r="E12637" t="str">
            <v>S662NE0RB01820</v>
          </cell>
        </row>
        <row r="12638">
          <cell r="D12638" t="str">
            <v>MZ7L3960HCJR-00A07</v>
          </cell>
          <cell r="E12638" t="str">
            <v>S662NE0RB01821</v>
          </cell>
        </row>
        <row r="12639">
          <cell r="D12639" t="str">
            <v>MZ7L3960HCJR-00A07</v>
          </cell>
          <cell r="E12639" t="str">
            <v>S662NE0RB01822</v>
          </cell>
        </row>
        <row r="12640">
          <cell r="D12640" t="str">
            <v>MZ7L3960HCJR-00A07</v>
          </cell>
          <cell r="E12640" t="str">
            <v>S662NE0RB01818</v>
          </cell>
        </row>
        <row r="12641">
          <cell r="D12641" t="str">
            <v>MZ7L3960HCJR-00A07</v>
          </cell>
          <cell r="E12641" t="str">
            <v>S662NE0RB01814</v>
          </cell>
        </row>
        <row r="12642">
          <cell r="D12642" t="str">
            <v>MZ7L3960HCJR-00A07</v>
          </cell>
          <cell r="E12642" t="str">
            <v>S662NE0RB01815</v>
          </cell>
        </row>
        <row r="12643">
          <cell r="D12643" t="str">
            <v>MZ7L3960HCJR-00A07</v>
          </cell>
          <cell r="E12643" t="str">
            <v>S662NE0RB01133</v>
          </cell>
        </row>
        <row r="12644">
          <cell r="D12644" t="str">
            <v>MZ7L3960HCJR-00A07</v>
          </cell>
          <cell r="E12644" t="str">
            <v>S662NE0RB01134</v>
          </cell>
        </row>
        <row r="12645">
          <cell r="D12645" t="str">
            <v>MZ7L3960HCJR-00A07</v>
          </cell>
          <cell r="E12645" t="str">
            <v>S662NE0RB01135</v>
          </cell>
        </row>
        <row r="12646">
          <cell r="D12646" t="str">
            <v>MZ7L3960HCJR-00A07</v>
          </cell>
          <cell r="E12646" t="str">
            <v>S662NE0RB01136</v>
          </cell>
        </row>
        <row r="12647">
          <cell r="D12647" t="str">
            <v>MZ7L3960HCJR-00A07</v>
          </cell>
          <cell r="E12647" t="str">
            <v>S662NE0RB01137</v>
          </cell>
        </row>
        <row r="12648">
          <cell r="D12648" t="str">
            <v>MZ7L3960HCJR-00A07</v>
          </cell>
          <cell r="E12648" t="str">
            <v>S662NE0RB01138</v>
          </cell>
        </row>
        <row r="12649">
          <cell r="D12649" t="str">
            <v>MZ7L3960HCJR-00A07</v>
          </cell>
          <cell r="E12649" t="str">
            <v>S662NE0RB01139</v>
          </cell>
        </row>
        <row r="12650">
          <cell r="D12650" t="str">
            <v>MZ7L3960HCJR-00A07</v>
          </cell>
          <cell r="E12650" t="str">
            <v>S662NE0RB01140</v>
          </cell>
        </row>
        <row r="12651">
          <cell r="D12651" t="str">
            <v>MZ7L3960HCJR-00A07</v>
          </cell>
          <cell r="E12651" t="str">
            <v>S662NE0RB01141</v>
          </cell>
        </row>
        <row r="12652">
          <cell r="D12652" t="str">
            <v>MZ7L3960HCJR-00A07</v>
          </cell>
          <cell r="E12652" t="str">
            <v>S662NE0RB01142</v>
          </cell>
        </row>
        <row r="12653">
          <cell r="D12653" t="str">
            <v>MZ7L3960HCJR-00A07</v>
          </cell>
          <cell r="E12653" t="str">
            <v>S662NE0RB01143</v>
          </cell>
        </row>
        <row r="12654">
          <cell r="D12654" t="str">
            <v>MZ7L3960HCJR-00A07</v>
          </cell>
          <cell r="E12654" t="str">
            <v>S662NE0RB01144</v>
          </cell>
        </row>
        <row r="12655">
          <cell r="D12655" t="str">
            <v>MZ7L3960HCJR-00A07</v>
          </cell>
          <cell r="E12655" t="str">
            <v>S662NE0RB01824</v>
          </cell>
        </row>
        <row r="12656">
          <cell r="D12656" t="str">
            <v>MZ7L3960HCJR-00A07</v>
          </cell>
          <cell r="E12656" t="str">
            <v>S662NE0RB01831</v>
          </cell>
        </row>
        <row r="12657">
          <cell r="D12657" t="str">
            <v>MZ7L3960HCJR-00A07</v>
          </cell>
          <cell r="E12657" t="str">
            <v>S662NE0RB01825</v>
          </cell>
        </row>
        <row r="12658">
          <cell r="D12658" t="str">
            <v>MZ7L3960HCJR-00A07</v>
          </cell>
          <cell r="E12658" t="str">
            <v>S662NE0RB01827</v>
          </cell>
        </row>
        <row r="12659">
          <cell r="D12659" t="str">
            <v>MZ7L31T9HBLT-00A07</v>
          </cell>
          <cell r="E12659" t="str">
            <v>S6ESNE0T402704</v>
          </cell>
        </row>
        <row r="12660">
          <cell r="D12660" t="str">
            <v>MZ7L31T9HBLT-00A07</v>
          </cell>
          <cell r="E12660" t="str">
            <v>S6ESNE0T402703</v>
          </cell>
        </row>
        <row r="12661">
          <cell r="D12661" t="str">
            <v>Intel Xeon E5-2637 v4</v>
          </cell>
          <cell r="E12661" t="str">
            <v>78DT215200216</v>
          </cell>
        </row>
        <row r="12662">
          <cell r="D12662" t="str">
            <v xml:space="preserve">M393A4K40EB3-CWE </v>
          </cell>
          <cell r="E12662" t="str">
            <v>SNL603</v>
          </cell>
        </row>
        <row r="12663">
          <cell r="D12663" t="str">
            <v xml:space="preserve">M393A4K40EB3-CWE </v>
          </cell>
          <cell r="E12663" t="str">
            <v>SNL604</v>
          </cell>
        </row>
        <row r="12664">
          <cell r="D12664" t="str">
            <v xml:space="preserve">M393A4K40EB3-CWE </v>
          </cell>
          <cell r="E12664" t="str">
            <v>SNL605</v>
          </cell>
        </row>
        <row r="12665">
          <cell r="D12665" t="str">
            <v xml:space="preserve">M393A4K40EB3-CWE </v>
          </cell>
          <cell r="E12665" t="str">
            <v>SNL606</v>
          </cell>
        </row>
        <row r="12666">
          <cell r="D12666" t="str">
            <v>BX806954208</v>
          </cell>
          <cell r="E12666" t="str">
            <v>71E977A100389</v>
          </cell>
        </row>
        <row r="12667">
          <cell r="D12667" t="str">
            <v>BX806954208</v>
          </cell>
          <cell r="E12667" t="str">
            <v>713L75D600868</v>
          </cell>
        </row>
        <row r="12668">
          <cell r="D12668" t="str">
            <v>BX806954208</v>
          </cell>
          <cell r="E12668" t="str">
            <v>712C5E7901377</v>
          </cell>
        </row>
        <row r="12669">
          <cell r="D12669" t="str">
            <v>BX806954208</v>
          </cell>
          <cell r="E12669" t="str">
            <v>71VP891801205</v>
          </cell>
        </row>
        <row r="12670">
          <cell r="D12670" t="str">
            <v>BX806954208</v>
          </cell>
          <cell r="E12670" t="str">
            <v>71E977A100686</v>
          </cell>
        </row>
        <row r="12671">
          <cell r="D12671" t="str">
            <v>BX806954208</v>
          </cell>
          <cell r="E12671" t="str">
            <v>71R71Y7000359</v>
          </cell>
        </row>
        <row r="12672">
          <cell r="D12672" t="str">
            <v>BX806954208</v>
          </cell>
          <cell r="E12672" t="str">
            <v>71VP891800843</v>
          </cell>
        </row>
        <row r="12673">
          <cell r="D12673" t="str">
            <v>BX806954208</v>
          </cell>
          <cell r="E12673" t="str">
            <v>712C5E7901060</v>
          </cell>
        </row>
        <row r="12674">
          <cell r="D12674" t="str">
            <v>BX806954208</v>
          </cell>
          <cell r="E12674" t="str">
            <v>71FP355501250</v>
          </cell>
        </row>
        <row r="12675">
          <cell r="D12675" t="str">
            <v>Xeon E-2388G</v>
          </cell>
          <cell r="E12675" t="str">
            <v>V203H899 822P5D2601838</v>
          </cell>
        </row>
        <row r="12676">
          <cell r="D12676" t="str">
            <v>Xeon E-2388G</v>
          </cell>
          <cell r="E12676" t="str">
            <v>V203H899  82C53A6802536</v>
          </cell>
        </row>
        <row r="12677">
          <cell r="D12677" t="str">
            <v>Xeon E-2388G</v>
          </cell>
          <cell r="E12677" t="str">
            <v>V203H899  822P5D2601767</v>
          </cell>
        </row>
        <row r="12678">
          <cell r="D12678" t="str">
            <v>Xeon E-2388G</v>
          </cell>
          <cell r="E12678" t="str">
            <v>V203H899  822P5D2602009</v>
          </cell>
        </row>
        <row r="12679">
          <cell r="D12679" t="str">
            <v>Xeon E-2388G</v>
          </cell>
          <cell r="E12679" t="str">
            <v>V203H899  82C53A6802541</v>
          </cell>
        </row>
        <row r="12680">
          <cell r="D12680" t="str">
            <v>Xeon E-2388G</v>
          </cell>
          <cell r="E12680" t="str">
            <v>V203H899  822P5D2601766</v>
          </cell>
        </row>
        <row r="12681">
          <cell r="D12681" t="str">
            <v>Xeon E-2388G</v>
          </cell>
          <cell r="E12681" t="str">
            <v>V203H899  822P5D2601846</v>
          </cell>
        </row>
        <row r="12682">
          <cell r="D12682" t="str">
            <v>Xeon E-2388G</v>
          </cell>
          <cell r="E12682" t="str">
            <v>V203H899  822P5D2601335</v>
          </cell>
        </row>
        <row r="12683">
          <cell r="D12683" t="str">
            <v>Xeon E-2388G</v>
          </cell>
          <cell r="E12683" t="str">
            <v>V203H899  822P5D2602036</v>
          </cell>
        </row>
        <row r="12684">
          <cell r="D12684" t="str">
            <v>Xeon E-2388G</v>
          </cell>
          <cell r="E12684" t="str">
            <v>V203H899  82C53A6800699</v>
          </cell>
        </row>
        <row r="12685">
          <cell r="D12685" t="str">
            <v>CD8069504449401 Xeon Gold 6248R</v>
          </cell>
          <cell r="E12685" t="str">
            <v>1T3211F899</v>
          </cell>
        </row>
        <row r="12686">
          <cell r="D12686" t="str">
            <v>CD8069504449401 Xeon Gold 6248R</v>
          </cell>
          <cell r="E12686" t="str">
            <v>1T3211F899</v>
          </cell>
        </row>
        <row r="12687">
          <cell r="D12687" t="str">
            <v>CD8069504449401 Xeon Gold 6248R</v>
          </cell>
          <cell r="E12687" t="str">
            <v>1T3211F899</v>
          </cell>
        </row>
        <row r="12688">
          <cell r="D12688" t="str">
            <v>CD8069504449401 Xeon Gold 6248R</v>
          </cell>
          <cell r="E12688" t="str">
            <v>1T3211F899</v>
          </cell>
        </row>
        <row r="12689">
          <cell r="D12689" t="str">
            <v>CD8069504449401 Xeon Gold 6248R</v>
          </cell>
          <cell r="E12689" t="str">
            <v>1T3211F899</v>
          </cell>
        </row>
        <row r="12690">
          <cell r="D12690" t="str">
            <v>CD8069504449401 Xeon Gold 6248R</v>
          </cell>
          <cell r="E12690" t="str">
            <v>1T3211F899</v>
          </cell>
        </row>
        <row r="12691">
          <cell r="D12691" t="str">
            <v>CD8069504449401 Xeon Gold 6248R</v>
          </cell>
          <cell r="E12691" t="str">
            <v>1T3211F899</v>
          </cell>
        </row>
        <row r="12692">
          <cell r="D12692" t="str">
            <v>CD8069504449401 Xeon Gold 6248R</v>
          </cell>
          <cell r="E12692" t="str">
            <v>1T3211F899</v>
          </cell>
        </row>
        <row r="12693">
          <cell r="D12693" t="str">
            <v>CD8069504449401 Xeon Gold 6248R</v>
          </cell>
          <cell r="E12693" t="str">
            <v>1T3211F899</v>
          </cell>
        </row>
        <row r="12694">
          <cell r="D12694" t="str">
            <v>CD8069504449401 Xeon Gold 6248R</v>
          </cell>
          <cell r="E12694" t="str">
            <v>1T3211F899</v>
          </cell>
        </row>
        <row r="12695">
          <cell r="D12695" t="str">
            <v>CD8069504449401 Xeon Gold 6248R</v>
          </cell>
          <cell r="E12695" t="str">
            <v>1T3211F899</v>
          </cell>
        </row>
        <row r="12696">
          <cell r="D12696" t="str">
            <v>CD8069504449401 Xeon Gold 6248R</v>
          </cell>
          <cell r="E12696" t="str">
            <v>1T3211F899</v>
          </cell>
        </row>
        <row r="12697">
          <cell r="D12697" t="str">
            <v>CD8069504449401 Xeon Gold 6248R</v>
          </cell>
          <cell r="E12697" t="str">
            <v>1T3211F899</v>
          </cell>
        </row>
        <row r="12698">
          <cell r="D12698" t="str">
            <v>CD8069504449401 Xeon Gold 6248R</v>
          </cell>
          <cell r="E12698" t="str">
            <v>1T3211F899</v>
          </cell>
        </row>
        <row r="12699">
          <cell r="D12699" t="str">
            <v>CD8069504449401 Xeon Gold 6248R</v>
          </cell>
          <cell r="E12699" t="str">
            <v>1T3211F899</v>
          </cell>
        </row>
        <row r="12700">
          <cell r="D12700" t="str">
            <v>CD8069504449401 Xeon Gold 6248R</v>
          </cell>
          <cell r="E12700" t="str">
            <v>1T3211F899</v>
          </cell>
        </row>
        <row r="12701">
          <cell r="D12701" t="str">
            <v>CD8069504449401 Xeon Gold 6248R</v>
          </cell>
          <cell r="E12701" t="str">
            <v>1T3211F899</v>
          </cell>
        </row>
        <row r="12702">
          <cell r="D12702" t="str">
            <v>CD8069504449401 Xeon Gold 6248R</v>
          </cell>
          <cell r="E12702" t="str">
            <v>1T3211F899</v>
          </cell>
        </row>
        <row r="12703">
          <cell r="D12703" t="str">
            <v>CD8069504449401 Xeon Gold 6248R</v>
          </cell>
          <cell r="E12703" t="str">
            <v>1T3211F899</v>
          </cell>
        </row>
        <row r="12704">
          <cell r="D12704" t="str">
            <v>CD8069504449401 Xeon Gold 6248R</v>
          </cell>
          <cell r="E12704" t="str">
            <v>1T3211F899</v>
          </cell>
        </row>
        <row r="12705">
          <cell r="D12705" t="str">
            <v>CD8069504449401 Xeon Gold 6248R</v>
          </cell>
          <cell r="E12705" t="str">
            <v>1T3211F899</v>
          </cell>
        </row>
        <row r="12706">
          <cell r="D12706" t="str">
            <v>CD8069504449401 Xeon Gold 6248R</v>
          </cell>
          <cell r="E12706" t="str">
            <v>1T3211F899</v>
          </cell>
        </row>
        <row r="12707">
          <cell r="D12707" t="str">
            <v>CD8069504449401 Xeon Gold 6248R</v>
          </cell>
          <cell r="E12707" t="str">
            <v>1T3211F899</v>
          </cell>
        </row>
        <row r="12708">
          <cell r="D12708" t="str">
            <v>CD8069504449401 Xeon Gold 6248R</v>
          </cell>
          <cell r="E12708" t="str">
            <v>1T3211F899</v>
          </cell>
        </row>
        <row r="12709">
          <cell r="D12709" t="str">
            <v>CD8069504449401 Xeon Gold 6248R</v>
          </cell>
          <cell r="E12709" t="str">
            <v>1T3211F899</v>
          </cell>
        </row>
        <row r="12710">
          <cell r="D12710" t="str">
            <v>CD8069504449401 Xeon Gold 6248R</v>
          </cell>
          <cell r="E12710" t="str">
            <v>1T3211F899</v>
          </cell>
        </row>
        <row r="12711">
          <cell r="D12711" t="str">
            <v>CD8069504449401 Xeon Gold 6248R</v>
          </cell>
          <cell r="E12711" t="str">
            <v>1T3211F899</v>
          </cell>
        </row>
        <row r="12712">
          <cell r="D12712" t="str">
            <v>CD8069504449401 Xeon Gold 6248R</v>
          </cell>
          <cell r="E12712" t="str">
            <v>1T3211F899</v>
          </cell>
        </row>
        <row r="12713">
          <cell r="D12713" t="str">
            <v>CD8069504449401 Xeon Gold 6248R</v>
          </cell>
          <cell r="E12713" t="str">
            <v>1T3211F899</v>
          </cell>
        </row>
        <row r="12714">
          <cell r="D12714" t="str">
            <v>CD8069504449401 Xeon Gold 6248R</v>
          </cell>
          <cell r="E12714" t="str">
            <v>1T3211F899</v>
          </cell>
        </row>
        <row r="12715">
          <cell r="D12715" t="str">
            <v>CD8069504449401 Xeon Gold 6248R</v>
          </cell>
          <cell r="E12715" t="str">
            <v>1T3211F899</v>
          </cell>
        </row>
        <row r="12716">
          <cell r="D12716" t="str">
            <v>CD8069504449401 Xeon Gold 6248R</v>
          </cell>
          <cell r="E12716" t="str">
            <v>1T3211F899</v>
          </cell>
        </row>
        <row r="12717">
          <cell r="D12717" t="str">
            <v>CD8069504449401 Xeon Gold 6248R</v>
          </cell>
          <cell r="E12717" t="str">
            <v>1T3211F899</v>
          </cell>
        </row>
        <row r="12718">
          <cell r="D12718" t="str">
            <v>CD8069504449401 Xeon Gold 6248R</v>
          </cell>
          <cell r="E12718" t="str">
            <v>1T3211F899</v>
          </cell>
        </row>
        <row r="12719">
          <cell r="D12719" t="str">
            <v>CD8069504449401 Xeon Gold 6248R</v>
          </cell>
          <cell r="E12719" t="str">
            <v>1T3211F899</v>
          </cell>
        </row>
        <row r="12720">
          <cell r="D12720" t="str">
            <v>CD8069504449401 Xeon Gold 6248R</v>
          </cell>
          <cell r="E12720" t="str">
            <v>1T3211F899</v>
          </cell>
        </row>
        <row r="12721">
          <cell r="D12721" t="str">
            <v>CD8069504449401 Xeon Gold 6248R</v>
          </cell>
          <cell r="E12721" t="str">
            <v>1T3211F899</v>
          </cell>
        </row>
        <row r="12722">
          <cell r="D12722" t="str">
            <v>CD8069504449401 Xeon Gold 6248R</v>
          </cell>
          <cell r="E12722" t="str">
            <v>1T3211F899</v>
          </cell>
        </row>
        <row r="12723">
          <cell r="D12723" t="str">
            <v>CD8069504449401 Xeon Gold 6248R</v>
          </cell>
          <cell r="E12723" t="str">
            <v>1T3211F899</v>
          </cell>
        </row>
        <row r="12724">
          <cell r="D12724" t="str">
            <v>CD8069504449401 Xeon Gold 6248R</v>
          </cell>
          <cell r="E12724" t="str">
            <v>1T3211F899</v>
          </cell>
        </row>
        <row r="12725">
          <cell r="D12725" t="str">
            <v>CD8069504449401 Xeon Gold 6248R</v>
          </cell>
          <cell r="E12725" t="str">
            <v>1T3211F899</v>
          </cell>
        </row>
        <row r="12726">
          <cell r="D12726" t="str">
            <v>CD8069504449401 Xeon Gold 6248R</v>
          </cell>
          <cell r="E12726" t="str">
            <v>1T3211F899</v>
          </cell>
        </row>
        <row r="12727">
          <cell r="D12727" t="str">
            <v>CD8069504449401 Xeon Gold 6248R</v>
          </cell>
          <cell r="E12727" t="str">
            <v>1T3211F899</v>
          </cell>
        </row>
        <row r="12728">
          <cell r="D12728" t="str">
            <v>CD8069504449401 Xeon Gold 6248R</v>
          </cell>
          <cell r="E12728" t="str">
            <v>1T3211F899</v>
          </cell>
        </row>
        <row r="12729">
          <cell r="D12729" t="str">
            <v>CD8069504449401 Xeon Gold 6248R</v>
          </cell>
          <cell r="E12729" t="str">
            <v>1T3211F899</v>
          </cell>
        </row>
        <row r="12730">
          <cell r="D12730" t="str">
            <v>CD8069504449401 Xeon Gold 6248R</v>
          </cell>
          <cell r="E12730" t="str">
            <v>1T3211F899</v>
          </cell>
        </row>
        <row r="12731">
          <cell r="D12731" t="str">
            <v>CD8069504449401 Xeon Gold 6248R</v>
          </cell>
          <cell r="E12731" t="str">
            <v>1T3211F899</v>
          </cell>
        </row>
        <row r="12732">
          <cell r="D12732" t="str">
            <v>CD8069504449401 Xeon Gold 6248R</v>
          </cell>
          <cell r="E12732" t="str">
            <v>1T3211F899</v>
          </cell>
        </row>
        <row r="12733">
          <cell r="D12733" t="str">
            <v>CD8069504449401 Xeon Gold 6248R</v>
          </cell>
          <cell r="E12733" t="str">
            <v>1T3211F899</v>
          </cell>
        </row>
        <row r="12734">
          <cell r="D12734" t="str">
            <v>CD8069504449401 Xeon Gold 6248R</v>
          </cell>
          <cell r="E12734" t="str">
            <v>1T3211F899</v>
          </cell>
        </row>
        <row r="12735">
          <cell r="D12735" t="str">
            <v>CD8069504449401 Xeon Gold 6248R</v>
          </cell>
          <cell r="E12735" t="str">
            <v>1T3211F899</v>
          </cell>
        </row>
        <row r="12736">
          <cell r="D12736" t="str">
            <v>CD8069504449401 Xeon Gold 6248R</v>
          </cell>
          <cell r="E12736" t="str">
            <v>1T3211F899</v>
          </cell>
        </row>
        <row r="12737">
          <cell r="D12737" t="str">
            <v>CD8069504449401 Xeon Gold 6248R</v>
          </cell>
          <cell r="E12737" t="str">
            <v>1T3211F899</v>
          </cell>
        </row>
        <row r="12738">
          <cell r="D12738" t="str">
            <v>CD8069504449401 Xeon Gold 6248R</v>
          </cell>
          <cell r="E12738" t="str">
            <v>1T3211F899</v>
          </cell>
        </row>
        <row r="12739">
          <cell r="D12739" t="str">
            <v>CD8069504449401 Xeon Gold 6248R</v>
          </cell>
          <cell r="E12739" t="str">
            <v>1T3211F899</v>
          </cell>
        </row>
        <row r="12740">
          <cell r="D12740" t="str">
            <v>CD8069504449401 Xeon Gold 6248R</v>
          </cell>
          <cell r="E12740" t="str">
            <v>1T3211F899</v>
          </cell>
        </row>
        <row r="12741">
          <cell r="D12741" t="str">
            <v>CD8069504449401 Xeon Gold 6248R</v>
          </cell>
          <cell r="E12741" t="str">
            <v>1T3215F103</v>
          </cell>
        </row>
        <row r="12742">
          <cell r="D12742" t="str">
            <v>CD8069504449401 Xeon Gold 6248R</v>
          </cell>
          <cell r="E12742" t="str">
            <v>1T3215F103</v>
          </cell>
        </row>
        <row r="12743">
          <cell r="D12743" t="str">
            <v>CD8069504449401 Xeon Gold 6248R</v>
          </cell>
          <cell r="E12743" t="str">
            <v>1T3215F103</v>
          </cell>
        </row>
        <row r="12744">
          <cell r="D12744" t="str">
            <v>CD8069504449401 Xeon Gold 6248R</v>
          </cell>
          <cell r="E12744" t="str">
            <v>1T3215F103</v>
          </cell>
        </row>
        <row r="12745">
          <cell r="D12745" t="str">
            <v>CD8069504449401 Xeon Gold 6248R</v>
          </cell>
          <cell r="E12745" t="str">
            <v>1T3215F103</v>
          </cell>
        </row>
        <row r="12746">
          <cell r="D12746" t="str">
            <v>CD8069504449401 Xeon Gold 6248R</v>
          </cell>
          <cell r="E12746" t="str">
            <v>1T3215F103</v>
          </cell>
        </row>
        <row r="12747">
          <cell r="D12747" t="str">
            <v>CD8069504449401 Xeon Gold 6248R</v>
          </cell>
          <cell r="E12747" t="str">
            <v>1T3215F103</v>
          </cell>
        </row>
        <row r="12748">
          <cell r="D12748" t="str">
            <v>CD8069504449401 Xeon Gold 6248R</v>
          </cell>
          <cell r="E12748" t="str">
            <v>1T3215F103</v>
          </cell>
        </row>
        <row r="12749">
          <cell r="D12749" t="str">
            <v>CD8069504449401 Xeon Gold 6248R</v>
          </cell>
          <cell r="E12749" t="str">
            <v>1T3215F103</v>
          </cell>
        </row>
        <row r="12750">
          <cell r="D12750" t="str">
            <v>CD8069504449401 Xeon Gold 6248R</v>
          </cell>
          <cell r="E12750" t="str">
            <v>1T3215F103</v>
          </cell>
        </row>
        <row r="12751">
          <cell r="D12751" t="str">
            <v>CD8069504449401 Xeon Gold 6248R</v>
          </cell>
          <cell r="E12751" t="str">
            <v>1T3215F103</v>
          </cell>
        </row>
        <row r="12752">
          <cell r="D12752" t="str">
            <v>CD8069504449401 Xeon Gold 6248R</v>
          </cell>
          <cell r="E12752" t="str">
            <v>1T3215F103</v>
          </cell>
        </row>
        <row r="12753">
          <cell r="D12753" t="str">
            <v>CD8069504449401 Xeon Gold 6248R</v>
          </cell>
          <cell r="E12753" t="str">
            <v>1T3215F103</v>
          </cell>
        </row>
        <row r="12754">
          <cell r="D12754" t="str">
            <v>CD8069504449401 Xeon Gold 6248R</v>
          </cell>
          <cell r="E12754" t="str">
            <v>1T3215F103</v>
          </cell>
        </row>
        <row r="12755">
          <cell r="D12755" t="str">
            <v>CD8069504449401 Xeon Gold 6248R</v>
          </cell>
          <cell r="E12755" t="str">
            <v>1T3215F103</v>
          </cell>
        </row>
        <row r="12756">
          <cell r="D12756" t="str">
            <v>CD8069504449401 Xeon Gold 6248R</v>
          </cell>
          <cell r="E12756" t="str">
            <v>1T3215F103</v>
          </cell>
        </row>
        <row r="12757">
          <cell r="D12757" t="str">
            <v>CD8069504449401 Xeon Gold 6248R</v>
          </cell>
          <cell r="E12757" t="str">
            <v>1T3211F902</v>
          </cell>
        </row>
        <row r="12758">
          <cell r="D12758" t="str">
            <v>CD8069504449401 Xeon Gold 6248R</v>
          </cell>
          <cell r="E12758" t="str">
            <v>1T3211F902</v>
          </cell>
        </row>
        <row r="12759">
          <cell r="D12759" t="str">
            <v>CD8069504449401 Xeon Gold 6248R</v>
          </cell>
          <cell r="E12759" t="str">
            <v>1T3211F902</v>
          </cell>
        </row>
        <row r="12760">
          <cell r="D12760" t="str">
            <v>CD8069504449401 Xeon Gold 6248R</v>
          </cell>
          <cell r="E12760" t="str">
            <v>1T3211F902</v>
          </cell>
        </row>
        <row r="12761">
          <cell r="D12761" t="str">
            <v>CD8069504449401 Xeon Gold 6248R</v>
          </cell>
          <cell r="E12761" t="str">
            <v>1T3211F902</v>
          </cell>
        </row>
        <row r="12762">
          <cell r="D12762" t="str">
            <v>CD8069504449401 Xeon Gold 6248R</v>
          </cell>
          <cell r="E12762" t="str">
            <v>1T3211F902</v>
          </cell>
        </row>
        <row r="12763">
          <cell r="D12763" t="str">
            <v>CD8069504449401 Xeon Gold 6248R</v>
          </cell>
          <cell r="E12763" t="str">
            <v>1T3211F902</v>
          </cell>
        </row>
        <row r="12764">
          <cell r="D12764" t="str">
            <v>CD8069504449401 Xeon Gold 6248R</v>
          </cell>
          <cell r="E12764" t="str">
            <v>1T3211F902</v>
          </cell>
        </row>
        <row r="12765">
          <cell r="D12765" t="str">
            <v>CD8069504449401 Xeon Gold 6248R</v>
          </cell>
          <cell r="E12765" t="str">
            <v>1T3211F902</v>
          </cell>
        </row>
        <row r="12766">
          <cell r="D12766" t="str">
            <v>CD8069504449401 Xeon Gold 6248R</v>
          </cell>
          <cell r="E12766" t="str">
            <v>1T3211F902</v>
          </cell>
        </row>
        <row r="12767">
          <cell r="D12767" t="str">
            <v>CD8069504449401 Xeon Gold 6248R</v>
          </cell>
          <cell r="E12767" t="str">
            <v>1T3211F902</v>
          </cell>
        </row>
        <row r="12768">
          <cell r="D12768" t="str">
            <v>CD8069504449401 Xeon Gold 6248R</v>
          </cell>
          <cell r="E12768" t="str">
            <v>1T3211F902</v>
          </cell>
        </row>
        <row r="12769">
          <cell r="D12769" t="str">
            <v>CD8069504449401 Xeon Gold 6248R</v>
          </cell>
          <cell r="E12769" t="str">
            <v>1T3211F902</v>
          </cell>
        </row>
        <row r="12770">
          <cell r="D12770" t="str">
            <v>CD8069504449401 Xeon Gold 6248R</v>
          </cell>
          <cell r="E12770" t="str">
            <v>1T3211F902</v>
          </cell>
        </row>
        <row r="12771">
          <cell r="D12771" t="str">
            <v>CD8069504449401 Xeon Gold 6248R</v>
          </cell>
          <cell r="E12771" t="str">
            <v>1T3211F902</v>
          </cell>
        </row>
        <row r="12772">
          <cell r="D12772" t="str">
            <v>CD8069504449401 Xeon Gold 6248R</v>
          </cell>
          <cell r="E12772" t="str">
            <v>1T3211F902</v>
          </cell>
        </row>
        <row r="12773">
          <cell r="D12773" t="str">
            <v>CD8069504449401 Xeon Gold 6248R</v>
          </cell>
          <cell r="E12773" t="str">
            <v>1T3211F902</v>
          </cell>
        </row>
        <row r="12774">
          <cell r="D12774" t="str">
            <v>CD8069504449401 Xeon Gold 6248R</v>
          </cell>
          <cell r="E12774" t="str">
            <v>1T3211F902</v>
          </cell>
        </row>
        <row r="12775">
          <cell r="D12775" t="str">
            <v>CD8069504449401 Xeon Gold 6248R</v>
          </cell>
          <cell r="E12775" t="str">
            <v>1T3211F902</v>
          </cell>
        </row>
        <row r="12776">
          <cell r="D12776" t="str">
            <v>CD8069504449401 Xeon Gold 6248R</v>
          </cell>
          <cell r="E12776" t="str">
            <v>1T3211F902</v>
          </cell>
        </row>
        <row r="12777">
          <cell r="D12777" t="str">
            <v>CD8069504449401 Xeon Gold 6248R</v>
          </cell>
          <cell r="E12777" t="str">
            <v>1T3211F902</v>
          </cell>
        </row>
        <row r="12778">
          <cell r="D12778" t="str">
            <v>CD8069504449401 Xeon Gold 6248R</v>
          </cell>
          <cell r="E12778" t="str">
            <v>1T3211F902</v>
          </cell>
        </row>
        <row r="12779">
          <cell r="D12779" t="str">
            <v>CD8069504449401 Xeon Gold 6248R</v>
          </cell>
          <cell r="E12779" t="str">
            <v>1T3211F902</v>
          </cell>
        </row>
        <row r="12780">
          <cell r="D12780" t="str">
            <v>CD8069504449401 Xeon Gold 6248R</v>
          </cell>
          <cell r="E12780" t="str">
            <v>1T3211F902</v>
          </cell>
        </row>
        <row r="12781">
          <cell r="D12781" t="str">
            <v>CD8069504449401 Xeon Gold 6248R</v>
          </cell>
          <cell r="E12781" t="str">
            <v>1T3211F902</v>
          </cell>
        </row>
        <row r="12782">
          <cell r="D12782" t="str">
            <v>CD8069504449401 Xeon Gold 6248R</v>
          </cell>
          <cell r="E12782" t="str">
            <v>1T3211F902</v>
          </cell>
        </row>
        <row r="12783">
          <cell r="D12783" t="str">
            <v>CD8069504449401 Xeon Gold 6248R</v>
          </cell>
          <cell r="E12783" t="str">
            <v>1T3211F902</v>
          </cell>
        </row>
        <row r="12784">
          <cell r="D12784" t="str">
            <v>CD8069504449401 Xeon Gold 6248R</v>
          </cell>
          <cell r="E12784" t="str">
            <v>1T3211F902</v>
          </cell>
        </row>
        <row r="12785">
          <cell r="D12785" t="str">
            <v>0B36404</v>
          </cell>
          <cell r="E12785" t="str">
            <v>VR0SJE8K</v>
          </cell>
        </row>
        <row r="12786">
          <cell r="D12786" t="str">
            <v>0B36404</v>
          </cell>
          <cell r="E12786" t="str">
            <v>VR0V79JK</v>
          </cell>
        </row>
        <row r="12787">
          <cell r="D12787" t="str">
            <v>0B36404</v>
          </cell>
          <cell r="E12787" t="str">
            <v>VR0SJG0K</v>
          </cell>
        </row>
        <row r="12788">
          <cell r="D12788" t="str">
            <v>0B36404</v>
          </cell>
          <cell r="E12788" t="str">
            <v>VR0SJVKK</v>
          </cell>
        </row>
        <row r="12789">
          <cell r="D12789" t="str">
            <v>MZ7L31T9HBLT-00A07</v>
          </cell>
          <cell r="E12789" t="str">
            <v>S6ESNE0T402699</v>
          </cell>
        </row>
        <row r="12790">
          <cell r="D12790" t="str">
            <v>MZ7L31T9HBLT-00A07</v>
          </cell>
          <cell r="E12790" t="str">
            <v>S6ESNE0T402702</v>
          </cell>
        </row>
        <row r="12791">
          <cell r="D12791" t="str">
            <v>SAS 9341-4i  05-26105-00</v>
          </cell>
          <cell r="E12791" t="str">
            <v>SPB2700264</v>
          </cell>
        </row>
        <row r="12792">
          <cell r="D12792" t="str">
            <v>SAS 9341-4i  05-26105-00</v>
          </cell>
          <cell r="E12792" t="str">
            <v>SPB2801259</v>
          </cell>
        </row>
        <row r="12793">
          <cell r="D12793" t="str">
            <v>Xeon Gold 6258R</v>
          </cell>
          <cell r="E12793" t="str">
            <v>3B2EEBAE46ED83DARGZF  M01J21B700990</v>
          </cell>
        </row>
        <row r="12794">
          <cell r="D12794" t="str">
            <v>SAS 9341-8i   05-26106-00</v>
          </cell>
          <cell r="E12794" t="str">
            <v>SPB5126985</v>
          </cell>
        </row>
        <row r="12795">
          <cell r="D12795" t="str">
            <v>SAS 9341-8i   05-26106-00</v>
          </cell>
          <cell r="E12795" t="str">
            <v>SPB5127458</v>
          </cell>
        </row>
        <row r="12796">
          <cell r="D12796" t="str">
            <v>SAS 9341-8i   05-26106-00</v>
          </cell>
          <cell r="E12796" t="str">
            <v>SPB5128480</v>
          </cell>
        </row>
        <row r="12797">
          <cell r="D12797" t="str">
            <v>SAS 9341-8i   05-26106-00</v>
          </cell>
          <cell r="E12797" t="str">
            <v>SPB5127451</v>
          </cell>
        </row>
        <row r="12798">
          <cell r="D12798" t="str">
            <v>SAS 9341-8i   05-26106-00</v>
          </cell>
          <cell r="E12798" t="str">
            <v>SPB5128285</v>
          </cell>
        </row>
        <row r="12799">
          <cell r="D12799" t="str">
            <v>SAS 9341-8i   05-26106-00</v>
          </cell>
          <cell r="E12799" t="str">
            <v>SPB5127240</v>
          </cell>
        </row>
        <row r="12800">
          <cell r="D12800" t="str">
            <v>SAS 9341-8i   05-26106-00</v>
          </cell>
          <cell r="E12800" t="str">
            <v>SPB5128205</v>
          </cell>
        </row>
        <row r="12801">
          <cell r="D12801" t="str">
            <v>SAS 9341-8i   05-26106-00</v>
          </cell>
          <cell r="E12801" t="str">
            <v>SPB5128227</v>
          </cell>
        </row>
        <row r="12802">
          <cell r="D12802" t="str">
            <v>SAS 9341-8i   05-26106-00</v>
          </cell>
          <cell r="E12802" t="str">
            <v>SPB5127372</v>
          </cell>
        </row>
        <row r="12803">
          <cell r="D12803" t="str">
            <v>SAS 9341-8i   05-26106-00</v>
          </cell>
          <cell r="E12803" t="str">
            <v>SPB5128221</v>
          </cell>
        </row>
        <row r="12804">
          <cell r="D12804" t="str">
            <v>SAS 9341-8i   05-26106-00</v>
          </cell>
          <cell r="E12804" t="str">
            <v>SPB5127368</v>
          </cell>
        </row>
        <row r="12805">
          <cell r="D12805" t="str">
            <v>SAS 9341-8i   05-26106-00</v>
          </cell>
          <cell r="E12805" t="str">
            <v>SPB5127646</v>
          </cell>
        </row>
        <row r="12806">
          <cell r="D12806" t="str">
            <v>SAS 9341-8i   05-26106-00</v>
          </cell>
          <cell r="E12806" t="str">
            <v>SPB5127657</v>
          </cell>
        </row>
        <row r="12807">
          <cell r="D12807" t="str">
            <v>SAS 9341-8i   05-26106-00</v>
          </cell>
          <cell r="E12807" t="str">
            <v>SPB5127644</v>
          </cell>
        </row>
        <row r="12808">
          <cell r="D12808" t="str">
            <v>SAS 9341-8i   05-26106-00</v>
          </cell>
          <cell r="E12808" t="str">
            <v>SPB5127651</v>
          </cell>
        </row>
        <row r="12809">
          <cell r="D12809" t="str">
            <v>SAS 9341-8i   05-26106-00</v>
          </cell>
          <cell r="E12809" t="str">
            <v>SPB5127300</v>
          </cell>
        </row>
        <row r="12810">
          <cell r="D12810" t="str">
            <v>SAS 9341-8i   05-26106-00</v>
          </cell>
          <cell r="E12810" t="str">
            <v>SPB5127566</v>
          </cell>
        </row>
        <row r="12811">
          <cell r="D12811" t="str">
            <v>SAS 9341-8i   05-26106-00</v>
          </cell>
          <cell r="E12811" t="str">
            <v>SPB5128302</v>
          </cell>
        </row>
        <row r="12812">
          <cell r="D12812" t="str">
            <v>SAS 9341-8i   05-26106-00</v>
          </cell>
          <cell r="E12812" t="str">
            <v>SPB5127435</v>
          </cell>
        </row>
        <row r="12813">
          <cell r="D12813" t="str">
            <v>SAS 9341-8i   05-26106-00</v>
          </cell>
          <cell r="E12813" t="str">
            <v>SPB5127895</v>
          </cell>
        </row>
        <row r="12814">
          <cell r="D12814" t="str">
            <v>BCM957416A4160C</v>
          </cell>
          <cell r="E12814" t="str">
            <v>A41602207000V5FV</v>
          </cell>
        </row>
        <row r="12815">
          <cell r="D12815" t="str">
            <v>BCM957416A4160C</v>
          </cell>
          <cell r="E12815" t="str">
            <v>A41602207000HIFV</v>
          </cell>
        </row>
        <row r="12816">
          <cell r="D12816" t="str">
            <v>BCM957416A4160C</v>
          </cell>
          <cell r="E12816" t="str">
            <v>A41602207000J7FV</v>
          </cell>
        </row>
        <row r="12817">
          <cell r="D12817" t="str">
            <v>BCM957416A4160C</v>
          </cell>
          <cell r="E12817" t="str">
            <v>A41602207000KBFV</v>
          </cell>
        </row>
        <row r="12818">
          <cell r="D12818" t="str">
            <v>BCM957416A4160C</v>
          </cell>
          <cell r="E12818" t="str">
            <v>A41602207000URFV</v>
          </cell>
        </row>
        <row r="12819">
          <cell r="D12819" t="str">
            <v>BCM957416A4160C</v>
          </cell>
          <cell r="E12819" t="str">
            <v>A41602207000KUFV</v>
          </cell>
        </row>
        <row r="12820">
          <cell r="D12820" t="str">
            <v>BCM957416A4160C</v>
          </cell>
          <cell r="E12820" t="str">
            <v>A41602207000RGFV</v>
          </cell>
        </row>
        <row r="12821">
          <cell r="D12821" t="str">
            <v>BCM957416A4160C</v>
          </cell>
          <cell r="E12821" t="str">
            <v>A41602207000QUFV</v>
          </cell>
        </row>
        <row r="12822">
          <cell r="D12822" t="str">
            <v>BCM957416A4160C</v>
          </cell>
          <cell r="E12822" t="str">
            <v>A41602207000KSFV</v>
          </cell>
        </row>
        <row r="12823">
          <cell r="D12823" t="str">
            <v>BCM957416A4160C</v>
          </cell>
          <cell r="E12823" t="str">
            <v>A41602207000VEFV</v>
          </cell>
        </row>
        <row r="12824">
          <cell r="D12824" t="str">
            <v>BCM957416A4160C</v>
          </cell>
          <cell r="E12824" t="str">
            <v>A41602207000OHFV</v>
          </cell>
        </row>
        <row r="12825">
          <cell r="D12825" t="str">
            <v>BCM957416A4160C</v>
          </cell>
          <cell r="E12825" t="str">
            <v>A41602207000NNFV</v>
          </cell>
        </row>
        <row r="12826">
          <cell r="D12826" t="str">
            <v>BCM957416A4160C</v>
          </cell>
          <cell r="E12826" t="str">
            <v>A41602207000SCFV</v>
          </cell>
        </row>
        <row r="12827">
          <cell r="D12827" t="str">
            <v>BCM957416A4160C</v>
          </cell>
          <cell r="E12827" t="str">
            <v>A41602207000Q3FV</v>
          </cell>
        </row>
        <row r="12828">
          <cell r="D12828" t="str">
            <v>BCM957416A4160C</v>
          </cell>
          <cell r="E12828" t="str">
            <v>A41602207000OZFV</v>
          </cell>
        </row>
        <row r="12829">
          <cell r="D12829" t="str">
            <v>BCM957416A4160C</v>
          </cell>
          <cell r="E12829" t="str">
            <v>A41602207000P5FV</v>
          </cell>
        </row>
        <row r="12830">
          <cell r="D12830" t="str">
            <v>BCM957416A4160C</v>
          </cell>
          <cell r="E12830" t="str">
            <v>A41602207000RFFV</v>
          </cell>
        </row>
        <row r="12831">
          <cell r="D12831" t="str">
            <v>BCM957416A4160C</v>
          </cell>
          <cell r="E12831" t="str">
            <v>A41602207000T1FV</v>
          </cell>
        </row>
        <row r="12832">
          <cell r="D12832" t="str">
            <v>BCM957416A4160C</v>
          </cell>
          <cell r="E12832" t="str">
            <v>A41602207000Q5FV</v>
          </cell>
        </row>
        <row r="12833">
          <cell r="D12833" t="str">
            <v>BCM957416A4160C</v>
          </cell>
          <cell r="E12833" t="str">
            <v>A41602207000SEFV</v>
          </cell>
        </row>
        <row r="12834">
          <cell r="D12834" t="str">
            <v>HBA 9500-8i  05-50077-03</v>
          </cell>
          <cell r="E12834" t="str">
            <v>SKC1353403</v>
          </cell>
        </row>
        <row r="12835">
          <cell r="D12835" t="str">
            <v>HBA 9500-8i  05-50077-03</v>
          </cell>
          <cell r="E12835" t="str">
            <v>SKC1403910</v>
          </cell>
        </row>
        <row r="12836">
          <cell r="D12836" t="str">
            <v>HBA 9500-8i  05-50077-03</v>
          </cell>
          <cell r="E12836" t="str">
            <v>SKC1403162</v>
          </cell>
        </row>
        <row r="12837">
          <cell r="D12837" t="str">
            <v>HBA 9500-8i  05-50077-03</v>
          </cell>
          <cell r="E12837" t="str">
            <v>SKC1352857</v>
          </cell>
        </row>
        <row r="12838">
          <cell r="D12838" t="str">
            <v>HBA 9500-8i  05-50077-03</v>
          </cell>
          <cell r="E12838" t="str">
            <v>SKC1403196</v>
          </cell>
        </row>
        <row r="12839">
          <cell r="D12839" t="str">
            <v>HBA 9500-8i  05-50077-03</v>
          </cell>
          <cell r="E12839" t="str">
            <v>SKC1305294</v>
          </cell>
        </row>
        <row r="12840">
          <cell r="D12840" t="str">
            <v>HBA 9500-8i  05-50077-03</v>
          </cell>
          <cell r="E12840" t="str">
            <v>SKC1338323</v>
          </cell>
        </row>
        <row r="12841">
          <cell r="D12841" t="str">
            <v>HBA 9500-8i  05-50077-03</v>
          </cell>
          <cell r="E12841" t="str">
            <v>SKC1338895</v>
          </cell>
        </row>
        <row r="12842">
          <cell r="D12842" t="str">
            <v>HBA 9500-8i  05-50077-03</v>
          </cell>
          <cell r="E12842" t="str">
            <v>SKC1324952</v>
          </cell>
        </row>
        <row r="12843">
          <cell r="D12843" t="str">
            <v>HBA 9500-8i  05-50077-03</v>
          </cell>
          <cell r="E12843" t="str">
            <v>SKC1338983</v>
          </cell>
        </row>
        <row r="12844">
          <cell r="D12844" t="str">
            <v>HBA 9500-8i  05-50077-03</v>
          </cell>
          <cell r="E12844" t="str">
            <v>SKC1353362</v>
          </cell>
        </row>
        <row r="12845">
          <cell r="D12845" t="str">
            <v>HBA 9500-8i  05-50077-03</v>
          </cell>
          <cell r="E12845" t="str">
            <v>SKC1403134</v>
          </cell>
        </row>
        <row r="12846">
          <cell r="D12846" t="str">
            <v>HBA 9500-8i  05-50077-03</v>
          </cell>
          <cell r="E12846" t="str">
            <v>SKC1417415</v>
          </cell>
        </row>
        <row r="12847">
          <cell r="D12847" t="str">
            <v>HBA 9500-8i  05-50077-03</v>
          </cell>
          <cell r="E12847" t="str">
            <v>SKC1353177</v>
          </cell>
        </row>
        <row r="12848">
          <cell r="D12848" t="str">
            <v>HBA 9500-8i  05-50077-03</v>
          </cell>
          <cell r="E12848" t="str">
            <v>SKC1403543</v>
          </cell>
        </row>
        <row r="12849">
          <cell r="D12849" t="str">
            <v>CVPM05          05-50039-00</v>
          </cell>
          <cell r="E12849" t="str">
            <v>SPB3740283</v>
          </cell>
        </row>
        <row r="12850">
          <cell r="D12850" t="str">
            <v>CVPM05          05-50039-00</v>
          </cell>
          <cell r="E12850" t="str">
            <v>SPB3741820</v>
          </cell>
        </row>
        <row r="12851">
          <cell r="D12851" t="str">
            <v>CVPM05          05-50039-00</v>
          </cell>
          <cell r="E12851" t="str">
            <v>SPB3741375</v>
          </cell>
        </row>
        <row r="12852">
          <cell r="D12852" t="str">
            <v>CVPM05          05-50039-00</v>
          </cell>
          <cell r="E12852" t="str">
            <v>SPB3741373</v>
          </cell>
        </row>
        <row r="12853">
          <cell r="D12853" t="str">
            <v>CVPM05          05-50039-00</v>
          </cell>
          <cell r="E12853" t="str">
            <v>SPB3740830</v>
          </cell>
        </row>
        <row r="12854">
          <cell r="D12854" t="str">
            <v>CVPM05          05-50039-00</v>
          </cell>
          <cell r="E12854" t="str">
            <v>SPB3738824</v>
          </cell>
        </row>
        <row r="12855">
          <cell r="D12855" t="str">
            <v>CVPM05          05-50039-00</v>
          </cell>
          <cell r="E12855" t="str">
            <v>SPB3742617</v>
          </cell>
        </row>
        <row r="12856">
          <cell r="D12856" t="str">
            <v>CVPM05          05-50039-00</v>
          </cell>
          <cell r="E12856" t="str">
            <v>SPB3742628</v>
          </cell>
          <cell r="K12856" t="str">
            <v>AWARIA</v>
          </cell>
        </row>
        <row r="12857">
          <cell r="D12857" t="str">
            <v>CVPM05          05-50039-00</v>
          </cell>
          <cell r="E12857" t="str">
            <v>SPB3738826</v>
          </cell>
        </row>
        <row r="12858">
          <cell r="D12858" t="str">
            <v>CVPM05          05-50039-00</v>
          </cell>
          <cell r="E12858" t="str">
            <v>SPB3742623</v>
          </cell>
        </row>
        <row r="12859">
          <cell r="D12859" t="str">
            <v>CVPM05          05-50039-00</v>
          </cell>
          <cell r="E12859" t="str">
            <v>SPB3738283</v>
          </cell>
        </row>
        <row r="12860">
          <cell r="D12860" t="str">
            <v>CVPM05          05-50039-00</v>
          </cell>
          <cell r="E12860" t="str">
            <v>SPB3742529</v>
          </cell>
        </row>
        <row r="12861">
          <cell r="D12861" t="str">
            <v>CVPM05          05-50039-00</v>
          </cell>
          <cell r="E12861" t="str">
            <v>SPB3742542</v>
          </cell>
        </row>
        <row r="12862">
          <cell r="D12862" t="str">
            <v>CVPM05          05-50039-00</v>
          </cell>
          <cell r="E12862" t="str">
            <v>SPB3738288</v>
          </cell>
        </row>
        <row r="12863">
          <cell r="D12863" t="str">
            <v>CVPM05          05-50039-00</v>
          </cell>
          <cell r="E12863" t="str">
            <v>SPB3742534</v>
          </cell>
        </row>
        <row r="12864">
          <cell r="D12864" t="str">
            <v>CVPM05          05-50039-00</v>
          </cell>
          <cell r="E12864" t="str">
            <v>SPB3738323</v>
          </cell>
        </row>
        <row r="12865">
          <cell r="D12865" t="str">
            <v>CVPM05          05-50039-00</v>
          </cell>
          <cell r="E12865" t="str">
            <v>SPB3739143</v>
          </cell>
        </row>
        <row r="12866">
          <cell r="D12866" t="str">
            <v>CVPM05          05-50039-00</v>
          </cell>
          <cell r="E12866" t="str">
            <v>SPB3742553</v>
          </cell>
        </row>
        <row r="12867">
          <cell r="D12867" t="str">
            <v>CVPM05          05-50039-00</v>
          </cell>
          <cell r="E12867" t="str">
            <v>SPB3739140</v>
          </cell>
        </row>
        <row r="12868">
          <cell r="D12868" t="str">
            <v>CVPM05          05-50039-00</v>
          </cell>
          <cell r="E12868" t="str">
            <v>SPB3740737</v>
          </cell>
        </row>
        <row r="12869">
          <cell r="D12869" t="str">
            <v>M393A4K40DB3-CWE</v>
          </cell>
          <cell r="E12869" t="str">
            <v>SNL607</v>
          </cell>
          <cell r="K12869" t="str">
            <v>K0GX00014813297D2D; AWARIA; Wymiana na SNL709</v>
          </cell>
        </row>
        <row r="12870">
          <cell r="D12870" t="str">
            <v>M393A4K40DB3-CWE</v>
          </cell>
          <cell r="E12870" t="str">
            <v>SNL608</v>
          </cell>
          <cell r="K12870" t="str">
            <v>K0GX00014813297E16</v>
          </cell>
        </row>
        <row r="12871">
          <cell r="D12871" t="str">
            <v>M393A4K40DB3-CWE</v>
          </cell>
          <cell r="E12871" t="str">
            <v>SNL609</v>
          </cell>
          <cell r="K12871" t="str">
            <v>K0GX00014813299081</v>
          </cell>
        </row>
        <row r="12872">
          <cell r="D12872" t="str">
            <v>M393A4K40DB3-CWE</v>
          </cell>
          <cell r="E12872" t="str">
            <v>SNL610</v>
          </cell>
          <cell r="K12872" t="str">
            <v>K0GX00014813294A8F</v>
          </cell>
        </row>
        <row r="12873">
          <cell r="D12873" t="str">
            <v>M393A4K40DB3-CWE</v>
          </cell>
          <cell r="E12873" t="str">
            <v>SNL611</v>
          </cell>
          <cell r="K12873" t="str">
            <v>K0GX00014813297B3B</v>
          </cell>
        </row>
        <row r="12874">
          <cell r="D12874" t="str">
            <v>M393A4K40DB3-CWE</v>
          </cell>
          <cell r="E12874" t="str">
            <v>SNL612</v>
          </cell>
          <cell r="K12874" t="str">
            <v>K0GX00014813297E1A</v>
          </cell>
        </row>
        <row r="12875">
          <cell r="D12875" t="str">
            <v>M393A4K40DB3-CWE</v>
          </cell>
          <cell r="E12875" t="str">
            <v>SNL613</v>
          </cell>
          <cell r="K12875" t="str">
            <v>K0GX00014813297EA0</v>
          </cell>
        </row>
        <row r="12876">
          <cell r="D12876" t="str">
            <v>M393A4K40DB3-CWE</v>
          </cell>
          <cell r="E12876" t="str">
            <v>SNL614</v>
          </cell>
          <cell r="K12876" t="str">
            <v>K0GX00014813297D29</v>
          </cell>
        </row>
        <row r="12877">
          <cell r="D12877" t="str">
            <v>M393A4K40DB3-CWE</v>
          </cell>
          <cell r="E12877" t="str">
            <v>SNL615</v>
          </cell>
          <cell r="K12877" t="str">
            <v>K0GX00014813297A52</v>
          </cell>
        </row>
        <row r="12878">
          <cell r="D12878" t="str">
            <v>M393A4K40DB3-CWE</v>
          </cell>
          <cell r="E12878" t="str">
            <v>SNL616</v>
          </cell>
          <cell r="K12878" t="str">
            <v>K0GX00014813297A54</v>
          </cell>
        </row>
        <row r="12879">
          <cell r="D12879" t="str">
            <v>M393A4K40DB3-CWE</v>
          </cell>
          <cell r="E12879" t="str">
            <v>SNL617</v>
          </cell>
          <cell r="K12879" t="str">
            <v>K0GX00014813297A4C</v>
          </cell>
        </row>
        <row r="12880">
          <cell r="D12880" t="str">
            <v>M393A4K40DB3-CWE</v>
          </cell>
          <cell r="E12880" t="str">
            <v>SNL618</v>
          </cell>
          <cell r="K12880" t="str">
            <v>K0GX000148132979A0</v>
          </cell>
        </row>
        <row r="12881">
          <cell r="D12881" t="str">
            <v>CD8069504449200  Xeon Silver 4215R</v>
          </cell>
          <cell r="E12881" t="str">
            <v>1T3217F368</v>
          </cell>
        </row>
        <row r="12882">
          <cell r="D12882" t="str">
            <v>CD8069504449200  Xeon Silver 4215R</v>
          </cell>
          <cell r="E12882" t="str">
            <v>1T3217F368</v>
          </cell>
        </row>
        <row r="12883">
          <cell r="D12883" t="str">
            <v>CD8069504449200  Xeon Silver 4215R</v>
          </cell>
          <cell r="E12883" t="str">
            <v>1T3217F368</v>
          </cell>
        </row>
        <row r="12884">
          <cell r="D12884" t="str">
            <v>CD8069504449200  Xeon Silver 4215R</v>
          </cell>
          <cell r="E12884" t="str">
            <v>1T3217F368</v>
          </cell>
        </row>
        <row r="12885">
          <cell r="D12885" t="str">
            <v>CD8069504449200  Xeon Silver 4215R</v>
          </cell>
          <cell r="E12885" t="str">
            <v>1T3217F368</v>
          </cell>
        </row>
        <row r="12886">
          <cell r="D12886" t="str">
            <v>CD8069504449200  Xeon Silver 4215R</v>
          </cell>
          <cell r="E12886" t="str">
            <v>1T3217F368</v>
          </cell>
        </row>
        <row r="12887">
          <cell r="D12887" t="str">
            <v>CD8069504449200  Xeon Silver 4215R</v>
          </cell>
          <cell r="E12887" t="str">
            <v>1T3217F368</v>
          </cell>
        </row>
        <row r="12888">
          <cell r="D12888" t="str">
            <v>CD8069504449200  Xeon Silver 4215R</v>
          </cell>
          <cell r="E12888" t="str">
            <v>1T3217F368</v>
          </cell>
        </row>
        <row r="12889">
          <cell r="D12889" t="str">
            <v>CD8069504449200  Xeon Silver 4215R</v>
          </cell>
          <cell r="E12889" t="str">
            <v>1T3217F368</v>
          </cell>
        </row>
        <row r="12890">
          <cell r="D12890" t="str">
            <v>CD8069504449200  Xeon Silver 4215R</v>
          </cell>
          <cell r="E12890" t="str">
            <v>1T3217F368</v>
          </cell>
        </row>
        <row r="12891">
          <cell r="D12891" t="str">
            <v>CD8069504449200  Xeon Silver 4215R</v>
          </cell>
          <cell r="E12891" t="str">
            <v>1T3209F835</v>
          </cell>
        </row>
        <row r="12892">
          <cell r="D12892" t="str">
            <v>CD8069504449200  Xeon Silver 4215R</v>
          </cell>
          <cell r="E12892" t="str">
            <v>1T3209F835</v>
          </cell>
        </row>
        <row r="12893">
          <cell r="D12893" t="str">
            <v>CD8069504449200  Xeon Silver 4215R</v>
          </cell>
          <cell r="E12893" t="str">
            <v>1T3209F835</v>
          </cell>
        </row>
        <row r="12894">
          <cell r="D12894" t="str">
            <v>CD8069504449200  Xeon Silver 4215R</v>
          </cell>
          <cell r="E12894" t="str">
            <v>1T3209F835</v>
          </cell>
        </row>
        <row r="12895">
          <cell r="D12895" t="str">
            <v>CD8069504449200  Xeon Silver 4215R</v>
          </cell>
          <cell r="E12895" t="str">
            <v>1T3209F835</v>
          </cell>
        </row>
        <row r="12896">
          <cell r="D12896" t="str">
            <v>CD8069504449200  Xeon Silver 4215R</v>
          </cell>
          <cell r="E12896" t="str">
            <v>1T3209F835</v>
          </cell>
        </row>
        <row r="12897">
          <cell r="D12897" t="str">
            <v>CD8069504449200  Xeon Silver 4215R</v>
          </cell>
          <cell r="E12897" t="str">
            <v>1T3209F835</v>
          </cell>
        </row>
        <row r="12898">
          <cell r="D12898" t="str">
            <v>CD8069504449200  Xeon Silver 4215R</v>
          </cell>
          <cell r="E12898" t="str">
            <v>1T3209F835</v>
          </cell>
        </row>
        <row r="12899">
          <cell r="D12899" t="str">
            <v>CD8069504449200  Xeon Silver 4215R</v>
          </cell>
          <cell r="E12899" t="str">
            <v>1T3209F835</v>
          </cell>
        </row>
        <row r="12900">
          <cell r="D12900" t="str">
            <v>CD8069504449200  Xeon Silver 4215R</v>
          </cell>
          <cell r="E12900" t="str">
            <v>1T3209F835</v>
          </cell>
        </row>
        <row r="12901">
          <cell r="D12901" t="str">
            <v>CD8069504449200  Xeon Silver 4215R</v>
          </cell>
          <cell r="E12901" t="str">
            <v>1T3209F836</v>
          </cell>
        </row>
        <row r="12902">
          <cell r="D12902" t="str">
            <v>CD8069504449200  Xeon Silver 4215R</v>
          </cell>
          <cell r="E12902" t="str">
            <v>1T3209F836</v>
          </cell>
        </row>
        <row r="12903">
          <cell r="D12903" t="str">
            <v>CD8069504449200  Xeon Silver 4215R</v>
          </cell>
          <cell r="E12903" t="str">
            <v>1T3209F836</v>
          </cell>
        </row>
        <row r="12904">
          <cell r="D12904" t="str">
            <v>CD8069504449200  Xeon Silver 4215R</v>
          </cell>
          <cell r="E12904" t="str">
            <v>1T3209F836</v>
          </cell>
        </row>
        <row r="12905">
          <cell r="D12905" t="str">
            <v>CD8069504449200  Xeon Silver 4215R</v>
          </cell>
          <cell r="E12905" t="str">
            <v>1T3209F836</v>
          </cell>
        </row>
        <row r="12906">
          <cell r="D12906" t="str">
            <v>CD8069504449200  Xeon Silver 4215R</v>
          </cell>
          <cell r="E12906" t="str">
            <v>1T3209F836</v>
          </cell>
        </row>
        <row r="12907">
          <cell r="D12907" t="str">
            <v>CD8069504449200  Xeon Silver 4215R</v>
          </cell>
          <cell r="E12907" t="str">
            <v>1T3209F836</v>
          </cell>
        </row>
        <row r="12908">
          <cell r="D12908" t="str">
            <v>CD8069504449200  Xeon Silver 4215R</v>
          </cell>
          <cell r="E12908" t="str">
            <v>1T3209F836</v>
          </cell>
        </row>
        <row r="12909">
          <cell r="D12909" t="str">
            <v>CD8069504449200  Xeon Silver 4215R</v>
          </cell>
          <cell r="E12909" t="str">
            <v>1T3209F836</v>
          </cell>
        </row>
        <row r="12910">
          <cell r="D12910" t="str">
            <v>CD8069504449200  Xeon Silver 4215R</v>
          </cell>
          <cell r="E12910" t="str">
            <v>1T3209F836</v>
          </cell>
        </row>
        <row r="12911">
          <cell r="D12911" t="str">
            <v>CD8069504449200  Xeon Silver 4215R</v>
          </cell>
          <cell r="E12911" t="str">
            <v>1T3209F848</v>
          </cell>
        </row>
        <row r="12912">
          <cell r="D12912" t="str">
            <v>CD8069504449200  Xeon Silver 4215R</v>
          </cell>
          <cell r="E12912" t="str">
            <v>1T3209F848</v>
          </cell>
        </row>
        <row r="12913">
          <cell r="D12913" t="str">
            <v>CD8069504449200  Xeon Silver 4215R</v>
          </cell>
          <cell r="E12913" t="str">
            <v>1T3209F848</v>
          </cell>
        </row>
        <row r="12914">
          <cell r="D12914" t="str">
            <v>CD8069504449200  Xeon Silver 4215R</v>
          </cell>
          <cell r="E12914" t="str">
            <v>1T3209F848</v>
          </cell>
        </row>
        <row r="12915">
          <cell r="D12915" t="str">
            <v>CD8069504449200  Xeon Silver 4215R</v>
          </cell>
          <cell r="E12915" t="str">
            <v>1T3209F848</v>
          </cell>
        </row>
        <row r="12916">
          <cell r="D12916" t="str">
            <v>CD8069504449200  Xeon Silver 4215R</v>
          </cell>
          <cell r="E12916" t="str">
            <v>1T3209F848</v>
          </cell>
        </row>
        <row r="12917">
          <cell r="D12917" t="str">
            <v>CD8069504449200  Xeon Silver 4215R</v>
          </cell>
          <cell r="E12917" t="str">
            <v>1T3209F848</v>
          </cell>
        </row>
        <row r="12918">
          <cell r="D12918" t="str">
            <v>CD8069504449200  Xeon Silver 4215R</v>
          </cell>
          <cell r="E12918" t="str">
            <v>1T3209F848</v>
          </cell>
        </row>
        <row r="12919">
          <cell r="D12919" t="str">
            <v>CD8069504449200  Xeon Silver 4215R</v>
          </cell>
          <cell r="E12919" t="str">
            <v>1T3209F848</v>
          </cell>
        </row>
        <row r="12920">
          <cell r="D12920" t="str">
            <v>CD8069504449200  Xeon Silver 4215R</v>
          </cell>
          <cell r="E12920" t="str">
            <v>1T3209F848</v>
          </cell>
        </row>
        <row r="12921">
          <cell r="D12921" t="str">
            <v>CD8069504449200  Xeon Silver 4215R</v>
          </cell>
          <cell r="E12921" t="str">
            <v>1T3209F764</v>
          </cell>
        </row>
        <row r="12922">
          <cell r="D12922" t="str">
            <v>CD8069504449200  Xeon Silver 4215R</v>
          </cell>
          <cell r="E12922" t="str">
            <v>1T3209F764</v>
          </cell>
        </row>
        <row r="12923">
          <cell r="D12923" t="str">
            <v>CD8069504449200  Xeon Silver 4215R</v>
          </cell>
          <cell r="E12923" t="str">
            <v>1T3209F764</v>
          </cell>
        </row>
        <row r="12924">
          <cell r="D12924" t="str">
            <v>CD8069504449200  Xeon Silver 4215R</v>
          </cell>
          <cell r="E12924" t="str">
            <v>1T3209F764</v>
          </cell>
        </row>
        <row r="12925">
          <cell r="D12925" t="str">
            <v>CD8069504449200  Xeon Silver 4215R</v>
          </cell>
          <cell r="E12925" t="str">
            <v>1T3209F764</v>
          </cell>
        </row>
        <row r="12926">
          <cell r="D12926" t="str">
            <v>CD8069504449200  Xeon Silver 4215R</v>
          </cell>
          <cell r="E12926" t="str">
            <v>1T3209F764</v>
          </cell>
        </row>
        <row r="12927">
          <cell r="D12927" t="str">
            <v>CD8069504449200  Xeon Silver 4215R</v>
          </cell>
          <cell r="E12927" t="str">
            <v>1T3209F764</v>
          </cell>
        </row>
        <row r="12928">
          <cell r="D12928" t="str">
            <v>CD8069504449200  Xeon Silver 4215R</v>
          </cell>
          <cell r="E12928" t="str">
            <v>1T3209F764</v>
          </cell>
        </row>
        <row r="12929">
          <cell r="D12929" t="str">
            <v>CD8069504449200  Xeon Silver 4215R</v>
          </cell>
          <cell r="E12929" t="str">
            <v>1T3209F764</v>
          </cell>
        </row>
        <row r="12930">
          <cell r="D12930" t="str">
            <v>CD8069504449200  Xeon Silver 4215R</v>
          </cell>
          <cell r="E12930" t="str">
            <v>1T3209F764</v>
          </cell>
        </row>
        <row r="12931">
          <cell r="D12931" t="str">
            <v>CD8069504449200  Xeon Silver 4215R</v>
          </cell>
          <cell r="E12931" t="str">
            <v>1T3218F426</v>
          </cell>
        </row>
        <row r="12932">
          <cell r="D12932" t="str">
            <v>CD8069504449200  Xeon Silver 4215R</v>
          </cell>
          <cell r="E12932" t="str">
            <v>1T3218F426</v>
          </cell>
        </row>
        <row r="12933">
          <cell r="D12933" t="str">
            <v>CD8069504449200  Xeon Silver 4215R</v>
          </cell>
          <cell r="E12933" t="str">
            <v>1T3218F426</v>
          </cell>
        </row>
        <row r="12934">
          <cell r="D12934" t="str">
            <v>CD8069504449200  Xeon Silver 4215R</v>
          </cell>
          <cell r="E12934" t="str">
            <v>1T3218F426</v>
          </cell>
        </row>
        <row r="12935">
          <cell r="D12935" t="str">
            <v>CD8069504449200  Xeon Silver 4215R</v>
          </cell>
          <cell r="E12935" t="str">
            <v>1T3218F426</v>
          </cell>
        </row>
        <row r="12936">
          <cell r="D12936" t="str">
            <v>CD8069504449200  Xeon Silver 4215R</v>
          </cell>
          <cell r="E12936" t="str">
            <v>1T3218F426</v>
          </cell>
        </row>
        <row r="12937">
          <cell r="D12937" t="str">
            <v>CD8069504449200  Xeon Silver 4215R</v>
          </cell>
          <cell r="E12937" t="str">
            <v>1T3218F426</v>
          </cell>
        </row>
        <row r="12938">
          <cell r="D12938" t="str">
            <v>CD8069504449200  Xeon Silver 4215R</v>
          </cell>
          <cell r="E12938" t="str">
            <v>1T3218F426</v>
          </cell>
        </row>
        <row r="12939">
          <cell r="D12939" t="str">
            <v>CD8069504449200  Xeon Silver 4215R</v>
          </cell>
          <cell r="E12939" t="str">
            <v>1T3218F426</v>
          </cell>
        </row>
        <row r="12940">
          <cell r="D12940" t="str">
            <v>CD8069504449200  Xeon Silver 4215R</v>
          </cell>
          <cell r="E12940" t="str">
            <v>1T3218F426</v>
          </cell>
        </row>
        <row r="12941">
          <cell r="D12941" t="str">
            <v>BX80684E2236</v>
          </cell>
          <cell r="E12941" t="str">
            <v>U2PC523601652</v>
          </cell>
        </row>
        <row r="12942">
          <cell r="D12942" t="str">
            <v>CSE-815TQ-600WB</v>
          </cell>
          <cell r="E12942" t="str">
            <v>C8150LD17ME0234</v>
          </cell>
        </row>
        <row r="12943">
          <cell r="D12943" t="str">
            <v>PWS</v>
          </cell>
          <cell r="E12943" t="str">
            <v>P605A0L21E24751</v>
          </cell>
        </row>
        <row r="12944">
          <cell r="D12944" t="str">
            <v>BPN</v>
          </cell>
          <cell r="E12944" t="str">
            <v>EB145S037777</v>
          </cell>
        </row>
        <row r="12945">
          <cell r="D12945" t="str">
            <v>CSE-815TQ-600WB</v>
          </cell>
          <cell r="E12945" t="str">
            <v>C8150LD17ME0147</v>
          </cell>
        </row>
        <row r="12946">
          <cell r="D12946" t="str">
            <v>PWS</v>
          </cell>
          <cell r="E12946" t="str">
            <v>P605A0L21E24755</v>
          </cell>
        </row>
        <row r="12947">
          <cell r="D12947" t="str">
            <v>BPN</v>
          </cell>
          <cell r="E12947" t="str">
            <v>EB145S037729</v>
          </cell>
        </row>
        <row r="12948">
          <cell r="D12948" t="str">
            <v>CSE-815TQ-600WB</v>
          </cell>
          <cell r="E12948" t="str">
            <v>C8150LD17ME0150</v>
          </cell>
        </row>
        <row r="12949">
          <cell r="D12949" t="str">
            <v>PWS</v>
          </cell>
          <cell r="E12949" t="str">
            <v>P605A0L21E24756</v>
          </cell>
        </row>
        <row r="12950">
          <cell r="D12950" t="str">
            <v>BPN</v>
          </cell>
          <cell r="E12950" t="str">
            <v>EB145S037732</v>
          </cell>
        </row>
        <row r="12951">
          <cell r="D12951" t="str">
            <v>CSE-826BAC4-R920WB</v>
          </cell>
          <cell r="E12951" t="str">
            <v>C8260FK42P90013</v>
          </cell>
        </row>
        <row r="12952">
          <cell r="D12952" t="str">
            <v>CSE-826BE1C-R920WB</v>
          </cell>
          <cell r="E12952" t="str">
            <v>C8260FK51P60265</v>
          </cell>
        </row>
        <row r="12953">
          <cell r="D12953" t="str">
            <v>MBD-X11DDW-NT-B</v>
          </cell>
          <cell r="E12953" t="str">
            <v>NM221S000569</v>
          </cell>
        </row>
        <row r="12954">
          <cell r="D12954" t="str">
            <v>MBD-X11DDW-NT-B</v>
          </cell>
          <cell r="E12954" t="str">
            <v>NM221S000531</v>
          </cell>
        </row>
        <row r="12955">
          <cell r="D12955" t="str">
            <v>MBD-X11DDW-NT-B</v>
          </cell>
          <cell r="E12955" t="str">
            <v>NM221S000418</v>
          </cell>
        </row>
        <row r="12956">
          <cell r="D12956" t="str">
            <v>MBD-X11DDW-NT-B</v>
          </cell>
          <cell r="E12956" t="str">
            <v>NM221S000798</v>
          </cell>
        </row>
        <row r="12957">
          <cell r="D12957" t="str">
            <v>MBD-X11DDW-NT-B</v>
          </cell>
          <cell r="E12957" t="str">
            <v>NM221S000555</v>
          </cell>
        </row>
        <row r="12958">
          <cell r="D12958" t="str">
            <v>MBD-X11DDW-NT-B</v>
          </cell>
          <cell r="E12958" t="str">
            <v>NM221S000554</v>
          </cell>
        </row>
        <row r="12959">
          <cell r="D12959" t="str">
            <v>MBD-X11DDW-NT-B</v>
          </cell>
          <cell r="E12959" t="str">
            <v>NM221S000573</v>
          </cell>
        </row>
        <row r="12960">
          <cell r="D12960" t="str">
            <v>MBD-X11DDW-NT-B</v>
          </cell>
          <cell r="E12960" t="str">
            <v>NM221S000558</v>
          </cell>
        </row>
        <row r="12961">
          <cell r="D12961" t="str">
            <v>MBD-X11DDW-NT-B</v>
          </cell>
          <cell r="E12961" t="str">
            <v>NM221S000841</v>
          </cell>
        </row>
        <row r="12962">
          <cell r="D12962" t="str">
            <v>MBD-X11DDW-NT-B</v>
          </cell>
          <cell r="E12962" t="str">
            <v>NM221S000765</v>
          </cell>
        </row>
        <row r="12963">
          <cell r="D12963" t="str">
            <v>BTR-CV3108-FT1</v>
          </cell>
          <cell r="E12963" t="str">
            <v>HA21BS011643</v>
          </cell>
        </row>
        <row r="12964">
          <cell r="D12964" t="str">
            <v>BTR-CV3108-FT1</v>
          </cell>
          <cell r="E12964" t="str">
            <v>HA21BS010858</v>
          </cell>
        </row>
        <row r="12965">
          <cell r="D12965" t="str">
            <v>BTR-CV3108-FT1</v>
          </cell>
          <cell r="E12965" t="str">
            <v>HA21BS010824</v>
          </cell>
        </row>
        <row r="12966">
          <cell r="D12966" t="str">
            <v>BTR-CV3108-FT1</v>
          </cell>
          <cell r="E12966" t="str">
            <v>HA21BS010925</v>
          </cell>
        </row>
        <row r="12967">
          <cell r="D12967" t="str">
            <v>BTR-CV3108-FT1</v>
          </cell>
          <cell r="E12967" t="str">
            <v>HA21BS011011</v>
          </cell>
        </row>
        <row r="12968">
          <cell r="D12968" t="str">
            <v>BTR-CV3108-FT1</v>
          </cell>
          <cell r="E12968" t="str">
            <v>HA21BS010853</v>
          </cell>
        </row>
        <row r="12969">
          <cell r="D12969" t="str">
            <v>BTR-CV3108-FT1</v>
          </cell>
          <cell r="E12969" t="str">
            <v>HA21BS009626</v>
          </cell>
        </row>
        <row r="12970">
          <cell r="D12970" t="str">
            <v>BTR-CV3108-FT1</v>
          </cell>
          <cell r="E12970" t="str">
            <v>HA21BS011081</v>
          </cell>
        </row>
        <row r="12971">
          <cell r="D12971" t="str">
            <v>BTR-CV3108-FT1</v>
          </cell>
          <cell r="E12971" t="str">
            <v>HA21BS011660</v>
          </cell>
        </row>
        <row r="12972">
          <cell r="D12972" t="str">
            <v>BTR-CV3108-FT1</v>
          </cell>
          <cell r="E12972" t="str">
            <v>HA21BS009654</v>
          </cell>
        </row>
        <row r="12973">
          <cell r="D12973" t="str">
            <v>BTR-CV3108-FT1</v>
          </cell>
          <cell r="E12973" t="str">
            <v>HA21BS011638</v>
          </cell>
        </row>
        <row r="12974">
          <cell r="D12974" t="str">
            <v>BTR-CV3108-FT1</v>
          </cell>
          <cell r="E12974" t="str">
            <v>HA21BS011634</v>
          </cell>
        </row>
        <row r="12975">
          <cell r="D12975" t="str">
            <v>MBD-X10DRI-O</v>
          </cell>
          <cell r="E12975" t="str">
            <v>HM21BS028837</v>
          </cell>
        </row>
        <row r="12976">
          <cell r="D12976" t="str">
            <v>MBD-X11SCW-F-B</v>
          </cell>
          <cell r="E12976" t="str">
            <v>ZM224S006366</v>
          </cell>
        </row>
        <row r="12977">
          <cell r="D12977" t="str">
            <v>HDD-A8000-MG08SDA800E</v>
          </cell>
          <cell r="E12977" t="str">
            <v>Y170A0VHFD3H</v>
          </cell>
        </row>
        <row r="12978">
          <cell r="D12978" t="str">
            <v>HDD-A8000-MG08SDA800E</v>
          </cell>
          <cell r="E12978" t="str">
            <v>Y170A0VJFD3H</v>
          </cell>
        </row>
        <row r="12979">
          <cell r="D12979" t="str">
            <v>HDD-A8000-MG08SDA800E</v>
          </cell>
          <cell r="E12979" t="str">
            <v>32B0A06RFD3H</v>
          </cell>
        </row>
        <row r="12980">
          <cell r="D12980" t="str">
            <v>HDD-A8000-MG08SDA800E</v>
          </cell>
          <cell r="E12980" t="str">
            <v>Y120A02UFD3H</v>
          </cell>
        </row>
        <row r="12981">
          <cell r="D12981" t="str">
            <v>HDD-A8000-MG08SDA800E</v>
          </cell>
          <cell r="E12981" t="str">
            <v>Y170A1HQFD3H</v>
          </cell>
        </row>
        <row r="12982">
          <cell r="D12982" t="str">
            <v>HDD-A8000-MG08SDA800E</v>
          </cell>
          <cell r="E12982" t="str">
            <v>Y120A01ZFD3H</v>
          </cell>
        </row>
        <row r="12983">
          <cell r="D12983" t="str">
            <v>HDD-A8000-MG08SDA800E</v>
          </cell>
          <cell r="E12983" t="str">
            <v>Y120A02AFD3H</v>
          </cell>
        </row>
        <row r="12984">
          <cell r="D12984" t="str">
            <v>HDD-A8000-MG08SDA800E</v>
          </cell>
          <cell r="E12984" t="str">
            <v>Y120A02DFD3H</v>
          </cell>
        </row>
        <row r="12985">
          <cell r="D12985" t="str">
            <v>MegaRaid 9560-8i    05-50077-01</v>
          </cell>
          <cell r="E12985" t="str">
            <v>SKB3989914</v>
          </cell>
        </row>
        <row r="12986">
          <cell r="D12986" t="str">
            <v>MegaRaid 9560-8i    05-50077-01</v>
          </cell>
          <cell r="E12986" t="str">
            <v>SKB3990619</v>
          </cell>
        </row>
        <row r="12987">
          <cell r="D12987" t="str">
            <v>MegaRaid 9560-8i    05-50077-01</v>
          </cell>
          <cell r="E12987" t="str">
            <v>SKB3990468</v>
          </cell>
        </row>
        <row r="12988">
          <cell r="D12988" t="str">
            <v>MegaRaid 9560-8i    05-50077-01</v>
          </cell>
          <cell r="E12988" t="str">
            <v>SKB3990615</v>
          </cell>
        </row>
        <row r="12989">
          <cell r="D12989" t="str">
            <v>MegaRaid 9560-8i    05-50077-01</v>
          </cell>
          <cell r="E12989" t="str">
            <v>SKB3990553</v>
          </cell>
        </row>
        <row r="12990">
          <cell r="D12990" t="str">
            <v>MegaRaid 9560-8i    05-50077-01</v>
          </cell>
          <cell r="E12990" t="str">
            <v>SKB4065966</v>
          </cell>
        </row>
        <row r="12991">
          <cell r="D12991" t="str">
            <v>MegaRaid 9560-8i    05-50077-01</v>
          </cell>
          <cell r="E12991" t="str">
            <v>SKB4065889</v>
          </cell>
        </row>
        <row r="12992">
          <cell r="D12992" t="str">
            <v>MegaRaid 9560-8i    05-50077-01</v>
          </cell>
          <cell r="E12992" t="str">
            <v>SKB4008669</v>
          </cell>
        </row>
        <row r="12993">
          <cell r="D12993" t="str">
            <v>MegaRaid 9560-8i    05-50077-01</v>
          </cell>
          <cell r="E12993" t="str">
            <v>SKB4065900</v>
          </cell>
        </row>
        <row r="12994">
          <cell r="D12994" t="str">
            <v>MegaRaid 9560-8i    05-50077-01</v>
          </cell>
          <cell r="E12994" t="str">
            <v>SKB4008902</v>
          </cell>
        </row>
        <row r="12995">
          <cell r="D12995" t="str">
            <v>MegaRaid 9560-8i    05-50077-01</v>
          </cell>
          <cell r="E12995" t="str">
            <v>SKB4001115</v>
          </cell>
        </row>
        <row r="12996">
          <cell r="D12996" t="str">
            <v>MegaRaid 9560-8i    05-50077-01</v>
          </cell>
          <cell r="E12996" t="str">
            <v>SKB4066076</v>
          </cell>
        </row>
        <row r="12997">
          <cell r="D12997" t="str">
            <v>MegaRaid 9560-8i    05-50077-01</v>
          </cell>
          <cell r="E12997" t="str">
            <v>SKB4065830</v>
          </cell>
        </row>
        <row r="12998">
          <cell r="D12998" t="str">
            <v>MegaRaid 9560-8i    05-50077-01</v>
          </cell>
          <cell r="E12998" t="str">
            <v>SKB4065993</v>
          </cell>
        </row>
        <row r="12999">
          <cell r="D12999" t="str">
            <v>MegaRaid 9560-8i    05-50077-01</v>
          </cell>
          <cell r="E12999" t="str">
            <v>SKB4066131</v>
          </cell>
        </row>
        <row r="13000">
          <cell r="D13000" t="str">
            <v>MegaRaid 9560-8i    05-50077-01</v>
          </cell>
          <cell r="E13000" t="str">
            <v>SKB4009471</v>
          </cell>
        </row>
        <row r="13001">
          <cell r="D13001" t="str">
            <v>MegaRaid 9560-8i    05-50077-01</v>
          </cell>
          <cell r="E13001" t="str">
            <v>SKB4065956</v>
          </cell>
        </row>
        <row r="13002">
          <cell r="D13002" t="str">
            <v>MegaRaid 9560-8i    05-50077-01</v>
          </cell>
          <cell r="E13002" t="str">
            <v>SKB4065903</v>
          </cell>
        </row>
        <row r="13003">
          <cell r="D13003" t="str">
            <v>MegaRaid 9560-8i    05-50077-01</v>
          </cell>
          <cell r="E13003" t="str">
            <v>SKB4009458</v>
          </cell>
        </row>
        <row r="13004">
          <cell r="D13004" t="str">
            <v>MegaRaid 9560-8i    05-50077-01</v>
          </cell>
          <cell r="E13004" t="str">
            <v>SKB4065953</v>
          </cell>
        </row>
        <row r="13005">
          <cell r="D13005" t="str">
            <v>MegaRaid 9560-8i    05-50077-01</v>
          </cell>
          <cell r="E13005" t="str">
            <v>SKB4008790</v>
          </cell>
        </row>
        <row r="13006">
          <cell r="D13006" t="str">
            <v>MegaRaid 9560-8i    05-50077-01</v>
          </cell>
          <cell r="E13006" t="str">
            <v>SKB4066134</v>
          </cell>
        </row>
        <row r="13007">
          <cell r="D13007" t="str">
            <v>MegaRaid 9560-8i    05-50077-01</v>
          </cell>
          <cell r="E13007" t="str">
            <v>SKB4009423</v>
          </cell>
        </row>
        <row r="13008">
          <cell r="D13008" t="str">
            <v>MegaRaid 9560-8i    05-50077-01</v>
          </cell>
          <cell r="E13008" t="str">
            <v>SKB4065828</v>
          </cell>
        </row>
        <row r="13009">
          <cell r="D13009" t="str">
            <v>MegaRaid 9560-8i    05-50077-01</v>
          </cell>
          <cell r="E13009" t="str">
            <v>SKB4065793</v>
          </cell>
        </row>
        <row r="13010">
          <cell r="D13010" t="str">
            <v>MegaRaid 9560-8i    05-50077-01</v>
          </cell>
          <cell r="E13010" t="str">
            <v>SKB3990662</v>
          </cell>
        </row>
        <row r="13011">
          <cell r="D13011" t="str">
            <v>MegaRaid 9560-8i    05-50077-01</v>
          </cell>
          <cell r="E13011" t="str">
            <v>SKB3989747</v>
          </cell>
        </row>
        <row r="13012">
          <cell r="D13012" t="str">
            <v>MegaRaid 9560-8i    05-50077-01</v>
          </cell>
          <cell r="E13012" t="str">
            <v>SKB3990557</v>
          </cell>
        </row>
        <row r="13013">
          <cell r="D13013" t="str">
            <v>MegaRaid 9560-8i    05-50077-01</v>
          </cell>
          <cell r="E13013" t="str">
            <v>SKB3990705</v>
          </cell>
        </row>
        <row r="13014">
          <cell r="D13014" t="str">
            <v>MegaRaid 9560-8i    05-50077-01</v>
          </cell>
          <cell r="E13014" t="str">
            <v>SKB3990744</v>
          </cell>
        </row>
        <row r="13015">
          <cell r="D13015" t="str">
            <v>MegaRaid 9560-8i    05-50077-01</v>
          </cell>
          <cell r="E13015" t="str">
            <v>SKB3990455</v>
          </cell>
        </row>
        <row r="13016">
          <cell r="D13016" t="str">
            <v>MegaRaid 9560-8i    05-50077-01</v>
          </cell>
          <cell r="E13016" t="str">
            <v>SKB3989700</v>
          </cell>
        </row>
        <row r="13017">
          <cell r="D13017" t="str">
            <v>MegaRaid 9560-8i    05-50077-01</v>
          </cell>
          <cell r="E13017" t="str">
            <v>SKB3989787</v>
          </cell>
        </row>
        <row r="13018">
          <cell r="D13018" t="str">
            <v>MegaRaid 9560-8i    05-50077-01</v>
          </cell>
          <cell r="E13018" t="str">
            <v>SKB3989818</v>
          </cell>
        </row>
        <row r="13019">
          <cell r="D13019" t="str">
            <v>MegaRaid 9560-8i    05-50077-01</v>
          </cell>
          <cell r="E13019" t="str">
            <v>SKB3989906</v>
          </cell>
        </row>
        <row r="13020">
          <cell r="D13020" t="str">
            <v>CVPM05          05-50039-00</v>
          </cell>
          <cell r="E13020" t="str">
            <v>SPB3637177</v>
          </cell>
        </row>
        <row r="13021">
          <cell r="D13021" t="str">
            <v>CVPM05          05-50039-00</v>
          </cell>
          <cell r="E13021" t="str">
            <v>SPB3637404</v>
          </cell>
        </row>
        <row r="13022">
          <cell r="D13022" t="str">
            <v>CVPM05          05-50039-00</v>
          </cell>
          <cell r="E13022" t="str">
            <v>SPB3638276</v>
          </cell>
        </row>
        <row r="13023">
          <cell r="D13023" t="str">
            <v>CVPM05          05-50039-00</v>
          </cell>
          <cell r="E13023" t="str">
            <v>SPB3637187</v>
          </cell>
        </row>
        <row r="13024">
          <cell r="D13024" t="str">
            <v>CVPM05          05-50039-00</v>
          </cell>
          <cell r="E13024" t="str">
            <v>SPB3637394</v>
          </cell>
        </row>
        <row r="13025">
          <cell r="D13025" t="str">
            <v>CVPM05          05-50039-00</v>
          </cell>
          <cell r="E13025" t="str">
            <v>SPB3738413</v>
          </cell>
        </row>
        <row r="13026">
          <cell r="D13026" t="str">
            <v>CVPM05          05-50039-00</v>
          </cell>
          <cell r="E13026" t="str">
            <v>SPB3739494</v>
          </cell>
        </row>
        <row r="13027">
          <cell r="D13027" t="str">
            <v>CVPM05          05-50039-00</v>
          </cell>
          <cell r="E13027" t="str">
            <v>SPB3740601</v>
          </cell>
        </row>
        <row r="13028">
          <cell r="D13028" t="str">
            <v>CVPM05          05-50039-00</v>
          </cell>
          <cell r="E13028" t="str">
            <v>SPB3739221</v>
          </cell>
        </row>
        <row r="13029">
          <cell r="D13029" t="str">
            <v>CVPM05          05-50039-00</v>
          </cell>
          <cell r="E13029" t="str">
            <v>SPB3739500</v>
          </cell>
        </row>
        <row r="13030">
          <cell r="D13030" t="str">
            <v>CVPM05          05-50039-00</v>
          </cell>
          <cell r="E13030" t="str">
            <v>SPB3635327</v>
          </cell>
        </row>
        <row r="13031">
          <cell r="D13031" t="str">
            <v>CVPM05          05-50039-00</v>
          </cell>
          <cell r="E13031" t="str">
            <v>SPB3635332</v>
          </cell>
        </row>
        <row r="13032">
          <cell r="D13032" t="str">
            <v>CVPM05          05-50039-00</v>
          </cell>
          <cell r="E13032" t="str">
            <v>SPB3636438</v>
          </cell>
        </row>
        <row r="13033">
          <cell r="D13033" t="str">
            <v>CVPM05          05-50039-00</v>
          </cell>
          <cell r="E13033" t="str">
            <v>SPB3635329</v>
          </cell>
        </row>
        <row r="13034">
          <cell r="D13034" t="str">
            <v>CVPM05          05-50039-00</v>
          </cell>
          <cell r="E13034" t="str">
            <v>SPB3635430</v>
          </cell>
        </row>
        <row r="13035">
          <cell r="D13035" t="str">
            <v>CVPM05          05-50039-00</v>
          </cell>
          <cell r="E13035" t="str">
            <v>SPB3636317</v>
          </cell>
        </row>
        <row r="13036">
          <cell r="D13036" t="str">
            <v>CVPM05          05-50039-00</v>
          </cell>
          <cell r="E13036" t="str">
            <v>SPB3636320</v>
          </cell>
        </row>
        <row r="13037">
          <cell r="D13037" t="str">
            <v>CVPM05          05-50039-00</v>
          </cell>
          <cell r="E13037" t="str">
            <v>SPB3637808</v>
          </cell>
        </row>
        <row r="13038">
          <cell r="D13038" t="str">
            <v>CVPM05          05-50039-00</v>
          </cell>
          <cell r="E13038" t="str">
            <v>SPB3636319</v>
          </cell>
        </row>
        <row r="13039">
          <cell r="D13039" t="str">
            <v>CVPM05          05-50039-00</v>
          </cell>
          <cell r="E13039" t="str">
            <v>SPB3636322</v>
          </cell>
        </row>
        <row r="13040">
          <cell r="D13040" t="str">
            <v>CVPM05          05-50039-00</v>
          </cell>
          <cell r="E13040" t="str">
            <v>SPB3635705</v>
          </cell>
        </row>
        <row r="13041">
          <cell r="D13041" t="str">
            <v>CVPM05          05-50039-00</v>
          </cell>
          <cell r="E13041" t="str">
            <v>SPB3637280</v>
          </cell>
        </row>
        <row r="13042">
          <cell r="D13042" t="str">
            <v>CVPM05          05-50039-00</v>
          </cell>
          <cell r="E13042" t="str">
            <v>SPB3638660</v>
          </cell>
        </row>
        <row r="13043">
          <cell r="D13043" t="str">
            <v>CVPM05          05-50039-00</v>
          </cell>
          <cell r="E13043" t="str">
            <v>SPB3636979</v>
          </cell>
        </row>
        <row r="13044">
          <cell r="D13044" t="str">
            <v>CVPM05          05-50039-00</v>
          </cell>
          <cell r="E13044" t="str">
            <v>SPB3637286</v>
          </cell>
        </row>
        <row r="13045">
          <cell r="D13045" t="str">
            <v>CVPM05          05-50039-00</v>
          </cell>
          <cell r="E13045" t="str">
            <v>SPB3635418</v>
          </cell>
        </row>
        <row r="13046">
          <cell r="D13046" t="str">
            <v>CVPM05          05-50039-00</v>
          </cell>
          <cell r="E13046" t="str">
            <v>SPB3636084</v>
          </cell>
        </row>
        <row r="13047">
          <cell r="D13047" t="str">
            <v>CVPM05          05-50039-00</v>
          </cell>
          <cell r="E13047" t="str">
            <v>SPB3636264</v>
          </cell>
        </row>
        <row r="13048">
          <cell r="D13048" t="str">
            <v>CVPM05          05-50039-00</v>
          </cell>
          <cell r="E13048" t="str">
            <v>SPB3635716</v>
          </cell>
        </row>
        <row r="13049">
          <cell r="D13049" t="str">
            <v>CVPM05          05-50039-00</v>
          </cell>
          <cell r="E13049" t="str">
            <v>SPB3636085</v>
          </cell>
        </row>
        <row r="13050">
          <cell r="D13050" t="str">
            <v>CVPM05          05-50039-00</v>
          </cell>
          <cell r="E13050" t="str">
            <v>SPB3739093</v>
          </cell>
        </row>
        <row r="13051">
          <cell r="D13051" t="str">
            <v>CVPM05          05-50039-00</v>
          </cell>
          <cell r="E13051" t="str">
            <v>SPB3741934</v>
          </cell>
        </row>
        <row r="13052">
          <cell r="D13052" t="str">
            <v>CVPM05          05-50039-00</v>
          </cell>
          <cell r="E13052" t="str">
            <v>SPB3742415</v>
          </cell>
        </row>
        <row r="13053">
          <cell r="D13053" t="str">
            <v>CVPM05          05-50039-00</v>
          </cell>
          <cell r="E13053" t="str">
            <v>SPB3739149</v>
          </cell>
        </row>
        <row r="13054">
          <cell r="D13054" t="str">
            <v>CVPM05          05-50039-00</v>
          </cell>
          <cell r="E13054" t="str">
            <v>SPB3742410</v>
          </cell>
        </row>
        <row r="13055">
          <cell r="D13055" t="str">
            <v>CVPM05          05-50039-00</v>
          </cell>
          <cell r="E13055" t="str">
            <v>SPB3738438</v>
          </cell>
        </row>
        <row r="13056">
          <cell r="D13056" t="str">
            <v>CVPM05          05-50039-00</v>
          </cell>
          <cell r="E13056" t="str">
            <v>SPB3738599</v>
          </cell>
        </row>
        <row r="13057">
          <cell r="D13057" t="str">
            <v>CVPM05          05-50039-00</v>
          </cell>
          <cell r="E13057" t="str">
            <v>SPB3738823</v>
          </cell>
        </row>
        <row r="13058">
          <cell r="D13058" t="str">
            <v>CVPM05          05-50039-00</v>
          </cell>
          <cell r="E13058" t="str">
            <v>SPB3738589</v>
          </cell>
        </row>
        <row r="13059">
          <cell r="D13059" t="str">
            <v>CVPM05          05-50039-00</v>
          </cell>
          <cell r="E13059" t="str">
            <v>SPB3738821</v>
          </cell>
        </row>
        <row r="13060">
          <cell r="D13060" t="str">
            <v>CVPM05          05-50039-00</v>
          </cell>
          <cell r="E13060" t="str">
            <v>SPB3637399</v>
          </cell>
        </row>
        <row r="13061">
          <cell r="D13061" t="str">
            <v>CVPM05          05-50039-00</v>
          </cell>
          <cell r="E13061" t="str">
            <v>SPB3637406</v>
          </cell>
        </row>
        <row r="13062">
          <cell r="D13062" t="str">
            <v>CVPM05          05-50039-00</v>
          </cell>
          <cell r="E13062" t="str">
            <v>SPB3638284</v>
          </cell>
        </row>
        <row r="13063">
          <cell r="D13063" t="str">
            <v>CVPM05          05-50039-00</v>
          </cell>
          <cell r="E13063" t="str">
            <v>SPB3637403</v>
          </cell>
        </row>
        <row r="13064">
          <cell r="D13064" t="str">
            <v>CVPM05          05-50039-00</v>
          </cell>
          <cell r="E13064" t="str">
            <v>SPB3638275</v>
          </cell>
        </row>
        <row r="13065">
          <cell r="D13065" t="str">
            <v>CVPM05          05-50039-00</v>
          </cell>
          <cell r="E13065" t="str">
            <v>SPB3635394</v>
          </cell>
        </row>
        <row r="13066">
          <cell r="D13066" t="str">
            <v>CVPM05          05-50039-00</v>
          </cell>
          <cell r="E13066" t="str">
            <v>SPB3635663</v>
          </cell>
        </row>
        <row r="13067">
          <cell r="D13067" t="str">
            <v>CVPM05          05-50039-00</v>
          </cell>
          <cell r="E13067" t="str">
            <v>SPB3636158</v>
          </cell>
        </row>
        <row r="13068">
          <cell r="D13068" t="str">
            <v>CVPM05          05-50039-00</v>
          </cell>
          <cell r="E13068" t="str">
            <v>SPB3635634</v>
          </cell>
        </row>
        <row r="13069">
          <cell r="D13069" t="str">
            <v>CVPM05          05-50039-00</v>
          </cell>
          <cell r="E13069" t="str">
            <v>SPB3635669</v>
          </cell>
        </row>
        <row r="13070">
          <cell r="D13070" t="str">
            <v>MegaRaid 9560-8i    05-50077-01</v>
          </cell>
          <cell r="E13070" t="str">
            <v>SKB4008672</v>
          </cell>
        </row>
        <row r="13071">
          <cell r="D13071" t="str">
            <v>MegaRaid 9560-8i    05-50077-01</v>
          </cell>
          <cell r="E13071" t="str">
            <v>SKB4008683</v>
          </cell>
        </row>
        <row r="13072">
          <cell r="D13072" t="str">
            <v>MegaRaid 9560-8i    05-50077-01</v>
          </cell>
          <cell r="E13072" t="str">
            <v>SKB4009386</v>
          </cell>
        </row>
        <row r="13073">
          <cell r="D13073" t="str">
            <v>MegaRaid 9560-8i    05-50077-01</v>
          </cell>
          <cell r="E13073" t="str">
            <v>SKB4008877</v>
          </cell>
        </row>
        <row r="13074">
          <cell r="D13074" t="str">
            <v>MegaRaid 9560-8i    05-50077-01</v>
          </cell>
          <cell r="E13074" t="str">
            <v>SKB4009377</v>
          </cell>
        </row>
        <row r="13075">
          <cell r="D13075" t="str">
            <v>MegaRaid 9560-8i    05-50077-01</v>
          </cell>
          <cell r="E13075" t="str">
            <v>SKB3776365</v>
          </cell>
        </row>
        <row r="13076">
          <cell r="D13076" t="str">
            <v>MegaRaid 9560-8i    05-50077-01</v>
          </cell>
          <cell r="E13076" t="str">
            <v>SKB3990696</v>
          </cell>
        </row>
        <row r="13077">
          <cell r="D13077" t="str">
            <v>MegaRaid 9560-8i    05-50077-01</v>
          </cell>
          <cell r="E13077" t="str">
            <v>SKB3990674</v>
          </cell>
        </row>
        <row r="13078">
          <cell r="D13078" t="str">
            <v>MegaRaid 9560-8i    05-50077-01</v>
          </cell>
          <cell r="E13078" t="str">
            <v>SKB3990833</v>
          </cell>
        </row>
        <row r="13079">
          <cell r="D13079" t="str">
            <v>MegaRaid 9560-8i    05-50077-01</v>
          </cell>
          <cell r="E13079" t="str">
            <v>SKB3990675</v>
          </cell>
        </row>
        <row r="13080">
          <cell r="D13080" t="str">
            <v>MegaRaid 9560-8i    05-50077-01</v>
          </cell>
          <cell r="E13080" t="str">
            <v>SKB4009455</v>
          </cell>
        </row>
        <row r="13081">
          <cell r="D13081" t="str">
            <v>MegaRaid 9560-8i    05-50077-01</v>
          </cell>
          <cell r="E13081" t="str">
            <v>SKB4065921</v>
          </cell>
        </row>
        <row r="13082">
          <cell r="D13082" t="str">
            <v>MegaRaid 9560-8i    05-50077-01</v>
          </cell>
          <cell r="E13082" t="str">
            <v>SKB4066082</v>
          </cell>
        </row>
        <row r="13083">
          <cell r="D13083" t="str">
            <v>MegaRaid 9560-8i    05-50077-01</v>
          </cell>
          <cell r="E13083" t="str">
            <v>SKB4008980</v>
          </cell>
        </row>
        <row r="13084">
          <cell r="D13084" t="str">
            <v>MegaRaid 9560-8i    05-50077-01</v>
          </cell>
          <cell r="E13084" t="str">
            <v>SKB4065920</v>
          </cell>
        </row>
        <row r="13085">
          <cell r="D13085" t="str">
            <v>MegaRaid 9560-8i    05-50077-01</v>
          </cell>
          <cell r="E13085" t="str">
            <v>SKB4009379</v>
          </cell>
        </row>
        <row r="13086">
          <cell r="D13086" t="str">
            <v>MegaRaid 9560-8i    05-50077-01</v>
          </cell>
          <cell r="E13086" t="str">
            <v>SKB4008828</v>
          </cell>
        </row>
        <row r="13087">
          <cell r="D13087" t="str">
            <v>MegaRaid 9560-8i    05-50077-01</v>
          </cell>
          <cell r="E13087" t="str">
            <v>SKB4065943</v>
          </cell>
        </row>
        <row r="13088">
          <cell r="D13088" t="str">
            <v>MegaRaid 9560-8i    05-50077-01</v>
          </cell>
          <cell r="E13088" t="str">
            <v>SKB4003628</v>
          </cell>
        </row>
        <row r="13089">
          <cell r="D13089" t="str">
            <v>MegaRaid 9560-8i    05-50077-01</v>
          </cell>
          <cell r="E13089" t="str">
            <v>SKB4008824</v>
          </cell>
        </row>
        <row r="13090">
          <cell r="D13090" t="str">
            <v>MegaRaid 9560-8i    05-50077-01</v>
          </cell>
          <cell r="E13090" t="str">
            <v>SKB3776353</v>
          </cell>
        </row>
        <row r="13091">
          <cell r="D13091" t="str">
            <v>MegaRaid 9560-8i    05-50077-01</v>
          </cell>
          <cell r="E13091" t="str">
            <v>SKB3880597</v>
          </cell>
        </row>
        <row r="13092">
          <cell r="D13092" t="str">
            <v>MegaRaid 9560-8i    05-50077-01</v>
          </cell>
          <cell r="E13092" t="str">
            <v>SKB3880630</v>
          </cell>
        </row>
        <row r="13093">
          <cell r="D13093" t="str">
            <v>MegaRaid 9560-8i    05-50077-01</v>
          </cell>
          <cell r="E13093" t="str">
            <v>SKB3880212</v>
          </cell>
        </row>
        <row r="13094">
          <cell r="D13094" t="str">
            <v>MegaRaid 9560-8i    05-50077-01</v>
          </cell>
          <cell r="E13094" t="str">
            <v>SKB3880655</v>
          </cell>
        </row>
        <row r="13095">
          <cell r="D13095" t="str">
            <v>MegaRaid 9560-8i    05-50077-01</v>
          </cell>
          <cell r="E13095" t="str">
            <v>SKB3989610</v>
          </cell>
          <cell r="K13095" t="str">
            <v xml:space="preserve">2207140855-01 w rozliczeniu serwisowym </v>
          </cell>
        </row>
        <row r="13096">
          <cell r="D13096" t="str">
            <v>MegaRaid 9560-8i    05-50077-01</v>
          </cell>
          <cell r="E13096" t="str">
            <v>SKB3989809</v>
          </cell>
          <cell r="K13096" t="str">
            <v xml:space="preserve">2207140855-02 w rozliczeniu serwisowym </v>
          </cell>
        </row>
        <row r="13097">
          <cell r="D13097" t="str">
            <v>MegaRaid 9560-8i    05-50077-01</v>
          </cell>
          <cell r="E13097" t="str">
            <v>SKB3989919</v>
          </cell>
          <cell r="K13097" t="str">
            <v>2207131243 w rozliczeniu serwisowym</v>
          </cell>
        </row>
        <row r="13098">
          <cell r="D13098" t="str">
            <v>MegaRaid 9560-8i    05-50077-01</v>
          </cell>
          <cell r="E13098" t="str">
            <v>SKB3989726</v>
          </cell>
        </row>
        <row r="13099">
          <cell r="D13099" t="str">
            <v>MegaRaid 9560-8i    05-50077-01</v>
          </cell>
          <cell r="E13099" t="str">
            <v>SKB3990466</v>
          </cell>
        </row>
        <row r="13100">
          <cell r="D13100" t="str">
            <v>MegaRaid 9560-8i    05-50077-01</v>
          </cell>
          <cell r="E13100" t="str">
            <v>SKB4066000</v>
          </cell>
        </row>
        <row r="13101">
          <cell r="D13101" t="str">
            <v>MegaRaid 9560-8i    05-50077-01</v>
          </cell>
          <cell r="E13101" t="str">
            <v>SKB4066147</v>
          </cell>
        </row>
        <row r="13102">
          <cell r="D13102" t="str">
            <v>MegaRaid 9560-8i    05-50077-01</v>
          </cell>
          <cell r="E13102" t="str">
            <v>SKB4065846</v>
          </cell>
        </row>
        <row r="13103">
          <cell r="D13103" t="str">
            <v>MegaRaid 9560-8i    05-50077-01</v>
          </cell>
          <cell r="E13103" t="str">
            <v>SKB4008886</v>
          </cell>
        </row>
        <row r="13104">
          <cell r="D13104" t="str">
            <v>MegaRaid 9560-8i    05-50077-01</v>
          </cell>
          <cell r="E13104" t="str">
            <v>SKB4008789</v>
          </cell>
        </row>
        <row r="13105">
          <cell r="D13105" t="str">
            <v>SAS 9341-4i               05-26105-00</v>
          </cell>
          <cell r="E13105" t="str">
            <v>SPB2437355</v>
          </cell>
        </row>
        <row r="13106">
          <cell r="D13106" t="str">
            <v>SAS 9341-4i               05-26105-00</v>
          </cell>
          <cell r="E13106" t="str">
            <v>SPB2437484</v>
          </cell>
        </row>
        <row r="13107">
          <cell r="D13107" t="str">
            <v>SAS 9341-4i               05-26105-00</v>
          </cell>
          <cell r="E13107" t="str">
            <v>SPB2437580</v>
          </cell>
        </row>
        <row r="13108">
          <cell r="D13108" t="str">
            <v>SAS 9341-4i               05-26105-00</v>
          </cell>
          <cell r="E13108" t="str">
            <v>SPB2437364</v>
          </cell>
        </row>
        <row r="13109">
          <cell r="D13109" t="str">
            <v>SAS 9341-4i               05-26105-00</v>
          </cell>
          <cell r="E13109" t="str">
            <v>SPB2437528</v>
          </cell>
        </row>
        <row r="13110">
          <cell r="D13110" t="str">
            <v>SAS 9341-4i               05-26105-00</v>
          </cell>
          <cell r="E13110" t="str">
            <v>SPB2413145</v>
          </cell>
        </row>
        <row r="13111">
          <cell r="D13111" t="str">
            <v>SAS 9341-4i               05-26105-00</v>
          </cell>
          <cell r="E13111" t="str">
            <v>SPB2413239</v>
          </cell>
        </row>
        <row r="13112">
          <cell r="D13112" t="str">
            <v>SAS 9341-4i               05-26105-00</v>
          </cell>
          <cell r="E13112" t="str">
            <v>SPB2412835</v>
          </cell>
        </row>
        <row r="13113">
          <cell r="D13113" t="str">
            <v>LPe32002-M2</v>
          </cell>
          <cell r="E13113" t="str">
            <v>FP02721248</v>
          </cell>
        </row>
        <row r="13114">
          <cell r="D13114" t="str">
            <v>LPe32002-M2</v>
          </cell>
          <cell r="E13114" t="str">
            <v>FP02842607</v>
          </cell>
        </row>
        <row r="13115">
          <cell r="D13115" t="str">
            <v>MZ7L3480HBLT-00A07</v>
          </cell>
          <cell r="E13115" t="str">
            <v>S6ELNE0T202087</v>
          </cell>
        </row>
        <row r="13116">
          <cell r="D13116" t="str">
            <v>SSDSC2KG960G801</v>
          </cell>
          <cell r="E13116" t="str">
            <v>PHYG204300LH960CGN</v>
          </cell>
        </row>
        <row r="13117">
          <cell r="D13117" t="str">
            <v>SSDSC2KG960G801</v>
          </cell>
          <cell r="E13117" t="str">
            <v>PHYG20420276960CGN</v>
          </cell>
        </row>
        <row r="13118">
          <cell r="D13118" t="str">
            <v>SSDSC2KG960G801</v>
          </cell>
          <cell r="E13118" t="str">
            <v>PHYG2043004N960CGN</v>
          </cell>
        </row>
        <row r="13119">
          <cell r="D13119" t="str">
            <v>MZ1LB960HAJQ-00007</v>
          </cell>
          <cell r="E13119" t="str">
            <v>S435NC0T303938</v>
          </cell>
        </row>
        <row r="13120">
          <cell r="D13120" t="str">
            <v>MZ1LB960HAJQ-00007</v>
          </cell>
          <cell r="E13120" t="str">
            <v>S435NC0T303954</v>
          </cell>
        </row>
        <row r="13121">
          <cell r="D13121" t="str">
            <v>M391A4G43AB1-CWE</v>
          </cell>
          <cell r="E13121" t="str">
            <v>SNL619</v>
          </cell>
        </row>
        <row r="13122">
          <cell r="D13122" t="str">
            <v>M391A4G43AB1-CWE</v>
          </cell>
          <cell r="E13122" t="str">
            <v>SNL620</v>
          </cell>
        </row>
        <row r="13123">
          <cell r="D13123" t="str">
            <v>MZ1L2960HCJR-00A07</v>
          </cell>
          <cell r="E13123" t="str">
            <v>S665NE0T301511</v>
          </cell>
        </row>
        <row r="13124">
          <cell r="D13124" t="str">
            <v>AOC-STG-I4S</v>
          </cell>
          <cell r="E13124" t="str">
            <v>VA21CS000615</v>
          </cell>
        </row>
        <row r="13125">
          <cell r="D13125" t="str">
            <v>AOC-STG-I4S</v>
          </cell>
          <cell r="E13125" t="str">
            <v>VA21CS000626</v>
          </cell>
        </row>
        <row r="13126">
          <cell r="D13126" t="str">
            <v>AOC-STG-I4S</v>
          </cell>
          <cell r="E13126" t="str">
            <v>VA21CS000613</v>
          </cell>
        </row>
        <row r="13127">
          <cell r="D13127" t="str">
            <v>AOC-STG-I4S</v>
          </cell>
          <cell r="E13127" t="str">
            <v>VA21CS000617</v>
          </cell>
        </row>
        <row r="13128">
          <cell r="D13128" t="str">
            <v>AOC-STG-I4S</v>
          </cell>
          <cell r="E13128" t="str">
            <v>VA21CS000111</v>
          </cell>
        </row>
        <row r="13129">
          <cell r="D13129" t="str">
            <v>AOC-STG-I4S</v>
          </cell>
          <cell r="E13129" t="str">
            <v>VA21CS000505</v>
          </cell>
        </row>
        <row r="13130">
          <cell r="D13130" t="str">
            <v>AOC-STG-I4S</v>
          </cell>
          <cell r="E13130" t="str">
            <v>VA21CS000131</v>
          </cell>
        </row>
        <row r="13131">
          <cell r="D13131" t="str">
            <v>AOC-STG-I4S</v>
          </cell>
          <cell r="E13131" t="str">
            <v>VA21CS000656</v>
          </cell>
        </row>
        <row r="13132">
          <cell r="D13132" t="str">
            <v>AOC-STG-I4S</v>
          </cell>
          <cell r="E13132" t="str">
            <v>VA21CS000657</v>
          </cell>
        </row>
        <row r="13133">
          <cell r="D13133" t="str">
            <v>AOC-STG-I4S</v>
          </cell>
          <cell r="E13133" t="str">
            <v>VA21CS000610</v>
          </cell>
        </row>
        <row r="13134">
          <cell r="D13134" t="str">
            <v>AOC-STG-I4S</v>
          </cell>
          <cell r="E13134" t="str">
            <v>VA21CS000628</v>
          </cell>
        </row>
        <row r="13135">
          <cell r="D13135" t="str">
            <v>AOC-STG-I4S</v>
          </cell>
          <cell r="E13135" t="str">
            <v>VA21CS000124</v>
          </cell>
        </row>
        <row r="13136">
          <cell r="D13136" t="str">
            <v>AOC-STG-I4S</v>
          </cell>
          <cell r="E13136" t="str">
            <v>VA21CS000402</v>
          </cell>
        </row>
        <row r="13137">
          <cell r="D13137" t="str">
            <v>AOC-STG-I4S</v>
          </cell>
          <cell r="E13137" t="str">
            <v>VA21CS000618</v>
          </cell>
        </row>
        <row r="13138">
          <cell r="D13138" t="str">
            <v>AOC-STG-I4S</v>
          </cell>
          <cell r="E13138" t="str">
            <v>VA21CS000128</v>
          </cell>
        </row>
        <row r="13139">
          <cell r="D13139" t="str">
            <v>AOC-STG-I4S</v>
          </cell>
          <cell r="E13139" t="str">
            <v>VA21CS000653</v>
          </cell>
        </row>
        <row r="13140">
          <cell r="D13140" t="str">
            <v>AOC-STG-I4S</v>
          </cell>
          <cell r="E13140" t="str">
            <v>VA21CS000660</v>
          </cell>
        </row>
        <row r="13141">
          <cell r="D13141" t="str">
            <v>AOC-STG-I4S</v>
          </cell>
          <cell r="E13141" t="str">
            <v>VA21CS000607</v>
          </cell>
        </row>
        <row r="13142">
          <cell r="D13142" t="str">
            <v>AOC-STG-I4S</v>
          </cell>
          <cell r="E13142" t="str">
            <v>VA21CS000624</v>
          </cell>
        </row>
        <row r="13143">
          <cell r="D13143" t="str">
            <v>AOC-STG-I4S</v>
          </cell>
          <cell r="E13143" t="str">
            <v>VA21CS000616</v>
          </cell>
        </row>
        <row r="13144">
          <cell r="D13144" t="str">
            <v>AOC-STG-I4S</v>
          </cell>
          <cell r="E13144" t="str">
            <v>VA21CS000129</v>
          </cell>
        </row>
        <row r="13145">
          <cell r="D13145" t="str">
            <v>AOC-STG-I4S</v>
          </cell>
          <cell r="E13145" t="str">
            <v>VA21CS000507</v>
          </cell>
        </row>
        <row r="13146">
          <cell r="D13146" t="str">
            <v>MZ7LH240HAHQ-00005</v>
          </cell>
          <cell r="E13146" t="str">
            <v>S45RNC0RB15887</v>
          </cell>
        </row>
        <row r="13147">
          <cell r="D13147" t="str">
            <v>MZ7LH240HAHQ-00005</v>
          </cell>
          <cell r="E13147" t="str">
            <v>S45RNC0RB15885</v>
          </cell>
        </row>
        <row r="13148">
          <cell r="D13148" t="str">
            <v>MZ7LH240HAHQ-00005</v>
          </cell>
          <cell r="E13148" t="str">
            <v>S45RNC0RB15884</v>
          </cell>
        </row>
        <row r="13149">
          <cell r="D13149" t="str">
            <v>MZ7LH240HAHQ-00005</v>
          </cell>
          <cell r="E13149" t="str">
            <v>S45RNC0RB15886</v>
          </cell>
        </row>
        <row r="13150">
          <cell r="D13150" t="str">
            <v>MZ7LH240HAHQ-00005</v>
          </cell>
          <cell r="E13150" t="str">
            <v>S45RNC0RB15883</v>
          </cell>
        </row>
        <row r="13151">
          <cell r="D13151" t="str">
            <v>MZ7LH240HAHQ-00005</v>
          </cell>
          <cell r="E13151" t="str">
            <v>S45RNC0RB15882</v>
          </cell>
        </row>
        <row r="13152">
          <cell r="D13152" t="str">
            <v>MZ7LH240HAHQ-00005</v>
          </cell>
          <cell r="E13152" t="str">
            <v>S45RNC0RB15483</v>
          </cell>
        </row>
        <row r="13153">
          <cell r="D13153" t="str">
            <v>MZ7LH240HAHQ-00005</v>
          </cell>
          <cell r="E13153" t="str">
            <v>S45RNC0RB15486</v>
          </cell>
        </row>
        <row r="13154">
          <cell r="D13154" t="str">
            <v>CD8069504449401  Xeon Gold 6248R</v>
          </cell>
          <cell r="E13154" t="str">
            <v>3213G334</v>
          </cell>
        </row>
        <row r="13155">
          <cell r="D13155" t="str">
            <v>CD8069504449401  Xeon Gold 6248R</v>
          </cell>
          <cell r="E13155" t="str">
            <v>3213G334</v>
          </cell>
        </row>
        <row r="13156">
          <cell r="D13156" t="str">
            <v>CD8069504449401  Xeon Gold 6248R</v>
          </cell>
          <cell r="E13156" t="str">
            <v>3213G334</v>
          </cell>
        </row>
        <row r="13157">
          <cell r="D13157" t="str">
            <v>CD8069504449401  Xeon Gold 6248R</v>
          </cell>
          <cell r="E13157" t="str">
            <v>3213G334</v>
          </cell>
        </row>
        <row r="13158">
          <cell r="D13158" t="str">
            <v>CD8069504449401  Xeon Gold 6248R</v>
          </cell>
          <cell r="E13158" t="str">
            <v>3213G334</v>
          </cell>
        </row>
        <row r="13159">
          <cell r="D13159" t="str">
            <v>CD8069504449401  Xeon Gold 6248R</v>
          </cell>
          <cell r="E13159" t="str">
            <v>3213G334</v>
          </cell>
        </row>
        <row r="13160">
          <cell r="D13160" t="str">
            <v>CD8069504449401  Xeon Gold 6248R</v>
          </cell>
          <cell r="E13160" t="str">
            <v>3213G334</v>
          </cell>
        </row>
        <row r="13161">
          <cell r="D13161" t="str">
            <v>CD8069504449401  Xeon Gold 6248R</v>
          </cell>
          <cell r="E13161" t="str">
            <v>3213G334</v>
          </cell>
        </row>
        <row r="13162">
          <cell r="D13162" t="str">
            <v>CD8069504449401  Xeon Gold 6248R</v>
          </cell>
          <cell r="E13162" t="str">
            <v>3213G334</v>
          </cell>
        </row>
        <row r="13163">
          <cell r="D13163" t="str">
            <v>CD8069504449401  Xeon Gold 6248R</v>
          </cell>
          <cell r="E13163" t="str">
            <v>3213G334</v>
          </cell>
        </row>
        <row r="13164">
          <cell r="D13164" t="str">
            <v>CD8069504449401  Xeon Gold 6248R</v>
          </cell>
          <cell r="E13164" t="str">
            <v>3213G334</v>
          </cell>
        </row>
        <row r="13165">
          <cell r="D13165" t="str">
            <v>CD8069504449401  Xeon Gold 6248R</v>
          </cell>
          <cell r="E13165" t="str">
            <v>3213G334</v>
          </cell>
        </row>
        <row r="13166">
          <cell r="D13166" t="str">
            <v>CD8069504449401  Xeon Gold 6248R</v>
          </cell>
          <cell r="E13166" t="str">
            <v>3213G334</v>
          </cell>
        </row>
        <row r="13167">
          <cell r="D13167" t="str">
            <v>CD8069504449401  Xeon Gold 6248R</v>
          </cell>
          <cell r="E13167" t="str">
            <v>3213G334</v>
          </cell>
        </row>
        <row r="13168">
          <cell r="D13168" t="str">
            <v>CD8069504449401  Xeon Gold 6248R</v>
          </cell>
          <cell r="E13168" t="str">
            <v>3213G334</v>
          </cell>
        </row>
        <row r="13169">
          <cell r="D13169" t="str">
            <v>CD8069504449401  Xeon Gold 6248R</v>
          </cell>
          <cell r="E13169" t="str">
            <v>3213G334</v>
          </cell>
        </row>
        <row r="13170">
          <cell r="D13170" t="str">
            <v>CD8069504449401  Xeon Gold 6248R</v>
          </cell>
          <cell r="E13170" t="str">
            <v>3213G334</v>
          </cell>
        </row>
        <row r="13171">
          <cell r="D13171" t="str">
            <v>CD8069504449401  Xeon Gold 6248R</v>
          </cell>
          <cell r="E13171" t="str">
            <v>3213G334</v>
          </cell>
        </row>
        <row r="13172">
          <cell r="D13172" t="str">
            <v>CD8069504449401  Xeon Gold 6248R</v>
          </cell>
          <cell r="E13172" t="str">
            <v>3213G334</v>
          </cell>
        </row>
        <row r="13173">
          <cell r="D13173" t="str">
            <v>CD8069504449401  Xeon Gold 6248R</v>
          </cell>
          <cell r="E13173" t="str">
            <v>3213G334</v>
          </cell>
        </row>
        <row r="13174">
          <cell r="D13174" t="str">
            <v>CD8069504449401  Xeon Gold 6248R</v>
          </cell>
          <cell r="E13174" t="str">
            <v>3213G334</v>
          </cell>
        </row>
        <row r="13175">
          <cell r="D13175" t="str">
            <v>CD8069504449401  Xeon Gold 6248R</v>
          </cell>
          <cell r="E13175" t="str">
            <v>3213G334</v>
          </cell>
        </row>
        <row r="13176">
          <cell r="D13176" t="str">
            <v>CD8069504449401  Xeon Gold 6248R</v>
          </cell>
          <cell r="E13176" t="str">
            <v>3213G334</v>
          </cell>
        </row>
        <row r="13177">
          <cell r="D13177" t="str">
            <v>CD8069504449401  Xeon Gold 6248R</v>
          </cell>
          <cell r="E13177" t="str">
            <v>3213G334</v>
          </cell>
        </row>
        <row r="13178">
          <cell r="D13178" t="str">
            <v>CD8069504449401  Xeon Gold 6248R</v>
          </cell>
          <cell r="E13178" t="str">
            <v>3213G334</v>
          </cell>
        </row>
        <row r="13179">
          <cell r="D13179" t="str">
            <v>CD8069504449401  Xeon Gold 6248R</v>
          </cell>
          <cell r="E13179" t="str">
            <v>3213G334</v>
          </cell>
        </row>
        <row r="13180">
          <cell r="D13180" t="str">
            <v>CD8069504449401  Xeon Gold 6248R</v>
          </cell>
          <cell r="E13180" t="str">
            <v>3213G334</v>
          </cell>
        </row>
        <row r="13181">
          <cell r="D13181" t="str">
            <v>CD8069504449401  Xeon Gold 6248R</v>
          </cell>
          <cell r="E13181" t="str">
            <v>3213G334</v>
          </cell>
        </row>
        <row r="13182">
          <cell r="D13182" t="str">
            <v>CD8069504449401  Xeon Gold 6248R</v>
          </cell>
          <cell r="E13182" t="str">
            <v>3211F910</v>
          </cell>
        </row>
        <row r="13183">
          <cell r="D13183" t="str">
            <v>CD8069504449401  Xeon Gold 6248R</v>
          </cell>
          <cell r="E13183" t="str">
            <v>3211F910</v>
          </cell>
        </row>
        <row r="13184">
          <cell r="D13184" t="str">
            <v>CD8069504449401  Xeon Gold 6248R</v>
          </cell>
          <cell r="E13184" t="str">
            <v>3211F910</v>
          </cell>
        </row>
        <row r="13185">
          <cell r="D13185" t="str">
            <v>CD8069504449401  Xeon Gold 6248R</v>
          </cell>
          <cell r="E13185" t="str">
            <v>3211F910</v>
          </cell>
        </row>
        <row r="13186">
          <cell r="D13186" t="str">
            <v>CD8069504449401  Xeon Gold 6248R</v>
          </cell>
          <cell r="E13186" t="str">
            <v>3211F910</v>
          </cell>
        </row>
        <row r="13187">
          <cell r="D13187" t="str">
            <v>CD8069504449401  Xeon Gold 6248R</v>
          </cell>
          <cell r="E13187" t="str">
            <v>3211F910</v>
          </cell>
        </row>
        <row r="13188">
          <cell r="D13188" t="str">
            <v>CD8069504449401  Xeon Gold 6248R</v>
          </cell>
          <cell r="E13188" t="str">
            <v>3211F910</v>
          </cell>
        </row>
        <row r="13189">
          <cell r="D13189" t="str">
            <v>CD8069504449401  Xeon Gold 6248R</v>
          </cell>
          <cell r="E13189" t="str">
            <v>3211F910</v>
          </cell>
        </row>
        <row r="13190">
          <cell r="D13190" t="str">
            <v>CD8069504449401  Xeon Gold 6248R</v>
          </cell>
          <cell r="E13190" t="str">
            <v>3211F910</v>
          </cell>
        </row>
        <row r="13191">
          <cell r="D13191" t="str">
            <v>CD8069504449401  Xeon Gold 6248R</v>
          </cell>
          <cell r="E13191" t="str">
            <v>3211F910</v>
          </cell>
        </row>
        <row r="13192">
          <cell r="D13192" t="str">
            <v>CD8069504449401  Xeon Gold 6248R</v>
          </cell>
          <cell r="E13192" t="str">
            <v>3211F910</v>
          </cell>
        </row>
        <row r="13193">
          <cell r="D13193" t="str">
            <v>CD8069504449401  Xeon Gold 6248R</v>
          </cell>
          <cell r="E13193" t="str">
            <v>3211F910</v>
          </cell>
        </row>
        <row r="13194">
          <cell r="D13194" t="str">
            <v>CD8069504449401  Xeon Gold 6248R</v>
          </cell>
          <cell r="E13194" t="str">
            <v>3211F910</v>
          </cell>
        </row>
        <row r="13195">
          <cell r="D13195" t="str">
            <v>CD8069504449401  Xeon Gold 6248R</v>
          </cell>
          <cell r="E13195" t="str">
            <v>3211F910</v>
          </cell>
        </row>
        <row r="13196">
          <cell r="D13196" t="str">
            <v>CD8069504449401  Xeon Gold 6248R</v>
          </cell>
          <cell r="E13196" t="str">
            <v>3211F910</v>
          </cell>
        </row>
        <row r="13197">
          <cell r="D13197" t="str">
            <v>CD8069504449401  Xeon Gold 6248R</v>
          </cell>
          <cell r="E13197" t="str">
            <v>3211F910</v>
          </cell>
        </row>
        <row r="13198">
          <cell r="D13198" t="str">
            <v>CD8069504449401  Xeon Gold 6248R</v>
          </cell>
          <cell r="E13198" t="str">
            <v>3211F910</v>
          </cell>
        </row>
        <row r="13199">
          <cell r="D13199" t="str">
            <v>CD8069504449401  Xeon Gold 6248R</v>
          </cell>
          <cell r="E13199" t="str">
            <v>3211F910</v>
          </cell>
        </row>
        <row r="13200">
          <cell r="D13200" t="str">
            <v>CD8069504449401  Xeon Gold 6248R</v>
          </cell>
          <cell r="E13200" t="str">
            <v>3211F910</v>
          </cell>
        </row>
        <row r="13201">
          <cell r="D13201" t="str">
            <v>CD8069504449401  Xeon Gold 6248R</v>
          </cell>
          <cell r="E13201" t="str">
            <v>3211F910</v>
          </cell>
        </row>
        <row r="13202">
          <cell r="D13202" t="str">
            <v>CD8069504449401  Xeon Gold 6248R</v>
          </cell>
          <cell r="E13202" t="str">
            <v>3211F910</v>
          </cell>
        </row>
        <row r="13203">
          <cell r="D13203" t="str">
            <v>CD8069504449401  Xeon Gold 6248R</v>
          </cell>
          <cell r="E13203" t="str">
            <v>3211F910</v>
          </cell>
        </row>
        <row r="13204">
          <cell r="D13204" t="str">
            <v>CD8069503956401  Xeon Silver 4208</v>
          </cell>
          <cell r="E13204" t="str">
            <v>J209F609</v>
          </cell>
        </row>
        <row r="13205">
          <cell r="D13205" t="str">
            <v>CD8069503956401  Xeon Silver 4208</v>
          </cell>
          <cell r="E13205" t="str">
            <v>J209F609</v>
          </cell>
        </row>
        <row r="13206">
          <cell r="D13206" t="str">
            <v>CD8069503956401  Xeon Silver 4208</v>
          </cell>
          <cell r="E13206" t="str">
            <v>J209F609</v>
          </cell>
        </row>
        <row r="13207">
          <cell r="D13207" t="str">
            <v>CD8069503956401  Xeon Silver 4208</v>
          </cell>
          <cell r="E13207" t="str">
            <v>J209F595</v>
          </cell>
        </row>
        <row r="13208">
          <cell r="D13208" t="str">
            <v>CD8069503956401  Xeon Silver 4208</v>
          </cell>
          <cell r="E13208" t="str">
            <v>J209F595</v>
          </cell>
        </row>
        <row r="13209">
          <cell r="D13209" t="str">
            <v>CD8069503956401  Xeon Silver 4208</v>
          </cell>
          <cell r="E13209" t="str">
            <v>J209F595</v>
          </cell>
        </row>
        <row r="13210">
          <cell r="D13210" t="str">
            <v>CD8069503956401  Xeon Silver 4208</v>
          </cell>
          <cell r="E13210" t="str">
            <v>J209F595</v>
          </cell>
        </row>
        <row r="13211">
          <cell r="D13211" t="str">
            <v>CD8069503956401  Xeon Silver 4208</v>
          </cell>
          <cell r="E13211" t="str">
            <v>J209F595</v>
          </cell>
        </row>
        <row r="13212">
          <cell r="D13212" t="str">
            <v>CD8069503956401  Xeon Silver 4208</v>
          </cell>
          <cell r="E13212" t="str">
            <v>J209F595</v>
          </cell>
        </row>
        <row r="13213">
          <cell r="D13213" t="str">
            <v>CD8069503956401  Xeon Silver 4208</v>
          </cell>
          <cell r="E13213" t="str">
            <v>J209F595</v>
          </cell>
        </row>
        <row r="13214">
          <cell r="D13214" t="str">
            <v>CD8069503956401  Xeon Silver 4208</v>
          </cell>
          <cell r="E13214" t="str">
            <v>J209F595</v>
          </cell>
        </row>
        <row r="13215">
          <cell r="D13215" t="str">
            <v>CD8069503956401  Xeon Silver 4208</v>
          </cell>
          <cell r="E13215" t="str">
            <v>J209F595</v>
          </cell>
        </row>
        <row r="13216">
          <cell r="D13216" t="str">
            <v>CD8069503956401  Xeon Silver 4208</v>
          </cell>
          <cell r="E13216" t="str">
            <v>J209F595</v>
          </cell>
        </row>
        <row r="13217">
          <cell r="D13217" t="str">
            <v>CD8069503956401  Xeon Silver 4208</v>
          </cell>
          <cell r="E13217" t="str">
            <v>J209F595</v>
          </cell>
        </row>
        <row r="13218">
          <cell r="D13218" t="str">
            <v>CD8069503956401  Xeon Silver 4208</v>
          </cell>
          <cell r="E13218" t="str">
            <v>J209F595</v>
          </cell>
        </row>
        <row r="13219">
          <cell r="D13219" t="str">
            <v>CD8069503956401  Xeon Silver 4208</v>
          </cell>
          <cell r="E13219" t="str">
            <v>J209F595</v>
          </cell>
        </row>
        <row r="13220">
          <cell r="D13220" t="str">
            <v>CD8069503956401  Xeon Silver 4208</v>
          </cell>
          <cell r="E13220" t="str">
            <v>J209F595</v>
          </cell>
        </row>
        <row r="13221">
          <cell r="D13221" t="str">
            <v>CD8069503956401  Xeon Silver 4208</v>
          </cell>
          <cell r="E13221" t="str">
            <v>J209F595</v>
          </cell>
        </row>
        <row r="13222">
          <cell r="D13222" t="str">
            <v>CD8069503956401  Xeon Silver 4208</v>
          </cell>
          <cell r="E13222" t="str">
            <v>J209F595</v>
          </cell>
        </row>
        <row r="13223">
          <cell r="D13223" t="str">
            <v>CD8069503956401  Xeon Silver 4208</v>
          </cell>
          <cell r="E13223" t="str">
            <v>J209F595</v>
          </cell>
        </row>
        <row r="13224">
          <cell r="D13224" t="str">
            <v>CD8069503956401  Xeon Silver 4208</v>
          </cell>
          <cell r="E13224" t="str">
            <v>J209F595</v>
          </cell>
        </row>
        <row r="13225">
          <cell r="D13225" t="str">
            <v>CD8069503956401  Xeon Silver 4208</v>
          </cell>
          <cell r="E13225" t="str">
            <v>J209F595</v>
          </cell>
        </row>
        <row r="13226">
          <cell r="D13226" t="str">
            <v>X570D4U</v>
          </cell>
          <cell r="E13226" t="str">
            <v>F1S0XW000425</v>
          </cell>
        </row>
        <row r="13227">
          <cell r="D13227" t="str">
            <v>X570D4U</v>
          </cell>
          <cell r="E13227" t="str">
            <v>F1S0XW000422</v>
          </cell>
        </row>
        <row r="13228">
          <cell r="D13228" t="str">
            <v>X570D4U</v>
          </cell>
          <cell r="E13228" t="str">
            <v>F1S0XW003528</v>
          </cell>
        </row>
        <row r="13229">
          <cell r="D13229" t="str">
            <v>AOM-SAS3-8i8e</v>
          </cell>
          <cell r="E13229" t="str">
            <v>JA217S000458</v>
          </cell>
        </row>
        <row r="13230">
          <cell r="D13230" t="str">
            <v>BCM957412A4120AC</v>
          </cell>
          <cell r="E13230" t="str">
            <v>A412021230008SFV</v>
          </cell>
        </row>
        <row r="13231">
          <cell r="D13231" t="str">
            <v>C246 WSI</v>
          </cell>
          <cell r="E13231" t="str">
            <v>F2S0XW015205</v>
          </cell>
        </row>
        <row r="13232">
          <cell r="D13232" t="str">
            <v>C246 WSI</v>
          </cell>
          <cell r="E13232" t="str">
            <v>F2S0XW015206</v>
          </cell>
        </row>
        <row r="13233">
          <cell r="D13233" t="str">
            <v>C246 WSI</v>
          </cell>
          <cell r="E13233" t="str">
            <v>F2S0XW015207</v>
          </cell>
        </row>
        <row r="13234">
          <cell r="D13234" t="str">
            <v>SSDSC2KB019T801</v>
          </cell>
          <cell r="E13234" t="str">
            <v>PHYF128401LZ1P9DGN</v>
          </cell>
        </row>
        <row r="13235">
          <cell r="D13235" t="str">
            <v>SSDSC2KB019T801</v>
          </cell>
          <cell r="E13235" t="str">
            <v>PHYF128401L61P9DGN</v>
          </cell>
        </row>
        <row r="13236">
          <cell r="D13236" t="str">
            <v>SSDSC2KB019T801</v>
          </cell>
          <cell r="E13236" t="str">
            <v>PHYF117405SZ1P9DGN</v>
          </cell>
        </row>
        <row r="13237">
          <cell r="D13237" t="str">
            <v>SSDSC2KB019T801</v>
          </cell>
          <cell r="E13237" t="str">
            <v>PHYF117300GL1P9DGN</v>
          </cell>
        </row>
        <row r="13238">
          <cell r="D13238" t="str">
            <v>SSDSC2KB019T801</v>
          </cell>
          <cell r="E13238" t="str">
            <v>PHYF117402DE1P9DGN</v>
          </cell>
        </row>
        <row r="13239">
          <cell r="D13239" t="str">
            <v>SSDSC2KB019T801</v>
          </cell>
          <cell r="E13239" t="str">
            <v>PHYF129101QY1P9DGN</v>
          </cell>
        </row>
        <row r="13240">
          <cell r="D13240" t="str">
            <v>SSDSC2KB019T801</v>
          </cell>
          <cell r="E13240" t="str">
            <v>PHYF128401JT1P9DGN</v>
          </cell>
        </row>
        <row r="13241">
          <cell r="D13241" t="str">
            <v>SSDSC2KB019T801</v>
          </cell>
          <cell r="E13241" t="str">
            <v>PHYF128401LA1P9DGN</v>
          </cell>
        </row>
        <row r="13242">
          <cell r="D13242" t="str">
            <v>SSDSC2KB019T801</v>
          </cell>
          <cell r="E13242" t="str">
            <v>PHYF128401LW1P9DGN</v>
          </cell>
        </row>
        <row r="13243">
          <cell r="D13243" t="str">
            <v>SSDSC2KB019T801</v>
          </cell>
          <cell r="E13243" t="str">
            <v>PHYF128401LV1P9DGN</v>
          </cell>
        </row>
        <row r="13244">
          <cell r="D13244" t="str">
            <v>SSDSC2KB019T801</v>
          </cell>
          <cell r="E13244" t="str">
            <v>PHYF129100JB1P9DGN</v>
          </cell>
        </row>
        <row r="13245">
          <cell r="D13245" t="str">
            <v>SSDSC2KB019T801</v>
          </cell>
          <cell r="E13245" t="str">
            <v>PHYF129100JD1P9DGN</v>
          </cell>
        </row>
        <row r="13246">
          <cell r="D13246" t="str">
            <v>SSDSC2KB019T801</v>
          </cell>
          <cell r="E13246" t="str">
            <v>PHYF128400VX1P9DGN</v>
          </cell>
        </row>
        <row r="13247">
          <cell r="D13247" t="str">
            <v>0B35946</v>
          </cell>
          <cell r="E13247" t="str">
            <v>V9JYGUML</v>
          </cell>
        </row>
        <row r="13248">
          <cell r="D13248" t="str">
            <v>0B35946</v>
          </cell>
          <cell r="E13248" t="str">
            <v>V9JY4KVL</v>
          </cell>
        </row>
        <row r="13249">
          <cell r="D13249" t="str">
            <v>0B35946</v>
          </cell>
          <cell r="E13249" t="str">
            <v>V9JY4HAL</v>
          </cell>
        </row>
        <row r="13250">
          <cell r="D13250" t="str">
            <v>0B35946</v>
          </cell>
          <cell r="E13250" t="str">
            <v>V9JYG4EL</v>
          </cell>
        </row>
        <row r="13251">
          <cell r="D13251" t="str">
            <v>SSG-6049P-E1CR36H</v>
          </cell>
          <cell r="E13251" t="str">
            <v>E287680X2500093</v>
          </cell>
        </row>
        <row r="13252">
          <cell r="D13252" t="str">
            <v>CSE</v>
          </cell>
          <cell r="E13252" t="str">
            <v>C8470FK50P20244</v>
          </cell>
        </row>
        <row r="13253">
          <cell r="D13253" t="str">
            <v>PWS</v>
          </cell>
          <cell r="E13253" t="str">
            <v>P1K2ACL44RB3571</v>
          </cell>
        </row>
        <row r="13254">
          <cell r="D13254" t="str">
            <v>PWS</v>
          </cell>
          <cell r="E13254" t="str">
            <v>P1K2ACL44RB3572</v>
          </cell>
        </row>
        <row r="13255">
          <cell r="D13255" t="str">
            <v>MBD</v>
          </cell>
          <cell r="E13255" t="str">
            <v>ZM219S016072</v>
          </cell>
        </row>
        <row r="13256">
          <cell r="D13256" t="str">
            <v>BPN</v>
          </cell>
          <cell r="E13256" t="str">
            <v>HB21BS012414</v>
          </cell>
        </row>
        <row r="13257">
          <cell r="D13257" t="str">
            <v>BPN</v>
          </cell>
          <cell r="E13257" t="str">
            <v>HB221S017001</v>
          </cell>
        </row>
        <row r="13258">
          <cell r="D13258" t="str">
            <v>AOC</v>
          </cell>
          <cell r="E13258" t="str">
            <v>VA21CS026029</v>
          </cell>
        </row>
        <row r="13259">
          <cell r="D13259" t="str">
            <v>AOC</v>
          </cell>
          <cell r="E13259" t="str">
            <v>JA21BS002480</v>
          </cell>
        </row>
        <row r="13260">
          <cell r="D13260" t="str">
            <v>SYS-5019A-FTN4</v>
          </cell>
          <cell r="E13260" t="str">
            <v>E286201X2502942</v>
          </cell>
        </row>
        <row r="13261">
          <cell r="D13261" t="str">
            <v>CSE</v>
          </cell>
          <cell r="E13261" t="str">
            <v>C5050LK37NG0701</v>
          </cell>
        </row>
        <row r="13262">
          <cell r="D13262" t="str">
            <v>PWS</v>
          </cell>
          <cell r="E13262" t="str">
            <v>P20310L35G37574</v>
          </cell>
        </row>
        <row r="13263">
          <cell r="D13263" t="str">
            <v>MBD</v>
          </cell>
          <cell r="E13263" t="str">
            <v>NM21CS007997</v>
          </cell>
        </row>
        <row r="13264">
          <cell r="D13264" t="str">
            <v>RSC</v>
          </cell>
          <cell r="E13264" t="str">
            <v>VR219S030561</v>
          </cell>
        </row>
        <row r="13265">
          <cell r="D13265" t="str">
            <v>MBD-X11SCW-F-B</v>
          </cell>
          <cell r="E13265" t="str">
            <v>ZM224S006380</v>
          </cell>
        </row>
        <row r="13266">
          <cell r="D13266" t="str">
            <v>MBD-X11DDW-NT-B</v>
          </cell>
          <cell r="E13266" t="str">
            <v>NM21BS006174</v>
          </cell>
        </row>
        <row r="13267">
          <cell r="D13267" t="str">
            <v>HDD-2A600-ST600MM0099</v>
          </cell>
          <cell r="E13267" t="str">
            <v>WFJ5P9QT</v>
          </cell>
        </row>
        <row r="13268">
          <cell r="D13268" t="str">
            <v>HDD-2A600-ST600MM0099</v>
          </cell>
          <cell r="E13268" t="str">
            <v>WFJ5P9JH</v>
          </cell>
        </row>
        <row r="13269">
          <cell r="D13269" t="str">
            <v>HDD-2A600-ST600MM0099</v>
          </cell>
          <cell r="E13269" t="str">
            <v>WFJ5P9WX</v>
          </cell>
        </row>
        <row r="13270">
          <cell r="D13270" t="str">
            <v>HDD-2A600-ST600MM0099</v>
          </cell>
          <cell r="E13270" t="str">
            <v>WFJ5P9R7</v>
          </cell>
        </row>
        <row r="13271">
          <cell r="D13271" t="str">
            <v>HDD-2A600-ST600MM0099</v>
          </cell>
          <cell r="E13271" t="str">
            <v>WFJ5P9S7</v>
          </cell>
        </row>
        <row r="13272">
          <cell r="D13272" t="str">
            <v>HDD-2A600-ST600MM0099</v>
          </cell>
          <cell r="E13272" t="str">
            <v>WFJ5P9E9</v>
          </cell>
        </row>
        <row r="13273">
          <cell r="D13273" t="str">
            <v>HDD-2A600-ST600MM0099</v>
          </cell>
          <cell r="E13273" t="str">
            <v>WFJ5P9AS</v>
          </cell>
        </row>
        <row r="13274">
          <cell r="D13274" t="str">
            <v>HDD-2A600-ST600MM0099</v>
          </cell>
          <cell r="E13274" t="str">
            <v>WFJ5P99L</v>
          </cell>
        </row>
        <row r="13275">
          <cell r="D13275" t="str">
            <v>HDD-2A600-ST600MM0099</v>
          </cell>
          <cell r="E13275" t="str">
            <v>WFJ5P9WJ</v>
          </cell>
        </row>
        <row r="13276">
          <cell r="D13276" t="str">
            <v>HDD-2A600-ST600MM0099</v>
          </cell>
          <cell r="E13276" t="str">
            <v>WFJ5P9BX</v>
          </cell>
        </row>
        <row r="13277">
          <cell r="D13277" t="str">
            <v>HDD-2A600-ST600MM0099</v>
          </cell>
          <cell r="E13277" t="str">
            <v>WFJ5P9LS</v>
          </cell>
        </row>
        <row r="13278">
          <cell r="D13278" t="str">
            <v>HDD-2A600-ST600MM0099</v>
          </cell>
          <cell r="E13278" t="str">
            <v>WFJ5P98P</v>
          </cell>
        </row>
        <row r="13279">
          <cell r="D13279" t="str">
            <v>HDD-2A600-ST600MM0099</v>
          </cell>
          <cell r="E13279" t="str">
            <v>WFJ5P9E6</v>
          </cell>
        </row>
        <row r="13280">
          <cell r="D13280" t="str">
            <v>HDD-2A600-ST600MM0099</v>
          </cell>
          <cell r="E13280" t="str">
            <v>WFJ59EB2</v>
          </cell>
        </row>
        <row r="13281">
          <cell r="D13281" t="str">
            <v>HDD-2A600-ST600MM0099</v>
          </cell>
          <cell r="E13281" t="str">
            <v>WFJ5P9JM</v>
          </cell>
        </row>
        <row r="13282">
          <cell r="D13282" t="str">
            <v>HDD-2A600-ST600MM0099</v>
          </cell>
          <cell r="E13282" t="str">
            <v>WFJ5P9C0</v>
          </cell>
        </row>
        <row r="13283">
          <cell r="D13283" t="str">
            <v>HDD-2A600-ST600MM0099</v>
          </cell>
          <cell r="E13283" t="str">
            <v>WFJ5P9TS</v>
          </cell>
        </row>
        <row r="13284">
          <cell r="D13284" t="str">
            <v>HDD-2A600-ST600MM0099</v>
          </cell>
          <cell r="E13284" t="str">
            <v>WFJ5P9KW</v>
          </cell>
        </row>
        <row r="13285">
          <cell r="D13285" t="str">
            <v>HDD-2A600-ST600MM0099</v>
          </cell>
          <cell r="E13285" t="str">
            <v>WFJ5P9W6</v>
          </cell>
        </row>
        <row r="13286">
          <cell r="D13286" t="str">
            <v>HDD-2A600-ST600MM0099</v>
          </cell>
          <cell r="E13286" t="str">
            <v>WFJ5P98B</v>
          </cell>
        </row>
        <row r="13287">
          <cell r="D13287" t="str">
            <v>HDD-2A600-ST600MM0099</v>
          </cell>
          <cell r="E13287" t="str">
            <v>WFJ5RWLH</v>
          </cell>
        </row>
        <row r="13288">
          <cell r="D13288" t="str">
            <v>HDD-2A600-ST600MM0099</v>
          </cell>
          <cell r="E13288" t="str">
            <v>WFJ5P9ZA</v>
          </cell>
        </row>
        <row r="13289">
          <cell r="D13289" t="str">
            <v>HDD-2A600-ST600MM0099</v>
          </cell>
          <cell r="E13289" t="str">
            <v>WFJ5P962</v>
          </cell>
        </row>
        <row r="13290">
          <cell r="D13290" t="str">
            <v>HDD-2A600-ST600MM0099</v>
          </cell>
          <cell r="E13290" t="str">
            <v>WFJ59E1R</v>
          </cell>
        </row>
        <row r="13291">
          <cell r="D13291" t="str">
            <v>RSC-W-68</v>
          </cell>
          <cell r="E13291" t="str">
            <v>ZR215S000473</v>
          </cell>
        </row>
        <row r="13292">
          <cell r="D13292" t="str">
            <v>RSC-W-68</v>
          </cell>
          <cell r="E13292" t="str">
            <v>ZR215S000401</v>
          </cell>
        </row>
        <row r="13293">
          <cell r="D13293" t="str">
            <v>RSC-W-68</v>
          </cell>
          <cell r="E13293" t="str">
            <v>ZR215S000400</v>
          </cell>
        </row>
        <row r="13294">
          <cell r="D13294" t="str">
            <v>RSC-W-68</v>
          </cell>
          <cell r="E13294" t="str">
            <v>ZR215S000465</v>
          </cell>
        </row>
        <row r="13295">
          <cell r="D13295" t="str">
            <v>RSC-W-68</v>
          </cell>
          <cell r="E13295" t="str">
            <v>ZR215S000472</v>
          </cell>
        </row>
        <row r="13296">
          <cell r="D13296" t="str">
            <v>RSC-W-68</v>
          </cell>
          <cell r="E13296" t="str">
            <v>ZR215S000427</v>
          </cell>
        </row>
        <row r="13297">
          <cell r="D13297" t="str">
            <v>RSC-W-68</v>
          </cell>
          <cell r="E13297" t="str">
            <v>ZR215S000411</v>
          </cell>
        </row>
        <row r="13298">
          <cell r="D13298" t="str">
            <v>RSC-W-68</v>
          </cell>
          <cell r="E13298" t="str">
            <v>ZR215S000402</v>
          </cell>
        </row>
        <row r="13299">
          <cell r="D13299" t="str">
            <v>RSC-W-68</v>
          </cell>
          <cell r="E13299" t="str">
            <v>ZR215S000414</v>
          </cell>
        </row>
        <row r="13300">
          <cell r="D13300" t="str">
            <v>RSC-W-68</v>
          </cell>
          <cell r="E13300" t="str">
            <v>ZR215S000431</v>
          </cell>
        </row>
        <row r="13301">
          <cell r="D13301" t="str">
            <v>RSC-W-68</v>
          </cell>
          <cell r="E13301" t="str">
            <v>ZR215S000466</v>
          </cell>
        </row>
        <row r="13302">
          <cell r="D13302" t="str">
            <v>RSC-W-68</v>
          </cell>
          <cell r="E13302" t="str">
            <v>ZR215S000432</v>
          </cell>
        </row>
        <row r="13303">
          <cell r="D13303" t="str">
            <v>RSC-W-68</v>
          </cell>
          <cell r="E13303" t="str">
            <v>ZR215S000471</v>
          </cell>
        </row>
        <row r="13304">
          <cell r="D13304" t="str">
            <v>RSC-W-68</v>
          </cell>
          <cell r="E13304" t="str">
            <v>ZR215S000467</v>
          </cell>
        </row>
        <row r="13305">
          <cell r="D13305" t="str">
            <v>RSC-W-68</v>
          </cell>
          <cell r="E13305" t="str">
            <v>ZR215S000410</v>
          </cell>
        </row>
        <row r="13306">
          <cell r="D13306" t="str">
            <v>RSC-W-68</v>
          </cell>
          <cell r="E13306" t="str">
            <v>ZR215S000457</v>
          </cell>
        </row>
        <row r="13307">
          <cell r="D13307" t="str">
            <v>RSC-W-68</v>
          </cell>
          <cell r="E13307" t="str">
            <v>ZR215S000925</v>
          </cell>
        </row>
        <row r="13308">
          <cell r="D13308" t="str">
            <v>RSC-W-68</v>
          </cell>
          <cell r="E13308" t="str">
            <v>ZR215S000433</v>
          </cell>
        </row>
        <row r="13309">
          <cell r="D13309" t="str">
            <v>RSC-W-68</v>
          </cell>
          <cell r="E13309" t="str">
            <v>ZR215S000430</v>
          </cell>
        </row>
        <row r="13310">
          <cell r="D13310" t="str">
            <v>MBD-X12STW-F-O</v>
          </cell>
          <cell r="E13310" t="str">
            <v>WM219S007144</v>
          </cell>
        </row>
        <row r="13311">
          <cell r="D13311" t="str">
            <v>GPU-NVQP2200-EU</v>
          </cell>
          <cell r="E13311" t="str">
            <v>PG420TH14219102326</v>
          </cell>
        </row>
        <row r="13312">
          <cell r="D13312" t="str">
            <v>GPU-NVQP2200-EU</v>
          </cell>
          <cell r="E13312" t="str">
            <v>PG420TH14219102327</v>
          </cell>
        </row>
        <row r="13313">
          <cell r="D13313" t="str">
            <v>GPU-NVQP2200-EU</v>
          </cell>
          <cell r="E13313" t="str">
            <v>PG420TH14219102328</v>
          </cell>
        </row>
        <row r="13314">
          <cell r="D13314" t="str">
            <v>GPU-NVQP2200-EU</v>
          </cell>
          <cell r="E13314" t="str">
            <v>PG420TH14219102324</v>
          </cell>
        </row>
        <row r="13315">
          <cell r="D13315" t="str">
            <v>MEM-DR416L-HL02-ER32</v>
          </cell>
          <cell r="E13315" t="str">
            <v>80AD012217759EF5DD</v>
          </cell>
        </row>
        <row r="13316">
          <cell r="D13316" t="str">
            <v>MEM-DR416L-HL02-ER32</v>
          </cell>
          <cell r="E13316" t="str">
            <v>80AD012217759EF5EF</v>
          </cell>
        </row>
        <row r="13317">
          <cell r="D13317" t="str">
            <v>MEM-DR416L-HL02-ER32</v>
          </cell>
          <cell r="E13317" t="str">
            <v>80AD012217759EF5C8</v>
          </cell>
        </row>
        <row r="13318">
          <cell r="D13318" t="str">
            <v>MEM-DR416L-HL02-ER32</v>
          </cell>
          <cell r="E13318" t="str">
            <v>80AD012217759EF5CA</v>
          </cell>
        </row>
        <row r="13319">
          <cell r="D13319" t="str">
            <v>MEM-DR416L-HL02-ER32</v>
          </cell>
          <cell r="E13319" t="str">
            <v>80AD012217759EF5C0</v>
          </cell>
        </row>
        <row r="13320">
          <cell r="D13320" t="str">
            <v>MEM-DR416L-HL02-ER32</v>
          </cell>
          <cell r="E13320" t="str">
            <v>80AD012217759EF5BE</v>
          </cell>
        </row>
        <row r="13321">
          <cell r="D13321" t="str">
            <v>HDD-2A600-ST600MM0099</v>
          </cell>
          <cell r="E13321" t="str">
            <v>WFJ5ZNZG</v>
          </cell>
        </row>
        <row r="13322">
          <cell r="D13322" t="str">
            <v>HDS-SMN1-MZ1LB3T8HMLA07</v>
          </cell>
          <cell r="E13322" t="str">
            <v>S46FNC0R603198</v>
          </cell>
        </row>
        <row r="13323">
          <cell r="D13323" t="str">
            <v>HDS-SMN1-MZ1LB3T8HMLA07</v>
          </cell>
          <cell r="E13323" t="str">
            <v>S46FNC0R603201</v>
          </cell>
        </row>
        <row r="13324">
          <cell r="D13324" t="str">
            <v>HDS-M2T-MTFDDAK960TDS1AW</v>
          </cell>
          <cell r="E13324" t="str">
            <v>220233ECDC6D</v>
          </cell>
        </row>
        <row r="13325">
          <cell r="D13325" t="str">
            <v>HDS-M2T-MTFDDAK960TDS1AW</v>
          </cell>
          <cell r="E13325" t="str">
            <v>220233ECDAC6</v>
          </cell>
        </row>
        <row r="13326">
          <cell r="D13326" t="str">
            <v>HDS-M2T-MTFDDAK960TDS1AW</v>
          </cell>
          <cell r="E13326" t="str">
            <v>220233ECDA7F</v>
          </cell>
        </row>
        <row r="13327">
          <cell r="D13327" t="str">
            <v>HDS-M2T-MTFDDAK960TDS1AW</v>
          </cell>
          <cell r="E13327" t="str">
            <v>220233ECDC9E</v>
          </cell>
        </row>
        <row r="13328">
          <cell r="D13328" t="str">
            <v>HDS-M2T-MTFDDAK960TDS1AW</v>
          </cell>
          <cell r="E13328" t="str">
            <v>220233ECDCB1</v>
          </cell>
        </row>
        <row r="13329">
          <cell r="D13329" t="str">
            <v>HDS-M2T-MTFDDAK960TDS1AW</v>
          </cell>
          <cell r="E13329" t="str">
            <v>220233ECDAC5</v>
          </cell>
        </row>
        <row r="13330">
          <cell r="D13330" t="str">
            <v>HDS-M2T-MTFDDAK960TDS1AW</v>
          </cell>
          <cell r="E13330" t="str">
            <v>220233ECDA94</v>
          </cell>
        </row>
        <row r="13331">
          <cell r="D13331" t="str">
            <v>HDS-M2T-MTFDDAK960TDS1AW</v>
          </cell>
          <cell r="E13331" t="str">
            <v>220233ECDA7B</v>
          </cell>
        </row>
        <row r="13332">
          <cell r="D13332" t="str">
            <v>HDS-M2T-MTFDDAK960TDS1AW</v>
          </cell>
          <cell r="E13332" t="str">
            <v>220233ECDAA3</v>
          </cell>
        </row>
        <row r="13333">
          <cell r="D13333" t="str">
            <v>MEM-DR464L0CL02-ER32</v>
          </cell>
          <cell r="E13333" t="str">
            <v>S802C252207F3340C21</v>
          </cell>
        </row>
        <row r="13334">
          <cell r="D13334" t="str">
            <v>MEM-DR464L0CL02-ER32</v>
          </cell>
          <cell r="E13334" t="str">
            <v>S802C252207F3340C3E</v>
          </cell>
        </row>
        <row r="13335">
          <cell r="D13335" t="str">
            <v>MEM-DR464L0CL02-ER32</v>
          </cell>
          <cell r="E13335" t="str">
            <v>S802C252207F3340C40</v>
          </cell>
        </row>
        <row r="13336">
          <cell r="D13336" t="str">
            <v>MEM-DR464L0CL02-ER32</v>
          </cell>
          <cell r="E13336" t="str">
            <v>S802C252207F3340A35</v>
          </cell>
        </row>
        <row r="13337">
          <cell r="D13337" t="str">
            <v>MEM-DR464L0CL02-ER32</v>
          </cell>
          <cell r="E13337" t="str">
            <v>S802C252207F3340A3C</v>
          </cell>
        </row>
        <row r="13338">
          <cell r="D13338" t="str">
            <v>MEM-DR464L0CL02-ER32</v>
          </cell>
          <cell r="E13338" t="str">
            <v>S802C252207F3340A38</v>
          </cell>
        </row>
        <row r="13339">
          <cell r="D13339" t="str">
            <v>MEM-DR464L0CL02-ER32</v>
          </cell>
          <cell r="E13339" t="str">
            <v>S802C252207F3340A33</v>
          </cell>
        </row>
        <row r="13340">
          <cell r="D13340" t="str">
            <v>MEM-DR464L0CL02-ER32</v>
          </cell>
          <cell r="E13340" t="str">
            <v>S802C252207F3340A3B</v>
          </cell>
        </row>
        <row r="13341">
          <cell r="D13341" t="str">
            <v>MEM-DR464L0CL02-ER32</v>
          </cell>
          <cell r="E13341" t="str">
            <v>S802C252207F3340A3D</v>
          </cell>
        </row>
        <row r="13342">
          <cell r="D13342" t="str">
            <v>MEM-DR464L0CL02-ER32</v>
          </cell>
          <cell r="E13342" t="str">
            <v>S802C252207F33409F2</v>
          </cell>
        </row>
        <row r="13343">
          <cell r="D13343" t="str">
            <v>MEM-DR464L0CL02-ER32</v>
          </cell>
          <cell r="E13343" t="str">
            <v>S802C252207F33409E7</v>
          </cell>
        </row>
        <row r="13344">
          <cell r="D13344" t="str">
            <v>MEM-DR464L0CL02-ER32</v>
          </cell>
          <cell r="E13344" t="str">
            <v>S802C252207F3340C22</v>
          </cell>
        </row>
        <row r="13345">
          <cell r="D13345" t="str">
            <v>MEM-DR464L0CL02-ER32</v>
          </cell>
          <cell r="E13345" t="str">
            <v>S802C252207F3340C26</v>
          </cell>
        </row>
        <row r="13346">
          <cell r="D13346" t="str">
            <v>MEM-DR464L0CL02-ER32</v>
          </cell>
          <cell r="E13346" t="str">
            <v>S802C252207F3340C1D</v>
          </cell>
        </row>
        <row r="13347">
          <cell r="D13347" t="str">
            <v>MEM-DR464L0CL02-ER32</v>
          </cell>
          <cell r="E13347" t="str">
            <v>S802C252207F3340C2A</v>
          </cell>
        </row>
        <row r="13348">
          <cell r="D13348" t="str">
            <v>MEM-DR464L0CL02-ER32</v>
          </cell>
          <cell r="E13348" t="str">
            <v>S802C252207F3340C1A</v>
          </cell>
        </row>
        <row r="13349">
          <cell r="D13349" t="str">
            <v>SAS 9341-4i       05-26015-00</v>
          </cell>
          <cell r="E13349" t="str">
            <v>SPB4934888</v>
          </cell>
        </row>
        <row r="13350">
          <cell r="D13350" t="str">
            <v>SAS 9341-4i       05-26015-00</v>
          </cell>
          <cell r="E13350" t="str">
            <v>SPB4934996</v>
          </cell>
        </row>
        <row r="13351">
          <cell r="D13351" t="str">
            <v>SAS 9341-4i       05-26015-00</v>
          </cell>
          <cell r="E13351" t="str">
            <v>SPB4935172</v>
          </cell>
        </row>
        <row r="13352">
          <cell r="D13352" t="str">
            <v>SAS 9341-4i       05-26015-00</v>
          </cell>
          <cell r="E13352" t="str">
            <v>SPB4935187</v>
          </cell>
        </row>
        <row r="13353">
          <cell r="D13353" t="str">
            <v>SAS 9341-4i       05-26015-00</v>
          </cell>
          <cell r="E13353" t="str">
            <v>SPB4935205</v>
          </cell>
        </row>
        <row r="13354">
          <cell r="D13354" t="str">
            <v>SAS 9341-4i       05-26015-00</v>
          </cell>
          <cell r="E13354" t="str">
            <v>SPB4935232</v>
          </cell>
        </row>
        <row r="13355">
          <cell r="D13355" t="str">
            <v>SAS 9341-4i       05-26015-00</v>
          </cell>
          <cell r="E13355" t="str">
            <v>SPB4935280</v>
          </cell>
        </row>
        <row r="13356">
          <cell r="D13356" t="str">
            <v>SAS 9341-4i       05-26015-00</v>
          </cell>
          <cell r="E13356" t="str">
            <v>SPB4935227</v>
          </cell>
        </row>
        <row r="13357">
          <cell r="D13357" t="str">
            <v>SAS 9341-4i       05-26015-00</v>
          </cell>
          <cell r="E13357" t="str">
            <v>SPB4935276</v>
          </cell>
        </row>
        <row r="13358">
          <cell r="D13358" t="str">
            <v>SAS 9341-4i       05-26015-00</v>
          </cell>
          <cell r="E13358" t="str">
            <v>SPB4934885</v>
          </cell>
        </row>
        <row r="13359">
          <cell r="D13359" t="str">
            <v>SAS 9341-4i       05-26015-00</v>
          </cell>
          <cell r="E13359" t="str">
            <v>SPB4934952</v>
          </cell>
        </row>
        <row r="13360">
          <cell r="D13360" t="str">
            <v>SAS 9341-4i       05-26015-00</v>
          </cell>
          <cell r="E13360" t="str">
            <v>SPB4935279</v>
          </cell>
        </row>
        <row r="13361">
          <cell r="D13361" t="str">
            <v>SAS 9341-4i       05-26015-00</v>
          </cell>
          <cell r="E13361" t="str">
            <v>SPB4934891</v>
          </cell>
        </row>
        <row r="13362">
          <cell r="D13362" t="str">
            <v>SAS 9341-4i       05-26015-00</v>
          </cell>
          <cell r="E13362" t="str">
            <v>SPB4934972</v>
          </cell>
        </row>
        <row r="13363">
          <cell r="D13363" t="str">
            <v>SSDSC2KB960G801</v>
          </cell>
          <cell r="E13363" t="str">
            <v>BTYF209205YT960CGN</v>
          </cell>
        </row>
        <row r="13364">
          <cell r="D13364" t="str">
            <v>SSDSC2KB960G801</v>
          </cell>
          <cell r="E13364" t="str">
            <v>BTYF2093068G960CGN</v>
          </cell>
        </row>
        <row r="13365">
          <cell r="D13365" t="str">
            <v>SSDSC2KB960G801</v>
          </cell>
          <cell r="E13365" t="str">
            <v>BTYF20930698960CGN</v>
          </cell>
        </row>
        <row r="13366">
          <cell r="D13366" t="str">
            <v>SSDSC2KB960G801</v>
          </cell>
          <cell r="E13366" t="str">
            <v>BTYF209205YA960CGN</v>
          </cell>
        </row>
        <row r="13367">
          <cell r="D13367" t="str">
            <v>SSDSC2KB960G801</v>
          </cell>
          <cell r="E13367" t="str">
            <v>BTYF2093067J960CGN</v>
          </cell>
        </row>
        <row r="13368">
          <cell r="D13368" t="str">
            <v>SSDSC2KB960G801</v>
          </cell>
          <cell r="E13368" t="str">
            <v>BTYF2093010P960CGN</v>
          </cell>
        </row>
        <row r="13369">
          <cell r="D13369" t="str">
            <v>SSDSC2KB960G801</v>
          </cell>
          <cell r="E13369" t="str">
            <v>BTYF209207S9960CGN</v>
          </cell>
        </row>
        <row r="13370">
          <cell r="D13370" t="str">
            <v>SSDSC2KB960G801</v>
          </cell>
          <cell r="E13370" t="str">
            <v>BTYF2093069N960CGN</v>
          </cell>
        </row>
        <row r="13371">
          <cell r="D13371" t="str">
            <v>NMB1XXD128GPSU4</v>
          </cell>
          <cell r="E13371" t="str">
            <v>8089A2221100001CF1</v>
          </cell>
          <cell r="K13371" t="str">
            <v>Wypożyczone 07.06.2022 Wirtualna Polska Media S.A.; zwrot 30.06.2022</v>
          </cell>
        </row>
        <row r="13372">
          <cell r="D13372" t="str">
            <v>NMB1XXD128GPSU4</v>
          </cell>
          <cell r="E13372" t="str">
            <v>8089A2221100001D03</v>
          </cell>
          <cell r="K13372" t="str">
            <v>Wypożyczone 07.06.2022 Wirtualna Polska Media S.A.; zwrot 30.06.2022</v>
          </cell>
        </row>
        <row r="13373">
          <cell r="D13373" t="str">
            <v>NMB1XXD128GPSU4</v>
          </cell>
          <cell r="E13373" t="str">
            <v>8089A2221100001CE5</v>
          </cell>
          <cell r="K13373" t="str">
            <v>Wypożyczone 07.06.2022 Wirtualna Polska Media S.A.; zwrot 30.06.2022</v>
          </cell>
        </row>
        <row r="13374">
          <cell r="D13374" t="str">
            <v>NMB1XXD128GPSU4</v>
          </cell>
          <cell r="E13374" t="str">
            <v>8089A2221100001638</v>
          </cell>
          <cell r="K13374" t="str">
            <v>Wypożyczone 07.06.2022 Wirtualna Polska Media S.A.; zwrot 30.06.2022</v>
          </cell>
        </row>
        <row r="13375">
          <cell r="D13375" t="str">
            <v>NMA1XXD128GPSU4</v>
          </cell>
          <cell r="E13375" t="str">
            <v>8089A222090000434A</v>
          </cell>
          <cell r="K13375" t="str">
            <v>Wypożyczone 07.06.2022 Wirtualna Polska Media S.A.; zwrot 30.06.2022</v>
          </cell>
        </row>
        <row r="13376">
          <cell r="D13376" t="str">
            <v>NMA1XXD128GPSU4</v>
          </cell>
          <cell r="E13376" t="str">
            <v>8089A2220900005F63</v>
          </cell>
          <cell r="K13376" t="str">
            <v>Wypożyczone 07.06.2022 Wirtualna Polska Media S.A.; zwrot 30.06.2022</v>
          </cell>
        </row>
        <row r="13377">
          <cell r="D13377" t="str">
            <v>NMA1XXD128GPSU4</v>
          </cell>
          <cell r="E13377" t="str">
            <v>8089A2220900004252</v>
          </cell>
          <cell r="K13377" t="str">
            <v>Wypożyczone 07.06.2022 Wirtualna Polska Media S.A.; zwrot 30.06.2022</v>
          </cell>
        </row>
        <row r="13378">
          <cell r="D13378" t="str">
            <v>NMA1XXD128GPSU4</v>
          </cell>
          <cell r="E13378" t="str">
            <v>8089A2220900003B2F</v>
          </cell>
          <cell r="K13378" t="str">
            <v>Wypożyczone 07.06.2022 Wirtualna Polska Media S.A.; zwrot 30.06.2022</v>
          </cell>
        </row>
        <row r="13379">
          <cell r="D13379" t="str">
            <v>SSDSC2KB019T801</v>
          </cell>
          <cell r="E13379" t="str">
            <v>PHYF206101321P9DGN</v>
          </cell>
        </row>
        <row r="13380">
          <cell r="D13380" t="str">
            <v>SSDSC2KB019T801</v>
          </cell>
          <cell r="E13380" t="str">
            <v>PHYF206101361P9DGN</v>
          </cell>
        </row>
        <row r="13381">
          <cell r="D13381" t="str">
            <v>SSDSC2KB019T801</v>
          </cell>
          <cell r="E13381" t="str">
            <v>PHYF206101N31P9DGN</v>
          </cell>
        </row>
        <row r="13382">
          <cell r="D13382" t="str">
            <v>SSDSC2KB019T801</v>
          </cell>
          <cell r="E13382" t="str">
            <v>PHYF206101J71P9DGN</v>
          </cell>
        </row>
        <row r="13383">
          <cell r="D13383" t="str">
            <v>SSDSC2KB038T801</v>
          </cell>
          <cell r="E13383" t="str">
            <v>PHYF149607TR3P8EGN</v>
          </cell>
        </row>
        <row r="13384">
          <cell r="D13384" t="str">
            <v>SSDSC2KB038T801</v>
          </cell>
          <cell r="E13384" t="str">
            <v>PHYF149607SY3P8EGN</v>
          </cell>
        </row>
        <row r="13385">
          <cell r="D13385" t="str">
            <v>MZ7LH3T8HMLT-00005</v>
          </cell>
          <cell r="E13385" t="str">
            <v>S456NC0T315044</v>
          </cell>
        </row>
        <row r="13386">
          <cell r="D13386" t="str">
            <v>MZ7LH3T8HMLT-00005</v>
          </cell>
          <cell r="E13386" t="str">
            <v>S456NC0T315045</v>
          </cell>
        </row>
        <row r="13387">
          <cell r="D13387" t="str">
            <v>MZ7LH3T8HMLT-00005</v>
          </cell>
          <cell r="E13387" t="str">
            <v>S456NC0T315046</v>
          </cell>
        </row>
        <row r="13388">
          <cell r="D13388" t="str">
            <v>MZ7LH3T8HMLT-00005</v>
          </cell>
          <cell r="E13388" t="str">
            <v>S456NC0T315049</v>
          </cell>
        </row>
        <row r="13389">
          <cell r="D13389" t="str">
            <v>MZ7LH3T8HMLT-00005</v>
          </cell>
          <cell r="E13389" t="str">
            <v>S456NC0T315048</v>
          </cell>
        </row>
        <row r="13390">
          <cell r="D13390" t="str">
            <v>MZ7LH3T8HMLT-00005</v>
          </cell>
          <cell r="E13390" t="str">
            <v>S456NC0T315047</v>
          </cell>
        </row>
        <row r="13391">
          <cell r="D13391" t="str">
            <v>MZ7LH3T8HMLT-00005</v>
          </cell>
          <cell r="E13391" t="str">
            <v>S456NC0T315050</v>
          </cell>
        </row>
        <row r="13392">
          <cell r="D13392" t="str">
            <v>MZ7LH3T8HMLT-00005</v>
          </cell>
          <cell r="E13392" t="str">
            <v>S456NC0T315051</v>
          </cell>
        </row>
        <row r="13393">
          <cell r="D13393" t="str">
            <v>MZ7LH3T8HMLT-00005</v>
          </cell>
          <cell r="E13393" t="str">
            <v>S456NC0T315043</v>
          </cell>
        </row>
        <row r="13394">
          <cell r="D13394" t="str">
            <v>MZ7LH3T8HMLT-00005</v>
          </cell>
          <cell r="E13394" t="str">
            <v>S456NC0T315042</v>
          </cell>
        </row>
        <row r="13395">
          <cell r="D13395" t="str">
            <v>MZ7LH3T8HMLT-00005</v>
          </cell>
          <cell r="E13395" t="str">
            <v>S456NC0T315053</v>
          </cell>
        </row>
        <row r="13396">
          <cell r="D13396" t="str">
            <v>MZ7LH3T8HMLT-00005</v>
          </cell>
          <cell r="E13396" t="str">
            <v>S456NC0T315052</v>
          </cell>
        </row>
        <row r="13397">
          <cell r="D13397" t="str">
            <v>MZ7L3480HBLT-00A07</v>
          </cell>
          <cell r="E13397" t="str">
            <v>S6ELNE0T102265</v>
          </cell>
        </row>
        <row r="13398">
          <cell r="D13398" t="str">
            <v>MZ7L3480HBLT-00A07</v>
          </cell>
          <cell r="E13398" t="str">
            <v>S6ELNE0T102250</v>
          </cell>
        </row>
        <row r="13399">
          <cell r="D13399" t="str">
            <v>MZ7L3480HBLT-00A07</v>
          </cell>
          <cell r="E13399" t="str">
            <v>S6ELNE0T102264</v>
          </cell>
        </row>
        <row r="13400">
          <cell r="D13400" t="str">
            <v>CD8069504446300 Xeon Gold 5218R</v>
          </cell>
          <cell r="E13400" t="str">
            <v>3211F923</v>
          </cell>
        </row>
        <row r="13401">
          <cell r="D13401" t="str">
            <v>CD8069504446300 Xeon Gold 5218R</v>
          </cell>
          <cell r="E13401" t="str">
            <v>3211F923</v>
          </cell>
        </row>
        <row r="13402">
          <cell r="D13402" t="str">
            <v>CD8069504446300 Xeon Gold 5218R</v>
          </cell>
          <cell r="E13402" t="str">
            <v>3211F923</v>
          </cell>
        </row>
        <row r="13403">
          <cell r="D13403" t="str">
            <v>CD8069504446300 Xeon Gold 5218R</v>
          </cell>
          <cell r="E13403" t="str">
            <v>3211F923</v>
          </cell>
        </row>
        <row r="13404">
          <cell r="D13404" t="str">
            <v>CD8069504446300 Xeon Gold 5218R</v>
          </cell>
          <cell r="E13404" t="str">
            <v>3211F923</v>
          </cell>
        </row>
        <row r="13405">
          <cell r="D13405" t="str">
            <v>CD8069504446300 Xeon Gold 5218R</v>
          </cell>
          <cell r="E13405" t="str">
            <v>3211F923</v>
          </cell>
        </row>
        <row r="13406">
          <cell r="D13406" t="str">
            <v>CD8069504446300 Xeon Gold 5218R</v>
          </cell>
          <cell r="E13406" t="str">
            <v>3211F923</v>
          </cell>
        </row>
        <row r="13407">
          <cell r="D13407" t="str">
            <v>CD8069504446300 Xeon Gold 5218R</v>
          </cell>
          <cell r="E13407" t="str">
            <v>3211F923</v>
          </cell>
        </row>
        <row r="13408">
          <cell r="D13408" t="str">
            <v>CD8069504446300 Xeon Gold 5218R</v>
          </cell>
          <cell r="E13408" t="str">
            <v>3211F923</v>
          </cell>
        </row>
        <row r="13409">
          <cell r="D13409" t="str">
            <v>CD8069504446300 Xeon Gold 5218R</v>
          </cell>
          <cell r="E13409" t="str">
            <v>3211F923</v>
          </cell>
        </row>
        <row r="13410">
          <cell r="D13410" t="str">
            <v>CD8069504446300 Xeon Gold 5218R</v>
          </cell>
          <cell r="E13410" t="str">
            <v>3218F314</v>
          </cell>
        </row>
        <row r="13411">
          <cell r="D13411" t="str">
            <v>CD8069504446300 Xeon Gold 5218R</v>
          </cell>
          <cell r="E13411" t="str">
            <v>3218F314</v>
          </cell>
        </row>
        <row r="13412">
          <cell r="D13412" t="str">
            <v>CD8069504448800 Xeon Gold 6230R</v>
          </cell>
          <cell r="E13412" t="str">
            <v>3218F198</v>
          </cell>
        </row>
        <row r="13413">
          <cell r="D13413" t="str">
            <v>CD8069504448800 Xeon Gold 6230R</v>
          </cell>
          <cell r="E13413" t="str">
            <v>3218F198</v>
          </cell>
        </row>
        <row r="13414">
          <cell r="D13414" t="str">
            <v>CD8069504448800 Xeon Gold 6230R</v>
          </cell>
          <cell r="E13414" t="str">
            <v>3218F198</v>
          </cell>
        </row>
        <row r="13415">
          <cell r="D13415" t="str">
            <v>CD8069504448800 Xeon Gold 6230R</v>
          </cell>
          <cell r="E13415" t="str">
            <v>3218F198</v>
          </cell>
        </row>
        <row r="13416">
          <cell r="D13416" t="str">
            <v>CD8069504343701 Xeon Silver 4214R</v>
          </cell>
          <cell r="E13416" t="str">
            <v>3217F470</v>
          </cell>
        </row>
        <row r="13417">
          <cell r="D13417" t="str">
            <v>CD8069504343701 Xeon Silver 4214R</v>
          </cell>
          <cell r="E13417" t="str">
            <v>3217F470</v>
          </cell>
        </row>
        <row r="13418">
          <cell r="D13418" t="str">
            <v>CD8069504343701 Xeon Silver 4214R</v>
          </cell>
          <cell r="E13418" t="str">
            <v>3217F470</v>
          </cell>
        </row>
        <row r="13419">
          <cell r="D13419" t="str">
            <v>CD8069504343701 Xeon Silver 4214R</v>
          </cell>
          <cell r="E13419" t="str">
            <v>3217F470</v>
          </cell>
        </row>
        <row r="13420">
          <cell r="D13420" t="str">
            <v>CD8069504343701 Xeon Silver 4214R</v>
          </cell>
          <cell r="E13420" t="str">
            <v>3217F470</v>
          </cell>
        </row>
        <row r="13421">
          <cell r="D13421" t="str">
            <v>CD8069504343701 Xeon Silver 4214R</v>
          </cell>
          <cell r="E13421" t="str">
            <v>3217F470</v>
          </cell>
        </row>
        <row r="13422">
          <cell r="D13422" t="str">
            <v>CD8069504343701 Xeon Silver 4214R</v>
          </cell>
          <cell r="E13422" t="str">
            <v>3217F470</v>
          </cell>
        </row>
        <row r="13423">
          <cell r="D13423" t="str">
            <v>CD8069504343701 Xeon Silver 4214R</v>
          </cell>
          <cell r="E13423" t="str">
            <v>3217F470</v>
          </cell>
        </row>
        <row r="13424">
          <cell r="D13424" t="str">
            <v>CD8069504343701 Xeon Silver 4214R</v>
          </cell>
          <cell r="E13424" t="str">
            <v>3217F470</v>
          </cell>
        </row>
        <row r="13425">
          <cell r="D13425" t="str">
            <v>CD8069504343701 Xeon Silver 4214R</v>
          </cell>
          <cell r="E13425" t="str">
            <v>3217F470</v>
          </cell>
        </row>
        <row r="13426">
          <cell r="D13426" t="str">
            <v>CD8069504343701 Xeon Silver 4214R</v>
          </cell>
          <cell r="E13426" t="str">
            <v>3217F470</v>
          </cell>
        </row>
        <row r="13427">
          <cell r="D13427" t="str">
            <v>CD8069504343701 Xeon Silver 4214R</v>
          </cell>
          <cell r="E13427" t="str">
            <v>3217F470</v>
          </cell>
        </row>
        <row r="13428">
          <cell r="D13428" t="str">
            <v>CD8069504343701 Xeon Silver 4214R</v>
          </cell>
          <cell r="E13428" t="str">
            <v>3217F470</v>
          </cell>
        </row>
        <row r="13429">
          <cell r="D13429" t="str">
            <v>CD8069504343701 Xeon Silver 4214R</v>
          </cell>
          <cell r="E13429" t="str">
            <v>3217F470</v>
          </cell>
        </row>
        <row r="13430">
          <cell r="D13430" t="str">
            <v>CD8069504343701 Xeon Silver 4214R</v>
          </cell>
          <cell r="E13430" t="str">
            <v>3217F470</v>
          </cell>
        </row>
        <row r="13431">
          <cell r="D13431" t="str">
            <v>CD8069504343701 Xeon Silver 4214R</v>
          </cell>
          <cell r="E13431" t="str">
            <v>3217F470</v>
          </cell>
        </row>
        <row r="13432">
          <cell r="D13432" t="str">
            <v>CD8069504343701 Xeon Silver 4214R</v>
          </cell>
          <cell r="E13432" t="str">
            <v>3217F470</v>
          </cell>
        </row>
        <row r="13433">
          <cell r="D13433" t="str">
            <v>CD8069504343701 Xeon Silver 4214R</v>
          </cell>
          <cell r="E13433" t="str">
            <v>3217F470</v>
          </cell>
        </row>
        <row r="13434">
          <cell r="D13434" t="str">
            <v>CD8069504343701 Xeon Silver 4214R</v>
          </cell>
          <cell r="E13434" t="str">
            <v>3217F470</v>
          </cell>
        </row>
        <row r="13435">
          <cell r="D13435" t="str">
            <v>CD8069504343701 Xeon Silver 4214R</v>
          </cell>
          <cell r="E13435" t="str">
            <v>3217F470</v>
          </cell>
        </row>
        <row r="13436">
          <cell r="D13436" t="str">
            <v>0F38462</v>
          </cell>
          <cell r="E13436" t="str">
            <v>2PH6B9NJ</v>
          </cell>
        </row>
        <row r="13437">
          <cell r="D13437" t="str">
            <v>0F38462</v>
          </cell>
          <cell r="E13437" t="str">
            <v>2PHBBGMT</v>
          </cell>
        </row>
        <row r="13438">
          <cell r="D13438" t="str">
            <v>0F38462</v>
          </cell>
          <cell r="E13438" t="str">
            <v>2PHBMJUT</v>
          </cell>
        </row>
        <row r="13439">
          <cell r="D13439" t="str">
            <v>0F38462</v>
          </cell>
          <cell r="E13439" t="str">
            <v>2BKE8J1N</v>
          </cell>
        </row>
        <row r="13440">
          <cell r="D13440" t="str">
            <v>0F38462</v>
          </cell>
          <cell r="E13440" t="str">
            <v>2PH9VNKT</v>
          </cell>
        </row>
        <row r="13441">
          <cell r="D13441" t="str">
            <v>0F38462</v>
          </cell>
          <cell r="E13441" t="str">
            <v>2PHBKWBT</v>
          </cell>
        </row>
        <row r="13442">
          <cell r="D13442" t="str">
            <v>0F38462</v>
          </cell>
          <cell r="E13442" t="str">
            <v>3FKDYPUT</v>
          </cell>
        </row>
        <row r="13443">
          <cell r="D13443" t="str">
            <v>0F38462</v>
          </cell>
          <cell r="E13443" t="str">
            <v>2PH9T2GT</v>
          </cell>
        </row>
        <row r="13444">
          <cell r="D13444" t="str">
            <v>0F38462</v>
          </cell>
          <cell r="E13444" t="str">
            <v>2PHBBNNT</v>
          </cell>
        </row>
        <row r="13445">
          <cell r="D13445" t="str">
            <v>0F38462</v>
          </cell>
          <cell r="E13445" t="str">
            <v>2PHBTZ2T</v>
          </cell>
        </row>
        <row r="13446">
          <cell r="D13446" t="str">
            <v>0F38462</v>
          </cell>
          <cell r="E13446" t="str">
            <v>2PH6A5UJ</v>
          </cell>
        </row>
        <row r="13447">
          <cell r="D13447" t="str">
            <v>0F38462</v>
          </cell>
          <cell r="E13447" t="str">
            <v>2PHA41KT</v>
          </cell>
        </row>
        <row r="13448">
          <cell r="D13448" t="str">
            <v>0F38462</v>
          </cell>
          <cell r="E13448" t="str">
            <v>2PHBL4MT</v>
          </cell>
        </row>
        <row r="13449">
          <cell r="D13449" t="str">
            <v>0F38462</v>
          </cell>
          <cell r="E13449" t="str">
            <v>3RHJ4E9A</v>
          </cell>
        </row>
        <row r="13450">
          <cell r="D13450" t="str">
            <v>0F38462</v>
          </cell>
          <cell r="E13450" t="str">
            <v>2PH9U0VT</v>
          </cell>
        </row>
        <row r="13451">
          <cell r="D13451" t="str">
            <v>0F38462</v>
          </cell>
          <cell r="E13451" t="str">
            <v>2PHBGPGT</v>
          </cell>
        </row>
        <row r="13452">
          <cell r="D13452" t="str">
            <v>0F38462</v>
          </cell>
          <cell r="E13452" t="str">
            <v>3FH2A45U</v>
          </cell>
        </row>
        <row r="13453">
          <cell r="D13453" t="str">
            <v>0F38462</v>
          </cell>
          <cell r="E13453" t="str">
            <v>2PHBAGWT</v>
          </cell>
        </row>
        <row r="13454">
          <cell r="D13454" t="str">
            <v>0F38462</v>
          </cell>
          <cell r="E13454" t="str">
            <v>2PHBL7JT</v>
          </cell>
        </row>
        <row r="13455">
          <cell r="D13455" t="str">
            <v>0F38462</v>
          </cell>
          <cell r="E13455" t="str">
            <v>3RKP73ZC</v>
          </cell>
        </row>
        <row r="13456">
          <cell r="D13456" t="str">
            <v>0F38462</v>
          </cell>
          <cell r="E13456" t="str">
            <v>2PH7362L</v>
          </cell>
        </row>
        <row r="13457">
          <cell r="D13457" t="str">
            <v>0F38462</v>
          </cell>
          <cell r="E13457" t="str">
            <v>2PHB7XNT</v>
          </cell>
        </row>
        <row r="13458">
          <cell r="D13458" t="str">
            <v>0F38462</v>
          </cell>
          <cell r="E13458" t="str">
            <v>2PHBBGET</v>
          </cell>
        </row>
        <row r="13459">
          <cell r="D13459" t="str">
            <v>0F38462</v>
          </cell>
          <cell r="E13459" t="str">
            <v>2BKA0BBR</v>
          </cell>
        </row>
        <row r="13460">
          <cell r="D13460" t="str">
            <v>0F38462</v>
          </cell>
          <cell r="E13460" t="str">
            <v>2PH9VPGT</v>
          </cell>
        </row>
        <row r="13461">
          <cell r="D13461" t="str">
            <v>0F38462</v>
          </cell>
          <cell r="E13461" t="str">
            <v>2PHBAEAT</v>
          </cell>
        </row>
        <row r="13462">
          <cell r="D13462" t="str">
            <v>0F38462</v>
          </cell>
          <cell r="E13462" t="str">
            <v>2PHBYSTT</v>
          </cell>
        </row>
        <row r="13463">
          <cell r="D13463" t="str">
            <v>0F38462</v>
          </cell>
          <cell r="E13463" t="str">
            <v>2PH7BZ7J</v>
          </cell>
        </row>
        <row r="13464">
          <cell r="D13464" t="str">
            <v>0F38462</v>
          </cell>
          <cell r="E13464" t="str">
            <v>2PHB81XT</v>
          </cell>
        </row>
        <row r="13465">
          <cell r="D13465" t="str">
            <v>0F38462</v>
          </cell>
          <cell r="E13465" t="str">
            <v>2PHBES8T</v>
          </cell>
        </row>
        <row r="13466">
          <cell r="D13466" t="str">
            <v>0F38462</v>
          </cell>
          <cell r="E13466" t="str">
            <v>2PGMAHNN</v>
          </cell>
        </row>
        <row r="13467">
          <cell r="D13467" t="str">
            <v>0F38462</v>
          </cell>
          <cell r="E13467" t="str">
            <v>2PH9ZPKT</v>
          </cell>
        </row>
        <row r="13468">
          <cell r="D13468" t="str">
            <v>0F38462</v>
          </cell>
          <cell r="E13468" t="str">
            <v>2PHBAELT</v>
          </cell>
        </row>
        <row r="13469">
          <cell r="D13469" t="str">
            <v>0F38462</v>
          </cell>
          <cell r="E13469" t="str">
            <v>3FKUM1AT</v>
          </cell>
        </row>
        <row r="13470">
          <cell r="D13470" t="str">
            <v>0F38462</v>
          </cell>
          <cell r="E13470" t="str">
            <v>2PH8WD9T</v>
          </cell>
        </row>
        <row r="13471">
          <cell r="D13471" t="str">
            <v>0F38462</v>
          </cell>
          <cell r="E13471" t="str">
            <v>2PHBA5HT</v>
          </cell>
        </row>
        <row r="13472">
          <cell r="D13472" t="str">
            <v>0F38462</v>
          </cell>
          <cell r="E13472" t="str">
            <v>2PHBGLVT</v>
          </cell>
        </row>
        <row r="13473">
          <cell r="D13473" t="str">
            <v>0F38462</v>
          </cell>
          <cell r="E13473" t="str">
            <v>2PHAAGDJ</v>
          </cell>
        </row>
        <row r="13474">
          <cell r="D13474" t="str">
            <v>0F38462</v>
          </cell>
          <cell r="E13474" t="str">
            <v>2PHBBA7T</v>
          </cell>
        </row>
        <row r="13475">
          <cell r="D13475" t="str">
            <v>0F38462</v>
          </cell>
          <cell r="E13475" t="str">
            <v>3HG39WPP</v>
          </cell>
        </row>
        <row r="13476">
          <cell r="D13476" t="str">
            <v>0F38462</v>
          </cell>
          <cell r="E13476" t="str">
            <v>2BKG8YUT</v>
          </cell>
        </row>
        <row r="13477">
          <cell r="D13477" t="str">
            <v>0F38462</v>
          </cell>
          <cell r="E13477" t="str">
            <v>2PHAZ3AJ</v>
          </cell>
        </row>
        <row r="13478">
          <cell r="D13478" t="str">
            <v>0F38462</v>
          </cell>
          <cell r="E13478" t="str">
            <v>2PHBZYHT</v>
          </cell>
        </row>
        <row r="13479">
          <cell r="D13479" t="str">
            <v>0F38462</v>
          </cell>
          <cell r="E13479" t="str">
            <v>2BKG7EUT</v>
          </cell>
        </row>
        <row r="13480">
          <cell r="D13480" t="str">
            <v>0F38462</v>
          </cell>
          <cell r="E13480" t="str">
            <v>2PHAKXUJ</v>
          </cell>
        </row>
        <row r="13481">
          <cell r="D13481" t="str">
            <v>0F38462</v>
          </cell>
          <cell r="E13481" t="str">
            <v>2PHBXTWT</v>
          </cell>
        </row>
        <row r="13482">
          <cell r="D13482" t="str">
            <v>0F38462</v>
          </cell>
          <cell r="E13482" t="str">
            <v>3RKLL7PC</v>
          </cell>
        </row>
        <row r="13483">
          <cell r="D13483" t="str">
            <v>0F38462</v>
          </cell>
          <cell r="E13483" t="str">
            <v>2PH59LJT</v>
          </cell>
        </row>
        <row r="13484">
          <cell r="D13484" t="str">
            <v>0F38462</v>
          </cell>
          <cell r="E13484" t="str">
            <v>2PHBPART</v>
          </cell>
        </row>
        <row r="13485">
          <cell r="D13485" t="str">
            <v>0F38462</v>
          </cell>
          <cell r="E13485" t="str">
            <v>2PHD3WNJ</v>
          </cell>
        </row>
        <row r="13486">
          <cell r="D13486" t="str">
            <v>0F38462</v>
          </cell>
          <cell r="E13486" t="str">
            <v>2BKG8HZT</v>
          </cell>
        </row>
        <row r="13487">
          <cell r="D13487" t="str">
            <v>0F38462</v>
          </cell>
          <cell r="E13487" t="str">
            <v>2PHAL0MJ</v>
          </cell>
        </row>
        <row r="13488">
          <cell r="D13488" t="str">
            <v>0F38462</v>
          </cell>
          <cell r="E13488" t="str">
            <v>2PHBYMNT</v>
          </cell>
        </row>
        <row r="13489">
          <cell r="D13489" t="str">
            <v>0F38462</v>
          </cell>
          <cell r="E13489" t="str">
            <v>3WJ3LMTK</v>
          </cell>
        </row>
        <row r="13490">
          <cell r="D13490" t="str">
            <v>0F38462</v>
          </cell>
          <cell r="E13490" t="str">
            <v>2PH9YBYT</v>
          </cell>
        </row>
        <row r="13491">
          <cell r="D13491" t="str">
            <v>0F38462</v>
          </cell>
          <cell r="E13491" t="str">
            <v>2PHBWT3T</v>
          </cell>
        </row>
        <row r="13492">
          <cell r="D13492" t="str">
            <v>0F38462</v>
          </cell>
          <cell r="E13492" t="str">
            <v>3FK33NXT</v>
          </cell>
        </row>
        <row r="13493">
          <cell r="D13493" t="str">
            <v>0F38462</v>
          </cell>
          <cell r="E13493" t="str">
            <v>2PHAYVNJ</v>
          </cell>
        </row>
        <row r="13494">
          <cell r="D13494" t="str">
            <v>0F38462</v>
          </cell>
          <cell r="E13494" t="str">
            <v>2PHBYXGT</v>
          </cell>
        </row>
        <row r="13495">
          <cell r="D13495" t="str">
            <v>0F38462</v>
          </cell>
          <cell r="E13495" t="str">
            <v>3XG2M2YU</v>
          </cell>
        </row>
        <row r="13496">
          <cell r="D13496" t="str">
            <v>0F38462</v>
          </cell>
          <cell r="E13496" t="str">
            <v>2BKG7TKT</v>
          </cell>
        </row>
        <row r="13497">
          <cell r="D13497" t="str">
            <v>0F38462</v>
          </cell>
          <cell r="E13497" t="str">
            <v>2PHA9BLJ</v>
          </cell>
        </row>
        <row r="13498">
          <cell r="D13498" t="str">
            <v>0F38462</v>
          </cell>
          <cell r="E13498" t="str">
            <v>2PHBP0MT</v>
          </cell>
        </row>
        <row r="13499">
          <cell r="D13499" t="str">
            <v>0F38462</v>
          </cell>
          <cell r="E13499" t="str">
            <v>2BJSVLKN</v>
          </cell>
        </row>
        <row r="13500">
          <cell r="D13500" t="str">
            <v>0F38462</v>
          </cell>
          <cell r="E13500" t="str">
            <v>2PH9YA5T</v>
          </cell>
        </row>
        <row r="13501">
          <cell r="D13501" t="str">
            <v>0F38462</v>
          </cell>
          <cell r="E13501" t="str">
            <v>2PHAYSEJ</v>
          </cell>
        </row>
        <row r="13502">
          <cell r="D13502" t="str">
            <v>0F38462</v>
          </cell>
          <cell r="E13502" t="str">
            <v>3FJX7SLT</v>
          </cell>
        </row>
        <row r="13503">
          <cell r="D13503" t="str">
            <v>0F38462</v>
          </cell>
          <cell r="E13503" t="str">
            <v>2PH4R0HT</v>
          </cell>
        </row>
        <row r="13504">
          <cell r="D13504" t="str">
            <v>0F38462</v>
          </cell>
          <cell r="E13504" t="str">
            <v>2PHAKMXJ</v>
          </cell>
        </row>
        <row r="13505">
          <cell r="D13505" t="str">
            <v>0F38462</v>
          </cell>
          <cell r="E13505" t="str">
            <v>2PHBXTMT</v>
          </cell>
        </row>
        <row r="13506">
          <cell r="D13506" t="str">
            <v>0F38462</v>
          </cell>
          <cell r="E13506" t="str">
            <v>2BKG7BMT</v>
          </cell>
        </row>
        <row r="13507">
          <cell r="D13507" t="str">
            <v>0F38462</v>
          </cell>
          <cell r="E13507" t="str">
            <v>2PHA5KBJ</v>
          </cell>
        </row>
        <row r="13508">
          <cell r="D13508" t="str">
            <v>0F38462</v>
          </cell>
          <cell r="E13508" t="str">
            <v>2PHB47WT</v>
          </cell>
        </row>
        <row r="13509">
          <cell r="D13509" t="str">
            <v>0F38462</v>
          </cell>
          <cell r="E13509" t="str">
            <v>3LG15S3U</v>
          </cell>
        </row>
        <row r="13510">
          <cell r="D13510" t="str">
            <v>0F38462</v>
          </cell>
          <cell r="E13510" t="str">
            <v>2PH97SHT</v>
          </cell>
        </row>
        <row r="13511">
          <cell r="D13511" t="str">
            <v>0F38462</v>
          </cell>
          <cell r="E13511" t="str">
            <v>2PHAL25J</v>
          </cell>
        </row>
        <row r="13512">
          <cell r="D13512" t="str">
            <v>0F38462</v>
          </cell>
          <cell r="E13512" t="str">
            <v>2PHD3Y8J</v>
          </cell>
        </row>
        <row r="13513">
          <cell r="D13513" t="str">
            <v>0F38462</v>
          </cell>
          <cell r="E13513" t="str">
            <v>2PHA8ATJ</v>
          </cell>
        </row>
        <row r="13514">
          <cell r="D13514" t="str">
            <v>0F38462</v>
          </cell>
          <cell r="E13514" t="str">
            <v>2PHBNZET</v>
          </cell>
        </row>
        <row r="13515">
          <cell r="D13515" t="str">
            <v>0F38462</v>
          </cell>
          <cell r="E13515" t="str">
            <v>3LG70VPU</v>
          </cell>
        </row>
        <row r="13516">
          <cell r="D13516" t="str">
            <v>0F38462</v>
          </cell>
          <cell r="E13516" t="str">
            <v>2PH6N0SJ</v>
          </cell>
        </row>
        <row r="13517">
          <cell r="D13517" t="str">
            <v>0F38462</v>
          </cell>
          <cell r="E13517" t="str">
            <v>2PHBBG2T</v>
          </cell>
        </row>
        <row r="13518">
          <cell r="D13518" t="str">
            <v>0F38462</v>
          </cell>
          <cell r="E13518" t="str">
            <v>2PHBSPST</v>
          </cell>
        </row>
        <row r="13519">
          <cell r="D13519" t="str">
            <v>0F38462</v>
          </cell>
          <cell r="E13519" t="str">
            <v>2PH17ZMJ</v>
          </cell>
        </row>
        <row r="13520">
          <cell r="D13520" t="str">
            <v>0F38462</v>
          </cell>
          <cell r="E13520" t="str">
            <v>2PHA9BAJ</v>
          </cell>
        </row>
        <row r="13521">
          <cell r="D13521" t="str">
            <v>0F38462</v>
          </cell>
          <cell r="E13521" t="str">
            <v>2PHBMENT</v>
          </cell>
        </row>
        <row r="13522">
          <cell r="D13522" t="str">
            <v>0F38462</v>
          </cell>
          <cell r="E13522" t="str">
            <v>2PHD03RT</v>
          </cell>
        </row>
        <row r="13523">
          <cell r="D13523" t="str">
            <v>0F38462</v>
          </cell>
          <cell r="E13523" t="str">
            <v>2PH8HRBJ</v>
          </cell>
        </row>
        <row r="13524">
          <cell r="D13524" t="str">
            <v>0F38462</v>
          </cell>
          <cell r="E13524" t="str">
            <v>2PHBL3HT</v>
          </cell>
        </row>
        <row r="13525">
          <cell r="D13525" t="str">
            <v>0F38462</v>
          </cell>
          <cell r="E13525" t="str">
            <v>2PHBSUZT</v>
          </cell>
        </row>
        <row r="13526">
          <cell r="D13526" t="str">
            <v>0F38462</v>
          </cell>
          <cell r="E13526" t="str">
            <v>2PH44W2J</v>
          </cell>
        </row>
        <row r="13527">
          <cell r="D13527" t="str">
            <v>0F38462</v>
          </cell>
          <cell r="E13527" t="str">
            <v>2PHBAZ9T</v>
          </cell>
        </row>
        <row r="13528">
          <cell r="D13528" t="str">
            <v>0F38462</v>
          </cell>
          <cell r="E13528" t="str">
            <v>2PHBNXET</v>
          </cell>
        </row>
        <row r="13529">
          <cell r="D13529" t="str">
            <v>0F38462</v>
          </cell>
          <cell r="E13529" t="str">
            <v>2PHD05YT</v>
          </cell>
        </row>
        <row r="13530">
          <cell r="D13530" t="str">
            <v>0F38462</v>
          </cell>
          <cell r="E13530" t="str">
            <v>2PH8JEZJ</v>
          </cell>
        </row>
        <row r="13531">
          <cell r="D13531" t="str">
            <v>0F38462</v>
          </cell>
          <cell r="E13531" t="str">
            <v>2PHBMEET</v>
          </cell>
        </row>
        <row r="13532">
          <cell r="D13532" t="str">
            <v>0F38462</v>
          </cell>
          <cell r="E13532" t="str">
            <v>2PHBT8AT</v>
          </cell>
        </row>
        <row r="13533">
          <cell r="D13533" t="str">
            <v>0F38462</v>
          </cell>
          <cell r="E13533" t="str">
            <v>2PHBB8VT</v>
          </cell>
        </row>
        <row r="13534">
          <cell r="D13534" t="str">
            <v>0F38462</v>
          </cell>
          <cell r="E13534" t="str">
            <v>2PHBPN2T</v>
          </cell>
        </row>
        <row r="13535">
          <cell r="D13535" t="str">
            <v>0F38462</v>
          </cell>
          <cell r="E13535" t="str">
            <v>3RJGEXKC</v>
          </cell>
        </row>
        <row r="13536">
          <cell r="D13536" t="str">
            <v>0F38462</v>
          </cell>
          <cell r="E13536" t="str">
            <v>2PH99SBT</v>
          </cell>
        </row>
        <row r="13537">
          <cell r="D13537" t="str">
            <v>0F38462</v>
          </cell>
          <cell r="E13537" t="str">
            <v>2PHD3YUJ</v>
          </cell>
        </row>
        <row r="13538">
          <cell r="D13538" t="str">
            <v>0F38462</v>
          </cell>
          <cell r="E13538" t="str">
            <v>3GJBXLWF</v>
          </cell>
        </row>
        <row r="13539">
          <cell r="D13539" t="str">
            <v>0F38462</v>
          </cell>
          <cell r="E13539" t="str">
            <v>2BKG76LT</v>
          </cell>
        </row>
        <row r="13540">
          <cell r="D13540" t="str">
            <v>0F38462</v>
          </cell>
          <cell r="E13540" t="str">
            <v>2PHAKXAJ</v>
          </cell>
        </row>
        <row r="13541">
          <cell r="D13541" t="str">
            <v>0F38462</v>
          </cell>
          <cell r="E13541" t="str">
            <v>3FJ9ATZT</v>
          </cell>
        </row>
        <row r="13542">
          <cell r="D13542" t="str">
            <v>0F38462</v>
          </cell>
          <cell r="E13542" t="str">
            <v>3RKJ5VBC</v>
          </cell>
        </row>
        <row r="13543">
          <cell r="D13543" t="str">
            <v>0F38462</v>
          </cell>
          <cell r="E13543" t="str">
            <v>2PHADHLT</v>
          </cell>
        </row>
        <row r="13544">
          <cell r="D13544" t="str">
            <v>0F38462</v>
          </cell>
          <cell r="E13544" t="str">
            <v>2PHD4B7J</v>
          </cell>
        </row>
        <row r="13545">
          <cell r="D13545" t="str">
            <v>0F38462</v>
          </cell>
          <cell r="E13545" t="str">
            <v>3LGJR8JU</v>
          </cell>
        </row>
        <row r="13546">
          <cell r="D13546" t="str">
            <v>0F38462</v>
          </cell>
          <cell r="E13546" t="str">
            <v>2PH8EGGT</v>
          </cell>
        </row>
        <row r="13547">
          <cell r="D13547" t="str">
            <v>0F38462</v>
          </cell>
          <cell r="E13547" t="str">
            <v>2PHAKXSJ</v>
          </cell>
        </row>
        <row r="13548">
          <cell r="D13548" t="str">
            <v>0F38462</v>
          </cell>
          <cell r="E13548" t="str">
            <v>3FJYY6JT</v>
          </cell>
        </row>
        <row r="13549">
          <cell r="D13549" t="str">
            <v>0F38462</v>
          </cell>
          <cell r="E13549" t="str">
            <v>3RKK9M5C</v>
          </cell>
        </row>
        <row r="13550">
          <cell r="D13550" t="str">
            <v>0F38462</v>
          </cell>
          <cell r="E13550" t="str">
            <v>2PHAKDZJ</v>
          </cell>
        </row>
        <row r="13551">
          <cell r="D13551" t="str">
            <v>0F38462</v>
          </cell>
          <cell r="E13551" t="str">
            <v>2PHD4JHJ</v>
          </cell>
        </row>
        <row r="13552">
          <cell r="D13552" t="str">
            <v>0F38462</v>
          </cell>
          <cell r="E13552" t="str">
            <v>3MG1UHHU</v>
          </cell>
        </row>
        <row r="13553">
          <cell r="D13553" t="str">
            <v>0F38462</v>
          </cell>
          <cell r="E13553" t="str">
            <v>2PHAKY8J</v>
          </cell>
        </row>
        <row r="13554">
          <cell r="D13554" t="str">
            <v>0F38462</v>
          </cell>
          <cell r="E13554" t="str">
            <v>3FKTZ5PT</v>
          </cell>
        </row>
        <row r="13555">
          <cell r="D13555" t="str">
            <v>0F38462</v>
          </cell>
          <cell r="E13555" t="str">
            <v>3RKXDMKC</v>
          </cell>
        </row>
        <row r="13556">
          <cell r="D13556" t="str">
            <v>0F38462</v>
          </cell>
          <cell r="E13556" t="str">
            <v>2BKG7L4T</v>
          </cell>
        </row>
        <row r="13557">
          <cell r="D13557" t="str">
            <v>0F38462</v>
          </cell>
          <cell r="E13557" t="str">
            <v>2PHB47BT</v>
          </cell>
        </row>
        <row r="13558">
          <cell r="D13558" t="str">
            <v>0F38462</v>
          </cell>
          <cell r="E13558" t="str">
            <v>3FJP8YMT</v>
          </cell>
        </row>
        <row r="13559">
          <cell r="D13559" t="str">
            <v>0F38462</v>
          </cell>
          <cell r="E13559" t="str">
            <v>2BK9PPNR</v>
          </cell>
        </row>
        <row r="13560">
          <cell r="D13560" t="str">
            <v>0F38462</v>
          </cell>
          <cell r="E13560" t="str">
            <v>2PHAYTMJ</v>
          </cell>
        </row>
        <row r="13561">
          <cell r="D13561" t="str">
            <v>0F38462</v>
          </cell>
          <cell r="E13561" t="str">
            <v>2PHBXWLT</v>
          </cell>
        </row>
        <row r="13562">
          <cell r="D13562" t="str">
            <v>0F38462</v>
          </cell>
          <cell r="E13562" t="str">
            <v>3FKUW3VT</v>
          </cell>
        </row>
        <row r="13563">
          <cell r="D13563" t="str">
            <v>0F38462</v>
          </cell>
          <cell r="E13563" t="str">
            <v>2BKG979T</v>
          </cell>
        </row>
        <row r="13564">
          <cell r="D13564" t="str">
            <v>0F38462</v>
          </cell>
          <cell r="E13564" t="str">
            <v>2PHBAXJT</v>
          </cell>
        </row>
        <row r="13565">
          <cell r="D13565" t="str">
            <v>0F38462</v>
          </cell>
          <cell r="E13565" t="str">
            <v>3FK20VDT</v>
          </cell>
        </row>
        <row r="13566">
          <cell r="D13566" t="str">
            <v>0F38462</v>
          </cell>
          <cell r="E13566" t="str">
            <v>2BK9X71R</v>
          </cell>
        </row>
        <row r="13567">
          <cell r="D13567" t="str">
            <v>0F38462</v>
          </cell>
          <cell r="E13567" t="str">
            <v>2PHAYY0J</v>
          </cell>
        </row>
        <row r="13568">
          <cell r="D13568" t="str">
            <v>0F38462</v>
          </cell>
          <cell r="E13568" t="str">
            <v>2PHD4KJJ</v>
          </cell>
        </row>
        <row r="13569">
          <cell r="D13569" t="str">
            <v>0F38462</v>
          </cell>
          <cell r="E13569" t="str">
            <v>3LGK2LAU</v>
          </cell>
        </row>
        <row r="13570">
          <cell r="D13570" t="str">
            <v>0F38462</v>
          </cell>
          <cell r="E13570" t="str">
            <v>2PHAKP1J</v>
          </cell>
        </row>
        <row r="13571">
          <cell r="D13571" t="str">
            <v>0F38462</v>
          </cell>
          <cell r="E13571" t="str">
            <v>2PHBXW6T</v>
          </cell>
        </row>
        <row r="13572">
          <cell r="D13572" t="str">
            <v>0F38462</v>
          </cell>
          <cell r="E13572" t="str">
            <v>3FKD6NBT</v>
          </cell>
        </row>
        <row r="13573">
          <cell r="D13573" t="str">
            <v>0F38462</v>
          </cell>
          <cell r="E13573" t="str">
            <v>2PHAYYXJ</v>
          </cell>
        </row>
        <row r="13574">
          <cell r="D13574" t="str">
            <v>0F38462</v>
          </cell>
          <cell r="E13574" t="str">
            <v>3FHZ6HMT</v>
          </cell>
        </row>
        <row r="13575">
          <cell r="D13575" t="str">
            <v>0F38462</v>
          </cell>
          <cell r="E13575" t="str">
            <v>3RKR5K0C</v>
          </cell>
        </row>
        <row r="13576">
          <cell r="D13576" t="str">
            <v>0F38462</v>
          </cell>
          <cell r="E13576" t="str">
            <v>2BKG79HT</v>
          </cell>
        </row>
        <row r="13577">
          <cell r="D13577" t="str">
            <v>0F38462</v>
          </cell>
          <cell r="E13577" t="str">
            <v>2PHAZ87J</v>
          </cell>
        </row>
        <row r="13578">
          <cell r="D13578" t="str">
            <v>0F38462</v>
          </cell>
          <cell r="E13578" t="str">
            <v>2PHBYXVT</v>
          </cell>
        </row>
        <row r="13579">
          <cell r="D13579" t="str">
            <v>0F38462</v>
          </cell>
          <cell r="E13579" t="str">
            <v>2BK9T5DR</v>
          </cell>
        </row>
        <row r="13580">
          <cell r="D13580" t="str">
            <v>0F38462</v>
          </cell>
          <cell r="E13580" t="str">
            <v>2PHAXE1T</v>
          </cell>
        </row>
        <row r="13581">
          <cell r="D13581" t="str">
            <v>0F38462</v>
          </cell>
          <cell r="E13581" t="str">
            <v>2PHBWRJT</v>
          </cell>
        </row>
        <row r="13582">
          <cell r="D13582" t="str">
            <v>0F38462</v>
          </cell>
          <cell r="E13582" t="str">
            <v>2PHD4GEJ</v>
          </cell>
        </row>
        <row r="13583">
          <cell r="D13583" t="str">
            <v>0F38462</v>
          </cell>
          <cell r="E13583" t="str">
            <v>2BKG8UYT</v>
          </cell>
        </row>
        <row r="13584">
          <cell r="D13584" t="str">
            <v>0F38462</v>
          </cell>
          <cell r="E13584" t="str">
            <v>2PHBP0AT</v>
          </cell>
        </row>
        <row r="13585">
          <cell r="D13585" t="str">
            <v>0F38462</v>
          </cell>
          <cell r="E13585" t="str">
            <v>2PHBZ8KT</v>
          </cell>
        </row>
        <row r="13586">
          <cell r="D13586" t="str">
            <v>0F38462</v>
          </cell>
          <cell r="E13586" t="str">
            <v>2BKG78WT</v>
          </cell>
        </row>
        <row r="13587">
          <cell r="D13587" t="str">
            <v>0F38462</v>
          </cell>
          <cell r="E13587" t="str">
            <v>2PHAYX4J</v>
          </cell>
        </row>
        <row r="13588">
          <cell r="D13588" t="str">
            <v>0F38462</v>
          </cell>
          <cell r="E13588" t="str">
            <v>2PHBWV7T</v>
          </cell>
        </row>
        <row r="13589">
          <cell r="D13589" t="str">
            <v>0F38462</v>
          </cell>
          <cell r="E13589" t="str">
            <v>3MG790LU</v>
          </cell>
        </row>
        <row r="13590">
          <cell r="D13590" t="str">
            <v>0F38462</v>
          </cell>
          <cell r="E13590" t="str">
            <v>2PH6TGDJ</v>
          </cell>
        </row>
        <row r="13591">
          <cell r="D13591" t="str">
            <v>0F38462</v>
          </cell>
          <cell r="E13591" t="str">
            <v>2PHBPALT</v>
          </cell>
        </row>
        <row r="13592">
          <cell r="D13592" t="str">
            <v>0F38462</v>
          </cell>
          <cell r="E13592" t="str">
            <v>2PHD4BBJ</v>
          </cell>
        </row>
        <row r="13593">
          <cell r="D13593" t="str">
            <v>0F38462</v>
          </cell>
          <cell r="E13593" t="str">
            <v>2PHAZ5GJ</v>
          </cell>
        </row>
        <row r="13594">
          <cell r="D13594" t="str">
            <v>0F38462</v>
          </cell>
          <cell r="E13594" t="str">
            <v>2PHBXW5T</v>
          </cell>
        </row>
        <row r="13595">
          <cell r="D13595" t="str">
            <v>0F38462</v>
          </cell>
          <cell r="E13595" t="str">
            <v>4EG2192Y</v>
          </cell>
        </row>
        <row r="13596">
          <cell r="D13596" t="str">
            <v>0F38462</v>
          </cell>
          <cell r="E13596" t="str">
            <v>2BKG8KTT</v>
          </cell>
        </row>
        <row r="13597">
          <cell r="D13597" t="str">
            <v>0F38462</v>
          </cell>
          <cell r="E13597" t="str">
            <v>2PHBZ62T</v>
          </cell>
        </row>
        <row r="13598">
          <cell r="D13598" t="str">
            <v>0F38462</v>
          </cell>
          <cell r="E13598" t="str">
            <v>3MG07XRU</v>
          </cell>
        </row>
        <row r="13599">
          <cell r="D13599" t="str">
            <v>0F38462</v>
          </cell>
          <cell r="E13599" t="str">
            <v>2BKG7K0T</v>
          </cell>
        </row>
        <row r="13600">
          <cell r="D13600" t="str">
            <v>0F38462</v>
          </cell>
          <cell r="E13600" t="str">
            <v>2PHBWU9T</v>
          </cell>
        </row>
        <row r="13601">
          <cell r="D13601" t="str">
            <v>0F38462</v>
          </cell>
          <cell r="E13601" t="str">
            <v>2PHBZYET</v>
          </cell>
        </row>
        <row r="13602">
          <cell r="D13602" t="str">
            <v>0F38462</v>
          </cell>
          <cell r="E13602" t="str">
            <v>3RJKHR6A</v>
          </cell>
        </row>
        <row r="13603">
          <cell r="D13603" t="str">
            <v>0F38462</v>
          </cell>
          <cell r="E13603" t="str">
            <v>2PHAT9ET</v>
          </cell>
        </row>
        <row r="13604">
          <cell r="D13604" t="str">
            <v>0F38462</v>
          </cell>
          <cell r="E13604" t="str">
            <v>2PHBZ8LT</v>
          </cell>
        </row>
        <row r="13605">
          <cell r="D13605" t="str">
            <v>0F38462</v>
          </cell>
          <cell r="E13605" t="str">
            <v>3MG61BVU</v>
          </cell>
        </row>
        <row r="13606">
          <cell r="D13606" t="str">
            <v>0F38462</v>
          </cell>
          <cell r="E13606" t="str">
            <v>2BKG7RNT</v>
          </cell>
        </row>
        <row r="13607">
          <cell r="D13607" t="str">
            <v>0F38462</v>
          </cell>
          <cell r="E13607" t="str">
            <v>2PHBYP1T</v>
          </cell>
        </row>
        <row r="13608">
          <cell r="D13608" t="str">
            <v>0F38462</v>
          </cell>
          <cell r="E13608" t="str">
            <v>3FKB8SPT</v>
          </cell>
        </row>
        <row r="13609">
          <cell r="D13609" t="str">
            <v>0F38462</v>
          </cell>
          <cell r="E13609" t="str">
            <v>3RJW8DNC</v>
          </cell>
        </row>
        <row r="13610">
          <cell r="D13610" t="str">
            <v>0F38462</v>
          </cell>
          <cell r="E13610" t="str">
            <v>2PHBWPAT</v>
          </cell>
        </row>
        <row r="13611">
          <cell r="D13611" t="str">
            <v>0F38462</v>
          </cell>
          <cell r="E13611" t="str">
            <v>2PHBZ8PT</v>
          </cell>
        </row>
        <row r="13612">
          <cell r="D13612" t="str">
            <v>0F38462</v>
          </cell>
          <cell r="E13612" t="str">
            <v>3RJ43HEC</v>
          </cell>
        </row>
        <row r="13613">
          <cell r="D13613" t="str">
            <v>0F38462</v>
          </cell>
          <cell r="E13613" t="str">
            <v>2PHBYY5T</v>
          </cell>
        </row>
        <row r="13614">
          <cell r="D13614" t="str">
            <v>0F38462</v>
          </cell>
          <cell r="E13614" t="str">
            <v>3FKTGVWT</v>
          </cell>
        </row>
        <row r="13615">
          <cell r="D13615" t="str">
            <v>0F38462</v>
          </cell>
          <cell r="E13615" t="str">
            <v>3RJZ0M0A</v>
          </cell>
        </row>
        <row r="13616">
          <cell r="D13616" t="str">
            <v>0F38462</v>
          </cell>
          <cell r="E13616" t="str">
            <v>2BKG7ULT</v>
          </cell>
        </row>
        <row r="13617">
          <cell r="D13617" t="str">
            <v>0F38462</v>
          </cell>
          <cell r="E13617" t="str">
            <v>2PH9VNAT</v>
          </cell>
        </row>
        <row r="13618">
          <cell r="D13618" t="str">
            <v>0F38462</v>
          </cell>
          <cell r="E13618" t="str">
            <v>2PHBLE8T</v>
          </cell>
        </row>
        <row r="13619">
          <cell r="D13619" t="str">
            <v>0F38462</v>
          </cell>
          <cell r="E13619" t="str">
            <v>2BK9PZER</v>
          </cell>
        </row>
        <row r="13620">
          <cell r="D13620" t="str">
            <v>0F38462</v>
          </cell>
          <cell r="E13620" t="str">
            <v>2PGMBVJN</v>
          </cell>
        </row>
        <row r="13621">
          <cell r="D13621" t="str">
            <v>0F38462</v>
          </cell>
          <cell r="E13621" t="str">
            <v>2PHBBP7T</v>
          </cell>
        </row>
        <row r="13622">
          <cell r="D13622" t="str">
            <v>0F38462</v>
          </cell>
          <cell r="E13622" t="str">
            <v>2PHBYUBT</v>
          </cell>
        </row>
        <row r="13623">
          <cell r="D13623" t="str">
            <v>0F38462</v>
          </cell>
          <cell r="E13623" t="str">
            <v>2BKG893T</v>
          </cell>
        </row>
        <row r="13624">
          <cell r="D13624" t="str">
            <v>0F38462</v>
          </cell>
          <cell r="E13624" t="str">
            <v>2PHAKMRJ</v>
          </cell>
        </row>
        <row r="13625">
          <cell r="D13625" t="str">
            <v>0F38462</v>
          </cell>
          <cell r="E13625" t="str">
            <v>2PHBNYPT</v>
          </cell>
        </row>
        <row r="13626">
          <cell r="D13626" t="str">
            <v>0F38462</v>
          </cell>
          <cell r="E13626" t="str">
            <v>2BKDEHTN</v>
          </cell>
        </row>
        <row r="13627">
          <cell r="D13627" t="str">
            <v>0F38462</v>
          </cell>
          <cell r="E13627" t="str">
            <v>2PGS2YBT</v>
          </cell>
        </row>
        <row r="13628">
          <cell r="D13628" t="str">
            <v>0F38462</v>
          </cell>
          <cell r="E13628" t="str">
            <v>2PHBJ5JJ</v>
          </cell>
        </row>
        <row r="13629">
          <cell r="D13629" t="str">
            <v>0F38462</v>
          </cell>
          <cell r="E13629" t="str">
            <v>2PHD051T</v>
          </cell>
        </row>
        <row r="13630">
          <cell r="D13630" t="str">
            <v>0F38462</v>
          </cell>
          <cell r="E13630" t="str">
            <v>2BKG89PT</v>
          </cell>
        </row>
        <row r="13631">
          <cell r="D13631" t="str">
            <v>0F38462</v>
          </cell>
          <cell r="E13631" t="str">
            <v>2PHBB86T</v>
          </cell>
        </row>
        <row r="13632">
          <cell r="D13632" t="str">
            <v>0F38462</v>
          </cell>
          <cell r="E13632" t="str">
            <v>2PHBYRGT</v>
          </cell>
        </row>
        <row r="13633">
          <cell r="D13633" t="str">
            <v>0F38462</v>
          </cell>
          <cell r="E13633" t="str">
            <v>2PH5Z29T</v>
          </cell>
        </row>
        <row r="13634">
          <cell r="D13634" t="str">
            <v>0F38462</v>
          </cell>
          <cell r="E13634" t="str">
            <v>2PHBJAMJ</v>
          </cell>
        </row>
        <row r="13635">
          <cell r="D13635" t="str">
            <v>0F38462</v>
          </cell>
          <cell r="E13635" t="str">
            <v>2PHD3UMJ</v>
          </cell>
        </row>
        <row r="13636">
          <cell r="D13636" t="str">
            <v>0F38462</v>
          </cell>
          <cell r="E13636" t="str">
            <v>2BK9ELWR</v>
          </cell>
        </row>
        <row r="13637">
          <cell r="D13637" t="str">
            <v>0F38462</v>
          </cell>
          <cell r="E13637" t="str">
            <v>2PH6PHNJ</v>
          </cell>
        </row>
        <row r="13638">
          <cell r="D13638" t="str">
            <v>0F38462</v>
          </cell>
          <cell r="E13638" t="str">
            <v>2PHBY2YT</v>
          </cell>
        </row>
        <row r="13639">
          <cell r="D13639" t="str">
            <v>0F38462</v>
          </cell>
          <cell r="E13639" t="str">
            <v>2BJW1M3N</v>
          </cell>
        </row>
        <row r="13640">
          <cell r="D13640" t="str">
            <v>0F38462</v>
          </cell>
          <cell r="E13640" t="str">
            <v>2BK9NEXR</v>
          </cell>
        </row>
        <row r="13641">
          <cell r="D13641" t="str">
            <v>0F38462</v>
          </cell>
          <cell r="E13641" t="str">
            <v>2PHB1UZT</v>
          </cell>
        </row>
        <row r="13642">
          <cell r="D13642" t="str">
            <v>0F38462</v>
          </cell>
          <cell r="E13642" t="str">
            <v>3MGG4SWU</v>
          </cell>
        </row>
        <row r="13643">
          <cell r="D13643" t="str">
            <v>0F38462</v>
          </cell>
          <cell r="E13643" t="str">
            <v>2BK9EP3R</v>
          </cell>
        </row>
        <row r="13644">
          <cell r="D13644" t="str">
            <v>0F38462</v>
          </cell>
          <cell r="E13644" t="str">
            <v>2PH7T01T</v>
          </cell>
        </row>
        <row r="13645">
          <cell r="D13645" t="str">
            <v>0F38462</v>
          </cell>
          <cell r="E13645" t="str">
            <v>2PHBYPST</v>
          </cell>
        </row>
        <row r="13646">
          <cell r="D13646" t="str">
            <v>0F38462</v>
          </cell>
          <cell r="E13646" t="str">
            <v>2BK9DTVR</v>
          </cell>
        </row>
        <row r="13647">
          <cell r="D13647" t="str">
            <v>0F38462</v>
          </cell>
          <cell r="E13647" t="str">
            <v>2PG7LVXN</v>
          </cell>
        </row>
        <row r="13648">
          <cell r="D13648" t="str">
            <v>0F38462</v>
          </cell>
          <cell r="E13648" t="str">
            <v>2PHBLR2T</v>
          </cell>
        </row>
        <row r="13649">
          <cell r="D13649" t="str">
            <v>0F38462</v>
          </cell>
          <cell r="E13649" t="str">
            <v>3RJYHXUA</v>
          </cell>
        </row>
        <row r="13650">
          <cell r="D13650" t="str">
            <v>0F38462</v>
          </cell>
          <cell r="E13650" t="str">
            <v>2BK9LDRR</v>
          </cell>
        </row>
        <row r="13651">
          <cell r="D13651" t="str">
            <v>0F38462</v>
          </cell>
          <cell r="E13651" t="str">
            <v>2PHA5BZJ</v>
          </cell>
        </row>
        <row r="13652">
          <cell r="D13652" t="str">
            <v>0F38462</v>
          </cell>
          <cell r="E13652" t="str">
            <v>2PHD01XT</v>
          </cell>
        </row>
        <row r="13653">
          <cell r="D13653" t="str">
            <v>0F38462</v>
          </cell>
          <cell r="E13653" t="str">
            <v>2PGLE0GT</v>
          </cell>
        </row>
        <row r="13654">
          <cell r="D13654" t="str">
            <v>0F38462</v>
          </cell>
          <cell r="E13654" t="str">
            <v>2PHBPWHT</v>
          </cell>
        </row>
        <row r="13655">
          <cell r="D13655" t="str">
            <v>0F38462</v>
          </cell>
          <cell r="E13655" t="str">
            <v>3XGNSNHU</v>
          </cell>
        </row>
        <row r="13656">
          <cell r="D13656" t="str">
            <v>0F38462</v>
          </cell>
          <cell r="E13656" t="str">
            <v>2PH6ZXDJ</v>
          </cell>
        </row>
        <row r="13657">
          <cell r="D13657" t="str">
            <v>0F38462</v>
          </cell>
          <cell r="E13657" t="str">
            <v>2PHD3Z7J</v>
          </cell>
        </row>
        <row r="13658">
          <cell r="D13658" t="str">
            <v>0F38462</v>
          </cell>
          <cell r="E13658" t="str">
            <v>3MG0XJ7U</v>
          </cell>
        </row>
        <row r="13659">
          <cell r="D13659" t="str">
            <v>0F38462</v>
          </cell>
          <cell r="E13659" t="str">
            <v>2BKG8EZT</v>
          </cell>
        </row>
        <row r="13660">
          <cell r="D13660" t="str">
            <v>0F38462</v>
          </cell>
          <cell r="E13660" t="str">
            <v>2PHAYV0J</v>
          </cell>
        </row>
        <row r="13661">
          <cell r="D13661" t="str">
            <v>0F38462</v>
          </cell>
          <cell r="E13661" t="str">
            <v>3FKMVPJT</v>
          </cell>
        </row>
        <row r="13662">
          <cell r="D13662" t="str">
            <v>0F38462</v>
          </cell>
          <cell r="E13662" t="str">
            <v>3RK878LA</v>
          </cell>
        </row>
        <row r="13663">
          <cell r="D13663" t="str">
            <v>0F38462</v>
          </cell>
          <cell r="E13663" t="str">
            <v>2PH76TPJ</v>
          </cell>
        </row>
        <row r="13664">
          <cell r="D13664" t="str">
            <v>0F38462</v>
          </cell>
          <cell r="E13664" t="str">
            <v>3FJ4YVMT</v>
          </cell>
        </row>
        <row r="13665">
          <cell r="D13665" t="str">
            <v>0F38462</v>
          </cell>
          <cell r="E13665" t="str">
            <v>3MG4SNRU</v>
          </cell>
        </row>
        <row r="13666">
          <cell r="D13666" t="str">
            <v>0F38462</v>
          </cell>
          <cell r="E13666" t="str">
            <v>2BKG930T</v>
          </cell>
        </row>
        <row r="13667">
          <cell r="D13667" t="str">
            <v>0F38462</v>
          </cell>
          <cell r="E13667" t="str">
            <v>2PHD3XPJ</v>
          </cell>
        </row>
        <row r="13668">
          <cell r="D13668" t="str">
            <v>0F38462</v>
          </cell>
          <cell r="E13668" t="str">
            <v>3FKT6MKT</v>
          </cell>
        </row>
        <row r="13669">
          <cell r="D13669" t="str">
            <v>0F38462</v>
          </cell>
          <cell r="E13669" t="str">
            <v>3RK9A4DA</v>
          </cell>
        </row>
        <row r="13670">
          <cell r="D13670" t="str">
            <v>0F38462</v>
          </cell>
          <cell r="E13670" t="str">
            <v>2PH86J4T</v>
          </cell>
        </row>
        <row r="13671">
          <cell r="D13671" t="str">
            <v>0F38462</v>
          </cell>
          <cell r="E13671" t="str">
            <v>3FJM53RT</v>
          </cell>
        </row>
        <row r="13672">
          <cell r="D13672" t="str">
            <v>0F38462</v>
          </cell>
          <cell r="E13672" t="str">
            <v>3MGE9SPU</v>
          </cell>
        </row>
        <row r="13673">
          <cell r="D13673" t="str">
            <v>0F38462</v>
          </cell>
          <cell r="E13673" t="str">
            <v>2PHD3YDJ</v>
          </cell>
        </row>
        <row r="13674">
          <cell r="D13674" t="str">
            <v>0F38462</v>
          </cell>
          <cell r="E13674" t="str">
            <v>3GG6MYJF</v>
          </cell>
        </row>
        <row r="13675">
          <cell r="D13675" t="str">
            <v>0F38462</v>
          </cell>
          <cell r="E13675" t="str">
            <v>3RKY88HC</v>
          </cell>
        </row>
        <row r="13676">
          <cell r="D13676" t="str">
            <v>0F38462</v>
          </cell>
          <cell r="E13676" t="str">
            <v>2BK9ERYR</v>
          </cell>
        </row>
        <row r="13677">
          <cell r="D13677" t="str">
            <v>0F38462</v>
          </cell>
          <cell r="E13677" t="str">
            <v>2PH9VGHT</v>
          </cell>
        </row>
        <row r="13678">
          <cell r="D13678" t="str">
            <v>0F38462</v>
          </cell>
          <cell r="E13678" t="str">
            <v>2PHBL8AT</v>
          </cell>
        </row>
        <row r="13679">
          <cell r="D13679" t="str">
            <v>0F38462</v>
          </cell>
          <cell r="E13679" t="str">
            <v>2BK8W4DN</v>
          </cell>
        </row>
        <row r="13680">
          <cell r="D13680" t="str">
            <v>0F38462</v>
          </cell>
          <cell r="E13680" t="str">
            <v>2PGYXMWT</v>
          </cell>
        </row>
        <row r="13681">
          <cell r="D13681" t="str">
            <v>0F38462</v>
          </cell>
          <cell r="E13681" t="str">
            <v>2PHBAB4T</v>
          </cell>
        </row>
        <row r="13682">
          <cell r="D13682" t="str">
            <v>0F38462</v>
          </cell>
          <cell r="E13682" t="str">
            <v>2PHBZBGT</v>
          </cell>
        </row>
        <row r="13683">
          <cell r="D13683" t="str">
            <v>0F38462</v>
          </cell>
          <cell r="E13683" t="str">
            <v>2PG7LB9N</v>
          </cell>
        </row>
        <row r="13684">
          <cell r="D13684" t="str">
            <v>0F38462</v>
          </cell>
          <cell r="E13684" t="str">
            <v>2PHBA4ET</v>
          </cell>
        </row>
        <row r="13685">
          <cell r="D13685" t="str">
            <v>0F38462</v>
          </cell>
          <cell r="E13685" t="str">
            <v>2PHBY02T</v>
          </cell>
        </row>
        <row r="13686">
          <cell r="D13686" t="str">
            <v>0F38462</v>
          </cell>
          <cell r="E13686" t="str">
            <v>2BK9DMPR</v>
          </cell>
        </row>
        <row r="13687">
          <cell r="D13687" t="str">
            <v>0F38462</v>
          </cell>
          <cell r="E13687" t="str">
            <v>2PH0301T</v>
          </cell>
        </row>
        <row r="13688">
          <cell r="D13688" t="str">
            <v>0F38462</v>
          </cell>
          <cell r="E13688" t="str">
            <v>2PHBADUT</v>
          </cell>
        </row>
        <row r="13689">
          <cell r="D13689" t="str">
            <v>0F38462</v>
          </cell>
          <cell r="E13689" t="str">
            <v>3FKEW0JT</v>
          </cell>
        </row>
        <row r="13690">
          <cell r="D13690" t="str">
            <v>0F38462</v>
          </cell>
          <cell r="E13690" t="str">
            <v>2PGX488N</v>
          </cell>
        </row>
        <row r="13691">
          <cell r="D13691" t="str">
            <v>0F38462</v>
          </cell>
          <cell r="E13691" t="str">
            <v>2PHBA9KT</v>
          </cell>
        </row>
        <row r="13692">
          <cell r="D13692" t="str">
            <v>0F38462</v>
          </cell>
          <cell r="E13692" t="str">
            <v>2PHBY3RT</v>
          </cell>
        </row>
        <row r="13693">
          <cell r="D13693" t="str">
            <v>0F38462</v>
          </cell>
          <cell r="E13693" t="str">
            <v>2PH3HDBJ</v>
          </cell>
        </row>
        <row r="13694">
          <cell r="D13694" t="str">
            <v>0F38462</v>
          </cell>
          <cell r="E13694" t="str">
            <v>2PHBBL9T</v>
          </cell>
        </row>
        <row r="13695">
          <cell r="D13695" t="str">
            <v>0F38462</v>
          </cell>
          <cell r="E13695" t="str">
            <v>4EG21SYY</v>
          </cell>
        </row>
        <row r="13696">
          <cell r="D13696" t="str">
            <v>0F38462</v>
          </cell>
          <cell r="E13696" t="str">
            <v>2BKG8DLT</v>
          </cell>
        </row>
        <row r="13697">
          <cell r="D13697" t="str">
            <v>0F38462</v>
          </cell>
          <cell r="E13697" t="str">
            <v>2PHAZ63J</v>
          </cell>
        </row>
        <row r="13698">
          <cell r="D13698" t="str">
            <v>0F38462</v>
          </cell>
          <cell r="E13698" t="str">
            <v>2PHBZ8ET</v>
          </cell>
        </row>
        <row r="13699">
          <cell r="D13699" t="str">
            <v>0F38462</v>
          </cell>
          <cell r="E13699" t="str">
            <v>2BKG7KVT</v>
          </cell>
        </row>
        <row r="13700">
          <cell r="D13700" t="str">
            <v>0F38462</v>
          </cell>
          <cell r="E13700" t="str">
            <v>2PHAKPAJ</v>
          </cell>
        </row>
        <row r="13701">
          <cell r="D13701" t="str">
            <v>0F38462</v>
          </cell>
          <cell r="E13701" t="str">
            <v>2PHBSLXT</v>
          </cell>
        </row>
        <row r="13702">
          <cell r="D13702" t="str">
            <v>0F38462</v>
          </cell>
          <cell r="E13702" t="str">
            <v>3FKS6W5T</v>
          </cell>
        </row>
        <row r="13703">
          <cell r="D13703" t="str">
            <v>0F38462</v>
          </cell>
          <cell r="E13703" t="str">
            <v>2BKG8U3T</v>
          </cell>
        </row>
        <row r="13704">
          <cell r="D13704" t="str">
            <v>0F38462</v>
          </cell>
          <cell r="E13704" t="str">
            <v>2PHBJJNT</v>
          </cell>
        </row>
        <row r="13705">
          <cell r="D13705" t="str">
            <v>0F38462</v>
          </cell>
          <cell r="E13705" t="str">
            <v>2PHBZB1T</v>
          </cell>
        </row>
        <row r="13706">
          <cell r="D13706" t="str">
            <v>0F38462</v>
          </cell>
          <cell r="E13706" t="str">
            <v>2BKG80UT</v>
          </cell>
        </row>
        <row r="13707">
          <cell r="D13707" t="str">
            <v>0F38462</v>
          </cell>
          <cell r="E13707" t="str">
            <v>2PHAL18J</v>
          </cell>
        </row>
        <row r="13708">
          <cell r="D13708" t="str">
            <v>0F38462</v>
          </cell>
          <cell r="E13708" t="str">
            <v>2PHBWLAT</v>
          </cell>
        </row>
        <row r="13709">
          <cell r="D13709" t="str">
            <v>0F38462</v>
          </cell>
          <cell r="E13709" t="str">
            <v>3RJGMDDA</v>
          </cell>
        </row>
        <row r="13710">
          <cell r="D13710" t="str">
            <v>0F38462</v>
          </cell>
          <cell r="E13710" t="str">
            <v>2BKG92JT</v>
          </cell>
        </row>
        <row r="13711">
          <cell r="D13711" t="str">
            <v>0F38462</v>
          </cell>
          <cell r="E13711" t="str">
            <v>2PHBLH5T</v>
          </cell>
        </row>
        <row r="13712">
          <cell r="D13712" t="str">
            <v>0F38462</v>
          </cell>
          <cell r="E13712" t="str">
            <v>2PHBZVXT</v>
          </cell>
        </row>
        <row r="13713">
          <cell r="D13713" t="str">
            <v>0F38462</v>
          </cell>
          <cell r="E13713" t="str">
            <v>2PHAYW9J</v>
          </cell>
        </row>
        <row r="13714">
          <cell r="D13714" t="str">
            <v>0F38462</v>
          </cell>
          <cell r="E13714" t="str">
            <v>2PHBWS5T</v>
          </cell>
        </row>
        <row r="13715">
          <cell r="D13715" t="str">
            <v>0F38462</v>
          </cell>
          <cell r="E13715" t="str">
            <v>3RJYD0GA</v>
          </cell>
        </row>
        <row r="13716">
          <cell r="D13716" t="str">
            <v>0F38462</v>
          </cell>
          <cell r="E13716" t="str">
            <v>2PH3VYYJ</v>
          </cell>
        </row>
        <row r="13717">
          <cell r="D13717" t="str">
            <v>0F38462</v>
          </cell>
          <cell r="E13717" t="str">
            <v>2PH7G53J</v>
          </cell>
        </row>
        <row r="13718">
          <cell r="D13718" t="str">
            <v>0F38462</v>
          </cell>
          <cell r="E13718" t="str">
            <v>3FKAGP5T</v>
          </cell>
        </row>
        <row r="13719">
          <cell r="D13719" t="str">
            <v>0F38462</v>
          </cell>
          <cell r="E13719" t="str">
            <v>2PGDWDHJ</v>
          </cell>
        </row>
        <row r="13720">
          <cell r="D13720" t="str">
            <v>0F38462</v>
          </cell>
          <cell r="E13720" t="str">
            <v>2PH70MAJ</v>
          </cell>
        </row>
        <row r="13721">
          <cell r="D13721" t="str">
            <v>0F38462</v>
          </cell>
          <cell r="E13721" t="str">
            <v>2PHAL0SJ</v>
          </cell>
        </row>
        <row r="13722">
          <cell r="D13722" t="str">
            <v>0F38462</v>
          </cell>
          <cell r="E13722" t="str">
            <v>3MG6U77U</v>
          </cell>
        </row>
        <row r="13723">
          <cell r="D13723" t="str">
            <v>0F38462</v>
          </cell>
          <cell r="E13723" t="str">
            <v>2PH6DGGJ</v>
          </cell>
        </row>
        <row r="13724">
          <cell r="D13724" t="str">
            <v>0F38462</v>
          </cell>
          <cell r="E13724" t="str">
            <v>2PH7NUJJ</v>
          </cell>
        </row>
        <row r="13725">
          <cell r="D13725" t="str">
            <v>0F38462</v>
          </cell>
          <cell r="E13725" t="str">
            <v>3FKVJ65T</v>
          </cell>
        </row>
        <row r="13726">
          <cell r="D13726" t="str">
            <v>0F38462</v>
          </cell>
          <cell r="E13726" t="str">
            <v>2PGGGWRJ</v>
          </cell>
        </row>
        <row r="13727">
          <cell r="D13727" t="str">
            <v>0F38462</v>
          </cell>
          <cell r="E13727" t="str">
            <v>2PH78WLJ</v>
          </cell>
        </row>
        <row r="13728">
          <cell r="D13728" t="str">
            <v>0F38462</v>
          </cell>
          <cell r="E13728" t="str">
            <v>3FJ3N22T</v>
          </cell>
        </row>
        <row r="13729">
          <cell r="D13729" t="str">
            <v>0F38462</v>
          </cell>
          <cell r="E13729" t="str">
            <v>3MG7ZJZU</v>
          </cell>
        </row>
        <row r="13730">
          <cell r="D13730" t="str">
            <v>0F38462</v>
          </cell>
          <cell r="E13730" t="str">
            <v>2PH6JGBJ</v>
          </cell>
        </row>
        <row r="13731">
          <cell r="D13731" t="str">
            <v>0F38462</v>
          </cell>
          <cell r="E13731" t="str">
            <v>2PHA5ZRT</v>
          </cell>
        </row>
        <row r="13732">
          <cell r="D13732" t="str">
            <v>0F38462</v>
          </cell>
          <cell r="E13732" t="str">
            <v>3LGHBSDU</v>
          </cell>
        </row>
        <row r="13733">
          <cell r="D13733" t="str">
            <v>0F38462</v>
          </cell>
          <cell r="E13733" t="str">
            <v>2PH7DPWJ</v>
          </cell>
        </row>
        <row r="13734">
          <cell r="D13734" t="str">
            <v>0F38462</v>
          </cell>
          <cell r="E13734" t="str">
            <v>3FJSRBDT</v>
          </cell>
        </row>
        <row r="13735">
          <cell r="D13735" t="str">
            <v>0F38462</v>
          </cell>
          <cell r="E13735" t="str">
            <v>3RKJXMSC</v>
          </cell>
        </row>
        <row r="13736">
          <cell r="D13736" t="str">
            <v>0F38462</v>
          </cell>
          <cell r="E13736" t="str">
            <v>2PGDGTGT</v>
          </cell>
        </row>
        <row r="13737">
          <cell r="D13737" t="str">
            <v>0F38462</v>
          </cell>
          <cell r="E13737" t="str">
            <v>2PH7BBEJ</v>
          </cell>
        </row>
        <row r="13738">
          <cell r="D13738" t="str">
            <v>0F38462</v>
          </cell>
          <cell r="E13738" t="str">
            <v>2PHBDRVT</v>
          </cell>
        </row>
        <row r="13739">
          <cell r="D13739" t="str">
            <v>0F38462</v>
          </cell>
          <cell r="E13739" t="str">
            <v>2BKA543R</v>
          </cell>
        </row>
        <row r="13740">
          <cell r="D13740" t="str">
            <v>0F38462</v>
          </cell>
          <cell r="E13740" t="str">
            <v>2PH6M7ZJ</v>
          </cell>
        </row>
        <row r="13741">
          <cell r="D13741" t="str">
            <v>0F38462</v>
          </cell>
          <cell r="E13741" t="str">
            <v>2PHBB7KT</v>
          </cell>
        </row>
        <row r="13742">
          <cell r="D13742" t="str">
            <v>0F38462</v>
          </cell>
          <cell r="E13742" t="str">
            <v>3FGRV0TT</v>
          </cell>
        </row>
        <row r="13743">
          <cell r="D13743" t="str">
            <v>0F38462</v>
          </cell>
          <cell r="E13743" t="str">
            <v>2PH1989J</v>
          </cell>
        </row>
        <row r="13744">
          <cell r="D13744" t="str">
            <v>0F38462</v>
          </cell>
          <cell r="E13744" t="str">
            <v>2PH94SST</v>
          </cell>
        </row>
        <row r="13745">
          <cell r="D13745" t="str">
            <v>0F38462</v>
          </cell>
          <cell r="E13745" t="str">
            <v>2PHBSU1T</v>
          </cell>
        </row>
        <row r="13746">
          <cell r="D13746" t="str">
            <v>0F38462</v>
          </cell>
          <cell r="E13746" t="str">
            <v>2PGD5RZJ</v>
          </cell>
        </row>
        <row r="13747">
          <cell r="D13747" t="str">
            <v>0F38462</v>
          </cell>
          <cell r="E13747" t="str">
            <v>2PH6PM9J</v>
          </cell>
        </row>
        <row r="13748">
          <cell r="D13748" t="str">
            <v>0F38462</v>
          </cell>
          <cell r="E13748" t="str">
            <v>2PHBBSKT</v>
          </cell>
        </row>
        <row r="13749">
          <cell r="D13749" t="str">
            <v>0F38462</v>
          </cell>
          <cell r="E13749" t="str">
            <v>3LG5SN4U</v>
          </cell>
        </row>
        <row r="13750">
          <cell r="D13750" t="str">
            <v>0F38462</v>
          </cell>
          <cell r="E13750" t="str">
            <v>2PH3SKXJ</v>
          </cell>
        </row>
        <row r="13751">
          <cell r="D13751" t="str">
            <v>0F38462</v>
          </cell>
          <cell r="E13751" t="str">
            <v>2PHB7Z6T</v>
          </cell>
        </row>
        <row r="13752">
          <cell r="D13752" t="str">
            <v>0F38462</v>
          </cell>
          <cell r="E13752" t="str">
            <v>2PHBTYBT</v>
          </cell>
        </row>
        <row r="13753">
          <cell r="D13753" t="str">
            <v>0F38462</v>
          </cell>
          <cell r="E13753" t="str">
            <v>2PH72K3J</v>
          </cell>
        </row>
        <row r="13754">
          <cell r="D13754" t="str">
            <v>0F38462</v>
          </cell>
          <cell r="E13754" t="str">
            <v>2PHBDNGT</v>
          </cell>
        </row>
        <row r="13755">
          <cell r="D13755" t="str">
            <v>0F38462</v>
          </cell>
          <cell r="E13755" t="str">
            <v>3WH3AMNP</v>
          </cell>
        </row>
        <row r="13756">
          <cell r="D13756" t="str">
            <v>0F38462</v>
          </cell>
          <cell r="E13756" t="str">
            <v>2BKG8BZT</v>
          </cell>
        </row>
        <row r="13757">
          <cell r="D13757" t="str">
            <v>0F38462</v>
          </cell>
          <cell r="E13757" t="str">
            <v>2PHAZ54J</v>
          </cell>
        </row>
        <row r="13758">
          <cell r="D13758" t="str">
            <v>0F38462</v>
          </cell>
          <cell r="E13758" t="str">
            <v>2PHBYWAT</v>
          </cell>
        </row>
        <row r="13759">
          <cell r="D13759" t="str">
            <v>0F38462</v>
          </cell>
          <cell r="E13759" t="str">
            <v>2BKG763T</v>
          </cell>
        </row>
        <row r="13760">
          <cell r="D13760" t="str">
            <v>0F38462</v>
          </cell>
          <cell r="E13760" t="str">
            <v>2BKG8Z1T</v>
          </cell>
        </row>
        <row r="13761">
          <cell r="D13761" t="str">
            <v>0F38462</v>
          </cell>
          <cell r="E13761" t="str">
            <v>2PHBPB5T</v>
          </cell>
        </row>
        <row r="13762">
          <cell r="D13762" t="str">
            <v>0F38462</v>
          </cell>
          <cell r="E13762" t="str">
            <v>3MG82V0U</v>
          </cell>
        </row>
        <row r="13763">
          <cell r="D13763" t="str">
            <v>0F38462</v>
          </cell>
          <cell r="E13763" t="str">
            <v>2BKG8MLT</v>
          </cell>
        </row>
        <row r="13764">
          <cell r="D13764" t="str">
            <v>0F38462</v>
          </cell>
          <cell r="E13764" t="str">
            <v>2PHAZ86J</v>
          </cell>
        </row>
        <row r="13765">
          <cell r="D13765" t="str">
            <v>0F38462</v>
          </cell>
          <cell r="E13765" t="str">
            <v>3FKJ9BAT</v>
          </cell>
        </row>
        <row r="13766">
          <cell r="D13766" t="str">
            <v>0F38462</v>
          </cell>
          <cell r="E13766" t="str">
            <v>2BKG85MT</v>
          </cell>
        </row>
        <row r="13767">
          <cell r="D13767" t="str">
            <v>0F38462</v>
          </cell>
          <cell r="E13767" t="str">
            <v>2BKG8Z4T</v>
          </cell>
        </row>
        <row r="13768">
          <cell r="D13768" t="str">
            <v>0F38462</v>
          </cell>
          <cell r="E13768" t="str">
            <v>2PHBYMKT</v>
          </cell>
        </row>
        <row r="13769">
          <cell r="D13769" t="str">
            <v>0F38462</v>
          </cell>
          <cell r="E13769" t="str">
            <v>3RJR8LBA</v>
          </cell>
        </row>
        <row r="13770">
          <cell r="D13770" t="str">
            <v>0F38462</v>
          </cell>
          <cell r="E13770" t="str">
            <v>2BKG8NST</v>
          </cell>
        </row>
        <row r="13771">
          <cell r="D13771" t="str">
            <v>0F38462</v>
          </cell>
          <cell r="E13771" t="str">
            <v>2PHB47YT</v>
          </cell>
        </row>
        <row r="13772">
          <cell r="D13772" t="str">
            <v>0F38462</v>
          </cell>
          <cell r="E13772" t="str">
            <v>3LGHR4RU</v>
          </cell>
        </row>
        <row r="13773">
          <cell r="D13773" t="str">
            <v>0F38462</v>
          </cell>
          <cell r="E13773" t="str">
            <v>2PHAZ1XJ</v>
          </cell>
        </row>
        <row r="13774">
          <cell r="D13774" t="str">
            <v>0F38462</v>
          </cell>
          <cell r="E13774" t="str">
            <v>2PHBYUNT</v>
          </cell>
        </row>
        <row r="13775">
          <cell r="D13775" t="str">
            <v>0F38462</v>
          </cell>
          <cell r="E13775" t="str">
            <v>3WJ3S9KL</v>
          </cell>
        </row>
        <row r="13776">
          <cell r="D13776" t="str">
            <v>0F38462</v>
          </cell>
          <cell r="E13776" t="str">
            <v>2BKG7HZT</v>
          </cell>
        </row>
        <row r="13777">
          <cell r="D13777" t="str">
            <v>0F38462</v>
          </cell>
          <cell r="E13777" t="str">
            <v>2BKG8WET</v>
          </cell>
        </row>
        <row r="13778">
          <cell r="D13778" t="str">
            <v>0F38462</v>
          </cell>
          <cell r="E13778" t="str">
            <v>2PHAZ58J</v>
          </cell>
        </row>
        <row r="13779">
          <cell r="D13779" t="str">
            <v>0F38462</v>
          </cell>
          <cell r="E13779" t="str">
            <v>2BK9P9YR</v>
          </cell>
        </row>
        <row r="13780">
          <cell r="D13780" t="str">
            <v>0F38462</v>
          </cell>
          <cell r="E13780" t="str">
            <v>2BKG7ZTT</v>
          </cell>
        </row>
        <row r="13781">
          <cell r="D13781" t="str">
            <v>0F38462</v>
          </cell>
          <cell r="E13781" t="str">
            <v>2PH8RMKJ</v>
          </cell>
        </row>
        <row r="13782">
          <cell r="D13782" t="str">
            <v>0F38462</v>
          </cell>
          <cell r="E13782" t="str">
            <v>2PHBYYET</v>
          </cell>
        </row>
        <row r="13783">
          <cell r="D13783" t="str">
            <v>0F38462</v>
          </cell>
          <cell r="E13783" t="str">
            <v>2BKG7WWT</v>
          </cell>
        </row>
        <row r="13784">
          <cell r="D13784" t="str">
            <v>0F38462</v>
          </cell>
          <cell r="E13784" t="str">
            <v>2BKG958T</v>
          </cell>
        </row>
        <row r="13785">
          <cell r="D13785" t="str">
            <v>0F38462</v>
          </cell>
          <cell r="E13785" t="str">
            <v>2PHBB69T</v>
          </cell>
        </row>
        <row r="13786">
          <cell r="D13786" t="str">
            <v>0F38462</v>
          </cell>
          <cell r="E13786" t="str">
            <v>2BKG780T</v>
          </cell>
        </row>
        <row r="13787">
          <cell r="D13787" t="str">
            <v>0F38462</v>
          </cell>
          <cell r="E13787" t="str">
            <v>2BKG80PT</v>
          </cell>
        </row>
        <row r="13788">
          <cell r="D13788" t="str">
            <v>0F38462</v>
          </cell>
          <cell r="E13788" t="str">
            <v>2PH9SP7T</v>
          </cell>
        </row>
        <row r="13789">
          <cell r="D13789" t="str">
            <v>0F38462</v>
          </cell>
          <cell r="E13789" t="str">
            <v>2PHD3TDJ</v>
          </cell>
        </row>
        <row r="13790">
          <cell r="D13790" t="str">
            <v>0F38462</v>
          </cell>
          <cell r="E13790" t="str">
            <v>2BKG7XET</v>
          </cell>
        </row>
        <row r="13791">
          <cell r="D13791" t="str">
            <v>0F38462</v>
          </cell>
          <cell r="E13791" t="str">
            <v>2PH7BH4J</v>
          </cell>
        </row>
        <row r="13792">
          <cell r="D13792" t="str">
            <v>0F38462</v>
          </cell>
          <cell r="E13792" t="str">
            <v>2PHBJ6HJ</v>
          </cell>
        </row>
        <row r="13793">
          <cell r="D13793" t="str">
            <v>0F38462</v>
          </cell>
          <cell r="E13793" t="str">
            <v>2BKG88DT</v>
          </cell>
        </row>
        <row r="13794">
          <cell r="D13794" t="str">
            <v>0F38462</v>
          </cell>
          <cell r="E13794" t="str">
            <v>2PHAKW5J</v>
          </cell>
        </row>
        <row r="13795">
          <cell r="D13795" t="str">
            <v>0F38462</v>
          </cell>
          <cell r="E13795" t="str">
            <v>3RK24NWA</v>
          </cell>
        </row>
        <row r="13796">
          <cell r="D13796" t="str">
            <v>0F38462</v>
          </cell>
          <cell r="E13796" t="str">
            <v>2PH19RVJ</v>
          </cell>
        </row>
        <row r="13797">
          <cell r="D13797" t="str">
            <v>0F38462</v>
          </cell>
          <cell r="E13797" t="str">
            <v>2PH9VPHT</v>
          </cell>
        </row>
        <row r="13798">
          <cell r="D13798" t="str">
            <v>0F38462</v>
          </cell>
          <cell r="E13798" t="str">
            <v>2PHBSR5T</v>
          </cell>
        </row>
        <row r="13799">
          <cell r="D13799" t="str">
            <v>0F38462</v>
          </cell>
          <cell r="E13799" t="str">
            <v>2PG4WTTN</v>
          </cell>
        </row>
        <row r="13800">
          <cell r="D13800" t="str">
            <v>0F38462</v>
          </cell>
          <cell r="E13800" t="str">
            <v>2PH6MLMJ</v>
          </cell>
        </row>
        <row r="13801">
          <cell r="D13801" t="str">
            <v>0F38462</v>
          </cell>
          <cell r="E13801" t="str">
            <v>2PHBGNAT</v>
          </cell>
        </row>
        <row r="13802">
          <cell r="D13802" t="str">
            <v>0F38462</v>
          </cell>
          <cell r="E13802" t="str">
            <v>2PHBYU3T</v>
          </cell>
        </row>
        <row r="13803">
          <cell r="D13803" t="str">
            <v>0F38462</v>
          </cell>
          <cell r="E13803" t="str">
            <v>2PH57EGT</v>
          </cell>
        </row>
        <row r="13804">
          <cell r="D13804" t="str">
            <v>0F38462</v>
          </cell>
          <cell r="E13804" t="str">
            <v>2PHB7YUT</v>
          </cell>
        </row>
        <row r="13805">
          <cell r="D13805" t="str">
            <v>0F38462</v>
          </cell>
          <cell r="E13805" t="str">
            <v>2PHBY3ZT</v>
          </cell>
        </row>
        <row r="13806">
          <cell r="D13806" t="str">
            <v>0F38462</v>
          </cell>
          <cell r="E13806" t="str">
            <v>2PH13VLT</v>
          </cell>
        </row>
        <row r="13807">
          <cell r="D13807" t="str">
            <v>0F38462</v>
          </cell>
          <cell r="E13807" t="str">
            <v>2PH6X8DJ</v>
          </cell>
        </row>
        <row r="13808">
          <cell r="D13808" t="str">
            <v>0F38462</v>
          </cell>
          <cell r="E13808" t="str">
            <v>2PHBJK6T</v>
          </cell>
        </row>
        <row r="13809">
          <cell r="D13809" t="str">
            <v>0F38462</v>
          </cell>
          <cell r="E13809" t="str">
            <v>3FKV50WT</v>
          </cell>
        </row>
        <row r="13810">
          <cell r="D13810" t="str">
            <v>0F38462</v>
          </cell>
          <cell r="E13810" t="str">
            <v>2PH69AUJ</v>
          </cell>
        </row>
        <row r="13811">
          <cell r="D13811" t="str">
            <v>0F38462</v>
          </cell>
          <cell r="E13811" t="str">
            <v>2PHBBBTT</v>
          </cell>
        </row>
        <row r="13812">
          <cell r="D13812" t="str">
            <v>0F38462</v>
          </cell>
          <cell r="E13812" t="str">
            <v>2PHBYNRT</v>
          </cell>
        </row>
        <row r="13813">
          <cell r="D13813" t="str">
            <v>0F38462</v>
          </cell>
          <cell r="E13813" t="str">
            <v>2PH8H0WJ</v>
          </cell>
        </row>
        <row r="13814">
          <cell r="D13814" t="str">
            <v>0F38462</v>
          </cell>
          <cell r="E13814" t="str">
            <v>2PHBP1WT</v>
          </cell>
        </row>
        <row r="13815">
          <cell r="D13815" t="str">
            <v>0F38462</v>
          </cell>
          <cell r="E13815" t="str">
            <v>3XG1997Z</v>
          </cell>
        </row>
        <row r="13816">
          <cell r="D13816" t="str">
            <v>0F38462</v>
          </cell>
          <cell r="E13816" t="str">
            <v>2BKG8KRT</v>
          </cell>
        </row>
        <row r="13817">
          <cell r="D13817" t="str">
            <v>0F38462</v>
          </cell>
          <cell r="E13817" t="str">
            <v>2PHBMBYT</v>
          </cell>
        </row>
        <row r="13818">
          <cell r="D13818" t="str">
            <v>0F38462</v>
          </cell>
          <cell r="E13818" t="str">
            <v>3FKGKX0T</v>
          </cell>
        </row>
        <row r="13819">
          <cell r="D13819" t="str">
            <v>0F38462</v>
          </cell>
          <cell r="E13819" t="str">
            <v>2BJYR0UN</v>
          </cell>
        </row>
        <row r="13820">
          <cell r="D13820" t="str">
            <v>0F38462</v>
          </cell>
          <cell r="E13820" t="str">
            <v>2PH27VAT</v>
          </cell>
        </row>
        <row r="13821">
          <cell r="D13821" t="str">
            <v>0F38462</v>
          </cell>
          <cell r="E13821" t="str">
            <v>2PHBYM3T</v>
          </cell>
        </row>
        <row r="13822">
          <cell r="D13822" t="str">
            <v>0F38462</v>
          </cell>
          <cell r="E13822" t="str">
            <v>3MGHB5NU</v>
          </cell>
        </row>
        <row r="13823">
          <cell r="D13823" t="str">
            <v>0F38462</v>
          </cell>
          <cell r="E13823" t="str">
            <v>2BKG8S8T</v>
          </cell>
        </row>
        <row r="13824">
          <cell r="D13824" t="str">
            <v>0F38462</v>
          </cell>
          <cell r="E13824" t="str">
            <v>2PHBWR6T</v>
          </cell>
        </row>
        <row r="13825">
          <cell r="D13825" t="str">
            <v>0F38462</v>
          </cell>
          <cell r="E13825" t="str">
            <v>3FKHR1RT</v>
          </cell>
        </row>
        <row r="13826">
          <cell r="D13826" t="str">
            <v>0F38462</v>
          </cell>
          <cell r="E13826" t="str">
            <v>2BKG7KRT</v>
          </cell>
        </row>
        <row r="13827">
          <cell r="D13827" t="str">
            <v>0F38462</v>
          </cell>
          <cell r="E13827" t="str">
            <v>2PH43S0J</v>
          </cell>
        </row>
        <row r="13828">
          <cell r="D13828" t="str">
            <v>0F38462</v>
          </cell>
          <cell r="E13828" t="str">
            <v>2PHBZ9XT</v>
          </cell>
        </row>
        <row r="13829">
          <cell r="D13829" t="str">
            <v>0F38462</v>
          </cell>
          <cell r="E13829" t="str">
            <v>3RJB8NJC</v>
          </cell>
        </row>
        <row r="13830">
          <cell r="D13830" t="str">
            <v>0F38462</v>
          </cell>
          <cell r="E13830" t="str">
            <v>2BKG92HT</v>
          </cell>
        </row>
        <row r="13831">
          <cell r="D13831" t="str">
            <v>0F38462</v>
          </cell>
          <cell r="E13831" t="str">
            <v>2PHBX3YT</v>
          </cell>
        </row>
        <row r="13832">
          <cell r="D13832" t="str">
            <v>0F38462</v>
          </cell>
          <cell r="E13832" t="str">
            <v>3LGKGR7U</v>
          </cell>
        </row>
        <row r="13833">
          <cell r="D13833" t="str">
            <v>0F38462</v>
          </cell>
          <cell r="E13833" t="str">
            <v>2PHAKMNJ</v>
          </cell>
        </row>
        <row r="13834">
          <cell r="D13834" t="str">
            <v>0F38462</v>
          </cell>
          <cell r="E13834" t="str">
            <v>2PHD4JNJ</v>
          </cell>
        </row>
        <row r="13835">
          <cell r="D13835" t="str">
            <v>0F38462</v>
          </cell>
          <cell r="E13835" t="str">
            <v>3RKEEJ4C</v>
          </cell>
        </row>
        <row r="13836">
          <cell r="D13836" t="str">
            <v>0F38462</v>
          </cell>
          <cell r="E13836" t="str">
            <v>2BKG7S5T</v>
          </cell>
        </row>
        <row r="13837">
          <cell r="D13837" t="str">
            <v>0F38462</v>
          </cell>
          <cell r="E13837" t="str">
            <v>2PHAYTRJ</v>
          </cell>
        </row>
        <row r="13838">
          <cell r="D13838" t="str">
            <v>0F38462</v>
          </cell>
          <cell r="E13838" t="str">
            <v>2PHBNYET</v>
          </cell>
        </row>
        <row r="13839">
          <cell r="D13839" t="str">
            <v>0F38462</v>
          </cell>
          <cell r="E13839" t="str">
            <v>2BJZ130N</v>
          </cell>
        </row>
        <row r="13840">
          <cell r="D13840" t="str">
            <v>0F38462</v>
          </cell>
          <cell r="E13840" t="str">
            <v>2PH7LT7J</v>
          </cell>
        </row>
        <row r="13841">
          <cell r="D13841" t="str">
            <v>0F38462</v>
          </cell>
          <cell r="E13841" t="str">
            <v>2PHBB8RT</v>
          </cell>
        </row>
        <row r="13842">
          <cell r="D13842" t="str">
            <v>0F38462</v>
          </cell>
          <cell r="E13842" t="str">
            <v>3FKP26XT</v>
          </cell>
        </row>
        <row r="13843">
          <cell r="D13843" t="str">
            <v>0F38462</v>
          </cell>
          <cell r="E13843" t="str">
            <v>2BKG81MT</v>
          </cell>
        </row>
        <row r="13844">
          <cell r="D13844" t="str">
            <v>0F38462</v>
          </cell>
          <cell r="E13844" t="str">
            <v>2PHAZ3HJ</v>
          </cell>
        </row>
        <row r="13845">
          <cell r="D13845" t="str">
            <v>0F38462</v>
          </cell>
          <cell r="E13845" t="str">
            <v>2PHBXTKT</v>
          </cell>
        </row>
        <row r="13846">
          <cell r="D13846" t="str">
            <v>0F38462</v>
          </cell>
          <cell r="E13846" t="str">
            <v>2BKG7GHT</v>
          </cell>
        </row>
        <row r="13847">
          <cell r="D13847" t="str">
            <v>0F38462</v>
          </cell>
          <cell r="E13847" t="str">
            <v>2PHAVDJT</v>
          </cell>
        </row>
        <row r="13848">
          <cell r="D13848" t="str">
            <v>0F38462</v>
          </cell>
          <cell r="E13848" t="str">
            <v>2PHBE7KT</v>
          </cell>
        </row>
        <row r="13849">
          <cell r="D13849" t="str">
            <v>0F38462</v>
          </cell>
          <cell r="E13849" t="str">
            <v>3MG1SP5U</v>
          </cell>
        </row>
        <row r="13850">
          <cell r="D13850" t="str">
            <v>0F38462</v>
          </cell>
          <cell r="E13850" t="str">
            <v>2BKG8TLT</v>
          </cell>
        </row>
        <row r="13851">
          <cell r="D13851" t="str">
            <v>0F38462</v>
          </cell>
          <cell r="E13851" t="str">
            <v>2PHB6P2T</v>
          </cell>
        </row>
        <row r="13852">
          <cell r="D13852" t="str">
            <v>0F38462</v>
          </cell>
          <cell r="E13852" t="str">
            <v>2PHBZA2T</v>
          </cell>
        </row>
        <row r="13853">
          <cell r="D13853" t="str">
            <v>0F38462</v>
          </cell>
          <cell r="E13853" t="str">
            <v>2PHAYT5J</v>
          </cell>
        </row>
        <row r="13854">
          <cell r="D13854" t="str">
            <v>0F38462</v>
          </cell>
          <cell r="E13854" t="str">
            <v>2PHBGNGT</v>
          </cell>
        </row>
        <row r="13855">
          <cell r="D13855" t="str">
            <v>0F38462</v>
          </cell>
          <cell r="E13855" t="str">
            <v>3MG5RJWU</v>
          </cell>
        </row>
        <row r="13856">
          <cell r="D13856" t="str">
            <v>0F38462</v>
          </cell>
          <cell r="E13856" t="str">
            <v>2BK9R4PR</v>
          </cell>
        </row>
        <row r="13857">
          <cell r="D13857" t="str">
            <v>0F38462</v>
          </cell>
          <cell r="E13857" t="str">
            <v>2PG7JRTN</v>
          </cell>
        </row>
        <row r="13858">
          <cell r="D13858" t="str">
            <v>0F38462</v>
          </cell>
          <cell r="E13858" t="str">
            <v>2PHAAWPT</v>
          </cell>
        </row>
        <row r="13859">
          <cell r="D13859" t="str">
            <v>0F38462</v>
          </cell>
          <cell r="E13859" t="str">
            <v>2BK0R8AN</v>
          </cell>
        </row>
        <row r="13860">
          <cell r="D13860" t="str">
            <v>0F38462</v>
          </cell>
          <cell r="E13860" t="str">
            <v>2BKG85ST</v>
          </cell>
        </row>
        <row r="13861">
          <cell r="D13861" t="str">
            <v>0F38462</v>
          </cell>
          <cell r="E13861" t="str">
            <v>2PGZ5SWT</v>
          </cell>
        </row>
        <row r="13862">
          <cell r="D13862" t="str">
            <v>0F38462</v>
          </cell>
          <cell r="E13862" t="str">
            <v>2PHBGRKT</v>
          </cell>
        </row>
        <row r="13863">
          <cell r="D13863" t="str">
            <v>0F38462</v>
          </cell>
          <cell r="E13863" t="str">
            <v>2BK9V1JR</v>
          </cell>
        </row>
        <row r="13864">
          <cell r="D13864" t="str">
            <v>0F38462</v>
          </cell>
          <cell r="E13864" t="str">
            <v>2PG7K49N</v>
          </cell>
        </row>
        <row r="13865">
          <cell r="D13865" t="str">
            <v>0F38462</v>
          </cell>
          <cell r="E13865" t="str">
            <v>2PHBA48T</v>
          </cell>
        </row>
        <row r="13866">
          <cell r="D13866" t="str">
            <v>0F38462</v>
          </cell>
          <cell r="E13866" t="str">
            <v>2BK9D2RR</v>
          </cell>
        </row>
        <row r="13867">
          <cell r="D13867" t="str">
            <v>0F38462</v>
          </cell>
          <cell r="E13867" t="str">
            <v>2BKG879T</v>
          </cell>
        </row>
        <row r="13868">
          <cell r="D13868" t="str">
            <v>0F38462</v>
          </cell>
          <cell r="E13868" t="str">
            <v>2PH9RBBT</v>
          </cell>
        </row>
        <row r="13869">
          <cell r="D13869" t="str">
            <v>0F38462</v>
          </cell>
          <cell r="E13869" t="str">
            <v>2PHBMBGT</v>
          </cell>
        </row>
        <row r="13870">
          <cell r="D13870" t="str">
            <v>0F38462</v>
          </cell>
          <cell r="E13870" t="str">
            <v>2BKA0GGR</v>
          </cell>
        </row>
        <row r="13871">
          <cell r="D13871" t="str">
            <v>0F38462</v>
          </cell>
          <cell r="E13871" t="str">
            <v>2PGE52UN</v>
          </cell>
        </row>
        <row r="13872">
          <cell r="D13872" t="str">
            <v>0F38462</v>
          </cell>
          <cell r="E13872" t="str">
            <v>2PHBAZ3T</v>
          </cell>
        </row>
        <row r="13873">
          <cell r="D13873" t="str">
            <v>0F38462</v>
          </cell>
          <cell r="E13873" t="str">
            <v>2PG4UE5N</v>
          </cell>
        </row>
        <row r="13874">
          <cell r="D13874" t="str">
            <v>0F38462</v>
          </cell>
          <cell r="E13874" t="str">
            <v>2PH9VM0T</v>
          </cell>
        </row>
        <row r="13875">
          <cell r="D13875" t="str">
            <v>0F38462</v>
          </cell>
          <cell r="E13875" t="str">
            <v>3FKZJK4T</v>
          </cell>
        </row>
        <row r="13876">
          <cell r="D13876" t="str">
            <v>0F38462</v>
          </cell>
          <cell r="E13876" t="str">
            <v>2BKG8HMT</v>
          </cell>
        </row>
        <row r="13877">
          <cell r="D13877" t="str">
            <v>0F38462</v>
          </cell>
          <cell r="E13877" t="str">
            <v>2PHB465T</v>
          </cell>
        </row>
        <row r="13878">
          <cell r="D13878" t="str">
            <v>0F38462</v>
          </cell>
          <cell r="E13878" t="str">
            <v>2PHBXYDT</v>
          </cell>
        </row>
        <row r="13879">
          <cell r="D13879" t="str">
            <v>0F38462</v>
          </cell>
          <cell r="E13879" t="str">
            <v>2BKG774T</v>
          </cell>
        </row>
        <row r="13880">
          <cell r="D13880" t="str">
            <v>0F38462</v>
          </cell>
          <cell r="E13880" t="str">
            <v>2PH8YLVN</v>
          </cell>
        </row>
        <row r="13881">
          <cell r="D13881" t="str">
            <v>0F38462</v>
          </cell>
          <cell r="E13881" t="str">
            <v>2PHBNZTT</v>
          </cell>
        </row>
        <row r="13882">
          <cell r="D13882" t="str">
            <v>0F38462</v>
          </cell>
          <cell r="E13882" t="str">
            <v>3LGJSZ7U</v>
          </cell>
        </row>
        <row r="13883">
          <cell r="D13883" t="str">
            <v>0F38462</v>
          </cell>
          <cell r="E13883" t="str">
            <v>2PG0JEHN</v>
          </cell>
        </row>
        <row r="13884">
          <cell r="D13884" t="str">
            <v>0F38462</v>
          </cell>
          <cell r="E13884" t="str">
            <v>2PHB477T</v>
          </cell>
        </row>
        <row r="13885">
          <cell r="D13885" t="str">
            <v>0F38462</v>
          </cell>
          <cell r="E13885" t="str">
            <v>2PHBZW8T</v>
          </cell>
        </row>
        <row r="13886">
          <cell r="D13886" t="str">
            <v>0F38462</v>
          </cell>
          <cell r="E13886" t="str">
            <v>2BKG7AWT</v>
          </cell>
        </row>
        <row r="13887">
          <cell r="D13887" t="str">
            <v>0F38462</v>
          </cell>
          <cell r="E13887" t="str">
            <v>2PHAZ5YJ</v>
          </cell>
        </row>
        <row r="13888">
          <cell r="D13888" t="str">
            <v>0F38462</v>
          </cell>
          <cell r="E13888" t="str">
            <v>2PHBWPST</v>
          </cell>
        </row>
        <row r="13889">
          <cell r="D13889" t="str">
            <v>0F38462</v>
          </cell>
          <cell r="E13889" t="str">
            <v>3RKWUV6C</v>
          </cell>
        </row>
        <row r="13890">
          <cell r="D13890" t="str">
            <v>0F38462</v>
          </cell>
          <cell r="E13890" t="str">
            <v>2PGYVDMT</v>
          </cell>
        </row>
        <row r="13891">
          <cell r="D13891" t="str">
            <v>0F38462</v>
          </cell>
          <cell r="E13891" t="str">
            <v>2PHBLN5T</v>
          </cell>
        </row>
        <row r="13892">
          <cell r="D13892" t="str">
            <v>0F38462</v>
          </cell>
          <cell r="E13892" t="str">
            <v>3LG7D0YY</v>
          </cell>
        </row>
        <row r="13893">
          <cell r="D13893" t="str">
            <v>0F38462</v>
          </cell>
          <cell r="E13893" t="str">
            <v>2PHB3XLT</v>
          </cell>
        </row>
        <row r="13894">
          <cell r="D13894" t="str">
            <v>0F38462</v>
          </cell>
          <cell r="E13894" t="str">
            <v>2PHBWU0T</v>
          </cell>
        </row>
        <row r="13895">
          <cell r="D13895" t="str">
            <v>0F38462</v>
          </cell>
          <cell r="E13895" t="str">
            <v>4EG21V3Y</v>
          </cell>
        </row>
        <row r="13896">
          <cell r="D13896" t="str">
            <v>0F38462</v>
          </cell>
          <cell r="E13896" t="str">
            <v>2BKG7HNT</v>
          </cell>
        </row>
        <row r="13897">
          <cell r="D13897" t="str">
            <v>0F38462</v>
          </cell>
          <cell r="E13897" t="str">
            <v>2BKG896T</v>
          </cell>
        </row>
        <row r="13898">
          <cell r="D13898" t="str">
            <v>0F38462</v>
          </cell>
          <cell r="E13898" t="str">
            <v>2PHAYSMJ</v>
          </cell>
        </row>
        <row r="13899">
          <cell r="D13899" t="str">
            <v>0F38462</v>
          </cell>
          <cell r="E13899" t="str">
            <v>2BK9KW2R</v>
          </cell>
        </row>
        <row r="13900">
          <cell r="D13900" t="str">
            <v>0F38462</v>
          </cell>
          <cell r="E13900" t="str">
            <v>2BKG83PT</v>
          </cell>
        </row>
        <row r="13901">
          <cell r="D13901" t="str">
            <v>0F38462</v>
          </cell>
          <cell r="E13901" t="str">
            <v>2PHAKNGJ</v>
          </cell>
        </row>
        <row r="13902">
          <cell r="D13902" t="str">
            <v>0F38462</v>
          </cell>
          <cell r="E13902" t="str">
            <v>3FG863ZT</v>
          </cell>
        </row>
        <row r="13903">
          <cell r="D13903" t="str">
            <v>0F38462</v>
          </cell>
          <cell r="E13903" t="str">
            <v>2BKG7XHT</v>
          </cell>
        </row>
        <row r="13904">
          <cell r="D13904" t="str">
            <v>0F38462</v>
          </cell>
          <cell r="E13904" t="str">
            <v>2BKG95PT</v>
          </cell>
        </row>
        <row r="13905">
          <cell r="D13905" t="str">
            <v>0F38462</v>
          </cell>
          <cell r="E13905" t="str">
            <v>2PHD01VT</v>
          </cell>
        </row>
        <row r="13906">
          <cell r="D13906" t="str">
            <v>0F38462</v>
          </cell>
          <cell r="E13906" t="str">
            <v>2BKG78UT</v>
          </cell>
        </row>
        <row r="13907">
          <cell r="D13907" t="str">
            <v>0F38462</v>
          </cell>
          <cell r="E13907" t="str">
            <v>2BKG874T</v>
          </cell>
        </row>
        <row r="13908">
          <cell r="D13908" t="str">
            <v>0F38462</v>
          </cell>
          <cell r="E13908" t="str">
            <v>2PHAKTSJ</v>
          </cell>
        </row>
        <row r="13909">
          <cell r="D13909" t="str">
            <v>0F38462</v>
          </cell>
          <cell r="E13909" t="str">
            <v>3RGAVAKA</v>
          </cell>
        </row>
        <row r="13910">
          <cell r="D13910" t="str">
            <v>0F38462</v>
          </cell>
          <cell r="E13910" t="str">
            <v>2BKG813T</v>
          </cell>
        </row>
        <row r="13911">
          <cell r="D13911" t="str">
            <v>0F38462</v>
          </cell>
          <cell r="E13911" t="str">
            <v>2PH5E9GT</v>
          </cell>
        </row>
        <row r="13912">
          <cell r="D13912" t="str">
            <v>0F38462</v>
          </cell>
          <cell r="E13912" t="str">
            <v>2PHD3R6J</v>
          </cell>
        </row>
        <row r="13913">
          <cell r="D13913" t="str">
            <v>0F38462</v>
          </cell>
          <cell r="E13913" t="str">
            <v>2BKG87KT</v>
          </cell>
        </row>
        <row r="13914">
          <cell r="D13914" t="str">
            <v>0F38462</v>
          </cell>
          <cell r="E13914" t="str">
            <v>2PHAUTLT</v>
          </cell>
        </row>
        <row r="13915">
          <cell r="D13915" t="str">
            <v>0F38462</v>
          </cell>
          <cell r="E13915" t="str">
            <v>3RJANGNA</v>
          </cell>
        </row>
        <row r="13916">
          <cell r="D13916" t="str">
            <v>0F38462</v>
          </cell>
          <cell r="E13916" t="str">
            <v>2BKG8NJT</v>
          </cell>
        </row>
        <row r="13917">
          <cell r="D13917" t="str">
            <v>0F38462</v>
          </cell>
          <cell r="E13917" t="str">
            <v>2PHBLBUT</v>
          </cell>
        </row>
        <row r="13918">
          <cell r="D13918" t="str">
            <v>0F38462</v>
          </cell>
          <cell r="E13918" t="str">
            <v>2PHD4HEJ</v>
          </cell>
        </row>
        <row r="13919">
          <cell r="D13919" t="str">
            <v>0F38462</v>
          </cell>
          <cell r="E13919" t="str">
            <v>2BKG75ST</v>
          </cell>
        </row>
        <row r="13920">
          <cell r="D13920" t="str">
            <v>0F38462</v>
          </cell>
          <cell r="E13920" t="str">
            <v>2PHAKS6J</v>
          </cell>
        </row>
        <row r="13921">
          <cell r="D13921" t="str">
            <v>0F38462</v>
          </cell>
          <cell r="E13921" t="str">
            <v>2PHBWXHT</v>
          </cell>
        </row>
        <row r="13922">
          <cell r="D13922" t="str">
            <v>0F38462</v>
          </cell>
          <cell r="E13922" t="str">
            <v>3FJ8TUUT</v>
          </cell>
        </row>
        <row r="13923">
          <cell r="D13923" t="str">
            <v>0F38462</v>
          </cell>
          <cell r="E13923" t="str">
            <v>2BKG8PLT</v>
          </cell>
        </row>
        <row r="13924">
          <cell r="D13924" t="str">
            <v>0F38462</v>
          </cell>
          <cell r="E13924" t="str">
            <v>2PHBWSRT</v>
          </cell>
        </row>
        <row r="13925">
          <cell r="D13925" t="str">
            <v>0F38462</v>
          </cell>
          <cell r="E13925" t="str">
            <v>2PHD4JPJ</v>
          </cell>
        </row>
        <row r="13926">
          <cell r="D13926" t="str">
            <v>0F38462</v>
          </cell>
          <cell r="E13926" t="str">
            <v>2BKG7JUT</v>
          </cell>
        </row>
        <row r="13927">
          <cell r="D13927" t="str">
            <v>0F38462</v>
          </cell>
          <cell r="E13927" t="str">
            <v>2PHAUSST</v>
          </cell>
        </row>
        <row r="13928">
          <cell r="D13928" t="str">
            <v>0F38462</v>
          </cell>
          <cell r="E13928" t="str">
            <v>2PHBXV0T</v>
          </cell>
        </row>
        <row r="13929">
          <cell r="D13929" t="str">
            <v>0F38462</v>
          </cell>
          <cell r="E13929" t="str">
            <v>3RH0LZEC</v>
          </cell>
        </row>
        <row r="13930">
          <cell r="D13930" t="str">
            <v>0F38462</v>
          </cell>
          <cell r="E13930" t="str">
            <v>2PHAKR8J</v>
          </cell>
        </row>
        <row r="13931">
          <cell r="D13931" t="str">
            <v>0F38462</v>
          </cell>
          <cell r="E13931" t="str">
            <v>2PHBWTKT</v>
          </cell>
        </row>
        <row r="13932">
          <cell r="D13932" t="str">
            <v>0F38462</v>
          </cell>
          <cell r="E13932" t="str">
            <v>2PHD4KDJ</v>
          </cell>
        </row>
        <row r="13933">
          <cell r="D13933" t="str">
            <v>0F38462</v>
          </cell>
          <cell r="E13933" t="str">
            <v>2PHB45YT</v>
          </cell>
        </row>
        <row r="13934">
          <cell r="D13934" t="str">
            <v>0F38462</v>
          </cell>
          <cell r="E13934" t="str">
            <v>2PHBY0YT</v>
          </cell>
        </row>
        <row r="13935">
          <cell r="D13935" t="str">
            <v>0F38462</v>
          </cell>
          <cell r="E13935" t="str">
            <v>3RKWD78C</v>
          </cell>
        </row>
        <row r="13936">
          <cell r="D13936" t="str">
            <v>MZQLB960HAJR-00007</v>
          </cell>
          <cell r="E13936" t="str">
            <v>S437NC0T233805</v>
          </cell>
        </row>
        <row r="13937">
          <cell r="D13937" t="str">
            <v>MZQLB960HAJR-00007</v>
          </cell>
          <cell r="E13937" t="str">
            <v>S437NC0T233802</v>
          </cell>
        </row>
        <row r="13938">
          <cell r="D13938" t="str">
            <v>MZQLB960HAJR-00007</v>
          </cell>
          <cell r="E13938" t="str">
            <v>S437NC0T233814</v>
          </cell>
        </row>
        <row r="13939">
          <cell r="D13939" t="str">
            <v>MZ7L31T9HBLT-00A07</v>
          </cell>
          <cell r="E13939" t="str">
            <v>S6ESNE0T401503</v>
          </cell>
        </row>
        <row r="13940">
          <cell r="D13940" t="str">
            <v>MZ7L31T9HBLT-00A07</v>
          </cell>
          <cell r="E13940" t="str">
            <v>S6ESNE0T401512</v>
          </cell>
        </row>
        <row r="13941">
          <cell r="D13941" t="str">
            <v>MZ7L31T9HBLT-00A07</v>
          </cell>
          <cell r="E13941" t="str">
            <v>S6ESNE0T401513</v>
          </cell>
        </row>
        <row r="13942">
          <cell r="D13942" t="str">
            <v>MZ7L31T9HBLT-00A07</v>
          </cell>
          <cell r="E13942" t="str">
            <v>S6ESNE0T401516</v>
          </cell>
        </row>
        <row r="13943">
          <cell r="D13943" t="str">
            <v>MZ7L31T9HBLT-00A07</v>
          </cell>
          <cell r="E13943" t="str">
            <v>S6ESNE0T401520</v>
          </cell>
        </row>
        <row r="13944">
          <cell r="D13944" t="str">
            <v>MZ7L31T9HBLT-00A07</v>
          </cell>
          <cell r="E13944" t="str">
            <v>S6ESNE0T401523</v>
          </cell>
        </row>
        <row r="13945">
          <cell r="D13945" t="str">
            <v>SSDSC2KG960G801</v>
          </cell>
          <cell r="E13945" t="str">
            <v>PHYG204302V1960CGN</v>
          </cell>
        </row>
        <row r="13946">
          <cell r="D13946" t="str">
            <v>SSDSC2KG960G801</v>
          </cell>
          <cell r="E13946" t="str">
            <v>PHYG204302UV960CGN</v>
          </cell>
        </row>
        <row r="13947">
          <cell r="D13947" t="str">
            <v>SSDSC2KG960G801</v>
          </cell>
          <cell r="E13947" t="str">
            <v>PHYG204302UU960CGN</v>
          </cell>
        </row>
        <row r="13948">
          <cell r="D13948" t="str">
            <v>SSDSC2KG960G801</v>
          </cell>
          <cell r="E13948" t="str">
            <v>PHYG204302V3960CGN</v>
          </cell>
        </row>
        <row r="13949">
          <cell r="D13949" t="str">
            <v>SSDSC2KG960G801</v>
          </cell>
          <cell r="E13949" t="str">
            <v>PHYG20430475960CGN</v>
          </cell>
        </row>
        <row r="13950">
          <cell r="D13950" t="str">
            <v>SSDSC2KG960G801</v>
          </cell>
          <cell r="E13950" t="str">
            <v>PHYG204302US960CGN</v>
          </cell>
        </row>
        <row r="13951">
          <cell r="D13951" t="str">
            <v>SAS 9341-4i       05-26015-00</v>
          </cell>
          <cell r="E13951" t="str">
            <v>SPB4934591</v>
          </cell>
        </row>
        <row r="13952">
          <cell r="D13952" t="str">
            <v>SAS 9341-4i       05-26015-00</v>
          </cell>
          <cell r="E13952" t="str">
            <v>SPB4934719</v>
          </cell>
        </row>
        <row r="13953">
          <cell r="D13953" t="str">
            <v>SAS 9341-4i       05-26015-00</v>
          </cell>
          <cell r="E13953" t="str">
            <v>SPB4935113</v>
          </cell>
        </row>
        <row r="13954">
          <cell r="D13954" t="str">
            <v>SAS 9341-4i       05-26015-00</v>
          </cell>
          <cell r="E13954" t="str">
            <v>SPB4934700</v>
          </cell>
        </row>
        <row r="13955">
          <cell r="D13955" t="str">
            <v>SAS 9341-4i       05-26015-00</v>
          </cell>
          <cell r="E13955" t="str">
            <v>SPB4935036</v>
          </cell>
        </row>
        <row r="13956">
          <cell r="D13956" t="str">
            <v>SAS 9341-4i       05-26015-00</v>
          </cell>
          <cell r="E13956" t="str">
            <v>SPB4934753</v>
          </cell>
        </row>
        <row r="13957">
          <cell r="D13957" t="str">
            <v>SAS 9341-4i       05-26015-00</v>
          </cell>
          <cell r="E13957" t="str">
            <v>SPB4935270</v>
          </cell>
        </row>
        <row r="13958">
          <cell r="D13958" t="str">
            <v>SAS 9341-4i       05-26015-00</v>
          </cell>
          <cell r="E13958" t="str">
            <v>SPB4935330</v>
          </cell>
        </row>
        <row r="13959">
          <cell r="D13959" t="str">
            <v>SAS 9341-4i       05-26015-00</v>
          </cell>
          <cell r="E13959" t="str">
            <v>SPB4934833</v>
          </cell>
        </row>
        <row r="13960">
          <cell r="D13960" t="str">
            <v>SAS 9341-4i       05-26015-00</v>
          </cell>
          <cell r="E13960" t="str">
            <v>SPB4935288</v>
          </cell>
        </row>
        <row r="13961">
          <cell r="D13961" t="str">
            <v>MCX4121A-ACAT</v>
          </cell>
          <cell r="E13961" t="str">
            <v>MT2218421637</v>
          </cell>
        </row>
        <row r="13962">
          <cell r="D13962" t="str">
            <v>MCX4121A-ACAT</v>
          </cell>
          <cell r="E13962" t="str">
            <v>MT2218418319</v>
          </cell>
        </row>
        <row r="13963">
          <cell r="D13963" t="str">
            <v>MCX4121A-ACAT</v>
          </cell>
          <cell r="E13963" t="str">
            <v>MT2218421639</v>
          </cell>
        </row>
        <row r="13964">
          <cell r="D13964" t="str">
            <v>MCX4121A-ACAT</v>
          </cell>
          <cell r="E13964" t="str">
            <v>MT2218421642</v>
          </cell>
        </row>
        <row r="13965">
          <cell r="D13965" t="str">
            <v>MCX4121A-ACAT</v>
          </cell>
          <cell r="E13965" t="str">
            <v>MT2218418341</v>
          </cell>
        </row>
        <row r="13966">
          <cell r="D13966" t="str">
            <v>MCX4121A-ACAT</v>
          </cell>
          <cell r="E13966" t="str">
            <v>MT2218418365</v>
          </cell>
        </row>
        <row r="13967">
          <cell r="D13967" t="str">
            <v>MCX4121A-ACAT</v>
          </cell>
          <cell r="E13967" t="str">
            <v>MT2218418408</v>
          </cell>
        </row>
        <row r="13968">
          <cell r="D13968" t="str">
            <v>MCX4121A-ACAT</v>
          </cell>
          <cell r="E13968" t="str">
            <v>MT2218418426</v>
          </cell>
        </row>
        <row r="13969">
          <cell r="D13969" t="str">
            <v>MCX4121A-ACAT</v>
          </cell>
          <cell r="E13969" t="str">
            <v>MT2218418442</v>
          </cell>
        </row>
        <row r="13970">
          <cell r="D13970" t="str">
            <v>MCX4121A-ACAT</v>
          </cell>
          <cell r="E13970" t="str">
            <v>MT2218418429</v>
          </cell>
        </row>
        <row r="13971">
          <cell r="D13971" t="str">
            <v>MCX4121A-ACAT</v>
          </cell>
          <cell r="E13971" t="str">
            <v>MT2218418317</v>
          </cell>
        </row>
        <row r="13972">
          <cell r="D13972" t="str">
            <v>MCX4121A-ACAT</v>
          </cell>
          <cell r="E13972" t="str">
            <v>MT2218421626</v>
          </cell>
        </row>
        <row r="13973">
          <cell r="D13973" t="str">
            <v>MCX4121A-ACAT</v>
          </cell>
          <cell r="E13973" t="str">
            <v>MT2218418358</v>
          </cell>
        </row>
        <row r="13974">
          <cell r="D13974" t="str">
            <v>MCX4121A-ACAT</v>
          </cell>
          <cell r="E13974" t="str">
            <v>MT2218418366</v>
          </cell>
        </row>
        <row r="13975">
          <cell r="D13975" t="str">
            <v>MCX4121A-ACAT</v>
          </cell>
          <cell r="E13975" t="str">
            <v>MT2218418388</v>
          </cell>
        </row>
        <row r="13976">
          <cell r="D13976" t="str">
            <v>MCX4121A-ACAT</v>
          </cell>
          <cell r="E13976" t="str">
            <v>MT2218418348</v>
          </cell>
        </row>
        <row r="13977">
          <cell r="D13977" t="str">
            <v>MCX4121A-ACAT</v>
          </cell>
          <cell r="E13977" t="str">
            <v>MT2218418444</v>
          </cell>
        </row>
        <row r="13978">
          <cell r="D13978" t="str">
            <v>MCX4121A-ACAT</v>
          </cell>
          <cell r="E13978" t="str">
            <v>MT2218418399</v>
          </cell>
        </row>
        <row r="13979">
          <cell r="D13979" t="str">
            <v>MCX4121A-ACAT</v>
          </cell>
          <cell r="E13979" t="str">
            <v>MT2218418422</v>
          </cell>
        </row>
        <row r="13980">
          <cell r="D13980" t="str">
            <v>MCX4121A-ACAT</v>
          </cell>
          <cell r="E13980" t="str">
            <v>MT2218418451</v>
          </cell>
        </row>
        <row r="13981">
          <cell r="D13981" t="str">
            <v>MCX4121A-ACAT</v>
          </cell>
          <cell r="E13981" t="str">
            <v>MT2218419338</v>
          </cell>
        </row>
        <row r="13982">
          <cell r="D13982" t="str">
            <v>MCX4121A-ACAT</v>
          </cell>
          <cell r="E13982" t="str">
            <v>MT2218419376</v>
          </cell>
        </row>
        <row r="13983">
          <cell r="D13983" t="str">
            <v>MCX4121A-ACAT</v>
          </cell>
          <cell r="E13983" t="str">
            <v>MT2218419384</v>
          </cell>
        </row>
        <row r="13984">
          <cell r="D13984" t="str">
            <v>MCX4121A-ACAT</v>
          </cell>
          <cell r="E13984" t="str">
            <v>MT2218419465</v>
          </cell>
        </row>
        <row r="13985">
          <cell r="D13985" t="str">
            <v>MCX4121A-ACAT</v>
          </cell>
          <cell r="E13985" t="str">
            <v>MT2218419418</v>
          </cell>
        </row>
        <row r="13986">
          <cell r="D13986" t="str">
            <v>MCX4121A-ACAT</v>
          </cell>
          <cell r="E13986" t="str">
            <v>MT2218419517</v>
          </cell>
        </row>
        <row r="13987">
          <cell r="D13987" t="str">
            <v>MCX4121A-ACAT</v>
          </cell>
          <cell r="E13987" t="str">
            <v>MT2218419520</v>
          </cell>
        </row>
        <row r="13988">
          <cell r="D13988" t="str">
            <v>MCX4121A-ACAT</v>
          </cell>
          <cell r="E13988" t="str">
            <v>MT2218419528</v>
          </cell>
        </row>
        <row r="13989">
          <cell r="D13989" t="str">
            <v>MCX4121A-ACAT</v>
          </cell>
          <cell r="E13989" t="str">
            <v>MT2218419573</v>
          </cell>
        </row>
        <row r="13990">
          <cell r="D13990" t="str">
            <v>MCX4121A-ACAT</v>
          </cell>
          <cell r="E13990" t="str">
            <v>MT2218419536</v>
          </cell>
        </row>
        <row r="13991">
          <cell r="D13991" t="str">
            <v>MCX4121A-ACAT</v>
          </cell>
          <cell r="E13991" t="str">
            <v>MT2218419334</v>
          </cell>
        </row>
        <row r="13992">
          <cell r="D13992" t="str">
            <v>MCX4121A-ACAT</v>
          </cell>
          <cell r="E13992" t="str">
            <v>MT2218419361</v>
          </cell>
        </row>
        <row r="13993">
          <cell r="D13993" t="str">
            <v>MCX4121A-ACAT</v>
          </cell>
          <cell r="E13993" t="str">
            <v>MT2218422639</v>
          </cell>
        </row>
        <row r="13994">
          <cell r="D13994" t="str">
            <v>MCX4121A-ACAT</v>
          </cell>
          <cell r="E13994" t="str">
            <v>MT2218419497</v>
          </cell>
        </row>
        <row r="13995">
          <cell r="D13995" t="str">
            <v>MCX4121A-ACAT</v>
          </cell>
          <cell r="E13995" t="str">
            <v>MT2218419480</v>
          </cell>
        </row>
        <row r="13996">
          <cell r="D13996" t="str">
            <v>MCX4121A-ACAT</v>
          </cell>
          <cell r="E13996" t="str">
            <v>MT2218419524</v>
          </cell>
        </row>
        <row r="13997">
          <cell r="D13997" t="str">
            <v>MCX4121A-ACAT</v>
          </cell>
          <cell r="E13997" t="str">
            <v>MT2218419534</v>
          </cell>
        </row>
        <row r="13998">
          <cell r="D13998" t="str">
            <v>MCX4121A-ACAT</v>
          </cell>
          <cell r="E13998" t="str">
            <v>MT2218419566</v>
          </cell>
        </row>
        <row r="13999">
          <cell r="D13999" t="str">
            <v>MCX4121A-ACAT</v>
          </cell>
          <cell r="E13999" t="str">
            <v>MT2218419578</v>
          </cell>
        </row>
        <row r="14000">
          <cell r="D14000" t="str">
            <v>MCX4121A-ACAT</v>
          </cell>
          <cell r="E14000" t="str">
            <v>MT2218419582</v>
          </cell>
        </row>
        <row r="14001">
          <cell r="D14001" t="str">
            <v>MCX4121A-ACAT</v>
          </cell>
          <cell r="E14001" t="str">
            <v>MT2218425245</v>
          </cell>
        </row>
        <row r="14002">
          <cell r="D14002" t="str">
            <v>MCX4121A-ACAT</v>
          </cell>
          <cell r="E14002" t="str">
            <v>MT2218425265</v>
          </cell>
        </row>
        <row r="14003">
          <cell r="D14003" t="str">
            <v>MCX4121A-ACAT</v>
          </cell>
          <cell r="E14003" t="str">
            <v>MT2218425280</v>
          </cell>
        </row>
        <row r="14004">
          <cell r="D14004" t="str">
            <v>MCX4121A-ACAT</v>
          </cell>
          <cell r="E14004" t="str">
            <v>MT2218425302</v>
          </cell>
        </row>
        <row r="14005">
          <cell r="D14005" t="str">
            <v>MCX4121A-ACAT</v>
          </cell>
          <cell r="E14005" t="str">
            <v>MT2218425112</v>
          </cell>
        </row>
        <row r="14006">
          <cell r="D14006" t="str">
            <v>MCX4121A-ACAT</v>
          </cell>
          <cell r="E14006" t="str">
            <v>MT2218425317</v>
          </cell>
        </row>
        <row r="14007">
          <cell r="D14007" t="str">
            <v>MCX4121A-ACAT</v>
          </cell>
          <cell r="E14007" t="str">
            <v>MT2218423900</v>
          </cell>
        </row>
        <row r="14008">
          <cell r="D14008" t="str">
            <v>MCX4121A-ACAT</v>
          </cell>
          <cell r="E14008" t="str">
            <v>MT2218423888</v>
          </cell>
        </row>
        <row r="14009">
          <cell r="D14009" t="str">
            <v>MCX4121A-ACAT</v>
          </cell>
          <cell r="E14009" t="str">
            <v>MT2218423931</v>
          </cell>
        </row>
        <row r="14010">
          <cell r="D14010" t="str">
            <v>MCX4121A-ACAT</v>
          </cell>
          <cell r="E14010" t="str">
            <v>MT2218423975</v>
          </cell>
        </row>
        <row r="14011">
          <cell r="D14011" t="str">
            <v>MCX4121A-ACAT</v>
          </cell>
          <cell r="E14011" t="str">
            <v>MT2218425264</v>
          </cell>
        </row>
        <row r="14012">
          <cell r="D14012" t="str">
            <v>MCX4121A-ACAT</v>
          </cell>
          <cell r="E14012" t="str">
            <v>MT2218425255</v>
          </cell>
        </row>
        <row r="14013">
          <cell r="D14013" t="str">
            <v>MCX4121A-ACAT</v>
          </cell>
          <cell r="E14013" t="str">
            <v>MT2218425283</v>
          </cell>
        </row>
        <row r="14014">
          <cell r="D14014" t="str">
            <v>MCX4121A-ACAT</v>
          </cell>
          <cell r="E14014" t="str">
            <v>MT2218425292</v>
          </cell>
        </row>
        <row r="14015">
          <cell r="D14015" t="str">
            <v>MCX4121A-ACAT</v>
          </cell>
          <cell r="E14015" t="str">
            <v>MT2218425320</v>
          </cell>
        </row>
        <row r="14016">
          <cell r="D14016" t="str">
            <v>MCX4121A-ACAT</v>
          </cell>
          <cell r="E14016" t="str">
            <v>MT2218425318</v>
          </cell>
        </row>
        <row r="14017">
          <cell r="D14017" t="str">
            <v>MCX4121A-ACAT</v>
          </cell>
          <cell r="E14017" t="str">
            <v>MT2218423920</v>
          </cell>
        </row>
        <row r="14018">
          <cell r="D14018" t="str">
            <v>MCX4121A-ACAT</v>
          </cell>
          <cell r="E14018" t="str">
            <v>MT2218423926</v>
          </cell>
        </row>
        <row r="14019">
          <cell r="D14019" t="str">
            <v>MCX4121A-ACAT</v>
          </cell>
          <cell r="E14019" t="str">
            <v>MT2218423956</v>
          </cell>
        </row>
        <row r="14020">
          <cell r="D14020" t="str">
            <v>MCX4121A-ACAT</v>
          </cell>
          <cell r="E14020" t="str">
            <v>MT2218423977</v>
          </cell>
        </row>
        <row r="14021">
          <cell r="D14021" t="str">
            <v>MCX4121A-ACAT</v>
          </cell>
          <cell r="E14021" t="str">
            <v>MT2218423476</v>
          </cell>
        </row>
        <row r="14022">
          <cell r="D14022" t="str">
            <v>MCX4121A-ACAT</v>
          </cell>
          <cell r="E14022" t="str">
            <v>MT2218416792</v>
          </cell>
        </row>
        <row r="14023">
          <cell r="D14023" t="str">
            <v>MCX4121A-ACAT</v>
          </cell>
          <cell r="E14023" t="str">
            <v>MT2218423549</v>
          </cell>
        </row>
        <row r="14024">
          <cell r="D14024" t="str">
            <v>MCX4121A-ACAT</v>
          </cell>
          <cell r="E14024" t="str">
            <v>MT2218424471</v>
          </cell>
        </row>
        <row r="14025">
          <cell r="D14025" t="str">
            <v>MCX4121A-ACAT</v>
          </cell>
          <cell r="E14025" t="str">
            <v>MT2218423589</v>
          </cell>
        </row>
        <row r="14026">
          <cell r="D14026" t="str">
            <v>MCX4121A-ACAT</v>
          </cell>
          <cell r="E14026" t="str">
            <v>MT2218423660</v>
          </cell>
        </row>
        <row r="14027">
          <cell r="D14027" t="str">
            <v>MCX4121A-ACAT</v>
          </cell>
          <cell r="E14027" t="str">
            <v>MT2218423604</v>
          </cell>
        </row>
        <row r="14028">
          <cell r="D14028" t="str">
            <v>MCX4121A-ACAT</v>
          </cell>
          <cell r="E14028" t="str">
            <v>MT2218423691</v>
          </cell>
        </row>
        <row r="14029">
          <cell r="D14029" t="str">
            <v>MCX4121A-ACAT</v>
          </cell>
          <cell r="E14029" t="str">
            <v>MT2218423719</v>
          </cell>
        </row>
        <row r="14030">
          <cell r="D14030" t="str">
            <v>MCX4121A-ACAT</v>
          </cell>
          <cell r="E14030" t="str">
            <v>MT2218423694</v>
          </cell>
        </row>
        <row r="14031">
          <cell r="D14031" t="str">
            <v>MCX4121A-ACAT</v>
          </cell>
          <cell r="E14031" t="str">
            <v>MT2218423505</v>
          </cell>
        </row>
        <row r="14032">
          <cell r="D14032" t="str">
            <v>MCX4121A-ACAT</v>
          </cell>
          <cell r="E14032" t="str">
            <v>MT2218423525</v>
          </cell>
        </row>
        <row r="14033">
          <cell r="D14033" t="str">
            <v>MCX4121A-ACAT</v>
          </cell>
          <cell r="E14033" t="str">
            <v>MT2218423596</v>
          </cell>
        </row>
        <row r="14034">
          <cell r="D14034" t="str">
            <v>MCX4121A-ACAT</v>
          </cell>
          <cell r="E14034" t="str">
            <v>MT2218423571</v>
          </cell>
        </row>
        <row r="14035">
          <cell r="D14035" t="str">
            <v>MCX4121A-ACAT</v>
          </cell>
          <cell r="E14035" t="str">
            <v>MT2218423630</v>
          </cell>
        </row>
        <row r="14036">
          <cell r="D14036" t="str">
            <v>MCX4121A-ACAT</v>
          </cell>
          <cell r="E14036" t="str">
            <v>MT2218423666</v>
          </cell>
        </row>
        <row r="14037">
          <cell r="D14037" t="str">
            <v>MCX4121A-ACAT</v>
          </cell>
          <cell r="E14037" t="str">
            <v>MT2218423690</v>
          </cell>
        </row>
        <row r="14038">
          <cell r="D14038" t="str">
            <v>MCX4121A-ACAT</v>
          </cell>
          <cell r="E14038" t="str">
            <v>MT2218423703</v>
          </cell>
        </row>
        <row r="14039">
          <cell r="D14039" t="str">
            <v>MCX4121A-ACAT</v>
          </cell>
          <cell r="E14039" t="str">
            <v>MT2218423699</v>
          </cell>
        </row>
        <row r="14040">
          <cell r="D14040" t="str">
            <v>MCX4121A-ACAT</v>
          </cell>
          <cell r="E14040" t="str">
            <v>MT2218423704</v>
          </cell>
        </row>
        <row r="14041">
          <cell r="D14041" t="str">
            <v>MCX4121A-ACAT</v>
          </cell>
          <cell r="E14041" t="str">
            <v>MT2218421467</v>
          </cell>
        </row>
        <row r="14042">
          <cell r="D14042" t="str">
            <v>MCX4121A-ACAT</v>
          </cell>
          <cell r="E14042" t="str">
            <v>MT2218421410</v>
          </cell>
        </row>
        <row r="14043">
          <cell r="D14043" t="str">
            <v>MCX4121A-ACAT</v>
          </cell>
          <cell r="E14043" t="str">
            <v>MT2218421507</v>
          </cell>
        </row>
        <row r="14044">
          <cell r="D14044" t="str">
            <v>MCX4121A-ACAT</v>
          </cell>
          <cell r="E14044" t="str">
            <v>MT2218421491</v>
          </cell>
        </row>
        <row r="14045">
          <cell r="D14045" t="str">
            <v>MCX4121A-ACAT</v>
          </cell>
          <cell r="E14045" t="str">
            <v>MT2218421509</v>
          </cell>
        </row>
        <row r="14046">
          <cell r="D14046" t="str">
            <v>MCX4121A-ACAT</v>
          </cell>
          <cell r="E14046" t="str">
            <v>MT2218421549</v>
          </cell>
        </row>
        <row r="14047">
          <cell r="D14047" t="str">
            <v>MCX4121A-ACAT</v>
          </cell>
          <cell r="E14047" t="str">
            <v>MT2218421556</v>
          </cell>
        </row>
        <row r="14048">
          <cell r="D14048" t="str">
            <v>MCX4121A-ACAT</v>
          </cell>
          <cell r="E14048" t="str">
            <v>MT2218421569</v>
          </cell>
        </row>
        <row r="14049">
          <cell r="D14049" t="str">
            <v>MCX4121A-ACAT</v>
          </cell>
          <cell r="E14049" t="str">
            <v>MT2218421602</v>
          </cell>
        </row>
        <row r="14050">
          <cell r="D14050" t="str">
            <v>MCX4121A-ACAT</v>
          </cell>
          <cell r="E14050" t="str">
            <v>MT2218421592</v>
          </cell>
        </row>
        <row r="14051">
          <cell r="D14051" t="str">
            <v>MCX4121A-ACAT</v>
          </cell>
          <cell r="E14051" t="str">
            <v>MT2218421438</v>
          </cell>
        </row>
        <row r="14052">
          <cell r="D14052" t="str">
            <v>MCX4121A-ACAT</v>
          </cell>
          <cell r="E14052" t="str">
            <v>MT2218421505</v>
          </cell>
        </row>
        <row r="14053">
          <cell r="D14053" t="str">
            <v>MCX4121A-ACAT</v>
          </cell>
          <cell r="E14053" t="str">
            <v>MT2218421469</v>
          </cell>
        </row>
        <row r="14054">
          <cell r="D14054" t="str">
            <v>MCX4121A-ACAT</v>
          </cell>
          <cell r="E14054" t="str">
            <v>MT2218421544</v>
          </cell>
        </row>
        <row r="14055">
          <cell r="D14055" t="str">
            <v>MCX4121A-ACAT</v>
          </cell>
          <cell r="E14055" t="str">
            <v>MT2218421546</v>
          </cell>
        </row>
        <row r="14056">
          <cell r="D14056" t="str">
            <v>MCX4121A-ACAT</v>
          </cell>
          <cell r="E14056" t="str">
            <v>MT2218421565</v>
          </cell>
        </row>
        <row r="14057">
          <cell r="D14057" t="str">
            <v>MCX4121A-ACAT</v>
          </cell>
          <cell r="E14057" t="str">
            <v>MT2218421585</v>
          </cell>
        </row>
        <row r="14058">
          <cell r="D14058" t="str">
            <v>MCX4121A-ACAT</v>
          </cell>
          <cell r="E14058" t="str">
            <v>MT2218421598</v>
          </cell>
        </row>
        <row r="14059">
          <cell r="D14059" t="str">
            <v>MCX4121A-ACAT</v>
          </cell>
          <cell r="E14059" t="str">
            <v>MT2218421614</v>
          </cell>
        </row>
        <row r="14060">
          <cell r="D14060" t="str">
            <v>MCX4121A-ACAT</v>
          </cell>
          <cell r="E14060" t="str">
            <v>MT2218421618</v>
          </cell>
        </row>
        <row r="14061">
          <cell r="D14061" t="str">
            <v>MCX4121A-ACAT</v>
          </cell>
          <cell r="E14061" t="str">
            <v>MT2217422980</v>
          </cell>
        </row>
        <row r="14062">
          <cell r="D14062" t="str">
            <v>MCX4121A-ACAT</v>
          </cell>
          <cell r="E14062" t="str">
            <v>MT2217423528</v>
          </cell>
        </row>
        <row r="14063">
          <cell r="D14063" t="str">
            <v>MCX4121A-ACAT</v>
          </cell>
          <cell r="E14063" t="str">
            <v>MT2217446562</v>
          </cell>
        </row>
        <row r="14064">
          <cell r="D14064" t="str">
            <v>MCX4121A-ACAT</v>
          </cell>
          <cell r="E14064" t="str">
            <v>MT2217422143</v>
          </cell>
        </row>
        <row r="14065">
          <cell r="D14065" t="str">
            <v>MCX4121A-ACAT</v>
          </cell>
          <cell r="E14065" t="str">
            <v>MT2217422072</v>
          </cell>
        </row>
        <row r="14066">
          <cell r="D14066" t="str">
            <v>MCX4121A-ACAT</v>
          </cell>
          <cell r="E14066" t="str">
            <v>MT2218422955</v>
          </cell>
        </row>
        <row r="14067">
          <cell r="D14067" t="str">
            <v>MCX4121A-ACAT</v>
          </cell>
          <cell r="E14067" t="str">
            <v>MT2218421201</v>
          </cell>
        </row>
        <row r="14068">
          <cell r="D14068" t="str">
            <v>MCX4121A-ACAT</v>
          </cell>
          <cell r="E14068" t="str">
            <v>MT2218422883</v>
          </cell>
        </row>
        <row r="14069">
          <cell r="D14069" t="str">
            <v>MCX4121A-ACAT</v>
          </cell>
          <cell r="E14069" t="str">
            <v>MT2218422990</v>
          </cell>
        </row>
        <row r="14070">
          <cell r="D14070" t="str">
            <v>MCX4121A-ACAT</v>
          </cell>
          <cell r="E14070" t="str">
            <v>MT2218421265</v>
          </cell>
        </row>
        <row r="14071">
          <cell r="D14071" t="str">
            <v>MCX4121A-ACAT</v>
          </cell>
          <cell r="E14071" t="str">
            <v>MT2217423070</v>
          </cell>
        </row>
        <row r="14072">
          <cell r="D14072" t="str">
            <v>MCX4121A-ACAT</v>
          </cell>
          <cell r="E14072" t="str">
            <v>MT2217448909</v>
          </cell>
        </row>
        <row r="14073">
          <cell r="D14073" t="str">
            <v>MCX4121A-ACAT</v>
          </cell>
          <cell r="E14073" t="str">
            <v>MT2217422780</v>
          </cell>
        </row>
        <row r="14074">
          <cell r="D14074" t="str">
            <v>MCX4121A-ACAT</v>
          </cell>
          <cell r="E14074" t="str">
            <v>MT2217422223</v>
          </cell>
        </row>
        <row r="14075">
          <cell r="D14075" t="str">
            <v>MCX4121A-ACAT</v>
          </cell>
          <cell r="E14075" t="str">
            <v>MT2217423006</v>
          </cell>
        </row>
        <row r="14076">
          <cell r="D14076" t="str">
            <v>MCX4121A-ACAT</v>
          </cell>
          <cell r="E14076" t="str">
            <v>MT2218422979</v>
          </cell>
        </row>
        <row r="14077">
          <cell r="D14077" t="str">
            <v>MCX4121A-ACAT</v>
          </cell>
          <cell r="E14077" t="str">
            <v>MT2218422891</v>
          </cell>
        </row>
        <row r="14078">
          <cell r="D14078" t="str">
            <v>MCX4121A-ACAT</v>
          </cell>
          <cell r="E14078" t="str">
            <v>MT2218422545</v>
          </cell>
        </row>
        <row r="14079">
          <cell r="D14079" t="str">
            <v>MCX4121A-ACAT</v>
          </cell>
          <cell r="E14079" t="str">
            <v>MT2218421241</v>
          </cell>
        </row>
        <row r="14080">
          <cell r="D14080" t="str">
            <v>MCX4121A-ACAT</v>
          </cell>
          <cell r="E14080" t="str">
            <v>MT2217422833</v>
          </cell>
        </row>
        <row r="14081">
          <cell r="D14081" t="str">
            <v>MCX4121A-ACAT</v>
          </cell>
          <cell r="E14081" t="str">
            <v>MT2218423723</v>
          </cell>
        </row>
        <row r="14082">
          <cell r="D14082" t="str">
            <v>MCX4121A-ACAT</v>
          </cell>
          <cell r="E14082" t="str">
            <v>MT2218423735</v>
          </cell>
        </row>
        <row r="14083">
          <cell r="D14083" t="str">
            <v>MCX4121A-ACAT</v>
          </cell>
          <cell r="E14083" t="str">
            <v>MT2218423759</v>
          </cell>
        </row>
        <row r="14084">
          <cell r="D14084" t="str">
            <v>MCX4121A-ACAT</v>
          </cell>
          <cell r="E14084" t="str">
            <v>MT2218423808</v>
          </cell>
        </row>
        <row r="14085">
          <cell r="D14085" t="str">
            <v>MCX4121A-ACAT</v>
          </cell>
          <cell r="E14085" t="str">
            <v>MT2218423780</v>
          </cell>
        </row>
        <row r="14086">
          <cell r="D14086" t="str">
            <v>MCX4121A-ACAT</v>
          </cell>
          <cell r="E14086" t="str">
            <v>MT2218423827</v>
          </cell>
        </row>
        <row r="14087">
          <cell r="D14087" t="str">
            <v>MCX4121A-ACAT</v>
          </cell>
          <cell r="E14087" t="str">
            <v>MT2218424634</v>
          </cell>
        </row>
        <row r="14088">
          <cell r="D14088" t="str">
            <v>MCX4121A-ACAT</v>
          </cell>
          <cell r="E14088" t="str">
            <v>MT2218422195</v>
          </cell>
        </row>
        <row r="14089">
          <cell r="D14089" t="str">
            <v>MCX4121A-ACAT</v>
          </cell>
          <cell r="E14089" t="str">
            <v>MT2218422206</v>
          </cell>
        </row>
        <row r="14090">
          <cell r="D14090" t="str">
            <v>MCX4121A-ACAT</v>
          </cell>
          <cell r="E14090" t="str">
            <v>MT2218422222</v>
          </cell>
        </row>
        <row r="14091">
          <cell r="D14091" t="str">
            <v>MCX4121A-ACAT</v>
          </cell>
          <cell r="E14091" t="str">
            <v>MT2218423748</v>
          </cell>
        </row>
        <row r="14092">
          <cell r="D14092" t="str">
            <v>MCX4121A-ACAT</v>
          </cell>
          <cell r="E14092" t="str">
            <v>MT2218423763</v>
          </cell>
        </row>
        <row r="14093">
          <cell r="D14093" t="str">
            <v>MCX4121A-ACAT</v>
          </cell>
          <cell r="E14093" t="str">
            <v>MT2218423779</v>
          </cell>
        </row>
        <row r="14094">
          <cell r="D14094" t="str">
            <v>MCX4121A-ACAT</v>
          </cell>
          <cell r="E14094" t="str">
            <v>MT2218423830</v>
          </cell>
        </row>
        <row r="14095">
          <cell r="D14095" t="str">
            <v>MCX4121A-ACAT</v>
          </cell>
          <cell r="E14095" t="str">
            <v>MT2218423841</v>
          </cell>
        </row>
        <row r="14096">
          <cell r="D14096" t="str">
            <v>MCX4121A-ACAT</v>
          </cell>
          <cell r="E14096" t="str">
            <v>MT2218423831</v>
          </cell>
        </row>
        <row r="14097">
          <cell r="D14097" t="str">
            <v>MCX4121A-ACAT</v>
          </cell>
          <cell r="E14097" t="str">
            <v>MT2218423859</v>
          </cell>
        </row>
        <row r="14098">
          <cell r="D14098" t="str">
            <v>MCX4121A-ACAT</v>
          </cell>
          <cell r="E14098" t="str">
            <v>MT2218423877</v>
          </cell>
        </row>
        <row r="14099">
          <cell r="D14099" t="str">
            <v>MCX4121A-ACAT</v>
          </cell>
          <cell r="E14099" t="str">
            <v>MT2218422202</v>
          </cell>
        </row>
        <row r="14100">
          <cell r="D14100" t="str">
            <v>MCX4121A-ACAT</v>
          </cell>
          <cell r="E14100" t="str">
            <v>MT2218422219</v>
          </cell>
        </row>
        <row r="14101">
          <cell r="D14101" t="str">
            <v>MCX4121A-ACAT</v>
          </cell>
          <cell r="E14101" t="str">
            <v>MT2218422769</v>
          </cell>
        </row>
        <row r="14102">
          <cell r="D14102" t="str">
            <v>MCX4121A-ACAT</v>
          </cell>
          <cell r="E14102" t="str">
            <v>MT2218423993</v>
          </cell>
        </row>
        <row r="14103">
          <cell r="D14103" t="str">
            <v>MCX4121A-ACAT</v>
          </cell>
          <cell r="E14103" t="str">
            <v>MT2218424206</v>
          </cell>
        </row>
        <row r="14104">
          <cell r="D14104" t="str">
            <v>MCX4121A-ACAT</v>
          </cell>
          <cell r="E14104" t="str">
            <v>MT2218424307</v>
          </cell>
        </row>
        <row r="14105">
          <cell r="D14105" t="str">
            <v>MCX4121A-ACAT</v>
          </cell>
          <cell r="E14105" t="str">
            <v>MT2218422861</v>
          </cell>
        </row>
        <row r="14106">
          <cell r="D14106" t="str">
            <v>MCX4121A-ACAT</v>
          </cell>
          <cell r="E14106" t="str">
            <v>MT2218422893</v>
          </cell>
        </row>
        <row r="14107">
          <cell r="D14107" t="str">
            <v>MCX4121A-ACAT</v>
          </cell>
          <cell r="E14107" t="str">
            <v>MT2218422877</v>
          </cell>
        </row>
        <row r="14108">
          <cell r="D14108" t="str">
            <v>MCX4121A-ACAT</v>
          </cell>
          <cell r="E14108" t="str">
            <v>MT2218422879</v>
          </cell>
        </row>
        <row r="14109">
          <cell r="D14109" t="str">
            <v>MCX4121A-ACAT</v>
          </cell>
          <cell r="E14109" t="str">
            <v>MT2218422906</v>
          </cell>
        </row>
        <row r="14110">
          <cell r="D14110" t="str">
            <v>MCX4121A-ACAT</v>
          </cell>
          <cell r="E14110" t="str">
            <v>MT2218422823</v>
          </cell>
        </row>
        <row r="14111">
          <cell r="D14111" t="str">
            <v>MCX4121A-ACAT</v>
          </cell>
          <cell r="E14111" t="str">
            <v>MT2218422831</v>
          </cell>
        </row>
        <row r="14112">
          <cell r="D14112" t="str">
            <v>MCX4121A-ACAT</v>
          </cell>
          <cell r="E14112" t="str">
            <v>MT2218422807</v>
          </cell>
        </row>
        <row r="14113">
          <cell r="D14113" t="str">
            <v>MCX4121A-ACAT</v>
          </cell>
          <cell r="E14113" t="str">
            <v>MT2218424953</v>
          </cell>
        </row>
        <row r="14114">
          <cell r="D14114" t="str">
            <v>MCX4121A-ACAT</v>
          </cell>
          <cell r="E14114" t="str">
            <v>MT2218422834</v>
          </cell>
        </row>
        <row r="14115">
          <cell r="D14115" t="str">
            <v>MCX4121A-ACAT</v>
          </cell>
          <cell r="E14115" t="str">
            <v>MT2218422844</v>
          </cell>
        </row>
        <row r="14116">
          <cell r="D14116" t="str">
            <v>MCX4121A-ACAT</v>
          </cell>
          <cell r="E14116" t="str">
            <v>MT2218422842</v>
          </cell>
        </row>
        <row r="14117">
          <cell r="D14117" t="str">
            <v>MCX4121A-ACAT</v>
          </cell>
          <cell r="E14117" t="str">
            <v>MT2218422898</v>
          </cell>
        </row>
        <row r="14118">
          <cell r="D14118" t="str">
            <v>MCX4121A-ACAT</v>
          </cell>
          <cell r="E14118" t="str">
            <v>MT2218422914</v>
          </cell>
        </row>
        <row r="14119">
          <cell r="D14119" t="str">
            <v>MCX4121A-ACAT</v>
          </cell>
          <cell r="E14119" t="str">
            <v>MT2218424317</v>
          </cell>
        </row>
        <row r="14120">
          <cell r="D14120" t="str">
            <v>MCX4121A-ACAT</v>
          </cell>
          <cell r="E14120" t="str">
            <v>MT2218422954</v>
          </cell>
        </row>
        <row r="14121">
          <cell r="D14121" t="str">
            <v>MCX4121A-ACAT</v>
          </cell>
          <cell r="E14121" t="str">
            <v>MT2218422662</v>
          </cell>
        </row>
        <row r="14122">
          <cell r="D14122" t="str">
            <v>MCX4121A-ACAT</v>
          </cell>
          <cell r="E14122" t="str">
            <v>MT2218422550</v>
          </cell>
        </row>
        <row r="14123">
          <cell r="D14123" t="str">
            <v>MCX4121A-ACAT</v>
          </cell>
          <cell r="E14123" t="str">
            <v>MT2218418828</v>
          </cell>
        </row>
        <row r="14124">
          <cell r="D14124" t="str">
            <v>MCX4121A-ACAT</v>
          </cell>
          <cell r="E14124" t="str">
            <v>MT2218421608</v>
          </cell>
        </row>
        <row r="14125">
          <cell r="D14125" t="str">
            <v>MCX4121A-ACAT</v>
          </cell>
          <cell r="E14125" t="str">
            <v>MT2218422447</v>
          </cell>
        </row>
        <row r="14126">
          <cell r="D14126" t="str">
            <v>MCX4121A-ACAT</v>
          </cell>
          <cell r="E14126" t="str">
            <v>MT2218422561</v>
          </cell>
        </row>
        <row r="14127">
          <cell r="D14127" t="str">
            <v>MCX4121A-ACAT</v>
          </cell>
          <cell r="E14127" t="str">
            <v>MT2218419033</v>
          </cell>
        </row>
        <row r="14128">
          <cell r="D14128" t="str">
            <v>MCX4121A-ACAT</v>
          </cell>
          <cell r="E14128" t="str">
            <v>MT2218419052</v>
          </cell>
        </row>
        <row r="14129">
          <cell r="D14129" t="str">
            <v>MCX4121A-ACAT</v>
          </cell>
          <cell r="E14129" t="str">
            <v>MT2218422674</v>
          </cell>
        </row>
        <row r="14130">
          <cell r="D14130" t="str">
            <v>MCX4121A-ACAT</v>
          </cell>
          <cell r="E14130" t="str">
            <v>MT2218419026</v>
          </cell>
        </row>
        <row r="14131">
          <cell r="D14131" t="str">
            <v>MCX4121A-ACAT</v>
          </cell>
          <cell r="E14131" t="str">
            <v>MT2218422554</v>
          </cell>
        </row>
        <row r="14132">
          <cell r="D14132" t="str">
            <v>MCX4121A-ACAT</v>
          </cell>
          <cell r="E14132" t="str">
            <v>MT2218420391</v>
          </cell>
        </row>
        <row r="14133">
          <cell r="D14133" t="str">
            <v>MCX4121A-ACAT</v>
          </cell>
          <cell r="E14133" t="str">
            <v>MT2218421209</v>
          </cell>
        </row>
        <row r="14134">
          <cell r="D14134" t="str">
            <v>MCX4121A-ACAT</v>
          </cell>
          <cell r="E14134" t="str">
            <v>MT2218418980</v>
          </cell>
        </row>
        <row r="14135">
          <cell r="D14135" t="str">
            <v>MCX4121A-ACAT</v>
          </cell>
          <cell r="E14135" t="str">
            <v>MT2218422431</v>
          </cell>
        </row>
        <row r="14136">
          <cell r="D14136" t="str">
            <v>MCX4121A-ACAT</v>
          </cell>
          <cell r="E14136" t="str">
            <v>MT2218422600</v>
          </cell>
        </row>
        <row r="14137">
          <cell r="D14137" t="str">
            <v>MCX4121A-ACAT</v>
          </cell>
          <cell r="E14137" t="str">
            <v>MT2218422516</v>
          </cell>
        </row>
        <row r="14138">
          <cell r="D14138" t="str">
            <v>MCX4121A-ACAT</v>
          </cell>
          <cell r="E14138" t="str">
            <v>MT2218422655</v>
          </cell>
        </row>
        <row r="14139">
          <cell r="D14139" t="str">
            <v>MCX4121A-ACAT</v>
          </cell>
          <cell r="E14139" t="str">
            <v>MT2218419027</v>
          </cell>
        </row>
        <row r="14140">
          <cell r="D14140" t="str">
            <v>MCX4121A-ACAT</v>
          </cell>
          <cell r="E14140" t="str">
            <v>MT2218422467</v>
          </cell>
        </row>
        <row r="14141">
          <cell r="D14141" t="str">
            <v>MCX4121A-ACAT</v>
          </cell>
          <cell r="E14141" t="str">
            <v>MT2218417218</v>
          </cell>
        </row>
        <row r="14142">
          <cell r="D14142" t="str">
            <v>MCX4121A-ACAT</v>
          </cell>
          <cell r="E14142" t="str">
            <v>MT2218417192</v>
          </cell>
        </row>
        <row r="14143">
          <cell r="D14143" t="str">
            <v>MCX4121A-ACAT</v>
          </cell>
          <cell r="E14143" t="str">
            <v>MT2218417257</v>
          </cell>
        </row>
        <row r="14144">
          <cell r="D14144" t="str">
            <v>MCX4121A-ACAT</v>
          </cell>
          <cell r="E14144" t="str">
            <v>MT2218417245</v>
          </cell>
        </row>
        <row r="14145">
          <cell r="D14145" t="str">
            <v>MCX4121A-ACAT</v>
          </cell>
          <cell r="E14145" t="str">
            <v>MT2218417285</v>
          </cell>
        </row>
        <row r="14146">
          <cell r="D14146" t="str">
            <v>MCX4121A-ACAT</v>
          </cell>
          <cell r="E14146" t="str">
            <v>MT2218417345</v>
          </cell>
        </row>
        <row r="14147">
          <cell r="D14147" t="str">
            <v>MCX4121A-ACAT</v>
          </cell>
          <cell r="E14147" t="str">
            <v>MT2218417289</v>
          </cell>
        </row>
        <row r="14148">
          <cell r="D14148" t="str">
            <v>MCX4121A-ACAT</v>
          </cell>
          <cell r="E14148" t="str">
            <v>MT2218417367</v>
          </cell>
        </row>
        <row r="14149">
          <cell r="D14149" t="str">
            <v>MCX4121A-ACAT</v>
          </cell>
          <cell r="E14149" t="str">
            <v>MT2218417408</v>
          </cell>
        </row>
        <row r="14150">
          <cell r="D14150" t="str">
            <v>MCX4121A-ACAT</v>
          </cell>
          <cell r="E14150" t="str">
            <v>MT2218417437</v>
          </cell>
        </row>
        <row r="14151">
          <cell r="D14151" t="str">
            <v>MCX4121A-ACAT</v>
          </cell>
          <cell r="E14151" t="str">
            <v>MT2218417211</v>
          </cell>
        </row>
        <row r="14152">
          <cell r="D14152" t="str">
            <v>MCX4121A-ACAT</v>
          </cell>
          <cell r="E14152" t="str">
            <v>MT2218417223</v>
          </cell>
        </row>
        <row r="14153">
          <cell r="D14153" t="str">
            <v>MCX4121A-ACAT</v>
          </cell>
          <cell r="E14153" t="str">
            <v>MT2218417055</v>
          </cell>
        </row>
        <row r="14154">
          <cell r="D14154" t="str">
            <v>MCX4121A-ACAT</v>
          </cell>
          <cell r="E14154" t="str">
            <v>MT2218417275</v>
          </cell>
        </row>
        <row r="14155">
          <cell r="D14155" t="str">
            <v>MCX4121A-ACAT</v>
          </cell>
          <cell r="E14155" t="str">
            <v>MT2218417290</v>
          </cell>
        </row>
        <row r="14156">
          <cell r="D14156" t="str">
            <v>MCX4121A-ACAT</v>
          </cell>
          <cell r="E14156" t="str">
            <v>MT2218417299</v>
          </cell>
        </row>
        <row r="14157">
          <cell r="D14157" t="str">
            <v>MCX4121A-ACAT</v>
          </cell>
          <cell r="E14157" t="str">
            <v>MT2218417322</v>
          </cell>
        </row>
        <row r="14158">
          <cell r="D14158" t="str">
            <v>MCX4121A-ACAT</v>
          </cell>
          <cell r="E14158" t="str">
            <v>MT2218417372</v>
          </cell>
        </row>
        <row r="14159">
          <cell r="D14159" t="str">
            <v>MCX4121A-ACAT</v>
          </cell>
          <cell r="E14159" t="str">
            <v>MT2218417380</v>
          </cell>
        </row>
        <row r="14160">
          <cell r="D14160" t="str">
            <v>MCX4121A-ACAT</v>
          </cell>
          <cell r="E14160" t="str">
            <v>MT2218417426</v>
          </cell>
        </row>
        <row r="14161">
          <cell r="D14161" t="str">
            <v>MCX4121A-ACAT</v>
          </cell>
          <cell r="E14161" t="str">
            <v>MT2218423282</v>
          </cell>
        </row>
        <row r="14162">
          <cell r="D14162" t="str">
            <v>MCX4121A-ACAT</v>
          </cell>
          <cell r="E14162" t="str">
            <v>MT2218425402</v>
          </cell>
        </row>
        <row r="14163">
          <cell r="D14163" t="str">
            <v>MCX4121A-ACAT</v>
          </cell>
          <cell r="E14163" t="str">
            <v>MT2218423372</v>
          </cell>
        </row>
        <row r="14164">
          <cell r="D14164" t="str">
            <v>MCX4121A-ACAT</v>
          </cell>
          <cell r="E14164" t="str">
            <v>MT2218424916</v>
          </cell>
        </row>
        <row r="14165">
          <cell r="D14165" t="str">
            <v>MCX4121A-ACAT</v>
          </cell>
          <cell r="E14165" t="str">
            <v>MT2218423400</v>
          </cell>
        </row>
        <row r="14166">
          <cell r="D14166" t="str">
            <v>MCX4121A-ACAT</v>
          </cell>
          <cell r="E14166" t="str">
            <v>MT2218423443</v>
          </cell>
        </row>
        <row r="14167">
          <cell r="D14167" t="str">
            <v>MCX4121A-ACAT</v>
          </cell>
          <cell r="E14167" t="str">
            <v>MT2218425369</v>
          </cell>
        </row>
        <row r="14168">
          <cell r="D14168" t="str">
            <v>MCX4121A-ACAT</v>
          </cell>
          <cell r="E14168" t="str">
            <v>MT2218423366</v>
          </cell>
        </row>
        <row r="14169">
          <cell r="D14169" t="str">
            <v>MCX4121A-ACAT</v>
          </cell>
          <cell r="E14169" t="str">
            <v>MT2218416533</v>
          </cell>
        </row>
        <row r="14170">
          <cell r="D14170" t="str">
            <v>MCX4121A-ACAT</v>
          </cell>
          <cell r="E14170" t="str">
            <v>MT2218423557</v>
          </cell>
        </row>
        <row r="14171">
          <cell r="D14171" t="str">
            <v>MCX4121A-ACAT</v>
          </cell>
          <cell r="E14171" t="str">
            <v>MT2218423337</v>
          </cell>
        </row>
        <row r="14172">
          <cell r="D14172" t="str">
            <v>MCX4121A-ACAT</v>
          </cell>
          <cell r="E14172" t="str">
            <v>MT2218417838</v>
          </cell>
        </row>
        <row r="14173">
          <cell r="D14173" t="str">
            <v>MCX4121A-ACAT</v>
          </cell>
          <cell r="E14173" t="str">
            <v>MT2218423305</v>
          </cell>
        </row>
        <row r="14174">
          <cell r="D14174" t="str">
            <v>MCX4121A-ACAT</v>
          </cell>
          <cell r="E14174" t="str">
            <v>MT2218423430</v>
          </cell>
        </row>
        <row r="14175">
          <cell r="D14175" t="str">
            <v>MCX4121A-ACAT</v>
          </cell>
          <cell r="E14175" t="str">
            <v>MT2218418008</v>
          </cell>
        </row>
        <row r="14176">
          <cell r="D14176" t="str">
            <v>MCX4121A-ACAT</v>
          </cell>
          <cell r="E14176" t="str">
            <v>MT2218416430</v>
          </cell>
        </row>
        <row r="14177">
          <cell r="D14177" t="str">
            <v>MCX4121A-ACAT</v>
          </cell>
          <cell r="E14177" t="str">
            <v>MT2218423520</v>
          </cell>
        </row>
        <row r="14178">
          <cell r="D14178" t="str">
            <v>MCX4121A-ACAT</v>
          </cell>
          <cell r="E14178" t="str">
            <v>MT2218423540</v>
          </cell>
        </row>
        <row r="14179">
          <cell r="D14179" t="str">
            <v>MCX4121A-ACAT</v>
          </cell>
          <cell r="E14179" t="str">
            <v>MT2218423351</v>
          </cell>
        </row>
        <row r="14180">
          <cell r="D14180" t="str">
            <v>MCX4121A-ACAT</v>
          </cell>
          <cell r="E14180" t="str">
            <v>MT2218416485</v>
          </cell>
        </row>
        <row r="14181">
          <cell r="D14181" t="str">
            <v>MCX4121A-ACAT</v>
          </cell>
          <cell r="E14181" t="str">
            <v>MT2218421758</v>
          </cell>
        </row>
        <row r="14182">
          <cell r="D14182" t="str">
            <v>MCX4121A-ACAT</v>
          </cell>
          <cell r="E14182" t="str">
            <v>MT2218421778</v>
          </cell>
        </row>
        <row r="14183">
          <cell r="D14183" t="str">
            <v>MCX4121A-ACAT</v>
          </cell>
          <cell r="E14183" t="str">
            <v>MT2218421818</v>
          </cell>
        </row>
        <row r="14184">
          <cell r="D14184" t="str">
            <v>MCX4121A-ACAT</v>
          </cell>
          <cell r="E14184" t="str">
            <v>MT2218421764</v>
          </cell>
        </row>
        <row r="14185">
          <cell r="D14185" t="str">
            <v>MCX4121A-ACAT</v>
          </cell>
          <cell r="E14185" t="str">
            <v>MT2218421851</v>
          </cell>
        </row>
        <row r="14186">
          <cell r="D14186" t="str">
            <v>MCX4121A-ACAT</v>
          </cell>
          <cell r="E14186" t="str">
            <v>MT2218421854</v>
          </cell>
        </row>
        <row r="14187">
          <cell r="D14187" t="str">
            <v>MCX4121A-ACAT</v>
          </cell>
          <cell r="E14187" t="str">
            <v>MT2218422539</v>
          </cell>
        </row>
        <row r="14188">
          <cell r="D14188" t="str">
            <v>MCX4121A-ACAT</v>
          </cell>
          <cell r="E14188" t="str">
            <v>MT2218421830</v>
          </cell>
        </row>
        <row r="14189">
          <cell r="D14189" t="str">
            <v>MCX4121A-ACAT</v>
          </cell>
          <cell r="E14189" t="str">
            <v>MT2218421554</v>
          </cell>
        </row>
        <row r="14190">
          <cell r="D14190" t="str">
            <v>MCX4121A-ACAT</v>
          </cell>
          <cell r="E14190" t="str">
            <v>MT2218422619</v>
          </cell>
        </row>
        <row r="14191">
          <cell r="D14191" t="str">
            <v>MCX4121A-ACAT</v>
          </cell>
          <cell r="E14191" t="str">
            <v>MT2218421785</v>
          </cell>
        </row>
        <row r="14192">
          <cell r="D14192" t="str">
            <v>MCX4121A-ACAT</v>
          </cell>
          <cell r="E14192" t="str">
            <v>MT2218421606</v>
          </cell>
        </row>
        <row r="14193">
          <cell r="D14193" t="str">
            <v>MCX4121A-ACAT</v>
          </cell>
          <cell r="E14193" t="str">
            <v>MT2218421769</v>
          </cell>
        </row>
        <row r="14194">
          <cell r="D14194" t="str">
            <v>MCX4121A-ACAT</v>
          </cell>
          <cell r="E14194" t="str">
            <v>MT2218421874</v>
          </cell>
        </row>
        <row r="14195">
          <cell r="D14195" t="str">
            <v>MCX4121A-ACAT</v>
          </cell>
          <cell r="E14195" t="str">
            <v>MT2218421901</v>
          </cell>
        </row>
        <row r="14196">
          <cell r="D14196" t="str">
            <v>MCX4121A-ACAT</v>
          </cell>
          <cell r="E14196" t="str">
            <v>MT2218421815</v>
          </cell>
        </row>
        <row r="14197">
          <cell r="D14197" t="str">
            <v>MCX4121A-ACAT</v>
          </cell>
          <cell r="E14197" t="str">
            <v>MT2218422646</v>
          </cell>
        </row>
        <row r="14198">
          <cell r="D14198" t="str">
            <v>MCX4121A-ACAT</v>
          </cell>
          <cell r="E14198" t="str">
            <v>MT2218421853</v>
          </cell>
        </row>
        <row r="14199">
          <cell r="D14199" t="str">
            <v>MCX4121A-ACAT</v>
          </cell>
          <cell r="E14199" t="str">
            <v>MT2218421545</v>
          </cell>
        </row>
        <row r="14200">
          <cell r="D14200" t="str">
            <v>MCX4121A-ACAT</v>
          </cell>
          <cell r="E14200" t="str">
            <v>MT2218422531</v>
          </cell>
        </row>
        <row r="14201">
          <cell r="D14201" t="str">
            <v>MCX4121A-ACAT</v>
          </cell>
          <cell r="E14201" t="str">
            <v>MT2218424740</v>
          </cell>
        </row>
        <row r="14202">
          <cell r="D14202" t="str">
            <v>MCX4121A-ACAT</v>
          </cell>
          <cell r="E14202" t="str">
            <v>MT2218424992</v>
          </cell>
        </row>
        <row r="14203">
          <cell r="D14203" t="str">
            <v>MCX4121A-ACAT</v>
          </cell>
          <cell r="E14203" t="str">
            <v>MT2218418028</v>
          </cell>
        </row>
        <row r="14204">
          <cell r="D14204" t="str">
            <v>MCX4121A-ACAT</v>
          </cell>
          <cell r="E14204" t="str">
            <v>MT2218418045</v>
          </cell>
        </row>
        <row r="14205">
          <cell r="D14205" t="str">
            <v>MCX4121A-ACAT</v>
          </cell>
          <cell r="E14205" t="str">
            <v>MT2218424932</v>
          </cell>
        </row>
        <row r="14206">
          <cell r="D14206" t="str">
            <v>MCX4121A-ACAT</v>
          </cell>
          <cell r="E14206" t="str">
            <v>MT2218418074</v>
          </cell>
        </row>
        <row r="14207">
          <cell r="D14207" t="str">
            <v>MCX4121A-ACAT</v>
          </cell>
          <cell r="E14207" t="str">
            <v>MT2218418039</v>
          </cell>
        </row>
        <row r="14208">
          <cell r="D14208" t="str">
            <v>MCX4121A-ACAT</v>
          </cell>
          <cell r="E14208" t="str">
            <v>MT2218418223</v>
          </cell>
        </row>
        <row r="14209">
          <cell r="D14209" t="str">
            <v>MCX4121A-ACAT</v>
          </cell>
          <cell r="E14209" t="str">
            <v>MT2218418288</v>
          </cell>
        </row>
        <row r="14210">
          <cell r="D14210" t="str">
            <v>MCX4121A-ACAT</v>
          </cell>
          <cell r="E14210" t="str">
            <v>MT2218418213</v>
          </cell>
        </row>
        <row r="14211">
          <cell r="D14211" t="str">
            <v>MCX4121A-ACAT</v>
          </cell>
          <cell r="E14211" t="str">
            <v>MT2218424913</v>
          </cell>
        </row>
        <row r="14212">
          <cell r="D14212" t="str">
            <v>MCX4121A-ACAT</v>
          </cell>
          <cell r="E14212" t="str">
            <v>MT2218425236</v>
          </cell>
        </row>
        <row r="14213">
          <cell r="D14213" t="str">
            <v>MCX4121A-ACAT</v>
          </cell>
          <cell r="E14213" t="str">
            <v>MT2218417308</v>
          </cell>
        </row>
        <row r="14214">
          <cell r="D14214" t="str">
            <v>MCX4121A-ACAT</v>
          </cell>
          <cell r="E14214" t="str">
            <v>MT2218417278</v>
          </cell>
        </row>
        <row r="14215">
          <cell r="D14215" t="str">
            <v>MCX4121A-ACAT</v>
          </cell>
          <cell r="E14215" t="str">
            <v>MT2218418111</v>
          </cell>
        </row>
        <row r="14216">
          <cell r="D14216" t="str">
            <v>MCX4121A-ACAT</v>
          </cell>
          <cell r="E14216" t="str">
            <v>MT2218418060</v>
          </cell>
        </row>
        <row r="14217">
          <cell r="D14217" t="str">
            <v>MCX4121A-ACAT</v>
          </cell>
          <cell r="E14217" t="str">
            <v>MT2218418231</v>
          </cell>
        </row>
        <row r="14218">
          <cell r="D14218" t="str">
            <v>MCX4121A-ACAT</v>
          </cell>
          <cell r="E14218" t="str">
            <v>MT2218418302</v>
          </cell>
        </row>
        <row r="14219">
          <cell r="D14219" t="str">
            <v>MCX4121A-ACAT</v>
          </cell>
          <cell r="E14219" t="str">
            <v>MT2218425211</v>
          </cell>
        </row>
        <row r="14220">
          <cell r="D14220" t="str">
            <v>MCX4121A-ACAT</v>
          </cell>
          <cell r="E14220" t="str">
            <v>MT2218418318</v>
          </cell>
        </row>
        <row r="14221">
          <cell r="D14221" t="str">
            <v>MCX4121A-ACAT</v>
          </cell>
          <cell r="E14221" t="str">
            <v>MT2218424368</v>
          </cell>
        </row>
        <row r="14222">
          <cell r="D14222" t="str">
            <v>MCX4121A-ACAT</v>
          </cell>
          <cell r="E14222" t="str">
            <v>MT2218420245</v>
          </cell>
        </row>
        <row r="14223">
          <cell r="D14223" t="str">
            <v>MCX4121A-ACAT</v>
          </cell>
          <cell r="E14223" t="str">
            <v>MT2218417783</v>
          </cell>
        </row>
        <row r="14224">
          <cell r="D14224" t="str">
            <v>MCX4121A-ACAT</v>
          </cell>
          <cell r="E14224" t="str">
            <v>MT2218417754</v>
          </cell>
        </row>
        <row r="14225">
          <cell r="D14225" t="str">
            <v>MCX4121A-ACAT</v>
          </cell>
          <cell r="E14225" t="str">
            <v>MT2218420414</v>
          </cell>
        </row>
        <row r="14226">
          <cell r="D14226" t="str">
            <v>MCX4121A-ACAT</v>
          </cell>
          <cell r="E14226" t="str">
            <v>MT2218417862</v>
          </cell>
        </row>
        <row r="14227">
          <cell r="D14227" t="str">
            <v>MCX4121A-ACAT</v>
          </cell>
          <cell r="E14227" t="str">
            <v>MT2218417716</v>
          </cell>
        </row>
        <row r="14228">
          <cell r="D14228" t="str">
            <v>MCX4121A-ACAT</v>
          </cell>
          <cell r="E14228" t="str">
            <v>MT2218424093</v>
          </cell>
        </row>
        <row r="14229">
          <cell r="D14229" t="str">
            <v>MCX4121A-ACAT</v>
          </cell>
          <cell r="E14229" t="str">
            <v>MT2218420271</v>
          </cell>
        </row>
        <row r="14230">
          <cell r="D14230" t="str">
            <v>MCX4121A-ACAT</v>
          </cell>
          <cell r="E14230" t="str">
            <v>MT2218420027</v>
          </cell>
        </row>
        <row r="14231">
          <cell r="D14231" t="str">
            <v>MCX4121A-ACAT</v>
          </cell>
          <cell r="E14231" t="str">
            <v>MT2218420279</v>
          </cell>
        </row>
        <row r="14232">
          <cell r="D14232" t="str">
            <v>MCX4121A-ACAT</v>
          </cell>
          <cell r="E14232" t="str">
            <v>MT2218417743</v>
          </cell>
        </row>
        <row r="14233">
          <cell r="D14233" t="str">
            <v>MCX4121A-ACAT</v>
          </cell>
          <cell r="E14233" t="str">
            <v>MT2218417512</v>
          </cell>
        </row>
        <row r="14234">
          <cell r="D14234" t="str">
            <v>MCX4121A-ACAT</v>
          </cell>
          <cell r="E14234" t="str">
            <v>MT2218417840</v>
          </cell>
        </row>
        <row r="14235">
          <cell r="D14235" t="str">
            <v>MCX4121A-ACAT</v>
          </cell>
          <cell r="E14235" t="str">
            <v>MT2218420114</v>
          </cell>
        </row>
        <row r="14236">
          <cell r="D14236" t="str">
            <v>MCX4121A-ACAT</v>
          </cell>
          <cell r="E14236" t="str">
            <v>MT2218417519</v>
          </cell>
        </row>
        <row r="14237">
          <cell r="D14237" t="str">
            <v>MCX4121A-ACAT</v>
          </cell>
          <cell r="E14237" t="str">
            <v>MT2218420075</v>
          </cell>
        </row>
        <row r="14238">
          <cell r="D14238" t="str">
            <v>MCX4121A-ACAT</v>
          </cell>
          <cell r="E14238" t="str">
            <v>MT2218422880</v>
          </cell>
        </row>
        <row r="14239">
          <cell r="D14239" t="str">
            <v>MCX4121A-ACAT</v>
          </cell>
          <cell r="E14239" t="str">
            <v>MT2218420178</v>
          </cell>
        </row>
        <row r="14240">
          <cell r="D14240" t="str">
            <v>MCX4121A-ACAT</v>
          </cell>
          <cell r="E14240" t="str">
            <v>MT2218416427</v>
          </cell>
        </row>
        <row r="14241">
          <cell r="D14241" t="str">
            <v>MCX4121A-ACAT</v>
          </cell>
          <cell r="E14241" t="str">
            <v>MT2217454592</v>
          </cell>
        </row>
        <row r="14242">
          <cell r="D14242" t="str">
            <v>MCX4121A-ACAT</v>
          </cell>
          <cell r="E14242" t="str">
            <v>MT2217426430</v>
          </cell>
        </row>
        <row r="14243">
          <cell r="D14243" t="str">
            <v>MCX4121A-ACAT</v>
          </cell>
          <cell r="E14243" t="str">
            <v>MT2217453094</v>
          </cell>
        </row>
        <row r="14244">
          <cell r="D14244" t="str">
            <v>MCX4121A-ACAT</v>
          </cell>
          <cell r="E14244" t="str">
            <v>MT2217466033</v>
          </cell>
        </row>
        <row r="14245">
          <cell r="D14245" t="str">
            <v>MCX4121A-ACAT</v>
          </cell>
          <cell r="E14245" t="str">
            <v>MT2217454435</v>
          </cell>
        </row>
        <row r="14246">
          <cell r="D14246" t="str">
            <v>MCX4121A-ACAT</v>
          </cell>
          <cell r="E14246" t="str">
            <v>MT2217463974</v>
          </cell>
        </row>
        <row r="14247">
          <cell r="D14247" t="str">
            <v>MCX4121A-ACAT</v>
          </cell>
          <cell r="E14247" t="str">
            <v>MT2217468674</v>
          </cell>
        </row>
        <row r="14248">
          <cell r="D14248" t="str">
            <v>MCX4121A-ACAT</v>
          </cell>
          <cell r="E14248" t="str">
            <v>MT2217468267</v>
          </cell>
        </row>
        <row r="14249">
          <cell r="D14249" t="str">
            <v>MCX4121A-ACAT</v>
          </cell>
          <cell r="E14249" t="str">
            <v>MT2217441834</v>
          </cell>
        </row>
        <row r="14250">
          <cell r="D14250" t="str">
            <v>MCX4121A-ACAT</v>
          </cell>
          <cell r="E14250" t="str">
            <v>MT2217450290</v>
          </cell>
        </row>
        <row r="14251">
          <cell r="D14251" t="str">
            <v>MCX4121A-ACAT</v>
          </cell>
          <cell r="E14251" t="str">
            <v>MT2217453808</v>
          </cell>
        </row>
        <row r="14252">
          <cell r="D14252" t="str">
            <v>MCX4121A-ACAT</v>
          </cell>
          <cell r="E14252" t="str">
            <v>MT2217453584</v>
          </cell>
        </row>
        <row r="14253">
          <cell r="D14253" t="str">
            <v>MCX4121A-ACAT</v>
          </cell>
          <cell r="E14253" t="str">
            <v>MT2217463045</v>
          </cell>
        </row>
        <row r="14254">
          <cell r="D14254" t="str">
            <v>MCX4121A-ACAT</v>
          </cell>
          <cell r="E14254" t="str">
            <v>MT2218400569</v>
          </cell>
        </row>
        <row r="14255">
          <cell r="D14255" t="str">
            <v>MCX4121A-ACAT</v>
          </cell>
          <cell r="E14255" t="str">
            <v>MT2217453450</v>
          </cell>
        </row>
        <row r="14256">
          <cell r="D14256" t="str">
            <v>MCX4121A-ACAT</v>
          </cell>
          <cell r="E14256" t="str">
            <v>MT2217469055</v>
          </cell>
        </row>
        <row r="14257">
          <cell r="D14257" t="str">
            <v>MCX4121A-ACAT</v>
          </cell>
          <cell r="E14257" t="str">
            <v>MT2217457046</v>
          </cell>
        </row>
        <row r="14258">
          <cell r="D14258" t="str">
            <v>MCX4121A-ACAT</v>
          </cell>
          <cell r="E14258" t="str">
            <v>MT2217422692</v>
          </cell>
        </row>
        <row r="14259">
          <cell r="D14259" t="str">
            <v>MCX4121A-ACAT</v>
          </cell>
          <cell r="E14259" t="str">
            <v>MT2217444395</v>
          </cell>
        </row>
        <row r="14260">
          <cell r="D14260" t="str">
            <v>MCX4121A-ACAT</v>
          </cell>
          <cell r="E14260" t="str">
            <v>MT2217468787</v>
          </cell>
        </row>
        <row r="14261">
          <cell r="D14261" t="str">
            <v>MCX4121A-ACAT</v>
          </cell>
          <cell r="E14261" t="str">
            <v>MT2218420869</v>
          </cell>
        </row>
        <row r="14262">
          <cell r="D14262" t="str">
            <v>MCX4121A-ACAT</v>
          </cell>
          <cell r="E14262" t="str">
            <v>MT2218420906</v>
          </cell>
        </row>
        <row r="14263">
          <cell r="D14263" t="str">
            <v>MCX4121A-ACAT</v>
          </cell>
          <cell r="E14263" t="str">
            <v>MT2218421119</v>
          </cell>
        </row>
        <row r="14264">
          <cell r="D14264" t="str">
            <v>MCX4121A-ACAT</v>
          </cell>
          <cell r="E14264" t="str">
            <v>MT2218420413</v>
          </cell>
        </row>
        <row r="14265">
          <cell r="D14265" t="str">
            <v>MCX4121A-ACAT</v>
          </cell>
          <cell r="E14265" t="str">
            <v>MT2218421274</v>
          </cell>
        </row>
        <row r="14266">
          <cell r="D14266" t="str">
            <v>MCX4121A-ACAT</v>
          </cell>
          <cell r="E14266" t="str">
            <v>MT2218421495</v>
          </cell>
        </row>
        <row r="14267">
          <cell r="D14267" t="str">
            <v>MCX4121A-ACAT</v>
          </cell>
          <cell r="E14267" t="str">
            <v>MT2218421384</v>
          </cell>
        </row>
        <row r="14268">
          <cell r="D14268" t="str">
            <v>MCX4121A-ACAT</v>
          </cell>
          <cell r="E14268" t="str">
            <v>MT2218421499</v>
          </cell>
        </row>
        <row r="14269">
          <cell r="D14269" t="str">
            <v>MCX4121A-ACAT</v>
          </cell>
          <cell r="E14269" t="str">
            <v>MT2218420829</v>
          </cell>
        </row>
        <row r="14270">
          <cell r="D14270" t="str">
            <v>MCX4121A-ACAT</v>
          </cell>
          <cell r="E14270" t="str">
            <v>MT2218421156</v>
          </cell>
        </row>
        <row r="14271">
          <cell r="D14271" t="str">
            <v>MCX4121A-ACAT</v>
          </cell>
          <cell r="E14271" t="str">
            <v>MT2218421553</v>
          </cell>
        </row>
        <row r="14272">
          <cell r="D14272" t="str">
            <v>MCX4121A-ACAT</v>
          </cell>
          <cell r="E14272" t="str">
            <v>MT2218421259</v>
          </cell>
        </row>
        <row r="14273">
          <cell r="D14273" t="str">
            <v>MCX4121A-ACAT</v>
          </cell>
          <cell r="E14273" t="str">
            <v>MT2218420884</v>
          </cell>
        </row>
        <row r="14274">
          <cell r="D14274" t="str">
            <v>MCX4121A-ACAT</v>
          </cell>
          <cell r="E14274" t="str">
            <v>MT2218421480</v>
          </cell>
        </row>
        <row r="14275">
          <cell r="D14275" t="str">
            <v>MCX4121A-ACAT</v>
          </cell>
          <cell r="E14275" t="str">
            <v>MT2218421473</v>
          </cell>
        </row>
        <row r="14276">
          <cell r="D14276" t="str">
            <v>MCX4121A-ACAT</v>
          </cell>
          <cell r="E14276" t="str">
            <v>MT2218421472</v>
          </cell>
        </row>
        <row r="14277">
          <cell r="D14277" t="str">
            <v>MCX4121A-ACAT</v>
          </cell>
          <cell r="E14277" t="str">
            <v>MT2218421306</v>
          </cell>
        </row>
        <row r="14278">
          <cell r="D14278" t="str">
            <v>MCX4121A-ACAT</v>
          </cell>
          <cell r="E14278" t="str">
            <v>MT2218421127</v>
          </cell>
        </row>
        <row r="14279">
          <cell r="D14279" t="str">
            <v>MCX4121A-ACAT</v>
          </cell>
          <cell r="E14279" t="str">
            <v>MT2218421149</v>
          </cell>
        </row>
        <row r="14280">
          <cell r="D14280" t="str">
            <v>MCX4121A-ACAT</v>
          </cell>
          <cell r="E14280" t="str">
            <v>MT2218421137</v>
          </cell>
        </row>
        <row r="14281">
          <cell r="D14281" t="str">
            <v>MCX4121A-ACAT</v>
          </cell>
          <cell r="E14281" t="str">
            <v>MT2218424247</v>
          </cell>
        </row>
        <row r="14282">
          <cell r="D14282" t="str">
            <v>MCX4121A-ACAT</v>
          </cell>
          <cell r="E14282" t="str">
            <v>MT2218424384</v>
          </cell>
        </row>
        <row r="14283">
          <cell r="D14283" t="str">
            <v>MCX4121A-ACAT</v>
          </cell>
          <cell r="E14283" t="str">
            <v>MT2218424401</v>
          </cell>
        </row>
        <row r="14284">
          <cell r="D14284" t="str">
            <v>MCX4121A-ACAT</v>
          </cell>
          <cell r="E14284" t="str">
            <v>MT2218424444</v>
          </cell>
        </row>
        <row r="14285">
          <cell r="D14285" t="str">
            <v>MCX4121A-ACAT</v>
          </cell>
          <cell r="E14285" t="str">
            <v>MT2218423028</v>
          </cell>
        </row>
        <row r="14286">
          <cell r="D14286" t="str">
            <v>MCX4121A-ACAT</v>
          </cell>
          <cell r="E14286" t="str">
            <v>MT2218423054</v>
          </cell>
        </row>
        <row r="14287">
          <cell r="D14287" t="str">
            <v>MCX4121A-ACAT</v>
          </cell>
          <cell r="E14287" t="str">
            <v>MT2218423084</v>
          </cell>
        </row>
        <row r="14288">
          <cell r="D14288" t="str">
            <v>MCX4121A-ACAT</v>
          </cell>
          <cell r="E14288" t="str">
            <v>MT2218423096</v>
          </cell>
        </row>
        <row r="14289">
          <cell r="D14289" t="str">
            <v>MCX4121A-ACAT</v>
          </cell>
          <cell r="E14289" t="str">
            <v>MT2218423100</v>
          </cell>
        </row>
        <row r="14290">
          <cell r="D14290" t="str">
            <v>MCX4121A-ACAT</v>
          </cell>
          <cell r="E14290" t="str">
            <v>MT2218423146</v>
          </cell>
        </row>
        <row r="14291">
          <cell r="D14291" t="str">
            <v>MCX4121A-ACAT</v>
          </cell>
          <cell r="E14291" t="str">
            <v>MT2218424396</v>
          </cell>
        </row>
        <row r="14292">
          <cell r="D14292" t="str">
            <v>MCX4121A-ACAT</v>
          </cell>
          <cell r="E14292" t="str">
            <v>MT2218424397</v>
          </cell>
        </row>
        <row r="14293">
          <cell r="D14293" t="str">
            <v>MCX4121A-ACAT</v>
          </cell>
          <cell r="E14293" t="str">
            <v>MT2218424402</v>
          </cell>
        </row>
        <row r="14294">
          <cell r="D14294" t="str">
            <v>MCX4121A-ACAT</v>
          </cell>
          <cell r="E14294" t="str">
            <v>MT2218424447</v>
          </cell>
        </row>
        <row r="14295">
          <cell r="D14295" t="str">
            <v>MCX4121A-ACAT</v>
          </cell>
          <cell r="E14295" t="str">
            <v>MT2218423072</v>
          </cell>
        </row>
        <row r="14296">
          <cell r="D14296" t="str">
            <v>MCX4121A-ACAT</v>
          </cell>
          <cell r="E14296" t="str">
            <v>MT2218423089</v>
          </cell>
        </row>
        <row r="14297">
          <cell r="D14297" t="str">
            <v>MCX4121A-ACAT</v>
          </cell>
          <cell r="E14297" t="str">
            <v>MT2218423055</v>
          </cell>
        </row>
        <row r="14298">
          <cell r="D14298" t="str">
            <v>MCX4121A-ACAT</v>
          </cell>
          <cell r="E14298" t="str">
            <v>MT2218423104</v>
          </cell>
        </row>
        <row r="14299">
          <cell r="D14299" t="str">
            <v>MCX4121A-ACAT</v>
          </cell>
          <cell r="E14299" t="str">
            <v>MT2218423120</v>
          </cell>
        </row>
        <row r="14300">
          <cell r="D14300" t="str">
            <v>MCX4121A-ACAT</v>
          </cell>
          <cell r="E14300" t="str">
            <v>MT2218423139</v>
          </cell>
        </row>
        <row r="14301">
          <cell r="D14301" t="str">
            <v>MCX4121A-ACAT</v>
          </cell>
          <cell r="E14301" t="str">
            <v>MT2218417068</v>
          </cell>
        </row>
        <row r="14302">
          <cell r="D14302" t="str">
            <v>MCX4121A-ACAT</v>
          </cell>
          <cell r="E14302" t="str">
            <v>MT2218417147</v>
          </cell>
        </row>
        <row r="14303">
          <cell r="D14303" t="str">
            <v>MCX4121A-ACAT</v>
          </cell>
          <cell r="E14303" t="str">
            <v>MT2218417110</v>
          </cell>
        </row>
        <row r="14304">
          <cell r="D14304" t="str">
            <v>MCX4121A-ACAT</v>
          </cell>
          <cell r="E14304" t="str">
            <v>MT2218417184</v>
          </cell>
        </row>
        <row r="14305">
          <cell r="D14305" t="str">
            <v>MCX4121A-ACAT</v>
          </cell>
          <cell r="E14305" t="str">
            <v>MT2218417108</v>
          </cell>
        </row>
        <row r="14306">
          <cell r="D14306" t="str">
            <v>MCX4121A-ACAT</v>
          </cell>
          <cell r="E14306" t="str">
            <v>MT2218417129</v>
          </cell>
        </row>
        <row r="14307">
          <cell r="D14307" t="str">
            <v>MCX4121A-ACAT</v>
          </cell>
          <cell r="E14307" t="str">
            <v>MT2218424830</v>
          </cell>
        </row>
        <row r="14308">
          <cell r="D14308" t="str">
            <v>MCX4121A-ACAT</v>
          </cell>
          <cell r="E14308" t="str">
            <v>MT2218418333</v>
          </cell>
        </row>
        <row r="14309">
          <cell r="D14309" t="str">
            <v>MCX4121A-ACAT</v>
          </cell>
          <cell r="E14309" t="str">
            <v>MT2218417310</v>
          </cell>
        </row>
        <row r="14310">
          <cell r="D14310" t="str">
            <v>MCX4121A-ACAT</v>
          </cell>
          <cell r="E14310" t="str">
            <v>MT2218417183</v>
          </cell>
        </row>
        <row r="14311">
          <cell r="D14311" t="str">
            <v>MCX4121A-ACAT</v>
          </cell>
          <cell r="E14311" t="str">
            <v>MT2218417133</v>
          </cell>
        </row>
        <row r="14312">
          <cell r="D14312" t="str">
            <v>MCX4121A-ACAT</v>
          </cell>
          <cell r="E14312" t="str">
            <v>MT2218417076</v>
          </cell>
        </row>
        <row r="14313">
          <cell r="D14313" t="str">
            <v>MCX4121A-ACAT</v>
          </cell>
          <cell r="E14313" t="str">
            <v>MT2218417060</v>
          </cell>
        </row>
        <row r="14314">
          <cell r="D14314" t="str">
            <v>MCX4121A-ACAT</v>
          </cell>
          <cell r="E14314" t="str">
            <v>MT2218418329</v>
          </cell>
        </row>
        <row r="14315">
          <cell r="D14315" t="str">
            <v>MCX4121A-ACAT</v>
          </cell>
          <cell r="E14315" t="str">
            <v>MT2218417161</v>
          </cell>
        </row>
        <row r="14316">
          <cell r="D14316" t="str">
            <v>MCX4121A-ACAT</v>
          </cell>
          <cell r="E14316" t="str">
            <v>MT2218424747</v>
          </cell>
        </row>
        <row r="14317">
          <cell r="D14317" t="str">
            <v>MCX4121A-ACAT</v>
          </cell>
          <cell r="E14317" t="str">
            <v>MT2218417040</v>
          </cell>
        </row>
        <row r="14318">
          <cell r="D14318" t="str">
            <v>MCX4121A-ACAT</v>
          </cell>
          <cell r="E14318" t="str">
            <v>MT2218417205</v>
          </cell>
        </row>
        <row r="14319">
          <cell r="D14319" t="str">
            <v>MCX4121A-ACAT</v>
          </cell>
          <cell r="E14319" t="str">
            <v>MT2218417160</v>
          </cell>
        </row>
        <row r="14320">
          <cell r="D14320" t="str">
            <v>MCX4121A-ACAT</v>
          </cell>
          <cell r="E14320" t="str">
            <v>MT2218424798</v>
          </cell>
        </row>
        <row r="14321">
          <cell r="D14321" t="str">
            <v>MCX4121A-ACAT</v>
          </cell>
          <cell r="E14321" t="str">
            <v>MT2218417967</v>
          </cell>
        </row>
        <row r="14322">
          <cell r="D14322" t="str">
            <v>MCX4121A-ACAT</v>
          </cell>
          <cell r="E14322" t="str">
            <v>MT2218424509</v>
          </cell>
        </row>
        <row r="14323">
          <cell r="D14323" t="str">
            <v>MCX4121A-ACAT</v>
          </cell>
          <cell r="E14323" t="str">
            <v>MT2218424840</v>
          </cell>
        </row>
        <row r="14324">
          <cell r="D14324" t="str">
            <v>MCX4121A-ACAT</v>
          </cell>
          <cell r="E14324" t="str">
            <v>MT2218424859</v>
          </cell>
        </row>
        <row r="14325">
          <cell r="D14325" t="str">
            <v>MCX4121A-ACAT</v>
          </cell>
          <cell r="E14325" t="str">
            <v>MT2218424560</v>
          </cell>
        </row>
        <row r="14326">
          <cell r="D14326" t="str">
            <v>MCX4121A-ACAT</v>
          </cell>
          <cell r="E14326" t="str">
            <v>MT2218424912</v>
          </cell>
        </row>
        <row r="14327">
          <cell r="D14327" t="str">
            <v>MCX4121A-ACAT</v>
          </cell>
          <cell r="E14327" t="str">
            <v>MT2218424938</v>
          </cell>
        </row>
        <row r="14328">
          <cell r="D14328" t="str">
            <v>MCX4121A-ACAT</v>
          </cell>
          <cell r="E14328" t="str">
            <v>MT2218423233</v>
          </cell>
        </row>
        <row r="14329">
          <cell r="D14329" t="str">
            <v>MCX4121A-ACAT</v>
          </cell>
          <cell r="E14329" t="str">
            <v>MT2218424936</v>
          </cell>
        </row>
        <row r="14330">
          <cell r="D14330" t="str">
            <v>MCX4121A-ACAT</v>
          </cell>
          <cell r="E14330" t="str">
            <v>MT2218425376</v>
          </cell>
        </row>
        <row r="14331">
          <cell r="D14331" t="str">
            <v>MCX4121A-ACAT</v>
          </cell>
          <cell r="E14331" t="str">
            <v>MT2218424826</v>
          </cell>
        </row>
        <row r="14332">
          <cell r="D14332" t="str">
            <v>MCX4121A-ACAT</v>
          </cell>
          <cell r="E14332" t="str">
            <v>MT2218417977</v>
          </cell>
        </row>
        <row r="14333">
          <cell r="D14333" t="str">
            <v>MCX4121A-ACAT</v>
          </cell>
          <cell r="E14333" t="str">
            <v>MT2218425354</v>
          </cell>
        </row>
        <row r="14334">
          <cell r="D14334" t="str">
            <v>MCX4121A-ACAT</v>
          </cell>
          <cell r="E14334" t="str">
            <v>MT2218424657</v>
          </cell>
        </row>
        <row r="14335">
          <cell r="D14335" t="str">
            <v>MCX4121A-ACAT</v>
          </cell>
          <cell r="E14335" t="str">
            <v>MT2218424869</v>
          </cell>
        </row>
        <row r="14336">
          <cell r="D14336" t="str">
            <v>MCX4121A-ACAT</v>
          </cell>
          <cell r="E14336" t="str">
            <v>MT2218425379</v>
          </cell>
        </row>
        <row r="14337">
          <cell r="D14337" t="str">
            <v>MCX4121A-ACAT</v>
          </cell>
          <cell r="E14337" t="str">
            <v>MT2218425352</v>
          </cell>
        </row>
        <row r="14338">
          <cell r="D14338" t="str">
            <v>MCX4121A-ACAT</v>
          </cell>
          <cell r="E14338" t="str">
            <v>MT2218423240</v>
          </cell>
        </row>
        <row r="14339">
          <cell r="D14339" t="str">
            <v>MCX4121A-ACAT</v>
          </cell>
          <cell r="E14339" t="str">
            <v>MT2218424914</v>
          </cell>
        </row>
        <row r="14340">
          <cell r="D14340" t="str">
            <v>MCX4121A-ACAT</v>
          </cell>
          <cell r="E14340" t="str">
            <v>MT2218423256</v>
          </cell>
        </row>
        <row r="14341">
          <cell r="D14341" t="str">
            <v>MCX4121A-ACAT</v>
          </cell>
          <cell r="E14341" t="str">
            <v>MT2217422739</v>
          </cell>
        </row>
        <row r="14342">
          <cell r="D14342" t="str">
            <v>MCX4121A-ACAT</v>
          </cell>
          <cell r="E14342" t="str">
            <v>MT2217450583</v>
          </cell>
        </row>
        <row r="14343">
          <cell r="D14343" t="str">
            <v>MCX4121A-ACAT</v>
          </cell>
          <cell r="E14343" t="str">
            <v>MT2217450442</v>
          </cell>
        </row>
        <row r="14344">
          <cell r="D14344" t="str">
            <v>MCX4121A-ACAT</v>
          </cell>
          <cell r="E14344" t="str">
            <v>MT2217422685</v>
          </cell>
        </row>
        <row r="14345">
          <cell r="D14345" t="str">
            <v>MCX4121A-ACAT</v>
          </cell>
          <cell r="E14345" t="str">
            <v>MT2217422863</v>
          </cell>
        </row>
        <row r="14346">
          <cell r="D14346" t="str">
            <v>MCX4121A-ACAT</v>
          </cell>
          <cell r="E14346" t="str">
            <v>MT2218423733</v>
          </cell>
        </row>
        <row r="14347">
          <cell r="D14347" t="str">
            <v>MCX4121A-ACAT</v>
          </cell>
          <cell r="E14347" t="str">
            <v>MT2218423793</v>
          </cell>
        </row>
        <row r="14348">
          <cell r="D14348" t="str">
            <v>MCX4121A-ACAT</v>
          </cell>
          <cell r="E14348" t="str">
            <v>MT2217422745</v>
          </cell>
        </row>
        <row r="14349">
          <cell r="D14349" t="str">
            <v>MCX4121A-ACAT</v>
          </cell>
          <cell r="E14349" t="str">
            <v>MT2218423727</v>
          </cell>
        </row>
        <row r="14350">
          <cell r="D14350" t="str">
            <v>MCX4121A-ACAT</v>
          </cell>
          <cell r="E14350" t="str">
            <v>MT2218422748</v>
          </cell>
        </row>
        <row r="14351">
          <cell r="D14351" t="str">
            <v>MCX4121A-ACAT</v>
          </cell>
          <cell r="E14351" t="str">
            <v>MT2217463905</v>
          </cell>
        </row>
        <row r="14352">
          <cell r="D14352" t="str">
            <v>MCX4121A-ACAT</v>
          </cell>
          <cell r="E14352" t="str">
            <v>MT2217424072</v>
          </cell>
        </row>
        <row r="14353">
          <cell r="D14353" t="str">
            <v>MCX4121A-ACAT</v>
          </cell>
          <cell r="E14353" t="str">
            <v>MT2217422695</v>
          </cell>
        </row>
        <row r="14354">
          <cell r="D14354" t="str">
            <v>MCX4121A-ACAT</v>
          </cell>
          <cell r="E14354" t="str">
            <v>MT2217422901</v>
          </cell>
        </row>
        <row r="14355">
          <cell r="D14355" t="str">
            <v>MCX4121A-ACAT</v>
          </cell>
          <cell r="E14355" t="str">
            <v>MT2217422726</v>
          </cell>
        </row>
        <row r="14356">
          <cell r="D14356" t="str">
            <v>MCX4121A-ACAT</v>
          </cell>
          <cell r="E14356" t="str">
            <v>MT2218423794</v>
          </cell>
        </row>
        <row r="14357">
          <cell r="D14357" t="str">
            <v>MCX4121A-ACAT</v>
          </cell>
          <cell r="E14357" t="str">
            <v>MT2218423743</v>
          </cell>
        </row>
        <row r="14358">
          <cell r="D14358" t="str">
            <v>MCX4121A-ACAT</v>
          </cell>
          <cell r="E14358" t="str">
            <v>MT2218423720</v>
          </cell>
        </row>
        <row r="14359">
          <cell r="D14359" t="str">
            <v>MCX4121A-ACAT</v>
          </cell>
          <cell r="E14359" t="str">
            <v>MT2218424298</v>
          </cell>
        </row>
        <row r="14360">
          <cell r="D14360" t="str">
            <v>MCX4121A-ACAT</v>
          </cell>
          <cell r="E14360" t="str">
            <v>MT2218423734</v>
          </cell>
        </row>
        <row r="14361">
          <cell r="D14361" t="str">
            <v>MCX4121A-ACAT</v>
          </cell>
          <cell r="E14361" t="str">
            <v>MT2218423958</v>
          </cell>
        </row>
        <row r="14362">
          <cell r="D14362" t="str">
            <v>MCX4121A-ACAT</v>
          </cell>
          <cell r="E14362" t="str">
            <v>MT2218423988</v>
          </cell>
        </row>
        <row r="14363">
          <cell r="D14363" t="str">
            <v>MCX4121A-ACAT</v>
          </cell>
          <cell r="E14363" t="str">
            <v>MT2218422492</v>
          </cell>
        </row>
        <row r="14364">
          <cell r="D14364" t="str">
            <v>MCX4121A-ACAT</v>
          </cell>
          <cell r="E14364" t="str">
            <v>MT2218424022</v>
          </cell>
        </row>
        <row r="14365">
          <cell r="D14365" t="str">
            <v>MCX4121A-ACAT</v>
          </cell>
          <cell r="E14365" t="str">
            <v>MT2218423919</v>
          </cell>
        </row>
        <row r="14366">
          <cell r="D14366" t="str">
            <v>MCX4121A-ACAT</v>
          </cell>
          <cell r="E14366" t="str">
            <v>MT2218422656</v>
          </cell>
        </row>
        <row r="14367">
          <cell r="D14367" t="str">
            <v>MCX4121A-ACAT</v>
          </cell>
          <cell r="E14367" t="str">
            <v>MT2218422452</v>
          </cell>
        </row>
        <row r="14368">
          <cell r="D14368" t="str">
            <v>MCX4121A-ACAT</v>
          </cell>
          <cell r="E14368" t="str">
            <v>MT2218422569</v>
          </cell>
        </row>
        <row r="14369">
          <cell r="D14369" t="str">
            <v>MCX4121A-ACAT</v>
          </cell>
          <cell r="E14369" t="str">
            <v>MT2218422673</v>
          </cell>
        </row>
        <row r="14370">
          <cell r="D14370" t="str">
            <v>MCX4121A-ACAT</v>
          </cell>
          <cell r="E14370" t="str">
            <v>MT2218422720</v>
          </cell>
        </row>
        <row r="14371">
          <cell r="D14371" t="str">
            <v>MCX4121A-ACAT</v>
          </cell>
          <cell r="E14371" t="str">
            <v>MT2218423983</v>
          </cell>
        </row>
        <row r="14372">
          <cell r="D14372" t="str">
            <v>MCX4121A-ACAT</v>
          </cell>
          <cell r="E14372" t="str">
            <v>MT2218422537</v>
          </cell>
        </row>
        <row r="14373">
          <cell r="D14373" t="str">
            <v>MCX4121A-ACAT</v>
          </cell>
          <cell r="E14373" t="str">
            <v>MT2218424026</v>
          </cell>
        </row>
        <row r="14374">
          <cell r="D14374" t="str">
            <v>MCX4121A-ACAT</v>
          </cell>
          <cell r="E14374" t="str">
            <v>MT2218424006</v>
          </cell>
        </row>
        <row r="14375">
          <cell r="D14375" t="str">
            <v>MCX4121A-ACAT</v>
          </cell>
          <cell r="E14375" t="str">
            <v>MT2218422599</v>
          </cell>
        </row>
        <row r="14376">
          <cell r="D14376" t="str">
            <v>MCX4121A-ACAT</v>
          </cell>
          <cell r="E14376" t="str">
            <v>MT2218422638</v>
          </cell>
        </row>
        <row r="14377">
          <cell r="D14377" t="str">
            <v>MCX4121A-ACAT</v>
          </cell>
          <cell r="E14377" t="str">
            <v>MT2218422610</v>
          </cell>
        </row>
        <row r="14378">
          <cell r="D14378" t="str">
            <v>MCX4121A-ACAT</v>
          </cell>
          <cell r="E14378" t="str">
            <v>MT2218422701</v>
          </cell>
        </row>
        <row r="14379">
          <cell r="D14379" t="str">
            <v>MCX4121A-ACAT</v>
          </cell>
          <cell r="E14379" t="str">
            <v>MT2218422658</v>
          </cell>
        </row>
        <row r="14380">
          <cell r="D14380" t="str">
            <v>MCX4121A-ACAT</v>
          </cell>
          <cell r="E14380" t="str">
            <v>MT2218422620</v>
          </cell>
        </row>
        <row r="14381">
          <cell r="D14381" t="str">
            <v>MCX4121A-ACAT</v>
          </cell>
          <cell r="E14381" t="str">
            <v>MT2218424044</v>
          </cell>
        </row>
        <row r="14382">
          <cell r="D14382" t="str">
            <v>MCX4121A-ACAT</v>
          </cell>
          <cell r="E14382" t="str">
            <v>MT2218424195</v>
          </cell>
        </row>
        <row r="14383">
          <cell r="D14383" t="str">
            <v>MCX4121A-ACAT</v>
          </cell>
          <cell r="E14383" t="str">
            <v>MT2218424150</v>
          </cell>
        </row>
        <row r="14384">
          <cell r="D14384" t="str">
            <v>MCX4121A-ACAT</v>
          </cell>
          <cell r="E14384" t="str">
            <v>MT2218423601</v>
          </cell>
        </row>
        <row r="14385">
          <cell r="D14385" t="str">
            <v>MCX4121A-ACAT</v>
          </cell>
          <cell r="E14385" t="str">
            <v>MT2218423650</v>
          </cell>
        </row>
        <row r="14386">
          <cell r="D14386" t="str">
            <v>MCX4121A-ACAT</v>
          </cell>
          <cell r="E14386" t="str">
            <v>MT2218423645</v>
          </cell>
        </row>
        <row r="14387">
          <cell r="D14387" t="str">
            <v>MCX4121A-ACAT</v>
          </cell>
          <cell r="E14387" t="str">
            <v>MT2218423708</v>
          </cell>
        </row>
        <row r="14388">
          <cell r="D14388" t="str">
            <v>MCX4121A-ACAT</v>
          </cell>
          <cell r="E14388" t="str">
            <v>MT2218424588</v>
          </cell>
        </row>
        <row r="14389">
          <cell r="D14389" t="str">
            <v>MCX4121A-ACAT</v>
          </cell>
          <cell r="E14389" t="str">
            <v>MT2218424600</v>
          </cell>
        </row>
        <row r="14390">
          <cell r="D14390" t="str">
            <v>MCX4121A-ACAT</v>
          </cell>
          <cell r="E14390" t="str">
            <v>MT2218423731</v>
          </cell>
        </row>
        <row r="14391">
          <cell r="D14391" t="str">
            <v>MCX4121A-ACAT</v>
          </cell>
          <cell r="E14391" t="str">
            <v>MT2218423990</v>
          </cell>
        </row>
        <row r="14392">
          <cell r="D14392" t="str">
            <v>MCX4121A-ACAT</v>
          </cell>
          <cell r="E14392" t="str">
            <v>MT2218424186</v>
          </cell>
        </row>
        <row r="14393">
          <cell r="D14393" t="str">
            <v>MCX4121A-ACAT</v>
          </cell>
          <cell r="E14393" t="str">
            <v>MT2218424183</v>
          </cell>
        </row>
        <row r="14394">
          <cell r="D14394" t="str">
            <v>MCX4121A-ACAT</v>
          </cell>
          <cell r="E14394" t="str">
            <v>MT2218424171</v>
          </cell>
        </row>
        <row r="14395">
          <cell r="D14395" t="str">
            <v>MCX4121A-ACAT</v>
          </cell>
          <cell r="E14395" t="str">
            <v>MT2218423700</v>
          </cell>
        </row>
        <row r="14396">
          <cell r="D14396" t="str">
            <v>MCX4121A-ACAT</v>
          </cell>
          <cell r="E14396" t="str">
            <v>MT2218424491</v>
          </cell>
        </row>
        <row r="14397">
          <cell r="D14397" t="str">
            <v>MCX4121A-ACAT</v>
          </cell>
          <cell r="E14397" t="str">
            <v>MT2218423367</v>
          </cell>
        </row>
        <row r="14398">
          <cell r="D14398" t="str">
            <v>MCX4121A-ACAT</v>
          </cell>
          <cell r="E14398" t="str">
            <v>MT2218423698</v>
          </cell>
        </row>
        <row r="14399">
          <cell r="D14399" t="str">
            <v>MCX4121A-ACAT</v>
          </cell>
          <cell r="E14399" t="str">
            <v>MT2218423770</v>
          </cell>
        </row>
        <row r="14400">
          <cell r="D14400" t="str">
            <v>MCX4121A-ACAT</v>
          </cell>
          <cell r="E14400" t="str">
            <v>MT2218423652</v>
          </cell>
        </row>
        <row r="14401">
          <cell r="D14401" t="str">
            <v>MCX4121A-ACAT</v>
          </cell>
          <cell r="E14401" t="str">
            <v>MT2218422602</v>
          </cell>
        </row>
        <row r="14402">
          <cell r="D14402" t="str">
            <v>MCX4121A-ACAT</v>
          </cell>
          <cell r="E14402" t="str">
            <v>MT2218422631</v>
          </cell>
        </row>
        <row r="14403">
          <cell r="D14403" t="str">
            <v>MCX4121A-ACAT</v>
          </cell>
          <cell r="E14403" t="str">
            <v>MT2218421538</v>
          </cell>
        </row>
        <row r="14404">
          <cell r="D14404" t="str">
            <v>MCX4121A-ACAT</v>
          </cell>
          <cell r="E14404" t="str">
            <v>MT2218421527</v>
          </cell>
        </row>
        <row r="14405">
          <cell r="D14405" t="str">
            <v>MCX4121A-ACAT</v>
          </cell>
          <cell r="E14405" t="str">
            <v>MT2218421615</v>
          </cell>
        </row>
        <row r="14406">
          <cell r="D14406" t="str">
            <v>MCX4121A-ACAT</v>
          </cell>
          <cell r="E14406" t="str">
            <v>MT2218420254</v>
          </cell>
        </row>
        <row r="14407">
          <cell r="D14407" t="str">
            <v>MCX4121A-ACAT</v>
          </cell>
          <cell r="E14407" t="str">
            <v>MT2218421528</v>
          </cell>
        </row>
        <row r="14408">
          <cell r="D14408" t="str">
            <v>MCX4121A-ACAT</v>
          </cell>
          <cell r="E14408" t="str">
            <v>MT2218421563</v>
          </cell>
        </row>
        <row r="14409">
          <cell r="D14409" t="str">
            <v>MCX4121A-ACAT</v>
          </cell>
          <cell r="E14409" t="str">
            <v>MT2218421589</v>
          </cell>
        </row>
        <row r="14410">
          <cell r="D14410" t="str">
            <v>MCX4121A-ACAT</v>
          </cell>
          <cell r="E14410" t="str">
            <v>MT2218421714</v>
          </cell>
        </row>
        <row r="14411">
          <cell r="D14411" t="str">
            <v>MCX4121A-ACAT</v>
          </cell>
          <cell r="E14411" t="str">
            <v>MT2218421252</v>
          </cell>
        </row>
        <row r="14412">
          <cell r="D14412" t="str">
            <v>MCX4121A-ACAT</v>
          </cell>
          <cell r="E14412" t="str">
            <v>MT2218421498</v>
          </cell>
        </row>
        <row r="14413">
          <cell r="D14413" t="str">
            <v>MCX4121A-ACAT</v>
          </cell>
          <cell r="E14413" t="str">
            <v>MT2218422574</v>
          </cell>
        </row>
        <row r="14414">
          <cell r="D14414" t="str">
            <v>MCX4121A-ACAT</v>
          </cell>
          <cell r="E14414" t="str">
            <v>MT2218421496</v>
          </cell>
        </row>
        <row r="14415">
          <cell r="D14415" t="str">
            <v>MCX4121A-ACAT</v>
          </cell>
          <cell r="E14415" t="str">
            <v>MT2218421604</v>
          </cell>
        </row>
        <row r="14416">
          <cell r="D14416" t="str">
            <v>MCX4121A-ACAT</v>
          </cell>
          <cell r="E14416" t="str">
            <v>MT2218421588</v>
          </cell>
        </row>
        <row r="14417">
          <cell r="D14417" t="str">
            <v>MCX4121A-ACAT</v>
          </cell>
          <cell r="E14417" t="str">
            <v>MT2218420109</v>
          </cell>
        </row>
        <row r="14418">
          <cell r="D14418" t="str">
            <v>MCX4121A-ACAT</v>
          </cell>
          <cell r="E14418" t="str">
            <v>MT2218421534</v>
          </cell>
        </row>
        <row r="14419">
          <cell r="D14419" t="str">
            <v>MCX4121A-ACAT</v>
          </cell>
          <cell r="E14419" t="str">
            <v>MT2218421713</v>
          </cell>
        </row>
        <row r="14420">
          <cell r="D14420" t="str">
            <v>MCX4121A-ACAT</v>
          </cell>
          <cell r="E14420" t="str">
            <v>MT2218421739</v>
          </cell>
        </row>
        <row r="14421">
          <cell r="D14421" t="str">
            <v>MCX4121A-ACAT</v>
          </cell>
          <cell r="E14421" t="str">
            <v>MT2218423729</v>
          </cell>
        </row>
        <row r="14422">
          <cell r="D14422" t="str">
            <v>MCX4121A-ACAT</v>
          </cell>
          <cell r="E14422" t="str">
            <v>MT2218423640</v>
          </cell>
        </row>
        <row r="14423">
          <cell r="D14423" t="str">
            <v>MCX4121A-ACAT</v>
          </cell>
          <cell r="E14423" t="str">
            <v>MT2218423761</v>
          </cell>
        </row>
        <row r="14424">
          <cell r="D14424" t="str">
            <v>MCX4121A-ACAT</v>
          </cell>
          <cell r="E14424" t="str">
            <v>MT2218424154</v>
          </cell>
        </row>
        <row r="14425">
          <cell r="D14425" t="str">
            <v>MCX4121A-ACAT</v>
          </cell>
          <cell r="E14425" t="str">
            <v>MT2218424283</v>
          </cell>
        </row>
        <row r="14426">
          <cell r="D14426" t="str">
            <v>MCX4121A-ACAT</v>
          </cell>
          <cell r="E14426" t="str">
            <v>MT2218424285</v>
          </cell>
        </row>
        <row r="14427">
          <cell r="D14427" t="str">
            <v>MCX4121A-ACAT</v>
          </cell>
          <cell r="E14427" t="str">
            <v>MT2218424348</v>
          </cell>
        </row>
        <row r="14428">
          <cell r="D14428" t="str">
            <v>MCX4121A-ACAT</v>
          </cell>
          <cell r="E14428" t="str">
            <v>MT2218424205</v>
          </cell>
        </row>
        <row r="14429">
          <cell r="D14429" t="str">
            <v>MCX4121A-ACAT</v>
          </cell>
          <cell r="E14429" t="str">
            <v>MT2218424683</v>
          </cell>
        </row>
        <row r="14430">
          <cell r="D14430" t="str">
            <v>MCX4121A-ACAT</v>
          </cell>
          <cell r="E14430" t="str">
            <v>MT2218423947</v>
          </cell>
        </row>
        <row r="14431">
          <cell r="D14431" t="str">
            <v>MCX4121A-ACAT</v>
          </cell>
          <cell r="E14431" t="str">
            <v>MT2218423248</v>
          </cell>
        </row>
        <row r="14432">
          <cell r="D14432" t="str">
            <v>MCX4121A-ACAT</v>
          </cell>
          <cell r="E14432" t="str">
            <v>MT2218423798</v>
          </cell>
        </row>
        <row r="14433">
          <cell r="D14433" t="str">
            <v>MCX4121A-ACAT</v>
          </cell>
          <cell r="E14433" t="str">
            <v>MT2218423756</v>
          </cell>
        </row>
        <row r="14434">
          <cell r="D14434" t="str">
            <v>MCX4121A-ACAT</v>
          </cell>
          <cell r="E14434" t="str">
            <v>MT2218424419</v>
          </cell>
        </row>
        <row r="14435">
          <cell r="D14435" t="str">
            <v>MCX4121A-ACAT</v>
          </cell>
          <cell r="E14435" t="str">
            <v>MT2218424358</v>
          </cell>
        </row>
        <row r="14436">
          <cell r="D14436" t="str">
            <v>MCX4121A-ACAT</v>
          </cell>
          <cell r="E14436" t="str">
            <v>MT2218424404</v>
          </cell>
        </row>
        <row r="14437">
          <cell r="D14437" t="str">
            <v>MCX4121A-ACAT</v>
          </cell>
          <cell r="E14437" t="str">
            <v>MT2218424373</v>
          </cell>
        </row>
        <row r="14438">
          <cell r="D14438" t="str">
            <v>MCX4121A-ACAT</v>
          </cell>
          <cell r="E14438" t="str">
            <v>MT2218423778</v>
          </cell>
        </row>
        <row r="14439">
          <cell r="D14439" t="str">
            <v>MCX4121A-ACAT</v>
          </cell>
          <cell r="E14439" t="str">
            <v>MT2218423952</v>
          </cell>
        </row>
        <row r="14440">
          <cell r="D14440" t="str">
            <v>MCX4121A-ACAT</v>
          </cell>
          <cell r="E14440" t="str">
            <v>MT2218422725</v>
          </cell>
        </row>
        <row r="14441">
          <cell r="D14441" t="str">
            <v>MCX4121A-ACAT</v>
          </cell>
          <cell r="E14441" t="str">
            <v>MT2218424631</v>
          </cell>
        </row>
        <row r="14442">
          <cell r="D14442" t="str">
            <v>MCX4121A-ACAT</v>
          </cell>
          <cell r="E14442" t="str">
            <v>MT2218424772</v>
          </cell>
        </row>
        <row r="14443">
          <cell r="D14443" t="str">
            <v>MCX4121A-ACAT</v>
          </cell>
          <cell r="E14443" t="str">
            <v>MT2218424810</v>
          </cell>
        </row>
        <row r="14444">
          <cell r="D14444" t="str">
            <v>MCX4121A-ACAT</v>
          </cell>
          <cell r="E14444" t="str">
            <v>MT2218424817</v>
          </cell>
        </row>
        <row r="14445">
          <cell r="D14445" t="str">
            <v>MCX4121A-ACAT</v>
          </cell>
          <cell r="E14445" t="str">
            <v>MT2218424609</v>
          </cell>
        </row>
        <row r="14446">
          <cell r="D14446" t="str">
            <v>MCX4121A-ACAT</v>
          </cell>
          <cell r="E14446" t="str">
            <v>MT2218423664</v>
          </cell>
        </row>
        <row r="14447">
          <cell r="D14447" t="str">
            <v>MCX4121A-ACAT</v>
          </cell>
          <cell r="E14447" t="str">
            <v>MT2218424928</v>
          </cell>
        </row>
        <row r="14448">
          <cell r="D14448" t="str">
            <v>MCX4121A-ACAT</v>
          </cell>
          <cell r="E14448" t="str">
            <v>MT2218424746</v>
          </cell>
        </row>
        <row r="14449">
          <cell r="D14449" t="str">
            <v>MCX4121A-ACAT</v>
          </cell>
          <cell r="E14449" t="str">
            <v>MT2218418023</v>
          </cell>
        </row>
        <row r="14450">
          <cell r="D14450" t="str">
            <v>MCX4121A-ACAT</v>
          </cell>
          <cell r="E14450" t="str">
            <v>MT2218424742</v>
          </cell>
        </row>
        <row r="14451">
          <cell r="D14451" t="str">
            <v>MCX4121A-ACAT</v>
          </cell>
          <cell r="E14451" t="str">
            <v>MT2218416475</v>
          </cell>
        </row>
        <row r="14452">
          <cell r="D14452" t="str">
            <v>MCX4121A-ACAT</v>
          </cell>
          <cell r="E14452" t="str">
            <v>MT2218424646</v>
          </cell>
        </row>
        <row r="14453">
          <cell r="D14453" t="str">
            <v>MCX4121A-ACAT</v>
          </cell>
          <cell r="E14453" t="str">
            <v>MT2218424807</v>
          </cell>
        </row>
        <row r="14454">
          <cell r="D14454" t="str">
            <v>MCX4121A-ACAT</v>
          </cell>
          <cell r="E14454" t="str">
            <v>MT2218424845</v>
          </cell>
        </row>
        <row r="14455">
          <cell r="D14455" t="str">
            <v>MCX4121A-ACAT</v>
          </cell>
          <cell r="E14455" t="str">
            <v>MT2218424847</v>
          </cell>
        </row>
        <row r="14456">
          <cell r="D14456" t="str">
            <v>MCX4121A-ACAT</v>
          </cell>
          <cell r="E14456" t="str">
            <v>MT2218424871</v>
          </cell>
        </row>
        <row r="14457">
          <cell r="D14457" t="str">
            <v>MCX4121A-ACAT</v>
          </cell>
          <cell r="E14457" t="str">
            <v>MT2218418014</v>
          </cell>
        </row>
        <row r="14458">
          <cell r="D14458" t="str">
            <v>MCX4121A-ACAT</v>
          </cell>
          <cell r="E14458" t="str">
            <v>MT2218424948</v>
          </cell>
        </row>
        <row r="14459">
          <cell r="D14459" t="str">
            <v>MCX4121A-ACAT</v>
          </cell>
          <cell r="E14459" t="str">
            <v>MT2218424959</v>
          </cell>
        </row>
        <row r="14460">
          <cell r="D14460" t="str">
            <v>MCX4121A-ACAT</v>
          </cell>
          <cell r="E14460" t="str">
            <v>MT2218424949</v>
          </cell>
        </row>
        <row r="14461">
          <cell r="D14461" t="str">
            <v>MCX4121A-ACAT</v>
          </cell>
          <cell r="E14461" t="str">
            <v>MT2218419221</v>
          </cell>
        </row>
        <row r="14462">
          <cell r="D14462" t="str">
            <v>MCX4121A-ACAT</v>
          </cell>
          <cell r="E14462" t="str">
            <v>MT2218419120</v>
          </cell>
        </row>
        <row r="14463">
          <cell r="D14463" t="str">
            <v>MCX4121A-ACAT</v>
          </cell>
          <cell r="E14463" t="str">
            <v>MT2218419277</v>
          </cell>
        </row>
        <row r="14464">
          <cell r="D14464" t="str">
            <v>MCX4121A-ACAT</v>
          </cell>
          <cell r="E14464" t="str">
            <v>MT2218416460</v>
          </cell>
        </row>
        <row r="14465">
          <cell r="D14465" t="str">
            <v>MCX4121A-ACAT</v>
          </cell>
          <cell r="E14465" t="str">
            <v>MT2218416453</v>
          </cell>
        </row>
        <row r="14466">
          <cell r="D14466" t="str">
            <v>MCX4121A-ACAT</v>
          </cell>
          <cell r="E14466" t="str">
            <v>MT2218416488</v>
          </cell>
        </row>
        <row r="14467">
          <cell r="D14467" t="str">
            <v>MCX4121A-ACAT</v>
          </cell>
          <cell r="E14467" t="str">
            <v>MT2218419244</v>
          </cell>
        </row>
        <row r="14468">
          <cell r="D14468" t="str">
            <v>MCX4121A-ACAT</v>
          </cell>
          <cell r="E14468" t="str">
            <v>MT2218416514</v>
          </cell>
        </row>
        <row r="14469">
          <cell r="D14469" t="str">
            <v>MCX4121A-ACAT</v>
          </cell>
          <cell r="E14469" t="str">
            <v>MT2218416525</v>
          </cell>
        </row>
        <row r="14470">
          <cell r="D14470" t="str">
            <v>MCX4121A-ACAT</v>
          </cell>
          <cell r="E14470" t="str">
            <v>MT2218416544</v>
          </cell>
        </row>
        <row r="14471">
          <cell r="D14471" t="str">
            <v>MCX4121A-ACAT</v>
          </cell>
          <cell r="E14471" t="str">
            <v>MT2218419152</v>
          </cell>
        </row>
        <row r="14472">
          <cell r="D14472" t="str">
            <v>MCX4121A-ACAT</v>
          </cell>
          <cell r="E14472" t="str">
            <v>MT2218419257</v>
          </cell>
        </row>
        <row r="14473">
          <cell r="D14473" t="str">
            <v>MCX4121A-ACAT</v>
          </cell>
          <cell r="E14473" t="str">
            <v>MT2218416420</v>
          </cell>
        </row>
        <row r="14474">
          <cell r="D14474" t="str">
            <v>MCX4121A-ACAT</v>
          </cell>
          <cell r="E14474" t="str">
            <v>MT2218416477</v>
          </cell>
        </row>
        <row r="14475">
          <cell r="D14475" t="str">
            <v>MCX4121A-ACAT</v>
          </cell>
          <cell r="E14475" t="str">
            <v>MT2218419211</v>
          </cell>
        </row>
        <row r="14476">
          <cell r="D14476" t="str">
            <v>MCX4121A-ACAT</v>
          </cell>
          <cell r="E14476" t="str">
            <v>MT2218418920</v>
          </cell>
        </row>
        <row r="14477">
          <cell r="D14477" t="str">
            <v>MCX4121A-ACAT</v>
          </cell>
          <cell r="E14477" t="str">
            <v>MT2218416436</v>
          </cell>
        </row>
        <row r="14478">
          <cell r="D14478" t="str">
            <v>MCX4121A-ACAT</v>
          </cell>
          <cell r="E14478" t="str">
            <v>MT2218416538</v>
          </cell>
        </row>
        <row r="14479">
          <cell r="D14479" t="str">
            <v>MCX4121A-ACAT</v>
          </cell>
          <cell r="E14479" t="str">
            <v>MT2218416540</v>
          </cell>
        </row>
        <row r="14480">
          <cell r="D14480" t="str">
            <v>MCX4121A-ACAT</v>
          </cell>
          <cell r="E14480" t="str">
            <v>MT2218416546</v>
          </cell>
        </row>
        <row r="14481">
          <cell r="D14481" t="str">
            <v>MCX4121A-ACAT</v>
          </cell>
          <cell r="E14481" t="str">
            <v>MT2218422166</v>
          </cell>
        </row>
        <row r="14482">
          <cell r="D14482" t="str">
            <v>MCX4121A-ACAT</v>
          </cell>
          <cell r="E14482" t="str">
            <v>MT2218418875</v>
          </cell>
        </row>
        <row r="14483">
          <cell r="D14483" t="str">
            <v>MCX4121A-ACAT</v>
          </cell>
          <cell r="E14483" t="str">
            <v>MT2218418894</v>
          </cell>
        </row>
        <row r="14484">
          <cell r="D14484" t="str">
            <v>MCX4121A-ACAT</v>
          </cell>
          <cell r="E14484" t="str">
            <v>MT2218418906</v>
          </cell>
        </row>
        <row r="14485">
          <cell r="D14485" t="str">
            <v>MCX4121A-ACAT</v>
          </cell>
          <cell r="E14485" t="str">
            <v>MT2218422079</v>
          </cell>
        </row>
        <row r="14486">
          <cell r="D14486" t="str">
            <v>MCX4121A-ACAT</v>
          </cell>
          <cell r="E14486" t="str">
            <v>MT2218422094</v>
          </cell>
        </row>
        <row r="14487">
          <cell r="D14487" t="str">
            <v>MCX4121A-ACAT</v>
          </cell>
          <cell r="E14487" t="str">
            <v>MT2218418852</v>
          </cell>
        </row>
        <row r="14488">
          <cell r="D14488" t="str">
            <v>MCX4121A-ACAT</v>
          </cell>
          <cell r="E14488" t="str">
            <v>MT2218418971</v>
          </cell>
        </row>
        <row r="14489">
          <cell r="D14489" t="str">
            <v>MCX4121A-ACAT</v>
          </cell>
          <cell r="E14489" t="str">
            <v>MT2218418950</v>
          </cell>
        </row>
        <row r="14490">
          <cell r="D14490" t="str">
            <v>MCX4121A-ACAT</v>
          </cell>
          <cell r="E14490" t="str">
            <v>MT2218418985</v>
          </cell>
        </row>
        <row r="14491">
          <cell r="D14491" t="str">
            <v>MCX4121A-ACAT</v>
          </cell>
          <cell r="E14491" t="str">
            <v>MT2218422173</v>
          </cell>
        </row>
        <row r="14492">
          <cell r="D14492" t="str">
            <v>MCX4121A-ACAT</v>
          </cell>
          <cell r="E14492" t="str">
            <v>MT2218422157</v>
          </cell>
        </row>
        <row r="14493">
          <cell r="D14493" t="str">
            <v>MCX4121A-ACAT</v>
          </cell>
          <cell r="E14493" t="str">
            <v>MT2218418898</v>
          </cell>
        </row>
        <row r="14494">
          <cell r="D14494" t="str">
            <v>MCX4121A-ACAT</v>
          </cell>
          <cell r="E14494" t="str">
            <v>MT2218418907</v>
          </cell>
        </row>
        <row r="14495">
          <cell r="D14495" t="str">
            <v>MCX4121A-ACAT</v>
          </cell>
          <cell r="E14495" t="str">
            <v>MT2218418913</v>
          </cell>
        </row>
        <row r="14496">
          <cell r="D14496" t="str">
            <v>MCX4121A-ACAT</v>
          </cell>
          <cell r="E14496" t="str">
            <v>MT2218418924</v>
          </cell>
        </row>
        <row r="14497">
          <cell r="D14497" t="str">
            <v>MCX4121A-ACAT</v>
          </cell>
          <cell r="E14497" t="str">
            <v>MT2218418937</v>
          </cell>
        </row>
        <row r="14498">
          <cell r="D14498" t="str">
            <v>MCX4121A-ACAT</v>
          </cell>
          <cell r="E14498" t="str">
            <v>MT2218418921</v>
          </cell>
        </row>
        <row r="14499">
          <cell r="D14499" t="str">
            <v>MCX4121A-ACAT</v>
          </cell>
          <cell r="E14499" t="str">
            <v>MT2218418960</v>
          </cell>
        </row>
        <row r="14500">
          <cell r="D14500" t="str">
            <v>MCX4121A-ACAT</v>
          </cell>
          <cell r="E14500" t="str">
            <v>MT2218419065</v>
          </cell>
        </row>
        <row r="14501">
          <cell r="D14501" t="str">
            <v>MCX4121A-ACAT</v>
          </cell>
          <cell r="E14501" t="str">
            <v>MT2218423834</v>
          </cell>
        </row>
        <row r="14502">
          <cell r="D14502" t="str">
            <v>MCX4121A-ACAT</v>
          </cell>
          <cell r="E14502" t="str">
            <v>MT2218423912</v>
          </cell>
        </row>
        <row r="14503">
          <cell r="D14503" t="str">
            <v>MCX4121A-ACAT</v>
          </cell>
          <cell r="E14503" t="str">
            <v>MT2218423669</v>
          </cell>
        </row>
        <row r="14504">
          <cell r="D14504" t="str">
            <v>MCX4121A-ACAT</v>
          </cell>
          <cell r="E14504" t="str">
            <v>MT2218424008</v>
          </cell>
        </row>
        <row r="14505">
          <cell r="D14505" t="str">
            <v>MCX4121A-ACAT</v>
          </cell>
          <cell r="E14505" t="str">
            <v>MT2218423966</v>
          </cell>
        </row>
        <row r="14506">
          <cell r="D14506" t="str">
            <v>MCX4121A-ACAT</v>
          </cell>
          <cell r="E14506" t="str">
            <v>MT2218423880</v>
          </cell>
        </row>
        <row r="14507">
          <cell r="D14507" t="str">
            <v>MCX4121A-ACAT</v>
          </cell>
          <cell r="E14507" t="str">
            <v>MT2218422465</v>
          </cell>
        </row>
        <row r="14508">
          <cell r="D14508" t="str">
            <v>MCX4121A-ACAT</v>
          </cell>
          <cell r="E14508" t="str">
            <v>MT2218424025</v>
          </cell>
        </row>
        <row r="14509">
          <cell r="D14509" t="str">
            <v>MCX4121A-ACAT</v>
          </cell>
          <cell r="E14509" t="str">
            <v>MT2218422697</v>
          </cell>
        </row>
        <row r="14510">
          <cell r="D14510" t="str">
            <v>MCX4121A-ACAT</v>
          </cell>
          <cell r="E14510" t="str">
            <v>MT2218422647</v>
          </cell>
        </row>
        <row r="14511">
          <cell r="D14511" t="str">
            <v>MCX4121A-ACAT</v>
          </cell>
          <cell r="E14511" t="str">
            <v>MT2218423856</v>
          </cell>
        </row>
        <row r="14512">
          <cell r="D14512" t="str">
            <v>MCX4121A-ACAT</v>
          </cell>
          <cell r="E14512" t="str">
            <v>MT2218423892</v>
          </cell>
        </row>
        <row r="14513">
          <cell r="D14513" t="str">
            <v>MCX4121A-ACAT</v>
          </cell>
          <cell r="E14513" t="str">
            <v>MT2218423872</v>
          </cell>
        </row>
        <row r="14514">
          <cell r="D14514" t="str">
            <v>MCX4121A-ACAT</v>
          </cell>
          <cell r="E14514" t="str">
            <v>MT2218423897</v>
          </cell>
        </row>
        <row r="14515">
          <cell r="D14515" t="str">
            <v>MCX4121A-ACAT</v>
          </cell>
          <cell r="E14515" t="str">
            <v>MT2218423999</v>
          </cell>
        </row>
        <row r="14516">
          <cell r="D14516" t="str">
            <v>MCX4121A-ACAT</v>
          </cell>
          <cell r="E14516" t="str">
            <v>MT2218423973</v>
          </cell>
        </row>
        <row r="14517">
          <cell r="D14517" t="str">
            <v>MCX4121A-ACAT</v>
          </cell>
          <cell r="E14517" t="str">
            <v>MT2218423610</v>
          </cell>
        </row>
        <row r="14518">
          <cell r="D14518" t="str">
            <v>MCX4121A-ACAT</v>
          </cell>
          <cell r="E14518" t="str">
            <v>MT2218422444</v>
          </cell>
        </row>
        <row r="14519">
          <cell r="D14519" t="str">
            <v>MCX4121A-ACAT</v>
          </cell>
          <cell r="E14519" t="str">
            <v>MT2218422526</v>
          </cell>
        </row>
        <row r="14520">
          <cell r="D14520" t="str">
            <v>MCX4121A-ACAT</v>
          </cell>
          <cell r="E14520" t="str">
            <v>MT2218422736</v>
          </cell>
        </row>
        <row r="14521">
          <cell r="D14521" t="str">
            <v>MCX4121A-ACAT</v>
          </cell>
          <cell r="E14521" t="str">
            <v>MT2218422661</v>
          </cell>
        </row>
        <row r="14522">
          <cell r="D14522" t="str">
            <v>MCX4121A-ACAT</v>
          </cell>
          <cell r="E14522" t="str">
            <v>MT2218422787</v>
          </cell>
        </row>
        <row r="14523">
          <cell r="D14523" t="str">
            <v>MCX4121A-ACAT</v>
          </cell>
          <cell r="E14523" t="str">
            <v>MT2218422851</v>
          </cell>
        </row>
        <row r="14524">
          <cell r="D14524" t="str">
            <v>MCX4121A-ACAT</v>
          </cell>
          <cell r="E14524" t="str">
            <v>MT2218422790</v>
          </cell>
        </row>
        <row r="14525">
          <cell r="D14525" t="str">
            <v>MCX4121A-ACAT</v>
          </cell>
          <cell r="E14525" t="str">
            <v>MT2218422820</v>
          </cell>
        </row>
        <row r="14526">
          <cell r="D14526" t="str">
            <v>MCX4121A-ACAT</v>
          </cell>
          <cell r="E14526" t="str">
            <v>MT2218422911</v>
          </cell>
        </row>
        <row r="14527">
          <cell r="D14527" t="str">
            <v>MCX4121A-ACAT</v>
          </cell>
          <cell r="E14527" t="str">
            <v>MT2218421250</v>
          </cell>
        </row>
        <row r="14528">
          <cell r="D14528" t="str">
            <v>MCX4121A-ACAT</v>
          </cell>
          <cell r="E14528" t="str">
            <v>MT2218421200</v>
          </cell>
        </row>
        <row r="14529">
          <cell r="D14529" t="str">
            <v>MCX4121A-ACAT</v>
          </cell>
          <cell r="E14529" t="str">
            <v>MT2218421226</v>
          </cell>
        </row>
        <row r="14530">
          <cell r="D14530" t="str">
            <v>MCX4121A-ACAT</v>
          </cell>
          <cell r="E14530" t="str">
            <v>MT2218421275</v>
          </cell>
        </row>
        <row r="14531">
          <cell r="D14531" t="str">
            <v>MCX4121A-ACAT</v>
          </cell>
          <cell r="E14531" t="str">
            <v>MT2218422759</v>
          </cell>
        </row>
        <row r="14532">
          <cell r="D14532" t="str">
            <v>MCX4121A-ACAT</v>
          </cell>
          <cell r="E14532" t="str">
            <v>MT2218422726</v>
          </cell>
        </row>
        <row r="14533">
          <cell r="D14533" t="str">
            <v>MCX4121A-ACAT</v>
          </cell>
          <cell r="E14533" t="str">
            <v>MT2218422795</v>
          </cell>
        </row>
        <row r="14534">
          <cell r="D14534" t="str">
            <v>MCX4121A-ACAT</v>
          </cell>
          <cell r="E14534" t="str">
            <v>MT2218422968</v>
          </cell>
        </row>
        <row r="14535">
          <cell r="D14535" t="str">
            <v>MCX4121A-ACAT</v>
          </cell>
          <cell r="E14535" t="str">
            <v>MT2218421233</v>
          </cell>
        </row>
        <row r="14536">
          <cell r="D14536" t="str">
            <v>MCX4121A-ACAT</v>
          </cell>
          <cell r="E14536" t="str">
            <v>MT2218422890</v>
          </cell>
        </row>
        <row r="14537">
          <cell r="D14537" t="str">
            <v>MCX4121A-ACAT</v>
          </cell>
          <cell r="E14537" t="str">
            <v>MT2218422873</v>
          </cell>
        </row>
        <row r="14538">
          <cell r="D14538" t="str">
            <v>MCX4121A-ACAT</v>
          </cell>
          <cell r="E14538" t="str">
            <v>MT2218422989</v>
          </cell>
        </row>
        <row r="14539">
          <cell r="D14539" t="str">
            <v>MCX4121A-ACAT</v>
          </cell>
          <cell r="E14539" t="str">
            <v>MT2218421268</v>
          </cell>
        </row>
        <row r="14540">
          <cell r="D14540" t="str">
            <v>MCX4121A-ACAT</v>
          </cell>
          <cell r="E14540" t="str">
            <v>MT2218421335</v>
          </cell>
        </row>
        <row r="14541">
          <cell r="D14541" t="str">
            <v>MCX4121A-ACAT</v>
          </cell>
          <cell r="E14541" t="str">
            <v>MT2218424680</v>
          </cell>
        </row>
        <row r="14542">
          <cell r="D14542" t="str">
            <v>MCX4121A-ACAT</v>
          </cell>
          <cell r="E14542" t="str">
            <v>MT2218424690</v>
          </cell>
        </row>
        <row r="14543">
          <cell r="D14543" t="str">
            <v>MCX4121A-ACAT</v>
          </cell>
          <cell r="E14543" t="str">
            <v>MT2218424686</v>
          </cell>
        </row>
        <row r="14544">
          <cell r="D14544" t="str">
            <v>MCX4121A-ACAT</v>
          </cell>
          <cell r="E14544" t="str">
            <v>MT2218424760</v>
          </cell>
        </row>
        <row r="14545">
          <cell r="D14545" t="str">
            <v>MCX4121A-ACAT</v>
          </cell>
          <cell r="E14545" t="str">
            <v>MT2218424711</v>
          </cell>
        </row>
        <row r="14546">
          <cell r="D14546" t="str">
            <v>MCX4121A-ACAT</v>
          </cell>
          <cell r="E14546" t="str">
            <v>MT2218424773</v>
          </cell>
        </row>
        <row r="14547">
          <cell r="D14547" t="str">
            <v>MCX4121A-ACAT</v>
          </cell>
          <cell r="E14547" t="str">
            <v>MT2218424812</v>
          </cell>
        </row>
        <row r="14548">
          <cell r="D14548" t="str">
            <v>MCX4121A-ACAT</v>
          </cell>
          <cell r="E14548" t="str">
            <v>MT2218424815</v>
          </cell>
        </row>
        <row r="14549">
          <cell r="D14549" t="str">
            <v>MCX4121A-ACAT</v>
          </cell>
          <cell r="E14549" t="str">
            <v>MT2218424843</v>
          </cell>
        </row>
        <row r="14550">
          <cell r="D14550" t="str">
            <v>MCX4121A-ACAT</v>
          </cell>
          <cell r="E14550" t="str">
            <v>MT2218424838</v>
          </cell>
        </row>
        <row r="14551">
          <cell r="D14551" t="str">
            <v>MCX4121A-ACAT</v>
          </cell>
          <cell r="E14551" t="str">
            <v>MT2218424696</v>
          </cell>
        </row>
        <row r="14552">
          <cell r="D14552" t="str">
            <v>MCX4121A-ACAT</v>
          </cell>
          <cell r="E14552" t="str">
            <v>MT2218424701</v>
          </cell>
        </row>
        <row r="14553">
          <cell r="D14553" t="str">
            <v>MCX4121A-ACAT</v>
          </cell>
          <cell r="E14553" t="str">
            <v>MT2218424717</v>
          </cell>
        </row>
        <row r="14554">
          <cell r="D14554" t="str">
            <v>MCX4121A-ACAT</v>
          </cell>
          <cell r="E14554" t="str">
            <v>MT2218424755</v>
          </cell>
        </row>
        <row r="14555">
          <cell r="D14555" t="str">
            <v>MCX4121A-ACAT</v>
          </cell>
          <cell r="E14555" t="str">
            <v>MT2218424786</v>
          </cell>
        </row>
        <row r="14556">
          <cell r="D14556" t="str">
            <v>MCX4121A-ACAT</v>
          </cell>
          <cell r="E14556" t="str">
            <v>MT2218424795</v>
          </cell>
        </row>
        <row r="14557">
          <cell r="D14557" t="str">
            <v>MCX4121A-ACAT</v>
          </cell>
          <cell r="E14557" t="str">
            <v>MT2218424703</v>
          </cell>
        </row>
        <row r="14558">
          <cell r="D14558" t="str">
            <v>MCX4121A-ACAT</v>
          </cell>
          <cell r="E14558" t="str">
            <v>MT2218424797</v>
          </cell>
        </row>
        <row r="14559">
          <cell r="D14559" t="str">
            <v>MCX4121A-ACAT</v>
          </cell>
          <cell r="E14559" t="str">
            <v>MT2218424745</v>
          </cell>
        </row>
        <row r="14560">
          <cell r="D14560" t="str">
            <v>MCX4121A-ACAT</v>
          </cell>
          <cell r="E14560" t="str">
            <v>MT2218423609</v>
          </cell>
        </row>
        <row r="14561">
          <cell r="D14561" t="str">
            <v>MCX4121A-ACAT</v>
          </cell>
          <cell r="E14561" t="str">
            <v>MT2218424478</v>
          </cell>
        </row>
        <row r="14562">
          <cell r="D14562" t="str">
            <v>MCX4121A-ACAT</v>
          </cell>
          <cell r="E14562" t="str">
            <v>MT2218424473</v>
          </cell>
        </row>
        <row r="14563">
          <cell r="D14563" t="str">
            <v>MCX4121A-ACAT</v>
          </cell>
          <cell r="E14563" t="str">
            <v>MT2218424524</v>
          </cell>
        </row>
        <row r="14564">
          <cell r="D14564" t="str">
            <v>MCX4121A-ACAT</v>
          </cell>
          <cell r="E14564" t="str">
            <v>MT2218424614</v>
          </cell>
        </row>
        <row r="14565">
          <cell r="D14565" t="str">
            <v>MCX4121A-ACAT</v>
          </cell>
          <cell r="E14565" t="str">
            <v>MT2218424661</v>
          </cell>
        </row>
        <row r="14566">
          <cell r="D14566" t="str">
            <v>MCX4121A-ACAT</v>
          </cell>
          <cell r="E14566" t="str">
            <v>MT2218424549</v>
          </cell>
        </row>
        <row r="14567">
          <cell r="D14567" t="str">
            <v>MCX4121A-ACAT</v>
          </cell>
          <cell r="E14567" t="str">
            <v>MT2218424594</v>
          </cell>
        </row>
        <row r="14568">
          <cell r="D14568" t="str">
            <v>MCX4121A-ACAT</v>
          </cell>
          <cell r="E14568" t="str">
            <v>MT2218424583</v>
          </cell>
        </row>
        <row r="14569">
          <cell r="D14569" t="str">
            <v>MCX4121A-ACAT</v>
          </cell>
          <cell r="E14569" t="str">
            <v>MT2218424685</v>
          </cell>
        </row>
        <row r="14570">
          <cell r="D14570" t="str">
            <v>MCX4121A-ACAT</v>
          </cell>
          <cell r="E14570" t="str">
            <v>MT2218424534</v>
          </cell>
        </row>
        <row r="14571">
          <cell r="D14571" t="str">
            <v>MCX4121A-ACAT</v>
          </cell>
          <cell r="E14571" t="str">
            <v>MT2218424443</v>
          </cell>
        </row>
        <row r="14572">
          <cell r="D14572" t="str">
            <v>MCX4121A-ACAT</v>
          </cell>
          <cell r="E14572" t="str">
            <v>MT2218424505</v>
          </cell>
        </row>
        <row r="14573">
          <cell r="D14573" t="str">
            <v>MCX4121A-ACAT</v>
          </cell>
          <cell r="E14573" t="str">
            <v>MT2218424527</v>
          </cell>
        </row>
        <row r="14574">
          <cell r="D14574" t="str">
            <v>MCX4121A-ACAT</v>
          </cell>
          <cell r="E14574" t="str">
            <v>MT2218424528</v>
          </cell>
        </row>
        <row r="14575">
          <cell r="D14575" t="str">
            <v>MCX4121A-ACAT</v>
          </cell>
          <cell r="E14575" t="str">
            <v>MT2218424652</v>
          </cell>
        </row>
        <row r="14576">
          <cell r="D14576" t="str">
            <v>MCX4121A-ACAT</v>
          </cell>
          <cell r="E14576" t="str">
            <v>MT2218424645</v>
          </cell>
        </row>
        <row r="14577">
          <cell r="D14577" t="str">
            <v>MCX4121A-ACAT</v>
          </cell>
          <cell r="E14577" t="str">
            <v>MT2218424618</v>
          </cell>
        </row>
        <row r="14578">
          <cell r="D14578" t="str">
            <v>MCX4121A-ACAT</v>
          </cell>
          <cell r="E14578" t="str">
            <v>MT2218424540</v>
          </cell>
        </row>
        <row r="14579">
          <cell r="D14579" t="str">
            <v>MCX4121A-ACAT</v>
          </cell>
          <cell r="E14579" t="str">
            <v>MT2218424590</v>
          </cell>
        </row>
        <row r="14580">
          <cell r="D14580" t="str">
            <v>MCX4121A-ACAT</v>
          </cell>
          <cell r="E14580" t="str">
            <v>MT2218424679</v>
          </cell>
        </row>
        <row r="14581">
          <cell r="D14581" t="str">
            <v>MCX4121A-ACAT</v>
          </cell>
          <cell r="E14581" t="str">
            <v>MT2218418226</v>
          </cell>
        </row>
        <row r="14582">
          <cell r="D14582" t="str">
            <v>MCX4121A-ACAT</v>
          </cell>
          <cell r="E14582" t="str">
            <v>MT2218421046</v>
          </cell>
        </row>
        <row r="14583">
          <cell r="D14583" t="str">
            <v>MCX4121A-ACAT</v>
          </cell>
          <cell r="E14583" t="str">
            <v>MT2218418254</v>
          </cell>
        </row>
        <row r="14584">
          <cell r="D14584" t="str">
            <v>MCX4121A-ACAT</v>
          </cell>
          <cell r="E14584" t="str">
            <v>MT2218418266</v>
          </cell>
        </row>
        <row r="14585">
          <cell r="D14585" t="str">
            <v>MCX4121A-ACAT</v>
          </cell>
          <cell r="E14585" t="str">
            <v>MT2218418259</v>
          </cell>
        </row>
        <row r="14586">
          <cell r="D14586" t="str">
            <v>MCX4121A-ACAT</v>
          </cell>
          <cell r="E14586" t="str">
            <v>MT2218418308</v>
          </cell>
        </row>
        <row r="14587">
          <cell r="D14587" t="str">
            <v>MCX4121A-ACAT</v>
          </cell>
          <cell r="E14587" t="str">
            <v>MT2218424326</v>
          </cell>
        </row>
        <row r="14588">
          <cell r="D14588" t="str">
            <v>MCX4121A-ACAT</v>
          </cell>
          <cell r="E14588" t="str">
            <v>MT2218424360</v>
          </cell>
        </row>
        <row r="14589">
          <cell r="D14589" t="str">
            <v>MCX4121A-ACAT</v>
          </cell>
          <cell r="E14589" t="str">
            <v>MT2218424392</v>
          </cell>
        </row>
        <row r="14590">
          <cell r="D14590" t="str">
            <v>MCX4121A-ACAT</v>
          </cell>
          <cell r="E14590" t="str">
            <v>MT2218424407</v>
          </cell>
        </row>
        <row r="14591">
          <cell r="D14591" t="str">
            <v>MCX4121A-ACAT</v>
          </cell>
          <cell r="E14591" t="str">
            <v>MT2218418219</v>
          </cell>
        </row>
        <row r="14592">
          <cell r="D14592" t="str">
            <v>MCX4121A-ACAT</v>
          </cell>
          <cell r="E14592" t="str">
            <v>MT2218418138</v>
          </cell>
        </row>
        <row r="14593">
          <cell r="D14593" t="str">
            <v>MCX4121A-ACAT</v>
          </cell>
          <cell r="E14593" t="str">
            <v>MT2218418240</v>
          </cell>
        </row>
        <row r="14594">
          <cell r="D14594" t="str">
            <v>MCX4121A-ACAT</v>
          </cell>
          <cell r="E14594" t="str">
            <v>MT2218418295</v>
          </cell>
        </row>
        <row r="14595">
          <cell r="D14595" t="str">
            <v>MCX4121A-ACAT</v>
          </cell>
          <cell r="E14595" t="str">
            <v>MT2218424349</v>
          </cell>
        </row>
        <row r="14596">
          <cell r="D14596" t="str">
            <v>MCX4121A-ACAT</v>
          </cell>
          <cell r="E14596" t="str">
            <v>MT2218424328</v>
          </cell>
        </row>
        <row r="14597">
          <cell r="D14597" t="str">
            <v>MCX4121A-ACAT</v>
          </cell>
          <cell r="E14597" t="str">
            <v>MT2218418186</v>
          </cell>
        </row>
        <row r="14598">
          <cell r="D14598" t="str">
            <v>MCX4121A-ACAT</v>
          </cell>
          <cell r="E14598" t="str">
            <v>MT2218424375</v>
          </cell>
        </row>
        <row r="14599">
          <cell r="D14599" t="str">
            <v>MCX4121A-ACAT</v>
          </cell>
          <cell r="E14599" t="str">
            <v>MT2218424345</v>
          </cell>
        </row>
        <row r="14600">
          <cell r="D14600" t="str">
            <v>MCX4121A-ACAT</v>
          </cell>
          <cell r="E14600" t="str">
            <v>MT2218424435</v>
          </cell>
        </row>
        <row r="14601">
          <cell r="D14601" t="str">
            <v>MCX4121A-ACAT</v>
          </cell>
          <cell r="E14601" t="str">
            <v>MT2218418054</v>
          </cell>
        </row>
        <row r="14602">
          <cell r="D14602" t="str">
            <v>MCX4121A-ACAT</v>
          </cell>
          <cell r="E14602" t="str">
            <v>MT2218418026</v>
          </cell>
        </row>
        <row r="14603">
          <cell r="D14603" t="str">
            <v>MCX4121A-ACAT</v>
          </cell>
          <cell r="E14603" t="str">
            <v>MT2218418022</v>
          </cell>
        </row>
        <row r="14604">
          <cell r="D14604" t="str">
            <v>MCX4121A-ACAT</v>
          </cell>
          <cell r="E14604" t="str">
            <v>MT2218418015</v>
          </cell>
        </row>
        <row r="14605">
          <cell r="D14605" t="str">
            <v>MCX4121A-ACAT</v>
          </cell>
          <cell r="E14605" t="str">
            <v>MT2218418097</v>
          </cell>
        </row>
        <row r="14606">
          <cell r="D14606" t="str">
            <v>MCX4121A-ACAT</v>
          </cell>
          <cell r="E14606" t="str">
            <v>MT2218418088</v>
          </cell>
        </row>
        <row r="14607">
          <cell r="D14607" t="str">
            <v>MCX4121A-ACAT</v>
          </cell>
          <cell r="E14607" t="str">
            <v>MT2218418034</v>
          </cell>
        </row>
        <row r="14608">
          <cell r="D14608" t="str">
            <v>MCX4121A-ACAT</v>
          </cell>
          <cell r="E14608" t="str">
            <v>MT2218418063</v>
          </cell>
        </row>
        <row r="14609">
          <cell r="D14609" t="str">
            <v>MCX4121A-ACAT</v>
          </cell>
          <cell r="E14609" t="str">
            <v>MT2218418121</v>
          </cell>
        </row>
        <row r="14610">
          <cell r="D14610" t="str">
            <v>MCX4121A-ACAT</v>
          </cell>
          <cell r="E14610" t="str">
            <v>MT2218418127</v>
          </cell>
        </row>
        <row r="14611">
          <cell r="D14611" t="str">
            <v>MCX4121A-ACAT</v>
          </cell>
          <cell r="E14611" t="str">
            <v>MT2218418025</v>
          </cell>
        </row>
        <row r="14612">
          <cell r="D14612" t="str">
            <v>MCX4121A-ACAT</v>
          </cell>
          <cell r="E14612" t="str">
            <v>MT2218418057</v>
          </cell>
        </row>
        <row r="14613">
          <cell r="D14613" t="str">
            <v>MCX4121A-ACAT</v>
          </cell>
          <cell r="E14613" t="str">
            <v>MT2218418007</v>
          </cell>
        </row>
        <row r="14614">
          <cell r="D14614" t="str">
            <v>MCX4121A-ACAT</v>
          </cell>
          <cell r="E14614" t="str">
            <v>MT2218418110</v>
          </cell>
        </row>
        <row r="14615">
          <cell r="D14615" t="str">
            <v>MCX4121A-ACAT</v>
          </cell>
          <cell r="E14615" t="str">
            <v>MT2218418079</v>
          </cell>
        </row>
        <row r="14616">
          <cell r="D14616" t="str">
            <v>MCX4121A-ACAT</v>
          </cell>
          <cell r="E14616" t="str">
            <v>MT2218418100</v>
          </cell>
        </row>
        <row r="14617">
          <cell r="D14617" t="str">
            <v>MCX4121A-ACAT</v>
          </cell>
          <cell r="E14617" t="str">
            <v>MT2218418017</v>
          </cell>
        </row>
        <row r="14618">
          <cell r="D14618" t="str">
            <v>MCX4121A-ACAT</v>
          </cell>
          <cell r="E14618" t="str">
            <v>MT2218418115</v>
          </cell>
        </row>
        <row r="14619">
          <cell r="D14619" t="str">
            <v>MCX4121A-ACAT</v>
          </cell>
          <cell r="E14619" t="str">
            <v>MT2218418119</v>
          </cell>
        </row>
        <row r="14620">
          <cell r="D14620" t="str">
            <v>MCX4121A-ACAT</v>
          </cell>
          <cell r="E14620" t="str">
            <v>MT2218418203</v>
          </cell>
        </row>
        <row r="14621">
          <cell r="D14621" t="str">
            <v>MCX4121A-ACAT</v>
          </cell>
          <cell r="E14621" t="str">
            <v>MT2218424976</v>
          </cell>
        </row>
        <row r="14622">
          <cell r="D14622" t="str">
            <v>MCX4121A-ACAT</v>
          </cell>
          <cell r="E14622" t="str">
            <v>MT2218425097</v>
          </cell>
        </row>
        <row r="14623">
          <cell r="D14623" t="str">
            <v>MCX4121A-ACAT</v>
          </cell>
          <cell r="E14623" t="str">
            <v>MT2218425129</v>
          </cell>
        </row>
        <row r="14624">
          <cell r="D14624" t="str">
            <v>MCX4121A-ACAT</v>
          </cell>
          <cell r="E14624" t="str">
            <v>MT2218425118</v>
          </cell>
        </row>
        <row r="14625">
          <cell r="D14625" t="str">
            <v>MCX4121A-ACAT</v>
          </cell>
          <cell r="E14625" t="str">
            <v>MT2218425163</v>
          </cell>
        </row>
        <row r="14626">
          <cell r="D14626" t="str">
            <v>MCX4121A-ACAT</v>
          </cell>
          <cell r="E14626" t="str">
            <v>MT2218425139</v>
          </cell>
        </row>
        <row r="14627">
          <cell r="D14627" t="str">
            <v>MCX4121A-ACAT</v>
          </cell>
          <cell r="E14627" t="str">
            <v>MT2218425169</v>
          </cell>
        </row>
        <row r="14628">
          <cell r="D14628" t="str">
            <v>MCX4121A-ACAT</v>
          </cell>
          <cell r="E14628" t="str">
            <v>MT2218425199</v>
          </cell>
        </row>
        <row r="14629">
          <cell r="D14629" t="str">
            <v>MCX4121A-ACAT</v>
          </cell>
          <cell r="E14629" t="str">
            <v>MT2218425141</v>
          </cell>
        </row>
        <row r="14630">
          <cell r="D14630" t="str">
            <v>MCX4121A-ACAT</v>
          </cell>
          <cell r="E14630" t="str">
            <v>MT2218425214</v>
          </cell>
        </row>
        <row r="14631">
          <cell r="D14631" t="str">
            <v>MCX4121A-ACAT</v>
          </cell>
          <cell r="E14631" t="str">
            <v>MT2218424984</v>
          </cell>
        </row>
        <row r="14632">
          <cell r="D14632" t="str">
            <v>MCX4121A-ACAT</v>
          </cell>
          <cell r="E14632" t="str">
            <v>MT2218425096</v>
          </cell>
        </row>
        <row r="14633">
          <cell r="D14633" t="str">
            <v>MCX4121A-ACAT</v>
          </cell>
          <cell r="E14633" t="str">
            <v>MT2218425102</v>
          </cell>
        </row>
        <row r="14634">
          <cell r="D14634" t="str">
            <v>MCX4121A-ACAT</v>
          </cell>
          <cell r="E14634" t="str">
            <v>MT2218425149</v>
          </cell>
        </row>
        <row r="14635">
          <cell r="D14635" t="str">
            <v>MCX4121A-ACAT</v>
          </cell>
          <cell r="E14635" t="str">
            <v>MT2218424996</v>
          </cell>
        </row>
        <row r="14636">
          <cell r="D14636" t="str">
            <v>MCX4121A-ACAT</v>
          </cell>
          <cell r="E14636" t="str">
            <v>MT2218425179</v>
          </cell>
        </row>
        <row r="14637">
          <cell r="D14637" t="str">
            <v>MCX4121A-ACAT</v>
          </cell>
          <cell r="E14637" t="str">
            <v>MT2218425175</v>
          </cell>
        </row>
        <row r="14638">
          <cell r="D14638" t="str">
            <v>MCX4121A-ACAT</v>
          </cell>
          <cell r="E14638" t="str">
            <v>MT2218425131</v>
          </cell>
        </row>
        <row r="14639">
          <cell r="D14639" t="str">
            <v>MCX4121A-ACAT</v>
          </cell>
          <cell r="E14639" t="str">
            <v>MT2218425243</v>
          </cell>
        </row>
        <row r="14640">
          <cell r="D14640" t="str">
            <v>MCX4121A-ACAT</v>
          </cell>
          <cell r="E14640" t="str">
            <v>MT2218425244</v>
          </cell>
        </row>
        <row r="14641">
          <cell r="D14641" t="str">
            <v>MCX4121A-ACAT</v>
          </cell>
          <cell r="E14641" t="str">
            <v>MT2218421286</v>
          </cell>
        </row>
        <row r="14642">
          <cell r="D14642" t="str">
            <v>MCX4121A-ACAT</v>
          </cell>
          <cell r="E14642" t="str">
            <v>MT2218421303</v>
          </cell>
        </row>
        <row r="14643">
          <cell r="D14643" t="str">
            <v>MCX4121A-ACAT</v>
          </cell>
          <cell r="E14643" t="str">
            <v>MT2218421329</v>
          </cell>
        </row>
        <row r="14644">
          <cell r="D14644" t="str">
            <v>MCX4121A-ACAT</v>
          </cell>
          <cell r="E14644" t="str">
            <v>MT2218421373</v>
          </cell>
        </row>
        <row r="14645">
          <cell r="D14645" t="str">
            <v>MCX4121A-ACAT</v>
          </cell>
          <cell r="E14645" t="str">
            <v>MT2218421324</v>
          </cell>
        </row>
        <row r="14646">
          <cell r="D14646" t="str">
            <v>MCX4121A-ACAT</v>
          </cell>
          <cell r="E14646" t="str">
            <v>MT2218421353</v>
          </cell>
        </row>
        <row r="14647">
          <cell r="D14647" t="str">
            <v>MCX4121A-ACAT</v>
          </cell>
          <cell r="E14647" t="str">
            <v>MT2218421394</v>
          </cell>
        </row>
        <row r="14648">
          <cell r="D14648" t="str">
            <v>MCX4121A-ACAT</v>
          </cell>
          <cell r="E14648" t="str">
            <v>MT2218421429</v>
          </cell>
        </row>
        <row r="14649">
          <cell r="D14649" t="str">
            <v>MCX4121A-ACAT</v>
          </cell>
          <cell r="E14649" t="str">
            <v>MT2218421427</v>
          </cell>
        </row>
        <row r="14650">
          <cell r="D14650" t="str">
            <v>MCX4121A-ACAT</v>
          </cell>
          <cell r="E14650" t="str">
            <v>MT2218421435</v>
          </cell>
        </row>
        <row r="14651">
          <cell r="D14651" t="str">
            <v>MCX4121A-ACAT</v>
          </cell>
          <cell r="E14651" t="str">
            <v>MT2218421287</v>
          </cell>
        </row>
        <row r="14652">
          <cell r="D14652" t="str">
            <v>MCX4121A-ACAT</v>
          </cell>
          <cell r="E14652" t="str">
            <v>MT2218421316</v>
          </cell>
        </row>
        <row r="14653">
          <cell r="D14653" t="str">
            <v>MCX4121A-ACAT</v>
          </cell>
          <cell r="E14653" t="str">
            <v>MT2218421338</v>
          </cell>
        </row>
        <row r="14654">
          <cell r="D14654" t="str">
            <v>MCX4121A-ACAT</v>
          </cell>
          <cell r="E14654" t="str">
            <v>MT2218421337</v>
          </cell>
        </row>
        <row r="14655">
          <cell r="D14655" t="str">
            <v>MCX4121A-ACAT</v>
          </cell>
          <cell r="E14655" t="str">
            <v>MT2218421350</v>
          </cell>
        </row>
        <row r="14656">
          <cell r="D14656" t="str">
            <v>MCX4121A-ACAT</v>
          </cell>
          <cell r="E14656" t="str">
            <v>MT2218421379</v>
          </cell>
        </row>
        <row r="14657">
          <cell r="D14657" t="str">
            <v>MCX4121A-ACAT</v>
          </cell>
          <cell r="E14657" t="str">
            <v>MT2218421399</v>
          </cell>
        </row>
        <row r="14658">
          <cell r="D14658" t="str">
            <v>MCX4121A-ACAT</v>
          </cell>
          <cell r="E14658" t="str">
            <v>MT2218421431</v>
          </cell>
        </row>
        <row r="14659">
          <cell r="D14659" t="str">
            <v>MCX4121A-ACAT</v>
          </cell>
          <cell r="E14659" t="str">
            <v>MT2218421415</v>
          </cell>
        </row>
        <row r="14660">
          <cell r="D14660" t="str">
            <v>MCX4121A-ACAT</v>
          </cell>
          <cell r="E14660" t="str">
            <v>MT2218421426</v>
          </cell>
        </row>
        <row r="14661">
          <cell r="D14661" t="str">
            <v xml:space="preserve">M393A8G40AB2-CWE </v>
          </cell>
          <cell r="E14661" t="str">
            <v>SNL621</v>
          </cell>
        </row>
        <row r="14662">
          <cell r="D14662" t="str">
            <v xml:space="preserve">M393A8G40AB2-CWE </v>
          </cell>
          <cell r="E14662" t="str">
            <v>SNL622</v>
          </cell>
        </row>
        <row r="14663">
          <cell r="D14663" t="str">
            <v xml:space="preserve">M393A8G40AB2-CWE </v>
          </cell>
          <cell r="E14663" t="str">
            <v>SNL623</v>
          </cell>
        </row>
        <row r="14664">
          <cell r="D14664" t="str">
            <v xml:space="preserve">M393A8G40AB2-CWE </v>
          </cell>
          <cell r="E14664" t="str">
            <v>SNL624</v>
          </cell>
        </row>
        <row r="14665">
          <cell r="D14665" t="str">
            <v xml:space="preserve">M393A8G40AB2-CWE </v>
          </cell>
          <cell r="E14665" t="str">
            <v>SNL625</v>
          </cell>
        </row>
        <row r="14666">
          <cell r="D14666" t="str">
            <v xml:space="preserve">M393A8G40AB2-CWE </v>
          </cell>
          <cell r="E14666" t="str">
            <v>SNL626</v>
          </cell>
        </row>
        <row r="14667">
          <cell r="D14667" t="str">
            <v xml:space="preserve">M393A8G40AB2-CWE </v>
          </cell>
          <cell r="E14667" t="str">
            <v>SNL627</v>
          </cell>
        </row>
        <row r="14668">
          <cell r="D14668" t="str">
            <v xml:space="preserve">M393A8G40AB2-CWE </v>
          </cell>
          <cell r="E14668" t="str">
            <v>SNL628</v>
          </cell>
        </row>
        <row r="14669">
          <cell r="D14669" t="str">
            <v xml:space="preserve">M393A8G40AB2-CWE </v>
          </cell>
          <cell r="E14669" t="str">
            <v>SNL629</v>
          </cell>
        </row>
        <row r="14670">
          <cell r="D14670" t="str">
            <v xml:space="preserve">M393A8G40AB2-CWE </v>
          </cell>
          <cell r="E14670" t="str">
            <v>SNL630</v>
          </cell>
        </row>
        <row r="14671">
          <cell r="D14671" t="str">
            <v xml:space="preserve">M393A8G40AB2-CWE </v>
          </cell>
          <cell r="E14671" t="str">
            <v>SNL631</v>
          </cell>
        </row>
        <row r="14672">
          <cell r="D14672" t="str">
            <v xml:space="preserve">M393A8G40AB2-CWE </v>
          </cell>
          <cell r="E14672" t="str">
            <v>SNL632</v>
          </cell>
        </row>
        <row r="14673">
          <cell r="D14673" t="str">
            <v xml:space="preserve">M393A8G40AB2-CWE </v>
          </cell>
          <cell r="E14673" t="str">
            <v>SNL633</v>
          </cell>
        </row>
        <row r="14674">
          <cell r="D14674" t="str">
            <v xml:space="preserve">M393A8G40AB2-CWE </v>
          </cell>
          <cell r="E14674" t="str">
            <v>SNL634</v>
          </cell>
        </row>
        <row r="14675">
          <cell r="D14675" t="str">
            <v xml:space="preserve">M393A8G40AB2-CWE </v>
          </cell>
          <cell r="E14675" t="str">
            <v>SNL635</v>
          </cell>
        </row>
        <row r="14676">
          <cell r="D14676" t="str">
            <v xml:space="preserve">M393A8G40AB2-CWE </v>
          </cell>
          <cell r="E14676" t="str">
            <v>SNL636</v>
          </cell>
        </row>
        <row r="14677">
          <cell r="D14677" t="str">
            <v xml:space="preserve">M393A8G40AB2-CWE </v>
          </cell>
          <cell r="E14677" t="str">
            <v>SNL637</v>
          </cell>
        </row>
        <row r="14678">
          <cell r="D14678" t="str">
            <v xml:space="preserve">M393A8G40AB2-CWE </v>
          </cell>
          <cell r="E14678" t="str">
            <v>SNL638</v>
          </cell>
        </row>
        <row r="14679">
          <cell r="D14679" t="str">
            <v xml:space="preserve">M393A8G40AB2-CWE </v>
          </cell>
          <cell r="E14679" t="str">
            <v>SNL639</v>
          </cell>
        </row>
        <row r="14680">
          <cell r="D14680" t="str">
            <v xml:space="preserve">M393A8G40AB2-CWE </v>
          </cell>
          <cell r="E14680" t="str">
            <v>SNL640</v>
          </cell>
        </row>
        <row r="14681">
          <cell r="D14681" t="str">
            <v xml:space="preserve">M393A8G40AB2-CWE </v>
          </cell>
          <cell r="E14681" t="str">
            <v>SNL641</v>
          </cell>
        </row>
        <row r="14682">
          <cell r="D14682" t="str">
            <v xml:space="preserve">M393A8G40AB2-CWE </v>
          </cell>
          <cell r="E14682" t="str">
            <v>SNL642</v>
          </cell>
        </row>
        <row r="14683">
          <cell r="D14683" t="str">
            <v xml:space="preserve">M393A8G40AB2-CWE </v>
          </cell>
          <cell r="E14683" t="str">
            <v>SNL643</v>
          </cell>
        </row>
        <row r="14684">
          <cell r="D14684" t="str">
            <v xml:space="preserve">M393A8G40AB2-CWE </v>
          </cell>
          <cell r="E14684" t="str">
            <v>SNL644</v>
          </cell>
        </row>
        <row r="14685">
          <cell r="D14685" t="str">
            <v xml:space="preserve">M393A8G40AB2-CWE </v>
          </cell>
          <cell r="E14685" t="str">
            <v>SNL645</v>
          </cell>
        </row>
        <row r="14686">
          <cell r="D14686" t="str">
            <v xml:space="preserve">M393A8G40AB2-CWE </v>
          </cell>
          <cell r="E14686" t="str">
            <v>SNL646</v>
          </cell>
        </row>
        <row r="14687">
          <cell r="D14687" t="str">
            <v xml:space="preserve">M393A8G40AB2-CWE </v>
          </cell>
          <cell r="E14687" t="str">
            <v>SNL647</v>
          </cell>
        </row>
        <row r="14688">
          <cell r="D14688" t="str">
            <v xml:space="preserve">M393A8G40AB2-CWE </v>
          </cell>
          <cell r="E14688" t="str">
            <v>SNL648</v>
          </cell>
        </row>
        <row r="14689">
          <cell r="D14689" t="str">
            <v xml:space="preserve">M393A8G40AB2-CWE </v>
          </cell>
          <cell r="E14689" t="str">
            <v>SNL649</v>
          </cell>
        </row>
        <row r="14690">
          <cell r="D14690" t="str">
            <v xml:space="preserve">M393A8G40AB2-CWE </v>
          </cell>
          <cell r="E14690" t="str">
            <v>SNL650</v>
          </cell>
        </row>
        <row r="14691">
          <cell r="D14691" t="str">
            <v xml:space="preserve">M393A8G40AB2-CWE </v>
          </cell>
          <cell r="E14691" t="str">
            <v>SNL651</v>
          </cell>
        </row>
        <row r="14692">
          <cell r="D14692" t="str">
            <v xml:space="preserve">M393A8G40AB2-CWE </v>
          </cell>
          <cell r="E14692" t="str">
            <v>SNL652</v>
          </cell>
        </row>
        <row r="14693">
          <cell r="D14693" t="str">
            <v xml:space="preserve">M393A8G40AB2-CWE </v>
          </cell>
          <cell r="E14693" t="str">
            <v>SNL653</v>
          </cell>
        </row>
        <row r="14694">
          <cell r="D14694" t="str">
            <v xml:space="preserve">M393A8G40AB2-CWE </v>
          </cell>
          <cell r="E14694" t="str">
            <v>SNL654</v>
          </cell>
        </row>
        <row r="14695">
          <cell r="D14695" t="str">
            <v xml:space="preserve">M393A8G40AB2-CWE </v>
          </cell>
          <cell r="E14695" t="str">
            <v>SNL655</v>
          </cell>
        </row>
        <row r="14696">
          <cell r="D14696" t="str">
            <v xml:space="preserve">M393A8G40AB2-CWE </v>
          </cell>
          <cell r="E14696" t="str">
            <v>SNL656</v>
          </cell>
        </row>
        <row r="14697">
          <cell r="D14697" t="str">
            <v xml:space="preserve">M393A8G40AB2-CWE </v>
          </cell>
          <cell r="E14697" t="str">
            <v>SNL657</v>
          </cell>
        </row>
        <row r="14698">
          <cell r="D14698" t="str">
            <v xml:space="preserve">M393A8G40AB2-CWE </v>
          </cell>
          <cell r="E14698" t="str">
            <v>SNL658</v>
          </cell>
        </row>
        <row r="14699">
          <cell r="D14699" t="str">
            <v xml:space="preserve">M393A8G40AB2-CWE </v>
          </cell>
          <cell r="E14699" t="str">
            <v>SNL659</v>
          </cell>
        </row>
        <row r="14700">
          <cell r="D14700" t="str">
            <v xml:space="preserve">M393A8G40AB2-CWE </v>
          </cell>
          <cell r="E14700" t="str">
            <v>SNL660</v>
          </cell>
        </row>
        <row r="14701">
          <cell r="D14701" t="str">
            <v xml:space="preserve">M393A8G40AB2-CWE </v>
          </cell>
          <cell r="E14701" t="str">
            <v>SNL661</v>
          </cell>
        </row>
        <row r="14702">
          <cell r="D14702" t="str">
            <v xml:space="preserve">M393A8G40AB2-CWE </v>
          </cell>
          <cell r="E14702" t="str">
            <v>SNL662</v>
          </cell>
        </row>
        <row r="14703">
          <cell r="D14703" t="str">
            <v xml:space="preserve">M393A8G40AB2-CWE </v>
          </cell>
          <cell r="E14703" t="str">
            <v>SNL663</v>
          </cell>
        </row>
        <row r="14704">
          <cell r="D14704" t="str">
            <v xml:space="preserve">M393A8G40AB2-CWE </v>
          </cell>
          <cell r="E14704" t="str">
            <v>SNL664</v>
          </cell>
        </row>
        <row r="14705">
          <cell r="D14705" t="str">
            <v xml:space="preserve">M393A8G40AB2-CWE </v>
          </cell>
          <cell r="E14705" t="str">
            <v>SNL665</v>
          </cell>
        </row>
        <row r="14706">
          <cell r="D14706" t="str">
            <v xml:space="preserve">M393A8G40AB2-CWE </v>
          </cell>
          <cell r="E14706" t="str">
            <v>SNL666</v>
          </cell>
        </row>
        <row r="14707">
          <cell r="D14707" t="str">
            <v xml:space="preserve">M393A8G40AB2-CWE </v>
          </cell>
          <cell r="E14707" t="str">
            <v>SNL667</v>
          </cell>
        </row>
        <row r="14708">
          <cell r="D14708" t="str">
            <v xml:space="preserve">M393A8G40AB2-CWE </v>
          </cell>
          <cell r="E14708" t="str">
            <v>SNL668</v>
          </cell>
        </row>
        <row r="14709">
          <cell r="D14709" t="str">
            <v xml:space="preserve">M393A8G40AB2-CWE </v>
          </cell>
          <cell r="E14709" t="str">
            <v>SNL669</v>
          </cell>
        </row>
        <row r="14710">
          <cell r="D14710" t="str">
            <v xml:space="preserve">M393A8G40AB2-CWE </v>
          </cell>
          <cell r="E14710" t="str">
            <v>SNL670</v>
          </cell>
        </row>
        <row r="14711">
          <cell r="D14711" t="str">
            <v xml:space="preserve">M393A8G40AB2-CWE </v>
          </cell>
          <cell r="E14711" t="str">
            <v>SNL671</v>
          </cell>
        </row>
        <row r="14712">
          <cell r="D14712" t="str">
            <v xml:space="preserve">M393A8G40AB2-CWE </v>
          </cell>
          <cell r="E14712" t="str">
            <v>SNL672</v>
          </cell>
        </row>
        <row r="14713">
          <cell r="D14713" t="str">
            <v xml:space="preserve">M393A8G40AB2-CWE </v>
          </cell>
          <cell r="E14713" t="str">
            <v>SNL673</v>
          </cell>
        </row>
        <row r="14714">
          <cell r="D14714" t="str">
            <v xml:space="preserve">M393A8G40AB2-CWE </v>
          </cell>
          <cell r="E14714" t="str">
            <v>SNL674</v>
          </cell>
        </row>
        <row r="14715">
          <cell r="D14715" t="str">
            <v xml:space="preserve">M393A8G40AB2-CWE </v>
          </cell>
          <cell r="E14715" t="str">
            <v>SNL675</v>
          </cell>
        </row>
        <row r="14716">
          <cell r="D14716" t="str">
            <v xml:space="preserve">M393A8G40AB2-CWE </v>
          </cell>
          <cell r="E14716" t="str">
            <v>SNL676</v>
          </cell>
        </row>
        <row r="14717">
          <cell r="D14717" t="str">
            <v xml:space="preserve">M393A8G40AB2-CWE </v>
          </cell>
          <cell r="E14717" t="str">
            <v>SNL677</v>
          </cell>
        </row>
        <row r="14718">
          <cell r="D14718" t="str">
            <v xml:space="preserve">M393A8G40AB2-CWE </v>
          </cell>
          <cell r="E14718" t="str">
            <v>SNL678</v>
          </cell>
        </row>
        <row r="14719">
          <cell r="D14719" t="str">
            <v xml:space="preserve">M393A8G40AB2-CWE </v>
          </cell>
          <cell r="E14719" t="str">
            <v>SNL679</v>
          </cell>
        </row>
        <row r="14720">
          <cell r="D14720" t="str">
            <v xml:space="preserve">M393A8G40AB2-CWE </v>
          </cell>
          <cell r="E14720" t="str">
            <v>SNL680</v>
          </cell>
        </row>
        <row r="14721">
          <cell r="D14721" t="str">
            <v>MZ7L31T9HBLT-00A07</v>
          </cell>
          <cell r="E14721" t="str">
            <v>S6ESNE0T401519</v>
          </cell>
        </row>
        <row r="14722">
          <cell r="D14722" t="str">
            <v>MZ7L31T9HBLT-00A07</v>
          </cell>
          <cell r="E14722" t="str">
            <v>S6ESNE0T401514</v>
          </cell>
        </row>
        <row r="14723">
          <cell r="D14723" t="str">
            <v>MZ7L31T9HBLT-00A07</v>
          </cell>
          <cell r="E14723" t="str">
            <v>S6ESNE0T401517</v>
          </cell>
        </row>
        <row r="14724">
          <cell r="D14724" t="str">
            <v>MZ7L31T9HBLT-00A07</v>
          </cell>
          <cell r="E14724" t="str">
            <v>S6ESNE0T401522</v>
          </cell>
        </row>
        <row r="14725">
          <cell r="D14725" t="str">
            <v>0F30146</v>
          </cell>
          <cell r="E14725" t="str">
            <v>D5HEYBVF</v>
          </cell>
        </row>
        <row r="14726">
          <cell r="D14726" t="str">
            <v>SSDSC2KB960GZ01</v>
          </cell>
          <cell r="E14726" t="str">
            <v>BTYI201305SM960CGN</v>
          </cell>
        </row>
        <row r="14727">
          <cell r="D14727" t="str">
            <v>SSDSC2KB960GZ01</v>
          </cell>
          <cell r="E14727" t="str">
            <v>BTYI201203C5960CGN</v>
          </cell>
        </row>
        <row r="14728">
          <cell r="D14728" t="str">
            <v>SSDSC2KB960GZ01</v>
          </cell>
          <cell r="E14728" t="str">
            <v>BTYI201305SL960CGN</v>
          </cell>
          <cell r="K14728" t="str">
            <v>SO/2022/006264/A</v>
          </cell>
        </row>
        <row r="14729">
          <cell r="D14729" t="str">
            <v>SSDSC2KB960GZ01</v>
          </cell>
          <cell r="E14729" t="str">
            <v>BTYI201305T5960CGN</v>
          </cell>
          <cell r="K14729" t="str">
            <v>SO/2022/006264/A</v>
          </cell>
        </row>
        <row r="14730">
          <cell r="D14730" t="str">
            <v>SSDSC2KB960GZ01</v>
          </cell>
          <cell r="E14730" t="str">
            <v>BTYI201305SK960CGN</v>
          </cell>
          <cell r="K14730" t="str">
            <v>SO/2022/006264/A</v>
          </cell>
        </row>
        <row r="14731">
          <cell r="D14731" t="str">
            <v>SSDSC2KB960GZ01</v>
          </cell>
          <cell r="E14731" t="str">
            <v>BTYI204307SZ960CGN</v>
          </cell>
          <cell r="K14731" t="str">
            <v>SO/2022/006264/A</v>
          </cell>
        </row>
        <row r="14732">
          <cell r="D14732" t="str">
            <v>SSDSC2KB960GZ01</v>
          </cell>
          <cell r="E14732" t="str">
            <v>BTYI204307TP960CGN</v>
          </cell>
          <cell r="K14732" t="str">
            <v>SO/2022/006264/A</v>
          </cell>
        </row>
        <row r="14733">
          <cell r="D14733" t="str">
            <v>SSDSC2KB960GZ01</v>
          </cell>
          <cell r="E14733" t="str">
            <v>BTYI204307SX960CGN</v>
          </cell>
          <cell r="K14733" t="str">
            <v>SO/2022/006264/A</v>
          </cell>
        </row>
        <row r="14734">
          <cell r="D14734" t="str">
            <v>SSDSC2KB960GZ01</v>
          </cell>
          <cell r="E14734" t="str">
            <v>BTYI204400KS960CGN</v>
          </cell>
          <cell r="K14734" t="str">
            <v>SO/2022/006264/A</v>
          </cell>
        </row>
        <row r="14735">
          <cell r="D14735" t="str">
            <v>SSDSC2KB960GZ01</v>
          </cell>
          <cell r="E14735" t="str">
            <v>BTYI204307SY960CGN</v>
          </cell>
          <cell r="K14735" t="str">
            <v>SO/2022/006264/A</v>
          </cell>
        </row>
        <row r="14736">
          <cell r="D14736" t="str">
            <v>SSDSC2KB960GZ01</v>
          </cell>
          <cell r="E14736" t="str">
            <v>BTYI201203HV960CGN</v>
          </cell>
        </row>
        <row r="14737">
          <cell r="D14737" t="str">
            <v>SSDSC2KB960GZ01</v>
          </cell>
          <cell r="E14737" t="str">
            <v>BTYI201203FU960CGN</v>
          </cell>
        </row>
        <row r="14738">
          <cell r="D14738" t="str">
            <v>SSDSC2KB960GZ01</v>
          </cell>
          <cell r="E14738" t="str">
            <v>BTYI2012031W960CGN</v>
          </cell>
        </row>
        <row r="14739">
          <cell r="D14739" t="str">
            <v>SSDSC2KB960GZ01</v>
          </cell>
          <cell r="E14739" t="str">
            <v>BTYI201203D2960CGN</v>
          </cell>
        </row>
        <row r="14740">
          <cell r="D14740" t="str">
            <v>SSDSC2KB960GZ01</v>
          </cell>
          <cell r="E14740" t="str">
            <v>BTYI201203FK960CGN</v>
          </cell>
        </row>
        <row r="14741">
          <cell r="D14741" t="str">
            <v>SSDSC2KB960GZ01</v>
          </cell>
          <cell r="E14741" t="str">
            <v>BTYI201202UL960CGN</v>
          </cell>
        </row>
        <row r="14742">
          <cell r="D14742" t="str">
            <v>SSDSC2KB960GZ01</v>
          </cell>
          <cell r="E14742" t="str">
            <v>BTYI201202GX960CGN</v>
          </cell>
        </row>
        <row r="14743">
          <cell r="D14743" t="str">
            <v>SSDSC2KB960GZ01</v>
          </cell>
          <cell r="E14743" t="str">
            <v>BTYI201203AM960CGN</v>
          </cell>
        </row>
        <row r="14744">
          <cell r="D14744" t="str">
            <v>SSDSC2KB960GZ01</v>
          </cell>
          <cell r="E14744" t="str">
            <v>BTYI201203C3960CGN</v>
          </cell>
        </row>
        <row r="14745">
          <cell r="D14745" t="str">
            <v>SSDSC2KB960GZ01</v>
          </cell>
          <cell r="E14745" t="str">
            <v>BTYI201203BP960CGN</v>
          </cell>
        </row>
        <row r="14746">
          <cell r="D14746" t="str">
            <v>MTFDDAK960TDS</v>
          </cell>
          <cell r="E14746" t="str">
            <v>2218377C76F2</v>
          </cell>
        </row>
        <row r="14747">
          <cell r="D14747" t="str">
            <v>MTFDDAK960TDS</v>
          </cell>
          <cell r="E14747" t="str">
            <v>2218377C412D</v>
          </cell>
        </row>
        <row r="14748">
          <cell r="D14748" t="str">
            <v>MTFDDAK960TDS</v>
          </cell>
          <cell r="E14748" t="str">
            <v>2218377C7641</v>
          </cell>
        </row>
        <row r="14749">
          <cell r="D14749" t="str">
            <v>MTFDDAK960TDS</v>
          </cell>
          <cell r="E14749" t="str">
            <v>2218377C443E</v>
          </cell>
        </row>
        <row r="14750">
          <cell r="D14750" t="str">
            <v>MTFDDAK960TDS</v>
          </cell>
          <cell r="E14750" t="str">
            <v>2218377C7623</v>
          </cell>
        </row>
        <row r="14751">
          <cell r="D14751" t="str">
            <v>MCX4121A-ACAT</v>
          </cell>
          <cell r="E14751" t="str">
            <v>MT2218416563</v>
          </cell>
        </row>
        <row r="14752">
          <cell r="D14752" t="str">
            <v>MCX4121A-ACAT</v>
          </cell>
          <cell r="E14752" t="str">
            <v>MT2218422225</v>
          </cell>
        </row>
        <row r="14753">
          <cell r="D14753" t="str">
            <v>MCX4121A-ACAT</v>
          </cell>
          <cell r="E14753" t="str">
            <v>MT2218422265</v>
          </cell>
        </row>
        <row r="14754">
          <cell r="D14754" t="str">
            <v>MCX4121A-ACAT</v>
          </cell>
          <cell r="E14754" t="str">
            <v>MT2218422268</v>
          </cell>
        </row>
        <row r="14755">
          <cell r="D14755" t="str">
            <v>MCX4121A-ACAT</v>
          </cell>
          <cell r="E14755" t="str">
            <v>MT2218422304</v>
          </cell>
        </row>
        <row r="14756">
          <cell r="D14756" t="str">
            <v>MCX4121A-ACAT</v>
          </cell>
          <cell r="E14756" t="str">
            <v>MT2218422339</v>
          </cell>
        </row>
        <row r="14757">
          <cell r="D14757" t="str">
            <v>MCX4121A-ACAT</v>
          </cell>
          <cell r="E14757" t="str">
            <v>MT2218422262</v>
          </cell>
        </row>
        <row r="14758">
          <cell r="D14758" t="str">
            <v>MCX4121A-ACAT</v>
          </cell>
          <cell r="E14758" t="str">
            <v>MT2218423517</v>
          </cell>
        </row>
        <row r="14759">
          <cell r="D14759" t="str">
            <v>MCX4121A-ACAT</v>
          </cell>
          <cell r="E14759" t="str">
            <v>MT2218422380</v>
          </cell>
        </row>
        <row r="14760">
          <cell r="D14760" t="str">
            <v>MCX4121A-ACAT</v>
          </cell>
          <cell r="E14760" t="str">
            <v>MT2218422458</v>
          </cell>
        </row>
        <row r="14761">
          <cell r="D14761" t="str">
            <v>MCX4121A-ACAT</v>
          </cell>
          <cell r="E14761" t="str">
            <v>MT2218422207</v>
          </cell>
        </row>
        <row r="14762">
          <cell r="D14762" t="str">
            <v>MCX4121A-ACAT</v>
          </cell>
          <cell r="E14762" t="str">
            <v>MT2218423455</v>
          </cell>
        </row>
        <row r="14763">
          <cell r="D14763" t="str">
            <v>MCX4121A-ACAT</v>
          </cell>
          <cell r="E14763" t="str">
            <v>MT2218422267</v>
          </cell>
        </row>
        <row r="14764">
          <cell r="D14764" t="str">
            <v>MCX4121A-ACAT</v>
          </cell>
          <cell r="E14764" t="str">
            <v>MT2218422312</v>
          </cell>
        </row>
        <row r="14765">
          <cell r="D14765" t="str">
            <v>MCX4121A-ACAT</v>
          </cell>
          <cell r="E14765" t="str">
            <v>MT2218422315</v>
          </cell>
        </row>
        <row r="14766">
          <cell r="D14766" t="str">
            <v>MCX4121A-ACAT</v>
          </cell>
          <cell r="E14766" t="str">
            <v>MT2218422359</v>
          </cell>
        </row>
        <row r="14767">
          <cell r="D14767" t="str">
            <v>MCX4121A-ACAT</v>
          </cell>
          <cell r="E14767" t="str">
            <v>MT2218423597</v>
          </cell>
        </row>
        <row r="14768">
          <cell r="D14768" t="str">
            <v>MCX4121A-ACAT</v>
          </cell>
          <cell r="E14768" t="str">
            <v>MT2218424855</v>
          </cell>
        </row>
        <row r="14769">
          <cell r="D14769" t="str">
            <v>MCX4121A-ACAT</v>
          </cell>
          <cell r="E14769" t="str">
            <v>MT2218422402</v>
          </cell>
        </row>
        <row r="14770">
          <cell r="D14770" t="str">
            <v>MCX4121A-ACAT</v>
          </cell>
          <cell r="E14770" t="str">
            <v>MT2218422445</v>
          </cell>
        </row>
        <row r="14771">
          <cell r="D14771" t="str">
            <v>MCX4121A-ACAT</v>
          </cell>
          <cell r="E14771" t="str">
            <v>MT2218423170</v>
          </cell>
        </row>
        <row r="14772">
          <cell r="D14772" t="str">
            <v>MCX4121A-ACAT</v>
          </cell>
          <cell r="E14772" t="str">
            <v>MT2218423160</v>
          </cell>
        </row>
        <row r="14773">
          <cell r="D14773" t="str">
            <v>MCX4121A-ACAT</v>
          </cell>
          <cell r="E14773" t="str">
            <v>MT2218424403</v>
          </cell>
        </row>
        <row r="14774">
          <cell r="D14774" t="str">
            <v>MCX4121A-ACAT</v>
          </cell>
          <cell r="E14774" t="str">
            <v>MT2218423105</v>
          </cell>
        </row>
        <row r="14775">
          <cell r="D14775" t="str">
            <v>MCX4121A-ACAT</v>
          </cell>
          <cell r="E14775" t="str">
            <v>MT2218423202</v>
          </cell>
        </row>
        <row r="14776">
          <cell r="D14776" t="str">
            <v>MCX4121A-ACAT</v>
          </cell>
          <cell r="E14776" t="str">
            <v>MT2218423210</v>
          </cell>
        </row>
        <row r="14777">
          <cell r="D14777" t="str">
            <v>MCX4121A-ACAT</v>
          </cell>
          <cell r="E14777" t="str">
            <v>MT2218423253</v>
          </cell>
        </row>
        <row r="14778">
          <cell r="D14778" t="str">
            <v>MCX4121A-ACAT</v>
          </cell>
          <cell r="E14778" t="str">
            <v>MT2218423226</v>
          </cell>
        </row>
        <row r="14779">
          <cell r="D14779" t="str">
            <v>MCX4121A-ACAT</v>
          </cell>
          <cell r="E14779" t="str">
            <v>MT2218423262</v>
          </cell>
        </row>
        <row r="14780">
          <cell r="D14780" t="str">
            <v>MCX4121A-ACAT</v>
          </cell>
          <cell r="E14780" t="str">
            <v>MT2218423286</v>
          </cell>
        </row>
        <row r="14781">
          <cell r="D14781" t="str">
            <v>MCX4121A-ACAT</v>
          </cell>
          <cell r="E14781" t="str">
            <v>MT2218423131</v>
          </cell>
        </row>
        <row r="14782">
          <cell r="D14782" t="str">
            <v>MCX4121A-ACAT</v>
          </cell>
          <cell r="E14782" t="str">
            <v>MT2218423107</v>
          </cell>
        </row>
        <row r="14783">
          <cell r="D14783" t="str">
            <v>MCX4121A-ACAT</v>
          </cell>
          <cell r="E14783" t="str">
            <v>MT2218423135</v>
          </cell>
        </row>
        <row r="14784">
          <cell r="D14784" t="str">
            <v>MCX4121A-ACAT</v>
          </cell>
          <cell r="E14784" t="str">
            <v>MT2218423193</v>
          </cell>
        </row>
        <row r="14785">
          <cell r="D14785" t="str">
            <v>MCX4121A-ACAT</v>
          </cell>
          <cell r="E14785" t="str">
            <v>MT2218423206</v>
          </cell>
        </row>
        <row r="14786">
          <cell r="D14786" t="str">
            <v>MCX4121A-ACAT</v>
          </cell>
          <cell r="E14786" t="str">
            <v>MT2218423245</v>
          </cell>
        </row>
        <row r="14787">
          <cell r="D14787" t="str">
            <v>MCX4121A-ACAT</v>
          </cell>
          <cell r="E14787" t="str">
            <v>MT2218423234</v>
          </cell>
        </row>
        <row r="14788">
          <cell r="D14788" t="str">
            <v>MCX4121A-ACAT</v>
          </cell>
          <cell r="E14788" t="str">
            <v>MT2218423259</v>
          </cell>
        </row>
        <row r="14789">
          <cell r="D14789" t="str">
            <v>MCX4121A-ACAT</v>
          </cell>
          <cell r="E14789" t="str">
            <v>MT2218423276</v>
          </cell>
        </row>
        <row r="14790">
          <cell r="D14790" t="str">
            <v>MCX4121A-ACAT</v>
          </cell>
          <cell r="E14790" t="str">
            <v>MT2218423283</v>
          </cell>
        </row>
        <row r="14791">
          <cell r="D14791" t="str">
            <v>MCX4121A-ACAT</v>
          </cell>
          <cell r="E14791" t="str">
            <v>MT2218419624</v>
          </cell>
        </row>
        <row r="14792">
          <cell r="D14792" t="str">
            <v>MCX4121A-ACAT</v>
          </cell>
          <cell r="E14792" t="str">
            <v>MT2218419670</v>
          </cell>
        </row>
        <row r="14793">
          <cell r="D14793" t="str">
            <v>MCX4121A-ACAT</v>
          </cell>
          <cell r="E14793" t="str">
            <v>MT2218419701</v>
          </cell>
        </row>
        <row r="14794">
          <cell r="D14794" t="str">
            <v>MCX4121A-ACAT</v>
          </cell>
          <cell r="E14794" t="str">
            <v>MT2218419715</v>
          </cell>
        </row>
        <row r="14795">
          <cell r="D14795" t="str">
            <v>MCX4121A-ACAT</v>
          </cell>
          <cell r="E14795" t="str">
            <v>MT2218419518</v>
          </cell>
        </row>
        <row r="14796">
          <cell r="D14796" t="str">
            <v>MCX4121A-ACAT</v>
          </cell>
          <cell r="E14796" t="str">
            <v>MT2218419770</v>
          </cell>
        </row>
        <row r="14797">
          <cell r="D14797" t="str">
            <v>MCX4121A-ACAT</v>
          </cell>
          <cell r="E14797" t="str">
            <v>MT2218419845</v>
          </cell>
        </row>
        <row r="14798">
          <cell r="D14798" t="str">
            <v>MCX4121A-ACAT</v>
          </cell>
          <cell r="E14798" t="str">
            <v>MT2218419839</v>
          </cell>
        </row>
        <row r="14799">
          <cell r="D14799" t="str">
            <v>MCX4121A-ACAT</v>
          </cell>
          <cell r="E14799" t="str">
            <v>MT2218419869</v>
          </cell>
        </row>
        <row r="14800">
          <cell r="D14800" t="str">
            <v>MCX4121A-ACAT</v>
          </cell>
          <cell r="E14800" t="str">
            <v>MT2218419882</v>
          </cell>
        </row>
        <row r="14801">
          <cell r="D14801" t="str">
            <v>MCX4121A-ACAT</v>
          </cell>
          <cell r="E14801" t="str">
            <v>MT2218419545</v>
          </cell>
        </row>
        <row r="14802">
          <cell r="D14802" t="str">
            <v>MCX4121A-ACAT</v>
          </cell>
          <cell r="E14802" t="str">
            <v>MT2218419683</v>
          </cell>
        </row>
        <row r="14803">
          <cell r="D14803" t="str">
            <v>MCX4121A-ACAT</v>
          </cell>
          <cell r="E14803" t="str">
            <v>MT2218419636</v>
          </cell>
        </row>
        <row r="14804">
          <cell r="D14804" t="str">
            <v>MCX4121A-ACAT</v>
          </cell>
          <cell r="E14804" t="str">
            <v>MT2218419677</v>
          </cell>
        </row>
        <row r="14805">
          <cell r="D14805" t="str">
            <v>MCX4121A-ACAT</v>
          </cell>
          <cell r="E14805" t="str">
            <v>MT2218419406</v>
          </cell>
        </row>
        <row r="14806">
          <cell r="D14806" t="str">
            <v>MCX4121A-ACAT</v>
          </cell>
          <cell r="E14806" t="str">
            <v>MT2218419759</v>
          </cell>
        </row>
        <row r="14807">
          <cell r="D14807" t="str">
            <v>MCX4121A-ACAT</v>
          </cell>
          <cell r="E14807" t="str">
            <v>MT2218419763</v>
          </cell>
        </row>
        <row r="14808">
          <cell r="D14808" t="str">
            <v>MCX4121A-ACAT</v>
          </cell>
          <cell r="E14808" t="str">
            <v>MT2218419846</v>
          </cell>
        </row>
        <row r="14809">
          <cell r="D14809" t="str">
            <v>MCX4121A-ACAT</v>
          </cell>
          <cell r="E14809" t="str">
            <v>MT2218419568</v>
          </cell>
        </row>
        <row r="14810">
          <cell r="D14810" t="str">
            <v>MCX4121A-ACAT</v>
          </cell>
          <cell r="E14810" t="str">
            <v>MT2218416872</v>
          </cell>
        </row>
        <row r="14811">
          <cell r="D14811" t="str">
            <v>MCX4121A-ACAT</v>
          </cell>
          <cell r="E14811" t="str">
            <v>MT2218424030</v>
          </cell>
        </row>
        <row r="14812">
          <cell r="D14812" t="str">
            <v>MCX4121A-ACAT</v>
          </cell>
          <cell r="E14812" t="str">
            <v>MT2218424198</v>
          </cell>
        </row>
        <row r="14813">
          <cell r="D14813" t="str">
            <v>MCX4121A-ACAT</v>
          </cell>
          <cell r="E14813" t="str">
            <v>MT2218424209</v>
          </cell>
        </row>
        <row r="14814">
          <cell r="D14814" t="str">
            <v>MCX4121A-ACAT</v>
          </cell>
          <cell r="E14814" t="str">
            <v>MT2218424173</v>
          </cell>
        </row>
        <row r="14815">
          <cell r="D14815" t="str">
            <v>MCX4121A-ACAT</v>
          </cell>
          <cell r="E14815" t="str">
            <v>MT2218424234</v>
          </cell>
        </row>
        <row r="14816">
          <cell r="D14816" t="str">
            <v>MCX4121A-ACAT</v>
          </cell>
          <cell r="E14816" t="str">
            <v>MT2218424267</v>
          </cell>
        </row>
        <row r="14817">
          <cell r="D14817" t="str">
            <v>MCX4121A-ACAT</v>
          </cell>
          <cell r="E14817" t="str">
            <v>MT2218424309</v>
          </cell>
        </row>
        <row r="14818">
          <cell r="D14818" t="str">
            <v>MCX4121A-ACAT</v>
          </cell>
          <cell r="E14818" t="str">
            <v>MT2218424333</v>
          </cell>
        </row>
        <row r="14819">
          <cell r="D14819" t="str">
            <v>MCX4121A-ACAT</v>
          </cell>
          <cell r="E14819" t="str">
            <v>MT2218424344</v>
          </cell>
        </row>
        <row r="14820">
          <cell r="D14820" t="str">
            <v>MCX4121A-ACAT</v>
          </cell>
          <cell r="E14820" t="str">
            <v>MT2218424367</v>
          </cell>
        </row>
        <row r="14821">
          <cell r="D14821" t="str">
            <v>MCX4121A-ACAT</v>
          </cell>
          <cell r="E14821" t="str">
            <v>MT2218425408</v>
          </cell>
        </row>
        <row r="14822">
          <cell r="D14822" t="str">
            <v>MCX4121A-ACAT</v>
          </cell>
          <cell r="E14822" t="str">
            <v>MT2218424208</v>
          </cell>
        </row>
        <row r="14823">
          <cell r="D14823" t="str">
            <v>MCX4121A-ACAT</v>
          </cell>
          <cell r="E14823" t="str">
            <v>MT2218424218</v>
          </cell>
        </row>
        <row r="14824">
          <cell r="D14824" t="str">
            <v>MCX4121A-ACAT</v>
          </cell>
          <cell r="E14824" t="str">
            <v>MT2218424275</v>
          </cell>
        </row>
        <row r="14825">
          <cell r="D14825" t="str">
            <v>MCX4121A-ACAT</v>
          </cell>
          <cell r="E14825" t="str">
            <v>MT2218424241</v>
          </cell>
        </row>
        <row r="14826">
          <cell r="D14826" t="str">
            <v>MCX4121A-ACAT</v>
          </cell>
          <cell r="E14826" t="str">
            <v>MT2218424305</v>
          </cell>
        </row>
        <row r="14827">
          <cell r="D14827" t="str">
            <v>MCX4121A-ACAT</v>
          </cell>
          <cell r="E14827" t="str">
            <v>MT2218424337</v>
          </cell>
        </row>
        <row r="14828">
          <cell r="D14828" t="str">
            <v>MCX4121A-ACAT</v>
          </cell>
          <cell r="E14828" t="str">
            <v>MT2218424342</v>
          </cell>
        </row>
        <row r="14829">
          <cell r="D14829" t="str">
            <v>MCX4121A-ACAT</v>
          </cell>
          <cell r="E14829" t="str">
            <v>MT2218424350</v>
          </cell>
        </row>
        <row r="14830">
          <cell r="D14830" t="str">
            <v>MCX4121A-ACAT</v>
          </cell>
          <cell r="E14830" t="str">
            <v>MT2218424380</v>
          </cell>
        </row>
        <row r="14831">
          <cell r="D14831" t="str">
            <v>MCX4121A-ACAT</v>
          </cell>
          <cell r="E14831" t="str">
            <v>MT2218417441</v>
          </cell>
        </row>
        <row r="14832">
          <cell r="D14832" t="str">
            <v>MCX4121A-ACAT</v>
          </cell>
          <cell r="E14832" t="str">
            <v>MT2218417194</v>
          </cell>
        </row>
        <row r="14833">
          <cell r="D14833" t="str">
            <v>MCX4121A-ACAT</v>
          </cell>
          <cell r="E14833" t="str">
            <v>MT2218417458</v>
          </cell>
        </row>
        <row r="14834">
          <cell r="D14834" t="str">
            <v>MCX4121A-ACAT</v>
          </cell>
          <cell r="E14834" t="str">
            <v>MT2218417495</v>
          </cell>
        </row>
        <row r="14835">
          <cell r="D14835" t="str">
            <v>MCX4121A-ACAT</v>
          </cell>
          <cell r="E14835" t="str">
            <v>MT2218424960</v>
          </cell>
        </row>
        <row r="14836">
          <cell r="D14836" t="str">
            <v>MCX4121A-ACAT</v>
          </cell>
          <cell r="E14836" t="str">
            <v>MT2218424933</v>
          </cell>
        </row>
        <row r="14837">
          <cell r="D14837" t="str">
            <v>MCX4121A-ACAT</v>
          </cell>
          <cell r="E14837" t="str">
            <v>MT2218424971</v>
          </cell>
        </row>
        <row r="14838">
          <cell r="D14838" t="str">
            <v>MCX4121A-ACAT</v>
          </cell>
          <cell r="E14838" t="str">
            <v>MT2218424997</v>
          </cell>
        </row>
        <row r="14839">
          <cell r="D14839" t="str">
            <v>MCX4121A-ACAT</v>
          </cell>
          <cell r="E14839" t="str">
            <v>MT2218425046</v>
          </cell>
        </row>
        <row r="14840">
          <cell r="D14840" t="str">
            <v>MCX4121A-ACAT</v>
          </cell>
          <cell r="E14840" t="str">
            <v>MT2218425039</v>
          </cell>
        </row>
        <row r="14841">
          <cell r="D14841" t="str">
            <v>MCX4121A-ACAT</v>
          </cell>
          <cell r="E14841" t="str">
            <v>MT2218417235</v>
          </cell>
        </row>
        <row r="14842">
          <cell r="D14842" t="str">
            <v>MCX4121A-ACAT</v>
          </cell>
          <cell r="E14842" t="str">
            <v>MT2218417481</v>
          </cell>
        </row>
        <row r="14843">
          <cell r="D14843" t="str">
            <v>MCX4121A-ACAT</v>
          </cell>
          <cell r="E14843" t="str">
            <v>MT2218417469</v>
          </cell>
        </row>
        <row r="14844">
          <cell r="D14844" t="str">
            <v>MCX4121A-ACAT</v>
          </cell>
          <cell r="E14844" t="str">
            <v>MT2218417491</v>
          </cell>
        </row>
        <row r="14845">
          <cell r="D14845" t="str">
            <v>MCX4121A-ACAT</v>
          </cell>
          <cell r="E14845" t="str">
            <v>MT2218424947</v>
          </cell>
        </row>
        <row r="14846">
          <cell r="D14846" t="str">
            <v>MCX4121A-ACAT</v>
          </cell>
          <cell r="E14846" t="str">
            <v>MT2218424966</v>
          </cell>
        </row>
        <row r="14847">
          <cell r="D14847" t="str">
            <v>MCX4121A-ACAT</v>
          </cell>
          <cell r="E14847" t="str">
            <v>MT2218425034</v>
          </cell>
        </row>
        <row r="14848">
          <cell r="D14848" t="str">
            <v>MCX4121A-ACAT</v>
          </cell>
          <cell r="E14848" t="str">
            <v>MT2218425094</v>
          </cell>
        </row>
        <row r="14849">
          <cell r="D14849" t="str">
            <v>MCX4121A-ACAT</v>
          </cell>
          <cell r="E14849" t="str">
            <v>MT2218425068</v>
          </cell>
        </row>
        <row r="14850">
          <cell r="D14850" t="str">
            <v>MCX4121A-ACAT</v>
          </cell>
          <cell r="E14850" t="str">
            <v>MT2218425082</v>
          </cell>
        </row>
        <row r="14851">
          <cell r="D14851" t="str">
            <v>MCX4121A-ACAT</v>
          </cell>
          <cell r="E14851" t="str">
            <v>MT2218416659</v>
          </cell>
        </row>
        <row r="14852">
          <cell r="D14852" t="str">
            <v>MCX4121A-ACAT</v>
          </cell>
          <cell r="E14852" t="str">
            <v>MT2218416512</v>
          </cell>
        </row>
        <row r="14853">
          <cell r="D14853" t="str">
            <v>MCX4121A-ACAT</v>
          </cell>
          <cell r="E14853" t="str">
            <v>MT2218416452</v>
          </cell>
        </row>
        <row r="14854">
          <cell r="D14854" t="str">
            <v>MCX4121A-ACAT</v>
          </cell>
          <cell r="E14854" t="str">
            <v>MT2218416539</v>
          </cell>
        </row>
        <row r="14855">
          <cell r="D14855" t="str">
            <v>MCX4121A-ACAT</v>
          </cell>
          <cell r="E14855" t="str">
            <v>MT2218416559</v>
          </cell>
        </row>
        <row r="14856">
          <cell r="D14856" t="str">
            <v>MCX4121A-ACAT</v>
          </cell>
          <cell r="E14856" t="str">
            <v>MT2218418909</v>
          </cell>
        </row>
        <row r="14857">
          <cell r="D14857" t="str">
            <v>MCX4121A-ACAT</v>
          </cell>
          <cell r="E14857" t="str">
            <v>MT2217458356</v>
          </cell>
        </row>
        <row r="14858">
          <cell r="D14858" t="str">
            <v>MCX4121A-ACAT</v>
          </cell>
          <cell r="E14858" t="str">
            <v>MT2218416785</v>
          </cell>
        </row>
        <row r="14859">
          <cell r="D14859" t="str">
            <v>MCX4121A-ACAT</v>
          </cell>
          <cell r="E14859" t="str">
            <v>MT2218416666</v>
          </cell>
        </row>
        <row r="14860">
          <cell r="D14860" t="str">
            <v>MCX4121A-ACAT</v>
          </cell>
          <cell r="E14860" t="str">
            <v>MT2218416685</v>
          </cell>
        </row>
        <row r="14861">
          <cell r="D14861" t="str">
            <v>MCX4121A-ACAT</v>
          </cell>
          <cell r="E14861" t="str">
            <v>MT2218416570</v>
          </cell>
        </row>
        <row r="14862">
          <cell r="D14862" t="str">
            <v>MCX4121A-ACAT</v>
          </cell>
          <cell r="E14862" t="str">
            <v>MT2218416686</v>
          </cell>
        </row>
        <row r="14863">
          <cell r="D14863" t="str">
            <v>MCX4121A-ACAT</v>
          </cell>
          <cell r="E14863" t="str">
            <v>MT2218416664</v>
          </cell>
        </row>
        <row r="14864">
          <cell r="D14864" t="str">
            <v>MCX4121A-ACAT</v>
          </cell>
          <cell r="E14864" t="str">
            <v>MT2218416584</v>
          </cell>
        </row>
        <row r="14865">
          <cell r="D14865" t="str">
            <v>MCX4121A-ACAT</v>
          </cell>
          <cell r="E14865" t="str">
            <v>MT2218416628</v>
          </cell>
        </row>
        <row r="14866">
          <cell r="D14866" t="str">
            <v>MCX4121A-ACAT</v>
          </cell>
          <cell r="E14866" t="str">
            <v>MT2218416774</v>
          </cell>
        </row>
        <row r="14867">
          <cell r="D14867" t="str">
            <v>MCX4121A-ACAT</v>
          </cell>
          <cell r="E14867" t="str">
            <v>MT2218416620</v>
          </cell>
        </row>
        <row r="14868">
          <cell r="D14868" t="str">
            <v>MCX4121A-ACAT</v>
          </cell>
          <cell r="E14868" t="str">
            <v>MT2218416419</v>
          </cell>
        </row>
        <row r="14869">
          <cell r="D14869" t="str">
            <v>MCX4121A-ACAT</v>
          </cell>
          <cell r="E14869" t="str">
            <v>MT2218416596</v>
          </cell>
        </row>
        <row r="14870">
          <cell r="D14870" t="str">
            <v>MCX4121A-ACAT</v>
          </cell>
          <cell r="E14870" t="str">
            <v>MT2218416578</v>
          </cell>
        </row>
        <row r="14871">
          <cell r="D14871" t="str">
            <v>MCX4121A-ACAT</v>
          </cell>
          <cell r="E14871" t="str">
            <v>MT2217448021</v>
          </cell>
        </row>
        <row r="14872">
          <cell r="D14872" t="str">
            <v>MCX4121A-ACAT</v>
          </cell>
          <cell r="E14872" t="str">
            <v>MT2217444183</v>
          </cell>
        </row>
        <row r="14873">
          <cell r="D14873" t="str">
            <v>MCX4121A-ACAT</v>
          </cell>
          <cell r="E14873" t="str">
            <v>MT2217422384</v>
          </cell>
        </row>
        <row r="14874">
          <cell r="D14874" t="str">
            <v>MCX4121A-ACAT</v>
          </cell>
          <cell r="E14874" t="str">
            <v>MT2217448136</v>
          </cell>
        </row>
        <row r="14875">
          <cell r="D14875" t="str">
            <v>MCX4121A-ACAT</v>
          </cell>
          <cell r="E14875" t="str">
            <v>MT2217422279</v>
          </cell>
        </row>
        <row r="14876">
          <cell r="D14876" t="str">
            <v>MCX4121A-ACAT</v>
          </cell>
          <cell r="E14876" t="str">
            <v>MT2217442305</v>
          </cell>
        </row>
        <row r="14877">
          <cell r="D14877" t="str">
            <v>MCX4121A-ACAT</v>
          </cell>
          <cell r="E14877" t="str">
            <v>MT2217450552</v>
          </cell>
        </row>
        <row r="14878">
          <cell r="D14878" t="str">
            <v>MCX4121A-ACAT</v>
          </cell>
          <cell r="E14878" t="str">
            <v>MT2217449040</v>
          </cell>
        </row>
        <row r="14879">
          <cell r="D14879" t="str">
            <v>MCX4121A-ACAT</v>
          </cell>
          <cell r="E14879" t="str">
            <v>MT2217446571</v>
          </cell>
        </row>
        <row r="14880">
          <cell r="D14880" t="str">
            <v>MCX4121A-ACAT</v>
          </cell>
          <cell r="E14880" t="str">
            <v>MT2217466924</v>
          </cell>
        </row>
        <row r="14881">
          <cell r="D14881" t="str">
            <v>1U4LW-X570/2L2T RPSU</v>
          </cell>
          <cell r="E14881" t="str">
            <v>EBS0R8000280</v>
          </cell>
        </row>
        <row r="14882">
          <cell r="D14882" t="str">
            <v>1U4LW-X570/2L2T RPSU</v>
          </cell>
          <cell r="E14882" t="str">
            <v>EBS0R8000279</v>
          </cell>
        </row>
        <row r="14883">
          <cell r="D14883" t="str">
            <v>1U4LW-X570/2L2T RPSU</v>
          </cell>
          <cell r="E14883" t="str">
            <v>EBS0R8000289</v>
          </cell>
        </row>
        <row r="14884">
          <cell r="D14884" t="str">
            <v>1U4LW-X570/2L2T RPSU</v>
          </cell>
          <cell r="E14884" t="str">
            <v>EBS0R8000290</v>
          </cell>
        </row>
        <row r="14885">
          <cell r="D14885" t="str">
            <v>1U4LW-X570/2L2T RPSU</v>
          </cell>
          <cell r="E14885" t="str">
            <v>EBS0R8000283</v>
          </cell>
        </row>
        <row r="14886">
          <cell r="D14886" t="str">
            <v>1U4LW-X570/2L2T RPSU</v>
          </cell>
          <cell r="E14886" t="str">
            <v>EBS0R8000275</v>
          </cell>
        </row>
        <row r="14887">
          <cell r="D14887" t="str">
            <v>1U4LW-X570/2L2T RPSU</v>
          </cell>
          <cell r="E14887" t="str">
            <v>EBS0R8000281</v>
          </cell>
        </row>
        <row r="14888">
          <cell r="D14888" t="str">
            <v>1U4LW-X570/2L2T RPSU</v>
          </cell>
          <cell r="E14888" t="str">
            <v>EBS0R8000276</v>
          </cell>
        </row>
        <row r="14889">
          <cell r="D14889" t="str">
            <v>1U4LW-X570/2L2T RPSU</v>
          </cell>
          <cell r="E14889" t="str">
            <v>EBS0R8000274</v>
          </cell>
        </row>
        <row r="14890">
          <cell r="D14890" t="str">
            <v>1U4LW-X570/2L2T RPSU</v>
          </cell>
          <cell r="E14890" t="str">
            <v>EBS0R8000285</v>
          </cell>
        </row>
        <row r="14891">
          <cell r="D14891" t="str">
            <v>SSDSC2KG480GZ01</v>
          </cell>
          <cell r="E14891" t="str">
            <v>PHYJ148000BB480AGN</v>
          </cell>
        </row>
        <row r="14892">
          <cell r="D14892" t="str">
            <v>SSDSC2KG480GZ01</v>
          </cell>
          <cell r="E14892" t="str">
            <v>PHYJ148102NE480AGN</v>
          </cell>
        </row>
        <row r="14893">
          <cell r="D14893" t="str">
            <v>SSDSC2KG480GZ01</v>
          </cell>
          <cell r="E14893" t="str">
            <v>PHYJ1481027U480AGN</v>
          </cell>
        </row>
        <row r="14894">
          <cell r="D14894" t="str">
            <v>SSDSC2KG480GZ01</v>
          </cell>
          <cell r="E14894" t="str">
            <v>BTYJ130504H2480AGN</v>
          </cell>
        </row>
        <row r="14895">
          <cell r="D14895" t="str">
            <v>SSDSC2KG480GZ01</v>
          </cell>
          <cell r="E14895" t="str">
            <v>PHYJ148000JZ480AGN</v>
          </cell>
        </row>
        <row r="14896">
          <cell r="D14896" t="str">
            <v>SSDSC2KG480GZ01</v>
          </cell>
          <cell r="E14896" t="str">
            <v>PHYJ14350029480AGN</v>
          </cell>
        </row>
        <row r="14897">
          <cell r="D14897" t="str">
            <v>SSDSC2KG480GZ01</v>
          </cell>
          <cell r="E14897" t="str">
            <v>PHYJ148102RS480AGN</v>
          </cell>
        </row>
        <row r="14898">
          <cell r="D14898" t="str">
            <v>SSDSC2KG480GZ01</v>
          </cell>
          <cell r="E14898" t="str">
            <v>PHYJ148000FE480AGN</v>
          </cell>
        </row>
        <row r="14899">
          <cell r="D14899" t="str">
            <v>SSDSC2KB038T801</v>
          </cell>
          <cell r="E14899" t="str">
            <v>PHYF143600QL3P8EGN</v>
          </cell>
        </row>
        <row r="14900">
          <cell r="D14900" t="str">
            <v>SSDSC2KB038T801</v>
          </cell>
          <cell r="E14900" t="str">
            <v>PHYF143600QF3P8EGN</v>
          </cell>
        </row>
        <row r="14901">
          <cell r="D14901" t="str">
            <v>SSDSC2KB038T801</v>
          </cell>
          <cell r="E14901" t="str">
            <v>PHYF143001V63P8EGN</v>
          </cell>
        </row>
        <row r="14902">
          <cell r="D14902" t="str">
            <v>SSDSC2KB038T801</v>
          </cell>
          <cell r="E14902" t="str">
            <v>PHYF143600HE3P8EGN</v>
          </cell>
        </row>
        <row r="14903">
          <cell r="D14903" t="str">
            <v>0F30144</v>
          </cell>
          <cell r="E14903" t="str">
            <v>5QJSPBEB</v>
          </cell>
        </row>
        <row r="14904">
          <cell r="D14904" t="str">
            <v>0F30144</v>
          </cell>
          <cell r="E14904" t="str">
            <v>5QJSL3UB</v>
          </cell>
        </row>
        <row r="14905">
          <cell r="D14905" t="str">
            <v>0F30144</v>
          </cell>
          <cell r="E14905" t="str">
            <v>5QJSGV2B</v>
          </cell>
        </row>
        <row r="14906">
          <cell r="D14906" t="str">
            <v>0F30144</v>
          </cell>
          <cell r="E14906" t="str">
            <v>5QJSS1DB</v>
          </cell>
        </row>
        <row r="14907">
          <cell r="D14907" t="str">
            <v>0F30144</v>
          </cell>
          <cell r="E14907" t="str">
            <v>5QJSV7DB</v>
          </cell>
        </row>
        <row r="14908">
          <cell r="D14908" t="str">
            <v>0F30144</v>
          </cell>
          <cell r="E14908" t="str">
            <v>5QJSK06B</v>
          </cell>
        </row>
        <row r="14909">
          <cell r="D14909" t="str">
            <v>0F30144</v>
          </cell>
          <cell r="E14909" t="str">
            <v>5QJSHXSB</v>
          </cell>
        </row>
        <row r="14910">
          <cell r="D14910" t="str">
            <v>0F30144</v>
          </cell>
          <cell r="E14910" t="str">
            <v>5QJSG94B</v>
          </cell>
        </row>
        <row r="14911">
          <cell r="D14911" t="str">
            <v>0F30144</v>
          </cell>
          <cell r="E14911" t="str">
            <v>5QJSRPDB</v>
          </cell>
        </row>
        <row r="14912">
          <cell r="D14912" t="str">
            <v>0F30144</v>
          </cell>
          <cell r="E14912" t="str">
            <v>D5HGNTWF</v>
          </cell>
        </row>
        <row r="14913">
          <cell r="D14913" t="str">
            <v>0F30144</v>
          </cell>
          <cell r="E14913" t="str">
            <v>5QJSG70B</v>
          </cell>
        </row>
        <row r="14914">
          <cell r="D14914" t="str">
            <v>0F30144</v>
          </cell>
          <cell r="E14914" t="str">
            <v>5QJSA24B</v>
          </cell>
        </row>
        <row r="14915">
          <cell r="D14915" t="str">
            <v>SSDPE2KE032T807</v>
          </cell>
          <cell r="E14915" t="str">
            <v>PHLN136600GM3P2FGN</v>
          </cell>
        </row>
        <row r="14916">
          <cell r="D14916" t="str">
            <v>SSDPE2KE032T807</v>
          </cell>
          <cell r="E14916" t="str">
            <v>PHLN137502A73P2FGN</v>
          </cell>
        </row>
        <row r="14917">
          <cell r="D14917" t="str">
            <v>SSDPE2KE032T807</v>
          </cell>
          <cell r="E14917" t="str">
            <v>PHLN137502123P2FGN</v>
          </cell>
        </row>
        <row r="14918">
          <cell r="D14918" t="str">
            <v>SSDPE2KE032T807</v>
          </cell>
          <cell r="E14918" t="str">
            <v>PHLN136600LJ3P2FGN</v>
          </cell>
        </row>
        <row r="14919">
          <cell r="D14919" t="str">
            <v>SSDPE2KE032T807</v>
          </cell>
          <cell r="E14919" t="str">
            <v>PHLN136600HQ3P2FGN</v>
          </cell>
        </row>
        <row r="14920">
          <cell r="D14920" t="str">
            <v>SSDPE2KE032T807</v>
          </cell>
          <cell r="E14920" t="str">
            <v>PHLN136601353P2FGN</v>
          </cell>
        </row>
        <row r="14921">
          <cell r="D14921" t="str">
            <v>SSDPE2KE032T807</v>
          </cell>
          <cell r="E14921" t="str">
            <v>PHLN136600HZ3P2FGN</v>
          </cell>
        </row>
        <row r="14922">
          <cell r="D14922" t="str">
            <v>SSDPE2KE032T807</v>
          </cell>
          <cell r="E14922" t="str">
            <v>PHLN136600XE3P2FGN</v>
          </cell>
        </row>
        <row r="14923">
          <cell r="D14923" t="str">
            <v>SSDPE2KE032T807</v>
          </cell>
          <cell r="E14923" t="str">
            <v>PHLN136600PV3P2FGN</v>
          </cell>
        </row>
        <row r="14924">
          <cell r="D14924" t="str">
            <v>SSDPE2KE032T807</v>
          </cell>
          <cell r="E14924" t="str">
            <v>PHLN136600KE3P2FGN</v>
          </cell>
        </row>
        <row r="14925">
          <cell r="D14925" t="str">
            <v>SSDPE2KE032T807</v>
          </cell>
          <cell r="E14925" t="str">
            <v>PHLN136600RG3P2FGN</v>
          </cell>
        </row>
        <row r="14926">
          <cell r="D14926" t="str">
            <v>SSDPE2KE032T807</v>
          </cell>
          <cell r="E14926" t="str">
            <v>PHLN137601913P2FGN</v>
          </cell>
        </row>
        <row r="14927">
          <cell r="D14927" t="str">
            <v>SSDPE2KE032T807</v>
          </cell>
          <cell r="E14927" t="str">
            <v>PHLN136600QF3P2FGN</v>
          </cell>
        </row>
        <row r="14928">
          <cell r="D14928" t="str">
            <v>SSDPE2KE032T807</v>
          </cell>
          <cell r="E14928" t="str">
            <v>PHLN136600GL3P2FGN</v>
          </cell>
        </row>
        <row r="14929">
          <cell r="D14929" t="str">
            <v>SSDPE2KE032T807</v>
          </cell>
          <cell r="E14929" t="str">
            <v>PHLN136600Q93P2FGN</v>
          </cell>
        </row>
        <row r="14930">
          <cell r="D14930" t="str">
            <v>SSDPE2KE032T807</v>
          </cell>
          <cell r="E14930" t="str">
            <v>PHLN136600HV3P2FGN</v>
          </cell>
        </row>
        <row r="14931">
          <cell r="D14931" t="str">
            <v>SSDPE2KE032T807</v>
          </cell>
          <cell r="E14931" t="str">
            <v>PHLN136600JW3P2FGN</v>
          </cell>
        </row>
        <row r="14932">
          <cell r="D14932" t="str">
            <v>SSDPE2KE032T807</v>
          </cell>
          <cell r="E14932" t="str">
            <v>PHLN136601DR3P2FGN</v>
          </cell>
        </row>
        <row r="14933">
          <cell r="D14933" t="str">
            <v>SSDPE2KE032T807</v>
          </cell>
          <cell r="E14933" t="str">
            <v>PHLN136600LH3P2FGN</v>
          </cell>
        </row>
        <row r="14934">
          <cell r="D14934" t="str">
            <v>SSDPE2KE032T807</v>
          </cell>
          <cell r="E14934" t="str">
            <v>PHLN136600GG3P2FGN</v>
          </cell>
        </row>
        <row r="14935">
          <cell r="D14935" t="str">
            <v>SSDPE2KE032T807</v>
          </cell>
          <cell r="E14935" t="str">
            <v>PHLN136600TZ3P2FGN</v>
          </cell>
        </row>
        <row r="14936">
          <cell r="D14936" t="str">
            <v>SSDPE2KE032T807</v>
          </cell>
          <cell r="E14936" t="str">
            <v>PHLN137602BP3P2FGN</v>
          </cell>
        </row>
        <row r="14937">
          <cell r="D14937" t="str">
            <v>SSDPE2KE032T807</v>
          </cell>
          <cell r="E14937" t="str">
            <v>PHLN136600PS3P2FGN</v>
          </cell>
        </row>
        <row r="14938">
          <cell r="D14938" t="str">
            <v>SSDPE2KE032T807</v>
          </cell>
          <cell r="E14938" t="str">
            <v>PHLN136600TA3P2FGN</v>
          </cell>
        </row>
        <row r="14939">
          <cell r="D14939" t="str">
            <v>SSDPE2KE032T807</v>
          </cell>
          <cell r="E14939" t="str">
            <v>PHLN136600QH3P2FGN</v>
          </cell>
        </row>
        <row r="14940">
          <cell r="D14940" t="str">
            <v>SSDPE2KE032T807</v>
          </cell>
          <cell r="E14940" t="str">
            <v>PHLN136600MJ3P2FGN</v>
          </cell>
        </row>
        <row r="14941">
          <cell r="D14941" t="str">
            <v>SSDPED1K375GA01</v>
          </cell>
          <cell r="E14941" t="str">
            <v>PHKS05150069375AGN</v>
          </cell>
        </row>
        <row r="14942">
          <cell r="D14942" t="str">
            <v>SSDPED1K375GA01</v>
          </cell>
          <cell r="E14942" t="str">
            <v>PHKS0515006A375AGN</v>
          </cell>
        </row>
        <row r="14943">
          <cell r="D14943" t="str">
            <v>05-50039-00 CVPM05</v>
          </cell>
          <cell r="E14943" t="str">
            <v>SPB3741631</v>
          </cell>
        </row>
        <row r="14944">
          <cell r="D14944" t="str">
            <v>05-50039-00 CVPM05</v>
          </cell>
          <cell r="E14944" t="str">
            <v>SPB3741634</v>
          </cell>
        </row>
        <row r="14945">
          <cell r="D14945" t="str">
            <v>05-50039-00 CVPM05</v>
          </cell>
          <cell r="E14945" t="str">
            <v>SPB3741562</v>
          </cell>
        </row>
        <row r="14946">
          <cell r="D14946" t="str">
            <v>05-50039-00 CVPM05</v>
          </cell>
          <cell r="E14946" t="str">
            <v>SPB3741554</v>
          </cell>
        </row>
        <row r="14947">
          <cell r="D14947" t="str">
            <v>05-50039-00 CVPM05</v>
          </cell>
          <cell r="E14947" t="str">
            <v>SPB3741559</v>
          </cell>
        </row>
        <row r="14948">
          <cell r="D14948" t="str">
            <v>05-50039-00 CVPM05</v>
          </cell>
          <cell r="E14948" t="str">
            <v>SPB3738482</v>
          </cell>
        </row>
        <row r="14949">
          <cell r="D14949" t="str">
            <v>05-50039-00 CVPM05</v>
          </cell>
          <cell r="E14949" t="str">
            <v>SPB3738667</v>
          </cell>
        </row>
        <row r="14950">
          <cell r="D14950" t="str">
            <v>05-50039-00 CVPM05</v>
          </cell>
          <cell r="E14950" t="str">
            <v>SPB3742286</v>
          </cell>
        </row>
        <row r="14951">
          <cell r="D14951" t="str">
            <v>05-50039-00 CVPM05</v>
          </cell>
          <cell r="E14951" t="str">
            <v>SPB3738654</v>
          </cell>
        </row>
        <row r="14952">
          <cell r="D14952" t="str">
            <v>05-50039-00 CVPM05</v>
          </cell>
          <cell r="E14952" t="str">
            <v>SPB3742274</v>
          </cell>
        </row>
        <row r="14953">
          <cell r="D14953" t="str">
            <v>MZ7L3480HCHQ-00A07</v>
          </cell>
          <cell r="E14953" t="str">
            <v>S664NE0RC31950</v>
          </cell>
        </row>
        <row r="14954">
          <cell r="D14954" t="str">
            <v>MZ7L3480HCHQ-00A07</v>
          </cell>
          <cell r="E14954" t="str">
            <v>S664NE0RC31996</v>
          </cell>
        </row>
        <row r="14955">
          <cell r="D14955" t="str">
            <v>MZ7L3480HCHQ-00A07</v>
          </cell>
          <cell r="E14955" t="str">
            <v>S664NE0RC31955</v>
          </cell>
        </row>
        <row r="14956">
          <cell r="D14956" t="str">
            <v>MZ7L3480HCHQ-00A07</v>
          </cell>
          <cell r="E14956" t="str">
            <v>S664NE0RC31953</v>
          </cell>
        </row>
        <row r="14957">
          <cell r="D14957" t="str">
            <v>MZ7L3480HCHQ-00A07</v>
          </cell>
          <cell r="E14957" t="str">
            <v>S664NE0RC31984</v>
          </cell>
        </row>
        <row r="14958">
          <cell r="D14958" t="str">
            <v>MZ7L3480HCHQ-00A07</v>
          </cell>
          <cell r="E14958" t="str">
            <v>S664NE0RC31986</v>
          </cell>
        </row>
        <row r="14959">
          <cell r="D14959" t="str">
            <v>MZ7L3480HCHQ-00A07</v>
          </cell>
          <cell r="E14959" t="str">
            <v>S664NE0RC31983</v>
          </cell>
        </row>
        <row r="14960">
          <cell r="D14960" t="str">
            <v>MZ7L3480HCHQ-00A07</v>
          </cell>
          <cell r="E14960" t="str">
            <v>S664NE0RC31982</v>
          </cell>
        </row>
        <row r="14961">
          <cell r="D14961" t="str">
            <v>MZ7L3480HCHQ-00A07</v>
          </cell>
          <cell r="E14961" t="str">
            <v>S664NE0RC31985</v>
          </cell>
        </row>
        <row r="14962">
          <cell r="D14962" t="str">
            <v>MZ7L3480HCHQ-00A07</v>
          </cell>
          <cell r="E14962" t="str">
            <v>S664NE0RC31978</v>
          </cell>
        </row>
        <row r="14963">
          <cell r="D14963" t="str">
            <v xml:space="preserve">M393AAG40M32-CAE </v>
          </cell>
          <cell r="E14963" t="str">
            <v>SNL681</v>
          </cell>
        </row>
        <row r="14964">
          <cell r="D14964" t="str">
            <v xml:space="preserve">M393AAG40M32-CAE </v>
          </cell>
          <cell r="E14964" t="str">
            <v>SNL682</v>
          </cell>
        </row>
        <row r="14965">
          <cell r="D14965" t="str">
            <v xml:space="preserve">M393AAG40M32-CAE </v>
          </cell>
          <cell r="E14965" t="str">
            <v>SNL683</v>
          </cell>
        </row>
        <row r="14966">
          <cell r="D14966" t="str">
            <v xml:space="preserve">M393AAG40M32-CAE </v>
          </cell>
          <cell r="E14966" t="str">
            <v>SNL684</v>
          </cell>
        </row>
        <row r="14967">
          <cell r="D14967" t="str">
            <v xml:space="preserve">M393AAG40M32-CAE </v>
          </cell>
          <cell r="E14967" t="str">
            <v>SNL685</v>
          </cell>
        </row>
        <row r="14968">
          <cell r="D14968" t="str">
            <v xml:space="preserve">M393AAG40M32-CAE </v>
          </cell>
          <cell r="E14968" t="str">
            <v>SNL686</v>
          </cell>
        </row>
        <row r="14969">
          <cell r="D14969" t="str">
            <v xml:space="preserve">M393AAG40M32-CAE </v>
          </cell>
          <cell r="E14969" t="str">
            <v>SNL687</v>
          </cell>
        </row>
        <row r="14970">
          <cell r="D14970" t="str">
            <v xml:space="preserve">M393AAG40M32-CAE </v>
          </cell>
          <cell r="E14970" t="str">
            <v>SNL688</v>
          </cell>
        </row>
        <row r="14971">
          <cell r="D14971" t="str">
            <v xml:space="preserve">M393AAG40M32-CAE </v>
          </cell>
          <cell r="E14971" t="str">
            <v>SNL689</v>
          </cell>
        </row>
        <row r="14972">
          <cell r="D14972" t="str">
            <v xml:space="preserve">M393AAG40M32-CAE </v>
          </cell>
          <cell r="E14972" t="str">
            <v>SNL690</v>
          </cell>
        </row>
        <row r="14973">
          <cell r="D14973" t="str">
            <v>CSE-826BAC4-R1K23WB</v>
          </cell>
          <cell r="E14973" t="str">
            <v>C8260FL02P10004</v>
          </cell>
        </row>
        <row r="14974">
          <cell r="D14974" t="str">
            <v>CSE-826BAC4-R1K23WB</v>
          </cell>
          <cell r="E14974" t="str">
            <v>C8260FK44P60050</v>
          </cell>
        </row>
        <row r="14975">
          <cell r="D14975" t="str">
            <v>PWS</v>
          </cell>
          <cell r="E14975" t="str">
            <v>P1K2ACM05SB3420</v>
          </cell>
        </row>
        <row r="14976">
          <cell r="D14976" t="str">
            <v>PWS</v>
          </cell>
          <cell r="E14976" t="str">
            <v>P1K2ACM05SB3419</v>
          </cell>
        </row>
        <row r="14977">
          <cell r="D14977" t="str">
            <v>BPN</v>
          </cell>
          <cell r="E14977" t="str">
            <v>HB219S030121</v>
          </cell>
        </row>
        <row r="14978">
          <cell r="D14978" t="str">
            <v>CSE-826BAC4-R1K23WB</v>
          </cell>
          <cell r="E14978" t="str">
            <v>C8260FK44P60100</v>
          </cell>
        </row>
        <row r="14979">
          <cell r="D14979" t="str">
            <v>PWS</v>
          </cell>
          <cell r="E14979" t="str">
            <v>P1K2ACM05SB3424</v>
          </cell>
        </row>
        <row r="14980">
          <cell r="D14980" t="str">
            <v>PWS</v>
          </cell>
          <cell r="E14980" t="str">
            <v>P1K2ACM05SB3423</v>
          </cell>
        </row>
        <row r="14981">
          <cell r="D14981" t="str">
            <v>BPN</v>
          </cell>
          <cell r="E14981" t="str">
            <v>HB217S020508</v>
          </cell>
        </row>
        <row r="14982">
          <cell r="D14982" t="str">
            <v>CSE-826BAC4-R1K23WB</v>
          </cell>
          <cell r="E14982" t="str">
            <v>C8260FK44P60049</v>
          </cell>
        </row>
        <row r="14983">
          <cell r="D14983" t="str">
            <v>PWS</v>
          </cell>
          <cell r="E14983" t="str">
            <v>P1K2ACM05SB3427</v>
          </cell>
        </row>
        <row r="14984">
          <cell r="D14984" t="str">
            <v>PWS</v>
          </cell>
          <cell r="E14984" t="str">
            <v>P1K2ACM05SB3428</v>
          </cell>
        </row>
        <row r="14985">
          <cell r="D14985" t="str">
            <v>BPN</v>
          </cell>
          <cell r="E14985" t="str">
            <v>HB219S030128</v>
          </cell>
        </row>
        <row r="14986">
          <cell r="D14986" t="str">
            <v>CSE-826BAC4-R1K23WB</v>
          </cell>
          <cell r="E14986" t="str">
            <v>C8260FK44P60051</v>
          </cell>
        </row>
        <row r="14987">
          <cell r="D14987" t="str">
            <v>PWS</v>
          </cell>
          <cell r="E14987" t="str">
            <v>P1K2ACM05SB3413</v>
          </cell>
        </row>
        <row r="14988">
          <cell r="D14988" t="str">
            <v>PWS</v>
          </cell>
          <cell r="E14988" t="str">
            <v>P1K2ACM05SB3414</v>
          </cell>
        </row>
        <row r="14989">
          <cell r="D14989" t="str">
            <v>BPN</v>
          </cell>
          <cell r="E14989" t="str">
            <v>HB217S020506</v>
          </cell>
        </row>
        <row r="14990">
          <cell r="D14990" t="str">
            <v>CSE-826BAC4-R1K23WB</v>
          </cell>
          <cell r="E14990" t="str">
            <v>C8260FL02P10006</v>
          </cell>
        </row>
        <row r="14991">
          <cell r="D14991" t="str">
            <v>CSE-826BAC4-R1K23WB</v>
          </cell>
          <cell r="E14991" t="str">
            <v>C8260FK44P60035</v>
          </cell>
        </row>
        <row r="14992">
          <cell r="D14992" t="str">
            <v>PWS</v>
          </cell>
          <cell r="E14992" t="str">
            <v>P1K2ACM05SB3421</v>
          </cell>
        </row>
        <row r="14993">
          <cell r="D14993" t="str">
            <v>PWS</v>
          </cell>
          <cell r="E14993" t="str">
            <v>P1K2ACM05SB3422</v>
          </cell>
        </row>
        <row r="14994">
          <cell r="D14994" t="str">
            <v>BPN</v>
          </cell>
          <cell r="E14994" t="str">
            <v>HB217S020507</v>
          </cell>
        </row>
        <row r="14995">
          <cell r="D14995" t="str">
            <v>CSE-826BAC4-R1K23WB</v>
          </cell>
          <cell r="E14995" t="str">
            <v>C8260FK44P60047</v>
          </cell>
        </row>
        <row r="14996">
          <cell r="D14996" t="str">
            <v>PWS</v>
          </cell>
          <cell r="E14996" t="str">
            <v>P1K2ACM05SB3259</v>
          </cell>
        </row>
        <row r="14997">
          <cell r="D14997" t="str">
            <v>PWS</v>
          </cell>
          <cell r="E14997" t="str">
            <v>P1K2ACM05SB3260</v>
          </cell>
        </row>
        <row r="14998">
          <cell r="D14998" t="str">
            <v>BPN</v>
          </cell>
          <cell r="E14998" t="str">
            <v>HB219S030122</v>
          </cell>
        </row>
        <row r="14999">
          <cell r="D14999" t="str">
            <v>CSE-826BAC4-R1K23WB</v>
          </cell>
          <cell r="E14999" t="str">
            <v>C8260FK44P60043</v>
          </cell>
        </row>
        <row r="15000">
          <cell r="D15000" t="str">
            <v>PWS</v>
          </cell>
          <cell r="E15000" t="str">
            <v>P1K2ACM05SB3430</v>
          </cell>
        </row>
        <row r="15001">
          <cell r="D15001" t="str">
            <v>PWS</v>
          </cell>
          <cell r="E15001" t="str">
            <v>P1K2ACM05SB3429</v>
          </cell>
        </row>
        <row r="15002">
          <cell r="D15002" t="str">
            <v>BPN</v>
          </cell>
          <cell r="E15002" t="str">
            <v>HB219S030126</v>
          </cell>
        </row>
        <row r="15003">
          <cell r="D15003" t="str">
            <v>SYS-7049GP-TRT</v>
          </cell>
          <cell r="E15003" t="str">
            <v>E291427X2501372</v>
          </cell>
        </row>
        <row r="15004">
          <cell r="D15004" t="str">
            <v>CSE</v>
          </cell>
          <cell r="E15004" t="str">
            <v>C7470KK47P50595</v>
          </cell>
        </row>
        <row r="15005">
          <cell r="D15005" t="str">
            <v>PWS</v>
          </cell>
          <cell r="E15005" t="str">
            <v>P2K20CM13PB0382</v>
          </cell>
        </row>
        <row r="15006">
          <cell r="D15006" t="str">
            <v>PWS</v>
          </cell>
          <cell r="E15006" t="str">
            <v>P2K20CM13PB0385</v>
          </cell>
        </row>
        <row r="15007">
          <cell r="D15007" t="str">
            <v>BPN</v>
          </cell>
          <cell r="E15007" t="str">
            <v>PB217S007273</v>
          </cell>
        </row>
        <row r="15008">
          <cell r="D15008" t="str">
            <v>MBD</v>
          </cell>
          <cell r="E15008" t="str">
            <v>VM21AS013394</v>
          </cell>
        </row>
        <row r="15009">
          <cell r="D15009" t="str">
            <v>SYS-7049GP-TRT</v>
          </cell>
          <cell r="E15009" t="str">
            <v>E291427X2501360</v>
          </cell>
        </row>
        <row r="15010">
          <cell r="D15010" t="str">
            <v>CSE</v>
          </cell>
          <cell r="E15010" t="str">
            <v>C7470KK47P50461</v>
          </cell>
        </row>
        <row r="15011">
          <cell r="D15011" t="str">
            <v>PWS</v>
          </cell>
          <cell r="E15011" t="str">
            <v>P2K20CM13PB0333</v>
          </cell>
        </row>
        <row r="15012">
          <cell r="D15012" t="str">
            <v>PWS</v>
          </cell>
          <cell r="E15012" t="str">
            <v>P2K20CM13PB0332</v>
          </cell>
        </row>
        <row r="15013">
          <cell r="D15013" t="str">
            <v>BPN</v>
          </cell>
          <cell r="E15013" t="str">
            <v>EB218S013347</v>
          </cell>
        </row>
        <row r="15014">
          <cell r="D15014" t="str">
            <v>MBD</v>
          </cell>
          <cell r="E15014" t="str">
            <v>VM21AS007128</v>
          </cell>
        </row>
        <row r="15015">
          <cell r="D15015" t="str">
            <v>SYS-7049GP-TRT</v>
          </cell>
          <cell r="E15015" t="str">
            <v>E291427X2501365</v>
          </cell>
        </row>
        <row r="15016">
          <cell r="D15016" t="str">
            <v>CSE</v>
          </cell>
          <cell r="E15016" t="str">
            <v>C7470KK47P50458</v>
          </cell>
        </row>
        <row r="15017">
          <cell r="D15017" t="str">
            <v>PWS</v>
          </cell>
          <cell r="E15017" t="str">
            <v>P2K20CM13PB0325</v>
          </cell>
        </row>
        <row r="15018">
          <cell r="D15018" t="str">
            <v>PWS</v>
          </cell>
          <cell r="E15018" t="str">
            <v>P2K20CM13PB0326</v>
          </cell>
        </row>
        <row r="15019">
          <cell r="D15019" t="str">
            <v>BPN</v>
          </cell>
          <cell r="E15019" t="str">
            <v>PB217S007265</v>
          </cell>
        </row>
        <row r="15020">
          <cell r="D15020" t="str">
            <v>MBD</v>
          </cell>
          <cell r="E15020" t="str">
            <v>VM21AS007539</v>
          </cell>
        </row>
        <row r="15021">
          <cell r="D15021" t="str">
            <v>SYS-7049GP-TRT</v>
          </cell>
          <cell r="E15021" t="str">
            <v>E291427X2501359</v>
          </cell>
        </row>
        <row r="15022">
          <cell r="D15022" t="str">
            <v>CSE</v>
          </cell>
          <cell r="E15022" t="str">
            <v>C7470KK47P50460</v>
          </cell>
        </row>
        <row r="15023">
          <cell r="D15023" t="str">
            <v>PWS</v>
          </cell>
          <cell r="E15023" t="str">
            <v>P2K20CM13PB0338</v>
          </cell>
        </row>
        <row r="15024">
          <cell r="D15024" t="str">
            <v>PWS</v>
          </cell>
          <cell r="E15024" t="str">
            <v>P2K20CM13PB0341</v>
          </cell>
        </row>
        <row r="15025">
          <cell r="D15025" t="str">
            <v>BPN</v>
          </cell>
          <cell r="E15025" t="str">
            <v>PB217S007270</v>
          </cell>
        </row>
        <row r="15026">
          <cell r="D15026" t="str">
            <v>MBD</v>
          </cell>
          <cell r="E15026" t="str">
            <v>VM21AS007133</v>
          </cell>
        </row>
        <row r="15027">
          <cell r="D15027" t="str">
            <v>SYS-7049GP-TRT</v>
          </cell>
          <cell r="E15027" t="str">
            <v>E291427X2501362</v>
          </cell>
        </row>
        <row r="15028">
          <cell r="D15028" t="str">
            <v>CSE</v>
          </cell>
          <cell r="E15028" t="str">
            <v>C7470KK47P50609</v>
          </cell>
        </row>
        <row r="15029">
          <cell r="D15029" t="str">
            <v>PWS</v>
          </cell>
          <cell r="E15029" t="str">
            <v>P2K20CM13PB0336</v>
          </cell>
        </row>
        <row r="15030">
          <cell r="D15030" t="str">
            <v>PWS</v>
          </cell>
          <cell r="E15030" t="str">
            <v>P2K20CM13PB0335</v>
          </cell>
        </row>
        <row r="15031">
          <cell r="D15031" t="str">
            <v>BPN</v>
          </cell>
          <cell r="E15031" t="str">
            <v>PB217S007272</v>
          </cell>
        </row>
        <row r="15032">
          <cell r="D15032" t="str">
            <v>MBD</v>
          </cell>
          <cell r="E15032" t="str">
            <v>VM21AS007608</v>
          </cell>
        </row>
        <row r="15033">
          <cell r="D15033" t="str">
            <v>SYS-7049GP-TRT</v>
          </cell>
          <cell r="E15033" t="str">
            <v>E291427X2501348</v>
          </cell>
        </row>
        <row r="15034">
          <cell r="D15034" t="str">
            <v>CSE</v>
          </cell>
          <cell r="E15034" t="str">
            <v>C7470KK47P50572</v>
          </cell>
        </row>
        <row r="15035">
          <cell r="D15035" t="str">
            <v>PWS</v>
          </cell>
          <cell r="E15035" t="str">
            <v>P2K20CM13PB0389</v>
          </cell>
        </row>
        <row r="15036">
          <cell r="D15036" t="str">
            <v>PWS</v>
          </cell>
          <cell r="E15036" t="str">
            <v>P2K20CM13PB0402</v>
          </cell>
        </row>
        <row r="15037">
          <cell r="D15037" t="str">
            <v>BPN</v>
          </cell>
          <cell r="E15037" t="str">
            <v>EB218S013350</v>
          </cell>
        </row>
        <row r="15038">
          <cell r="D15038" t="str">
            <v>MBD</v>
          </cell>
          <cell r="E15038" t="str">
            <v>VM21AS013683</v>
          </cell>
        </row>
        <row r="15039">
          <cell r="D15039" t="str">
            <v>CSE-113AC2-R706WB2</v>
          </cell>
          <cell r="E15039" t="str">
            <v>C1130LK35P60034</v>
          </cell>
        </row>
        <row r="15040">
          <cell r="D15040" t="str">
            <v>CSE-113AC2-R706WB2</v>
          </cell>
          <cell r="E15040" t="str">
            <v>C1130LK35P60046</v>
          </cell>
        </row>
        <row r="15041">
          <cell r="D15041" t="str">
            <v>CSE-113AC2-R706WB2</v>
          </cell>
          <cell r="E15041" t="str">
            <v>C1130LK35P60051</v>
          </cell>
        </row>
        <row r="15042">
          <cell r="D15042" t="str">
            <v>MBD-X10DRI-O</v>
          </cell>
          <cell r="E15042" t="str">
            <v>HM21BS028446</v>
          </cell>
        </row>
        <row r="15043">
          <cell r="D15043" t="str">
            <v>MBD-X10DRI-O</v>
          </cell>
          <cell r="E15043" t="str">
            <v>HM21BS028497</v>
          </cell>
        </row>
        <row r="15044">
          <cell r="D15044" t="str">
            <v>MBD-X10DRI-O</v>
          </cell>
          <cell r="E15044" t="str">
            <v>HM21BS028445</v>
          </cell>
        </row>
        <row r="15045">
          <cell r="D15045" t="str">
            <v>MBD-X10DRI-O</v>
          </cell>
          <cell r="E15045" t="str">
            <v>HM21BS028843</v>
          </cell>
        </row>
        <row r="15046">
          <cell r="D15046" t="str">
            <v>MBD-X10DRI-O</v>
          </cell>
          <cell r="E15046" t="str">
            <v>HM21BS028630</v>
          </cell>
        </row>
        <row r="15047">
          <cell r="D15047" t="str">
            <v>MBD-X10DRI-O</v>
          </cell>
          <cell r="E15047" t="str">
            <v>HM21BS028880</v>
          </cell>
        </row>
        <row r="15048">
          <cell r="D15048" t="str">
            <v>MBD-X10DRI-O</v>
          </cell>
          <cell r="E15048" t="str">
            <v>HM21BS028177</v>
          </cell>
        </row>
        <row r="15049">
          <cell r="D15049" t="str">
            <v>MBD-X10DRI-O</v>
          </cell>
          <cell r="E15049" t="str">
            <v>HM21BS028609</v>
          </cell>
        </row>
        <row r="15050">
          <cell r="D15050" t="str">
            <v>MBD-X10DRI-O</v>
          </cell>
          <cell r="E15050" t="str">
            <v>HM21BS028620</v>
          </cell>
        </row>
        <row r="15051">
          <cell r="D15051" t="str">
            <v>MBD-X10DRI-O</v>
          </cell>
          <cell r="E15051" t="str">
            <v>HM21BS028475</v>
          </cell>
        </row>
        <row r="15052">
          <cell r="D15052" t="str">
            <v>MBD-X10DRI-O</v>
          </cell>
          <cell r="E15052" t="str">
            <v>HM21BS028200</v>
          </cell>
        </row>
        <row r="15053">
          <cell r="D15053" t="str">
            <v>MBD-X10DRI-O</v>
          </cell>
          <cell r="E15053" t="str">
            <v>HM21BS028186</v>
          </cell>
        </row>
        <row r="15054">
          <cell r="D15054" t="str">
            <v>MBD-X10DRI-O</v>
          </cell>
          <cell r="E15054" t="str">
            <v>HM21BS028832</v>
          </cell>
        </row>
        <row r="15055">
          <cell r="D15055" t="str">
            <v>MBD-X10DRI-O</v>
          </cell>
          <cell r="E15055" t="str">
            <v>HM21BS028885</v>
          </cell>
        </row>
        <row r="15056">
          <cell r="D15056" t="str">
            <v>MBD-X10DRI-O</v>
          </cell>
          <cell r="E15056" t="str">
            <v>HM21BS028511</v>
          </cell>
        </row>
        <row r="15057">
          <cell r="D15057" t="str">
            <v>MBD-X10DRI-O</v>
          </cell>
          <cell r="E15057" t="str">
            <v>HM21BS028479</v>
          </cell>
        </row>
        <row r="15058">
          <cell r="D15058" t="str">
            <v>MBD-X10DRI-O</v>
          </cell>
          <cell r="E15058" t="str">
            <v>HM21BS028510</v>
          </cell>
        </row>
        <row r="15059">
          <cell r="D15059" t="str">
            <v>MBD-X10DRI-O</v>
          </cell>
          <cell r="E15059" t="str">
            <v>HM21BS028571</v>
          </cell>
        </row>
        <row r="15060">
          <cell r="D15060" t="str">
            <v>MBD-X10DRI-O</v>
          </cell>
          <cell r="E15060" t="str">
            <v>HM21BS028477</v>
          </cell>
        </row>
        <row r="15061">
          <cell r="D15061" t="str">
            <v>MBD-X10DRI-O</v>
          </cell>
          <cell r="E15061" t="str">
            <v>HM21BS028514</v>
          </cell>
        </row>
        <row r="15062">
          <cell r="D15062" t="str">
            <v>MBD-X10DRI-O</v>
          </cell>
          <cell r="E15062" t="str">
            <v>HM21BS028833</v>
          </cell>
        </row>
        <row r="15063">
          <cell r="D15063" t="str">
            <v>MBD-X10DRI-O</v>
          </cell>
          <cell r="E15063" t="str">
            <v>HM21BS028459</v>
          </cell>
        </row>
        <row r="15064">
          <cell r="D15064" t="str">
            <v>MBD-X10DRI-O</v>
          </cell>
          <cell r="E15064" t="str">
            <v>HM21BS028816</v>
          </cell>
        </row>
        <row r="15065">
          <cell r="D15065" t="str">
            <v>MBD-X10DRI-O</v>
          </cell>
          <cell r="E15065" t="str">
            <v>HM21BS028812</v>
          </cell>
        </row>
        <row r="15066">
          <cell r="D15066" t="str">
            <v>MBD-X10DRI-O</v>
          </cell>
          <cell r="E15066" t="str">
            <v>HM21BS029129</v>
          </cell>
        </row>
        <row r="15067">
          <cell r="D15067" t="str">
            <v>MBD-X10DRI-O</v>
          </cell>
          <cell r="E15067" t="str">
            <v>HM21BS028469</v>
          </cell>
        </row>
        <row r="15068">
          <cell r="D15068" t="str">
            <v>MBD-X10DRI-O</v>
          </cell>
          <cell r="E15068" t="str">
            <v>HM21BS028855</v>
          </cell>
        </row>
        <row r="15069">
          <cell r="D15069" t="str">
            <v>MBD-X10DRI-O</v>
          </cell>
          <cell r="E15069" t="str">
            <v>HM21CS013586</v>
          </cell>
        </row>
        <row r="15070">
          <cell r="D15070" t="str">
            <v>MBD-X10DRI-O</v>
          </cell>
          <cell r="E15070" t="str">
            <v>HM21CS013044</v>
          </cell>
        </row>
        <row r="15071">
          <cell r="D15071" t="str">
            <v>MBD-X10DRI-O</v>
          </cell>
          <cell r="E15071" t="str">
            <v>HM21CS013098</v>
          </cell>
        </row>
        <row r="15072">
          <cell r="D15072" t="str">
            <v>MBD-X10DRI-O</v>
          </cell>
          <cell r="E15072" t="str">
            <v>HM21BS028499</v>
          </cell>
        </row>
        <row r="15073">
          <cell r="D15073" t="str">
            <v>MBD-X10DRI-O</v>
          </cell>
          <cell r="E15073" t="str">
            <v>HM21BS028516</v>
          </cell>
        </row>
        <row r="15074">
          <cell r="D15074" t="str">
            <v>MBD-X10DRI-O</v>
          </cell>
          <cell r="E15074" t="str">
            <v>HM21BS028413</v>
          </cell>
        </row>
        <row r="15075">
          <cell r="D15075" t="str">
            <v>MBD-X10DRI-O</v>
          </cell>
          <cell r="E15075" t="str">
            <v>HM21BS028555</v>
          </cell>
        </row>
        <row r="15076">
          <cell r="D15076" t="str">
            <v>MBD-X10DRI-O</v>
          </cell>
          <cell r="E15076" t="str">
            <v>HM21BS028414</v>
          </cell>
        </row>
        <row r="15077">
          <cell r="D15077" t="str">
            <v>MBD-X10DRI-O</v>
          </cell>
          <cell r="E15077" t="str">
            <v>HM21BS028259</v>
          </cell>
        </row>
        <row r="15078">
          <cell r="D15078" t="str">
            <v>MBD-X10DRI-O</v>
          </cell>
          <cell r="E15078" t="str">
            <v>HM21BS028865</v>
          </cell>
        </row>
        <row r="15079">
          <cell r="D15079" t="str">
            <v>MBD-X10DRI-O</v>
          </cell>
          <cell r="E15079" t="str">
            <v>HM21BS028717</v>
          </cell>
        </row>
        <row r="15080">
          <cell r="D15080" t="str">
            <v>MBD-X10DRI-O</v>
          </cell>
          <cell r="E15080" t="str">
            <v>HM21BS028515</v>
          </cell>
        </row>
        <row r="15081">
          <cell r="D15081" t="str">
            <v>MBD-X10DRI-O</v>
          </cell>
          <cell r="E15081" t="str">
            <v>HM21BS028190</v>
          </cell>
        </row>
        <row r="15082">
          <cell r="D15082" t="str">
            <v>MBD-X10DRI-O</v>
          </cell>
          <cell r="E15082" t="str">
            <v>HM21CS013089</v>
          </cell>
        </row>
        <row r="15083">
          <cell r="D15083" t="str">
            <v>MBD-X10DRI-O</v>
          </cell>
          <cell r="E15083" t="str">
            <v>HM21CS013090</v>
          </cell>
        </row>
        <row r="15084">
          <cell r="D15084" t="str">
            <v>MBD-X10DRI-O</v>
          </cell>
          <cell r="E15084" t="str">
            <v>HM21CS013046</v>
          </cell>
        </row>
        <row r="15085">
          <cell r="D15085" t="str">
            <v>MBD-X10DRI-O</v>
          </cell>
          <cell r="E15085" t="str">
            <v>HM21CS014050</v>
          </cell>
        </row>
        <row r="15086">
          <cell r="D15086" t="str">
            <v>MBD-X10DRI-O</v>
          </cell>
          <cell r="E15086" t="str">
            <v>HM21CS013042</v>
          </cell>
        </row>
        <row r="15087">
          <cell r="D15087" t="str">
            <v>MBD-X10DRI-O</v>
          </cell>
          <cell r="E15087" t="str">
            <v>HM21CS013072</v>
          </cell>
        </row>
        <row r="15088">
          <cell r="D15088" t="str">
            <v>MBD-X10DRI-O</v>
          </cell>
          <cell r="E15088" t="str">
            <v>HM21CS013045</v>
          </cell>
        </row>
        <row r="15089">
          <cell r="D15089" t="str">
            <v>MBD-X10DRI-O</v>
          </cell>
          <cell r="E15089" t="str">
            <v>HM21CS013082</v>
          </cell>
        </row>
        <row r="15090">
          <cell r="D15090" t="str">
            <v>MBD-X10DRI-O</v>
          </cell>
          <cell r="E15090" t="str">
            <v>HM21CS013164</v>
          </cell>
        </row>
        <row r="15091">
          <cell r="D15091" t="str">
            <v>MBD-X10DRI-O</v>
          </cell>
          <cell r="E15091" t="str">
            <v>HM21CS013131</v>
          </cell>
        </row>
        <row r="15092">
          <cell r="D15092" t="str">
            <v>PWS-1K02A-1R</v>
          </cell>
          <cell r="E15092" t="str">
            <v>P1K0ACF19NB0384</v>
          </cell>
        </row>
        <row r="15093">
          <cell r="D15093" t="str">
            <v>PWS-504P-1R</v>
          </cell>
          <cell r="E15093" t="str">
            <v>P5041CK13IB4449</v>
          </cell>
        </row>
        <row r="15094">
          <cell r="D15094" t="str">
            <v>PWS-1K68A-1R</v>
          </cell>
          <cell r="E15094" t="str">
            <v>P1K6ACJ46PT0978</v>
          </cell>
        </row>
        <row r="15095">
          <cell r="D15095" t="str">
            <v>PWS-404-PQ</v>
          </cell>
          <cell r="E15095" t="str">
            <v>P404PAK10A00219</v>
          </cell>
        </row>
        <row r="15096">
          <cell r="D15096" t="str">
            <v>AOC-SLG3-2M2-O</v>
          </cell>
          <cell r="E15096" t="str">
            <v>VA21BS021944</v>
          </cell>
        </row>
        <row r="15097">
          <cell r="D15097" t="str">
            <v>AOC-SLG3-2M2-O</v>
          </cell>
          <cell r="E15097" t="str">
            <v>VA21BS021963</v>
          </cell>
        </row>
        <row r="15098">
          <cell r="D15098" t="str">
            <v>AOC-SLG3-2M2-O</v>
          </cell>
          <cell r="E15098" t="str">
            <v>VA21BS022852</v>
          </cell>
        </row>
        <row r="15099">
          <cell r="D15099" t="str">
            <v>AOC-SLG3-2M2-O</v>
          </cell>
          <cell r="E15099" t="str">
            <v>VA21BS021965</v>
          </cell>
        </row>
        <row r="15100">
          <cell r="D15100" t="str">
            <v>MEM-DR532L-CL01-ER48</v>
          </cell>
          <cell r="E15100" t="str">
            <v>802C06220133B7D7EC</v>
          </cell>
        </row>
        <row r="15101">
          <cell r="D15101" t="str">
            <v>MEM-DR532L-CL01-ER48</v>
          </cell>
          <cell r="E15101" t="str">
            <v>802C06220133B7BD01</v>
          </cell>
        </row>
        <row r="15102">
          <cell r="D15102" t="str">
            <v>MEM-DR532L-CL01-ER48</v>
          </cell>
          <cell r="E15102" t="str">
            <v>802C06220133B7BD4C</v>
          </cell>
        </row>
        <row r="15103">
          <cell r="D15103" t="str">
            <v>MEM-DR532L-CL01-ER48</v>
          </cell>
          <cell r="E15103" t="str">
            <v>802C06220133B7BD4D</v>
          </cell>
        </row>
        <row r="15104">
          <cell r="D15104" t="str">
            <v>MEM-DR532L-CL01-ER48</v>
          </cell>
          <cell r="E15104" t="str">
            <v>802C06220133B7BCEB</v>
          </cell>
        </row>
        <row r="15105">
          <cell r="D15105" t="str">
            <v>MEM-DR532L-CL01-ER48</v>
          </cell>
          <cell r="E15105" t="str">
            <v>802C06220133B81412</v>
          </cell>
        </row>
        <row r="15106">
          <cell r="D15106" t="str">
            <v>MEM-DR532L-CL01-ER48</v>
          </cell>
          <cell r="E15106" t="str">
            <v>802C06220133B7BF12</v>
          </cell>
        </row>
        <row r="15107">
          <cell r="D15107" t="str">
            <v>MEM-DR532L-CL01-ER48</v>
          </cell>
          <cell r="E15107" t="str">
            <v>802C06220133B7D74E</v>
          </cell>
        </row>
        <row r="15108">
          <cell r="D15108" t="str">
            <v>MEM-DR532L-CL01-ER48</v>
          </cell>
          <cell r="E15108" t="str">
            <v>802C06220133B81392</v>
          </cell>
        </row>
        <row r="15109">
          <cell r="D15109" t="str">
            <v>MEM-DR532L-CL01-ER48</v>
          </cell>
          <cell r="E15109" t="str">
            <v>802C06220133B7C142</v>
          </cell>
        </row>
        <row r="15110">
          <cell r="D15110" t="str">
            <v>MZ7L3480HCHQ-00A07</v>
          </cell>
          <cell r="E15110" t="str">
            <v>S664NE0RC32011</v>
          </cell>
        </row>
        <row r="15111">
          <cell r="D15111" t="str">
            <v>MZ7L3480HCHQ-00A07</v>
          </cell>
          <cell r="E15111" t="str">
            <v>S664NE0RC31826</v>
          </cell>
        </row>
        <row r="15112">
          <cell r="D15112" t="str">
            <v>MZ7L3480HCHQ-00A07</v>
          </cell>
          <cell r="E15112" t="str">
            <v>S664NE0RC31829</v>
          </cell>
        </row>
        <row r="15113">
          <cell r="D15113" t="str">
            <v>MZ7L3480HCHQ-00A07</v>
          </cell>
          <cell r="E15113" t="str">
            <v>S664NE0RC31825</v>
          </cell>
        </row>
        <row r="15114">
          <cell r="D15114" t="str">
            <v>MZ7L3480HCHQ-00A07</v>
          </cell>
          <cell r="E15114" t="str">
            <v>S664NE0RC31824</v>
          </cell>
        </row>
        <row r="15115">
          <cell r="D15115" t="str">
            <v>MZ7L3480HCHQ-00A07</v>
          </cell>
          <cell r="E15115" t="str">
            <v>S664NE0RC31827</v>
          </cell>
        </row>
        <row r="15116">
          <cell r="D15116" t="str">
            <v>MZ7L3480HCHQ-00A07</v>
          </cell>
          <cell r="E15116" t="str">
            <v>S664NE0RC32008</v>
          </cell>
        </row>
        <row r="15117">
          <cell r="D15117" t="str">
            <v>MZ7L3480HCHQ-00A07</v>
          </cell>
          <cell r="E15117" t="str">
            <v>S664NE0RC32001</v>
          </cell>
        </row>
        <row r="15118">
          <cell r="D15118" t="str">
            <v>MZ7L3480HCHQ-00A07</v>
          </cell>
          <cell r="E15118" t="str">
            <v>S664NE0RC32003</v>
          </cell>
        </row>
        <row r="15119">
          <cell r="D15119" t="str">
            <v>MZ7L3480HCHQ-00A07</v>
          </cell>
          <cell r="E15119" t="str">
            <v>S664NE0RC32004</v>
          </cell>
        </row>
        <row r="15120">
          <cell r="D15120" t="str">
            <v>D50DNP2U2NACRB</v>
          </cell>
          <cell r="E15120" t="str">
            <v>LUD921400027</v>
          </cell>
        </row>
        <row r="15121">
          <cell r="D15121" t="str">
            <v>0F38462</v>
          </cell>
          <cell r="E15121" t="str">
            <v>2PH6BPAJ</v>
          </cell>
        </row>
        <row r="15122">
          <cell r="D15122" t="str">
            <v>0F38462</v>
          </cell>
          <cell r="E15122" t="str">
            <v>2BKDUUDN</v>
          </cell>
        </row>
        <row r="15123">
          <cell r="D15123" t="str">
            <v>0F38462</v>
          </cell>
          <cell r="E15123" t="str">
            <v>2PH89S1T</v>
          </cell>
        </row>
        <row r="15124">
          <cell r="D15124" t="str">
            <v>0F38462</v>
          </cell>
          <cell r="E15124" t="str">
            <v>2PH75X5J</v>
          </cell>
        </row>
        <row r="15125">
          <cell r="D15125" t="str">
            <v>0F38462</v>
          </cell>
          <cell r="E15125" t="str">
            <v>2PH8DZ0T</v>
          </cell>
        </row>
        <row r="15126">
          <cell r="D15126" t="str">
            <v>0F38462</v>
          </cell>
          <cell r="E15126" t="str">
            <v>2PH75SRJ</v>
          </cell>
        </row>
        <row r="15127">
          <cell r="D15127" t="str">
            <v>0F38462</v>
          </cell>
          <cell r="E15127" t="str">
            <v>2PH6342T</v>
          </cell>
        </row>
        <row r="15128">
          <cell r="D15128" t="str">
            <v>0F38462</v>
          </cell>
          <cell r="E15128" t="str">
            <v>2PH7AXPJ</v>
          </cell>
        </row>
        <row r="15129">
          <cell r="D15129" t="str">
            <v>0TS1874</v>
          </cell>
          <cell r="E15129" t="str">
            <v>A078D604</v>
          </cell>
        </row>
        <row r="15130">
          <cell r="D15130" t="str">
            <v>0TS1874</v>
          </cell>
          <cell r="E15130" t="str">
            <v>A078D6C8</v>
          </cell>
        </row>
        <row r="15131">
          <cell r="D15131" t="str">
            <v>0TS1874</v>
          </cell>
          <cell r="E15131" t="str">
            <v>A078D6F3</v>
          </cell>
        </row>
        <row r="15132">
          <cell r="D15132" t="str">
            <v>0TS1874</v>
          </cell>
          <cell r="E15132" t="str">
            <v>A078D712</v>
          </cell>
        </row>
        <row r="15133">
          <cell r="D15133" t="str">
            <v>MG08ACA16TE</v>
          </cell>
          <cell r="E15133" t="str">
            <v>X1W0A03EFVGG</v>
          </cell>
        </row>
        <row r="15134">
          <cell r="D15134" t="str">
            <v>MG08ACA16TE</v>
          </cell>
          <cell r="E15134" t="str">
            <v>X1W0A03DFVGG</v>
          </cell>
        </row>
        <row r="15135">
          <cell r="D15135" t="str">
            <v>CSE-825TQC-R802LPB</v>
          </cell>
          <cell r="E15135" t="str">
            <v>C8250FL09P20134</v>
          </cell>
        </row>
        <row r="15136">
          <cell r="D15136" t="str">
            <v>MZ7LH240HAHQ-00005</v>
          </cell>
          <cell r="E15136" t="str">
            <v>S45RNC0T214020</v>
          </cell>
        </row>
        <row r="15137">
          <cell r="D15137" t="str">
            <v>MZ7LH240HAHQ-00005</v>
          </cell>
          <cell r="E15137" t="str">
            <v>S45RNC0T214010</v>
          </cell>
        </row>
        <row r="15138">
          <cell r="D15138" t="str">
            <v>Intel Xeon E-2136</v>
          </cell>
          <cell r="E15138" t="str">
            <v>X133L958  00603</v>
          </cell>
        </row>
        <row r="15139">
          <cell r="D15139" t="str">
            <v>M391A1K43BB2-CTD</v>
          </cell>
          <cell r="E15139">
            <v>1940559</v>
          </cell>
          <cell r="K15139" t="str">
            <v>SO/2022/006170/A 1z12</v>
          </cell>
        </row>
        <row r="15140">
          <cell r="D15140" t="str">
            <v>M391A1K43BB2-CTD</v>
          </cell>
          <cell r="E15140">
            <v>1940563</v>
          </cell>
          <cell r="K15140" t="str">
            <v>SO/2022/006170/A 1z12</v>
          </cell>
        </row>
        <row r="15141">
          <cell r="D15141" t="str">
            <v>M391A1K43BB2-CTD</v>
          </cell>
          <cell r="E15141">
            <v>1940546</v>
          </cell>
          <cell r="K15141" t="str">
            <v>SO/2022/006170/A 2z12</v>
          </cell>
        </row>
        <row r="15142">
          <cell r="D15142" t="str">
            <v>M391A1K43BB2-CTD</v>
          </cell>
          <cell r="E15142">
            <v>1940542</v>
          </cell>
          <cell r="K15142" t="str">
            <v>SO/2022/006170/A 2z12</v>
          </cell>
        </row>
        <row r="15143">
          <cell r="D15143" t="str">
            <v>M391A1K43BB2-CTD</v>
          </cell>
          <cell r="E15143">
            <v>1940558</v>
          </cell>
          <cell r="K15143" t="str">
            <v>SO/2022/006170/A 3z12</v>
          </cell>
        </row>
        <row r="15144">
          <cell r="D15144" t="str">
            <v>M391A1K43BB2-CTD</v>
          </cell>
          <cell r="E15144">
            <v>1940550</v>
          </cell>
          <cell r="K15144" t="str">
            <v>SO/2022/006170/A 3z12</v>
          </cell>
        </row>
        <row r="15145">
          <cell r="D15145" t="str">
            <v>M391A1K43BB2-CTD</v>
          </cell>
          <cell r="E15145">
            <v>1940554</v>
          </cell>
          <cell r="K15145" t="str">
            <v>SO/2022/006170/A 4z12</v>
          </cell>
        </row>
        <row r="15146">
          <cell r="D15146" t="str">
            <v>M391A1K43BB2-CTD</v>
          </cell>
          <cell r="E15146">
            <v>1940551</v>
          </cell>
          <cell r="K15146" t="str">
            <v>SO/2022/006170/A 4z12</v>
          </cell>
        </row>
        <row r="15147">
          <cell r="D15147" t="str">
            <v>M391A1K43BB2-CTD</v>
          </cell>
          <cell r="E15147">
            <v>1940543</v>
          </cell>
          <cell r="K15147" t="str">
            <v>SO/2022/006170/A 5z12</v>
          </cell>
        </row>
        <row r="15148">
          <cell r="D15148" t="str">
            <v>M391A1K43BB2-CTD</v>
          </cell>
          <cell r="E15148">
            <v>1940555</v>
          </cell>
          <cell r="K15148" t="str">
            <v>SO/2022/006170/A 5z12</v>
          </cell>
        </row>
        <row r="15149">
          <cell r="D15149" t="str">
            <v>klawiatura MSI VIGOR GK71</v>
          </cell>
          <cell r="E15149" t="str">
            <v>S1104US271CLA10143000112</v>
          </cell>
        </row>
        <row r="15150">
          <cell r="D15150" t="str">
            <v>E810XXVDA2BLK</v>
          </cell>
          <cell r="E15150" t="str">
            <v>507C6F16C8D80022122ADK57775012</v>
          </cell>
        </row>
        <row r="15151">
          <cell r="D15151" t="str">
            <v>E810XXVDA2BLK</v>
          </cell>
          <cell r="E15151" t="str">
            <v>507C6F16C4E80022122ADK57775012</v>
          </cell>
        </row>
        <row r="15152">
          <cell r="D15152" t="str">
            <v>CM8070804494617  E-2388G</v>
          </cell>
          <cell r="E15152" t="str">
            <v>X218N467</v>
          </cell>
        </row>
        <row r="15153">
          <cell r="D15153" t="str">
            <v>CM8070804494617  E-2388G</v>
          </cell>
          <cell r="E15153" t="str">
            <v>X218N467</v>
          </cell>
        </row>
        <row r="15154">
          <cell r="D15154" t="str">
            <v>CM8070804494617  E-2388G</v>
          </cell>
          <cell r="E15154" t="str">
            <v>X218N467</v>
          </cell>
        </row>
        <row r="15155">
          <cell r="D15155" t="str">
            <v>CM8070804494617  E-2388G</v>
          </cell>
          <cell r="E15155" t="str">
            <v>X218N467</v>
          </cell>
        </row>
        <row r="15156">
          <cell r="D15156" t="str">
            <v>CM8070804494617  E-2388G</v>
          </cell>
          <cell r="E15156" t="str">
            <v>X218N467</v>
          </cell>
        </row>
        <row r="15157">
          <cell r="D15157" t="str">
            <v>CM8070804494617  E-2388G</v>
          </cell>
          <cell r="E15157" t="str">
            <v>X218N467</v>
          </cell>
        </row>
        <row r="15158">
          <cell r="D15158" t="str">
            <v>CM8070804494617  E-2388G</v>
          </cell>
          <cell r="E15158" t="str">
            <v>X218N467</v>
          </cell>
        </row>
        <row r="15159">
          <cell r="D15159" t="str">
            <v>CM8070804494617  E-2388G</v>
          </cell>
          <cell r="E15159" t="str">
            <v>X218N467</v>
          </cell>
        </row>
        <row r="15160">
          <cell r="D15160" t="str">
            <v>CM8070804494617  E-2388G</v>
          </cell>
          <cell r="E15160" t="str">
            <v>X218N467</v>
          </cell>
        </row>
        <row r="15161">
          <cell r="D15161" t="str">
            <v>CM8070804494617  E-2388G</v>
          </cell>
          <cell r="E15161" t="str">
            <v>X218N467</v>
          </cell>
        </row>
        <row r="15162">
          <cell r="D15162" t="str">
            <v>CM8070804494617  E-2388G</v>
          </cell>
          <cell r="E15162" t="str">
            <v>X220N517</v>
          </cell>
        </row>
        <row r="15163">
          <cell r="D15163" t="str">
            <v>CM8070804494617  E-2388G</v>
          </cell>
          <cell r="E15163" t="str">
            <v>X220N517</v>
          </cell>
        </row>
        <row r="15164">
          <cell r="D15164" t="str">
            <v>CM8070804494617  E-2388G</v>
          </cell>
          <cell r="E15164" t="str">
            <v>X220N517</v>
          </cell>
        </row>
        <row r="15165">
          <cell r="D15165" t="str">
            <v>CM8070804494617  E-2388G</v>
          </cell>
          <cell r="E15165" t="str">
            <v>X220N517</v>
          </cell>
        </row>
        <row r="15166">
          <cell r="D15166" t="str">
            <v>CM8070804494617  E-2388G</v>
          </cell>
          <cell r="E15166" t="str">
            <v>X220N517</v>
          </cell>
        </row>
        <row r="15167">
          <cell r="D15167" t="str">
            <v>CM8070804494617  E-2388G</v>
          </cell>
          <cell r="E15167" t="str">
            <v>X220N517</v>
          </cell>
        </row>
        <row r="15168">
          <cell r="D15168" t="str">
            <v>CM8070804494617  E-2388G</v>
          </cell>
          <cell r="E15168" t="str">
            <v>X220N517</v>
          </cell>
        </row>
        <row r="15169">
          <cell r="D15169" t="str">
            <v>CM8070804494617  E-2388G</v>
          </cell>
          <cell r="E15169" t="str">
            <v>X220N517</v>
          </cell>
        </row>
        <row r="15170">
          <cell r="D15170" t="str">
            <v>CM8070804494617  E-2388G</v>
          </cell>
          <cell r="E15170" t="str">
            <v>X220N517</v>
          </cell>
        </row>
        <row r="15171">
          <cell r="D15171" t="str">
            <v>CM8070804494617  E-2388G</v>
          </cell>
          <cell r="E15171" t="str">
            <v>X220N517</v>
          </cell>
        </row>
        <row r="15172">
          <cell r="D15172" t="str">
            <v>CM8070804494617  E-2388G</v>
          </cell>
          <cell r="E15172" t="str">
            <v>X220N050</v>
          </cell>
        </row>
        <row r="15173">
          <cell r="D15173" t="str">
            <v>CM8070804494617  E-2388G</v>
          </cell>
          <cell r="E15173" t="str">
            <v>X220N050</v>
          </cell>
        </row>
        <row r="15174">
          <cell r="D15174" t="str">
            <v>CM8070804494617  E-2388G</v>
          </cell>
          <cell r="E15174" t="str">
            <v>X220N050</v>
          </cell>
        </row>
        <row r="15175">
          <cell r="D15175" t="str">
            <v>CM8070804494617  E-2388G</v>
          </cell>
          <cell r="E15175" t="str">
            <v>X220N050</v>
          </cell>
        </row>
        <row r="15176">
          <cell r="D15176" t="str">
            <v>CM8070804494617  E-2388G</v>
          </cell>
          <cell r="E15176" t="str">
            <v>X220N050</v>
          </cell>
        </row>
        <row r="15177">
          <cell r="D15177" t="str">
            <v>CM8070804494617  E-2388G</v>
          </cell>
          <cell r="E15177" t="str">
            <v>X220N050</v>
          </cell>
        </row>
        <row r="15178">
          <cell r="D15178" t="str">
            <v>CM8070804494617  E-2388G</v>
          </cell>
          <cell r="E15178" t="str">
            <v>X220N050</v>
          </cell>
        </row>
        <row r="15179">
          <cell r="D15179" t="str">
            <v>CM8070804494617  E-2388G</v>
          </cell>
          <cell r="E15179" t="str">
            <v>X220N050</v>
          </cell>
        </row>
        <row r="15180">
          <cell r="D15180" t="str">
            <v>CM8070804494617  E-2388G</v>
          </cell>
          <cell r="E15180" t="str">
            <v>X220N050</v>
          </cell>
        </row>
        <row r="15181">
          <cell r="D15181" t="str">
            <v>CM8070804494617  E-2388G</v>
          </cell>
          <cell r="E15181" t="str">
            <v>X220N050</v>
          </cell>
        </row>
        <row r="15182">
          <cell r="D15182" t="str">
            <v>CM8070804494617  E-2388G</v>
          </cell>
          <cell r="E15182" t="str">
            <v>X221M128 U2EQ111702601</v>
          </cell>
          <cell r="K15182" t="str">
            <v>Zwrot (porysowany); odłożony na magazyn serwisowy; zamiast niego wydany U13LL97105386 z magazynu serwisowego</v>
          </cell>
        </row>
        <row r="15183">
          <cell r="D15183" t="str">
            <v>CM8070804494617  E-2388G</v>
          </cell>
          <cell r="E15183" t="str">
            <v>X221M128  E2PV734005307</v>
          </cell>
        </row>
        <row r="15184">
          <cell r="D15184" t="str">
            <v>CM8070804494617  E-2388G</v>
          </cell>
          <cell r="E15184" t="str">
            <v>X221M128  U2EQ111702555</v>
          </cell>
        </row>
        <row r="15185">
          <cell r="D15185" t="str">
            <v>CM8070804494617  E-2388G</v>
          </cell>
          <cell r="E15185" t="str">
            <v>X221M128  U2PV734005822</v>
          </cell>
        </row>
        <row r="15186">
          <cell r="D15186" t="str">
            <v>CM8070804494617  E-2388G</v>
          </cell>
          <cell r="E15186" t="str">
            <v>X221M128  U2EQ111702618</v>
          </cell>
        </row>
        <row r="15187">
          <cell r="D15187" t="str">
            <v>CM8070804494617  E-2388G</v>
          </cell>
          <cell r="E15187" t="str">
            <v>X221M128  U2PV734005898</v>
          </cell>
        </row>
        <row r="15188">
          <cell r="D15188" t="str">
            <v>CM8070804494617  E-2388G</v>
          </cell>
          <cell r="E15188" t="str">
            <v>X221M128  U2PV734005825</v>
          </cell>
        </row>
        <row r="15189">
          <cell r="D15189" t="str">
            <v>CM8070804494617  E-2388G</v>
          </cell>
          <cell r="E15189" t="str">
            <v>X221M128  U2PV734003697</v>
          </cell>
        </row>
        <row r="15190">
          <cell r="D15190" t="str">
            <v>CM8070804494617  E-2388G</v>
          </cell>
          <cell r="E15190" t="str">
            <v>X221M128  U2EQ111704109</v>
          </cell>
        </row>
        <row r="15191">
          <cell r="D15191" t="str">
            <v>CM8070804494617  E-2388G</v>
          </cell>
          <cell r="E15191" t="str">
            <v>X221M128  U2EQ111702605</v>
          </cell>
        </row>
        <row r="15192">
          <cell r="D15192" t="str">
            <v>CD8069504448800   Xeon Gold 6230R</v>
          </cell>
          <cell r="E15192" t="str">
            <v>3214F457</v>
          </cell>
        </row>
        <row r="15193">
          <cell r="D15193" t="str">
            <v>CD8069504448800   Xeon Gold 6230R</v>
          </cell>
          <cell r="E15193" t="str">
            <v>3214F457</v>
          </cell>
        </row>
        <row r="15194">
          <cell r="D15194" t="str">
            <v>SSDSC2KB038T801</v>
          </cell>
          <cell r="E15194" t="str">
            <v>PHYF150003LJ3P8EGN</v>
          </cell>
        </row>
        <row r="15195">
          <cell r="D15195" t="str">
            <v>SSDSC2KB038T801</v>
          </cell>
          <cell r="E15195" t="str">
            <v>PHYF150003LS3P8EGN</v>
          </cell>
        </row>
        <row r="15196">
          <cell r="D15196" t="str">
            <v>M391A1K43DB2-CVF</v>
          </cell>
          <cell r="E15196" t="str">
            <v>SNL707</v>
          </cell>
        </row>
        <row r="15197">
          <cell r="D15197" t="str">
            <v>M391A1K43DB2-CVF</v>
          </cell>
          <cell r="E15197" t="str">
            <v>SNL708</v>
          </cell>
        </row>
        <row r="15198">
          <cell r="D15198" t="str">
            <v xml:space="preserve">M391A1K43BB2-CTD </v>
          </cell>
          <cell r="E15198" t="str">
            <v>SNL693</v>
          </cell>
          <cell r="K15198" t="str">
            <v>SO/2022/006170/A 6z12</v>
          </cell>
        </row>
        <row r="15199">
          <cell r="D15199" t="str">
            <v xml:space="preserve">M391A1K43BB2-CTD </v>
          </cell>
          <cell r="E15199" t="str">
            <v>SNL694</v>
          </cell>
          <cell r="K15199" t="str">
            <v>SO/2022/006170/A 6z12</v>
          </cell>
        </row>
        <row r="15200">
          <cell r="D15200" t="str">
            <v xml:space="preserve">M391A1K43BB2-CTD </v>
          </cell>
          <cell r="E15200" t="str">
            <v>SNL695</v>
          </cell>
          <cell r="K15200" t="str">
            <v>SO/2022/006170/A 10z12</v>
          </cell>
        </row>
        <row r="15201">
          <cell r="D15201" t="str">
            <v xml:space="preserve">M391A1K43BB2-CTD </v>
          </cell>
          <cell r="E15201" t="str">
            <v>SNL696</v>
          </cell>
          <cell r="K15201" t="str">
            <v>SO/2022/006170/A 10z12</v>
          </cell>
        </row>
        <row r="15202">
          <cell r="D15202" t="str">
            <v xml:space="preserve">M391A1K43BB2-CTD </v>
          </cell>
          <cell r="E15202" t="str">
            <v>SNL697</v>
          </cell>
          <cell r="K15202" t="str">
            <v>SO/2022/006170/A 9z12</v>
          </cell>
        </row>
        <row r="15203">
          <cell r="D15203" t="str">
            <v xml:space="preserve">M391A1K43BB2-CTD </v>
          </cell>
          <cell r="E15203" t="str">
            <v>SNL698</v>
          </cell>
          <cell r="K15203" t="str">
            <v>SO/2022/006170/A 9z12</v>
          </cell>
        </row>
        <row r="15204">
          <cell r="D15204" t="str">
            <v xml:space="preserve">M391A1K43BB2-CTD </v>
          </cell>
          <cell r="E15204" t="str">
            <v>SNL699</v>
          </cell>
          <cell r="K15204" t="str">
            <v>SO/2022/006170/A 8z12</v>
          </cell>
        </row>
        <row r="15205">
          <cell r="D15205" t="str">
            <v xml:space="preserve">M391A1K43BB2-CTD </v>
          </cell>
          <cell r="E15205" t="str">
            <v>SNL700</v>
          </cell>
          <cell r="K15205" t="str">
            <v>SO/2022/006170/A 8z12</v>
          </cell>
        </row>
        <row r="15206">
          <cell r="D15206" t="str">
            <v xml:space="preserve">M391A1K43BB2-CTD </v>
          </cell>
          <cell r="E15206" t="str">
            <v>SNL701</v>
          </cell>
          <cell r="K15206" t="str">
            <v>SO/2022/006170/A 7z12</v>
          </cell>
        </row>
        <row r="15207">
          <cell r="D15207" t="str">
            <v xml:space="preserve">M391A1K43BB2-CTD </v>
          </cell>
          <cell r="E15207" t="str">
            <v>SNL702</v>
          </cell>
          <cell r="K15207" t="str">
            <v>SO/2022/006170/A 7z12</v>
          </cell>
        </row>
        <row r="15208">
          <cell r="D15208" t="str">
            <v xml:space="preserve">M391A1K43BB2-CTD </v>
          </cell>
          <cell r="E15208" t="str">
            <v>SNL703</v>
          </cell>
          <cell r="K15208" t="str">
            <v>SO/2022/006170/A 11z12</v>
          </cell>
        </row>
        <row r="15209">
          <cell r="D15209" t="str">
            <v xml:space="preserve">M391A1K43BB2-CTD </v>
          </cell>
          <cell r="E15209" t="str">
            <v>SNL704</v>
          </cell>
          <cell r="K15209" t="str">
            <v>SO/2022/006170/A 11z12</v>
          </cell>
        </row>
        <row r="15210">
          <cell r="D15210" t="str">
            <v xml:space="preserve">M391A1K43BB2-CTD </v>
          </cell>
          <cell r="E15210" t="str">
            <v>SNL705</v>
          </cell>
          <cell r="K15210" t="str">
            <v>SO/2022/006170/A 12z12</v>
          </cell>
        </row>
        <row r="15211">
          <cell r="D15211" t="str">
            <v xml:space="preserve">M391A1K43BB2-CTD </v>
          </cell>
          <cell r="E15211" t="str">
            <v>SNL706</v>
          </cell>
          <cell r="K15211" t="str">
            <v>SO/2022/006170/A 12z12</v>
          </cell>
        </row>
        <row r="15212">
          <cell r="D15212" t="str">
            <v>SYS-1019C-HTN2</v>
          </cell>
          <cell r="E15212" t="str">
            <v>A345069X2602002</v>
          </cell>
          <cell r="K15212" t="str">
            <v>SO/2022/006170/A 1z12</v>
          </cell>
        </row>
        <row r="15213">
          <cell r="D15213" t="str">
            <v>CSE-510FT-203B</v>
          </cell>
          <cell r="E15213" t="str">
            <v>C5100LL02RA0321</v>
          </cell>
          <cell r="K15213" t="str">
            <v>SO/2022/006170/A 1z12</v>
          </cell>
        </row>
        <row r="15214">
          <cell r="D15214" t="str">
            <v>PWS-203-1H</v>
          </cell>
          <cell r="E15214" t="str">
            <v>P20310L48G50398</v>
          </cell>
          <cell r="K15214" t="str">
            <v>SO/2022/006170/A 1z12</v>
          </cell>
        </row>
        <row r="15215">
          <cell r="D15215" t="str">
            <v>MBD-X11SCZ-F</v>
          </cell>
          <cell r="E15215" t="str">
            <v>VM221S012532</v>
          </cell>
          <cell r="K15215" t="str">
            <v>SO/2022/006170/A 1z12</v>
          </cell>
        </row>
        <row r="15216">
          <cell r="D15216" t="str">
            <v>BPN-SAS-510T</v>
          </cell>
          <cell r="E15216" t="str">
            <v>EB20BS009547</v>
          </cell>
          <cell r="K15216" t="str">
            <v>SO/2022/006170/A 1z12</v>
          </cell>
        </row>
        <row r="15217">
          <cell r="D15217" t="str">
            <v>RSC-RR1U-E16</v>
          </cell>
          <cell r="E15217" t="str">
            <v>VR21CS000973</v>
          </cell>
          <cell r="K15217" t="str">
            <v>SO/2022/006170/A 1z12</v>
          </cell>
        </row>
        <row r="15218">
          <cell r="D15218" t="str">
            <v>SYS-1019C-HTN2</v>
          </cell>
          <cell r="E15218" t="str">
            <v>A345069X2602007</v>
          </cell>
          <cell r="K15218" t="str">
            <v>SO/2022/006170/A 2z12</v>
          </cell>
        </row>
        <row r="15219">
          <cell r="D15219" t="str">
            <v>CSE-510FT-203B</v>
          </cell>
          <cell r="E15219" t="str">
            <v>C5100LL02RA0335</v>
          </cell>
          <cell r="K15219" t="str">
            <v>SO/2022/006170/A 2z12</v>
          </cell>
        </row>
        <row r="15220">
          <cell r="D15220" t="str">
            <v>PWS-203-1H</v>
          </cell>
          <cell r="E15220" t="str">
            <v>P20310L48G50390</v>
          </cell>
          <cell r="K15220" t="str">
            <v>SO/2022/006170/A 2z12</v>
          </cell>
        </row>
        <row r="15221">
          <cell r="D15221" t="str">
            <v>MBD-X11SCZ-F</v>
          </cell>
          <cell r="E15221" t="str">
            <v>VM221S012705</v>
          </cell>
          <cell r="K15221" t="str">
            <v>SO/2022/006170/A 2z12</v>
          </cell>
        </row>
        <row r="15222">
          <cell r="D15222" t="str">
            <v>BPN-SAS-510T</v>
          </cell>
          <cell r="E15222" t="str">
            <v>EB20BS009578</v>
          </cell>
          <cell r="K15222" t="str">
            <v>SO/2022/006170/A 2z12</v>
          </cell>
        </row>
        <row r="15223">
          <cell r="D15223" t="str">
            <v>RSC-RR1U-E16</v>
          </cell>
          <cell r="E15223" t="str">
            <v>VR21CS000923</v>
          </cell>
          <cell r="K15223" t="str">
            <v>SO/2022/006170/A 2z12</v>
          </cell>
        </row>
        <row r="15224">
          <cell r="D15224" t="str">
            <v>SYS-1019C-HTN2</v>
          </cell>
          <cell r="E15224" t="str">
            <v>A345069X2602009</v>
          </cell>
          <cell r="K15224" t="str">
            <v>SO/2022/006170/A 5z12</v>
          </cell>
        </row>
        <row r="15225">
          <cell r="D15225" t="str">
            <v>CSE-510FT-203B</v>
          </cell>
          <cell r="E15225" t="str">
            <v>C5100LL02RA0332</v>
          </cell>
          <cell r="K15225" t="str">
            <v>SO/2022/006170/A 5z12</v>
          </cell>
        </row>
        <row r="15226">
          <cell r="D15226" t="str">
            <v>PWS-203-1H</v>
          </cell>
          <cell r="E15226" t="str">
            <v>P20310L48G50392</v>
          </cell>
          <cell r="K15226" t="str">
            <v>SO/2022/006170/A 5z12</v>
          </cell>
        </row>
        <row r="15227">
          <cell r="D15227" t="str">
            <v>MBD-X11SCZ-F</v>
          </cell>
          <cell r="E15227" t="str">
            <v>VM221S012673</v>
          </cell>
          <cell r="K15227" t="str">
            <v>SO/2022/006170/A 5z12</v>
          </cell>
        </row>
        <row r="15228">
          <cell r="D15228" t="str">
            <v>BPN-SAS-510T</v>
          </cell>
          <cell r="E15228" t="str">
            <v>EB20BS009557</v>
          </cell>
          <cell r="K15228" t="str">
            <v>SO/2022/006170/A 5z12</v>
          </cell>
        </row>
        <row r="15229">
          <cell r="D15229" t="str">
            <v>RSC-RR1U-E16</v>
          </cell>
          <cell r="E15229" t="str">
            <v>VR21CS000972</v>
          </cell>
          <cell r="K15229" t="str">
            <v>SO/2022/006170/A 5z12</v>
          </cell>
        </row>
        <row r="15230">
          <cell r="D15230" t="str">
            <v>SYS-1019C-HTN2</v>
          </cell>
          <cell r="E15230" t="str">
            <v>A345069X2602004</v>
          </cell>
          <cell r="K15230" t="str">
            <v>SO/2022/006170/A 6z12</v>
          </cell>
        </row>
        <row r="15231">
          <cell r="D15231" t="str">
            <v>CSE-510FT-203B</v>
          </cell>
          <cell r="E15231" t="str">
            <v>C5100LL02RA0325</v>
          </cell>
          <cell r="K15231" t="str">
            <v>SO/2022/006170/A 6z12</v>
          </cell>
        </row>
        <row r="15232">
          <cell r="D15232" t="str">
            <v>PWS-203-1H</v>
          </cell>
          <cell r="E15232" t="str">
            <v>P20310L48G50429</v>
          </cell>
          <cell r="K15232" t="str">
            <v>SO/2022/006170/A 6z12</v>
          </cell>
        </row>
        <row r="15233">
          <cell r="D15233" t="str">
            <v>MBD-X11SCZ-F</v>
          </cell>
          <cell r="E15233" t="str">
            <v>VM221S012530</v>
          </cell>
          <cell r="K15233" t="str">
            <v>SO/2022/006170/A 6z12</v>
          </cell>
        </row>
        <row r="15234">
          <cell r="D15234" t="str">
            <v>BPN-SAS-510T</v>
          </cell>
          <cell r="E15234" t="str">
            <v>EB20BS009542</v>
          </cell>
          <cell r="K15234" t="str">
            <v>SO/2022/006170/A 6z12</v>
          </cell>
        </row>
        <row r="15235">
          <cell r="D15235" t="str">
            <v>RSC-RR1U-E16</v>
          </cell>
          <cell r="E15235" t="str">
            <v>VR21CS000922</v>
          </cell>
          <cell r="K15235" t="str">
            <v>SO/2022/006170/A 6z12</v>
          </cell>
        </row>
        <row r="15236">
          <cell r="D15236" t="str">
            <v>SYS-1019C-HTN2</v>
          </cell>
          <cell r="E15236" t="str">
            <v>A345069X2601996</v>
          </cell>
          <cell r="K15236" t="str">
            <v>SO/2022/006170/A 4z12</v>
          </cell>
        </row>
        <row r="15237">
          <cell r="D15237" t="str">
            <v>CSE-510FT-203B</v>
          </cell>
          <cell r="E15237" t="str">
            <v>C5100LL02RA0323</v>
          </cell>
          <cell r="K15237" t="str">
            <v>SO/2022/006170/A 4z12</v>
          </cell>
        </row>
        <row r="15238">
          <cell r="D15238" t="str">
            <v>PWS-203-1H</v>
          </cell>
          <cell r="E15238" t="str">
            <v>P20310L48G50388</v>
          </cell>
          <cell r="K15238" t="str">
            <v>SO/2022/006170/A 4z12</v>
          </cell>
        </row>
        <row r="15239">
          <cell r="D15239" t="str">
            <v>MBD-X11SCZ-F</v>
          </cell>
          <cell r="E15239" t="str">
            <v>VM221S012671</v>
          </cell>
          <cell r="K15239" t="str">
            <v>SO/2022/006170/A 4z12</v>
          </cell>
        </row>
        <row r="15240">
          <cell r="D15240" t="str">
            <v>BPN-SAS-510T</v>
          </cell>
          <cell r="E15240" t="str">
            <v>EB20BS009565</v>
          </cell>
          <cell r="K15240" t="str">
            <v>SO/2022/006170/A 4z12</v>
          </cell>
        </row>
        <row r="15241">
          <cell r="D15241" t="str">
            <v>RSC-RR1U-E16</v>
          </cell>
          <cell r="E15241" t="str">
            <v>VR21CS000975</v>
          </cell>
          <cell r="K15241" t="str">
            <v>SO/2022/006170/A 4z12</v>
          </cell>
        </row>
        <row r="15242">
          <cell r="D15242" t="str">
            <v>SYS-1019C-HTN2</v>
          </cell>
          <cell r="E15242" t="str">
            <v>A345069X2602001</v>
          </cell>
          <cell r="K15242" t="str">
            <v>SO/2022/006170/A 3z12</v>
          </cell>
        </row>
        <row r="15243">
          <cell r="D15243" t="str">
            <v>CSE-510FT-203B</v>
          </cell>
          <cell r="E15243" t="str">
            <v>C5100LL02RA0322</v>
          </cell>
          <cell r="K15243" t="str">
            <v>SO/2022/006170/A 3z12</v>
          </cell>
        </row>
        <row r="15244">
          <cell r="D15244" t="str">
            <v>PWS-203-1H</v>
          </cell>
          <cell r="E15244" t="str">
            <v>P20310L48G50397</v>
          </cell>
          <cell r="K15244" t="str">
            <v>SO/2022/006170/A 3z12</v>
          </cell>
        </row>
        <row r="15245">
          <cell r="D15245" t="str">
            <v>MBD-X11SCZ-F</v>
          </cell>
          <cell r="E15245" t="str">
            <v>VM221S012528</v>
          </cell>
          <cell r="K15245" t="str">
            <v>SO/2022/006170/A 3z12</v>
          </cell>
        </row>
        <row r="15246">
          <cell r="D15246" t="str">
            <v>BPN-SAS-510T</v>
          </cell>
          <cell r="E15246" t="str">
            <v>EB20BS009572</v>
          </cell>
          <cell r="K15246" t="str">
            <v>SO/2022/006170/A 3z12</v>
          </cell>
        </row>
        <row r="15247">
          <cell r="D15247" t="str">
            <v>RSC-RR1U-E16</v>
          </cell>
          <cell r="E15247" t="str">
            <v>VR21CS000921</v>
          </cell>
          <cell r="K15247" t="str">
            <v>SO/2022/006170/A 3z12</v>
          </cell>
        </row>
        <row r="15248">
          <cell r="D15248" t="str">
            <v>SSG-640P-E1CR36H</v>
          </cell>
          <cell r="E15248" t="str">
            <v>E452361X2600465</v>
          </cell>
        </row>
        <row r="15249">
          <cell r="D15249" t="str">
            <v>CSE</v>
          </cell>
          <cell r="E15249" t="str">
            <v>C8470FK47P20524</v>
          </cell>
        </row>
        <row r="15250">
          <cell r="D15250" t="str">
            <v>PWS</v>
          </cell>
          <cell r="E15250" t="str">
            <v>P1K6ACM18OB0746</v>
          </cell>
        </row>
        <row r="15251">
          <cell r="D15251" t="str">
            <v>PWS</v>
          </cell>
          <cell r="E15251" t="str">
            <v>P1K6ACM18OB0745</v>
          </cell>
        </row>
        <row r="15252">
          <cell r="D15252" t="str">
            <v>BPN</v>
          </cell>
          <cell r="E15252" t="str">
            <v>HB223S035324</v>
          </cell>
        </row>
        <row r="15253">
          <cell r="D15253" t="str">
            <v>BPN</v>
          </cell>
          <cell r="E15253" t="str">
            <v>PB224S006091</v>
          </cell>
        </row>
        <row r="15254">
          <cell r="D15254" t="str">
            <v>MBD</v>
          </cell>
          <cell r="E15254" t="str">
            <v>UM21AS002453</v>
          </cell>
        </row>
        <row r="15255">
          <cell r="D15255" t="str">
            <v>AOC</v>
          </cell>
          <cell r="E15255" t="str">
            <v>UA221S006062</v>
          </cell>
        </row>
        <row r="15256">
          <cell r="D15256" t="str">
            <v>AOC</v>
          </cell>
          <cell r="E15256" t="str">
            <v>JA223S001805</v>
          </cell>
        </row>
        <row r="15257">
          <cell r="D15257" t="str">
            <v>CPU</v>
          </cell>
          <cell r="E15257" t="str">
            <v>72XF202800558</v>
          </cell>
        </row>
        <row r="15258">
          <cell r="D15258" t="str">
            <v>CPU</v>
          </cell>
          <cell r="E15258" t="str">
            <v>72XF202801245</v>
          </cell>
        </row>
        <row r="15259">
          <cell r="D15259" t="str">
            <v>MEM</v>
          </cell>
          <cell r="E15259" t="str">
            <v>S802C1A2214D013774B</v>
          </cell>
        </row>
        <row r="15260">
          <cell r="D15260" t="str">
            <v>MEM</v>
          </cell>
          <cell r="E15260" t="str">
            <v>S802C1A2214D01377B6</v>
          </cell>
        </row>
        <row r="15261">
          <cell r="D15261" t="str">
            <v>MEM</v>
          </cell>
          <cell r="E15261" t="str">
            <v>S802C1A2214D01377A5</v>
          </cell>
        </row>
        <row r="15262">
          <cell r="D15262" t="str">
            <v>MEM</v>
          </cell>
          <cell r="E15262" t="str">
            <v>S802C1A2214D01377B9</v>
          </cell>
        </row>
        <row r="15263">
          <cell r="D15263" t="str">
            <v>MEM</v>
          </cell>
          <cell r="E15263" t="str">
            <v>S802C1A2214D0137797</v>
          </cell>
        </row>
        <row r="15264">
          <cell r="D15264" t="str">
            <v>MEM</v>
          </cell>
          <cell r="E15264" t="str">
            <v>S802C1A2214D01377BB</v>
          </cell>
        </row>
        <row r="15265">
          <cell r="D15265" t="str">
            <v>MEM</v>
          </cell>
          <cell r="E15265" t="str">
            <v>S802C1A2214D01377BC</v>
          </cell>
        </row>
        <row r="15266">
          <cell r="D15266" t="str">
            <v>MEM</v>
          </cell>
          <cell r="E15266" t="str">
            <v>S802C1A2214D013777A</v>
          </cell>
        </row>
        <row r="15267">
          <cell r="D15267" t="str">
            <v>MEM</v>
          </cell>
          <cell r="E15267" t="str">
            <v>S802C1A2214D0137749</v>
          </cell>
        </row>
        <row r="15268">
          <cell r="D15268" t="str">
            <v>MEM</v>
          </cell>
          <cell r="E15268" t="str">
            <v>S802C1A2214D0137753</v>
          </cell>
        </row>
        <row r="15269">
          <cell r="D15269" t="str">
            <v>MEM</v>
          </cell>
          <cell r="E15269" t="str">
            <v>S802C1A2214D0137795</v>
          </cell>
        </row>
        <row r="15270">
          <cell r="D15270" t="str">
            <v>MEM</v>
          </cell>
          <cell r="E15270" t="str">
            <v>S802C1A2214D0137798</v>
          </cell>
        </row>
        <row r="15271">
          <cell r="D15271" t="str">
            <v>HDD</v>
          </cell>
          <cell r="E15271" t="str">
            <v>WSD5B5S3</v>
          </cell>
        </row>
        <row r="15272">
          <cell r="D15272" t="str">
            <v>HDD</v>
          </cell>
          <cell r="E15272" t="str">
            <v>WSD51F1X</v>
          </cell>
        </row>
        <row r="15273">
          <cell r="D15273" t="str">
            <v>HDD</v>
          </cell>
          <cell r="E15273" t="str">
            <v>WSD64LE3</v>
          </cell>
        </row>
        <row r="15274">
          <cell r="D15274" t="str">
            <v>HDD</v>
          </cell>
          <cell r="E15274" t="str">
            <v>WSD49YZ1</v>
          </cell>
        </row>
        <row r="15275">
          <cell r="D15275" t="str">
            <v>HDD</v>
          </cell>
          <cell r="E15275" t="str">
            <v>WSD5B5RQ</v>
          </cell>
        </row>
        <row r="15276">
          <cell r="D15276" t="str">
            <v>HDD</v>
          </cell>
          <cell r="E15276" t="str">
            <v>WSD49Z6H</v>
          </cell>
        </row>
        <row r="15277">
          <cell r="D15277" t="str">
            <v>HDD</v>
          </cell>
          <cell r="E15277" t="str">
            <v>WSD49YX3</v>
          </cell>
        </row>
        <row r="15278">
          <cell r="D15278" t="str">
            <v>HDD</v>
          </cell>
          <cell r="E15278" t="str">
            <v>WSD5B5GG</v>
          </cell>
        </row>
        <row r="15279">
          <cell r="D15279" t="str">
            <v>HDD</v>
          </cell>
          <cell r="E15279" t="str">
            <v>WSD49ZZF</v>
          </cell>
        </row>
        <row r="15280">
          <cell r="D15280" t="str">
            <v>HDD</v>
          </cell>
          <cell r="E15280" t="str">
            <v>WSD49Z0Q</v>
          </cell>
        </row>
        <row r="15281">
          <cell r="D15281" t="str">
            <v>HDD</v>
          </cell>
          <cell r="E15281" t="str">
            <v>WSD66VFL</v>
          </cell>
        </row>
        <row r="15282">
          <cell r="D15282" t="str">
            <v>HDD</v>
          </cell>
          <cell r="E15282" t="str">
            <v>WSD49ZZM</v>
          </cell>
        </row>
        <row r="15283">
          <cell r="D15283" t="str">
            <v>HDD</v>
          </cell>
          <cell r="E15283" t="str">
            <v>WSD49YAR</v>
          </cell>
        </row>
        <row r="15284">
          <cell r="D15284" t="str">
            <v>HDD</v>
          </cell>
          <cell r="E15284" t="str">
            <v>WSD5B6C9</v>
          </cell>
        </row>
        <row r="15285">
          <cell r="D15285" t="str">
            <v>HDD</v>
          </cell>
          <cell r="E15285" t="str">
            <v>WSD4A0BE</v>
          </cell>
        </row>
        <row r="15286">
          <cell r="D15286" t="str">
            <v>HDD</v>
          </cell>
          <cell r="E15286" t="str">
            <v>WSD49ZEC</v>
          </cell>
        </row>
        <row r="15287">
          <cell r="D15287" t="str">
            <v>HDD</v>
          </cell>
          <cell r="E15287" t="str">
            <v>WSD49ZSA</v>
          </cell>
        </row>
        <row r="15288">
          <cell r="D15288" t="str">
            <v>HDD</v>
          </cell>
          <cell r="E15288" t="str">
            <v>WSD49Z0D</v>
          </cell>
        </row>
        <row r="15289">
          <cell r="D15289" t="str">
            <v>HDD</v>
          </cell>
          <cell r="E15289" t="str">
            <v>WSD670Q3</v>
          </cell>
        </row>
        <row r="15290">
          <cell r="D15290" t="str">
            <v>HDD</v>
          </cell>
          <cell r="E15290" t="str">
            <v>WSD49ZDK</v>
          </cell>
        </row>
        <row r="15291">
          <cell r="D15291" t="str">
            <v>HDD</v>
          </cell>
          <cell r="E15291" t="str">
            <v>WSD49Z8D</v>
          </cell>
        </row>
        <row r="15292">
          <cell r="D15292" t="str">
            <v>HDD</v>
          </cell>
          <cell r="E15292" t="str">
            <v>WSD51F53</v>
          </cell>
        </row>
        <row r="15293">
          <cell r="D15293" t="str">
            <v>HDD</v>
          </cell>
          <cell r="E15293" t="str">
            <v>WSD49YRP</v>
          </cell>
        </row>
        <row r="15294">
          <cell r="D15294" t="str">
            <v>HDD</v>
          </cell>
          <cell r="E15294" t="str">
            <v>WSD49Z9P</v>
          </cell>
        </row>
        <row r="15295">
          <cell r="D15295" t="str">
            <v>HDD</v>
          </cell>
          <cell r="E15295" t="str">
            <v>WSD5B5FX</v>
          </cell>
        </row>
        <row r="15296">
          <cell r="D15296" t="str">
            <v>HDD</v>
          </cell>
          <cell r="E15296" t="str">
            <v>WSD4A0FW</v>
          </cell>
        </row>
        <row r="15297">
          <cell r="D15297" t="str">
            <v>HDD</v>
          </cell>
          <cell r="E15297" t="str">
            <v>WSD49ZG3</v>
          </cell>
        </row>
        <row r="15298">
          <cell r="D15298" t="str">
            <v>HDD</v>
          </cell>
          <cell r="E15298" t="str">
            <v>WSD49YY7</v>
          </cell>
        </row>
        <row r="15299">
          <cell r="D15299" t="str">
            <v>HDD</v>
          </cell>
          <cell r="E15299" t="str">
            <v>WSD49ZFZ</v>
          </cell>
        </row>
        <row r="15300">
          <cell r="D15300" t="str">
            <v>HDD</v>
          </cell>
          <cell r="E15300" t="str">
            <v>WSD49Z8L</v>
          </cell>
        </row>
        <row r="15301">
          <cell r="D15301" t="str">
            <v>HDD</v>
          </cell>
          <cell r="E15301" t="str">
            <v>WSD6185Y</v>
          </cell>
        </row>
        <row r="15302">
          <cell r="D15302" t="str">
            <v>HDD</v>
          </cell>
          <cell r="E15302" t="str">
            <v>WSD56TPE</v>
          </cell>
        </row>
        <row r="15303">
          <cell r="D15303" t="str">
            <v>HDS</v>
          </cell>
          <cell r="E15303" t="str">
            <v>PHLN1415004R3P2FGN</v>
          </cell>
        </row>
        <row r="15304">
          <cell r="D15304" t="str">
            <v>BTR</v>
          </cell>
          <cell r="E15304" t="str">
            <v>SP02011005</v>
          </cell>
        </row>
        <row r="15305">
          <cell r="D15305" t="str">
            <v>AOC</v>
          </cell>
          <cell r="E15305" t="str">
            <v>VA223S019694</v>
          </cell>
        </row>
        <row r="15306">
          <cell r="D15306" t="str">
            <v>SSG-640P-E1CR36H</v>
          </cell>
          <cell r="E15306" t="str">
            <v>E452361X2600466</v>
          </cell>
        </row>
        <row r="15307">
          <cell r="D15307" t="str">
            <v>CSE</v>
          </cell>
          <cell r="E15307" t="str">
            <v>C8470FK47P20525</v>
          </cell>
        </row>
        <row r="15308">
          <cell r="D15308" t="str">
            <v>PWS</v>
          </cell>
          <cell r="E15308" t="str">
            <v>P1K6ACM18OB0747</v>
          </cell>
        </row>
        <row r="15309">
          <cell r="D15309" t="str">
            <v>PWS</v>
          </cell>
          <cell r="E15309" t="str">
            <v>P1K6ACM18OB0748</v>
          </cell>
        </row>
        <row r="15310">
          <cell r="D15310" t="str">
            <v>BPN</v>
          </cell>
          <cell r="E15310" t="str">
            <v>HB223S035327</v>
          </cell>
        </row>
        <row r="15311">
          <cell r="D15311" t="str">
            <v>BPN</v>
          </cell>
          <cell r="E15311" t="str">
            <v>PB224S006093</v>
          </cell>
        </row>
        <row r="15312">
          <cell r="D15312" t="str">
            <v>MBD</v>
          </cell>
          <cell r="E15312" t="str">
            <v>UM21AS002443</v>
          </cell>
        </row>
        <row r="15313">
          <cell r="D15313" t="str">
            <v>AOC</v>
          </cell>
          <cell r="E15313" t="str">
            <v>UA21BS010924</v>
          </cell>
        </row>
        <row r="15314">
          <cell r="D15314" t="str">
            <v>AOC</v>
          </cell>
          <cell r="E15314" t="str">
            <v>JA223S001804</v>
          </cell>
        </row>
        <row r="15315">
          <cell r="D15315" t="str">
            <v>CPU</v>
          </cell>
          <cell r="E15315" t="str">
            <v>72XF202801253</v>
          </cell>
        </row>
        <row r="15316">
          <cell r="D15316" t="str">
            <v>CPU</v>
          </cell>
          <cell r="E15316" t="str">
            <v>72XF202801085</v>
          </cell>
        </row>
        <row r="15317">
          <cell r="D15317" t="str">
            <v>MEM</v>
          </cell>
          <cell r="E15317" t="str">
            <v>S802C1A2214D01377B8</v>
          </cell>
        </row>
        <row r="15318">
          <cell r="D15318" t="str">
            <v>MEM</v>
          </cell>
          <cell r="E15318" t="str">
            <v>S802C1A2214D0137758</v>
          </cell>
        </row>
        <row r="15319">
          <cell r="D15319" t="str">
            <v>MEM</v>
          </cell>
          <cell r="E15319" t="str">
            <v>S802C1A2214D0137769</v>
          </cell>
        </row>
        <row r="15320">
          <cell r="D15320" t="str">
            <v>MEM</v>
          </cell>
          <cell r="E15320" t="str">
            <v>S802C1A2214D01377A4</v>
          </cell>
        </row>
        <row r="15321">
          <cell r="D15321" t="str">
            <v>MEM</v>
          </cell>
          <cell r="E15321" t="str">
            <v>S802C1A2214D01377A6</v>
          </cell>
        </row>
        <row r="15322">
          <cell r="D15322" t="str">
            <v>MEM</v>
          </cell>
          <cell r="E15322" t="str">
            <v>S802C1A2214D013776D</v>
          </cell>
        </row>
        <row r="15323">
          <cell r="D15323" t="str">
            <v>MEM</v>
          </cell>
          <cell r="E15323" t="str">
            <v>S802C1A2214D013776B</v>
          </cell>
        </row>
        <row r="15324">
          <cell r="D15324" t="str">
            <v>MEM</v>
          </cell>
          <cell r="E15324" t="str">
            <v>S802C1A2214D013776A</v>
          </cell>
        </row>
        <row r="15325">
          <cell r="D15325" t="str">
            <v>MEM</v>
          </cell>
          <cell r="E15325" t="str">
            <v>S802C1A2214D0137759</v>
          </cell>
        </row>
        <row r="15326">
          <cell r="D15326" t="str">
            <v>MEM</v>
          </cell>
          <cell r="E15326" t="str">
            <v>S802C1A2214D01377B7</v>
          </cell>
          <cell r="K15326" t="str">
            <v>AWARIA; wymiana na S802C06213030598DA2</v>
          </cell>
        </row>
        <row r="15327">
          <cell r="D15327" t="str">
            <v>MEM</v>
          </cell>
          <cell r="E15327" t="str">
            <v>S802C1A2214D0137777</v>
          </cell>
        </row>
        <row r="15328">
          <cell r="D15328" t="str">
            <v>MEM</v>
          </cell>
          <cell r="E15328" t="str">
            <v>S802C1A2214D013776C</v>
          </cell>
        </row>
        <row r="15329">
          <cell r="D15329" t="str">
            <v>HDD</v>
          </cell>
          <cell r="E15329" t="str">
            <v>WSD4NQP4</v>
          </cell>
        </row>
        <row r="15330">
          <cell r="D15330" t="str">
            <v>HDD</v>
          </cell>
          <cell r="E15330" t="str">
            <v>WSD4QFXH</v>
          </cell>
        </row>
        <row r="15331">
          <cell r="D15331" t="str">
            <v>HDD</v>
          </cell>
          <cell r="E15331" t="str">
            <v>WSD4NA1Z</v>
          </cell>
        </row>
        <row r="15332">
          <cell r="D15332" t="str">
            <v>HDD</v>
          </cell>
          <cell r="E15332" t="str">
            <v>WSD6AEDJ</v>
          </cell>
        </row>
        <row r="15333">
          <cell r="D15333" t="str">
            <v>HDD</v>
          </cell>
          <cell r="E15333" t="str">
            <v>WSD6AG0G</v>
          </cell>
        </row>
        <row r="15334">
          <cell r="D15334" t="str">
            <v>HDD</v>
          </cell>
          <cell r="E15334" t="str">
            <v>WSD64LFW</v>
          </cell>
        </row>
        <row r="15335">
          <cell r="D15335" t="str">
            <v>HDD</v>
          </cell>
          <cell r="E15335" t="str">
            <v>WSD6AEHP</v>
          </cell>
        </row>
        <row r="15336">
          <cell r="D15336" t="str">
            <v>HDD</v>
          </cell>
          <cell r="E15336" t="str">
            <v>WSD4NPHN</v>
          </cell>
        </row>
        <row r="15337">
          <cell r="D15337" t="str">
            <v>HDD</v>
          </cell>
          <cell r="E15337" t="str">
            <v>WSD4NPN5</v>
          </cell>
        </row>
        <row r="15338">
          <cell r="D15338" t="str">
            <v>HDD</v>
          </cell>
          <cell r="E15338" t="str">
            <v>WSD4NRE2</v>
          </cell>
        </row>
        <row r="15339">
          <cell r="D15339" t="str">
            <v>HDD</v>
          </cell>
          <cell r="E15339" t="str">
            <v>WSD4NPBA</v>
          </cell>
        </row>
        <row r="15340">
          <cell r="D15340" t="str">
            <v>HDD</v>
          </cell>
          <cell r="E15340" t="str">
            <v>WSD4PHCJ</v>
          </cell>
        </row>
        <row r="15341">
          <cell r="D15341" t="str">
            <v>HDD</v>
          </cell>
          <cell r="E15341" t="str">
            <v>WSD4NSNQ</v>
          </cell>
        </row>
        <row r="15342">
          <cell r="D15342" t="str">
            <v>HDD</v>
          </cell>
          <cell r="E15342" t="str">
            <v>WSD4NR04</v>
          </cell>
        </row>
        <row r="15343">
          <cell r="D15343" t="str">
            <v>HDD</v>
          </cell>
          <cell r="E15343" t="str">
            <v>WSD4NSSB</v>
          </cell>
        </row>
        <row r="15344">
          <cell r="D15344" t="str">
            <v>HDD</v>
          </cell>
          <cell r="E15344" t="str">
            <v>WSD4NP6Y</v>
          </cell>
        </row>
        <row r="15345">
          <cell r="D15345" t="str">
            <v>HDD</v>
          </cell>
          <cell r="E15345" t="str">
            <v>WSD4QFXV</v>
          </cell>
        </row>
        <row r="15346">
          <cell r="D15346" t="str">
            <v>HDD</v>
          </cell>
          <cell r="E15346" t="str">
            <v>WSD4SL1V</v>
          </cell>
        </row>
        <row r="15347">
          <cell r="D15347" t="str">
            <v>HDD</v>
          </cell>
          <cell r="E15347" t="str">
            <v>WSD5B6SL</v>
          </cell>
        </row>
        <row r="15348">
          <cell r="D15348" t="str">
            <v>HDD</v>
          </cell>
          <cell r="E15348" t="str">
            <v>WSD694MS</v>
          </cell>
        </row>
        <row r="15349">
          <cell r="D15349" t="str">
            <v>HDD</v>
          </cell>
          <cell r="E15349" t="str">
            <v>WSD5B5W7</v>
          </cell>
        </row>
        <row r="15350">
          <cell r="D15350" t="str">
            <v>HDD</v>
          </cell>
          <cell r="E15350" t="str">
            <v>WSD6AFXM</v>
          </cell>
        </row>
        <row r="15351">
          <cell r="D15351" t="str">
            <v>HDD</v>
          </cell>
          <cell r="E15351" t="str">
            <v>WSD4PHP9</v>
          </cell>
        </row>
        <row r="15352">
          <cell r="D15352" t="str">
            <v>HDD</v>
          </cell>
          <cell r="E15352" t="str">
            <v>WSD4NPBG</v>
          </cell>
        </row>
        <row r="15353">
          <cell r="D15353" t="str">
            <v>HDD</v>
          </cell>
          <cell r="E15353" t="str">
            <v>WSD477QA</v>
          </cell>
        </row>
        <row r="15354">
          <cell r="D15354" t="str">
            <v>HDD</v>
          </cell>
          <cell r="E15354" t="str">
            <v>WSD4NPLR</v>
          </cell>
        </row>
        <row r="15355">
          <cell r="D15355" t="str">
            <v>HDD</v>
          </cell>
          <cell r="E15355" t="str">
            <v>WSD4PHH9</v>
          </cell>
        </row>
        <row r="15356">
          <cell r="D15356" t="str">
            <v>HDD</v>
          </cell>
          <cell r="E15356" t="str">
            <v>WSD4NPH0</v>
          </cell>
        </row>
        <row r="15357">
          <cell r="D15357" t="str">
            <v>HDD</v>
          </cell>
          <cell r="E15357" t="str">
            <v>WSD4NSQ3</v>
          </cell>
        </row>
        <row r="15358">
          <cell r="D15358" t="str">
            <v>HDD</v>
          </cell>
          <cell r="E15358" t="str">
            <v>WSD4PHFE</v>
          </cell>
        </row>
        <row r="15359">
          <cell r="D15359" t="str">
            <v>HDD</v>
          </cell>
          <cell r="E15359" t="str">
            <v>WSD4NP84</v>
          </cell>
        </row>
        <row r="15360">
          <cell r="D15360" t="str">
            <v>HDD</v>
          </cell>
          <cell r="E15360" t="str">
            <v>WSD4NPTP</v>
          </cell>
        </row>
        <row r="15361">
          <cell r="D15361" t="str">
            <v>HDS</v>
          </cell>
          <cell r="E15361" t="str">
            <v>PHLN1415006C3P2FGN</v>
          </cell>
        </row>
        <row r="15362">
          <cell r="D15362" t="str">
            <v>BTR</v>
          </cell>
          <cell r="E15362" t="str">
            <v>SP02012039</v>
          </cell>
        </row>
        <row r="15363">
          <cell r="D15363" t="str">
            <v>AOC</v>
          </cell>
          <cell r="E15363" t="str">
            <v>VA223S019691</v>
          </cell>
        </row>
        <row r="15364">
          <cell r="D15364" t="str">
            <v>SSG-640P-E1CR36H</v>
          </cell>
          <cell r="E15364" t="str">
            <v>E452361X2600463</v>
          </cell>
        </row>
        <row r="15365">
          <cell r="D15365" t="str">
            <v>CSE</v>
          </cell>
          <cell r="E15365" t="str">
            <v>C8470FK47P20523</v>
          </cell>
        </row>
        <row r="15366">
          <cell r="D15366" t="str">
            <v>PWS</v>
          </cell>
          <cell r="E15366" t="str">
            <v>P1K6ACM18OB0750</v>
          </cell>
        </row>
        <row r="15367">
          <cell r="D15367" t="str">
            <v>PWS</v>
          </cell>
          <cell r="E15367" t="str">
            <v>P1K6ACM18OB0749</v>
          </cell>
        </row>
        <row r="15368">
          <cell r="D15368" t="str">
            <v>BPN</v>
          </cell>
          <cell r="E15368" t="str">
            <v>HB223S035328</v>
          </cell>
        </row>
        <row r="15369">
          <cell r="D15369" t="str">
            <v>BPN</v>
          </cell>
          <cell r="E15369" t="str">
            <v>PB224S006087</v>
          </cell>
        </row>
        <row r="15370">
          <cell r="D15370" t="str">
            <v>MBD</v>
          </cell>
          <cell r="E15370" t="str">
            <v>UM21AS002519</v>
          </cell>
        </row>
        <row r="15371">
          <cell r="D15371" t="str">
            <v>AOC</v>
          </cell>
          <cell r="E15371" t="str">
            <v>UA21BS011094</v>
          </cell>
        </row>
        <row r="15372">
          <cell r="D15372" t="str">
            <v>AOC</v>
          </cell>
          <cell r="E15372" t="str">
            <v>JA223S001793</v>
          </cell>
        </row>
        <row r="15373">
          <cell r="D15373" t="str">
            <v>CPU</v>
          </cell>
          <cell r="E15373" t="str">
            <v>72XF202800861</v>
          </cell>
        </row>
        <row r="15374">
          <cell r="D15374" t="str">
            <v>CPU</v>
          </cell>
          <cell r="E15374" t="str">
            <v>72XF202801114</v>
          </cell>
        </row>
        <row r="15375">
          <cell r="D15375" t="str">
            <v>MEM</v>
          </cell>
          <cell r="E15375" t="str">
            <v>S802C1A2214D013777D</v>
          </cell>
        </row>
        <row r="15376">
          <cell r="D15376" t="str">
            <v>MEM</v>
          </cell>
          <cell r="E15376" t="str">
            <v>S802C1A2214D0137732</v>
          </cell>
        </row>
        <row r="15377">
          <cell r="D15377" t="str">
            <v>MEM</v>
          </cell>
          <cell r="E15377" t="str">
            <v>S802C1A2214D0137788</v>
          </cell>
        </row>
        <row r="15378">
          <cell r="D15378" t="str">
            <v>MEM</v>
          </cell>
          <cell r="E15378" t="str">
            <v>S802C1A2214D01376A8</v>
          </cell>
        </row>
        <row r="15379">
          <cell r="D15379" t="str">
            <v>MEM</v>
          </cell>
          <cell r="E15379" t="str">
            <v>S802C1A2214D0137745</v>
          </cell>
        </row>
        <row r="15380">
          <cell r="D15380" t="str">
            <v>MEM</v>
          </cell>
          <cell r="E15380" t="str">
            <v>S802C1A2214D0137746</v>
          </cell>
        </row>
        <row r="15381">
          <cell r="D15381" t="str">
            <v>MEM</v>
          </cell>
          <cell r="E15381" t="str">
            <v>S802C1A2214D01377A2</v>
          </cell>
        </row>
        <row r="15382">
          <cell r="D15382" t="str">
            <v>MEM</v>
          </cell>
          <cell r="E15382" t="str">
            <v>S802C1A2214D0137730</v>
          </cell>
        </row>
        <row r="15383">
          <cell r="D15383" t="str">
            <v>MEM</v>
          </cell>
          <cell r="E15383" t="str">
            <v>S802C1A2214D013778B</v>
          </cell>
        </row>
        <row r="15384">
          <cell r="D15384" t="str">
            <v>MEM</v>
          </cell>
          <cell r="E15384" t="str">
            <v>S802C1A2214D01376A7</v>
          </cell>
        </row>
        <row r="15385">
          <cell r="D15385" t="str">
            <v>MEM</v>
          </cell>
          <cell r="E15385" t="str">
            <v>S802C1A2214D0137733</v>
          </cell>
        </row>
        <row r="15386">
          <cell r="D15386" t="str">
            <v>MEM</v>
          </cell>
          <cell r="E15386" t="str">
            <v>S802C1A2214D0137735</v>
          </cell>
        </row>
        <row r="15387">
          <cell r="D15387" t="str">
            <v>HDD</v>
          </cell>
          <cell r="E15387" t="str">
            <v>WSD4R1YL</v>
          </cell>
        </row>
        <row r="15388">
          <cell r="D15388" t="str">
            <v>HDD</v>
          </cell>
          <cell r="E15388" t="str">
            <v>WSD4QGVH</v>
          </cell>
        </row>
        <row r="15389">
          <cell r="D15389" t="str">
            <v>HDD</v>
          </cell>
          <cell r="E15389" t="str">
            <v>WSD4PH92</v>
          </cell>
        </row>
        <row r="15390">
          <cell r="D15390" t="str">
            <v>HDD</v>
          </cell>
          <cell r="E15390" t="str">
            <v>WSD4TMD5</v>
          </cell>
        </row>
        <row r="15391">
          <cell r="D15391" t="str">
            <v>HDD</v>
          </cell>
          <cell r="E15391" t="str">
            <v>WSD4NSPB</v>
          </cell>
        </row>
        <row r="15392">
          <cell r="D15392" t="str">
            <v>HDD</v>
          </cell>
          <cell r="E15392" t="str">
            <v>WSD4NQD6</v>
          </cell>
        </row>
        <row r="15393">
          <cell r="D15393" t="str">
            <v>HDD</v>
          </cell>
          <cell r="E15393" t="str">
            <v>WSD4JTM2</v>
          </cell>
        </row>
        <row r="15394">
          <cell r="D15394" t="str">
            <v>HDD</v>
          </cell>
          <cell r="E15394" t="str">
            <v>WSD4TKL6</v>
          </cell>
        </row>
        <row r="15395">
          <cell r="D15395" t="str">
            <v>HDD</v>
          </cell>
          <cell r="E15395" t="str">
            <v>WSD4NRVC</v>
          </cell>
        </row>
        <row r="15396">
          <cell r="D15396" t="str">
            <v>HDD</v>
          </cell>
          <cell r="E15396" t="str">
            <v>WSD4TJAQ</v>
          </cell>
        </row>
        <row r="15397">
          <cell r="D15397" t="str">
            <v>HDD</v>
          </cell>
          <cell r="E15397" t="str">
            <v>WSD4SPDS</v>
          </cell>
        </row>
        <row r="15398">
          <cell r="D15398" t="str">
            <v>HDD</v>
          </cell>
          <cell r="E15398" t="str">
            <v>WSD4PH7N</v>
          </cell>
        </row>
        <row r="15399">
          <cell r="D15399" t="str">
            <v>HDD</v>
          </cell>
          <cell r="E15399" t="str">
            <v>WSD4PHAV</v>
          </cell>
        </row>
        <row r="15400">
          <cell r="D15400" t="str">
            <v>HDD</v>
          </cell>
          <cell r="E15400" t="str">
            <v>WSD4R220</v>
          </cell>
        </row>
        <row r="15401">
          <cell r="D15401" t="str">
            <v>HDD</v>
          </cell>
          <cell r="E15401" t="str">
            <v>WSD4QGV1</v>
          </cell>
        </row>
        <row r="15402">
          <cell r="D15402" t="str">
            <v>HDD</v>
          </cell>
          <cell r="E15402" t="str">
            <v>WSD4KLP9</v>
          </cell>
        </row>
        <row r="15403">
          <cell r="D15403" t="str">
            <v>HDD</v>
          </cell>
          <cell r="E15403" t="str">
            <v>WSD4SNMF</v>
          </cell>
        </row>
        <row r="15404">
          <cell r="D15404" t="str">
            <v>HDD</v>
          </cell>
          <cell r="E15404" t="str">
            <v>WSD4SLFG</v>
          </cell>
        </row>
        <row r="15405">
          <cell r="D15405" t="str">
            <v>HDD</v>
          </cell>
          <cell r="E15405" t="str">
            <v>WSD4PHEL</v>
          </cell>
        </row>
        <row r="15406">
          <cell r="D15406" t="str">
            <v>HDD</v>
          </cell>
          <cell r="E15406" t="str">
            <v>WSD4PHC4</v>
          </cell>
        </row>
        <row r="15407">
          <cell r="D15407" t="str">
            <v>HDD</v>
          </cell>
          <cell r="E15407" t="str">
            <v>WSD4PH9F</v>
          </cell>
        </row>
        <row r="15408">
          <cell r="D15408" t="str">
            <v>HDD</v>
          </cell>
          <cell r="E15408" t="str">
            <v>WSD4PHB4</v>
          </cell>
        </row>
        <row r="15409">
          <cell r="D15409" t="str">
            <v>HDD</v>
          </cell>
          <cell r="E15409" t="str">
            <v>WSD4NPNH</v>
          </cell>
        </row>
        <row r="15410">
          <cell r="D15410" t="str">
            <v>HDD</v>
          </cell>
          <cell r="E15410" t="str">
            <v>WSD4JSWX</v>
          </cell>
        </row>
        <row r="15411">
          <cell r="D15411" t="str">
            <v>HDD</v>
          </cell>
          <cell r="E15411" t="str">
            <v>WSD4PH8Y</v>
          </cell>
        </row>
        <row r="15412">
          <cell r="D15412" t="str">
            <v>HDD</v>
          </cell>
          <cell r="E15412" t="str">
            <v>WSD4NRXF</v>
          </cell>
        </row>
        <row r="15413">
          <cell r="D15413" t="str">
            <v>HDD</v>
          </cell>
          <cell r="E15413" t="str">
            <v>WSD4L195</v>
          </cell>
        </row>
        <row r="15414">
          <cell r="D15414" t="str">
            <v>HDD</v>
          </cell>
          <cell r="E15414" t="str">
            <v>WSD4NPK7</v>
          </cell>
        </row>
        <row r="15415">
          <cell r="D15415" t="str">
            <v>HDD</v>
          </cell>
          <cell r="E15415" t="str">
            <v>WSD4NSS2</v>
          </cell>
        </row>
        <row r="15416">
          <cell r="D15416" t="str">
            <v>HDD</v>
          </cell>
          <cell r="E15416" t="str">
            <v>WSD4L162</v>
          </cell>
        </row>
        <row r="15417">
          <cell r="D15417" t="str">
            <v>HDD</v>
          </cell>
          <cell r="E15417" t="str">
            <v>WSD4R200</v>
          </cell>
        </row>
        <row r="15418">
          <cell r="D15418" t="str">
            <v>HDD</v>
          </cell>
          <cell r="E15418" t="str">
            <v>WSD4SPCM</v>
          </cell>
        </row>
        <row r="15419">
          <cell r="D15419" t="str">
            <v>HDS</v>
          </cell>
          <cell r="E15419" t="str">
            <v>PHLN1415001D3P2FGN</v>
          </cell>
        </row>
        <row r="15420">
          <cell r="D15420" t="str">
            <v>BTR</v>
          </cell>
          <cell r="E15420" t="str">
            <v>SP02012022</v>
          </cell>
        </row>
        <row r="15421">
          <cell r="D15421" t="str">
            <v>AOC</v>
          </cell>
          <cell r="E15421" t="str">
            <v>VA223S020713</v>
          </cell>
        </row>
        <row r="15422">
          <cell r="D15422" t="str">
            <v>SSG-640P-E1CR36H</v>
          </cell>
          <cell r="E15422" t="str">
            <v>A452361X2427185</v>
          </cell>
        </row>
        <row r="15423">
          <cell r="D15423" t="str">
            <v>CSE</v>
          </cell>
          <cell r="E15423" t="str">
            <v>C8470FL15P40129</v>
          </cell>
        </row>
        <row r="15424">
          <cell r="D15424" t="str">
            <v>PWS</v>
          </cell>
          <cell r="E15424" t="str">
            <v>P1K6ACM04KB0286</v>
          </cell>
        </row>
        <row r="15425">
          <cell r="D15425" t="str">
            <v>PWS</v>
          </cell>
          <cell r="E15425" t="str">
            <v>P1K6ACM04KB0287</v>
          </cell>
        </row>
        <row r="15426">
          <cell r="D15426" t="str">
            <v>BPN</v>
          </cell>
          <cell r="E15426" t="str">
            <v>HB221S031353</v>
          </cell>
        </row>
        <row r="15427">
          <cell r="D15427" t="str">
            <v>BPN</v>
          </cell>
          <cell r="E15427" t="str">
            <v>PB223S001706</v>
          </cell>
        </row>
        <row r="15428">
          <cell r="D15428" t="str">
            <v>BPN</v>
          </cell>
          <cell r="E15428" t="str">
            <v>CDK01FK42A01143</v>
          </cell>
        </row>
        <row r="15429">
          <cell r="D15429" t="str">
            <v>MBD</v>
          </cell>
          <cell r="E15429" t="str">
            <v>UM21AS002543</v>
          </cell>
        </row>
        <row r="15430">
          <cell r="D15430" t="str">
            <v>AOC</v>
          </cell>
          <cell r="E15430" t="str">
            <v>UA21BS011093</v>
          </cell>
        </row>
        <row r="15431">
          <cell r="D15431" t="str">
            <v>AOC</v>
          </cell>
          <cell r="E15431" t="str">
            <v>JA221S000464</v>
          </cell>
        </row>
        <row r="15432">
          <cell r="D15432" t="str">
            <v>CPU</v>
          </cell>
          <cell r="E15432" t="str">
            <v>72TF634400675</v>
          </cell>
        </row>
        <row r="15433">
          <cell r="D15433" t="str">
            <v>CPU</v>
          </cell>
          <cell r="E15433" t="str">
            <v>72TF634400668</v>
          </cell>
        </row>
        <row r="15434">
          <cell r="D15434" t="str">
            <v>MEM</v>
          </cell>
          <cell r="E15434" t="str">
            <v>S802C1A2214D0137A56</v>
          </cell>
        </row>
        <row r="15435">
          <cell r="D15435" t="str">
            <v>MEM</v>
          </cell>
          <cell r="E15435" t="str">
            <v>S802C1A2214D0137A05</v>
          </cell>
        </row>
        <row r="15436">
          <cell r="D15436" t="str">
            <v>MEM</v>
          </cell>
          <cell r="E15436" t="str">
            <v>S802C1A2214D0137922</v>
          </cell>
        </row>
        <row r="15437">
          <cell r="D15437" t="str">
            <v>MEM</v>
          </cell>
          <cell r="E15437" t="str">
            <v>S802C1A2214D0137A40</v>
          </cell>
        </row>
        <row r="15438">
          <cell r="D15438" t="str">
            <v>MEM</v>
          </cell>
          <cell r="E15438" t="str">
            <v>S802C1A2214D0137A6E</v>
          </cell>
        </row>
        <row r="15439">
          <cell r="D15439" t="str">
            <v>MEM</v>
          </cell>
          <cell r="E15439" t="str">
            <v>S802C1A2214D0137A59</v>
          </cell>
        </row>
        <row r="15440">
          <cell r="D15440" t="str">
            <v>MEM</v>
          </cell>
          <cell r="E15440" t="str">
            <v>S802C1A2214D0137A54</v>
          </cell>
        </row>
        <row r="15441">
          <cell r="D15441" t="str">
            <v>MEM</v>
          </cell>
          <cell r="E15441" t="str">
            <v>S802C1A2214D0137A4A</v>
          </cell>
        </row>
        <row r="15442">
          <cell r="D15442" t="str">
            <v>MEM</v>
          </cell>
          <cell r="E15442" t="str">
            <v>S802C1A2214D0137A53</v>
          </cell>
        </row>
        <row r="15443">
          <cell r="D15443" t="str">
            <v>MEM</v>
          </cell>
          <cell r="E15443" t="str">
            <v>S802C1A2214D0137A49</v>
          </cell>
        </row>
        <row r="15444">
          <cell r="D15444" t="str">
            <v>MEM</v>
          </cell>
          <cell r="E15444" t="str">
            <v>S802C1A2214D0137A37</v>
          </cell>
        </row>
        <row r="15445">
          <cell r="D15445" t="str">
            <v>MEM</v>
          </cell>
          <cell r="E15445" t="str">
            <v>S802C1A2214D0137A39</v>
          </cell>
        </row>
        <row r="15446">
          <cell r="D15446" t="str">
            <v>HDD</v>
          </cell>
          <cell r="E15446" t="str">
            <v>WSD4R2Q1</v>
          </cell>
        </row>
        <row r="15447">
          <cell r="D15447" t="str">
            <v>HDD</v>
          </cell>
          <cell r="E15447" t="str">
            <v>WSD4SL2S</v>
          </cell>
        </row>
        <row r="15448">
          <cell r="D15448" t="str">
            <v>HDD</v>
          </cell>
          <cell r="E15448" t="str">
            <v>WSD4SLCZ</v>
          </cell>
        </row>
        <row r="15449">
          <cell r="D15449" t="str">
            <v>HDD</v>
          </cell>
          <cell r="E15449" t="str">
            <v>WSD3YF0F</v>
          </cell>
        </row>
        <row r="15450">
          <cell r="D15450" t="str">
            <v>HDD</v>
          </cell>
          <cell r="E15450" t="str">
            <v>WSD4NPTK</v>
          </cell>
        </row>
        <row r="15451">
          <cell r="D15451" t="str">
            <v>HDD</v>
          </cell>
          <cell r="E15451" t="str">
            <v>WSD4NPQ8</v>
          </cell>
        </row>
        <row r="15452">
          <cell r="D15452" t="str">
            <v>HDD</v>
          </cell>
          <cell r="E15452" t="str">
            <v>WSD4NRQD</v>
          </cell>
        </row>
        <row r="15453">
          <cell r="D15453" t="str">
            <v>HDD</v>
          </cell>
          <cell r="E15453" t="str">
            <v>WSD4NRPW</v>
          </cell>
        </row>
        <row r="15454">
          <cell r="D15454" t="str">
            <v>HDD</v>
          </cell>
          <cell r="E15454" t="str">
            <v>WSD4PH9T</v>
          </cell>
        </row>
        <row r="15455">
          <cell r="D15455" t="str">
            <v>HDD</v>
          </cell>
          <cell r="E15455" t="str">
            <v>WSD4NSZB</v>
          </cell>
        </row>
        <row r="15456">
          <cell r="D15456" t="str">
            <v>HDD</v>
          </cell>
          <cell r="E15456" t="str">
            <v>WSD4NPLW</v>
          </cell>
        </row>
        <row r="15457">
          <cell r="D15457" t="str">
            <v>HDD</v>
          </cell>
          <cell r="E15457" t="str">
            <v>WSD4NPX8</v>
          </cell>
        </row>
        <row r="15458">
          <cell r="D15458" t="str">
            <v>HDD</v>
          </cell>
          <cell r="E15458" t="str">
            <v>WSD4NRLB</v>
          </cell>
        </row>
        <row r="15459">
          <cell r="D15459" t="str">
            <v>HDD</v>
          </cell>
          <cell r="E15459" t="str">
            <v>WSD4QGYG</v>
          </cell>
        </row>
        <row r="15460">
          <cell r="D15460" t="str">
            <v>HDD</v>
          </cell>
          <cell r="E15460" t="str">
            <v>WSD4L1CJ</v>
          </cell>
        </row>
        <row r="15461">
          <cell r="D15461" t="str">
            <v>HDD</v>
          </cell>
          <cell r="E15461" t="str">
            <v>WSD4NPL3</v>
          </cell>
        </row>
        <row r="15462">
          <cell r="D15462" t="str">
            <v>HDD</v>
          </cell>
          <cell r="E15462" t="str">
            <v>WSD4SNLA</v>
          </cell>
        </row>
        <row r="15463">
          <cell r="D15463" t="str">
            <v>HDD</v>
          </cell>
          <cell r="E15463" t="str">
            <v>WSD4L1CR</v>
          </cell>
        </row>
        <row r="15464">
          <cell r="D15464" t="str">
            <v>HDD</v>
          </cell>
          <cell r="E15464" t="str">
            <v>WSD4QGVX</v>
          </cell>
        </row>
        <row r="15465">
          <cell r="D15465" t="str">
            <v>HDD</v>
          </cell>
          <cell r="E15465" t="str">
            <v>WSD4J1A1</v>
          </cell>
        </row>
        <row r="15466">
          <cell r="D15466" t="str">
            <v>HDD</v>
          </cell>
          <cell r="E15466" t="str">
            <v>WSD4NPQV</v>
          </cell>
        </row>
        <row r="15467">
          <cell r="D15467" t="str">
            <v>HDD</v>
          </cell>
          <cell r="E15467" t="str">
            <v>WSD4R2LB</v>
          </cell>
        </row>
        <row r="15468">
          <cell r="D15468" t="str">
            <v>HDD</v>
          </cell>
          <cell r="E15468" t="str">
            <v>WSD4PHCF</v>
          </cell>
        </row>
        <row r="15469">
          <cell r="D15469" t="str">
            <v>HDD</v>
          </cell>
          <cell r="E15469" t="str">
            <v>WSD4NPQT</v>
          </cell>
        </row>
        <row r="15470">
          <cell r="D15470" t="str">
            <v>HDD</v>
          </cell>
          <cell r="E15470" t="str">
            <v>WSD4PGXS</v>
          </cell>
        </row>
        <row r="15471">
          <cell r="D15471" t="str">
            <v>HDD</v>
          </cell>
          <cell r="E15471" t="str">
            <v>WSD4NPBM</v>
          </cell>
        </row>
        <row r="15472">
          <cell r="D15472" t="str">
            <v>HDD</v>
          </cell>
          <cell r="E15472" t="str">
            <v>WSD4TMCE</v>
          </cell>
        </row>
        <row r="15473">
          <cell r="D15473" t="str">
            <v>HDD</v>
          </cell>
          <cell r="E15473" t="str">
            <v>WSD4NRVM</v>
          </cell>
        </row>
        <row r="15474">
          <cell r="D15474" t="str">
            <v>HDD</v>
          </cell>
          <cell r="E15474" t="str">
            <v>WSD4NPN1</v>
          </cell>
        </row>
        <row r="15475">
          <cell r="D15475" t="str">
            <v>HDD</v>
          </cell>
          <cell r="E15475" t="str">
            <v>WSD4JS1D</v>
          </cell>
        </row>
        <row r="15476">
          <cell r="D15476" t="str">
            <v>HDD</v>
          </cell>
          <cell r="E15476" t="str">
            <v>WSD4L13D</v>
          </cell>
        </row>
        <row r="15477">
          <cell r="D15477" t="str">
            <v>HDD</v>
          </cell>
          <cell r="E15477" t="str">
            <v>WSD4HYXD</v>
          </cell>
        </row>
        <row r="15478">
          <cell r="D15478" t="str">
            <v>HDS</v>
          </cell>
          <cell r="E15478" t="str">
            <v>PHLN141500CB3P2FGN</v>
          </cell>
        </row>
        <row r="15479">
          <cell r="D15479" t="str">
            <v>BTR</v>
          </cell>
          <cell r="E15479" t="str">
            <v>SP02011391</v>
          </cell>
        </row>
        <row r="15480">
          <cell r="D15480" t="str">
            <v>AOC</v>
          </cell>
          <cell r="E15480" t="str">
            <v>VA223S019666</v>
          </cell>
        </row>
        <row r="15481">
          <cell r="D15481" t="str">
            <v>AOC</v>
          </cell>
          <cell r="E15481" t="str">
            <v>VA223S020827</v>
          </cell>
        </row>
        <row r="15482">
          <cell r="D15482" t="str">
            <v>AOC-S3908L-H8IR</v>
          </cell>
          <cell r="E15482" t="str">
            <v>UA221S006061</v>
          </cell>
        </row>
        <row r="15483">
          <cell r="D15483" t="str">
            <v>SSG-640P-E1CR36H</v>
          </cell>
          <cell r="E15483" t="str">
            <v>E452361X2600464</v>
          </cell>
        </row>
        <row r="15484">
          <cell r="D15484" t="str">
            <v>CSE</v>
          </cell>
          <cell r="E15484" t="str">
            <v>C8470FK47P20522</v>
          </cell>
        </row>
        <row r="15485">
          <cell r="D15485" t="str">
            <v>PWS</v>
          </cell>
          <cell r="E15485" t="str">
            <v>P1K6ACM18OB0752</v>
          </cell>
        </row>
        <row r="15486">
          <cell r="D15486" t="str">
            <v>PWS</v>
          </cell>
          <cell r="E15486" t="str">
            <v>P1K6ACM18OB0751</v>
          </cell>
        </row>
        <row r="15487">
          <cell r="D15487" t="str">
            <v>BPN</v>
          </cell>
          <cell r="E15487" t="str">
            <v>HB223S035326</v>
          </cell>
        </row>
        <row r="15488">
          <cell r="D15488" t="str">
            <v>BPN</v>
          </cell>
          <cell r="E15488" t="str">
            <v>PB224S006084</v>
          </cell>
        </row>
        <row r="15489">
          <cell r="D15489" t="str">
            <v>MBD</v>
          </cell>
          <cell r="E15489" t="str">
            <v>UM219S001468</v>
          </cell>
        </row>
        <row r="15490">
          <cell r="D15490" t="str">
            <v>AOC</v>
          </cell>
          <cell r="E15490" t="str">
            <v>UA216S005253</v>
          </cell>
        </row>
        <row r="15491">
          <cell r="D15491" t="str">
            <v>AOC</v>
          </cell>
          <cell r="E15491" t="str">
            <v>JA223S001795</v>
          </cell>
        </row>
        <row r="15492">
          <cell r="D15492" t="str">
            <v>CPU</v>
          </cell>
          <cell r="E15492" t="str">
            <v>72XF202800910</v>
          </cell>
        </row>
        <row r="15493">
          <cell r="D15493" t="str">
            <v>CPU</v>
          </cell>
          <cell r="E15493" t="str">
            <v>72XF202800819</v>
          </cell>
        </row>
        <row r="15494">
          <cell r="D15494" t="str">
            <v>MEM</v>
          </cell>
          <cell r="E15494" t="str">
            <v>S802C1A2214D0137736</v>
          </cell>
        </row>
        <row r="15495">
          <cell r="D15495" t="str">
            <v>MEM</v>
          </cell>
          <cell r="E15495" t="str">
            <v>S802C1A2214D01377BA</v>
          </cell>
        </row>
        <row r="15496">
          <cell r="D15496" t="str">
            <v>MEM</v>
          </cell>
          <cell r="E15496" t="str">
            <v>S802C1A2214D01377A1</v>
          </cell>
        </row>
        <row r="15497">
          <cell r="D15497" t="str">
            <v>MEM</v>
          </cell>
          <cell r="E15497" t="str">
            <v>S802C1A2214D0137755</v>
          </cell>
        </row>
        <row r="15498">
          <cell r="D15498" t="str">
            <v>MEM</v>
          </cell>
          <cell r="E15498" t="str">
            <v>S802C1A2214D0137799</v>
          </cell>
        </row>
        <row r="15499">
          <cell r="D15499" t="str">
            <v>MEM</v>
          </cell>
          <cell r="E15499" t="str">
            <v>S802C1A2214D0137748</v>
          </cell>
        </row>
        <row r="15500">
          <cell r="D15500" t="str">
            <v>MEM</v>
          </cell>
          <cell r="E15500" t="str">
            <v>S802C1A2214D01377A7</v>
          </cell>
        </row>
        <row r="15501">
          <cell r="D15501" t="str">
            <v>MEM</v>
          </cell>
          <cell r="E15501" t="str">
            <v>S802C1A2214D0137756</v>
          </cell>
        </row>
        <row r="15502">
          <cell r="D15502" t="str">
            <v>MEM</v>
          </cell>
          <cell r="E15502" t="str">
            <v>S802C1A2214D0137796</v>
          </cell>
        </row>
        <row r="15503">
          <cell r="D15503" t="str">
            <v>MEM</v>
          </cell>
          <cell r="E15503" t="str">
            <v>S802C1A2214D01377A3</v>
          </cell>
        </row>
        <row r="15504">
          <cell r="D15504" t="str">
            <v>MEM</v>
          </cell>
          <cell r="E15504" t="str">
            <v>S802C1A2214D0137779</v>
          </cell>
        </row>
        <row r="15505">
          <cell r="D15505" t="str">
            <v>MEM</v>
          </cell>
          <cell r="E15505" t="str">
            <v>S802C1A2214D0137778</v>
          </cell>
        </row>
        <row r="15506">
          <cell r="D15506" t="str">
            <v>HDD</v>
          </cell>
          <cell r="E15506" t="str">
            <v>WSD4N9QF</v>
          </cell>
        </row>
        <row r="15507">
          <cell r="D15507" t="str">
            <v>HDD</v>
          </cell>
          <cell r="E15507" t="str">
            <v>WSD4SLHP</v>
          </cell>
        </row>
        <row r="15508">
          <cell r="D15508" t="str">
            <v>HDD</v>
          </cell>
          <cell r="E15508" t="str">
            <v>WSD4L1BW</v>
          </cell>
        </row>
        <row r="15509">
          <cell r="D15509" t="str">
            <v>HDD</v>
          </cell>
          <cell r="E15509" t="str">
            <v>WSD4L0ZY</v>
          </cell>
        </row>
        <row r="15510">
          <cell r="D15510" t="str">
            <v>HDD</v>
          </cell>
          <cell r="E15510" t="str">
            <v>WSD4PH5R</v>
          </cell>
        </row>
        <row r="15511">
          <cell r="D15511" t="str">
            <v>HDD</v>
          </cell>
          <cell r="E15511" t="str">
            <v>WSD4SLCD</v>
          </cell>
        </row>
        <row r="15512">
          <cell r="D15512" t="str">
            <v>HDD</v>
          </cell>
          <cell r="E15512" t="str">
            <v>WSD4R1RK</v>
          </cell>
        </row>
        <row r="15513">
          <cell r="D15513" t="str">
            <v>HDD</v>
          </cell>
          <cell r="E15513" t="str">
            <v>WSD4NQNX</v>
          </cell>
        </row>
        <row r="15514">
          <cell r="D15514" t="str">
            <v>HDD</v>
          </cell>
          <cell r="E15514" t="str">
            <v>WSD4PH00</v>
          </cell>
        </row>
        <row r="15515">
          <cell r="D15515" t="str">
            <v>HDD</v>
          </cell>
          <cell r="E15515" t="str">
            <v>WSD4NRQ0</v>
          </cell>
        </row>
        <row r="15516">
          <cell r="D15516" t="str">
            <v>HDD</v>
          </cell>
          <cell r="E15516" t="str">
            <v>WSD4NPWQ</v>
          </cell>
        </row>
        <row r="15517">
          <cell r="D15517" t="str">
            <v>HDD</v>
          </cell>
          <cell r="E15517" t="str">
            <v>WSD4NPJ5</v>
          </cell>
        </row>
        <row r="15518">
          <cell r="D15518" t="str">
            <v>HDD</v>
          </cell>
          <cell r="E15518" t="str">
            <v>WSD4NPPB</v>
          </cell>
        </row>
        <row r="15519">
          <cell r="D15519" t="str">
            <v>HDD</v>
          </cell>
          <cell r="E15519" t="str">
            <v>WSD4NPMK</v>
          </cell>
        </row>
        <row r="15520">
          <cell r="D15520" t="str">
            <v>HDD</v>
          </cell>
          <cell r="E15520" t="str">
            <v>WSD4PH7Q</v>
          </cell>
        </row>
        <row r="15521">
          <cell r="D15521" t="str">
            <v>HDD</v>
          </cell>
          <cell r="E15521" t="str">
            <v>WSD4PGZR</v>
          </cell>
        </row>
        <row r="15522">
          <cell r="D15522" t="str">
            <v>HDD</v>
          </cell>
          <cell r="E15522" t="str">
            <v>WSD4L1C8</v>
          </cell>
        </row>
        <row r="15523">
          <cell r="D15523" t="str">
            <v>HDD</v>
          </cell>
          <cell r="E15523" t="str">
            <v>WSD45RJW</v>
          </cell>
        </row>
        <row r="15524">
          <cell r="D15524" t="str">
            <v>HDD</v>
          </cell>
          <cell r="E15524" t="str">
            <v>WSD4R21H</v>
          </cell>
        </row>
        <row r="15525">
          <cell r="D15525" t="str">
            <v>HDD</v>
          </cell>
          <cell r="E15525" t="str">
            <v>WSD4L133</v>
          </cell>
        </row>
        <row r="15526">
          <cell r="D15526" t="str">
            <v>HDD</v>
          </cell>
          <cell r="E15526" t="str">
            <v>WSD4NP6K</v>
          </cell>
        </row>
        <row r="15527">
          <cell r="D15527" t="str">
            <v>HDD</v>
          </cell>
          <cell r="E15527" t="str">
            <v>WSD4QGXV</v>
          </cell>
        </row>
        <row r="15528">
          <cell r="D15528" t="str">
            <v>HDD</v>
          </cell>
          <cell r="E15528" t="str">
            <v>WSD4R228</v>
          </cell>
        </row>
        <row r="15529">
          <cell r="D15529" t="str">
            <v>HDD</v>
          </cell>
          <cell r="E15529" t="str">
            <v>WSD4NSS4</v>
          </cell>
        </row>
        <row r="15530">
          <cell r="D15530" t="str">
            <v>HDD</v>
          </cell>
          <cell r="E15530" t="str">
            <v>WSD4NSQ5</v>
          </cell>
        </row>
        <row r="15531">
          <cell r="D15531" t="str">
            <v>HDD</v>
          </cell>
          <cell r="E15531" t="str">
            <v>WSD4PH7D</v>
          </cell>
        </row>
        <row r="15532">
          <cell r="D15532" t="str">
            <v>HDD</v>
          </cell>
          <cell r="E15532" t="str">
            <v>WSD4NPK6</v>
          </cell>
        </row>
        <row r="15533">
          <cell r="D15533" t="str">
            <v>HDD</v>
          </cell>
          <cell r="E15533" t="str">
            <v>WSD4NRXT</v>
          </cell>
        </row>
        <row r="15534">
          <cell r="D15534" t="str">
            <v>HDD</v>
          </cell>
          <cell r="E15534" t="str">
            <v>WSD4NP7L</v>
          </cell>
        </row>
        <row r="15535">
          <cell r="D15535" t="str">
            <v>HDD</v>
          </cell>
          <cell r="E15535" t="str">
            <v>WSD4PGT8</v>
          </cell>
        </row>
        <row r="15536">
          <cell r="D15536" t="str">
            <v>HDD</v>
          </cell>
          <cell r="E15536" t="str">
            <v>WSD4PH10</v>
          </cell>
        </row>
        <row r="15537">
          <cell r="D15537" t="str">
            <v>HDD</v>
          </cell>
          <cell r="E15537" t="str">
            <v>WSD4PGX1</v>
          </cell>
        </row>
        <row r="15538">
          <cell r="D15538" t="str">
            <v>HDS</v>
          </cell>
          <cell r="E15538" t="str">
            <v>PHLN1415001T3P2FGN</v>
          </cell>
        </row>
        <row r="15539">
          <cell r="D15539" t="str">
            <v>BTR</v>
          </cell>
          <cell r="E15539" t="str">
            <v>SP02010701</v>
          </cell>
        </row>
        <row r="15540">
          <cell r="D15540" t="str">
            <v>AOC</v>
          </cell>
          <cell r="E15540" t="str">
            <v>VA223S020384</v>
          </cell>
        </row>
        <row r="15541">
          <cell r="D15541" t="str">
            <v>SSG-640P-E1CR36H</v>
          </cell>
          <cell r="E15541" t="str">
            <v>S452361X2431222</v>
          </cell>
        </row>
        <row r="15542">
          <cell r="D15542" t="str">
            <v>CSE</v>
          </cell>
          <cell r="E15542" t="str">
            <v>C8470FK24P10067</v>
          </cell>
        </row>
        <row r="15543">
          <cell r="D15543" t="str">
            <v>PWS</v>
          </cell>
          <cell r="E15543" t="str">
            <v>P1K6ACK33ST0845</v>
          </cell>
        </row>
        <row r="15544">
          <cell r="D15544" t="str">
            <v>PWS</v>
          </cell>
          <cell r="E15544" t="str">
            <v>P1K6ACK33ST0846</v>
          </cell>
        </row>
        <row r="15545">
          <cell r="D15545" t="str">
            <v>BPN</v>
          </cell>
          <cell r="E15545" t="str">
            <v>HB221S029844</v>
          </cell>
        </row>
        <row r="15546">
          <cell r="D15546" t="str">
            <v>BPN</v>
          </cell>
          <cell r="E15546" t="str">
            <v>PB223S001207</v>
          </cell>
        </row>
        <row r="15547">
          <cell r="D15547" t="str">
            <v>MBD</v>
          </cell>
          <cell r="E15547" t="str">
            <v>UM21CS006663</v>
          </cell>
        </row>
        <row r="15548">
          <cell r="D15548" t="str">
            <v>AOC</v>
          </cell>
          <cell r="E15548" t="str">
            <v>JA218S000269</v>
          </cell>
        </row>
        <row r="15549">
          <cell r="D15549" t="str">
            <v>AOC</v>
          </cell>
          <cell r="E15549" t="str">
            <v>UA21AS011711</v>
          </cell>
        </row>
        <row r="15550">
          <cell r="D15550" t="str">
            <v>CPU</v>
          </cell>
          <cell r="E15550" t="str">
            <v>71L168B000535</v>
          </cell>
        </row>
        <row r="15551">
          <cell r="D15551" t="str">
            <v>CPU</v>
          </cell>
          <cell r="E15551" t="str">
            <v>71L168B000290</v>
          </cell>
        </row>
        <row r="15552">
          <cell r="D15552" t="str">
            <v>MEM</v>
          </cell>
          <cell r="E15552" t="str">
            <v>S802C1A2214D013776E</v>
          </cell>
        </row>
        <row r="15553">
          <cell r="D15553" t="str">
            <v>MEM</v>
          </cell>
          <cell r="E15553" t="str">
            <v>S802C1A2214D01378EE</v>
          </cell>
        </row>
        <row r="15554">
          <cell r="D15554" t="str">
            <v>MEM</v>
          </cell>
          <cell r="E15554" t="str">
            <v>S802C1A2214D01378E1</v>
          </cell>
        </row>
        <row r="15555">
          <cell r="D15555" t="str">
            <v>MEM</v>
          </cell>
          <cell r="E15555" t="str">
            <v>S802C1A2214D01378DE</v>
          </cell>
        </row>
        <row r="15556">
          <cell r="D15556" t="str">
            <v>MEM</v>
          </cell>
          <cell r="E15556" t="str">
            <v>S802C1A2214D013776F</v>
          </cell>
        </row>
        <row r="15557">
          <cell r="D15557" t="str">
            <v>MEM</v>
          </cell>
          <cell r="E15557" t="str">
            <v>S802C1A2214D0137A4B</v>
          </cell>
        </row>
        <row r="15558">
          <cell r="D15558" t="str">
            <v>MEM</v>
          </cell>
          <cell r="E15558" t="str">
            <v>S802C1A2214D0137A2B</v>
          </cell>
        </row>
        <row r="15559">
          <cell r="D15559" t="str">
            <v>MEM</v>
          </cell>
          <cell r="E15559" t="str">
            <v>S802C1A2214D01378EF</v>
          </cell>
        </row>
        <row r="15560">
          <cell r="D15560" t="str">
            <v>MEM</v>
          </cell>
          <cell r="E15560" t="str">
            <v>S802C1A2214D01378CA</v>
          </cell>
        </row>
        <row r="15561">
          <cell r="D15561" t="str">
            <v>MEM</v>
          </cell>
          <cell r="E15561" t="str">
            <v>S802C1A2214D0137A3F</v>
          </cell>
        </row>
        <row r="15562">
          <cell r="D15562" t="str">
            <v>MEM</v>
          </cell>
          <cell r="E15562" t="str">
            <v>S802C1A2214D01378B3</v>
          </cell>
        </row>
        <row r="15563">
          <cell r="D15563" t="str">
            <v>MEM</v>
          </cell>
          <cell r="E15563" t="str">
            <v>S802C1A2214D01378B6</v>
          </cell>
        </row>
        <row r="15564">
          <cell r="D15564" t="str">
            <v>HDD</v>
          </cell>
          <cell r="E15564" t="str">
            <v>WSD4R1XR</v>
          </cell>
        </row>
        <row r="15565">
          <cell r="D15565" t="str">
            <v>HDD</v>
          </cell>
          <cell r="E15565" t="str">
            <v>WSD4L18S</v>
          </cell>
        </row>
        <row r="15566">
          <cell r="D15566" t="str">
            <v>HDD</v>
          </cell>
          <cell r="E15566" t="str">
            <v>WSD4N9Z0</v>
          </cell>
        </row>
        <row r="15567">
          <cell r="D15567" t="str">
            <v>HDD</v>
          </cell>
          <cell r="E15567" t="str">
            <v>WSD4SLGG</v>
          </cell>
        </row>
        <row r="15568">
          <cell r="D15568" t="str">
            <v>HDD</v>
          </cell>
          <cell r="E15568" t="str">
            <v>WSD4JGT0</v>
          </cell>
        </row>
        <row r="15569">
          <cell r="D15569" t="str">
            <v>HDD</v>
          </cell>
          <cell r="E15569" t="str">
            <v>WSD4SLEJ</v>
          </cell>
        </row>
        <row r="15570">
          <cell r="D15570" t="str">
            <v>HDD</v>
          </cell>
          <cell r="E15570" t="str">
            <v>WSD4R385</v>
          </cell>
        </row>
        <row r="15571">
          <cell r="D15571" t="str">
            <v>HDD</v>
          </cell>
          <cell r="E15571" t="str">
            <v>WSD4QGXR</v>
          </cell>
        </row>
        <row r="15572">
          <cell r="D15572" t="str">
            <v>HDD</v>
          </cell>
          <cell r="E15572" t="str">
            <v>WSD4L194</v>
          </cell>
        </row>
        <row r="15573">
          <cell r="D15573" t="str">
            <v>HDD</v>
          </cell>
          <cell r="E15573" t="str">
            <v>WSD4JHAS</v>
          </cell>
        </row>
        <row r="15574">
          <cell r="D15574" t="str">
            <v>HDD</v>
          </cell>
          <cell r="E15574" t="str">
            <v>WSD4SL46</v>
          </cell>
        </row>
        <row r="15575">
          <cell r="D15575" t="str">
            <v>HDD</v>
          </cell>
          <cell r="E15575" t="str">
            <v>WSD4RWNR</v>
          </cell>
        </row>
        <row r="15576">
          <cell r="D15576" t="str">
            <v>HDD</v>
          </cell>
          <cell r="E15576" t="str">
            <v>WSD4SNMZ</v>
          </cell>
        </row>
        <row r="15577">
          <cell r="D15577" t="str">
            <v>HDD</v>
          </cell>
          <cell r="E15577" t="str">
            <v>WSD4L16S</v>
          </cell>
        </row>
        <row r="15578">
          <cell r="D15578" t="str">
            <v>HDD</v>
          </cell>
          <cell r="E15578" t="str">
            <v>WSD4L18B</v>
          </cell>
        </row>
        <row r="15579">
          <cell r="D15579" t="str">
            <v>HDD</v>
          </cell>
          <cell r="E15579" t="str">
            <v>WSD4L149</v>
          </cell>
        </row>
        <row r="15580">
          <cell r="D15580" t="str">
            <v>HDD</v>
          </cell>
          <cell r="E15580" t="str">
            <v>WSD4R2W2</v>
          </cell>
        </row>
        <row r="15581">
          <cell r="D15581" t="str">
            <v>HDD</v>
          </cell>
          <cell r="E15581" t="str">
            <v>WSD4R32G</v>
          </cell>
        </row>
        <row r="15582">
          <cell r="D15582" t="str">
            <v>HDD</v>
          </cell>
          <cell r="E15582" t="str">
            <v>WSD4SCSP</v>
          </cell>
        </row>
        <row r="15583">
          <cell r="D15583" t="str">
            <v>HDD</v>
          </cell>
          <cell r="E15583" t="str">
            <v>WSD4L1BP</v>
          </cell>
        </row>
        <row r="15584">
          <cell r="D15584" t="str">
            <v>HDD</v>
          </cell>
          <cell r="E15584" t="str">
            <v>WSD4L12K</v>
          </cell>
        </row>
        <row r="15585">
          <cell r="D15585" t="str">
            <v>HDD</v>
          </cell>
          <cell r="E15585" t="str">
            <v>WSD4JT5P</v>
          </cell>
        </row>
        <row r="15586">
          <cell r="D15586" t="str">
            <v>HDD</v>
          </cell>
          <cell r="E15586" t="str">
            <v>WSD4JT5L</v>
          </cell>
        </row>
        <row r="15587">
          <cell r="D15587" t="str">
            <v>HDD</v>
          </cell>
          <cell r="E15587" t="str">
            <v>WSD4BY67</v>
          </cell>
        </row>
        <row r="15588">
          <cell r="D15588" t="str">
            <v>HDD</v>
          </cell>
          <cell r="E15588" t="str">
            <v>WSD4L0ZX</v>
          </cell>
        </row>
        <row r="15589">
          <cell r="D15589" t="str">
            <v>HDD</v>
          </cell>
          <cell r="E15589" t="str">
            <v>WSD4JGX3</v>
          </cell>
        </row>
        <row r="15590">
          <cell r="D15590" t="str">
            <v>HDD</v>
          </cell>
          <cell r="E15590" t="str">
            <v>WSD4L13V</v>
          </cell>
        </row>
        <row r="15591">
          <cell r="D15591" t="str">
            <v>HDD</v>
          </cell>
          <cell r="E15591" t="str">
            <v>WSD4L189</v>
          </cell>
        </row>
        <row r="15592">
          <cell r="D15592" t="str">
            <v>HDD</v>
          </cell>
          <cell r="E15592" t="str">
            <v>WSD4QGWB</v>
          </cell>
        </row>
        <row r="15593">
          <cell r="D15593" t="str">
            <v>HDD</v>
          </cell>
          <cell r="E15593" t="str">
            <v>WSD4R293</v>
          </cell>
        </row>
        <row r="15594">
          <cell r="D15594" t="str">
            <v>HDD</v>
          </cell>
          <cell r="E15594" t="str">
            <v>WSD4JEK7</v>
          </cell>
        </row>
        <row r="15595">
          <cell r="D15595" t="str">
            <v>HDD</v>
          </cell>
          <cell r="E15595" t="str">
            <v>WSD4SPP4</v>
          </cell>
        </row>
        <row r="15596">
          <cell r="D15596" t="str">
            <v>HDS</v>
          </cell>
          <cell r="E15596" t="str">
            <v>PHLN141500223P2FGN</v>
          </cell>
        </row>
        <row r="15597">
          <cell r="D15597" t="str">
            <v>BTR</v>
          </cell>
          <cell r="E15597" t="str">
            <v>SP02011405</v>
          </cell>
        </row>
        <row r="15598">
          <cell r="D15598" t="str">
            <v>AOC</v>
          </cell>
          <cell r="E15598" t="str">
            <v>VA223S020684</v>
          </cell>
        </row>
        <row r="15599">
          <cell r="D15599" t="str">
            <v>AOC</v>
          </cell>
          <cell r="E15599" t="str">
            <v>VA223S019895</v>
          </cell>
        </row>
        <row r="15600">
          <cell r="D15600" t="str">
            <v>AOC-S3908L-H8IR</v>
          </cell>
          <cell r="E15600" t="str">
            <v>UA221S006064</v>
          </cell>
        </row>
        <row r="15601">
          <cell r="D15601" t="str">
            <v>SYS-7049GP-TRT</v>
          </cell>
          <cell r="E15601" t="str">
            <v>E291427X2501347</v>
          </cell>
        </row>
        <row r="15602">
          <cell r="D15602" t="str">
            <v>CSE</v>
          </cell>
          <cell r="E15602" t="str">
            <v>C7470KK47P50574</v>
          </cell>
        </row>
        <row r="15603">
          <cell r="D15603" t="str">
            <v>PWS</v>
          </cell>
          <cell r="E15603" t="str">
            <v>P2K20CM13PB0388</v>
          </cell>
        </row>
        <row r="15604">
          <cell r="D15604" t="str">
            <v>PWS</v>
          </cell>
          <cell r="E15604" t="str">
            <v>P2K20CM13PB0386</v>
          </cell>
        </row>
        <row r="15605">
          <cell r="D15605" t="str">
            <v>BPN</v>
          </cell>
          <cell r="E15605" t="str">
            <v>PB217S007313</v>
          </cell>
        </row>
        <row r="15606">
          <cell r="D15606" t="str">
            <v>MBD</v>
          </cell>
          <cell r="E15606" t="str">
            <v>VM21AS013396</v>
          </cell>
        </row>
        <row r="15607">
          <cell r="D15607" t="str">
            <v>SYS-7049GP-TRT</v>
          </cell>
          <cell r="E15607" t="str">
            <v>E291427X2501366</v>
          </cell>
        </row>
        <row r="15608">
          <cell r="D15608" t="str">
            <v>CSE</v>
          </cell>
          <cell r="E15608" t="str">
            <v>C7470KK47P50602</v>
          </cell>
        </row>
        <row r="15609">
          <cell r="D15609" t="str">
            <v>PWS</v>
          </cell>
          <cell r="E15609" t="str">
            <v>P2K20CM13PB0367</v>
          </cell>
        </row>
        <row r="15610">
          <cell r="D15610" t="str">
            <v>PWS</v>
          </cell>
          <cell r="E15610" t="str">
            <v>P2K20CM13PB0368</v>
          </cell>
        </row>
        <row r="15611">
          <cell r="D15611" t="str">
            <v>BPN</v>
          </cell>
          <cell r="E15611" t="str">
            <v>PB217S007271</v>
          </cell>
        </row>
        <row r="15612">
          <cell r="D15612" t="str">
            <v>MBD</v>
          </cell>
          <cell r="E15612" t="str">
            <v>VM21AS013280</v>
          </cell>
        </row>
        <row r="15613">
          <cell r="D15613" t="str">
            <v>HDD-2A2400-ST2400MM0129</v>
          </cell>
          <cell r="E15613" t="str">
            <v>WBM6CPYW</v>
          </cell>
        </row>
        <row r="15614">
          <cell r="D15614" t="str">
            <v>HDD-2A2400-ST2400MM0129</v>
          </cell>
          <cell r="E15614" t="str">
            <v>WBM69SHF</v>
          </cell>
        </row>
        <row r="15615">
          <cell r="D15615" t="str">
            <v>HDD-2A2400-ST2400MM0129</v>
          </cell>
          <cell r="E15615" t="str">
            <v>WBM69R74</v>
          </cell>
        </row>
        <row r="15616">
          <cell r="D15616" t="str">
            <v>HDD-2A2400-ST2400MM0129</v>
          </cell>
          <cell r="E15616" t="str">
            <v>WBM6CGB7</v>
          </cell>
        </row>
        <row r="15617">
          <cell r="D15617" t="str">
            <v>HDD-2A2400-ST2400MM0129</v>
          </cell>
          <cell r="E15617" t="str">
            <v>WBM69S6Q</v>
          </cell>
        </row>
        <row r="15618">
          <cell r="D15618" t="str">
            <v>HDD-2A2400-ST2400MM0129</v>
          </cell>
          <cell r="E15618" t="str">
            <v>WBM69SCG</v>
          </cell>
        </row>
        <row r="15619">
          <cell r="D15619" t="str">
            <v>MEM-DR564L-HL01-ER48</v>
          </cell>
          <cell r="E15619" t="str">
            <v>80AD01220295C7E07C</v>
          </cell>
        </row>
        <row r="15620">
          <cell r="D15620" t="str">
            <v>MEM-DR564L-HL01-ER48</v>
          </cell>
          <cell r="E15620" t="str">
            <v>80AD01220295C7E08A</v>
          </cell>
        </row>
        <row r="15621">
          <cell r="D15621" t="str">
            <v>MEM-DR564L-HL01-ER48</v>
          </cell>
          <cell r="E15621" t="str">
            <v>80AD01220295C7E089</v>
          </cell>
        </row>
        <row r="15622">
          <cell r="D15622" t="str">
            <v>MEM-DR564L-HL01-ER48</v>
          </cell>
          <cell r="E15622" t="str">
            <v>80AD01220295C7E0AA</v>
          </cell>
        </row>
        <row r="15623">
          <cell r="D15623" t="str">
            <v>MEM-DR564L-HL01-ER48</v>
          </cell>
          <cell r="E15623" t="str">
            <v>80AD01220295C7E05E</v>
          </cell>
        </row>
        <row r="15624">
          <cell r="D15624" t="str">
            <v>MEM-DR564L-HL01-ER48</v>
          </cell>
          <cell r="E15624" t="str">
            <v>80AD01220295C7DA06</v>
          </cell>
        </row>
        <row r="15625">
          <cell r="D15625" t="str">
            <v>MEM-DR564L-HL01-ER48</v>
          </cell>
          <cell r="E15625" t="str">
            <v>80AD01220295C7E088</v>
          </cell>
        </row>
        <row r="15626">
          <cell r="D15626" t="str">
            <v>MEM-DR564L-HL01-ER48</v>
          </cell>
          <cell r="E15626" t="str">
            <v>80AD01220295C7E083</v>
          </cell>
        </row>
        <row r="15627">
          <cell r="D15627" t="str">
            <v>MEM-DR564L-HL01-ER48</v>
          </cell>
          <cell r="E15627" t="str">
            <v>80AD01220295C7E098</v>
          </cell>
        </row>
        <row r="15628">
          <cell r="D15628" t="str">
            <v>MEM-DR564L-HL01-ER48</v>
          </cell>
          <cell r="E15628" t="str">
            <v>80AD01220295C7E0B9</v>
          </cell>
        </row>
        <row r="15629">
          <cell r="D15629" t="str">
            <v>MEM-DR564L-HL01-ER48</v>
          </cell>
          <cell r="E15629" t="str">
            <v>80AD01220295C7E066</v>
          </cell>
        </row>
        <row r="15630">
          <cell r="D15630" t="str">
            <v>MEM-DR564L-HL01-ER48</v>
          </cell>
          <cell r="E15630" t="str">
            <v>80AD01220295C7E091</v>
          </cell>
        </row>
        <row r="15631">
          <cell r="D15631" t="str">
            <v>MEM-DR564L-HL01-ER48</v>
          </cell>
          <cell r="E15631" t="str">
            <v>80AD01220295C7E061</v>
          </cell>
        </row>
        <row r="15632">
          <cell r="D15632" t="str">
            <v>MEM-DR564L-HL01-ER48</v>
          </cell>
          <cell r="E15632" t="str">
            <v>80AD01220295C7E35F</v>
          </cell>
        </row>
        <row r="15633">
          <cell r="D15633" t="str">
            <v>MEM-DR564L-HL01-ER48</v>
          </cell>
          <cell r="E15633" t="str">
            <v>80AD01220295C7E072</v>
          </cell>
        </row>
        <row r="15634">
          <cell r="D15634" t="str">
            <v>MEM-DR564L-HL01-ER48</v>
          </cell>
          <cell r="E15634" t="str">
            <v>80AD01220295C7E077</v>
          </cell>
        </row>
        <row r="15635">
          <cell r="D15635" t="str">
            <v>MBD-X12SPA-TF-O</v>
          </cell>
          <cell r="E15635" t="str">
            <v>WM224S014780</v>
          </cell>
        </row>
        <row r="15636">
          <cell r="D15636" t="str">
            <v>MBD-X11SCL-F-O</v>
          </cell>
          <cell r="E15636" t="str">
            <v>VM223S003497</v>
          </cell>
        </row>
        <row r="15637">
          <cell r="D15637" t="str">
            <v>MEM-DR464L-CL02-ER32</v>
          </cell>
          <cell r="E15637" t="str">
            <v>S802C252208F336B074</v>
          </cell>
        </row>
        <row r="15638">
          <cell r="D15638" t="str">
            <v>MEM-DR464L-CL02-ER32</v>
          </cell>
          <cell r="E15638" t="str">
            <v>S802C252208F336B084</v>
          </cell>
        </row>
        <row r="15639">
          <cell r="D15639" t="str">
            <v>MEM-DR464L-CL02-ER32</v>
          </cell>
          <cell r="E15639" t="str">
            <v>S802C252208F336B086</v>
          </cell>
        </row>
        <row r="15640">
          <cell r="D15640" t="str">
            <v>MEM-DR464L-CL02-ER32</v>
          </cell>
          <cell r="E15640" t="str">
            <v>S802C252208F336B071</v>
          </cell>
        </row>
        <row r="15641">
          <cell r="D15641" t="str">
            <v>MEM-DR432L-CL06-ER32</v>
          </cell>
          <cell r="E15641" t="str">
            <v>S802C252130F2A49057</v>
          </cell>
        </row>
        <row r="15642">
          <cell r="D15642" t="str">
            <v>MEM-DR432L-CL06-ER32</v>
          </cell>
          <cell r="E15642" t="str">
            <v>S802C252130F2A49059</v>
          </cell>
        </row>
        <row r="15643">
          <cell r="D15643" t="str">
            <v>MEM-DR432L-CL06-ER32</v>
          </cell>
          <cell r="E15643" t="str">
            <v>S802C252130F2A4905D</v>
          </cell>
        </row>
        <row r="15644">
          <cell r="D15644" t="str">
            <v>MEM-DR432L-CL06-ER32</v>
          </cell>
          <cell r="E15644" t="str">
            <v>S802C252130F2A4905C</v>
          </cell>
        </row>
        <row r="15645">
          <cell r="D15645" t="str">
            <v>MBD-X11DDW-NT-B</v>
          </cell>
          <cell r="E15645" t="str">
            <v>NM225S001460</v>
          </cell>
        </row>
        <row r="15646">
          <cell r="D15646" t="str">
            <v>MBD-X11DDW-NT-B</v>
          </cell>
          <cell r="E15646" t="str">
            <v>NM225S001467</v>
          </cell>
        </row>
        <row r="15647">
          <cell r="D15647" t="str">
            <v>MBD-X11DDW-NT-B</v>
          </cell>
          <cell r="E15647" t="str">
            <v>NM225S001440</v>
          </cell>
        </row>
        <row r="15648">
          <cell r="D15648" t="str">
            <v>MBD-X11DDW-NT-B</v>
          </cell>
          <cell r="E15648" t="str">
            <v>NM225S001347</v>
          </cell>
        </row>
        <row r="15649">
          <cell r="D15649" t="str">
            <v>MBD-X11DDW-NT-B</v>
          </cell>
          <cell r="E15649" t="str">
            <v>NM225S001461</v>
          </cell>
        </row>
        <row r="15650">
          <cell r="D15650" t="str">
            <v>MBD-X11DDW-NT-B</v>
          </cell>
          <cell r="E15650" t="str">
            <v>NM223S005009</v>
          </cell>
        </row>
        <row r="15651">
          <cell r="D15651" t="str">
            <v>MBD-X11DDW-NT-B</v>
          </cell>
          <cell r="E15651" t="str">
            <v>NM225S001459</v>
          </cell>
        </row>
        <row r="15652">
          <cell r="D15652" t="str">
            <v>MBD-X11DDW-NT-B</v>
          </cell>
          <cell r="E15652" t="str">
            <v>NM223S005010</v>
          </cell>
        </row>
        <row r="15653">
          <cell r="D15653" t="str">
            <v>MBD-X11DDW-NT-B</v>
          </cell>
          <cell r="E15653" t="str">
            <v>NM225S001472</v>
          </cell>
        </row>
        <row r="15654">
          <cell r="D15654" t="str">
            <v>MBD-X11DDW-NT-B</v>
          </cell>
          <cell r="E15654" t="str">
            <v>NM225S001438</v>
          </cell>
        </row>
        <row r="15655">
          <cell r="D15655" t="str">
            <v>9500-8i  05-50077-03</v>
          </cell>
          <cell r="E15655" t="str">
            <v>SKC1339692</v>
          </cell>
        </row>
        <row r="15656">
          <cell r="D15656" t="str">
            <v>9500-8i  05-50077-03</v>
          </cell>
          <cell r="E15656" t="str">
            <v>SKC1352893</v>
          </cell>
        </row>
        <row r="15657">
          <cell r="D15657" t="str">
            <v>9500-8i  05-50077-03</v>
          </cell>
          <cell r="E15657" t="str">
            <v>SKC1353201</v>
          </cell>
        </row>
        <row r="15658">
          <cell r="D15658" t="str">
            <v>9500-8i  05-50077-03</v>
          </cell>
          <cell r="E15658" t="str">
            <v>SKC1353687</v>
          </cell>
        </row>
        <row r="15659">
          <cell r="D15659" t="str">
            <v>9500-8i  05-50077-03</v>
          </cell>
          <cell r="E15659" t="str">
            <v>SKC1353141</v>
          </cell>
        </row>
        <row r="15660">
          <cell r="D15660" t="str">
            <v>EPC621D8A</v>
          </cell>
          <cell r="E15660" t="str">
            <v>EBS0XW012326</v>
          </cell>
        </row>
        <row r="15661">
          <cell r="D15661" t="str">
            <v>C3558D4I-4L</v>
          </cell>
          <cell r="E15661" t="str">
            <v>F4S0XW003432</v>
          </cell>
        </row>
        <row r="15662">
          <cell r="D15662" t="str">
            <v>1U2LW-X570/2L2T</v>
          </cell>
          <cell r="E15662" t="str">
            <v>F4S0R8000240</v>
          </cell>
        </row>
        <row r="15663">
          <cell r="D15663" t="str">
            <v>SERVER R282-3C1</v>
          </cell>
          <cell r="E15663" t="str">
            <v>GLG9U8021A0019</v>
          </cell>
        </row>
        <row r="15664">
          <cell r="D15664" t="str">
            <v>0B42266</v>
          </cell>
          <cell r="E15664" t="str">
            <v>VCKBDRTP</v>
          </cell>
        </row>
        <row r="15665">
          <cell r="D15665" t="str">
            <v>0B42266</v>
          </cell>
          <cell r="E15665" t="str">
            <v>VCKBGJLP</v>
          </cell>
        </row>
        <row r="15666">
          <cell r="D15666" t="str">
            <v>0B42266</v>
          </cell>
          <cell r="E15666" t="str">
            <v>VCKBGHEP</v>
          </cell>
        </row>
        <row r="15667">
          <cell r="D15667" t="str">
            <v>0B42266</v>
          </cell>
          <cell r="E15667" t="str">
            <v>VCKBDDLP</v>
          </cell>
        </row>
        <row r="15668">
          <cell r="D15668" t="str">
            <v>CD8068904572501 Xeon Gold 6338</v>
          </cell>
          <cell r="E15668" t="str">
            <v>L140E663 126F1D01AF2D16ECRKJ9</v>
          </cell>
        </row>
        <row r="15669">
          <cell r="D15669" t="str">
            <v>CD8068904572501 Xeon Gold 6338</v>
          </cell>
          <cell r="E15669" t="str">
            <v>L140E663  1281F900E9E6CC30RKJ9</v>
          </cell>
        </row>
        <row r="15670">
          <cell r="D15670" t="str">
            <v>CD8068904572501 Xeon Gold 6338</v>
          </cell>
          <cell r="E15670" t="str">
            <v>L140E663  1274B0001BE074D6RKJ9</v>
          </cell>
        </row>
        <row r="15671">
          <cell r="D15671" t="str">
            <v>CD8068904572501 Xeon Gold 6338</v>
          </cell>
          <cell r="E15671" t="str">
            <v>L140E663  1274B9009DD053B8RKJ9</v>
          </cell>
        </row>
        <row r="15672">
          <cell r="D15672" t="str">
            <v>CD8068904572501 Xeon Gold 6338</v>
          </cell>
          <cell r="E15672" t="str">
            <v>L140E663  125A150151445495RKJ9</v>
          </cell>
        </row>
        <row r="15673">
          <cell r="D15673" t="str">
            <v>CD8068904572501 Xeon Gold 6338</v>
          </cell>
          <cell r="E15673" t="str">
            <v>L140E663  1260BC002B4443E9RKJ9</v>
          </cell>
        </row>
        <row r="15674">
          <cell r="D15674" t="str">
            <v>CD8069503956401 Xeon Silver 4208</v>
          </cell>
          <cell r="E15674" t="str">
            <v>J215F532</v>
          </cell>
        </row>
        <row r="15675">
          <cell r="D15675" t="str">
            <v>CD8069504343701  Xeon Silver 4214R</v>
          </cell>
          <cell r="E15675" t="str">
            <v>3220F286</v>
          </cell>
        </row>
        <row r="15676">
          <cell r="D15676" t="str">
            <v>CD8069504343701  Xeon Silver 4214R</v>
          </cell>
          <cell r="E15676" t="str">
            <v>3220F286</v>
          </cell>
        </row>
        <row r="15677">
          <cell r="D15677" t="str">
            <v>CD8069504343701  Xeon Silver 4214R</v>
          </cell>
          <cell r="E15677" t="str">
            <v>3220F286</v>
          </cell>
        </row>
        <row r="15678">
          <cell r="D15678" t="str">
            <v>CD8069504343701  Xeon Silver 4214R</v>
          </cell>
          <cell r="E15678" t="str">
            <v>3220F286</v>
          </cell>
        </row>
        <row r="15679">
          <cell r="D15679" t="str">
            <v>CD8069504343701  Xeon Silver 4214R</v>
          </cell>
          <cell r="E15679" t="str">
            <v>3220F286</v>
          </cell>
        </row>
        <row r="15680">
          <cell r="D15680" t="str">
            <v>CD8069504343701  Xeon Silver 4214R</v>
          </cell>
          <cell r="E15680" t="str">
            <v>3220F286</v>
          </cell>
        </row>
        <row r="15681">
          <cell r="D15681" t="str">
            <v>CD8069504343701  Xeon Silver 4214R</v>
          </cell>
          <cell r="E15681" t="str">
            <v>3220F286</v>
          </cell>
        </row>
        <row r="15682">
          <cell r="D15682" t="str">
            <v>CD8069504343701  Xeon Silver 4214R</v>
          </cell>
          <cell r="E15682" t="str">
            <v>3220F286</v>
          </cell>
        </row>
        <row r="15683">
          <cell r="D15683" t="str">
            <v>CD8069504343701  Xeon Silver 4214R</v>
          </cell>
          <cell r="E15683" t="str">
            <v>3220F286</v>
          </cell>
        </row>
        <row r="15684">
          <cell r="D15684" t="str">
            <v>CD8069504343701  Xeon Silver 4214R</v>
          </cell>
          <cell r="E15684" t="str">
            <v>3220F286</v>
          </cell>
        </row>
        <row r="15685">
          <cell r="D15685" t="str">
            <v>CD8069504343701  Xeon Silver 4214R</v>
          </cell>
          <cell r="E15685" t="str">
            <v>3220F286</v>
          </cell>
        </row>
        <row r="15686">
          <cell r="D15686" t="str">
            <v>CD8069504343701  Xeon Silver 4214R</v>
          </cell>
          <cell r="E15686" t="str">
            <v>3220F286</v>
          </cell>
        </row>
        <row r="15687">
          <cell r="D15687" t="str">
            <v>CD8069504343701  Xeon Silver 4214R</v>
          </cell>
          <cell r="E15687" t="str">
            <v>3220F286</v>
          </cell>
        </row>
        <row r="15688">
          <cell r="D15688" t="str">
            <v>CD8069504343701  Xeon Silver 4214R</v>
          </cell>
          <cell r="E15688" t="str">
            <v>3220F286</v>
          </cell>
        </row>
        <row r="15689">
          <cell r="D15689" t="str">
            <v>CD8069504343701  Xeon Silver 4214R</v>
          </cell>
          <cell r="E15689" t="str">
            <v>3220F326</v>
          </cell>
        </row>
        <row r="15690">
          <cell r="D15690" t="str">
            <v>CD8069504343701  Xeon Silver 4214R</v>
          </cell>
          <cell r="E15690" t="str">
            <v>3220F326</v>
          </cell>
        </row>
        <row r="15691">
          <cell r="D15691" t="str">
            <v>MZ7L3480HCHQ-00A07</v>
          </cell>
          <cell r="E15691" t="str">
            <v>S664NE0T208944</v>
          </cell>
        </row>
        <row r="15692">
          <cell r="D15692" t="str">
            <v>MZ7L3480HCHQ-00A07</v>
          </cell>
          <cell r="E15692" t="str">
            <v>S664NE0T209005</v>
          </cell>
        </row>
        <row r="15693">
          <cell r="D15693" t="str">
            <v>MZ7L3480HCHQ-00A07</v>
          </cell>
          <cell r="E15693" t="str">
            <v>S664NE0T209013</v>
          </cell>
        </row>
        <row r="15694">
          <cell r="D15694" t="str">
            <v>MZ7L3480HCHQ-00A07</v>
          </cell>
          <cell r="E15694" t="str">
            <v>S664NE0T208559</v>
          </cell>
        </row>
        <row r="15695">
          <cell r="D15695" t="str">
            <v>MZ7L3480HCHQ-00A07</v>
          </cell>
          <cell r="E15695" t="str">
            <v>S664NE0T209015</v>
          </cell>
          <cell r="K15695" t="str">
            <v>SO/2022/006170/A 4z12</v>
          </cell>
        </row>
        <row r="15696">
          <cell r="D15696" t="str">
            <v>MZ7L3480HCHQ-00A07</v>
          </cell>
          <cell r="E15696" t="str">
            <v>S664NE0T209016</v>
          </cell>
          <cell r="K15696" t="str">
            <v>SO/2022/006170/A 3z12</v>
          </cell>
        </row>
        <row r="15697">
          <cell r="D15697" t="str">
            <v>MZ7L3480HCHQ-00A07</v>
          </cell>
          <cell r="E15697" t="str">
            <v>S664NE0T209018</v>
          </cell>
          <cell r="K15697" t="str">
            <v>SO/2022/006170/A 2z12</v>
          </cell>
        </row>
        <row r="15698">
          <cell r="D15698" t="str">
            <v>MZ7L3480HCHQ-00A07</v>
          </cell>
          <cell r="E15698" t="str">
            <v>S664NE0T209019</v>
          </cell>
          <cell r="K15698" t="str">
            <v>SO/2022/006170/A 6z12</v>
          </cell>
        </row>
        <row r="15699">
          <cell r="D15699" t="str">
            <v>MZ7L3480HCHQ-00A07</v>
          </cell>
          <cell r="E15699" t="str">
            <v>S664NE0T209020</v>
          </cell>
          <cell r="K15699" t="str">
            <v>SO/2022/006170/A 5z12</v>
          </cell>
        </row>
        <row r="15700">
          <cell r="D15700" t="str">
            <v>MZ7L3480HCHQ-00A07</v>
          </cell>
          <cell r="E15700" t="str">
            <v>S664NE0T209010</v>
          </cell>
          <cell r="K15700" t="str">
            <v>SO/2022/006170/A 1z12</v>
          </cell>
        </row>
        <row r="15701">
          <cell r="D15701" t="str">
            <v>MZ7L3480HCHQ-00A07</v>
          </cell>
          <cell r="E15701" t="str">
            <v>S664NE0T209038</v>
          </cell>
        </row>
        <row r="15702">
          <cell r="D15702" t="str">
            <v>MZ7L3480HCHQ-00A07</v>
          </cell>
          <cell r="E15702" t="str">
            <v>S664NE0T209033</v>
          </cell>
        </row>
        <row r="15703">
          <cell r="D15703" t="str">
            <v>MZ7L3480HCHQ-00A07</v>
          </cell>
          <cell r="E15703" t="str">
            <v>S664NE0T209032</v>
          </cell>
        </row>
        <row r="15704">
          <cell r="D15704" t="str">
            <v>MZ7L3480HCHQ-00A07</v>
          </cell>
          <cell r="E15704" t="str">
            <v>S664NE0T209030</v>
          </cell>
        </row>
        <row r="15705">
          <cell r="D15705" t="str">
            <v>MZ7L3480HCHQ-00A07</v>
          </cell>
          <cell r="E15705" t="str">
            <v>S664NE0T209031</v>
          </cell>
        </row>
        <row r="15706">
          <cell r="D15706" t="str">
            <v>MZ7L3480HCHQ-00A07</v>
          </cell>
          <cell r="E15706" t="str">
            <v>S664NE0T209027</v>
          </cell>
        </row>
        <row r="15707">
          <cell r="D15707" t="str">
            <v>MZ7LH960HAJR-00005</v>
          </cell>
          <cell r="E15707" t="str">
            <v>S45NNA1RC00605</v>
          </cell>
        </row>
        <row r="15708">
          <cell r="D15708" t="str">
            <v>MZ7LH960HAJR-00005</v>
          </cell>
          <cell r="E15708" t="str">
            <v>S45NNA1RC00595</v>
          </cell>
        </row>
        <row r="15709">
          <cell r="D15709" t="str">
            <v>MZ7LH960HAJR-00005</v>
          </cell>
          <cell r="E15709" t="str">
            <v>S45NNA1RC00596</v>
          </cell>
        </row>
        <row r="15710">
          <cell r="D15710" t="str">
            <v>MZ7LH960HAJR-00005</v>
          </cell>
          <cell r="E15710" t="str">
            <v>S45NNA1RC00597</v>
          </cell>
        </row>
        <row r="15711">
          <cell r="D15711" t="str">
            <v>MZ7LH960HAJR-00005</v>
          </cell>
          <cell r="E15711" t="str">
            <v>S45NNA1RC00598</v>
          </cell>
        </row>
        <row r="15712">
          <cell r="D15712" t="str">
            <v>MZ7LH960HAJR-00005</v>
          </cell>
          <cell r="E15712" t="str">
            <v>S45NNA1RC00599</v>
          </cell>
        </row>
        <row r="15713">
          <cell r="D15713" t="str">
            <v>MZ7LH960HAJR-00005</v>
          </cell>
          <cell r="E15713" t="str">
            <v>S45NNA1RC00600</v>
          </cell>
        </row>
        <row r="15714">
          <cell r="D15714" t="str">
            <v>MZ7LH960HAJR-00005</v>
          </cell>
          <cell r="E15714" t="str">
            <v>S45NNA1RC00601</v>
          </cell>
        </row>
        <row r="15715">
          <cell r="D15715" t="str">
            <v>MZ7LH960HAJR-00005</v>
          </cell>
          <cell r="E15715" t="str">
            <v>S45NNA1RC01007</v>
          </cell>
        </row>
        <row r="15716">
          <cell r="D15716" t="str">
            <v>MZ7LH960HAJR-00005</v>
          </cell>
          <cell r="E15716" t="str">
            <v>S45NNA1RC01008</v>
          </cell>
        </row>
        <row r="15717">
          <cell r="D15717" t="str">
            <v>MZ7LH960HAJR-00005</v>
          </cell>
          <cell r="E15717" t="str">
            <v>S45NNA1RC01009</v>
          </cell>
        </row>
        <row r="15718">
          <cell r="D15718" t="str">
            <v>MZ7LH960HAJR-00005</v>
          </cell>
          <cell r="E15718" t="str">
            <v>S45NNA1RC01011</v>
          </cell>
        </row>
        <row r="15719">
          <cell r="D15719" t="str">
            <v>MZ7LH960HAJR-00005</v>
          </cell>
          <cell r="E15719" t="str">
            <v>S45NNA1RC01012</v>
          </cell>
        </row>
        <row r="15720">
          <cell r="D15720" t="str">
            <v>MZ7LH960HAJR-00005</v>
          </cell>
          <cell r="E15720" t="str">
            <v>S45NNA1RC00997</v>
          </cell>
        </row>
        <row r="15721">
          <cell r="D15721" t="str">
            <v>MZ7LH960HAJR-00005</v>
          </cell>
          <cell r="E15721" t="str">
            <v>S45NNA1RC00998</v>
          </cell>
        </row>
        <row r="15722">
          <cell r="D15722" t="str">
            <v>MZ7LH960HAJR-00005</v>
          </cell>
          <cell r="E15722" t="str">
            <v>S45NNA1RC00999</v>
          </cell>
        </row>
        <row r="15723">
          <cell r="D15723" t="str">
            <v>MZ7LH960HAJR-00005</v>
          </cell>
          <cell r="E15723" t="str">
            <v>S45NNA1RC01004</v>
          </cell>
        </row>
        <row r="15724">
          <cell r="D15724" t="str">
            <v>MZ7LH960HAJR-00005</v>
          </cell>
          <cell r="E15724" t="str">
            <v>S45NNA1RC01005</v>
          </cell>
        </row>
        <row r="15725">
          <cell r="D15725" t="str">
            <v>MZ7LH960HAJR-00005</v>
          </cell>
          <cell r="E15725" t="str">
            <v>S45NNA1RC01006</v>
          </cell>
        </row>
        <row r="15726">
          <cell r="D15726" t="str">
            <v>MZ7LH960HAJR-00005</v>
          </cell>
          <cell r="E15726" t="str">
            <v>S45NNA1RC01003</v>
          </cell>
        </row>
        <row r="15727">
          <cell r="D15727" t="str">
            <v>MZ7LH960HAJR-00005</v>
          </cell>
          <cell r="E15727" t="str">
            <v>S45NNA1RC00992</v>
          </cell>
        </row>
        <row r="15728">
          <cell r="D15728" t="str">
            <v>MZ7LH960HAJR-00005</v>
          </cell>
          <cell r="E15728" t="str">
            <v>S45NNA1RC00993</v>
          </cell>
        </row>
        <row r="15729">
          <cell r="D15729" t="str">
            <v>MZ7LH960HAJR-00005</v>
          </cell>
          <cell r="E15729" t="str">
            <v>S45NNA1RC00994</v>
          </cell>
        </row>
        <row r="15730">
          <cell r="D15730" t="str">
            <v>MZ7LH960HAJR-00005</v>
          </cell>
          <cell r="E15730" t="str">
            <v>S45NNA1RC00995</v>
          </cell>
        </row>
        <row r="15731">
          <cell r="D15731" t="str">
            <v>MZ7LH960HAJR-00005</v>
          </cell>
          <cell r="E15731" t="str">
            <v>S45NNA1RC00996</v>
          </cell>
        </row>
        <row r="15732">
          <cell r="D15732" t="str">
            <v>MZ7LH960HAJR-00005</v>
          </cell>
          <cell r="E15732" t="str">
            <v>S45NNA1RC00990</v>
          </cell>
        </row>
        <row r="15733">
          <cell r="D15733" t="str">
            <v>MZ7LH960HAJR-00005</v>
          </cell>
          <cell r="E15733" t="str">
            <v>S45NNA1RC00991</v>
          </cell>
        </row>
        <row r="15734">
          <cell r="D15734" t="str">
            <v>MZ7LH960HAJR-00005</v>
          </cell>
          <cell r="E15734" t="str">
            <v>S45NNA1RC00983</v>
          </cell>
        </row>
        <row r="15735">
          <cell r="D15735" t="str">
            <v>MZ7LH960HAJR-00005</v>
          </cell>
          <cell r="E15735" t="str">
            <v>S45NNA1RC01000</v>
          </cell>
        </row>
        <row r="15736">
          <cell r="D15736" t="str">
            <v>MZ7LH960HAJR-00005</v>
          </cell>
          <cell r="E15736" t="str">
            <v>S45NNA1RC01001</v>
          </cell>
        </row>
        <row r="15737">
          <cell r="D15737" t="str">
            <v>MZ7LH960HAJR-00005</v>
          </cell>
          <cell r="E15737" t="str">
            <v>S45NNA1RC01002</v>
          </cell>
        </row>
        <row r="15738">
          <cell r="D15738" t="str">
            <v>MZ7LH960HAJR-00005</v>
          </cell>
          <cell r="E15738" t="str">
            <v>S45NNA1RC00984</v>
          </cell>
        </row>
        <row r="15739">
          <cell r="D15739" t="str">
            <v>MZ7LH960HAJR-00005</v>
          </cell>
          <cell r="E15739" t="str">
            <v>S45NNA1RC00985</v>
          </cell>
        </row>
        <row r="15740">
          <cell r="D15740" t="str">
            <v>MZ7LH960HAJR-00005</v>
          </cell>
          <cell r="E15740" t="str">
            <v>S45NNA1RC00986</v>
          </cell>
        </row>
        <row r="15741">
          <cell r="D15741" t="str">
            <v>MZ7LH960HAJR-00005</v>
          </cell>
          <cell r="E15741" t="str">
            <v>S45NNA1RC00987</v>
          </cell>
        </row>
        <row r="15742">
          <cell r="D15742" t="str">
            <v>MZ7LH960HAJR-00005</v>
          </cell>
          <cell r="E15742" t="str">
            <v>S45NNA1RC00988</v>
          </cell>
        </row>
        <row r="15743">
          <cell r="D15743" t="str">
            <v>MZ7LH960HAJR-00005</v>
          </cell>
          <cell r="E15743" t="str">
            <v>S45NNA1RC00978</v>
          </cell>
        </row>
        <row r="15744">
          <cell r="D15744" t="str">
            <v>MZ7LH960HAJR-00005</v>
          </cell>
          <cell r="E15744" t="str">
            <v>S45NNA1RC00979</v>
          </cell>
        </row>
        <row r="15745">
          <cell r="D15745" t="str">
            <v>MZ7LH960HAJR-00005</v>
          </cell>
          <cell r="E15745" t="str">
            <v>S45NNA1RC00981</v>
          </cell>
        </row>
        <row r="15746">
          <cell r="D15746" t="str">
            <v>MZ7LH960HAJR-00005</v>
          </cell>
          <cell r="E15746" t="str">
            <v>S45NNA1RC00982</v>
          </cell>
        </row>
        <row r="15747">
          <cell r="D15747" t="str">
            <v>MZ7LH960HAJR-00005</v>
          </cell>
          <cell r="E15747" t="str">
            <v>S45NNA1RC00707</v>
          </cell>
        </row>
        <row r="15748">
          <cell r="D15748" t="str">
            <v>MZ7LH960HAJR-00005</v>
          </cell>
          <cell r="E15748" t="str">
            <v>S45NNA1RC00708</v>
          </cell>
        </row>
        <row r="15749">
          <cell r="D15749" t="str">
            <v>MZ7LH960HAJR-00005</v>
          </cell>
          <cell r="E15749" t="str">
            <v>S45NNA1RC00699</v>
          </cell>
        </row>
        <row r="15750">
          <cell r="D15750" t="str">
            <v>MZ7LH960HAJR-00005</v>
          </cell>
          <cell r="E15750" t="str">
            <v>S45NNA1RC00710</v>
          </cell>
        </row>
        <row r="15751">
          <cell r="D15751" t="str">
            <v>MZ7LH960HAJR-00005</v>
          </cell>
          <cell r="E15751" t="str">
            <v>S45NNA1RC00701</v>
          </cell>
        </row>
        <row r="15752">
          <cell r="D15752" t="str">
            <v>MZ7LH960HAJR-00005</v>
          </cell>
          <cell r="E15752" t="str">
            <v>S45NNA1RC00702</v>
          </cell>
        </row>
        <row r="15753">
          <cell r="D15753" t="str">
            <v>MZ7LH960HAJR-00005</v>
          </cell>
          <cell r="E15753" t="str">
            <v>S45NNA1RC00704</v>
          </cell>
        </row>
        <row r="15754">
          <cell r="D15754" t="str">
            <v>MZ7LH960HAJR-00005</v>
          </cell>
          <cell r="E15754" t="str">
            <v>S45NNA1RC00705</v>
          </cell>
        </row>
        <row r="15755">
          <cell r="D15755" t="str">
            <v>MZ7LH960HAJR-00005</v>
          </cell>
          <cell r="E15755" t="str">
            <v>S45NNA1RC00695</v>
          </cell>
        </row>
        <row r="15756">
          <cell r="D15756" t="str">
            <v>MZ7LH960HAJR-00005</v>
          </cell>
          <cell r="E15756" t="str">
            <v>S45NNA1RC00697</v>
          </cell>
        </row>
        <row r="15757">
          <cell r="D15757" t="str">
            <v>MZ7LH960HAJR-00005</v>
          </cell>
          <cell r="E15757" t="str">
            <v>S45NNA1RC00687</v>
          </cell>
        </row>
        <row r="15758">
          <cell r="D15758" t="str">
            <v>MZ7LH960HAJR-00005</v>
          </cell>
          <cell r="E15758" t="str">
            <v>S45NNA1RC00696</v>
          </cell>
        </row>
        <row r="15759">
          <cell r="D15759" t="str">
            <v>MZ7LH960HAJR-00005</v>
          </cell>
          <cell r="E15759" t="str">
            <v>S45NNA1RC00698</v>
          </cell>
        </row>
        <row r="15760">
          <cell r="D15760" t="str">
            <v>MZ7LH960HAJR-00005</v>
          </cell>
          <cell r="E15760" t="str">
            <v>S45NNA1RC00688</v>
          </cell>
        </row>
        <row r="15761">
          <cell r="D15761" t="str">
            <v>MZ7LH960HAJR-00005</v>
          </cell>
          <cell r="E15761" t="str">
            <v>S45NNA1RC00689</v>
          </cell>
        </row>
        <row r="15762">
          <cell r="D15762" t="str">
            <v>MZ7LH960HAJR-00005</v>
          </cell>
          <cell r="E15762" t="str">
            <v>S45NNA1RC00692</v>
          </cell>
        </row>
        <row r="15763">
          <cell r="D15763" t="str">
            <v>MZ7LH960HAJR-00005</v>
          </cell>
          <cell r="E15763" t="str">
            <v>S45NNA1RC00691</v>
          </cell>
        </row>
        <row r="15764">
          <cell r="D15764" t="str">
            <v>MZ7LH960HAJR-00005</v>
          </cell>
          <cell r="E15764" t="str">
            <v>S45NNA1RC00690</v>
          </cell>
        </row>
        <row r="15765">
          <cell r="D15765" t="str">
            <v>MZ7LH960HAJR-00005</v>
          </cell>
          <cell r="E15765" t="str">
            <v>S45NNA1RC00693</v>
          </cell>
        </row>
        <row r="15766">
          <cell r="D15766" t="str">
            <v>MZ7LH960HAJR-00005</v>
          </cell>
          <cell r="E15766" t="str">
            <v>S45NNA1RC00694</v>
          </cell>
        </row>
        <row r="15767">
          <cell r="D15767" t="str">
            <v>MZ7LH960HAJR-00005</v>
          </cell>
          <cell r="E15767" t="str">
            <v>S45NNA1RC00683</v>
          </cell>
        </row>
        <row r="15768">
          <cell r="D15768" t="str">
            <v>MZ7LH960HAJR-00005</v>
          </cell>
          <cell r="E15768" t="str">
            <v>S45NNA1RC00685</v>
          </cell>
        </row>
        <row r="15769">
          <cell r="D15769" t="str">
            <v>MZ7LH960HAJR-00005</v>
          </cell>
          <cell r="E15769" t="str">
            <v>S45NNA1RC00675</v>
          </cell>
        </row>
        <row r="15770">
          <cell r="D15770" t="str">
            <v>MZ7LH960HAJR-00005</v>
          </cell>
          <cell r="E15770" t="str">
            <v>S45NNA1RC00684</v>
          </cell>
        </row>
        <row r="15771">
          <cell r="D15771" t="str">
            <v>MZ7LH960HAJR-00005</v>
          </cell>
          <cell r="E15771" t="str">
            <v>S45NNA1RC00686</v>
          </cell>
        </row>
        <row r="15772">
          <cell r="D15772" t="str">
            <v>MZ7LH960HAJR-00005</v>
          </cell>
          <cell r="E15772" t="str">
            <v>S45NNA1RC00676</v>
          </cell>
        </row>
        <row r="15773">
          <cell r="D15773" t="str">
            <v>MZ7LH960HAJR-00005</v>
          </cell>
          <cell r="E15773" t="str">
            <v>S45NNA1RC00677</v>
          </cell>
        </row>
        <row r="15774">
          <cell r="D15774" t="str">
            <v>MZ7LH960HAJR-00005</v>
          </cell>
          <cell r="E15774" t="str">
            <v>S45NNA1RC00680</v>
          </cell>
        </row>
        <row r="15775">
          <cell r="D15775" t="str">
            <v>MZ7LH960HAJR-00005</v>
          </cell>
          <cell r="E15775" t="str">
            <v>S45NNA1RC00679</v>
          </cell>
        </row>
        <row r="15776">
          <cell r="D15776" t="str">
            <v>MZ7LH960HAJR-00005</v>
          </cell>
          <cell r="E15776" t="str">
            <v>S45NNA1RC00678</v>
          </cell>
        </row>
        <row r="15777">
          <cell r="D15777" t="str">
            <v>MZ7LH960HAJR-00005</v>
          </cell>
          <cell r="E15777" t="str">
            <v>S45NNA1RC00681</v>
          </cell>
        </row>
        <row r="15778">
          <cell r="D15778" t="str">
            <v>MZ7LH960HAJR-00005</v>
          </cell>
          <cell r="E15778" t="str">
            <v>S45NNA1RC00682</v>
          </cell>
        </row>
        <row r="15779">
          <cell r="D15779" t="str">
            <v>MZ7LH960HAJR-00005</v>
          </cell>
          <cell r="E15779" t="str">
            <v>S45NNA1RC00670</v>
          </cell>
        </row>
        <row r="15780">
          <cell r="D15780" t="str">
            <v>MZ7LH960HAJR-00005</v>
          </cell>
          <cell r="E15780" t="str">
            <v>S45NNA1RC00673</v>
          </cell>
        </row>
        <row r="15781">
          <cell r="D15781" t="str">
            <v>MZ7LH960HAJR-00005</v>
          </cell>
          <cell r="E15781" t="str">
            <v>S45NNA1RC00662</v>
          </cell>
        </row>
        <row r="15782">
          <cell r="D15782" t="str">
            <v>MZ7LH960HAJR-00005</v>
          </cell>
          <cell r="E15782" t="str">
            <v>S45NNA1RC00672</v>
          </cell>
        </row>
        <row r="15783">
          <cell r="D15783" t="str">
            <v>MZ7LH960HAJR-00005</v>
          </cell>
          <cell r="E15783" t="str">
            <v>S45NNA1RC00674</v>
          </cell>
        </row>
        <row r="15784">
          <cell r="D15784" t="str">
            <v>MZ7LH960HAJR-00005</v>
          </cell>
          <cell r="E15784" t="str">
            <v>S45NNA1RC00663</v>
          </cell>
        </row>
        <row r="15785">
          <cell r="D15785" t="str">
            <v>MZ7LH960HAJR-00005</v>
          </cell>
          <cell r="E15785" t="str">
            <v>S45NNA1RC00664</v>
          </cell>
        </row>
        <row r="15786">
          <cell r="D15786" t="str">
            <v>MZ7LH960HAJR-00005</v>
          </cell>
          <cell r="E15786" t="str">
            <v>S45NNA1RC00667</v>
          </cell>
        </row>
        <row r="15787">
          <cell r="D15787" t="str">
            <v>MZ7LH960HAJR-00005</v>
          </cell>
          <cell r="E15787" t="str">
            <v>S45NNA1RC00666</v>
          </cell>
        </row>
        <row r="15788">
          <cell r="D15788" t="str">
            <v>MZ7LH960HAJR-00005</v>
          </cell>
          <cell r="E15788" t="str">
            <v>S45NNA1RC00665</v>
          </cell>
        </row>
        <row r="15789">
          <cell r="D15789" t="str">
            <v>MZ7LH960HAJR-00005</v>
          </cell>
          <cell r="E15789" t="str">
            <v>S45NNA1RC00668</v>
          </cell>
        </row>
        <row r="15790">
          <cell r="D15790" t="str">
            <v>MZ7LH960HAJR-00005</v>
          </cell>
          <cell r="E15790" t="str">
            <v>S45NNA1RC00669</v>
          </cell>
        </row>
        <row r="15791">
          <cell r="D15791" t="str">
            <v>MZ7LH960HAJR-00005</v>
          </cell>
          <cell r="E15791" t="str">
            <v>S45NNA1RC00658</v>
          </cell>
        </row>
        <row r="15792">
          <cell r="D15792" t="str">
            <v>MZ7LH960HAJR-00005</v>
          </cell>
          <cell r="E15792" t="str">
            <v>S45NNA1RC00660</v>
          </cell>
        </row>
        <row r="15793">
          <cell r="D15793" t="str">
            <v>MZ7LH960HAJR-00005</v>
          </cell>
          <cell r="E15793" t="str">
            <v>S45NNA1RC00650</v>
          </cell>
        </row>
        <row r="15794">
          <cell r="D15794" t="str">
            <v>MZ7LH960HAJR-00005</v>
          </cell>
          <cell r="E15794" t="str">
            <v>S45NNA1RC00659</v>
          </cell>
        </row>
        <row r="15795">
          <cell r="D15795" t="str">
            <v>MZ7LH960HAJR-00005</v>
          </cell>
          <cell r="E15795" t="str">
            <v>S45NNA1RC00661</v>
          </cell>
        </row>
        <row r="15796">
          <cell r="D15796" t="str">
            <v>MZ7LH960HAJR-00005</v>
          </cell>
          <cell r="E15796" t="str">
            <v>S45NNA1RC00651</v>
          </cell>
        </row>
        <row r="15797">
          <cell r="D15797" t="str">
            <v>MZ7LH960HAJR-00005</v>
          </cell>
          <cell r="E15797" t="str">
            <v>S45NNA1RC00652</v>
          </cell>
        </row>
        <row r="15798">
          <cell r="D15798" t="str">
            <v>MZ7LH960HAJR-00005</v>
          </cell>
          <cell r="E15798" t="str">
            <v>S45NNA1RC00656</v>
          </cell>
        </row>
        <row r="15799">
          <cell r="D15799" t="str">
            <v>MZ7LH960HAJR-00005</v>
          </cell>
          <cell r="E15799" t="str">
            <v>S45NNA1RC00655</v>
          </cell>
        </row>
        <row r="15800">
          <cell r="D15800" t="str">
            <v>MZ7LH960HAJR-00005</v>
          </cell>
          <cell r="E15800" t="str">
            <v>S45NNA1RC00653</v>
          </cell>
        </row>
        <row r="15801">
          <cell r="D15801" t="str">
            <v>MZ7LH960HAJR-00005</v>
          </cell>
          <cell r="E15801" t="str">
            <v>S45NNA1RC00657</v>
          </cell>
        </row>
        <row r="15802">
          <cell r="D15802" t="str">
            <v>MZ7LH960HAJR-00005</v>
          </cell>
          <cell r="E15802" t="str">
            <v>S45NNA1RC00646</v>
          </cell>
        </row>
        <row r="15803">
          <cell r="D15803" t="str">
            <v>MZ7LH960HAJR-00005</v>
          </cell>
          <cell r="E15803" t="str">
            <v>S45NNA1RC00647</v>
          </cell>
        </row>
        <row r="15804">
          <cell r="D15804" t="str">
            <v>MZ7LH960HAJR-00005</v>
          </cell>
          <cell r="E15804" t="str">
            <v>S45NNA1RC00649</v>
          </cell>
        </row>
        <row r="15805">
          <cell r="D15805" t="str">
            <v>MZ7LH960HAJR-00005</v>
          </cell>
          <cell r="E15805" t="str">
            <v>S45NNA1RC00648</v>
          </cell>
        </row>
        <row r="15806">
          <cell r="D15806" t="str">
            <v>MZ7LH960HAJR-00005</v>
          </cell>
          <cell r="E15806" t="str">
            <v>S45NNA1RC00638</v>
          </cell>
        </row>
        <row r="15807">
          <cell r="D15807" t="str">
            <v>L5-25188-04</v>
          </cell>
          <cell r="E15807" t="str">
            <v>SPB5138254</v>
          </cell>
        </row>
        <row r="15808">
          <cell r="D15808" t="str">
            <v>L5-25188-04</v>
          </cell>
          <cell r="E15808" t="str">
            <v>SPB5138231</v>
          </cell>
        </row>
        <row r="15809">
          <cell r="D15809" t="str">
            <v>Apple iPhone 13 256GB</v>
          </cell>
          <cell r="E15809" t="str">
            <v>SJK25H7M6DK</v>
          </cell>
        </row>
        <row r="15810">
          <cell r="D15810" t="str">
            <v>KSM32ES8/16ME</v>
          </cell>
          <cell r="E15810" t="str">
            <v>2208 0000009420207-S000163</v>
          </cell>
        </row>
        <row r="15811">
          <cell r="D15811" t="str">
            <v>KSM32ES8/16ME</v>
          </cell>
          <cell r="E15811" t="str">
            <v>2208 0000009420207-S000075</v>
          </cell>
        </row>
        <row r="15812">
          <cell r="D15812" t="str">
            <v>MZ-V7S500BW</v>
          </cell>
          <cell r="E15812" t="str">
            <v>S4EVNM0T104539</v>
          </cell>
        </row>
        <row r="15813">
          <cell r="D15813" t="str">
            <v>MTFDHBE1T9TDF-1AW1ZABYY</v>
          </cell>
          <cell r="E15813" t="str">
            <v>2133313584A3</v>
          </cell>
        </row>
        <row r="15814">
          <cell r="D15814" t="str">
            <v>C3558D4U-2OP</v>
          </cell>
          <cell r="E15814" t="str">
            <v>F3S0XW018754</v>
          </cell>
        </row>
        <row r="15815">
          <cell r="D15815" t="str">
            <v>SSDPE2KE016T801</v>
          </cell>
          <cell r="E15815" t="str">
            <v>BTLN1401048Q1P6AGN</v>
          </cell>
        </row>
        <row r="15816">
          <cell r="D15816" t="str">
            <v>SSDPE2KE016T801</v>
          </cell>
          <cell r="E15816" t="str">
            <v>BTLN140104HR1P6AGN</v>
          </cell>
        </row>
        <row r="15817">
          <cell r="D15817" t="str">
            <v>SSDPE2KE016T801</v>
          </cell>
          <cell r="E15817" t="str">
            <v>BTLN140104AW1P6AGN</v>
          </cell>
        </row>
        <row r="15818">
          <cell r="D15818" t="str">
            <v>SSDPE2KE016T801</v>
          </cell>
          <cell r="E15818" t="str">
            <v>BTLN1401035Q1P6AGN</v>
          </cell>
        </row>
        <row r="15819">
          <cell r="D15819" t="str">
            <v>SSDPE2KE016T801</v>
          </cell>
          <cell r="E15819" t="str">
            <v>BTLN140104H51P6AGN</v>
          </cell>
        </row>
        <row r="15820">
          <cell r="D15820" t="str">
            <v>SSDPE2KE016T801</v>
          </cell>
          <cell r="E15820" t="str">
            <v>BTLN140104H61P6AGN</v>
          </cell>
        </row>
        <row r="15821">
          <cell r="D15821" t="str">
            <v>SSDPE2KE016T801</v>
          </cell>
          <cell r="E15821" t="str">
            <v>BTLN1401047M1P6AGN</v>
          </cell>
        </row>
        <row r="15822">
          <cell r="D15822" t="str">
            <v>MBF2H332A-AENOT</v>
          </cell>
          <cell r="E15822" t="str">
            <v>MT2212X27487</v>
          </cell>
          <cell r="K15822" t="str">
            <v>ean 7290108488746</v>
          </cell>
        </row>
        <row r="15823">
          <cell r="D15823" t="str">
            <v>MBF2H332A-AENOT</v>
          </cell>
          <cell r="E15823" t="str">
            <v>MT2212X27489</v>
          </cell>
        </row>
        <row r="15824">
          <cell r="D15824" t="str">
            <v>CM8068404227903    Xeon E2246G</v>
          </cell>
          <cell r="E15824" t="str">
            <v>X221K741 01555</v>
          </cell>
          <cell r="K15824" t="str">
            <v>SO/2022/006170/A 3z12</v>
          </cell>
        </row>
        <row r="15825">
          <cell r="D15825" t="str">
            <v>CM8068404227903    Xeon E2246G</v>
          </cell>
          <cell r="E15825" t="str">
            <v>X221K741 00193</v>
          </cell>
          <cell r="K15825" t="str">
            <v>SO/2022/006170/A 4z12</v>
          </cell>
        </row>
        <row r="15826">
          <cell r="D15826" t="str">
            <v>CM8068404227903    Xeon E2246G</v>
          </cell>
          <cell r="E15826" t="str">
            <v>X221K741 01548</v>
          </cell>
          <cell r="K15826" t="str">
            <v>SO/2022/006170/A 5z12</v>
          </cell>
        </row>
        <row r="15827">
          <cell r="D15827" t="str">
            <v>CM8068404227903    Xeon E2246G</v>
          </cell>
          <cell r="E15827" t="str">
            <v>X221K741 02272</v>
          </cell>
          <cell r="K15827" t="str">
            <v>SO/2022/006170/A 6z12</v>
          </cell>
        </row>
        <row r="15828">
          <cell r="D15828" t="str">
            <v>CM8068404227903    Xeon E2246G</v>
          </cell>
          <cell r="E15828" t="str">
            <v>X221K741 03182</v>
          </cell>
          <cell r="K15828" t="str">
            <v>SO/2022/006170/A 11z12</v>
          </cell>
        </row>
        <row r="15829">
          <cell r="D15829" t="str">
            <v>CM8068404227903    Xeon E2246G</v>
          </cell>
          <cell r="E15829" t="str">
            <v>X221K741 01600</v>
          </cell>
          <cell r="K15829" t="str">
            <v>SO/2022/006170/A 12z12</v>
          </cell>
        </row>
        <row r="15830">
          <cell r="D15830" t="str">
            <v>CM8068404227903    Xeon E2246G</v>
          </cell>
          <cell r="E15830" t="str">
            <v>X221K741 00202</v>
          </cell>
          <cell r="K15830" t="str">
            <v>SO/2022/006170/A 10z12</v>
          </cell>
        </row>
        <row r="15831">
          <cell r="D15831" t="str">
            <v>CM8068404227903    Xeon E2246G</v>
          </cell>
          <cell r="E15831" t="str">
            <v>X221K741 00006</v>
          </cell>
          <cell r="K15831" t="str">
            <v>SO/2022/006170/A 9z12</v>
          </cell>
        </row>
        <row r="15832">
          <cell r="D15832" t="str">
            <v>CM8068404227903    Xeon E2246G</v>
          </cell>
          <cell r="E15832" t="str">
            <v>X221K741 02282</v>
          </cell>
          <cell r="K15832" t="str">
            <v>SO/2022/006170/A 8z12</v>
          </cell>
        </row>
        <row r="15833">
          <cell r="D15833" t="str">
            <v>CM8068404227903    Xeon E2246G</v>
          </cell>
          <cell r="E15833" t="str">
            <v>X221K741 02015</v>
          </cell>
          <cell r="K15833" t="str">
            <v>SO/2022/006170/A 7z12</v>
          </cell>
        </row>
        <row r="15834">
          <cell r="D15834" t="str">
            <v>CD8069504448800    Xeon Gold 6230R</v>
          </cell>
          <cell r="E15834" t="str">
            <v>3215F063</v>
          </cell>
        </row>
        <row r="15835">
          <cell r="D15835" t="str">
            <v>CD8069504448800    Xeon Gold 6230R</v>
          </cell>
          <cell r="E15835" t="str">
            <v>3215F063</v>
          </cell>
        </row>
        <row r="15836">
          <cell r="D15836" t="str">
            <v>CD8069504448800    Xeon Gold 6230R</v>
          </cell>
          <cell r="E15836" t="str">
            <v>3215F063</v>
          </cell>
        </row>
        <row r="15837">
          <cell r="D15837" t="str">
            <v>CD8069504448800    Xeon Gold 6230R</v>
          </cell>
          <cell r="E15837" t="str">
            <v>3218F854</v>
          </cell>
        </row>
        <row r="15838">
          <cell r="D15838" t="str">
            <v>0F30144</v>
          </cell>
          <cell r="E15838" t="str">
            <v>5QJSM0RB</v>
          </cell>
        </row>
        <row r="15839">
          <cell r="D15839" t="str">
            <v>0F30144</v>
          </cell>
          <cell r="E15839" t="str">
            <v>5QJSHN3B</v>
          </cell>
        </row>
        <row r="15840">
          <cell r="D15840" t="str">
            <v>0F30144</v>
          </cell>
          <cell r="E15840" t="str">
            <v>5QJSL3MB</v>
          </cell>
        </row>
        <row r="15841">
          <cell r="D15841" t="str">
            <v>0F30144</v>
          </cell>
          <cell r="E15841" t="str">
            <v>5QJSJPLB</v>
          </cell>
        </row>
        <row r="15842">
          <cell r="D15842" t="str">
            <v>0F30144</v>
          </cell>
          <cell r="E15842" t="str">
            <v>5QJSRSZB</v>
          </cell>
        </row>
        <row r="15843">
          <cell r="D15843" t="str">
            <v>0F30144</v>
          </cell>
          <cell r="E15843" t="str">
            <v>5QJSB3TB</v>
          </cell>
        </row>
        <row r="15844">
          <cell r="D15844" t="str">
            <v>0F30144</v>
          </cell>
          <cell r="E15844" t="str">
            <v>5QJSHYLB</v>
          </cell>
        </row>
        <row r="15845">
          <cell r="D15845" t="str">
            <v>0F30144</v>
          </cell>
          <cell r="E15845" t="str">
            <v>5QJSE85B</v>
          </cell>
        </row>
        <row r="15846">
          <cell r="D15846" t="str">
            <v>0F30144</v>
          </cell>
          <cell r="E15846" t="str">
            <v>5QJSR5EB</v>
          </cell>
        </row>
        <row r="15847">
          <cell r="D15847" t="str">
            <v>0F30144</v>
          </cell>
          <cell r="E15847" t="str">
            <v>5QJSM1VB</v>
          </cell>
        </row>
        <row r="15848">
          <cell r="D15848" t="str">
            <v xml:space="preserve">Xeon Silver 4208 </v>
          </cell>
          <cell r="E15848" t="str">
            <v>0034CD0E9F25813ERFBM  721A26L000012</v>
          </cell>
        </row>
        <row r="15849">
          <cell r="D15849" t="str">
            <v xml:space="preserve">Xeon Silver 4208 </v>
          </cell>
          <cell r="E15849" t="str">
            <v>008ADC0E57392198RFBM  721A26L000285</v>
          </cell>
        </row>
        <row r="15850">
          <cell r="D15850" t="str">
            <v>1P2290800-R</v>
          </cell>
          <cell r="E15850" t="str">
            <v>S8A17F3000D1</v>
          </cell>
        </row>
        <row r="15851">
          <cell r="D15851" t="str">
            <v>1P2290800-R</v>
          </cell>
          <cell r="E15851" t="str">
            <v>S8A02F3004DF</v>
          </cell>
        </row>
        <row r="15852">
          <cell r="D15852" t="str">
            <v xml:space="preserve">CD8068904658102  Xeon Silver 4309Y </v>
          </cell>
          <cell r="E15852" t="str">
            <v>72AP959801000  D438D91BB7DEF800RKXS</v>
          </cell>
        </row>
        <row r="15853">
          <cell r="D15853" t="str">
            <v xml:space="preserve">CD8068904658102  Xeon Silver 4309Y </v>
          </cell>
          <cell r="E15853" t="str">
            <v>72AP959801094  D467E01BBF0E5E26RKXS</v>
          </cell>
        </row>
        <row r="15854">
          <cell r="D15854" t="str">
            <v>CD8068904656703  Xeon Gold 5318Y</v>
          </cell>
          <cell r="E15854" t="str">
            <v>72NX221100480  99C110141D18DB40RKXE</v>
          </cell>
        </row>
        <row r="15855">
          <cell r="D15855" t="str">
            <v>CD8068904656703  Xeon Gold 5318Y</v>
          </cell>
          <cell r="E15855" t="str">
            <v>72NX221100467  99F10E140FD65C18RKXE</v>
          </cell>
        </row>
        <row r="15856">
          <cell r="D15856" t="str">
            <v>CD8068904656703  Xeon Gold 5318Y</v>
          </cell>
          <cell r="E15856" t="str">
            <v>72NX221100585  99E4FE7D91038020RKXE</v>
          </cell>
        </row>
        <row r="15857">
          <cell r="D15857" t="str">
            <v>CD8068904656703  Xeon Gold 5318Y</v>
          </cell>
          <cell r="E15857" t="str">
            <v>72NX221101207  9A1AF813FBDC62BDRKXE</v>
          </cell>
        </row>
        <row r="15858">
          <cell r="D15858" t="str">
            <v>MegaRaid 9341-8i    05-26106-00</v>
          </cell>
          <cell r="E15858" t="str">
            <v>SPB5127295</v>
          </cell>
        </row>
        <row r="15859">
          <cell r="D15859" t="str">
            <v>MegaRaid 9341-8i    05-26106-00</v>
          </cell>
          <cell r="E15859" t="str">
            <v>SPB5127796</v>
          </cell>
        </row>
        <row r="15860">
          <cell r="D15860" t="str">
            <v>MegaRaid 9341-8i    05-26106-00</v>
          </cell>
          <cell r="E15860" t="str">
            <v>SPB5128502</v>
          </cell>
        </row>
        <row r="15861">
          <cell r="D15861" t="str">
            <v>MegaRaid 9341-8i    05-26106-00</v>
          </cell>
          <cell r="E15861" t="str">
            <v>SPB5127509</v>
          </cell>
        </row>
        <row r="15862">
          <cell r="D15862" t="str">
            <v>MegaRaid 9341-8i    05-26106-00</v>
          </cell>
          <cell r="E15862" t="str">
            <v>SPB5128305</v>
          </cell>
        </row>
        <row r="15863">
          <cell r="D15863" t="str">
            <v>MegaRaid 9341-8i    05-26106-00</v>
          </cell>
          <cell r="E15863" t="str">
            <v>SPB5127521</v>
          </cell>
        </row>
        <row r="15864">
          <cell r="D15864" t="str">
            <v>MegaRaid 9341-8i    05-26106-00</v>
          </cell>
          <cell r="E15864" t="str">
            <v>SPB5128119</v>
          </cell>
        </row>
        <row r="15865">
          <cell r="D15865" t="str">
            <v>MegaRaid 9341-8i    05-26106-00</v>
          </cell>
          <cell r="E15865" t="str">
            <v>SPB5128774</v>
          </cell>
        </row>
        <row r="15866">
          <cell r="D15866" t="str">
            <v>MegaRaid 9341-8i    05-26106-00</v>
          </cell>
          <cell r="E15866" t="str">
            <v>SPB5127854</v>
          </cell>
        </row>
        <row r="15867">
          <cell r="D15867" t="str">
            <v>MegaRaid 9341-8i    05-26106-00</v>
          </cell>
          <cell r="E15867" t="str">
            <v>SPB5128162</v>
          </cell>
        </row>
        <row r="15868">
          <cell r="D15868" t="str">
            <v>BCM957414A4142CC</v>
          </cell>
          <cell r="E15868" t="str">
            <v>A41422213008Z1FV</v>
          </cell>
        </row>
        <row r="15869">
          <cell r="D15869" t="str">
            <v>BCM957414A4142CC</v>
          </cell>
          <cell r="E15869" t="str">
            <v>A41422213008YXFV</v>
          </cell>
        </row>
        <row r="15870">
          <cell r="D15870" t="str">
            <v>BCM957414A4142CC</v>
          </cell>
          <cell r="E15870" t="str">
            <v>A414222130097UFV</v>
          </cell>
        </row>
        <row r="15871">
          <cell r="D15871" t="str">
            <v>BCM957414A4142CC</v>
          </cell>
          <cell r="E15871" t="str">
            <v>A414222130094MFV</v>
          </cell>
        </row>
        <row r="15872">
          <cell r="D15872" t="str">
            <v>BCM957414A4142CC</v>
          </cell>
          <cell r="E15872" t="str">
            <v>A41422213008Z4FV</v>
          </cell>
        </row>
        <row r="15873">
          <cell r="D15873" t="str">
            <v>BCM957414A4142CC</v>
          </cell>
          <cell r="E15873" t="str">
            <v>A41422213008Y9FV</v>
          </cell>
        </row>
        <row r="15874">
          <cell r="D15874" t="str">
            <v>BCM957414A4142CC</v>
          </cell>
          <cell r="E15874" t="str">
            <v>A414222130091NFV</v>
          </cell>
        </row>
        <row r="15875">
          <cell r="D15875" t="str">
            <v>BCM957414A4142CC</v>
          </cell>
          <cell r="E15875" t="str">
            <v>A41422213008UPFV</v>
          </cell>
        </row>
        <row r="15876">
          <cell r="D15876" t="str">
            <v>BCM957414A4142CC</v>
          </cell>
          <cell r="E15876" t="str">
            <v>A41422213008Z8FV</v>
          </cell>
        </row>
        <row r="15877">
          <cell r="D15877" t="str">
            <v>BCM957414A4142CC</v>
          </cell>
          <cell r="E15877" t="str">
            <v>A41422213008YTFV</v>
          </cell>
        </row>
        <row r="15878">
          <cell r="D15878" t="str">
            <v>BCM957414A4142CC</v>
          </cell>
          <cell r="E15878" t="str">
            <v>A4142221300988FV</v>
          </cell>
        </row>
        <row r="15879">
          <cell r="D15879" t="str">
            <v>BCM957414A4142CC</v>
          </cell>
          <cell r="E15879" t="str">
            <v>A41422213008Z0FV</v>
          </cell>
        </row>
        <row r="15880">
          <cell r="D15880" t="str">
            <v>BCM957414A4142CC</v>
          </cell>
          <cell r="E15880" t="str">
            <v>A41422213009FNFV</v>
          </cell>
        </row>
        <row r="15881">
          <cell r="D15881" t="str">
            <v>BCM957414A4142CC</v>
          </cell>
          <cell r="E15881" t="str">
            <v>A414222130098RFV</v>
          </cell>
        </row>
        <row r="15882">
          <cell r="D15882" t="str">
            <v>BCM957414A4142CC</v>
          </cell>
          <cell r="E15882" t="str">
            <v>A41422213009AHFV</v>
          </cell>
        </row>
        <row r="15883">
          <cell r="D15883" t="str">
            <v>BCM957414A4142CC</v>
          </cell>
          <cell r="E15883" t="str">
            <v>A41422213009EXFV</v>
          </cell>
        </row>
        <row r="15884">
          <cell r="D15884" t="str">
            <v>BCM957414A4142CC</v>
          </cell>
          <cell r="E15884" t="str">
            <v>A41422213009FQFV</v>
          </cell>
        </row>
        <row r="15885">
          <cell r="D15885" t="str">
            <v>BCM957414A4142CC</v>
          </cell>
          <cell r="E15885" t="str">
            <v>A41422213009B5FV</v>
          </cell>
        </row>
        <row r="15886">
          <cell r="D15886" t="str">
            <v>BCM957414A4142CC</v>
          </cell>
          <cell r="E15886" t="str">
            <v>A41422213009A0FV</v>
          </cell>
        </row>
        <row r="15887">
          <cell r="D15887" t="str">
            <v>BCM957414A4142CC</v>
          </cell>
          <cell r="E15887" t="str">
            <v>A41422213009NCFV</v>
          </cell>
        </row>
        <row r="15888">
          <cell r="D15888" t="str">
            <v>BCM957504-P425G</v>
          </cell>
          <cell r="E15888" t="str">
            <v>P425G2150000JSFV</v>
          </cell>
        </row>
        <row r="15889">
          <cell r="D15889" t="str">
            <v>BCM957504-P425G</v>
          </cell>
          <cell r="E15889" t="str">
            <v>P425G2150000J5FV</v>
          </cell>
        </row>
        <row r="15890">
          <cell r="D15890" t="str">
            <v>BCM957504-P425G</v>
          </cell>
          <cell r="E15890" t="str">
            <v>P425G2150000JOFV</v>
          </cell>
        </row>
        <row r="15891">
          <cell r="D15891" t="str">
            <v>BCM957504-P425G</v>
          </cell>
          <cell r="E15891" t="str">
            <v>P425G2150000J4FV</v>
          </cell>
        </row>
        <row r="15892">
          <cell r="D15892" t="str">
            <v>BCM957504-P425G</v>
          </cell>
          <cell r="E15892" t="str">
            <v>P425G2150000JQFV</v>
          </cell>
        </row>
        <row r="15893">
          <cell r="D15893" t="str">
            <v>BCM957504-P425G</v>
          </cell>
          <cell r="E15893" t="str">
            <v>P425G2150000J0FV</v>
          </cell>
        </row>
        <row r="15894">
          <cell r="D15894" t="str">
            <v>BCM957504-P425G</v>
          </cell>
          <cell r="E15894" t="str">
            <v>P425G2150000JPFV</v>
          </cell>
        </row>
        <row r="15895">
          <cell r="D15895" t="str">
            <v>BCM957504-P425G</v>
          </cell>
          <cell r="E15895" t="str">
            <v>P425G2150000JRFV</v>
          </cell>
        </row>
        <row r="15896">
          <cell r="D15896" t="str">
            <v>BCM957504-P425G</v>
          </cell>
          <cell r="E15896" t="str">
            <v>P425G2150000ISFV</v>
          </cell>
        </row>
        <row r="15897">
          <cell r="D15897" t="str">
            <v>BCM957504-P425G</v>
          </cell>
          <cell r="E15897" t="str">
            <v>P425G2150000JYFV</v>
          </cell>
        </row>
        <row r="15898">
          <cell r="D15898" t="str">
            <v>BCM957504-P425G</v>
          </cell>
          <cell r="E15898" t="str">
            <v>P425G2150000GTFV</v>
          </cell>
        </row>
        <row r="15899">
          <cell r="D15899" t="str">
            <v>BCM957504-P425G</v>
          </cell>
          <cell r="E15899" t="str">
            <v>P425G2150000EUFV</v>
          </cell>
        </row>
        <row r="15900">
          <cell r="D15900" t="str">
            <v>BCM957504-P425G</v>
          </cell>
          <cell r="E15900" t="str">
            <v>P425G2150000EPFV</v>
          </cell>
        </row>
        <row r="15901">
          <cell r="D15901" t="str">
            <v>BCM957504-P425G</v>
          </cell>
          <cell r="E15901" t="str">
            <v>P425G2150000ESFV</v>
          </cell>
        </row>
        <row r="15902">
          <cell r="D15902" t="str">
            <v>BCM957504-P425G</v>
          </cell>
          <cell r="E15902" t="str">
            <v>P425G2150000EQFV</v>
          </cell>
        </row>
        <row r="15903">
          <cell r="D15903" t="str">
            <v>BCM957504-P425G</v>
          </cell>
          <cell r="E15903" t="str">
            <v>P425G2150000EMFV</v>
          </cell>
        </row>
        <row r="15904">
          <cell r="D15904" t="str">
            <v>BCM957504-P425G</v>
          </cell>
          <cell r="E15904" t="str">
            <v>P425G2150000EOFV</v>
          </cell>
        </row>
        <row r="15905">
          <cell r="D15905" t="str">
            <v>BCM957504-P425G</v>
          </cell>
          <cell r="E15905" t="str">
            <v>P425G2150000EKFV</v>
          </cell>
        </row>
        <row r="15906">
          <cell r="D15906" t="str">
            <v>BCM957504-P425G</v>
          </cell>
          <cell r="E15906" t="str">
            <v>P425G2150000E6FV</v>
          </cell>
        </row>
        <row r="15907">
          <cell r="D15907" t="str">
            <v>BCM957504-P425G</v>
          </cell>
          <cell r="E15907" t="str">
            <v>P425G2150000GPFV</v>
          </cell>
        </row>
        <row r="15908">
          <cell r="D15908" t="str">
            <v>0B36047</v>
          </cell>
          <cell r="E15908" t="str">
            <v>V9K7KS1L</v>
          </cell>
        </row>
        <row r="15909">
          <cell r="D15909" t="str">
            <v>0B36047</v>
          </cell>
          <cell r="E15909" t="str">
            <v>V9K94AKL</v>
          </cell>
        </row>
        <row r="15910">
          <cell r="D15910" t="str">
            <v>0B36047</v>
          </cell>
          <cell r="E15910" t="str">
            <v>V9K95B7L</v>
          </cell>
        </row>
        <row r="15911">
          <cell r="D15911" t="str">
            <v>0B36047</v>
          </cell>
          <cell r="E15911" t="str">
            <v>V9K7GSEL</v>
          </cell>
        </row>
        <row r="15912">
          <cell r="D15912" t="str">
            <v>0B36047</v>
          </cell>
          <cell r="E15912" t="str">
            <v>V9K935XL</v>
          </cell>
        </row>
        <row r="15913">
          <cell r="D15913" t="str">
            <v>0B36047</v>
          </cell>
          <cell r="E15913" t="str">
            <v>V9K950GL</v>
          </cell>
        </row>
        <row r="15914">
          <cell r="D15914" t="str">
            <v>0B36047</v>
          </cell>
          <cell r="E15914" t="str">
            <v>V9K95K9L</v>
          </cell>
        </row>
        <row r="15915">
          <cell r="D15915" t="str">
            <v>0B36047</v>
          </cell>
          <cell r="E15915" t="str">
            <v>V9K8RWHL</v>
          </cell>
        </row>
        <row r="15916">
          <cell r="D15916" t="str">
            <v>0B36047</v>
          </cell>
          <cell r="E15916" t="str">
            <v>V9K94DJL</v>
          </cell>
        </row>
        <row r="15917">
          <cell r="D15917" t="str">
            <v>0B36047</v>
          </cell>
          <cell r="E15917" t="str">
            <v>V9K95EUL</v>
          </cell>
        </row>
        <row r="15918">
          <cell r="D15918" t="str">
            <v>0B36047</v>
          </cell>
          <cell r="E15918" t="str">
            <v>V9K7HMKL</v>
          </cell>
        </row>
        <row r="15919">
          <cell r="D15919" t="str">
            <v>0B36047</v>
          </cell>
          <cell r="E15919" t="str">
            <v>V9K93AKL</v>
          </cell>
        </row>
        <row r="15920">
          <cell r="D15920" t="str">
            <v>0B36047</v>
          </cell>
          <cell r="E15920" t="str">
            <v>V9K9559L</v>
          </cell>
        </row>
        <row r="15921">
          <cell r="D15921" t="str">
            <v>0B36047</v>
          </cell>
          <cell r="E15921" t="str">
            <v>V9K95STL</v>
          </cell>
        </row>
        <row r="15922">
          <cell r="D15922" t="str">
            <v>0B36047</v>
          </cell>
          <cell r="E15922" t="str">
            <v>V9K8TMJL</v>
          </cell>
        </row>
        <row r="15923">
          <cell r="D15923" t="str">
            <v>0B36047</v>
          </cell>
          <cell r="E15923" t="str">
            <v>V9K94UWL</v>
          </cell>
        </row>
        <row r="15924">
          <cell r="D15924" t="str">
            <v>0B36047</v>
          </cell>
          <cell r="E15924" t="str">
            <v>V9K95JEL</v>
          </cell>
        </row>
        <row r="15925">
          <cell r="D15925" t="str">
            <v>0B36047</v>
          </cell>
          <cell r="E15925" t="str">
            <v>V9K948EL</v>
          </cell>
        </row>
        <row r="15926">
          <cell r="D15926" t="str">
            <v>0B36047</v>
          </cell>
          <cell r="E15926" t="str">
            <v>V9K957YL</v>
          </cell>
        </row>
        <row r="15927">
          <cell r="D15927" t="str">
            <v>0B36047</v>
          </cell>
          <cell r="E15927" t="str">
            <v>V9K95TBL</v>
          </cell>
        </row>
        <row r="15928">
          <cell r="D15928" t="str">
            <v>0B36047</v>
          </cell>
          <cell r="E15928" t="str">
            <v>V9K8RVZL</v>
          </cell>
        </row>
        <row r="15929">
          <cell r="D15929" t="str">
            <v>0B36047</v>
          </cell>
          <cell r="E15929" t="str">
            <v>V9K947LL</v>
          </cell>
        </row>
        <row r="15930">
          <cell r="D15930" t="str">
            <v>0B36047</v>
          </cell>
          <cell r="E15930" t="str">
            <v>V9K959HL</v>
          </cell>
        </row>
        <row r="15931">
          <cell r="D15931" t="str">
            <v>0B36047</v>
          </cell>
          <cell r="E15931" t="str">
            <v>V9K8ED1L</v>
          </cell>
        </row>
        <row r="15932">
          <cell r="D15932" t="str">
            <v>0B36047</v>
          </cell>
          <cell r="E15932" t="str">
            <v>V9K9364L</v>
          </cell>
        </row>
        <row r="15933">
          <cell r="D15933" t="str">
            <v>0B36047</v>
          </cell>
          <cell r="E15933" t="str">
            <v>V9K94AYL</v>
          </cell>
        </row>
        <row r="15934">
          <cell r="D15934" t="str">
            <v>0B36047</v>
          </cell>
          <cell r="E15934" t="str">
            <v>V9K95KAL</v>
          </cell>
        </row>
        <row r="15935">
          <cell r="D15935" t="str">
            <v>0B36047</v>
          </cell>
          <cell r="E15935" t="str">
            <v>V9K8RWBL</v>
          </cell>
        </row>
        <row r="15936">
          <cell r="D15936" t="str">
            <v>0B36047</v>
          </cell>
          <cell r="E15936" t="str">
            <v>V9K948TL</v>
          </cell>
        </row>
        <row r="15937">
          <cell r="D15937" t="str">
            <v>0B36047</v>
          </cell>
          <cell r="E15937" t="str">
            <v>V9K95ANL</v>
          </cell>
        </row>
        <row r="15938">
          <cell r="D15938" t="str">
            <v>0B36047</v>
          </cell>
          <cell r="E15938" t="str">
            <v>V9K8KN6L</v>
          </cell>
        </row>
        <row r="15939">
          <cell r="D15939" t="str">
            <v>0B36047</v>
          </cell>
          <cell r="E15939" t="str">
            <v>V9K93E2L</v>
          </cell>
        </row>
        <row r="15940">
          <cell r="D15940" t="str">
            <v>0B36047</v>
          </cell>
          <cell r="E15940" t="str">
            <v>V9K94VEL</v>
          </cell>
        </row>
        <row r="15941">
          <cell r="D15941" t="str">
            <v>0B36047</v>
          </cell>
          <cell r="E15941" t="str">
            <v>V9K95L8L</v>
          </cell>
        </row>
        <row r="15942">
          <cell r="D15942" t="str">
            <v>0B36047</v>
          </cell>
          <cell r="E15942" t="str">
            <v>V9K8RWVL</v>
          </cell>
        </row>
        <row r="15943">
          <cell r="D15943" t="str">
            <v>0B36047</v>
          </cell>
          <cell r="E15943" t="str">
            <v>V9K94AAL</v>
          </cell>
        </row>
        <row r="15944">
          <cell r="D15944" t="str">
            <v>0B36047</v>
          </cell>
          <cell r="E15944" t="str">
            <v>V9K95H3L</v>
          </cell>
        </row>
        <row r="15945">
          <cell r="D15945" t="str">
            <v>0B36047</v>
          </cell>
          <cell r="E15945" t="str">
            <v>V9K93HPL</v>
          </cell>
        </row>
        <row r="15946">
          <cell r="D15946" t="str">
            <v>0B36047</v>
          </cell>
          <cell r="E15946" t="str">
            <v>V9K94YBL</v>
          </cell>
        </row>
        <row r="15947">
          <cell r="D15947" t="str">
            <v>0B36047</v>
          </cell>
          <cell r="E15947" t="str">
            <v>V9K95P3L</v>
          </cell>
        </row>
        <row r="15948">
          <cell r="D15948" t="str">
            <v>0B36047</v>
          </cell>
          <cell r="E15948" t="str">
            <v>V9K7VYSL</v>
          </cell>
        </row>
        <row r="15949">
          <cell r="D15949" t="str">
            <v>0B36047</v>
          </cell>
          <cell r="E15949" t="str">
            <v>V9K91R7L</v>
          </cell>
        </row>
        <row r="15950">
          <cell r="D15950" t="str">
            <v>0B36047</v>
          </cell>
          <cell r="E15950" t="str">
            <v>V9K94V8L</v>
          </cell>
        </row>
        <row r="15951">
          <cell r="D15951" t="str">
            <v>0B36047</v>
          </cell>
          <cell r="E15951" t="str">
            <v>V9HSHJ7L</v>
          </cell>
        </row>
        <row r="15952">
          <cell r="D15952" t="str">
            <v>0B36047</v>
          </cell>
          <cell r="E15952" t="str">
            <v>V9K8KMWL</v>
          </cell>
        </row>
        <row r="15953">
          <cell r="D15953" t="str">
            <v>0B36047</v>
          </cell>
          <cell r="E15953" t="str">
            <v>V9K938UL</v>
          </cell>
        </row>
        <row r="15954">
          <cell r="D15954" t="str">
            <v>0B36047</v>
          </cell>
          <cell r="E15954" t="str">
            <v>V9K94YNL</v>
          </cell>
        </row>
        <row r="15955">
          <cell r="D15955" t="str">
            <v>0B36047</v>
          </cell>
          <cell r="E15955" t="str">
            <v>V9K8KK4L</v>
          </cell>
        </row>
        <row r="15956">
          <cell r="D15956" t="str">
            <v>0B36047</v>
          </cell>
          <cell r="E15956" t="str">
            <v>V9K9353L</v>
          </cell>
        </row>
        <row r="15957">
          <cell r="D15957" t="str">
            <v>0B36047</v>
          </cell>
          <cell r="E15957" t="str">
            <v>V9K94WTL</v>
          </cell>
        </row>
        <row r="15958">
          <cell r="D15958" t="str">
            <v>0B36047</v>
          </cell>
          <cell r="E15958" t="str">
            <v>V9HSXPPL</v>
          </cell>
        </row>
        <row r="15959">
          <cell r="D15959" t="str">
            <v>0B36047</v>
          </cell>
          <cell r="E15959" t="str">
            <v>V9K8XYKL</v>
          </cell>
        </row>
        <row r="15960">
          <cell r="D15960" t="str">
            <v>0B36047</v>
          </cell>
          <cell r="E15960" t="str">
            <v>V9K93AAL</v>
          </cell>
        </row>
        <row r="15961">
          <cell r="D15961" t="str">
            <v>0B36047</v>
          </cell>
          <cell r="E15961" t="str">
            <v>V9K9505L</v>
          </cell>
        </row>
        <row r="15962">
          <cell r="D15962" t="str">
            <v>0B36047</v>
          </cell>
          <cell r="E15962" t="str">
            <v>V9K8KM8L</v>
          </cell>
        </row>
        <row r="15963">
          <cell r="D15963" t="str">
            <v>0B36047</v>
          </cell>
          <cell r="E15963" t="str">
            <v>V9K936NL</v>
          </cell>
        </row>
        <row r="15964">
          <cell r="D15964" t="str">
            <v>0B36047</v>
          </cell>
          <cell r="E15964" t="str">
            <v>V9K94YJL</v>
          </cell>
        </row>
        <row r="15965">
          <cell r="D15965" t="str">
            <v>0B36047</v>
          </cell>
          <cell r="E15965" t="str">
            <v>V9K8XYNL</v>
          </cell>
        </row>
        <row r="15966">
          <cell r="D15966" t="str">
            <v>0B36047</v>
          </cell>
          <cell r="E15966" t="str">
            <v>V9K94DPL</v>
          </cell>
        </row>
        <row r="15967">
          <cell r="D15967" t="str">
            <v>0B36047</v>
          </cell>
          <cell r="E15967" t="str">
            <v>V9K956XL</v>
          </cell>
        </row>
        <row r="15968">
          <cell r="D15968" t="str">
            <v>0B36047</v>
          </cell>
          <cell r="E15968" t="str">
            <v>V9K8KLSL</v>
          </cell>
        </row>
        <row r="15969">
          <cell r="D15969" t="str">
            <v>0B36047</v>
          </cell>
          <cell r="E15969" t="str">
            <v>V9K93SGL</v>
          </cell>
        </row>
        <row r="15970">
          <cell r="D15970" t="str">
            <v>0B36047</v>
          </cell>
          <cell r="E15970" t="str">
            <v>V9K95LML</v>
          </cell>
        </row>
        <row r="15971">
          <cell r="D15971" t="str">
            <v>0B36047</v>
          </cell>
          <cell r="E15971" t="str">
            <v>V9K8G2JL</v>
          </cell>
        </row>
        <row r="15972">
          <cell r="D15972" t="str">
            <v>0B36047</v>
          </cell>
          <cell r="E15972" t="str">
            <v>V9K937KL</v>
          </cell>
        </row>
        <row r="15973">
          <cell r="D15973" t="str">
            <v>0B36047</v>
          </cell>
          <cell r="E15973" t="str">
            <v>V9K94V3L</v>
          </cell>
        </row>
        <row r="15974">
          <cell r="D15974" t="str">
            <v>0B36047</v>
          </cell>
          <cell r="E15974" t="str">
            <v>V9K95P5L</v>
          </cell>
        </row>
        <row r="15975">
          <cell r="D15975" t="str">
            <v>0B36047</v>
          </cell>
          <cell r="E15975" t="str">
            <v>V9K91R3L</v>
          </cell>
        </row>
        <row r="15976">
          <cell r="D15976" t="str">
            <v>0B36047</v>
          </cell>
          <cell r="E15976" t="str">
            <v>V9K94B0L</v>
          </cell>
        </row>
        <row r="15977">
          <cell r="D15977" t="str">
            <v>0B36047</v>
          </cell>
          <cell r="E15977" t="str">
            <v>V9K95MRL</v>
          </cell>
        </row>
        <row r="15978">
          <cell r="D15978" t="str">
            <v>0B36047</v>
          </cell>
          <cell r="E15978" t="str">
            <v>V9K8KL0L</v>
          </cell>
        </row>
        <row r="15979">
          <cell r="D15979" t="str">
            <v>0B36047</v>
          </cell>
          <cell r="E15979" t="str">
            <v>V9K939NL</v>
          </cell>
        </row>
        <row r="15980">
          <cell r="D15980" t="str">
            <v>0B36047</v>
          </cell>
          <cell r="E15980" t="str">
            <v>V9K94Y3L</v>
          </cell>
        </row>
        <row r="15981">
          <cell r="D15981" t="str">
            <v>0B36047</v>
          </cell>
          <cell r="E15981" t="str">
            <v>V9K95PYL</v>
          </cell>
        </row>
        <row r="15982">
          <cell r="D15982" t="str">
            <v>0B36047</v>
          </cell>
          <cell r="E15982" t="str">
            <v>V9K935LL</v>
          </cell>
        </row>
        <row r="15983">
          <cell r="D15983" t="str">
            <v>0B36047</v>
          </cell>
          <cell r="E15983" t="str">
            <v>V9K94DKL</v>
          </cell>
        </row>
        <row r="15984">
          <cell r="D15984" t="str">
            <v>0B36047</v>
          </cell>
          <cell r="E15984" t="str">
            <v>V9K95NUL</v>
          </cell>
        </row>
        <row r="15985">
          <cell r="D15985" t="str">
            <v>0B36047</v>
          </cell>
          <cell r="E15985" t="str">
            <v>V9K93JML</v>
          </cell>
        </row>
        <row r="15986">
          <cell r="D15986" t="str">
            <v>0B36047</v>
          </cell>
          <cell r="E15986" t="str">
            <v>V9K95LDL</v>
          </cell>
        </row>
        <row r="15987">
          <cell r="D15987" t="str">
            <v>0B36047</v>
          </cell>
          <cell r="E15987" t="str">
            <v>V9K95SKL</v>
          </cell>
        </row>
        <row r="15988">
          <cell r="D15988" t="str">
            <v>0B36047</v>
          </cell>
          <cell r="E15988" t="str">
            <v>V9K7MS7L</v>
          </cell>
        </row>
        <row r="15989">
          <cell r="D15989" t="str">
            <v>0B36047</v>
          </cell>
          <cell r="E15989" t="str">
            <v>V9K935AL</v>
          </cell>
        </row>
        <row r="15990">
          <cell r="D15990" t="str">
            <v>0B36047</v>
          </cell>
          <cell r="E15990" t="str">
            <v>V9K95H1L</v>
          </cell>
        </row>
        <row r="15991">
          <cell r="D15991" t="str">
            <v>0B36047</v>
          </cell>
          <cell r="E15991" t="str">
            <v>V9HS381L</v>
          </cell>
        </row>
        <row r="15992">
          <cell r="D15992" t="str">
            <v>0B36047</v>
          </cell>
          <cell r="E15992" t="str">
            <v>V9K8XY7L</v>
          </cell>
        </row>
        <row r="15993">
          <cell r="D15993" t="str">
            <v>0B36047</v>
          </cell>
          <cell r="E15993" t="str">
            <v>V9K9529L</v>
          </cell>
        </row>
        <row r="15994">
          <cell r="D15994" t="str">
            <v>0B36047</v>
          </cell>
          <cell r="E15994" t="str">
            <v>V9K95R7L</v>
          </cell>
        </row>
        <row r="15995">
          <cell r="D15995" t="str">
            <v>0B36047</v>
          </cell>
          <cell r="E15995" t="str">
            <v>V9K8KMJL</v>
          </cell>
        </row>
        <row r="15996">
          <cell r="D15996" t="str">
            <v>0B36047</v>
          </cell>
          <cell r="E15996" t="str">
            <v>V9K9377L</v>
          </cell>
        </row>
        <row r="15997">
          <cell r="D15997" t="str">
            <v>0B36047</v>
          </cell>
          <cell r="E15997" t="str">
            <v>V9K95H2L</v>
          </cell>
        </row>
        <row r="15998">
          <cell r="D15998" t="str">
            <v>0B36047</v>
          </cell>
          <cell r="E15998" t="str">
            <v>V9K722PL</v>
          </cell>
        </row>
        <row r="15999">
          <cell r="D15999" t="str">
            <v>0B36047</v>
          </cell>
          <cell r="E15999" t="str">
            <v>V9K8XYDL</v>
          </cell>
        </row>
        <row r="16000">
          <cell r="D16000" t="str">
            <v>0B36047</v>
          </cell>
          <cell r="E16000" t="str">
            <v>V9K952EL</v>
          </cell>
        </row>
        <row r="16001">
          <cell r="D16001" t="str">
            <v>0B36047</v>
          </cell>
          <cell r="E16001" t="str">
            <v>V9K95SJL</v>
          </cell>
        </row>
        <row r="16002">
          <cell r="D16002" t="str">
            <v>0B36047</v>
          </cell>
          <cell r="E16002" t="str">
            <v>V9K8RVWL</v>
          </cell>
        </row>
        <row r="16003">
          <cell r="D16003" t="str">
            <v>0B36047</v>
          </cell>
          <cell r="E16003" t="str">
            <v>V9K93J1L</v>
          </cell>
        </row>
        <row r="16004">
          <cell r="D16004" t="str">
            <v>0B36047</v>
          </cell>
          <cell r="E16004" t="str">
            <v>V9K95LGL</v>
          </cell>
        </row>
        <row r="16005">
          <cell r="D16005" t="str">
            <v>0B36047</v>
          </cell>
          <cell r="E16005" t="str">
            <v>V9K8XYML</v>
          </cell>
        </row>
        <row r="16006">
          <cell r="D16006" t="str">
            <v>0B36047</v>
          </cell>
          <cell r="E16006" t="str">
            <v>V9K95EZL</v>
          </cell>
        </row>
        <row r="16007">
          <cell r="D16007" t="str">
            <v>0B36047</v>
          </cell>
          <cell r="E16007" t="str">
            <v>V9K95SZL</v>
          </cell>
        </row>
        <row r="16008">
          <cell r="D16008" t="str">
            <v>0B36047</v>
          </cell>
          <cell r="E16008" t="str">
            <v>V9K800SL</v>
          </cell>
        </row>
        <row r="16009">
          <cell r="D16009" t="str">
            <v>0B36047</v>
          </cell>
          <cell r="E16009" t="str">
            <v>V9K94ASL</v>
          </cell>
        </row>
        <row r="16010">
          <cell r="D16010" t="str">
            <v>0B36047</v>
          </cell>
          <cell r="E16010" t="str">
            <v>V9K95DPL</v>
          </cell>
        </row>
        <row r="16011">
          <cell r="D16011" t="str">
            <v>0B36047</v>
          </cell>
          <cell r="E16011" t="str">
            <v>V9HSXPEL</v>
          </cell>
        </row>
        <row r="16012">
          <cell r="D16012" t="str">
            <v>0B36047</v>
          </cell>
          <cell r="E16012" t="str">
            <v>V9K935KL</v>
          </cell>
        </row>
        <row r="16013">
          <cell r="D16013" t="str">
            <v>0B36047</v>
          </cell>
          <cell r="E16013" t="str">
            <v>V9K94Y7L</v>
          </cell>
        </row>
        <row r="16014">
          <cell r="D16014" t="str">
            <v>0B36047</v>
          </cell>
          <cell r="E16014" t="str">
            <v>V9K95P0L</v>
          </cell>
        </row>
        <row r="16015">
          <cell r="D16015" t="str">
            <v>0B36047</v>
          </cell>
          <cell r="E16015" t="str">
            <v>V9K8KLTL</v>
          </cell>
        </row>
        <row r="16016">
          <cell r="D16016" t="str">
            <v>0B36047</v>
          </cell>
          <cell r="E16016" t="str">
            <v>V9K94GML</v>
          </cell>
        </row>
        <row r="16017">
          <cell r="D16017" t="str">
            <v>0B36047</v>
          </cell>
          <cell r="E16017" t="str">
            <v>V9K95H4L</v>
          </cell>
        </row>
        <row r="16018">
          <cell r="D16018" t="str">
            <v>0B36047</v>
          </cell>
          <cell r="E16018" t="str">
            <v>V9K78GML</v>
          </cell>
        </row>
        <row r="16019">
          <cell r="D16019" t="str">
            <v>0B36047</v>
          </cell>
          <cell r="E16019" t="str">
            <v>V9K935RL</v>
          </cell>
        </row>
        <row r="16020">
          <cell r="D16020" t="str">
            <v>0B36047</v>
          </cell>
          <cell r="E16020" t="str">
            <v>V9K952NL</v>
          </cell>
        </row>
        <row r="16021">
          <cell r="D16021" t="str">
            <v>0B36047</v>
          </cell>
          <cell r="E16021" t="str">
            <v>V9K95PPL</v>
          </cell>
        </row>
        <row r="16022">
          <cell r="D16022" t="str">
            <v>0B36047</v>
          </cell>
          <cell r="E16022" t="str">
            <v>V9K8WX4L</v>
          </cell>
        </row>
        <row r="16023">
          <cell r="D16023" t="str">
            <v>0B36047</v>
          </cell>
          <cell r="E16023" t="str">
            <v>V9K94X4L</v>
          </cell>
        </row>
        <row r="16024">
          <cell r="D16024" t="str">
            <v>0B36047</v>
          </cell>
          <cell r="E16024" t="str">
            <v>V9K95H5L</v>
          </cell>
        </row>
        <row r="16025">
          <cell r="D16025" t="str">
            <v>0B36047</v>
          </cell>
          <cell r="E16025" t="str">
            <v>V9K938VL</v>
          </cell>
        </row>
        <row r="16026">
          <cell r="D16026" t="str">
            <v>0B36047</v>
          </cell>
          <cell r="E16026" t="str">
            <v>V9K958KL</v>
          </cell>
        </row>
        <row r="16027">
          <cell r="D16027" t="str">
            <v>0B36047</v>
          </cell>
          <cell r="E16027" t="str">
            <v>V9K95R6L</v>
          </cell>
        </row>
        <row r="16028">
          <cell r="D16028" t="str">
            <v>0B36047</v>
          </cell>
          <cell r="E16028" t="str">
            <v>V9K8KN9L</v>
          </cell>
        </row>
        <row r="16029">
          <cell r="D16029" t="str">
            <v>0B36047</v>
          </cell>
          <cell r="E16029" t="str">
            <v>V9K94J0L</v>
          </cell>
        </row>
        <row r="16030">
          <cell r="D16030" t="str">
            <v>0B36047</v>
          </cell>
          <cell r="E16030" t="str">
            <v>V9K9515L</v>
          </cell>
        </row>
        <row r="16031">
          <cell r="D16031" t="str">
            <v>0B36047</v>
          </cell>
          <cell r="E16031" t="str">
            <v>V9K8KM6L</v>
          </cell>
        </row>
        <row r="16032">
          <cell r="D16032" t="str">
            <v>0B36047</v>
          </cell>
          <cell r="E16032" t="str">
            <v>V9K937EL</v>
          </cell>
        </row>
        <row r="16033">
          <cell r="D16033" t="str">
            <v>0B36047</v>
          </cell>
          <cell r="E16033" t="str">
            <v>V9K94VML</v>
          </cell>
        </row>
        <row r="16034">
          <cell r="D16034" t="str">
            <v>0B36047</v>
          </cell>
          <cell r="E16034" t="str">
            <v>V9K95R0L</v>
          </cell>
        </row>
        <row r="16035">
          <cell r="D16035" t="str">
            <v>0B36047</v>
          </cell>
          <cell r="E16035" t="str">
            <v>V9K8WTUL</v>
          </cell>
        </row>
        <row r="16036">
          <cell r="D16036" t="str">
            <v>0B36047</v>
          </cell>
          <cell r="E16036" t="str">
            <v>V9K94L3L</v>
          </cell>
        </row>
        <row r="16037">
          <cell r="D16037" t="str">
            <v>0B36047</v>
          </cell>
          <cell r="E16037" t="str">
            <v>V9K95GSL</v>
          </cell>
        </row>
        <row r="16038">
          <cell r="D16038" t="str">
            <v>0B36047</v>
          </cell>
          <cell r="E16038" t="str">
            <v>V9K8KMPL</v>
          </cell>
        </row>
        <row r="16039">
          <cell r="D16039" t="str">
            <v>0B36047</v>
          </cell>
          <cell r="E16039" t="str">
            <v>V9K93E3L</v>
          </cell>
        </row>
        <row r="16040">
          <cell r="D16040" t="str">
            <v>0B36047</v>
          </cell>
          <cell r="E16040" t="str">
            <v>V9K94WKL</v>
          </cell>
        </row>
        <row r="16041">
          <cell r="D16041" t="str">
            <v>0B36047</v>
          </cell>
          <cell r="E16041" t="str">
            <v>V9K95R2L</v>
          </cell>
        </row>
        <row r="16042">
          <cell r="D16042" t="str">
            <v>0B36047</v>
          </cell>
          <cell r="E16042" t="str">
            <v>V9K8WUZL</v>
          </cell>
        </row>
        <row r="16043">
          <cell r="D16043" t="str">
            <v>0B36047</v>
          </cell>
          <cell r="E16043" t="str">
            <v>V9K94V0L</v>
          </cell>
        </row>
        <row r="16044">
          <cell r="D16044" t="str">
            <v>0B36047</v>
          </cell>
          <cell r="E16044" t="str">
            <v>V9K95HNL</v>
          </cell>
        </row>
        <row r="16045">
          <cell r="D16045" t="str">
            <v>0B36047</v>
          </cell>
          <cell r="E16045" t="str">
            <v>V9K94EPL</v>
          </cell>
        </row>
        <row r="16046">
          <cell r="D16046" t="str">
            <v>0B36047</v>
          </cell>
          <cell r="E16046" t="str">
            <v>V9K94WSL</v>
          </cell>
        </row>
        <row r="16047">
          <cell r="D16047" t="str">
            <v>0B36047</v>
          </cell>
          <cell r="E16047" t="str">
            <v>V9K95SLL</v>
          </cell>
        </row>
        <row r="16048">
          <cell r="D16048" t="str">
            <v>0B36047</v>
          </cell>
          <cell r="E16048" t="str">
            <v>V9K8JMAL</v>
          </cell>
        </row>
        <row r="16049">
          <cell r="D16049" t="str">
            <v>0B36047</v>
          </cell>
          <cell r="E16049" t="str">
            <v>V9K94A8L</v>
          </cell>
        </row>
        <row r="16050">
          <cell r="D16050" t="str">
            <v>0B36047</v>
          </cell>
          <cell r="E16050" t="str">
            <v>V9K95BEL</v>
          </cell>
        </row>
        <row r="16051">
          <cell r="D16051" t="str">
            <v>0B36047</v>
          </cell>
          <cell r="E16051" t="str">
            <v>V9K7E6LL</v>
          </cell>
        </row>
        <row r="16052">
          <cell r="D16052" t="str">
            <v>0B36047</v>
          </cell>
          <cell r="E16052" t="str">
            <v>V9K8S88L</v>
          </cell>
        </row>
        <row r="16053">
          <cell r="D16053" t="str">
            <v>0B36047</v>
          </cell>
          <cell r="E16053" t="str">
            <v>V9K94X1L</v>
          </cell>
        </row>
        <row r="16054">
          <cell r="D16054" t="str">
            <v>0B36047</v>
          </cell>
          <cell r="E16054" t="str">
            <v>V9K95T7L</v>
          </cell>
        </row>
        <row r="16055">
          <cell r="D16055" t="str">
            <v>0B36047</v>
          </cell>
          <cell r="E16055" t="str">
            <v>V9K8NDRL</v>
          </cell>
        </row>
        <row r="16056">
          <cell r="D16056" t="str">
            <v>0B36047</v>
          </cell>
          <cell r="E16056" t="str">
            <v>V9K94MLL</v>
          </cell>
        </row>
        <row r="16057">
          <cell r="D16057" t="str">
            <v>0B36047</v>
          </cell>
          <cell r="E16057" t="str">
            <v>V9K95JKL</v>
          </cell>
        </row>
        <row r="16058">
          <cell r="D16058" t="str">
            <v>0B36047</v>
          </cell>
          <cell r="E16058" t="str">
            <v>V9K7HVSL</v>
          </cell>
        </row>
        <row r="16059">
          <cell r="D16059" t="str">
            <v>0B36047</v>
          </cell>
          <cell r="E16059" t="str">
            <v>V9K8XZBL</v>
          </cell>
        </row>
        <row r="16060">
          <cell r="D16060" t="str">
            <v>0B36047</v>
          </cell>
          <cell r="E16060" t="str">
            <v>V9K94XBL</v>
          </cell>
        </row>
        <row r="16061">
          <cell r="D16061" t="str">
            <v>0B36047</v>
          </cell>
          <cell r="E16061" t="str">
            <v>V9K95THL</v>
          </cell>
        </row>
        <row r="16062">
          <cell r="D16062" t="str">
            <v>0B36047</v>
          </cell>
          <cell r="E16062" t="str">
            <v>V9K8RXBL</v>
          </cell>
        </row>
        <row r="16063">
          <cell r="D16063" t="str">
            <v>0B36047</v>
          </cell>
          <cell r="E16063" t="str">
            <v>V9K94WLL</v>
          </cell>
        </row>
        <row r="16064">
          <cell r="D16064" t="str">
            <v>0B36047</v>
          </cell>
          <cell r="E16064" t="str">
            <v>V9K95MEL</v>
          </cell>
        </row>
        <row r="16065">
          <cell r="D16065" t="str">
            <v>0B36047</v>
          </cell>
          <cell r="E16065" t="str">
            <v>V9K91R2L</v>
          </cell>
        </row>
        <row r="16066">
          <cell r="D16066" t="str">
            <v>0B36047</v>
          </cell>
          <cell r="E16066" t="str">
            <v>V9K957BL</v>
          </cell>
        </row>
        <row r="16067">
          <cell r="D16067" t="str">
            <v>0B36047</v>
          </cell>
          <cell r="E16067" t="str">
            <v>V9K95UTL</v>
          </cell>
        </row>
        <row r="16068">
          <cell r="D16068" t="str">
            <v>0B36047</v>
          </cell>
          <cell r="E16068" t="str">
            <v>V9K7SRVL</v>
          </cell>
        </row>
        <row r="16069">
          <cell r="D16069" t="str">
            <v>0B36047</v>
          </cell>
          <cell r="E16069" t="str">
            <v>V9K8WXEL</v>
          </cell>
        </row>
        <row r="16070">
          <cell r="D16070" t="str">
            <v>0B36047</v>
          </cell>
          <cell r="E16070" t="str">
            <v>V9K95BHL</v>
          </cell>
        </row>
        <row r="16071">
          <cell r="D16071" t="str">
            <v>0B36047</v>
          </cell>
          <cell r="E16071" t="str">
            <v>V9HS35NL</v>
          </cell>
        </row>
        <row r="16072">
          <cell r="D16072" t="str">
            <v>0B36047</v>
          </cell>
          <cell r="E16072" t="str">
            <v>V9K8KN7L</v>
          </cell>
        </row>
        <row r="16073">
          <cell r="D16073" t="str">
            <v>0B36047</v>
          </cell>
          <cell r="E16073" t="str">
            <v>V9K94W1L</v>
          </cell>
        </row>
        <row r="16074">
          <cell r="D16074" t="str">
            <v>0B36047</v>
          </cell>
          <cell r="E16074" t="str">
            <v>V9K95MKL</v>
          </cell>
        </row>
        <row r="16075">
          <cell r="D16075" t="str">
            <v>0B36047</v>
          </cell>
          <cell r="E16075" t="str">
            <v>V9K8KKGL</v>
          </cell>
        </row>
        <row r="16076">
          <cell r="D16076" t="str">
            <v>0B36047</v>
          </cell>
          <cell r="E16076" t="str">
            <v>V9K8XABL</v>
          </cell>
        </row>
        <row r="16077">
          <cell r="D16077" t="str">
            <v>0B36047</v>
          </cell>
          <cell r="E16077" t="str">
            <v>V9K95JJL</v>
          </cell>
        </row>
        <row r="16078">
          <cell r="D16078" t="str">
            <v>0B36047</v>
          </cell>
          <cell r="E16078" t="str">
            <v>V9HSXPLL</v>
          </cell>
        </row>
        <row r="16079">
          <cell r="D16079" t="str">
            <v>0B36047</v>
          </cell>
          <cell r="E16079" t="str">
            <v>V9K8TTJL</v>
          </cell>
        </row>
        <row r="16080">
          <cell r="D16080" t="str">
            <v>0B36047</v>
          </cell>
          <cell r="E16080" t="str">
            <v>V9K94WVL</v>
          </cell>
        </row>
        <row r="16081">
          <cell r="D16081" t="str">
            <v>0B36047</v>
          </cell>
          <cell r="E16081" t="str">
            <v>V9K95MSL</v>
          </cell>
        </row>
        <row r="16082">
          <cell r="D16082" t="str">
            <v>0B36047</v>
          </cell>
          <cell r="E16082" t="str">
            <v>V9K8KM5L</v>
          </cell>
        </row>
        <row r="16083">
          <cell r="D16083" t="str">
            <v>0B36047</v>
          </cell>
          <cell r="E16083" t="str">
            <v>V9K9368L</v>
          </cell>
        </row>
        <row r="16084">
          <cell r="D16084" t="str">
            <v>0B36047</v>
          </cell>
          <cell r="E16084" t="str">
            <v>V9K95KXL</v>
          </cell>
        </row>
        <row r="16085">
          <cell r="D16085" t="str">
            <v>0B36047</v>
          </cell>
          <cell r="E16085" t="str">
            <v>V9K8WV2L</v>
          </cell>
        </row>
        <row r="16086">
          <cell r="D16086" t="str">
            <v>0B36047</v>
          </cell>
          <cell r="E16086" t="str">
            <v>V9K950SL</v>
          </cell>
        </row>
        <row r="16087">
          <cell r="D16087" t="str">
            <v>0B36047</v>
          </cell>
          <cell r="E16087" t="str">
            <v>V9K95PML</v>
          </cell>
        </row>
        <row r="16088">
          <cell r="D16088" t="str">
            <v>0B36047</v>
          </cell>
          <cell r="E16088" t="str">
            <v>V9K8G3EL</v>
          </cell>
        </row>
        <row r="16089">
          <cell r="D16089" t="str">
            <v>0B36047</v>
          </cell>
          <cell r="E16089" t="str">
            <v>V9K935DL</v>
          </cell>
        </row>
        <row r="16090">
          <cell r="D16090" t="str">
            <v>0B36047</v>
          </cell>
          <cell r="E16090" t="str">
            <v>V9K9522L</v>
          </cell>
        </row>
        <row r="16091">
          <cell r="D16091" t="str">
            <v>0B36047</v>
          </cell>
          <cell r="E16091" t="str">
            <v>V9HSXTRL</v>
          </cell>
        </row>
        <row r="16092">
          <cell r="D16092" t="str">
            <v>0B36047</v>
          </cell>
          <cell r="E16092" t="str">
            <v>V9K8RXEL</v>
          </cell>
        </row>
        <row r="16093">
          <cell r="D16093" t="str">
            <v>0B36047</v>
          </cell>
          <cell r="E16093" t="str">
            <v>V9K948AL</v>
          </cell>
        </row>
        <row r="16094">
          <cell r="D16094" t="str">
            <v>0B36047</v>
          </cell>
          <cell r="E16094" t="str">
            <v>V9K958ML</v>
          </cell>
        </row>
        <row r="16095">
          <cell r="D16095" t="str">
            <v>0B36047</v>
          </cell>
          <cell r="E16095" t="str">
            <v>V9K8KLEL</v>
          </cell>
        </row>
        <row r="16096">
          <cell r="D16096" t="str">
            <v>0B36047</v>
          </cell>
          <cell r="E16096" t="str">
            <v>V9K938DL</v>
          </cell>
        </row>
        <row r="16097">
          <cell r="D16097" t="str">
            <v>0B36047</v>
          </cell>
          <cell r="E16097" t="str">
            <v>V9K9526L</v>
          </cell>
        </row>
        <row r="16098">
          <cell r="D16098" t="str">
            <v>0B36047</v>
          </cell>
          <cell r="E16098" t="str">
            <v>V9K7MUBL</v>
          </cell>
        </row>
        <row r="16099">
          <cell r="D16099" t="str">
            <v>0B36047</v>
          </cell>
          <cell r="E16099" t="str">
            <v>V9K8XZTL</v>
          </cell>
        </row>
        <row r="16100">
          <cell r="D16100" t="str">
            <v>0B36047</v>
          </cell>
          <cell r="E16100" t="str">
            <v>V9K94A4L</v>
          </cell>
        </row>
        <row r="16101">
          <cell r="D16101" t="str">
            <v>0B36047</v>
          </cell>
          <cell r="E16101" t="str">
            <v>V9K95D0L</v>
          </cell>
        </row>
        <row r="16102">
          <cell r="D16102" t="str">
            <v>0B36047</v>
          </cell>
          <cell r="E16102" t="str">
            <v>V9K8KMXL</v>
          </cell>
        </row>
        <row r="16103">
          <cell r="D16103" t="str">
            <v>0B36047</v>
          </cell>
          <cell r="E16103" t="str">
            <v>V9K938TL</v>
          </cell>
        </row>
        <row r="16104">
          <cell r="D16104" t="str">
            <v>0B36047</v>
          </cell>
          <cell r="E16104" t="str">
            <v>V9K955DL</v>
          </cell>
        </row>
        <row r="16105">
          <cell r="D16105" t="str">
            <v>0B36047</v>
          </cell>
          <cell r="E16105" t="str">
            <v>V9K9359L</v>
          </cell>
        </row>
        <row r="16106">
          <cell r="D16106" t="str">
            <v>0B36047</v>
          </cell>
          <cell r="E16106" t="str">
            <v>V9K94V7L</v>
          </cell>
        </row>
        <row r="16107">
          <cell r="D16107" t="str">
            <v>0B36047</v>
          </cell>
          <cell r="E16107" t="str">
            <v>V9K95NYL</v>
          </cell>
        </row>
        <row r="16108">
          <cell r="D16108" t="str">
            <v>0B36047</v>
          </cell>
          <cell r="E16108" t="str">
            <v>V9K8KMYL</v>
          </cell>
        </row>
        <row r="16109">
          <cell r="D16109" t="str">
            <v>0B36047</v>
          </cell>
          <cell r="E16109" t="str">
            <v>V9K935ML</v>
          </cell>
        </row>
        <row r="16110">
          <cell r="D16110" t="str">
            <v>0B36047</v>
          </cell>
          <cell r="E16110" t="str">
            <v>V9K94WNL</v>
          </cell>
        </row>
        <row r="16111">
          <cell r="D16111" t="str">
            <v>0B36047</v>
          </cell>
          <cell r="E16111" t="str">
            <v>V9K7MRZL</v>
          </cell>
        </row>
        <row r="16112">
          <cell r="D16112" t="str">
            <v>0B36047</v>
          </cell>
          <cell r="E16112" t="str">
            <v>V9K8WT6L</v>
          </cell>
        </row>
        <row r="16113">
          <cell r="D16113" t="str">
            <v>0B36047</v>
          </cell>
          <cell r="E16113" t="str">
            <v>V9K94AXL</v>
          </cell>
        </row>
        <row r="16114">
          <cell r="D16114" t="str">
            <v>0B36047</v>
          </cell>
          <cell r="E16114" t="str">
            <v>V9K956ML</v>
          </cell>
        </row>
        <row r="16115">
          <cell r="D16115" t="str">
            <v>0B36047</v>
          </cell>
          <cell r="E16115" t="str">
            <v>V9K8KNHL</v>
          </cell>
        </row>
        <row r="16116">
          <cell r="D16116" t="str">
            <v>0B36047</v>
          </cell>
          <cell r="E16116" t="str">
            <v>V9K935TL</v>
          </cell>
        </row>
        <row r="16117">
          <cell r="D16117" t="str">
            <v>0B36047</v>
          </cell>
          <cell r="E16117" t="str">
            <v>V9K94YGL</v>
          </cell>
        </row>
        <row r="16118">
          <cell r="D16118" t="str">
            <v>0B36047</v>
          </cell>
          <cell r="E16118" t="str">
            <v>V9K8KMTL</v>
          </cell>
        </row>
        <row r="16119">
          <cell r="D16119" t="str">
            <v>0B36047</v>
          </cell>
          <cell r="E16119" t="str">
            <v>V9K8WX7L</v>
          </cell>
        </row>
        <row r="16120">
          <cell r="D16120" t="str">
            <v>0B36047</v>
          </cell>
          <cell r="E16120" t="str">
            <v>V9K94V6L</v>
          </cell>
        </row>
        <row r="16121">
          <cell r="D16121" t="str">
            <v>0B36047</v>
          </cell>
          <cell r="E16121" t="str">
            <v>V9K95AEL</v>
          </cell>
        </row>
        <row r="16122">
          <cell r="D16122" t="str">
            <v>0B36047</v>
          </cell>
          <cell r="E16122" t="str">
            <v>V9K8TUSL</v>
          </cell>
        </row>
        <row r="16123">
          <cell r="D16123" t="str">
            <v>0B36047</v>
          </cell>
          <cell r="E16123" t="str">
            <v>V9K9480L</v>
          </cell>
        </row>
        <row r="16124">
          <cell r="D16124" t="str">
            <v>0B36047</v>
          </cell>
          <cell r="E16124" t="str">
            <v>V9K9501L</v>
          </cell>
        </row>
        <row r="16125">
          <cell r="D16125" t="str">
            <v>0B36047</v>
          </cell>
          <cell r="E16125" t="str">
            <v>V9K8WX9L</v>
          </cell>
        </row>
        <row r="16126">
          <cell r="D16126" t="str">
            <v>0B36047</v>
          </cell>
          <cell r="E16126" t="str">
            <v>V9K94WJL</v>
          </cell>
        </row>
        <row r="16127">
          <cell r="D16127" t="str">
            <v>0B36047</v>
          </cell>
          <cell r="E16127" t="str">
            <v>V9K95APL</v>
          </cell>
        </row>
        <row r="16128">
          <cell r="D16128" t="str">
            <v>0B36047</v>
          </cell>
          <cell r="E16128" t="str">
            <v>V9K8WTTL</v>
          </cell>
        </row>
        <row r="16129">
          <cell r="D16129" t="str">
            <v>0B36047</v>
          </cell>
          <cell r="E16129" t="str">
            <v>V9K939EL</v>
          </cell>
        </row>
        <row r="16130">
          <cell r="D16130" t="str">
            <v>0B36047</v>
          </cell>
          <cell r="E16130" t="str">
            <v>V9K95HVL</v>
          </cell>
        </row>
        <row r="16131">
          <cell r="D16131" t="str">
            <v>0B36047</v>
          </cell>
          <cell r="E16131" t="str">
            <v>V9K8KKML</v>
          </cell>
        </row>
        <row r="16132">
          <cell r="D16132" t="str">
            <v>0B36047</v>
          </cell>
          <cell r="E16132" t="str">
            <v>V9K8XZRL</v>
          </cell>
        </row>
        <row r="16133">
          <cell r="D16133" t="str">
            <v>0B36047</v>
          </cell>
          <cell r="E16133" t="str">
            <v>V9K94B3L</v>
          </cell>
        </row>
        <row r="16134">
          <cell r="D16134" t="str">
            <v>0B36047</v>
          </cell>
          <cell r="E16134" t="str">
            <v>V9K95N4L</v>
          </cell>
        </row>
        <row r="16135">
          <cell r="D16135" t="str">
            <v>0B36047</v>
          </cell>
          <cell r="E16135" t="str">
            <v>V9K8WXKL</v>
          </cell>
        </row>
        <row r="16136">
          <cell r="D16136" t="str">
            <v>0B36047</v>
          </cell>
          <cell r="E16136" t="str">
            <v>V9K93A6L</v>
          </cell>
        </row>
        <row r="16137">
          <cell r="D16137" t="str">
            <v>0B36047</v>
          </cell>
          <cell r="E16137" t="str">
            <v>V9K95LLL</v>
          </cell>
        </row>
        <row r="16138">
          <cell r="D16138" t="str">
            <v>0B36047</v>
          </cell>
          <cell r="E16138" t="str">
            <v>V9K8RX7L</v>
          </cell>
        </row>
        <row r="16139">
          <cell r="D16139" t="str">
            <v>0B36047</v>
          </cell>
          <cell r="E16139" t="str">
            <v>V9K91R4L</v>
          </cell>
        </row>
        <row r="16140">
          <cell r="D16140" t="str">
            <v>0B36047</v>
          </cell>
          <cell r="E16140" t="str">
            <v>V9K94VHL</v>
          </cell>
        </row>
        <row r="16141">
          <cell r="D16141" t="str">
            <v>0B36047</v>
          </cell>
          <cell r="E16141" t="str">
            <v>V9K95PKL</v>
          </cell>
        </row>
        <row r="16142">
          <cell r="D16142" t="str">
            <v>0B36047</v>
          </cell>
          <cell r="E16142" t="str">
            <v>V9K8XZ5L</v>
          </cell>
        </row>
        <row r="16143">
          <cell r="D16143" t="str">
            <v>0B36047</v>
          </cell>
          <cell r="E16143" t="str">
            <v>V9K947VL</v>
          </cell>
        </row>
        <row r="16144">
          <cell r="D16144" t="str">
            <v>0B36047</v>
          </cell>
          <cell r="E16144" t="str">
            <v>V9K95M3L</v>
          </cell>
        </row>
        <row r="16145">
          <cell r="D16145" t="str">
            <v>0B36047</v>
          </cell>
          <cell r="E16145" t="str">
            <v>V9K935BL</v>
          </cell>
        </row>
        <row r="16146">
          <cell r="D16146" t="str">
            <v>0B36047</v>
          </cell>
          <cell r="E16146" t="str">
            <v>V9K956KL</v>
          </cell>
        </row>
        <row r="16147">
          <cell r="D16147" t="str">
            <v>0B36047</v>
          </cell>
          <cell r="E16147" t="str">
            <v>V9K95R3L</v>
          </cell>
        </row>
        <row r="16148">
          <cell r="D16148" t="str">
            <v>0B36047</v>
          </cell>
          <cell r="E16148" t="str">
            <v>V9K947YL</v>
          </cell>
        </row>
        <row r="16149">
          <cell r="D16149" t="str">
            <v>0B36047</v>
          </cell>
          <cell r="E16149" t="str">
            <v>V9K9517L</v>
          </cell>
        </row>
        <row r="16150">
          <cell r="D16150" t="str">
            <v>0B36047</v>
          </cell>
          <cell r="E16150" t="str">
            <v>V9K95BSL</v>
          </cell>
        </row>
        <row r="16151">
          <cell r="D16151" t="str">
            <v>0B36047</v>
          </cell>
          <cell r="E16151" t="str">
            <v>V9K8KMAL</v>
          </cell>
        </row>
        <row r="16152">
          <cell r="D16152" t="str">
            <v>0B36047</v>
          </cell>
          <cell r="E16152" t="str">
            <v>V9K94WEL</v>
          </cell>
        </row>
        <row r="16153">
          <cell r="D16153" t="str">
            <v>0B36047</v>
          </cell>
          <cell r="E16153" t="str">
            <v>V9K957UL</v>
          </cell>
        </row>
        <row r="16154">
          <cell r="D16154" t="str">
            <v>0B36047</v>
          </cell>
          <cell r="E16154" t="str">
            <v>V9K95MML</v>
          </cell>
        </row>
        <row r="16155">
          <cell r="D16155" t="str">
            <v>0B36047</v>
          </cell>
          <cell r="E16155" t="str">
            <v>V9K948PL</v>
          </cell>
        </row>
        <row r="16156">
          <cell r="D16156" t="str">
            <v>0B36047</v>
          </cell>
          <cell r="E16156" t="str">
            <v>V9K951VL</v>
          </cell>
        </row>
        <row r="16157">
          <cell r="D16157" t="str">
            <v>0B36047</v>
          </cell>
          <cell r="E16157" t="str">
            <v>V9K95BZL</v>
          </cell>
        </row>
        <row r="16158">
          <cell r="D16158" t="str">
            <v>0B36047</v>
          </cell>
          <cell r="E16158" t="str">
            <v>V9K8RX5L</v>
          </cell>
        </row>
        <row r="16159">
          <cell r="D16159" t="str">
            <v>0B36047</v>
          </cell>
          <cell r="E16159" t="str">
            <v>V9K94WML</v>
          </cell>
        </row>
        <row r="16160">
          <cell r="D16160" t="str">
            <v>0B36047</v>
          </cell>
          <cell r="E16160" t="str">
            <v>V9K9598L</v>
          </cell>
        </row>
        <row r="16161">
          <cell r="D16161" t="str">
            <v>0B36047</v>
          </cell>
          <cell r="E16161" t="str">
            <v>V9K95NZL</v>
          </cell>
        </row>
        <row r="16162">
          <cell r="D16162" t="str">
            <v>0B36047</v>
          </cell>
          <cell r="E16162" t="str">
            <v>V9K94A5L</v>
          </cell>
        </row>
        <row r="16163">
          <cell r="D16163" t="str">
            <v>0B36047</v>
          </cell>
          <cell r="E16163" t="str">
            <v>V9K9537L</v>
          </cell>
        </row>
        <row r="16164">
          <cell r="D16164" t="str">
            <v>0B36047</v>
          </cell>
          <cell r="E16164" t="str">
            <v>V9K95JZL</v>
          </cell>
        </row>
        <row r="16165">
          <cell r="D16165" t="str">
            <v>0B36047</v>
          </cell>
          <cell r="E16165" t="str">
            <v>V9K94XAL</v>
          </cell>
        </row>
        <row r="16166">
          <cell r="D16166" t="str">
            <v>0B36047</v>
          </cell>
          <cell r="E16166" t="str">
            <v>V9K95BML</v>
          </cell>
        </row>
        <row r="16167">
          <cell r="D16167" t="str">
            <v>0B36047</v>
          </cell>
          <cell r="E16167" t="str">
            <v>V9K95RKL</v>
          </cell>
        </row>
        <row r="16168">
          <cell r="D16168" t="str">
            <v>0B36047</v>
          </cell>
          <cell r="E16168" t="str">
            <v>V9K8KLKL</v>
          </cell>
        </row>
        <row r="16169">
          <cell r="D16169" t="str">
            <v>0B36047</v>
          </cell>
          <cell r="E16169" t="str">
            <v>V9K93ARL</v>
          </cell>
        </row>
        <row r="16170">
          <cell r="D16170" t="str">
            <v>0B36047</v>
          </cell>
          <cell r="E16170" t="str">
            <v>V9K9584L</v>
          </cell>
        </row>
        <row r="16171">
          <cell r="D16171" t="str">
            <v>0B36047</v>
          </cell>
          <cell r="E16171" t="str">
            <v>V9K8G2XL</v>
          </cell>
        </row>
        <row r="16172">
          <cell r="D16172" t="str">
            <v>0B36047</v>
          </cell>
          <cell r="E16172" t="str">
            <v>V9K9376L</v>
          </cell>
        </row>
        <row r="16173">
          <cell r="D16173" t="str">
            <v>0B36047</v>
          </cell>
          <cell r="E16173" t="str">
            <v>V9K94Z9L</v>
          </cell>
        </row>
        <row r="16174">
          <cell r="D16174" t="str">
            <v>0B36047</v>
          </cell>
          <cell r="E16174" t="str">
            <v>V9K95L7L</v>
          </cell>
        </row>
        <row r="16175">
          <cell r="D16175" t="str">
            <v>0B36047</v>
          </cell>
          <cell r="E16175" t="str">
            <v>V9K8KN8L</v>
          </cell>
        </row>
        <row r="16176">
          <cell r="D16176" t="str">
            <v>0B36047</v>
          </cell>
          <cell r="E16176" t="str">
            <v>V9K94BEL</v>
          </cell>
        </row>
        <row r="16177">
          <cell r="D16177" t="str">
            <v>0B36047</v>
          </cell>
          <cell r="E16177" t="str">
            <v>V9K95B1L</v>
          </cell>
        </row>
        <row r="16178">
          <cell r="D16178" t="str">
            <v>0B36047</v>
          </cell>
          <cell r="E16178" t="str">
            <v>V9K8KKUL</v>
          </cell>
        </row>
        <row r="16179">
          <cell r="D16179" t="str">
            <v>0B36047</v>
          </cell>
          <cell r="E16179" t="str">
            <v>V9K938BL</v>
          </cell>
        </row>
        <row r="16180">
          <cell r="D16180" t="str">
            <v>0B36047</v>
          </cell>
          <cell r="E16180" t="str">
            <v>V9K950UL</v>
          </cell>
        </row>
        <row r="16181">
          <cell r="D16181" t="str">
            <v>0B36047</v>
          </cell>
          <cell r="E16181" t="str">
            <v>V9K95LHL</v>
          </cell>
        </row>
        <row r="16182">
          <cell r="D16182" t="str">
            <v>0B36047</v>
          </cell>
          <cell r="E16182" t="str">
            <v>V9K8RWJL</v>
          </cell>
        </row>
        <row r="16183">
          <cell r="D16183" t="str">
            <v>0B36047</v>
          </cell>
          <cell r="E16183" t="str">
            <v>V9K94Z5L</v>
          </cell>
        </row>
        <row r="16184">
          <cell r="D16184" t="str">
            <v>0B36047</v>
          </cell>
          <cell r="E16184" t="str">
            <v>V9K95J2L</v>
          </cell>
        </row>
        <row r="16185">
          <cell r="D16185" t="str">
            <v>0B36047</v>
          </cell>
          <cell r="E16185" t="str">
            <v>V9K9395L</v>
          </cell>
        </row>
        <row r="16186">
          <cell r="D16186" t="str">
            <v>0B36047</v>
          </cell>
          <cell r="E16186" t="str">
            <v>V9K9557L</v>
          </cell>
        </row>
        <row r="16187">
          <cell r="D16187" t="str">
            <v>0B36047</v>
          </cell>
          <cell r="E16187" t="str">
            <v>V9K95TDL</v>
          </cell>
        </row>
        <row r="16188">
          <cell r="D16188" t="str">
            <v>0B36047</v>
          </cell>
          <cell r="E16188" t="str">
            <v>V9K8RX8L</v>
          </cell>
        </row>
        <row r="16189">
          <cell r="D16189" t="str">
            <v>0B36047</v>
          </cell>
          <cell r="E16189" t="str">
            <v>V9K94EML</v>
          </cell>
        </row>
        <row r="16190">
          <cell r="D16190" t="str">
            <v>0B36047</v>
          </cell>
          <cell r="E16190" t="str">
            <v>V9K95G6L</v>
          </cell>
        </row>
        <row r="16191">
          <cell r="D16191" t="str">
            <v>0B36047</v>
          </cell>
          <cell r="E16191" t="str">
            <v>V9K8RW2L</v>
          </cell>
        </row>
        <row r="16192">
          <cell r="D16192" t="str">
            <v>0B36047</v>
          </cell>
          <cell r="E16192" t="str">
            <v>V9K93GBL</v>
          </cell>
        </row>
        <row r="16193">
          <cell r="D16193" t="str">
            <v>0B36047</v>
          </cell>
          <cell r="E16193" t="str">
            <v>V9K958VL</v>
          </cell>
        </row>
        <row r="16194">
          <cell r="D16194" t="str">
            <v>0B36047</v>
          </cell>
          <cell r="E16194" t="str">
            <v>V9K95LNL</v>
          </cell>
        </row>
        <row r="16195">
          <cell r="D16195" t="str">
            <v>0B36047</v>
          </cell>
          <cell r="E16195" t="str">
            <v>V9K8RXGL</v>
          </cell>
        </row>
        <row r="16196">
          <cell r="D16196" t="str">
            <v>0B36047</v>
          </cell>
          <cell r="E16196" t="str">
            <v>V9K94GAL</v>
          </cell>
        </row>
        <row r="16197">
          <cell r="D16197" t="str">
            <v>0B36047</v>
          </cell>
          <cell r="E16197" t="str">
            <v>V9K95JGL</v>
          </cell>
        </row>
        <row r="16198">
          <cell r="D16198" t="str">
            <v>0B36047</v>
          </cell>
          <cell r="E16198" t="str">
            <v>V9K8RX3L</v>
          </cell>
        </row>
        <row r="16199">
          <cell r="D16199" t="str">
            <v>0B36047</v>
          </cell>
          <cell r="E16199" t="str">
            <v>V9K947AL</v>
          </cell>
        </row>
        <row r="16200">
          <cell r="D16200" t="str">
            <v>0B36047</v>
          </cell>
          <cell r="E16200" t="str">
            <v>V9K959JL</v>
          </cell>
        </row>
        <row r="16201">
          <cell r="D16201" t="str">
            <v>0B36047</v>
          </cell>
          <cell r="E16201" t="str">
            <v>V9K95NSL</v>
          </cell>
        </row>
        <row r="16202">
          <cell r="D16202" t="str">
            <v>0B36047</v>
          </cell>
          <cell r="E16202" t="str">
            <v>V9K937XL</v>
          </cell>
        </row>
        <row r="16203">
          <cell r="D16203" t="str">
            <v>0B36047</v>
          </cell>
          <cell r="E16203" t="str">
            <v>V9K94XGL</v>
          </cell>
        </row>
        <row r="16204">
          <cell r="D16204" t="str">
            <v>0B36047</v>
          </cell>
          <cell r="E16204" t="str">
            <v>V9K95JHL</v>
          </cell>
        </row>
        <row r="16205">
          <cell r="D16205" t="str">
            <v>0B36047</v>
          </cell>
          <cell r="E16205" t="str">
            <v>V9K948HL</v>
          </cell>
        </row>
        <row r="16206">
          <cell r="D16206" t="str">
            <v>0B36047</v>
          </cell>
          <cell r="E16206" t="str">
            <v>V9K959WL</v>
          </cell>
        </row>
        <row r="16207">
          <cell r="D16207" t="str">
            <v>0B36047</v>
          </cell>
          <cell r="E16207" t="str">
            <v>V9K95SXL</v>
          </cell>
        </row>
        <row r="16208">
          <cell r="D16208" t="str">
            <v>0B36047</v>
          </cell>
          <cell r="E16208" t="str">
            <v>V9K9388L</v>
          </cell>
        </row>
        <row r="16209">
          <cell r="D16209" t="str">
            <v>0B36047</v>
          </cell>
          <cell r="E16209" t="str">
            <v>V9K949NL</v>
          </cell>
        </row>
        <row r="16210">
          <cell r="D16210" t="str">
            <v>0B36047</v>
          </cell>
          <cell r="E16210" t="str">
            <v>V9K9588L</v>
          </cell>
        </row>
        <row r="16211">
          <cell r="D16211" t="str">
            <v>0B36047</v>
          </cell>
          <cell r="E16211" t="str">
            <v>V9K8XY6L</v>
          </cell>
        </row>
        <row r="16212">
          <cell r="D16212" t="str">
            <v>0B36047</v>
          </cell>
          <cell r="E16212" t="str">
            <v>V9K93J3L</v>
          </cell>
        </row>
        <row r="16213">
          <cell r="D16213" t="str">
            <v>0B36047</v>
          </cell>
          <cell r="E16213" t="str">
            <v>V9K94X2L</v>
          </cell>
        </row>
        <row r="16214">
          <cell r="D16214" t="str">
            <v>0B36047</v>
          </cell>
          <cell r="E16214" t="str">
            <v>V9K95M4L</v>
          </cell>
        </row>
        <row r="16215">
          <cell r="D16215" t="str">
            <v>0B36047</v>
          </cell>
          <cell r="E16215" t="str">
            <v>V9K938GL</v>
          </cell>
        </row>
        <row r="16216">
          <cell r="D16216" t="str">
            <v>0B36047</v>
          </cell>
          <cell r="E16216" t="str">
            <v>V9K94G4L</v>
          </cell>
        </row>
        <row r="16217">
          <cell r="D16217" t="str">
            <v>0B36047</v>
          </cell>
          <cell r="E16217" t="str">
            <v>V9K95BUL</v>
          </cell>
        </row>
        <row r="16218">
          <cell r="D16218" t="str">
            <v>0B36047</v>
          </cell>
          <cell r="E16218" t="str">
            <v>V9K9379L</v>
          </cell>
        </row>
        <row r="16219">
          <cell r="D16219" t="str">
            <v>0B36047</v>
          </cell>
          <cell r="E16219" t="str">
            <v>V9K9471L</v>
          </cell>
        </row>
        <row r="16220">
          <cell r="D16220" t="str">
            <v>0B36047</v>
          </cell>
          <cell r="E16220" t="str">
            <v>V9K951XL</v>
          </cell>
        </row>
        <row r="16221">
          <cell r="D16221" t="str">
            <v>0B36047</v>
          </cell>
          <cell r="E16221" t="str">
            <v>V9K95PRL</v>
          </cell>
        </row>
        <row r="16222">
          <cell r="D16222" t="str">
            <v>0B36047</v>
          </cell>
          <cell r="E16222" t="str">
            <v>V9K9398L</v>
          </cell>
        </row>
        <row r="16223">
          <cell r="D16223" t="str">
            <v>0B36047</v>
          </cell>
          <cell r="E16223" t="str">
            <v>V9K94WXL</v>
          </cell>
        </row>
        <row r="16224">
          <cell r="D16224" t="str">
            <v>0B36047</v>
          </cell>
          <cell r="E16224" t="str">
            <v>V9K95KEL</v>
          </cell>
        </row>
        <row r="16225">
          <cell r="D16225" t="str">
            <v>0B36047</v>
          </cell>
          <cell r="E16225" t="str">
            <v>V9K949LL</v>
          </cell>
        </row>
        <row r="16226">
          <cell r="D16226" t="str">
            <v>0B36047</v>
          </cell>
          <cell r="E16226" t="str">
            <v>V9K955EL</v>
          </cell>
        </row>
        <row r="16227">
          <cell r="D16227" t="str">
            <v>0B36047</v>
          </cell>
          <cell r="E16227" t="str">
            <v>V9K95T9L</v>
          </cell>
        </row>
        <row r="16228">
          <cell r="D16228" t="str">
            <v>0B36047</v>
          </cell>
          <cell r="E16228" t="str">
            <v>V9K7M6NL</v>
          </cell>
        </row>
        <row r="16229">
          <cell r="D16229" t="str">
            <v>0B36047</v>
          </cell>
          <cell r="E16229" t="str">
            <v>V9K9385L</v>
          </cell>
        </row>
        <row r="16230">
          <cell r="D16230" t="str">
            <v>0B36047</v>
          </cell>
          <cell r="E16230" t="str">
            <v>V9K94XPL</v>
          </cell>
        </row>
        <row r="16231">
          <cell r="D16231" t="str">
            <v>0B36047</v>
          </cell>
          <cell r="E16231" t="str">
            <v>V9HSHENL</v>
          </cell>
        </row>
        <row r="16232">
          <cell r="D16232" t="str">
            <v>0B36047</v>
          </cell>
          <cell r="E16232" t="str">
            <v>V9K8KKTL</v>
          </cell>
        </row>
        <row r="16233">
          <cell r="D16233" t="str">
            <v>0B36047</v>
          </cell>
          <cell r="E16233" t="str">
            <v>V9K93HKL</v>
          </cell>
        </row>
        <row r="16234">
          <cell r="D16234" t="str">
            <v>0B36047</v>
          </cell>
          <cell r="E16234" t="str">
            <v>V9K95GXL</v>
          </cell>
        </row>
        <row r="16235">
          <cell r="D16235" t="str">
            <v>0B36047</v>
          </cell>
          <cell r="E16235" t="str">
            <v>V9K8G30L</v>
          </cell>
        </row>
        <row r="16236">
          <cell r="D16236" t="str">
            <v>0B36047</v>
          </cell>
          <cell r="E16236" t="str">
            <v>V9K93ENL</v>
          </cell>
        </row>
        <row r="16237">
          <cell r="D16237" t="str">
            <v>0B36047</v>
          </cell>
          <cell r="E16237" t="str">
            <v>V9K9593L</v>
          </cell>
        </row>
        <row r="16238">
          <cell r="D16238" t="str">
            <v>0B36047</v>
          </cell>
          <cell r="E16238" t="str">
            <v>V9HSXU7L</v>
          </cell>
        </row>
        <row r="16239">
          <cell r="D16239" t="str">
            <v>0B36047</v>
          </cell>
          <cell r="E16239" t="str">
            <v>V9K8RW8L</v>
          </cell>
        </row>
        <row r="16240">
          <cell r="D16240" t="str">
            <v>0B36047</v>
          </cell>
          <cell r="E16240" t="str">
            <v>V9K9488L</v>
          </cell>
        </row>
        <row r="16241">
          <cell r="D16241" t="str">
            <v>0B36047</v>
          </cell>
          <cell r="E16241" t="str">
            <v>V9K95K3L</v>
          </cell>
        </row>
        <row r="16242">
          <cell r="D16242" t="str">
            <v>0B36047</v>
          </cell>
          <cell r="E16242" t="str">
            <v>V9K8KK3L</v>
          </cell>
        </row>
        <row r="16243">
          <cell r="D16243" t="str">
            <v>0B36047</v>
          </cell>
          <cell r="E16243" t="str">
            <v>V9K93G6L</v>
          </cell>
        </row>
        <row r="16244">
          <cell r="D16244" t="str">
            <v>0B36047</v>
          </cell>
          <cell r="E16244" t="str">
            <v>V9K95GNL</v>
          </cell>
        </row>
        <row r="16245">
          <cell r="D16245" t="str">
            <v>0B36047</v>
          </cell>
          <cell r="E16245" t="str">
            <v>V9K935HL</v>
          </cell>
        </row>
        <row r="16246">
          <cell r="D16246" t="str">
            <v>0B36047</v>
          </cell>
          <cell r="E16246" t="str">
            <v>V9K94VJL</v>
          </cell>
        </row>
        <row r="16247">
          <cell r="D16247" t="str">
            <v>0B36047</v>
          </cell>
          <cell r="E16247" t="str">
            <v>V9K95PTL</v>
          </cell>
        </row>
        <row r="16248">
          <cell r="D16248" t="str">
            <v>0B36047</v>
          </cell>
          <cell r="E16248" t="str">
            <v>V9K8G3ML</v>
          </cell>
        </row>
        <row r="16249">
          <cell r="D16249" t="str">
            <v>0B36047</v>
          </cell>
          <cell r="E16249" t="str">
            <v>V9K94EKL</v>
          </cell>
        </row>
        <row r="16250">
          <cell r="D16250" t="str">
            <v>0B36047</v>
          </cell>
          <cell r="E16250" t="str">
            <v>V9K95HDL</v>
          </cell>
        </row>
        <row r="16251">
          <cell r="D16251" t="str">
            <v>0B36047</v>
          </cell>
          <cell r="E16251" t="str">
            <v>V9HSHDJL</v>
          </cell>
        </row>
        <row r="16252">
          <cell r="D16252" t="str">
            <v>0B36047</v>
          </cell>
          <cell r="E16252" t="str">
            <v>V9K92RJL</v>
          </cell>
        </row>
        <row r="16253">
          <cell r="D16253" t="str">
            <v>0B36047</v>
          </cell>
          <cell r="E16253" t="str">
            <v>V9K9580L</v>
          </cell>
        </row>
        <row r="16254">
          <cell r="D16254" t="str">
            <v>0B36047</v>
          </cell>
          <cell r="E16254" t="str">
            <v>V9K95MJL</v>
          </cell>
        </row>
        <row r="16255">
          <cell r="D16255" t="str">
            <v>0B36047</v>
          </cell>
          <cell r="E16255" t="str">
            <v>V9K8RWAL</v>
          </cell>
        </row>
        <row r="16256">
          <cell r="D16256" t="str">
            <v>0B36047</v>
          </cell>
          <cell r="E16256" t="str">
            <v>V9K94UXL</v>
          </cell>
        </row>
        <row r="16257">
          <cell r="D16257" t="str">
            <v>0B36047</v>
          </cell>
          <cell r="E16257" t="str">
            <v>V9K95KTL</v>
          </cell>
        </row>
        <row r="16258">
          <cell r="D16258" t="str">
            <v>0B36047</v>
          </cell>
          <cell r="E16258" t="str">
            <v>V9HSXT9L</v>
          </cell>
        </row>
        <row r="16259">
          <cell r="D16259" t="str">
            <v>0B36047</v>
          </cell>
          <cell r="E16259" t="str">
            <v>V9K93A1L</v>
          </cell>
        </row>
        <row r="16260">
          <cell r="D16260" t="str">
            <v>0B36047</v>
          </cell>
          <cell r="E16260" t="str">
            <v>V9K9595L</v>
          </cell>
        </row>
        <row r="16261">
          <cell r="D16261" t="str">
            <v>0B36047</v>
          </cell>
          <cell r="E16261" t="str">
            <v>V9K95SNL</v>
          </cell>
        </row>
        <row r="16262">
          <cell r="D16262" t="str">
            <v>0B36047</v>
          </cell>
          <cell r="E16262" t="str">
            <v>V9K8XYBL</v>
          </cell>
        </row>
        <row r="16263">
          <cell r="D16263" t="str">
            <v>0B36047</v>
          </cell>
          <cell r="E16263" t="str">
            <v>V9K950VL</v>
          </cell>
        </row>
        <row r="16264">
          <cell r="D16264" t="str">
            <v>0B36047</v>
          </cell>
          <cell r="E16264" t="str">
            <v>V9K95L2L</v>
          </cell>
        </row>
        <row r="16265">
          <cell r="D16265" t="str">
            <v>0B36047</v>
          </cell>
          <cell r="E16265" t="str">
            <v>V9K93H1L</v>
          </cell>
        </row>
        <row r="16266">
          <cell r="D16266" t="str">
            <v>0B36047</v>
          </cell>
          <cell r="E16266" t="str">
            <v>V9K959PL</v>
          </cell>
        </row>
        <row r="16267">
          <cell r="D16267" t="str">
            <v>0B36047</v>
          </cell>
          <cell r="E16267" t="str">
            <v>V9K95TTL</v>
          </cell>
        </row>
        <row r="16268">
          <cell r="D16268" t="str">
            <v>0B36047</v>
          </cell>
          <cell r="E16268" t="str">
            <v>V9K8RVXL</v>
          </cell>
        </row>
        <row r="16269">
          <cell r="D16269" t="str">
            <v>0B36047</v>
          </cell>
          <cell r="E16269" t="str">
            <v>V9K938HL</v>
          </cell>
        </row>
        <row r="16270">
          <cell r="D16270" t="str">
            <v>0B36047</v>
          </cell>
          <cell r="E16270" t="str">
            <v>V9K94XDL</v>
          </cell>
        </row>
        <row r="16271">
          <cell r="D16271" t="str">
            <v>0B36047</v>
          </cell>
          <cell r="E16271" t="str">
            <v>V9HZP9DL</v>
          </cell>
        </row>
        <row r="16272">
          <cell r="D16272" t="str">
            <v>0B36047</v>
          </cell>
          <cell r="E16272" t="str">
            <v>V9K935GL</v>
          </cell>
        </row>
        <row r="16273">
          <cell r="D16273" t="str">
            <v>0B36047</v>
          </cell>
          <cell r="E16273" t="str">
            <v>V9K948LL</v>
          </cell>
        </row>
        <row r="16274">
          <cell r="D16274" t="str">
            <v>0B36047</v>
          </cell>
          <cell r="E16274" t="str">
            <v>V9K95JRL</v>
          </cell>
        </row>
        <row r="16275">
          <cell r="D16275" t="str">
            <v>0B36047</v>
          </cell>
          <cell r="E16275" t="str">
            <v>V9K8RWGL</v>
          </cell>
        </row>
        <row r="16276">
          <cell r="D16276" t="str">
            <v>0B36047</v>
          </cell>
          <cell r="E16276" t="str">
            <v>V9K947NL</v>
          </cell>
        </row>
        <row r="16277">
          <cell r="D16277" t="str">
            <v>0B36047</v>
          </cell>
          <cell r="E16277" t="str">
            <v>V9K94ZYL</v>
          </cell>
        </row>
        <row r="16278">
          <cell r="D16278" t="str">
            <v>0B36047</v>
          </cell>
          <cell r="E16278" t="str">
            <v>V9K8KLDL</v>
          </cell>
        </row>
        <row r="16279">
          <cell r="D16279" t="str">
            <v>0B36047</v>
          </cell>
          <cell r="E16279" t="str">
            <v>V9K936DL</v>
          </cell>
        </row>
        <row r="16280">
          <cell r="D16280" t="str">
            <v>0B36047</v>
          </cell>
          <cell r="E16280" t="str">
            <v>V9K949UL</v>
          </cell>
        </row>
        <row r="16281">
          <cell r="D16281" t="str">
            <v>0B36047</v>
          </cell>
          <cell r="E16281" t="str">
            <v>V9K95MAL</v>
          </cell>
        </row>
        <row r="16282">
          <cell r="D16282" t="str">
            <v>0B36047</v>
          </cell>
          <cell r="E16282" t="str">
            <v>V9K9356L</v>
          </cell>
        </row>
        <row r="16283">
          <cell r="D16283" t="str">
            <v>0B36047</v>
          </cell>
          <cell r="E16283" t="str">
            <v>V9K948GL</v>
          </cell>
        </row>
        <row r="16284">
          <cell r="D16284" t="str">
            <v>0B36047</v>
          </cell>
          <cell r="E16284" t="str">
            <v>V9K9507L</v>
          </cell>
        </row>
        <row r="16285">
          <cell r="D16285" t="str">
            <v>0B36047</v>
          </cell>
          <cell r="E16285" t="str">
            <v>V9K937TL</v>
          </cell>
        </row>
        <row r="16286">
          <cell r="D16286" t="str">
            <v>0B36047</v>
          </cell>
          <cell r="E16286" t="str">
            <v>V9K94ADL</v>
          </cell>
        </row>
        <row r="16287">
          <cell r="D16287" t="str">
            <v>0B36047</v>
          </cell>
          <cell r="E16287" t="str">
            <v>V9K95RZL</v>
          </cell>
        </row>
        <row r="16288">
          <cell r="D16288" t="str">
            <v>0B36047</v>
          </cell>
          <cell r="E16288" t="str">
            <v>V9K8XZJL</v>
          </cell>
        </row>
        <row r="16289">
          <cell r="D16289" t="str">
            <v>0B36047</v>
          </cell>
          <cell r="E16289" t="str">
            <v>V9K94X5L</v>
          </cell>
        </row>
        <row r="16290">
          <cell r="D16290" t="str">
            <v>0B36047</v>
          </cell>
          <cell r="E16290" t="str">
            <v>V9K958HL</v>
          </cell>
        </row>
        <row r="16291">
          <cell r="D16291" t="str">
            <v>0B36047</v>
          </cell>
          <cell r="E16291" t="str">
            <v>V9K8HD3L</v>
          </cell>
        </row>
        <row r="16292">
          <cell r="D16292" t="str">
            <v>0B36047</v>
          </cell>
          <cell r="E16292" t="str">
            <v>V9K93J4L</v>
          </cell>
        </row>
        <row r="16293">
          <cell r="D16293" t="str">
            <v>0B36047</v>
          </cell>
          <cell r="E16293" t="str">
            <v>V9K9520L</v>
          </cell>
        </row>
        <row r="16294">
          <cell r="D16294" t="str">
            <v>0B36047</v>
          </cell>
          <cell r="E16294" t="str">
            <v>V9K95S0L</v>
          </cell>
        </row>
        <row r="16295">
          <cell r="D16295" t="str">
            <v>0B36047</v>
          </cell>
          <cell r="E16295" t="str">
            <v>V9K91R0L</v>
          </cell>
        </row>
        <row r="16296">
          <cell r="D16296" t="str">
            <v>0B36047</v>
          </cell>
          <cell r="E16296" t="str">
            <v>V9K9504L</v>
          </cell>
        </row>
        <row r="16297">
          <cell r="D16297" t="str">
            <v>0B36047</v>
          </cell>
          <cell r="E16297" t="str">
            <v>V9K95L3L</v>
          </cell>
        </row>
        <row r="16298">
          <cell r="D16298" t="str">
            <v>0B36047</v>
          </cell>
          <cell r="E16298" t="str">
            <v>V9K8KM4L</v>
          </cell>
        </row>
        <row r="16299">
          <cell r="D16299" t="str">
            <v>0B36047</v>
          </cell>
          <cell r="E16299" t="str">
            <v>V9K94DML</v>
          </cell>
        </row>
        <row r="16300">
          <cell r="D16300" t="str">
            <v>0B36047</v>
          </cell>
          <cell r="E16300" t="str">
            <v>V9K9539L</v>
          </cell>
        </row>
        <row r="16301">
          <cell r="D16301" t="str">
            <v>0B36047</v>
          </cell>
          <cell r="E16301" t="str">
            <v>V9K95SBL</v>
          </cell>
        </row>
        <row r="16302">
          <cell r="D16302" t="str">
            <v>0B36047</v>
          </cell>
          <cell r="E16302" t="str">
            <v>V9K936BL</v>
          </cell>
        </row>
        <row r="16303">
          <cell r="D16303" t="str">
            <v>0B36047</v>
          </cell>
          <cell r="E16303" t="str">
            <v>V9K951RL</v>
          </cell>
        </row>
        <row r="16304">
          <cell r="D16304" t="str">
            <v>0B36047</v>
          </cell>
          <cell r="E16304" t="str">
            <v>V9K95PVL</v>
          </cell>
        </row>
        <row r="16305">
          <cell r="D16305" t="str">
            <v>0B36047</v>
          </cell>
          <cell r="E16305" t="str">
            <v>V9K94LUL</v>
          </cell>
        </row>
        <row r="16306">
          <cell r="D16306" t="str">
            <v>0B36047</v>
          </cell>
          <cell r="E16306" t="str">
            <v>V9K953AL</v>
          </cell>
        </row>
        <row r="16307">
          <cell r="D16307" t="str">
            <v>0B36047</v>
          </cell>
          <cell r="E16307" t="str">
            <v>V9K95SWL</v>
          </cell>
        </row>
        <row r="16308">
          <cell r="D16308" t="str">
            <v>0B36047</v>
          </cell>
          <cell r="E16308" t="str">
            <v>V9K8KN5L</v>
          </cell>
        </row>
        <row r="16309">
          <cell r="D16309" t="str">
            <v>0B36047</v>
          </cell>
          <cell r="E16309" t="str">
            <v>V9K9361L</v>
          </cell>
        </row>
        <row r="16310">
          <cell r="D16310" t="str">
            <v>0B36047</v>
          </cell>
          <cell r="E16310" t="str">
            <v>V9K9582L</v>
          </cell>
        </row>
        <row r="16311">
          <cell r="D16311" t="str">
            <v>0B36047</v>
          </cell>
          <cell r="E16311" t="str">
            <v>V9K8KLZL</v>
          </cell>
        </row>
        <row r="16312">
          <cell r="D16312" t="str">
            <v>0B36047</v>
          </cell>
          <cell r="E16312" t="str">
            <v>V9K8ULEL</v>
          </cell>
        </row>
        <row r="16313">
          <cell r="D16313" t="str">
            <v>0B36047</v>
          </cell>
          <cell r="E16313" t="str">
            <v>V9K94U9L</v>
          </cell>
        </row>
        <row r="16314">
          <cell r="D16314" t="str">
            <v>0B36047</v>
          </cell>
          <cell r="E16314" t="str">
            <v>V9K95ERL</v>
          </cell>
        </row>
        <row r="16315">
          <cell r="D16315" t="str">
            <v>0B36047</v>
          </cell>
          <cell r="E16315" t="str">
            <v>V9K8RXAL</v>
          </cell>
        </row>
        <row r="16316">
          <cell r="D16316" t="str">
            <v>0B36047</v>
          </cell>
          <cell r="E16316" t="str">
            <v>V9K93A5L</v>
          </cell>
        </row>
        <row r="16317">
          <cell r="D16317" t="str">
            <v>0B36047</v>
          </cell>
          <cell r="E16317" t="str">
            <v>V9K95AUL</v>
          </cell>
        </row>
        <row r="16318">
          <cell r="D16318" t="str">
            <v>0B36047</v>
          </cell>
          <cell r="E16318" t="str">
            <v>V9K8KN1L</v>
          </cell>
        </row>
        <row r="16319">
          <cell r="D16319" t="str">
            <v>0B36047</v>
          </cell>
          <cell r="E16319" t="str">
            <v>V9K8VP7L</v>
          </cell>
        </row>
        <row r="16320">
          <cell r="D16320" t="str">
            <v>0B36047</v>
          </cell>
          <cell r="E16320" t="str">
            <v>V9K94WRL</v>
          </cell>
        </row>
        <row r="16321">
          <cell r="D16321" t="str">
            <v>0B36047</v>
          </cell>
          <cell r="E16321" t="str">
            <v>V9K95GZL</v>
          </cell>
        </row>
        <row r="16322">
          <cell r="D16322" t="str">
            <v>0B36047</v>
          </cell>
          <cell r="E16322" t="str">
            <v>V9K8TPEL</v>
          </cell>
        </row>
        <row r="16323">
          <cell r="D16323" t="str">
            <v>0B36047</v>
          </cell>
          <cell r="E16323" t="str">
            <v>V9K94BYL</v>
          </cell>
        </row>
        <row r="16324">
          <cell r="D16324" t="str">
            <v>0B36047</v>
          </cell>
          <cell r="E16324" t="str">
            <v>V9K95DKL</v>
          </cell>
        </row>
        <row r="16325">
          <cell r="D16325" t="str">
            <v>0B36047</v>
          </cell>
          <cell r="E16325" t="str">
            <v>V9K8XA4L</v>
          </cell>
        </row>
        <row r="16326">
          <cell r="D16326" t="str">
            <v>0B36047</v>
          </cell>
          <cell r="E16326" t="str">
            <v>V9K9512L</v>
          </cell>
        </row>
        <row r="16327">
          <cell r="D16327" t="str">
            <v>0B36047</v>
          </cell>
          <cell r="E16327" t="str">
            <v>V9K95S3L</v>
          </cell>
        </row>
        <row r="16328">
          <cell r="D16328" t="str">
            <v>0B36047</v>
          </cell>
          <cell r="E16328" t="str">
            <v>V9K8VP5L</v>
          </cell>
        </row>
        <row r="16329">
          <cell r="D16329" t="str">
            <v>0B36047</v>
          </cell>
          <cell r="E16329" t="str">
            <v>V9K94X6L</v>
          </cell>
        </row>
        <row r="16330">
          <cell r="D16330" t="str">
            <v>0B36047</v>
          </cell>
          <cell r="E16330" t="str">
            <v>V9K9565L</v>
          </cell>
        </row>
        <row r="16331">
          <cell r="D16331" t="str">
            <v>0B36047</v>
          </cell>
          <cell r="E16331" t="str">
            <v>V9HSHEYL</v>
          </cell>
        </row>
        <row r="16332">
          <cell r="D16332" t="str">
            <v>0B36047</v>
          </cell>
          <cell r="E16332" t="str">
            <v>V9K94D2L</v>
          </cell>
        </row>
        <row r="16333">
          <cell r="D16333" t="str">
            <v>0B36047</v>
          </cell>
          <cell r="E16333" t="str">
            <v>V9K951ZL</v>
          </cell>
        </row>
        <row r="16334">
          <cell r="D16334" t="str">
            <v>0B36047</v>
          </cell>
          <cell r="E16334" t="str">
            <v>V9K95J8L</v>
          </cell>
        </row>
        <row r="16335">
          <cell r="D16335" t="str">
            <v>0B36047</v>
          </cell>
          <cell r="E16335" t="str">
            <v>V9K8XZ3L</v>
          </cell>
        </row>
        <row r="16336">
          <cell r="D16336" t="str">
            <v>0B36047</v>
          </cell>
          <cell r="E16336" t="str">
            <v>V9K94XTL</v>
          </cell>
        </row>
        <row r="16337">
          <cell r="D16337" t="str">
            <v>0B36047</v>
          </cell>
          <cell r="E16337" t="str">
            <v>V9K959ML</v>
          </cell>
        </row>
        <row r="16338">
          <cell r="D16338" t="str">
            <v>0B36047</v>
          </cell>
          <cell r="E16338" t="str">
            <v>V9K8KKAL</v>
          </cell>
        </row>
        <row r="16339">
          <cell r="D16339" t="str">
            <v>0B36047</v>
          </cell>
          <cell r="E16339" t="str">
            <v>V9K94EYL</v>
          </cell>
        </row>
        <row r="16340">
          <cell r="D16340" t="str">
            <v>0B36047</v>
          </cell>
          <cell r="E16340" t="str">
            <v>V9K955ML</v>
          </cell>
        </row>
        <row r="16341">
          <cell r="D16341" t="str">
            <v>0B36047</v>
          </cell>
          <cell r="E16341" t="str">
            <v>V9K95R1L</v>
          </cell>
        </row>
        <row r="16342">
          <cell r="D16342" t="str">
            <v>0B36047</v>
          </cell>
          <cell r="E16342" t="str">
            <v>V9K9355L</v>
          </cell>
        </row>
        <row r="16343">
          <cell r="D16343" t="str">
            <v>0B36047</v>
          </cell>
          <cell r="E16343" t="str">
            <v>V9K951ML</v>
          </cell>
        </row>
        <row r="16344">
          <cell r="D16344" t="str">
            <v>0B36047</v>
          </cell>
          <cell r="E16344" t="str">
            <v>V9K95D3L</v>
          </cell>
        </row>
        <row r="16345">
          <cell r="D16345" t="str">
            <v>0B36047</v>
          </cell>
          <cell r="E16345" t="str">
            <v>V9K94WYL</v>
          </cell>
        </row>
        <row r="16346">
          <cell r="D16346" t="str">
            <v>0B36047</v>
          </cell>
          <cell r="E16346" t="str">
            <v>V9K955XL</v>
          </cell>
        </row>
        <row r="16347">
          <cell r="D16347" t="str">
            <v>0B36047</v>
          </cell>
          <cell r="E16347" t="str">
            <v>V9K95T5L</v>
          </cell>
        </row>
        <row r="16348">
          <cell r="D16348" t="str">
            <v>0B36047</v>
          </cell>
          <cell r="E16348" t="str">
            <v>V9K8KNNL</v>
          </cell>
        </row>
        <row r="16349">
          <cell r="D16349" t="str">
            <v>0B36047</v>
          </cell>
          <cell r="E16349" t="str">
            <v>V9K939ML</v>
          </cell>
        </row>
        <row r="16350">
          <cell r="D16350" t="str">
            <v>0B36047</v>
          </cell>
          <cell r="E16350" t="str">
            <v>V9K94YAL</v>
          </cell>
        </row>
        <row r="16351">
          <cell r="D16351" t="str">
            <v>0B36047</v>
          </cell>
          <cell r="E16351" t="str">
            <v>V9HST0KL</v>
          </cell>
        </row>
        <row r="16352">
          <cell r="D16352" t="str">
            <v>0B36047</v>
          </cell>
          <cell r="E16352" t="str">
            <v>V9K8XZ4L</v>
          </cell>
        </row>
        <row r="16353">
          <cell r="D16353" t="str">
            <v>0B36047</v>
          </cell>
          <cell r="E16353" t="str">
            <v>V9K948YL</v>
          </cell>
        </row>
        <row r="16354">
          <cell r="D16354" t="str">
            <v>0B36047</v>
          </cell>
          <cell r="E16354" t="str">
            <v>V9K9530L</v>
          </cell>
        </row>
        <row r="16355">
          <cell r="D16355" t="str">
            <v>0B36047</v>
          </cell>
          <cell r="E16355" t="str">
            <v>V9K8RXKL</v>
          </cell>
        </row>
        <row r="16356">
          <cell r="D16356" t="str">
            <v>0B36047</v>
          </cell>
          <cell r="E16356" t="str">
            <v>V9K93KKL</v>
          </cell>
        </row>
        <row r="16357">
          <cell r="D16357" t="str">
            <v>0B36047</v>
          </cell>
          <cell r="E16357" t="str">
            <v>V9K9513L</v>
          </cell>
        </row>
        <row r="16358">
          <cell r="D16358" t="str">
            <v>0B36047</v>
          </cell>
          <cell r="E16358" t="str">
            <v>V9HSXSKL</v>
          </cell>
        </row>
        <row r="16359">
          <cell r="D16359" t="str">
            <v>0B36047</v>
          </cell>
          <cell r="E16359" t="str">
            <v>V9K935WL</v>
          </cell>
        </row>
        <row r="16360">
          <cell r="D16360" t="str">
            <v>0B36047</v>
          </cell>
          <cell r="E16360" t="str">
            <v>V9K94WBL</v>
          </cell>
        </row>
        <row r="16361">
          <cell r="D16361" t="str">
            <v>0B36047</v>
          </cell>
          <cell r="E16361" t="str">
            <v>V9K9536L</v>
          </cell>
        </row>
        <row r="16362">
          <cell r="D16362" t="str">
            <v>0B36047</v>
          </cell>
          <cell r="E16362" t="str">
            <v>V9K8TRLL</v>
          </cell>
        </row>
        <row r="16363">
          <cell r="D16363" t="str">
            <v>0B36047</v>
          </cell>
          <cell r="E16363" t="str">
            <v>V9K947HL</v>
          </cell>
        </row>
        <row r="16364">
          <cell r="D16364" t="str">
            <v>0B36047</v>
          </cell>
          <cell r="E16364" t="str">
            <v>V9K951GL</v>
          </cell>
        </row>
        <row r="16365">
          <cell r="D16365" t="str">
            <v>0B36047</v>
          </cell>
          <cell r="E16365" t="str">
            <v>V9K938NL</v>
          </cell>
        </row>
        <row r="16366">
          <cell r="D16366" t="str">
            <v>0B36047</v>
          </cell>
          <cell r="E16366" t="str">
            <v>V9K94X8L</v>
          </cell>
        </row>
        <row r="16367">
          <cell r="D16367" t="str">
            <v>0B36047</v>
          </cell>
          <cell r="E16367" t="str">
            <v>V9K95VBL</v>
          </cell>
        </row>
        <row r="16368">
          <cell r="D16368" t="str">
            <v>0B36047</v>
          </cell>
          <cell r="E16368" t="str">
            <v>V9K8KLVL</v>
          </cell>
        </row>
        <row r="16369">
          <cell r="D16369" t="str">
            <v>0B36047</v>
          </cell>
          <cell r="E16369" t="str">
            <v>V9K93TBL</v>
          </cell>
        </row>
        <row r="16370">
          <cell r="D16370" t="str">
            <v>0B36047</v>
          </cell>
          <cell r="E16370" t="str">
            <v>V9K956DL</v>
          </cell>
        </row>
        <row r="16371">
          <cell r="D16371" t="str">
            <v>0B36047</v>
          </cell>
          <cell r="E16371" t="str">
            <v>V9K78HBL</v>
          </cell>
        </row>
        <row r="16372">
          <cell r="D16372" t="str">
            <v>0B36047</v>
          </cell>
          <cell r="E16372" t="str">
            <v>V9K937WL</v>
          </cell>
        </row>
        <row r="16373">
          <cell r="D16373" t="str">
            <v>0B36047</v>
          </cell>
          <cell r="E16373" t="str">
            <v>V9K94K6L</v>
          </cell>
        </row>
        <row r="16374">
          <cell r="D16374" t="str">
            <v>0B36047</v>
          </cell>
          <cell r="E16374" t="str">
            <v>V9K95TKL</v>
          </cell>
        </row>
        <row r="16375">
          <cell r="D16375" t="str">
            <v>0B36047</v>
          </cell>
          <cell r="E16375" t="str">
            <v>V9K8RW3L</v>
          </cell>
        </row>
        <row r="16376">
          <cell r="D16376" t="str">
            <v>0B36047</v>
          </cell>
          <cell r="E16376" t="str">
            <v>V9K947RL</v>
          </cell>
        </row>
        <row r="16377">
          <cell r="D16377" t="str">
            <v>0B36047</v>
          </cell>
          <cell r="E16377" t="str">
            <v>V9K95D6L</v>
          </cell>
        </row>
        <row r="16378">
          <cell r="D16378" t="str">
            <v>0B36047</v>
          </cell>
          <cell r="E16378" t="str">
            <v>V9K8KLHL</v>
          </cell>
        </row>
        <row r="16379">
          <cell r="D16379" t="str">
            <v>0B36047</v>
          </cell>
          <cell r="E16379" t="str">
            <v>V9K9382L</v>
          </cell>
        </row>
        <row r="16380">
          <cell r="D16380" t="str">
            <v>0B36047</v>
          </cell>
          <cell r="E16380" t="str">
            <v>V9K94YZL</v>
          </cell>
        </row>
        <row r="16381">
          <cell r="D16381" t="str">
            <v>0B36047</v>
          </cell>
          <cell r="E16381" t="str">
            <v>V9K95U0L</v>
          </cell>
        </row>
        <row r="16382">
          <cell r="D16382" t="str">
            <v>0B36047</v>
          </cell>
          <cell r="E16382" t="str">
            <v>V9K8XYXL</v>
          </cell>
        </row>
        <row r="16383">
          <cell r="D16383" t="str">
            <v>0B36047</v>
          </cell>
          <cell r="E16383" t="str">
            <v>V9K9484L</v>
          </cell>
        </row>
        <row r="16384">
          <cell r="D16384" t="str">
            <v>0B36047</v>
          </cell>
          <cell r="E16384" t="str">
            <v>V9K95H0L</v>
          </cell>
        </row>
        <row r="16385">
          <cell r="D16385" t="str">
            <v>0B36047</v>
          </cell>
          <cell r="E16385" t="str">
            <v>V9K93A4L</v>
          </cell>
        </row>
        <row r="16386">
          <cell r="D16386" t="str">
            <v>0B36047</v>
          </cell>
          <cell r="E16386" t="str">
            <v>V9K955PL</v>
          </cell>
        </row>
        <row r="16387">
          <cell r="D16387" t="str">
            <v>0B36047</v>
          </cell>
          <cell r="E16387" t="str">
            <v>V9K95V5L</v>
          </cell>
        </row>
        <row r="16388">
          <cell r="D16388" t="str">
            <v>MZ1LB1T9HALS-00007</v>
          </cell>
          <cell r="E16388" t="str">
            <v>S436NA0N600254</v>
          </cell>
        </row>
        <row r="16389">
          <cell r="D16389" t="str">
            <v>MZ1LB1T9HALS-00007</v>
          </cell>
          <cell r="E16389" t="str">
            <v>S436NA0N600125</v>
          </cell>
        </row>
        <row r="16390">
          <cell r="D16390" t="str">
            <v>MZ1LB1T9HALS-00007</v>
          </cell>
          <cell r="E16390" t="str">
            <v>S436NA0N600320</v>
          </cell>
        </row>
        <row r="16391">
          <cell r="D16391" t="str">
            <v>MZ1LB1T9HALS-00007</v>
          </cell>
          <cell r="E16391" t="str">
            <v>S436NA0N600343</v>
          </cell>
        </row>
        <row r="16392">
          <cell r="D16392" t="str">
            <v xml:space="preserve">Xeon Silver 4208 </v>
          </cell>
          <cell r="E16392" t="str">
            <v>019DDA0E45108A8DRFBM 72QH135101048</v>
          </cell>
        </row>
        <row r="16393">
          <cell r="D16393" t="str">
            <v>CSE-815TQ-600WB</v>
          </cell>
          <cell r="E16393" t="str">
            <v>C8150LL02P60069</v>
          </cell>
        </row>
        <row r="16394">
          <cell r="D16394" t="str">
            <v>CSE-815TQ-600WB</v>
          </cell>
          <cell r="E16394" t="str">
            <v>C8150LL02P60068</v>
          </cell>
        </row>
        <row r="16395">
          <cell r="D16395" t="str">
            <v>CSE-815TQ-600WB</v>
          </cell>
          <cell r="E16395" t="str">
            <v>C8150LL02P60067</v>
          </cell>
        </row>
        <row r="16396">
          <cell r="D16396" t="str">
            <v>CSE-815TQ-600WB</v>
          </cell>
          <cell r="E16396" t="str">
            <v>C8150LL02P60066</v>
          </cell>
        </row>
        <row r="16397">
          <cell r="D16397" t="str">
            <v>CSE-815TQ-600WB</v>
          </cell>
          <cell r="E16397" t="str">
            <v>C8150LL02P60065</v>
          </cell>
        </row>
        <row r="16398">
          <cell r="D16398" t="str">
            <v>CSE-815TQ-600WB</v>
          </cell>
          <cell r="E16398" t="str">
            <v>C8150LL02P60077</v>
          </cell>
        </row>
        <row r="16399">
          <cell r="D16399" t="str">
            <v>CSE-815TQ-600WB</v>
          </cell>
          <cell r="E16399" t="str">
            <v>C8150LL02P60076</v>
          </cell>
        </row>
        <row r="16400">
          <cell r="D16400" t="str">
            <v>CSE-815TQ-600WB</v>
          </cell>
          <cell r="E16400" t="str">
            <v>C8150LL02P60075</v>
          </cell>
        </row>
        <row r="16401">
          <cell r="D16401" t="str">
            <v>CSE-815TQ-600WB</v>
          </cell>
          <cell r="E16401" t="str">
            <v>C8150LL02P60074</v>
          </cell>
        </row>
        <row r="16402">
          <cell r="D16402" t="str">
            <v>SYS-E200-9A</v>
          </cell>
          <cell r="E16402" t="str">
            <v>E290932X2502602</v>
          </cell>
          <cell r="K16402" t="str">
            <v>AWARIA</v>
          </cell>
        </row>
        <row r="16403">
          <cell r="D16403" t="str">
            <v>CSE</v>
          </cell>
          <cell r="E16403" t="str">
            <v>C101FAK50050148</v>
          </cell>
        </row>
        <row r="16404">
          <cell r="D16404" t="str">
            <v>MCP</v>
          </cell>
          <cell r="E16404" t="str">
            <v>H2131000753</v>
          </cell>
        </row>
        <row r="16405">
          <cell r="D16405" t="str">
            <v>MBD</v>
          </cell>
          <cell r="E16405" t="str">
            <v>NM223S007647</v>
          </cell>
        </row>
        <row r="16406">
          <cell r="D16406" t="str">
            <v>MEM</v>
          </cell>
          <cell r="E16406" t="str">
            <v>80AD0121507542C351</v>
          </cell>
        </row>
        <row r="16407">
          <cell r="D16407" t="str">
            <v>HDS</v>
          </cell>
          <cell r="E16407" t="str">
            <v>S45RNC0R828383</v>
          </cell>
        </row>
        <row r="16408">
          <cell r="D16408" t="str">
            <v>MBD-X11SPL-F-O</v>
          </cell>
          <cell r="E16408" t="str">
            <v>ZM223S003896</v>
          </cell>
        </row>
        <row r="16409">
          <cell r="D16409" t="str">
            <v>MBD-X11SPL-F-O</v>
          </cell>
          <cell r="E16409" t="str">
            <v>ZM223S003974</v>
          </cell>
        </row>
        <row r="16410">
          <cell r="D16410" t="str">
            <v>MBD-X11SPL-F-O</v>
          </cell>
          <cell r="E16410" t="str">
            <v>ZM223S003877</v>
          </cell>
        </row>
        <row r="16411">
          <cell r="D16411" t="str">
            <v>HDS-SMN1-MZ1LB3T8HMLA07</v>
          </cell>
          <cell r="E16411" t="str">
            <v>S46FNC0R603187</v>
          </cell>
        </row>
        <row r="16412">
          <cell r="D16412" t="str">
            <v>HDS-SMN1-MZ1LB3T8HMLA07</v>
          </cell>
          <cell r="E16412" t="str">
            <v>S46FNC0R603188</v>
          </cell>
        </row>
        <row r="16413">
          <cell r="D16413" t="str">
            <v>HDS-SMN1-MZ1LB3T8HMLA07</v>
          </cell>
          <cell r="E16413" t="str">
            <v>S46FNC0R603184</v>
          </cell>
        </row>
        <row r="16414">
          <cell r="D16414" t="str">
            <v>SYS-2029U-E1CR4</v>
          </cell>
          <cell r="E16414" t="str">
            <v>E264018X2602282</v>
          </cell>
        </row>
        <row r="16415">
          <cell r="D16415" t="str">
            <v>CSE</v>
          </cell>
          <cell r="E16415" t="str">
            <v>C219UAK35P30058</v>
          </cell>
        </row>
        <row r="16416">
          <cell r="D16416" t="str">
            <v>PWS</v>
          </cell>
          <cell r="E16416" t="str">
            <v>P1K0ACM05KN0179</v>
          </cell>
        </row>
        <row r="16417">
          <cell r="D16417" t="str">
            <v>PWS</v>
          </cell>
          <cell r="E16417" t="str">
            <v>P1K0ACM05KN0178</v>
          </cell>
        </row>
        <row r="16418">
          <cell r="D16418" t="str">
            <v>BPN</v>
          </cell>
          <cell r="E16418" t="str">
            <v>HB21BS001229</v>
          </cell>
        </row>
        <row r="16419">
          <cell r="D16419" t="str">
            <v>MBD</v>
          </cell>
          <cell r="E16419" t="str">
            <v>OM21CS016973</v>
          </cell>
        </row>
        <row r="16420">
          <cell r="D16420" t="str">
            <v>AOC</v>
          </cell>
          <cell r="E16420" t="str">
            <v>OA221S059432</v>
          </cell>
        </row>
        <row r="16421">
          <cell r="D16421" t="str">
            <v>RSC</v>
          </cell>
          <cell r="E16421" t="str">
            <v>VR21AS000632</v>
          </cell>
        </row>
        <row r="16422">
          <cell r="D16422" t="str">
            <v>RSC</v>
          </cell>
          <cell r="E16422" t="str">
            <v>VR21CS015969</v>
          </cell>
        </row>
        <row r="16423">
          <cell r="D16423" t="str">
            <v>CPU</v>
          </cell>
          <cell r="E16423" t="str">
            <v>M2PV052400589</v>
          </cell>
        </row>
        <row r="16424">
          <cell r="D16424" t="str">
            <v>CPU</v>
          </cell>
          <cell r="E16424" t="str">
            <v>M21G36M100845</v>
          </cell>
        </row>
        <row r="16425">
          <cell r="D16425" t="str">
            <v>MEM</v>
          </cell>
          <cell r="E16425" t="str">
            <v>80AD0222072643CAB4</v>
          </cell>
        </row>
        <row r="16426">
          <cell r="D16426" t="str">
            <v>MEM</v>
          </cell>
          <cell r="E16426" t="str">
            <v>80AD0222072643CA9D</v>
          </cell>
        </row>
        <row r="16427">
          <cell r="D16427" t="str">
            <v>MEM</v>
          </cell>
          <cell r="E16427" t="str">
            <v>80AD0222072643CA42</v>
          </cell>
        </row>
        <row r="16428">
          <cell r="D16428" t="str">
            <v>MEM</v>
          </cell>
          <cell r="E16428" t="str">
            <v>80AD01215095B393BF</v>
          </cell>
        </row>
        <row r="16429">
          <cell r="D16429" t="str">
            <v>HDD</v>
          </cell>
          <cell r="E16429" t="str">
            <v>WBM6CPXD</v>
          </cell>
        </row>
        <row r="16430">
          <cell r="D16430" t="str">
            <v>HDD</v>
          </cell>
          <cell r="E16430" t="str">
            <v>WBM6CGHY</v>
          </cell>
        </row>
        <row r="16431">
          <cell r="D16431" t="str">
            <v>HDD</v>
          </cell>
          <cell r="E16431" t="str">
            <v>WBM6B1KD</v>
          </cell>
        </row>
        <row r="16432">
          <cell r="D16432" t="str">
            <v>HDD</v>
          </cell>
          <cell r="E16432" t="str">
            <v>WBM6CFB2</v>
          </cell>
        </row>
        <row r="16433">
          <cell r="D16433" t="str">
            <v>HDD</v>
          </cell>
          <cell r="E16433" t="str">
            <v>WBM6CCH5</v>
          </cell>
        </row>
        <row r="16434">
          <cell r="D16434" t="str">
            <v>HDD</v>
          </cell>
          <cell r="E16434" t="str">
            <v>WBM69QWX</v>
          </cell>
        </row>
        <row r="16435">
          <cell r="D16435" t="str">
            <v>HDD</v>
          </cell>
          <cell r="E16435" t="str">
            <v>WBM6CQ54</v>
          </cell>
        </row>
        <row r="16436">
          <cell r="D16436" t="str">
            <v>HDD</v>
          </cell>
          <cell r="E16436" t="str">
            <v>WBM6B1A6</v>
          </cell>
        </row>
        <row r="16437">
          <cell r="D16437" t="str">
            <v>AOC</v>
          </cell>
          <cell r="E16437" t="str">
            <v>VA204S004682</v>
          </cell>
        </row>
        <row r="16438">
          <cell r="D16438" t="str">
            <v>CSE-847E2C-R1K28JBOD</v>
          </cell>
          <cell r="E16438" t="str">
            <v>E167005X2602281</v>
          </cell>
        </row>
        <row r="16439">
          <cell r="D16439" t="str">
            <v>CSE</v>
          </cell>
          <cell r="E16439" t="str">
            <v>C8470FK37P10487</v>
          </cell>
        </row>
        <row r="16440">
          <cell r="D16440" t="str">
            <v>PWS</v>
          </cell>
          <cell r="E16440" t="str">
            <v>P1K28CC34MW9051</v>
          </cell>
        </row>
        <row r="16441">
          <cell r="D16441" t="str">
            <v>PWS</v>
          </cell>
          <cell r="E16441" t="str">
            <v>P1K28CC34MW9060</v>
          </cell>
        </row>
        <row r="16442">
          <cell r="D16442" t="str">
            <v>BPN</v>
          </cell>
          <cell r="E16442" t="str">
            <v>PB221S000818</v>
          </cell>
        </row>
        <row r="16443">
          <cell r="D16443" t="str">
            <v>BPN</v>
          </cell>
          <cell r="E16443" t="str">
            <v>HBF20AS008700</v>
          </cell>
        </row>
        <row r="16444">
          <cell r="D16444" t="str">
            <v>BPN</v>
          </cell>
          <cell r="E16444" t="str">
            <v>OA221S022191</v>
          </cell>
        </row>
        <row r="16445">
          <cell r="D16445" t="str">
            <v>HDS-M2T-MTFDDAK480TDT1AW</v>
          </cell>
          <cell r="E16445" t="str">
            <v>2204345FD15E</v>
          </cell>
        </row>
        <row r="16446">
          <cell r="D16446" t="str">
            <v>RSC-R2UW-2E8E16+</v>
          </cell>
          <cell r="E16446" t="str">
            <v>vr213s035398</v>
          </cell>
        </row>
        <row r="16447">
          <cell r="D16447" t="str">
            <v>RSC-R2UW-2E8E16+</v>
          </cell>
          <cell r="E16447" t="str">
            <v>vr213s035403</v>
          </cell>
        </row>
        <row r="16448">
          <cell r="D16448" t="str">
            <v>RSC-R2UW-2E8E16+</v>
          </cell>
          <cell r="E16448" t="str">
            <v>vr213s035400</v>
          </cell>
        </row>
        <row r="16449">
          <cell r="D16449" t="str">
            <v>RSC-R2UW-2E8E16+</v>
          </cell>
          <cell r="E16449" t="str">
            <v>vr213s035399</v>
          </cell>
        </row>
        <row r="16450">
          <cell r="D16450" t="str">
            <v>RSC-R2UW-2E8E16+</v>
          </cell>
          <cell r="E16450" t="str">
            <v>vr213s035402</v>
          </cell>
        </row>
        <row r="16451">
          <cell r="D16451" t="str">
            <v>RSC-R2UW-2E8E16+</v>
          </cell>
          <cell r="E16451" t="str">
            <v>vr213s035401</v>
          </cell>
        </row>
        <row r="16452">
          <cell r="D16452" t="str">
            <v>RSC-R2UW-2E8E16+</v>
          </cell>
          <cell r="E16452" t="str">
            <v>vr21bs005720</v>
          </cell>
        </row>
        <row r="16453">
          <cell r="D16453" t="str">
            <v>RSC-R2UW-2E8E16+</v>
          </cell>
          <cell r="E16453" t="str">
            <v>vr21bs005719</v>
          </cell>
        </row>
        <row r="16454">
          <cell r="D16454" t="str">
            <v>RSC-R2UW-2E8E16+</v>
          </cell>
          <cell r="E16454" t="str">
            <v>vr213s034144</v>
          </cell>
        </row>
        <row r="16455">
          <cell r="D16455" t="str">
            <v>RSC-R2UW-2E8E16+</v>
          </cell>
          <cell r="E16455" t="str">
            <v>vr213s034142</v>
          </cell>
        </row>
        <row r="16456">
          <cell r="D16456" t="str">
            <v>RSC-R2UW-2E8E16+</v>
          </cell>
          <cell r="E16456" t="str">
            <v>vr213s034141</v>
          </cell>
        </row>
        <row r="16457">
          <cell r="D16457" t="str">
            <v>RSC-R2UW-2E8E16+</v>
          </cell>
          <cell r="E16457" t="str">
            <v>vr213s034148</v>
          </cell>
        </row>
        <row r="16458">
          <cell r="D16458" t="str">
            <v>RSC-R2UW-2E8E16+</v>
          </cell>
          <cell r="E16458" t="str">
            <v>vr213s034146</v>
          </cell>
        </row>
        <row r="16459">
          <cell r="D16459" t="str">
            <v>RSC-R2UW-2E8E16+</v>
          </cell>
          <cell r="E16459" t="str">
            <v>vr213s034145</v>
          </cell>
        </row>
        <row r="16460">
          <cell r="D16460" t="str">
            <v>MEM-DR480L-HL01-EU26</v>
          </cell>
          <cell r="E16460" t="str">
            <v>80AD0121507542C391</v>
          </cell>
          <cell r="K16460" t="str">
            <v>SO/2022/006215/A 10z10</v>
          </cell>
        </row>
        <row r="16461">
          <cell r="D16461" t="str">
            <v>MEM-DR480L-HL01-EU26</v>
          </cell>
          <cell r="E16461" t="str">
            <v>80AD0121507542C38E</v>
          </cell>
          <cell r="K16461" t="str">
            <v>SO/2022/006215/A 8z10</v>
          </cell>
        </row>
        <row r="16462">
          <cell r="D16462" t="str">
            <v>MEM-DR480L-HL01-EU26</v>
          </cell>
          <cell r="E16462" t="str">
            <v>80AD0121507542C283</v>
          </cell>
          <cell r="K16462" t="str">
            <v>SO/2022/006215/A 5z10</v>
          </cell>
        </row>
        <row r="16463">
          <cell r="D16463" t="str">
            <v>MEM-DR480L-HL01-EU26</v>
          </cell>
          <cell r="E16463" t="str">
            <v>80AD0121507542C38F</v>
          </cell>
          <cell r="K16463" t="str">
            <v>SO/2022/006215/A 9z10</v>
          </cell>
        </row>
        <row r="16464">
          <cell r="D16464" t="str">
            <v>MEM-DR480L-HL01-EU26</v>
          </cell>
          <cell r="E16464" t="str">
            <v>80AD0121507542C390</v>
          </cell>
          <cell r="K16464" t="str">
            <v>SO/2022/006215/A 10z10</v>
          </cell>
        </row>
        <row r="16465">
          <cell r="D16465" t="str">
            <v>MEM-DR480L-HL01-EU26</v>
          </cell>
          <cell r="E16465" t="str">
            <v>80AD0121507542C389</v>
          </cell>
          <cell r="K16465" t="str">
            <v>SO/2022/006215/A 9z10</v>
          </cell>
        </row>
        <row r="16466">
          <cell r="D16466" t="str">
            <v>MEM-DR480L-HL01-EU26</v>
          </cell>
          <cell r="E16466" t="str">
            <v>80AD0121507542C2D2</v>
          </cell>
          <cell r="K16466" t="str">
            <v>SO/2022/006215/A 8z10</v>
          </cell>
        </row>
        <row r="16467">
          <cell r="D16467" t="str">
            <v>MEM-DR480L-HL01-EU26</v>
          </cell>
          <cell r="E16467" t="str">
            <v>80AD0121507542C38C</v>
          </cell>
          <cell r="K16467" t="str">
            <v>SO/2022/006215/A 6z10</v>
          </cell>
        </row>
        <row r="16468">
          <cell r="D16468" t="str">
            <v>MEM-DR480L-HL01-EU26</v>
          </cell>
          <cell r="E16468" t="str">
            <v>80AD0121507542C296</v>
          </cell>
          <cell r="K16468" t="str">
            <v>SO/2022/006215/A 6z10</v>
          </cell>
        </row>
        <row r="16469">
          <cell r="D16469" t="str">
            <v>MEM-DR480L-HL01-EU26</v>
          </cell>
          <cell r="E16469" t="str">
            <v>80AD0121507542C38D</v>
          </cell>
          <cell r="K16469" t="str">
            <v>SO/2022/006215/A 7z10</v>
          </cell>
        </row>
        <row r="16470">
          <cell r="D16470" t="str">
            <v>MEM-DR480L-HL01-EU26</v>
          </cell>
          <cell r="E16470" t="str">
            <v>80AD0121507542C387</v>
          </cell>
          <cell r="K16470" t="str">
            <v>SO/2022/006215/A 7z10</v>
          </cell>
        </row>
        <row r="16471">
          <cell r="D16471" t="str">
            <v>RSC-R2UW-2E8E16+</v>
          </cell>
          <cell r="E16471" t="str">
            <v>VR213S035361</v>
          </cell>
        </row>
        <row r="16472">
          <cell r="D16472" t="str">
            <v>RSC-R2UW-2E8E16+</v>
          </cell>
          <cell r="E16472" t="str">
            <v>VR21BS005718</v>
          </cell>
        </row>
        <row r="16473">
          <cell r="D16473" t="str">
            <v>RSC-R2UW-2E8E16+</v>
          </cell>
          <cell r="E16473" t="str">
            <v>VR21BS005717</v>
          </cell>
        </row>
        <row r="16474">
          <cell r="D16474" t="str">
            <v>RSC-R2UW-2E8E16+</v>
          </cell>
          <cell r="E16474" t="str">
            <v>VR213S035365</v>
          </cell>
        </row>
        <row r="16475">
          <cell r="D16475" t="str">
            <v>RSC-R2UW-2E8E16+</v>
          </cell>
          <cell r="E16475" t="str">
            <v>VR213S035362</v>
          </cell>
        </row>
        <row r="16476">
          <cell r="D16476" t="str">
            <v>RSC-R2UW-2E8E16+</v>
          </cell>
          <cell r="E16476" t="str">
            <v>VR213S035363</v>
          </cell>
        </row>
        <row r="16477">
          <cell r="D16477" t="str">
            <v>RSC-R2UW-2E8E16+</v>
          </cell>
          <cell r="E16477" t="str">
            <v>VR21BS005716</v>
          </cell>
        </row>
        <row r="16478">
          <cell r="D16478" t="str">
            <v>RSC-R2UW-2E8E16+</v>
          </cell>
          <cell r="E16478" t="str">
            <v>VR213S035364</v>
          </cell>
        </row>
        <row r="16479">
          <cell r="D16479" t="str">
            <v>RSC-R2UW-2E8E16+</v>
          </cell>
          <cell r="E16479" t="str">
            <v>VR21BS005712</v>
          </cell>
        </row>
        <row r="16480">
          <cell r="D16480" t="str">
            <v>RSC-R2UW-2E8E16+</v>
          </cell>
          <cell r="E16480" t="str">
            <v>VR218S043800</v>
          </cell>
        </row>
        <row r="16481">
          <cell r="D16481" t="str">
            <v>RSC-R2UW-2E8E16+</v>
          </cell>
          <cell r="E16481" t="str">
            <v>VR218S043818</v>
          </cell>
        </row>
        <row r="16482">
          <cell r="D16482" t="str">
            <v>RSC-R2UW-2E8E16+</v>
          </cell>
          <cell r="E16482" t="str">
            <v>VR213S035049</v>
          </cell>
        </row>
        <row r="16483">
          <cell r="D16483" t="str">
            <v>RSC-R2UW-2E8E16+</v>
          </cell>
          <cell r="E16483" t="str">
            <v>VR218S043803</v>
          </cell>
        </row>
        <row r="16484">
          <cell r="D16484" t="str">
            <v>RSC-R2UW-2E8E16+</v>
          </cell>
          <cell r="E16484" t="str">
            <v>VR213S035051</v>
          </cell>
        </row>
        <row r="16485">
          <cell r="D16485" t="str">
            <v>RSC-R2UW-2E8E16+</v>
          </cell>
          <cell r="E16485" t="str">
            <v>VR218S043801</v>
          </cell>
        </row>
        <row r="16486">
          <cell r="D16486" t="str">
            <v>RSC-R2UW-2E8E16+</v>
          </cell>
          <cell r="E16486" t="str">
            <v>VR218S043802</v>
          </cell>
        </row>
        <row r="16487">
          <cell r="D16487" t="str">
            <v>MEM-DR480L-HL01-EU26</v>
          </cell>
          <cell r="E16487" t="str">
            <v>80AD0121507542C304</v>
          </cell>
          <cell r="K16487" t="str">
            <v>SO/2022/006215/A 2z10</v>
          </cell>
        </row>
        <row r="16488">
          <cell r="D16488" t="str">
            <v>MEM-DR480L-HL01-EU26</v>
          </cell>
          <cell r="E16488" t="str">
            <v>80AD0121507542C29F</v>
          </cell>
          <cell r="K16488" t="str">
            <v>SO/2022/006215/A 1z10</v>
          </cell>
        </row>
        <row r="16489">
          <cell r="D16489" t="str">
            <v>MEM-DR480L-HL01-EU26</v>
          </cell>
          <cell r="E16489" t="str">
            <v>80AD0121507542C29E</v>
          </cell>
          <cell r="K16489" t="str">
            <v>SO/2022/006215/A 1z10</v>
          </cell>
        </row>
        <row r="16490">
          <cell r="D16490" t="str">
            <v>MEM-DR480L-HL01-EU26</v>
          </cell>
          <cell r="E16490" t="str">
            <v>80AD0121507542C285</v>
          </cell>
          <cell r="K16490" t="str">
            <v>SO/2022/006215/A 2z10</v>
          </cell>
        </row>
        <row r="16491">
          <cell r="D16491" t="str">
            <v>MEM-DR480L-HL01-EU26</v>
          </cell>
          <cell r="E16491" t="str">
            <v>80AD0121507542C38B</v>
          </cell>
          <cell r="K16491" t="str">
            <v>SO/2022/006215/A 5z10</v>
          </cell>
        </row>
        <row r="16492">
          <cell r="D16492" t="str">
            <v>MEM-DR480L-HL01-EU26</v>
          </cell>
          <cell r="E16492" t="str">
            <v>80AD0121507542C2D1</v>
          </cell>
          <cell r="K16492" t="str">
            <v>SO/2022/006215/A 4z10</v>
          </cell>
        </row>
        <row r="16493">
          <cell r="D16493" t="str">
            <v>MEM-DR480L-HL01-EU26</v>
          </cell>
          <cell r="E16493" t="str">
            <v>80AD0121507542C282</v>
          </cell>
          <cell r="K16493" t="str">
            <v>SO/2022/006215/A 4z10</v>
          </cell>
        </row>
        <row r="16494">
          <cell r="D16494" t="str">
            <v>MEM-DR480L-HL01-EU26</v>
          </cell>
          <cell r="E16494" t="str">
            <v>80AD0121507542C2A0</v>
          </cell>
          <cell r="K16494" t="str">
            <v>SO/2022/006215/A 3z10</v>
          </cell>
        </row>
        <row r="16495">
          <cell r="D16495" t="str">
            <v>MEM-DR480L-HL01-EU26</v>
          </cell>
          <cell r="E16495" t="str">
            <v>80AD0121507542C27D</v>
          </cell>
          <cell r="K16495" t="str">
            <v>SO/2022/006215/A 3z10</v>
          </cell>
        </row>
        <row r="16496">
          <cell r="D16496" t="str">
            <v>AS-2024S-TR</v>
          </cell>
          <cell r="E16496" t="str">
            <v>A450015X2608632</v>
          </cell>
        </row>
        <row r="16497">
          <cell r="D16497" t="str">
            <v xml:space="preserve">CSE </v>
          </cell>
          <cell r="E16497" t="str">
            <v>CLA26FK52AE0151</v>
          </cell>
        </row>
        <row r="16498">
          <cell r="D16498" t="str">
            <v>PWS</v>
          </cell>
          <cell r="E16498" t="str">
            <v>P9202CM20KB0159</v>
          </cell>
        </row>
        <row r="16499">
          <cell r="D16499" t="str">
            <v>PWS</v>
          </cell>
          <cell r="E16499" t="str">
            <v>P9202CM20KB0160</v>
          </cell>
        </row>
        <row r="16500">
          <cell r="D16500" t="str">
            <v>BPN</v>
          </cell>
          <cell r="E16500" t="str">
            <v>HB224S032446</v>
          </cell>
        </row>
        <row r="16501">
          <cell r="D16501" t="str">
            <v>MBD</v>
          </cell>
          <cell r="E16501" t="str">
            <v>WM223S603121</v>
          </cell>
        </row>
        <row r="16502">
          <cell r="D16502" t="str">
            <v>BCM957412A4120AC</v>
          </cell>
          <cell r="E16502" t="str">
            <v>A41202144000ALFV</v>
          </cell>
        </row>
        <row r="16503">
          <cell r="D16503" t="str">
            <v>BCM957412A4120AC</v>
          </cell>
          <cell r="E16503" t="str">
            <v>A412021440009XFV</v>
          </cell>
        </row>
        <row r="16504">
          <cell r="D16504" t="str">
            <v>BCM957412A4120AC</v>
          </cell>
          <cell r="E16504" t="str">
            <v>A41202144000AKFV</v>
          </cell>
        </row>
        <row r="16505">
          <cell r="D16505" t="str">
            <v>BCM957412A4120AC</v>
          </cell>
          <cell r="E16505" t="str">
            <v>A412021440009VFV</v>
          </cell>
        </row>
        <row r="16506">
          <cell r="D16506" t="str">
            <v>BCM957412A4120AC</v>
          </cell>
          <cell r="E16506" t="str">
            <v>A41202144000A1FV</v>
          </cell>
        </row>
        <row r="16507">
          <cell r="D16507" t="str">
            <v>BCM957412A4120AC</v>
          </cell>
          <cell r="E16507" t="str">
            <v>A41202144000A3FV</v>
          </cell>
        </row>
        <row r="16508">
          <cell r="D16508" t="str">
            <v>BCM957412A4120AC</v>
          </cell>
          <cell r="E16508" t="str">
            <v>A41202144000BQFV</v>
          </cell>
        </row>
        <row r="16509">
          <cell r="D16509" t="str">
            <v>BCM957412A4120AC</v>
          </cell>
          <cell r="E16509" t="str">
            <v>A41202144000BVFV</v>
          </cell>
        </row>
        <row r="16510">
          <cell r="D16510" t="str">
            <v>BCM957412A4120AC</v>
          </cell>
          <cell r="E16510" t="str">
            <v>A41202144000BMFV</v>
          </cell>
        </row>
        <row r="16511">
          <cell r="D16511" t="str">
            <v>0B36039</v>
          </cell>
          <cell r="E16511" t="str">
            <v>V7G4K1NH</v>
          </cell>
        </row>
        <row r="16512">
          <cell r="D16512" t="str">
            <v>0B36039</v>
          </cell>
          <cell r="E16512" t="str">
            <v>V9KM1YJL</v>
          </cell>
        </row>
        <row r="16513">
          <cell r="D16513" t="str">
            <v>0B36039</v>
          </cell>
          <cell r="E16513" t="str">
            <v>V9KLZR1L</v>
          </cell>
        </row>
        <row r="16514">
          <cell r="D16514" t="str">
            <v>0B36039</v>
          </cell>
          <cell r="E16514" t="str">
            <v>V9KLUYYL</v>
          </cell>
        </row>
        <row r="16515">
          <cell r="D16515" t="str">
            <v>0F38755</v>
          </cell>
          <cell r="E16515" t="str">
            <v>2LG86TPK</v>
          </cell>
        </row>
        <row r="16516">
          <cell r="D16516" t="str">
            <v>0F38755</v>
          </cell>
          <cell r="E16516" t="str">
            <v>2LG57Y0F</v>
          </cell>
        </row>
        <row r="16517">
          <cell r="D16517" t="str">
            <v>0F38755</v>
          </cell>
          <cell r="E16517" t="str">
            <v>2LG85P6F</v>
          </cell>
        </row>
        <row r="16518">
          <cell r="D16518" t="str">
            <v>0F38755</v>
          </cell>
          <cell r="E16518" t="str">
            <v>2LG875DK</v>
          </cell>
        </row>
        <row r="16519">
          <cell r="D16519" t="str">
            <v>CD8068904657701  Xeon Gold 6342</v>
          </cell>
          <cell r="E16519" t="str">
            <v>DE5E878054603BCDRKXA  72YK639800264</v>
          </cell>
        </row>
        <row r="16520">
          <cell r="D16520" t="str">
            <v>CD8068904657701  Xeon Gold 6342</v>
          </cell>
          <cell r="E16520" t="str">
            <v>DE63106DCA788A54RKXA  72F04N4200606</v>
          </cell>
        </row>
        <row r="16521">
          <cell r="D16521" t="str">
            <v>CD8068904572101  Xeon Gold 6330</v>
          </cell>
          <cell r="E16521" t="str">
            <v>6A7D28FCF5B7763ARKHM  71EB282801229</v>
          </cell>
        </row>
        <row r="16522">
          <cell r="D16522" t="str">
            <v>CD8068904572101  Xeon Gold 6330</v>
          </cell>
          <cell r="E16522" t="str">
            <v>6A6129FC97D20BE5RKHM  71EB282801106</v>
          </cell>
        </row>
        <row r="16523">
          <cell r="D16523" t="str">
            <v>CD8068904655303  Xeon Silver 4314</v>
          </cell>
          <cell r="E16523" t="str">
            <v>18C1311EF5B7514CRKXL  421M7Y6801115</v>
          </cell>
        </row>
        <row r="16524">
          <cell r="D16524" t="str">
            <v>CD8068904655303  Xeon Silver 4314</v>
          </cell>
          <cell r="E16524" t="str">
            <v>18AA4B1E134F2AA4RKXL  421M7Y6800892</v>
          </cell>
        </row>
        <row r="16525">
          <cell r="D16525" t="str">
            <v>CD8068904655303  Xeon Silver 4314</v>
          </cell>
          <cell r="E16525" t="str">
            <v>18C43C1E9F78B0D0RKXL  421M7Y6800941</v>
          </cell>
        </row>
        <row r="16526">
          <cell r="D16526" t="str">
            <v>CD8068904655303  Xeon Silver 4314</v>
          </cell>
          <cell r="E16526" t="str">
            <v>188D5E1EAD3AE608RKXL  42B161W600203</v>
          </cell>
        </row>
        <row r="16527">
          <cell r="D16527" t="str">
            <v>CD8068904657901  Xeon Silver 4310</v>
          </cell>
          <cell r="E16527" t="str">
            <v>4F89E47DC940673ARKXN  72G244K600005</v>
          </cell>
        </row>
        <row r="16528">
          <cell r="D16528" t="str">
            <v>CD8068904657901  Xeon Silver 4310</v>
          </cell>
          <cell r="E16528" t="str">
            <v>4FFCE3FD6E4A7814RKXN  72TS556700166</v>
          </cell>
        </row>
        <row r="16529">
          <cell r="D16529" t="str">
            <v>CD8068904657901  Xeon Silver 4310</v>
          </cell>
          <cell r="E16529" t="str">
            <v>4FF6031401333779RKXN  72TS556700352</v>
          </cell>
        </row>
        <row r="16530">
          <cell r="D16530" t="str">
            <v>CD8068904657901  Xeon Silver 4310</v>
          </cell>
          <cell r="E16530" t="str">
            <v>5566F8130DA0D6F9RKXN  72TS556700395</v>
          </cell>
        </row>
        <row r="16531">
          <cell r="D16531" t="str">
            <v>CD8068904656601  Xeon Silver 4316</v>
          </cell>
          <cell r="E16531" t="str">
            <v>656901FE590F6911RKXH  72BA797800718</v>
          </cell>
        </row>
        <row r="16532">
          <cell r="D16532" t="str">
            <v>CD8068904656601  Xeon Silver 4316</v>
          </cell>
          <cell r="E16532" t="str">
            <v>65A5053E870EEC34RKXH  72BA797800245</v>
          </cell>
        </row>
        <row r="16533">
          <cell r="D16533" t="str">
            <v>CD8068904656601  Xeon Silver 4316</v>
          </cell>
          <cell r="E16533" t="str">
            <v>65A5053E870EEC34RKXH  72BA797800245</v>
          </cell>
        </row>
        <row r="16534">
          <cell r="D16534" t="str">
            <v>CD8068904656601  Xeon Silver 4316</v>
          </cell>
          <cell r="E16534" t="str">
            <v>65140D7E8C34F714RKXH  72BA797800200</v>
          </cell>
        </row>
        <row r="16535">
          <cell r="D16535" t="str">
            <v>CD8068904665802  Xeon Gold 5315Y</v>
          </cell>
          <cell r="E16535" t="str">
            <v>360B83E6DB0477CCRKXR  42QQ121801207</v>
          </cell>
        </row>
        <row r="16536">
          <cell r="D16536" t="str">
            <v>CD8068904665802  Xeon Gold 5315Y</v>
          </cell>
          <cell r="E16536" t="str">
            <v>360B85BFE5A59018RKXR  42QQ121800315</v>
          </cell>
        </row>
        <row r="16537">
          <cell r="D16537" t="str">
            <v>MZ7L33T8HBLT-00A07</v>
          </cell>
          <cell r="E16537" t="str">
            <v>S6ERNE0T401056</v>
          </cell>
        </row>
        <row r="16538">
          <cell r="D16538" t="str">
            <v>MZ7L33T8HBLT-00A07</v>
          </cell>
          <cell r="E16538" t="str">
            <v>S6ERNE0T401057</v>
          </cell>
        </row>
        <row r="16539">
          <cell r="D16539" t="str">
            <v>MZ7L33T8HBLT-00A07</v>
          </cell>
          <cell r="E16539" t="str">
            <v>S6ERNE0T300155</v>
          </cell>
        </row>
        <row r="16540">
          <cell r="D16540" t="str">
            <v>MZ7L33T8HBLT-00A07</v>
          </cell>
          <cell r="E16540" t="str">
            <v>S6ERNE0T401079</v>
          </cell>
        </row>
        <row r="16541">
          <cell r="D16541" t="str">
            <v>MZ7L33T8HBLT-00A07</v>
          </cell>
          <cell r="E16541" t="str">
            <v>S6ERNE0T401080</v>
          </cell>
        </row>
        <row r="16542">
          <cell r="D16542" t="str">
            <v>MZ7L33T8HBLT-00A07</v>
          </cell>
          <cell r="E16542" t="str">
            <v>S6ERNE0T401085</v>
          </cell>
        </row>
        <row r="16543">
          <cell r="D16543" t="str">
            <v>MZ7L33T8HBLT-00A07</v>
          </cell>
          <cell r="E16543" t="str">
            <v>S6ERNE0T300164</v>
          </cell>
        </row>
        <row r="16544">
          <cell r="D16544" t="str">
            <v>MZ7L33T8HBLT-00A07</v>
          </cell>
          <cell r="E16544" t="str">
            <v>S6ERNE0T300163</v>
          </cell>
        </row>
        <row r="16545">
          <cell r="D16545" t="str">
            <v>Xeon Silver4309Y</v>
          </cell>
          <cell r="E16545" t="str">
            <v>C93079F5E879B72FRKXS  71NV751500011</v>
          </cell>
        </row>
        <row r="16546">
          <cell r="D16546" t="str">
            <v>Xeon Silver4309Y</v>
          </cell>
          <cell r="E16546" t="str">
            <v>D4F94AF5F1B7DF31RKXS 71618XM800634</v>
          </cell>
        </row>
        <row r="16547">
          <cell r="D16547" t="str">
            <v>CD8069504343701  Xeon Silver 4214R</v>
          </cell>
          <cell r="E16547" t="str">
            <v>3217F981</v>
          </cell>
        </row>
        <row r="16548">
          <cell r="D16548" t="str">
            <v>CD8069504343701  Xeon Silver 4214R</v>
          </cell>
          <cell r="E16548" t="str">
            <v>22D8251EB5ABA8A1RG1W  M22U7G9400308</v>
          </cell>
        </row>
        <row r="16549">
          <cell r="D16549" t="str">
            <v>CD8069504343701  Xeon Silver 4214R</v>
          </cell>
          <cell r="E16549" t="str">
            <v>22D0231E0F2DADA9RG1W  M22U7G9400458</v>
          </cell>
        </row>
        <row r="16550">
          <cell r="D16550" t="str">
            <v>CD8069504343701  Xeon Silver 4214R</v>
          </cell>
          <cell r="E16550" t="str">
            <v>22D53A1EA7DDA433RG1W  M22U7G9401356</v>
          </cell>
        </row>
        <row r="16551">
          <cell r="D16551" t="str">
            <v>CD8069504343701  Xeon Silver 4214R</v>
          </cell>
          <cell r="E16551" t="str">
            <v>22D23D1E433D73B8RG1W  M22U7G9400308</v>
          </cell>
        </row>
        <row r="16552">
          <cell r="D16552" t="str">
            <v>MZ7L3480HCHQ-00A07</v>
          </cell>
          <cell r="E16552" t="str">
            <v>S664NE0RB05795</v>
          </cell>
        </row>
        <row r="16553">
          <cell r="D16553" t="str">
            <v>MZ7L3480HCHQ-00A07</v>
          </cell>
          <cell r="E16553" t="str">
            <v>S664NE0RB05790</v>
          </cell>
        </row>
        <row r="16554">
          <cell r="D16554" t="str">
            <v>MZ7L3480HCHQ-00A07</v>
          </cell>
          <cell r="E16554" t="str">
            <v>S664NE0RB05797</v>
          </cell>
        </row>
        <row r="16555">
          <cell r="D16555" t="str">
            <v>MZ7L3480HCHQ-00A07</v>
          </cell>
          <cell r="E16555" t="str">
            <v>S664NE0RB05809</v>
          </cell>
        </row>
        <row r="16556">
          <cell r="D16556" t="str">
            <v>MZ7L3480HCHQ-00A07</v>
          </cell>
          <cell r="E16556" t="str">
            <v>S664NE0RB05812</v>
          </cell>
        </row>
        <row r="16557">
          <cell r="D16557" t="str">
            <v>MZ7L3480HCHQ-00A07</v>
          </cell>
          <cell r="E16557" t="str">
            <v>S664NE0RB05794</v>
          </cell>
        </row>
        <row r="16558">
          <cell r="D16558" t="str">
            <v>MZ7L3480HCHQ-00A07</v>
          </cell>
          <cell r="E16558" t="str">
            <v>S664NE0RB05801</v>
          </cell>
        </row>
        <row r="16559">
          <cell r="D16559" t="str">
            <v>MZ7L3480HCHQ-00A07</v>
          </cell>
          <cell r="E16559" t="str">
            <v>S664NE0RB05803</v>
          </cell>
        </row>
        <row r="16560">
          <cell r="D16560" t="str">
            <v>MZ7L3480HCHQ-00A07</v>
          </cell>
          <cell r="E16560" t="str">
            <v>S664NE0RB05804</v>
          </cell>
        </row>
        <row r="16561">
          <cell r="D16561" t="str">
            <v>MZ7L3480HCHQ-00A07</v>
          </cell>
          <cell r="E16561" t="str">
            <v>S664NE0RB05887</v>
          </cell>
        </row>
        <row r="16562">
          <cell r="D16562" t="str">
            <v>MZ7L3480HCHQ-00A07</v>
          </cell>
          <cell r="E16562" t="str">
            <v>S664NE0RB05888</v>
          </cell>
        </row>
        <row r="16563">
          <cell r="D16563" t="str">
            <v>MZ7L3480HCHQ-00A07</v>
          </cell>
          <cell r="E16563" t="str">
            <v>S664NE0RB05800</v>
          </cell>
        </row>
        <row r="16564">
          <cell r="D16564" t="str">
            <v>MZ7L3480HCHQ-00A07</v>
          </cell>
          <cell r="E16564" t="str">
            <v>S664NE0RB05884</v>
          </cell>
        </row>
        <row r="16565">
          <cell r="D16565" t="str">
            <v>MZ7L3480HCHQ-00A07</v>
          </cell>
          <cell r="E16565" t="str">
            <v>S664NE0RB05885</v>
          </cell>
        </row>
        <row r="16566">
          <cell r="D16566" t="str">
            <v>MZ7L3480HCHQ-00A07</v>
          </cell>
          <cell r="E16566" t="str">
            <v>S664NE0RB05880</v>
          </cell>
        </row>
        <row r="16567">
          <cell r="D16567" t="str">
            <v>MZ7L3480HCHQ-00A07</v>
          </cell>
          <cell r="E16567" t="str">
            <v>S664NE0RB05895</v>
          </cell>
        </row>
        <row r="16568">
          <cell r="D16568" t="str">
            <v>MZ7L3480HCHQ-00A07</v>
          </cell>
          <cell r="E16568" t="str">
            <v>S664NE0RB05899</v>
          </cell>
        </row>
        <row r="16569">
          <cell r="D16569" t="str">
            <v>MZ7L3480HCHQ-00A07</v>
          </cell>
          <cell r="E16569" t="str">
            <v>S664NE0RB05902</v>
          </cell>
        </row>
        <row r="16570">
          <cell r="D16570" t="str">
            <v>MZ7L3480HCHQ-00A07</v>
          </cell>
          <cell r="E16570" t="str">
            <v>S664NE0RB05912</v>
          </cell>
        </row>
        <row r="16571">
          <cell r="D16571" t="str">
            <v>MZ7L3480HCHQ-00A07</v>
          </cell>
          <cell r="E16571" t="str">
            <v>S664NE0RB05898</v>
          </cell>
        </row>
        <row r="16572">
          <cell r="D16572" t="str">
            <v>MZ7L3480HCHQ-00A07</v>
          </cell>
          <cell r="E16572" t="str">
            <v>S664NE0RB05900</v>
          </cell>
        </row>
        <row r="16573">
          <cell r="D16573" t="str">
            <v>MZ7L3480HCHQ-00A07</v>
          </cell>
          <cell r="E16573" t="str">
            <v>S664NE0RB05909</v>
          </cell>
        </row>
        <row r="16574">
          <cell r="D16574" t="str">
            <v>MZ7L3480HCHQ-00A07</v>
          </cell>
          <cell r="E16574" t="str">
            <v>S664NE0RB05906</v>
          </cell>
        </row>
        <row r="16575">
          <cell r="D16575" t="str">
            <v>MZ7L3480HCHQ-00A07</v>
          </cell>
          <cell r="E16575" t="str">
            <v>S664NE0RB05908</v>
          </cell>
        </row>
        <row r="16576">
          <cell r="D16576" t="str">
            <v>MZ7L3480HCHQ-00A07</v>
          </cell>
          <cell r="E16576" t="str">
            <v>S664NE0RB05890</v>
          </cell>
        </row>
        <row r="16577">
          <cell r="D16577" t="str">
            <v>MZ7L3480HCHQ-00A07</v>
          </cell>
          <cell r="E16577" t="str">
            <v>S664NE0RB05891</v>
          </cell>
        </row>
        <row r="16578">
          <cell r="D16578" t="str">
            <v>MZ7L3480HCHQ-00A07</v>
          </cell>
          <cell r="E16578" t="str">
            <v>S664NE0RB05894</v>
          </cell>
        </row>
        <row r="16579">
          <cell r="D16579" t="str">
            <v>MZ7L3480HCHQ-00A07</v>
          </cell>
          <cell r="E16579" t="str">
            <v>S664NE0RB05901</v>
          </cell>
        </row>
        <row r="16580">
          <cell r="D16580" t="str">
            <v>MZ7L3480HCHQ-00A07</v>
          </cell>
          <cell r="E16580" t="str">
            <v>S664NE0RB05905</v>
          </cell>
        </row>
        <row r="16581">
          <cell r="D16581" t="str">
            <v>MZ7L3480HCHQ-00A07</v>
          </cell>
          <cell r="E16581" t="str">
            <v>S664NE0RB05896</v>
          </cell>
        </row>
        <row r="16582">
          <cell r="D16582" t="str">
            <v>CD8068904659001  Xeon Silver 4310T</v>
          </cell>
          <cell r="E16582" t="str">
            <v>310354BDCEC2E791RKXP  42EK581200526</v>
          </cell>
        </row>
        <row r="16583">
          <cell r="D16583" t="str">
            <v>CD8068904659001  Xeon Silver 4310T</v>
          </cell>
          <cell r="E16583" t="str">
            <v>310280BF211AACD3RKXP   42EK581200424</v>
          </cell>
        </row>
        <row r="16584">
          <cell r="D16584" t="str">
            <v>M393A4K40DB3-CWE</v>
          </cell>
          <cell r="E16584" t="str">
            <v>SNL709</v>
          </cell>
        </row>
        <row r="16585">
          <cell r="D16585" t="str">
            <v>SAS 9300-8e    H5-25460-00</v>
          </cell>
          <cell r="E16585" t="str">
            <v>SPC1012724</v>
          </cell>
        </row>
        <row r="16586">
          <cell r="D16586" t="str">
            <v>SAS 9300-8e    H5-25460-00</v>
          </cell>
          <cell r="E16586" t="str">
            <v>SPC1012899</v>
          </cell>
        </row>
        <row r="16587">
          <cell r="D16587" t="str">
            <v>SAS 9300-8e    H5-25460-00</v>
          </cell>
          <cell r="E16587" t="str">
            <v>SPC1013291</v>
          </cell>
        </row>
        <row r="16588">
          <cell r="D16588" t="str">
            <v>SAS 9300-8e    H5-25460-00</v>
          </cell>
          <cell r="E16588" t="str">
            <v>SPC1012863</v>
          </cell>
        </row>
        <row r="16589">
          <cell r="D16589" t="str">
            <v>SAS 9300-8e    H5-25460-00</v>
          </cell>
          <cell r="E16589" t="str">
            <v>SPC1013287</v>
          </cell>
        </row>
        <row r="16590">
          <cell r="D16590" t="str">
            <v>SAS 9300-8e    H5-25460-00</v>
          </cell>
          <cell r="E16590" t="str">
            <v>SPC1012542</v>
          </cell>
        </row>
        <row r="16591">
          <cell r="D16591" t="str">
            <v>SAS 9300-8e    H5-25460-00</v>
          </cell>
          <cell r="E16591" t="str">
            <v>SPC1013285</v>
          </cell>
        </row>
        <row r="16592">
          <cell r="D16592" t="str">
            <v>SAS 9300-8e    H5-25460-00</v>
          </cell>
          <cell r="E16592" t="str">
            <v>SPC1013432</v>
          </cell>
        </row>
        <row r="16593">
          <cell r="D16593" t="str">
            <v>SAS 9300-8e    H5-25460-00</v>
          </cell>
          <cell r="E16593" t="str">
            <v>SPC1012906</v>
          </cell>
        </row>
        <row r="16594">
          <cell r="D16594" t="str">
            <v>SAS 9300-8e    H5-25460-00</v>
          </cell>
          <cell r="E16594" t="str">
            <v>SPC1013300</v>
          </cell>
        </row>
        <row r="16595">
          <cell r="D16595" t="str">
            <v>C3558D4I-4L</v>
          </cell>
          <cell r="E16595" t="str">
            <v>F4S0XW003433</v>
          </cell>
        </row>
        <row r="16596">
          <cell r="D16596" t="str">
            <v>Xeon Silver 4309Y</v>
          </cell>
          <cell r="E16596" t="str">
            <v>DEB70F586B00350DRKXS  72PN365700056</v>
          </cell>
        </row>
        <row r="16597">
          <cell r="D16597" t="str">
            <v>Xeon Silver 4309Y</v>
          </cell>
          <cell r="E16597" t="str">
            <v>DEB793FF0381CD20RKXS  72PN365700500</v>
          </cell>
        </row>
        <row r="16598">
          <cell r="D16598" t="str">
            <v>Xeon E-2278G</v>
          </cell>
          <cell r="E16598" t="str">
            <v>X112J741 01299  U1P26X5501299</v>
          </cell>
        </row>
        <row r="16599">
          <cell r="D16599" t="str">
            <v>MTFDKCB3T8TDZ</v>
          </cell>
          <cell r="E16599" t="str">
            <v>21503365A835</v>
          </cell>
        </row>
        <row r="16600">
          <cell r="D16600" t="str">
            <v>MTFDKCB3T8TDZ</v>
          </cell>
          <cell r="E16600" t="str">
            <v>21503365A83F</v>
          </cell>
        </row>
        <row r="16601">
          <cell r="D16601" t="str">
            <v>MTFDKCB3T8TDZ</v>
          </cell>
          <cell r="E16601" t="str">
            <v>21503365A36E</v>
          </cell>
        </row>
        <row r="16602">
          <cell r="D16602" t="str">
            <v>MTFDKCB3T8TDZ</v>
          </cell>
          <cell r="E16602" t="str">
            <v>21503365A3AF</v>
          </cell>
        </row>
        <row r="16603">
          <cell r="D16603" t="str">
            <v>MTFDKCB3T8TDZ</v>
          </cell>
          <cell r="E16603" t="str">
            <v>21503365A348</v>
          </cell>
        </row>
        <row r="16604">
          <cell r="D16604" t="str">
            <v>MTFDKCB3T8TDZ</v>
          </cell>
          <cell r="E16604" t="str">
            <v>21503365A3DE</v>
          </cell>
        </row>
        <row r="16605">
          <cell r="D16605" t="str">
            <v>MTFDKCB3T8TDZ</v>
          </cell>
          <cell r="E16605" t="str">
            <v>21503365A73D</v>
          </cell>
        </row>
        <row r="16606">
          <cell r="D16606" t="str">
            <v>MTFDKCB3T8TDZ</v>
          </cell>
          <cell r="E16606" t="str">
            <v>21503365A321</v>
          </cell>
        </row>
        <row r="16607">
          <cell r="D16607" t="str">
            <v>MTFDKCB3T8TDZ</v>
          </cell>
          <cell r="E16607" t="str">
            <v>21503365D786</v>
          </cell>
        </row>
        <row r="16608">
          <cell r="D16608" t="str">
            <v>MTFDKCB3T8TDZ</v>
          </cell>
          <cell r="E16608" t="str">
            <v>21503365A7E3</v>
          </cell>
        </row>
        <row r="16609">
          <cell r="D16609" t="str">
            <v>MTFDKCB3T8TDZ</v>
          </cell>
          <cell r="E16609" t="str">
            <v>21503365A3F6</v>
          </cell>
        </row>
        <row r="16610">
          <cell r="D16610" t="str">
            <v>MTFDKCB3T8TDZ</v>
          </cell>
          <cell r="E16610" t="str">
            <v>21503365A3BD</v>
          </cell>
        </row>
        <row r="16611">
          <cell r="D16611" t="str">
            <v>MBD-X12SPM-TF-O</v>
          </cell>
          <cell r="E16611" t="str">
            <v>UM219S006997</v>
          </cell>
        </row>
        <row r="16612">
          <cell r="D16612" t="str">
            <v>MZQL2960HCJR-00A07</v>
          </cell>
          <cell r="E16612" t="str">
            <v>S64FNE0T203865</v>
          </cell>
          <cell r="K16612" t="str">
            <v>wprowadzone z faktury 2208260 zamiast 2208589</v>
          </cell>
        </row>
        <row r="16613">
          <cell r="D16613" t="str">
            <v>MZQL2960HCJR-00A07</v>
          </cell>
          <cell r="E16613" t="str">
            <v>S64FNE0T203869</v>
          </cell>
          <cell r="K16613" t="str">
            <v>wprowadzone z faktury 2208260 zamiast 2208589</v>
          </cell>
        </row>
        <row r="16614">
          <cell r="D16614" t="str">
            <v>MZQL2960HCJR-00A07</v>
          </cell>
          <cell r="E16614" t="str">
            <v>S64FNE0T203866</v>
          </cell>
          <cell r="K16614" t="str">
            <v>wprowadzone z faktury 2208260 zamiast 2208589</v>
          </cell>
        </row>
        <row r="16615">
          <cell r="D16615" t="str">
            <v xml:space="preserve">M393A8G40AB2-CWE </v>
          </cell>
          <cell r="E16615" t="str">
            <v>SNL710</v>
          </cell>
          <cell r="K16615" t="str">
            <v>wprowadzone z faktury 2208260 zamiast 2208589</v>
          </cell>
        </row>
        <row r="16616">
          <cell r="D16616" t="str">
            <v xml:space="preserve">M393A8G40AB2-CWE </v>
          </cell>
          <cell r="E16616" t="str">
            <v>SNL711</v>
          </cell>
          <cell r="K16616" t="str">
            <v>wprowadzone z faktury 2208260 zamiast 2208589</v>
          </cell>
        </row>
        <row r="16617">
          <cell r="D16617" t="str">
            <v xml:space="preserve">M393A8G40AB2-CWE </v>
          </cell>
          <cell r="E16617" t="str">
            <v>SNL712</v>
          </cell>
          <cell r="K16617" t="str">
            <v>wprowadzone z faktury 2208260 zamiast 2208589</v>
          </cell>
        </row>
        <row r="16618">
          <cell r="D16618" t="str">
            <v xml:space="preserve">M393A8G40AB2-CWE </v>
          </cell>
          <cell r="E16618" t="str">
            <v>SNL713</v>
          </cell>
          <cell r="K16618" t="str">
            <v>wprowadzone z faktury 2208260 zamiast 2208589</v>
          </cell>
        </row>
        <row r="16619">
          <cell r="D16619" t="str">
            <v xml:space="preserve">M393A8G40AB2-CWE </v>
          </cell>
          <cell r="E16619" t="str">
            <v>SNL714</v>
          </cell>
          <cell r="K16619" t="str">
            <v>wprowadzone z faktury 2208260 zamiast 2208589</v>
          </cell>
        </row>
        <row r="16620">
          <cell r="D16620" t="str">
            <v xml:space="preserve">M393A8G40AB2-CWE </v>
          </cell>
          <cell r="E16620" t="str">
            <v>SNL715</v>
          </cell>
          <cell r="K16620" t="str">
            <v>wprowadzone z faktury 2208260 zamiast 2208589</v>
          </cell>
        </row>
        <row r="16621">
          <cell r="D16621" t="str">
            <v xml:space="preserve">M393A8G40AB2-CWE </v>
          </cell>
          <cell r="E16621" t="str">
            <v>SNL716</v>
          </cell>
          <cell r="K16621" t="str">
            <v>wprowadzone z faktury 2208260 zamiast 2208589</v>
          </cell>
        </row>
        <row r="16622">
          <cell r="D16622" t="str">
            <v xml:space="preserve">M393A8G40AB2-CWE </v>
          </cell>
          <cell r="E16622" t="str">
            <v>SNL717</v>
          </cell>
          <cell r="K16622" t="str">
            <v>wprowadzone z faktury 2208260 zamiast 2208589</v>
          </cell>
        </row>
        <row r="16623">
          <cell r="D16623" t="str">
            <v xml:space="preserve">M393A8G40AB2-CWE </v>
          </cell>
          <cell r="E16623" t="str">
            <v>SNL718</v>
          </cell>
          <cell r="K16623" t="str">
            <v>wprowadzone z faktury 2208260 zamiast 2208589</v>
          </cell>
        </row>
        <row r="16624">
          <cell r="D16624" t="str">
            <v xml:space="preserve">M393A8G40AB2-CWE </v>
          </cell>
          <cell r="E16624" t="str">
            <v>SNL719</v>
          </cell>
          <cell r="K16624" t="str">
            <v>wprowadzone z faktury 2208260 zamiast 2208589</v>
          </cell>
        </row>
        <row r="16625">
          <cell r="D16625" t="str">
            <v xml:space="preserve">M393A8G40AB2-CWE </v>
          </cell>
          <cell r="E16625" t="str">
            <v>SNL720</v>
          </cell>
          <cell r="K16625" t="str">
            <v>wprowadzone z faktury 2208260 zamiast 2208589</v>
          </cell>
        </row>
        <row r="16626">
          <cell r="D16626" t="str">
            <v xml:space="preserve">M393A8G40AB2-CWE </v>
          </cell>
          <cell r="E16626" t="str">
            <v>SNL721</v>
          </cell>
          <cell r="K16626" t="str">
            <v>wprowadzone z faktury 2208260 zamiast 2208589</v>
          </cell>
        </row>
        <row r="16627">
          <cell r="D16627" t="str">
            <v xml:space="preserve">M393A8G40AB2-CWE </v>
          </cell>
          <cell r="E16627" t="str">
            <v>SNL722</v>
          </cell>
          <cell r="K16627" t="str">
            <v>wprowadzone z faktury 2208260 zamiast 2208589</v>
          </cell>
        </row>
        <row r="16628">
          <cell r="D16628" t="str">
            <v xml:space="preserve">M393A8G40AB2-CWE </v>
          </cell>
          <cell r="E16628" t="str">
            <v>SNL723</v>
          </cell>
          <cell r="K16628" t="str">
            <v>wprowadzone z faktury 2208260 zamiast 2208589</v>
          </cell>
        </row>
        <row r="16629">
          <cell r="D16629" t="str">
            <v xml:space="preserve">M393A8G40AB2-CWE </v>
          </cell>
          <cell r="E16629" t="str">
            <v>SNL724</v>
          </cell>
          <cell r="K16629" t="str">
            <v>wprowadzone z faktury 2208260 zamiast 2208589</v>
          </cell>
        </row>
        <row r="16630">
          <cell r="D16630" t="str">
            <v xml:space="preserve">M393A8G40AB2-CWE </v>
          </cell>
          <cell r="E16630" t="str">
            <v>SNL725</v>
          </cell>
          <cell r="K16630" t="str">
            <v>wprowadzone z faktury 2208260 zamiast 2208589</v>
          </cell>
        </row>
        <row r="16631">
          <cell r="D16631" t="str">
            <v xml:space="preserve">M393A8G40AB2-CWE </v>
          </cell>
          <cell r="E16631" t="str">
            <v>SNL726</v>
          </cell>
          <cell r="K16631" t="str">
            <v>wprowadzone z faktury 2208260 zamiast 2208589</v>
          </cell>
        </row>
        <row r="16632">
          <cell r="D16632" t="str">
            <v xml:space="preserve">M393A8G40AB2-CWE </v>
          </cell>
          <cell r="E16632" t="str">
            <v>SNL727</v>
          </cell>
          <cell r="K16632" t="str">
            <v>wprowadzone z faktury 2208260 zamiast 2208589</v>
          </cell>
        </row>
        <row r="16633">
          <cell r="D16633" t="str">
            <v xml:space="preserve">M393A8G40AB2-CWE </v>
          </cell>
          <cell r="E16633" t="str">
            <v>SNL728</v>
          </cell>
          <cell r="K16633" t="str">
            <v>wprowadzone z faktury 2208260 zamiast 2208589</v>
          </cell>
        </row>
        <row r="16634">
          <cell r="D16634" t="str">
            <v xml:space="preserve">M393A8G40AB2-CWE </v>
          </cell>
          <cell r="E16634" t="str">
            <v>SNL729</v>
          </cell>
          <cell r="K16634" t="str">
            <v>wprowadzone z faktury 2208260 zamiast 2208589</v>
          </cell>
        </row>
        <row r="16635">
          <cell r="D16635" t="str">
            <v xml:space="preserve">M393A8G40AB2-CWE </v>
          </cell>
          <cell r="E16635" t="str">
            <v>SNL730</v>
          </cell>
          <cell r="K16635" t="str">
            <v>wprowadzone z faktury 2208260 zamiast 2208589</v>
          </cell>
        </row>
        <row r="16636">
          <cell r="D16636" t="str">
            <v xml:space="preserve">M393A8G40AB2-CWE </v>
          </cell>
          <cell r="E16636" t="str">
            <v>SNL731</v>
          </cell>
          <cell r="K16636" t="str">
            <v>wprowadzone z faktury 2208260 zamiast 2208589</v>
          </cell>
        </row>
        <row r="16637">
          <cell r="D16637" t="str">
            <v xml:space="preserve">M393A8G40AB2-CWE </v>
          </cell>
          <cell r="E16637" t="str">
            <v>SNL732</v>
          </cell>
          <cell r="K16637" t="str">
            <v>wprowadzone z faktury 2208260 zamiast 2208589</v>
          </cell>
        </row>
        <row r="16638">
          <cell r="D16638" t="str">
            <v xml:space="preserve">M393A8G40AB2-CWE </v>
          </cell>
          <cell r="E16638" t="str">
            <v>SNL733</v>
          </cell>
          <cell r="K16638" t="str">
            <v>wprowadzone z faktury 2208260 zamiast 2208589</v>
          </cell>
        </row>
        <row r="16639">
          <cell r="D16639" t="str">
            <v xml:space="preserve">M393A8G40AB2-CWE </v>
          </cell>
          <cell r="E16639" t="str">
            <v>SNL734</v>
          </cell>
          <cell r="K16639" t="str">
            <v>wprowadzone z faktury 2208260 zamiast 2208589</v>
          </cell>
        </row>
        <row r="16640">
          <cell r="D16640" t="str">
            <v xml:space="preserve">M393A8G40AB2-CWE </v>
          </cell>
          <cell r="E16640" t="str">
            <v>SNL735</v>
          </cell>
          <cell r="K16640" t="str">
            <v>wprowadzone z faktury 2208260 zamiast 2208589</v>
          </cell>
        </row>
        <row r="16641">
          <cell r="D16641" t="str">
            <v xml:space="preserve">M393A8G40AB2-CWE </v>
          </cell>
          <cell r="E16641" t="str">
            <v>SNL736</v>
          </cell>
          <cell r="K16641" t="str">
            <v>wprowadzone z faktury 2208260 zamiast 2208589</v>
          </cell>
        </row>
        <row r="16642">
          <cell r="D16642" t="str">
            <v xml:space="preserve">M393A8G40AB2-CWE </v>
          </cell>
          <cell r="E16642" t="str">
            <v>SNL737</v>
          </cell>
          <cell r="K16642" t="str">
            <v>wprowadzone z faktury 2208260 zamiast 2208589</v>
          </cell>
        </row>
        <row r="16643">
          <cell r="D16643" t="str">
            <v xml:space="preserve">M393A8G40AB2-CWE </v>
          </cell>
          <cell r="E16643" t="str">
            <v>SNL738</v>
          </cell>
          <cell r="K16643" t="str">
            <v>wprowadzone z faktury 2208260 zamiast 2208589</v>
          </cell>
        </row>
        <row r="16644">
          <cell r="D16644" t="str">
            <v xml:space="preserve">M393A8G40AB2-CWE </v>
          </cell>
          <cell r="E16644" t="str">
            <v>SNL739</v>
          </cell>
          <cell r="K16644" t="str">
            <v>wprowadzone z faktury 2208260 zamiast 2208589</v>
          </cell>
        </row>
        <row r="16645">
          <cell r="D16645" t="str">
            <v xml:space="preserve">M393A8G40AB2-CWE </v>
          </cell>
          <cell r="E16645" t="str">
            <v>SNL740</v>
          </cell>
          <cell r="K16645" t="str">
            <v>wprowadzone z faktury 2208260 zamiast 2208589</v>
          </cell>
        </row>
        <row r="16646">
          <cell r="D16646" t="str">
            <v xml:space="preserve">M393A8G40AB2-CWE </v>
          </cell>
          <cell r="E16646" t="str">
            <v>SNL741</v>
          </cell>
          <cell r="K16646" t="str">
            <v>wprowadzone z faktury 2208260 zamiast 2208589</v>
          </cell>
        </row>
        <row r="16647">
          <cell r="D16647" t="str">
            <v xml:space="preserve">M393A8G40AB2-CWE </v>
          </cell>
          <cell r="E16647" t="str">
            <v>SNL742</v>
          </cell>
          <cell r="K16647" t="str">
            <v>wprowadzone z faktury 2208260 zamiast 2208589</v>
          </cell>
        </row>
        <row r="16648">
          <cell r="D16648" t="str">
            <v xml:space="preserve">M393A8G40AB2-CWE </v>
          </cell>
          <cell r="E16648" t="str">
            <v>SNL743</v>
          </cell>
          <cell r="K16648" t="str">
            <v>wprowadzone z faktury 2208260 zamiast 2208589</v>
          </cell>
        </row>
        <row r="16649">
          <cell r="D16649" t="str">
            <v xml:space="preserve">M393A8G40AB2-CWE </v>
          </cell>
          <cell r="E16649" t="str">
            <v>SNL744</v>
          </cell>
          <cell r="K16649" t="str">
            <v>wprowadzone z faktury 2208260 zamiast 2208589</v>
          </cell>
        </row>
        <row r="16650">
          <cell r="D16650" t="str">
            <v xml:space="preserve">M393A8G40AB2-CWE </v>
          </cell>
          <cell r="E16650" t="str">
            <v>SNL745</v>
          </cell>
          <cell r="K16650" t="str">
            <v>wprowadzone z faktury 2208260 zamiast 2208589</v>
          </cell>
        </row>
        <row r="16651">
          <cell r="D16651" t="str">
            <v xml:space="preserve">M393A8G40AB2-CWE </v>
          </cell>
          <cell r="E16651" t="str">
            <v>SNL746</v>
          </cell>
          <cell r="K16651" t="str">
            <v>wprowadzone z faktury 2208260 zamiast 2208589</v>
          </cell>
        </row>
        <row r="16652">
          <cell r="D16652" t="str">
            <v xml:space="preserve">M393A8G40AB2-CWE </v>
          </cell>
          <cell r="E16652" t="str">
            <v>SNL747</v>
          </cell>
          <cell r="K16652" t="str">
            <v>wprowadzone z faktury 2208260 zamiast 2208589</v>
          </cell>
        </row>
        <row r="16653">
          <cell r="D16653" t="str">
            <v xml:space="preserve">M393A8G40AB2-CWE </v>
          </cell>
          <cell r="E16653" t="str">
            <v>SNL748</v>
          </cell>
          <cell r="K16653" t="str">
            <v>wprowadzone z faktury 2208260 zamiast 2208589</v>
          </cell>
        </row>
        <row r="16654">
          <cell r="D16654" t="str">
            <v xml:space="preserve">M393A8G40AB2-CWE </v>
          </cell>
          <cell r="E16654" t="str">
            <v>SNL749</v>
          </cell>
          <cell r="K16654" t="str">
            <v>wprowadzone z faktury 2208260 zamiast 2208589</v>
          </cell>
        </row>
        <row r="16655">
          <cell r="D16655" t="str">
            <v xml:space="preserve">M393A8G40AB2-CWE </v>
          </cell>
          <cell r="E16655" t="str">
            <v>SNL750</v>
          </cell>
          <cell r="K16655" t="str">
            <v>wprowadzone z faktury 2208260 zamiast 2208589</v>
          </cell>
        </row>
        <row r="16656">
          <cell r="D16656" t="str">
            <v xml:space="preserve">M393A8G40AB2-CWE </v>
          </cell>
          <cell r="E16656" t="str">
            <v>SNL751</v>
          </cell>
          <cell r="K16656" t="str">
            <v>wprowadzone z faktury 2208260 zamiast 2208589</v>
          </cell>
        </row>
        <row r="16657">
          <cell r="D16657" t="str">
            <v xml:space="preserve">M393A8G40AB2-CWE </v>
          </cell>
          <cell r="E16657" t="str">
            <v>SNL752</v>
          </cell>
          <cell r="K16657" t="str">
            <v>wprowadzone z faktury 2208260 zamiast 2208589</v>
          </cell>
        </row>
        <row r="16658">
          <cell r="D16658" t="str">
            <v xml:space="preserve">M393A8G40AB2-CWE </v>
          </cell>
          <cell r="E16658" t="str">
            <v>SNL753</v>
          </cell>
          <cell r="K16658" t="str">
            <v>wprowadzone z faktury 2208260 zamiast 2208589</v>
          </cell>
        </row>
        <row r="16659">
          <cell r="D16659" t="str">
            <v xml:space="preserve">M393A8G40AB2-CWE </v>
          </cell>
          <cell r="E16659" t="str">
            <v>SNL754</v>
          </cell>
          <cell r="K16659" t="str">
            <v>wprowadzone z faktury 2208260 zamiast 2208589</v>
          </cell>
        </row>
        <row r="16660">
          <cell r="D16660" t="str">
            <v xml:space="preserve">M393A8G40AB2-CWE </v>
          </cell>
          <cell r="E16660" t="str">
            <v>SNL755</v>
          </cell>
          <cell r="K16660" t="str">
            <v>wprowadzone z faktury 2208260 zamiast 2208589</v>
          </cell>
        </row>
        <row r="16661">
          <cell r="D16661" t="str">
            <v xml:space="preserve">M393A8G40AB2-CWE </v>
          </cell>
          <cell r="E16661" t="str">
            <v>SNL756</v>
          </cell>
          <cell r="K16661" t="str">
            <v>wprowadzone z faktury 2208260 zamiast 2208589</v>
          </cell>
        </row>
        <row r="16662">
          <cell r="D16662" t="str">
            <v xml:space="preserve">M393A8G40AB2-CWE </v>
          </cell>
          <cell r="E16662" t="str">
            <v>SNL757</v>
          </cell>
          <cell r="K16662" t="str">
            <v>wprowadzone z faktury 2208260 zamiast 2208589</v>
          </cell>
        </row>
        <row r="16663">
          <cell r="D16663" t="str">
            <v xml:space="preserve">M393A8G40AB2-CWE </v>
          </cell>
          <cell r="E16663" t="str">
            <v>SNL758</v>
          </cell>
          <cell r="K16663" t="str">
            <v>wprowadzone z faktury 2208260 zamiast 2208589</v>
          </cell>
        </row>
        <row r="16664">
          <cell r="D16664" t="str">
            <v xml:space="preserve">M393A8G40AB2-CWE </v>
          </cell>
          <cell r="E16664" t="str">
            <v>SNL759</v>
          </cell>
          <cell r="K16664" t="str">
            <v>wprowadzone z faktury 2208260 zamiast 2208589</v>
          </cell>
        </row>
        <row r="16665">
          <cell r="D16665" t="str">
            <v xml:space="preserve">M393A8G40AB2-CWE </v>
          </cell>
          <cell r="E16665" t="str">
            <v>SNL760</v>
          </cell>
          <cell r="K16665" t="str">
            <v>wprowadzone z faktury 2208260 zamiast 2208589</v>
          </cell>
        </row>
        <row r="16666">
          <cell r="D16666" t="str">
            <v xml:space="preserve">M393A8G40AB2-CWE </v>
          </cell>
          <cell r="E16666" t="str">
            <v>SNL761</v>
          </cell>
          <cell r="K16666" t="str">
            <v>wprowadzone z faktury 2208260 zamiast 2208589</v>
          </cell>
        </row>
        <row r="16667">
          <cell r="D16667" t="str">
            <v xml:space="preserve">M393A8G40AB2-CWE </v>
          </cell>
          <cell r="E16667" t="str">
            <v>SNL762</v>
          </cell>
          <cell r="K16667" t="str">
            <v>wprowadzone z faktury 2208260 zamiast 2208589</v>
          </cell>
        </row>
        <row r="16668">
          <cell r="D16668" t="str">
            <v xml:space="preserve">M393A8G40AB2-CWE </v>
          </cell>
          <cell r="E16668" t="str">
            <v>SNL763</v>
          </cell>
          <cell r="K16668" t="str">
            <v>wprowadzone z faktury 2208260 zamiast 2208589</v>
          </cell>
        </row>
        <row r="16669">
          <cell r="D16669" t="str">
            <v xml:space="preserve">M393A8G40AB2-CWE </v>
          </cell>
          <cell r="E16669" t="str">
            <v>SNL764</v>
          </cell>
          <cell r="K16669" t="str">
            <v>wprowadzone z faktury 2208260 zamiast 2208589</v>
          </cell>
        </row>
        <row r="16670">
          <cell r="D16670" t="str">
            <v xml:space="preserve">M393A8G40AB2-CWE </v>
          </cell>
          <cell r="E16670" t="str">
            <v>SNL765</v>
          </cell>
          <cell r="K16670" t="str">
            <v>wprowadzone z faktury 2208260 zamiast 2208589</v>
          </cell>
        </row>
        <row r="16671">
          <cell r="D16671" t="str">
            <v xml:space="preserve">M393A8G40AB2-CWE </v>
          </cell>
          <cell r="E16671" t="str">
            <v>SNL766</v>
          </cell>
          <cell r="K16671" t="str">
            <v>wprowadzone z faktury 2208260 zamiast 2208589</v>
          </cell>
        </row>
        <row r="16672">
          <cell r="D16672" t="str">
            <v xml:space="preserve">M393A8G40AB2-CWE </v>
          </cell>
          <cell r="E16672" t="str">
            <v>SNL767</v>
          </cell>
          <cell r="K16672" t="str">
            <v>wprowadzone z faktury 2208260 zamiast 2208589</v>
          </cell>
        </row>
        <row r="16673">
          <cell r="D16673" t="str">
            <v xml:space="preserve">M393A8G40AB2-CWE </v>
          </cell>
          <cell r="E16673" t="str">
            <v>SNL768</v>
          </cell>
          <cell r="K16673" t="str">
            <v>wprowadzone z faktury 2208260 zamiast 2208589</v>
          </cell>
        </row>
        <row r="16674">
          <cell r="D16674" t="str">
            <v xml:space="preserve">M393A8G40AB2-CWE </v>
          </cell>
          <cell r="E16674" t="str">
            <v>SNL769</v>
          </cell>
          <cell r="K16674" t="str">
            <v>wprowadzone z faktury 2208260 zamiast 2208589</v>
          </cell>
        </row>
        <row r="16675">
          <cell r="D16675" t="str">
            <v xml:space="preserve">M393A8G40AB2-CWE </v>
          </cell>
          <cell r="E16675" t="str">
            <v>SNL770</v>
          </cell>
          <cell r="K16675" t="str">
            <v>wprowadzone z faktury 2208260 zamiast 2208589</v>
          </cell>
        </row>
        <row r="16676">
          <cell r="D16676" t="str">
            <v xml:space="preserve">M393A8G40AB2-CWE </v>
          </cell>
          <cell r="E16676" t="str">
            <v>SNL771</v>
          </cell>
          <cell r="K16676" t="str">
            <v>wprowadzone z faktury 2208260 zamiast 2208589</v>
          </cell>
        </row>
        <row r="16677">
          <cell r="D16677" t="str">
            <v xml:space="preserve">M393A8G40AB2-CWE </v>
          </cell>
          <cell r="E16677" t="str">
            <v>SNL772</v>
          </cell>
          <cell r="K16677" t="str">
            <v>wprowadzone z faktury 2208260 zamiast 2208589</v>
          </cell>
        </row>
        <row r="16678">
          <cell r="D16678" t="str">
            <v xml:space="preserve">M393A8G40AB2-CWE </v>
          </cell>
          <cell r="E16678" t="str">
            <v>SNL773</v>
          </cell>
          <cell r="K16678" t="str">
            <v>wprowadzone z faktury 2208260 zamiast 2208589</v>
          </cell>
        </row>
        <row r="16679">
          <cell r="D16679" t="str">
            <v xml:space="preserve">M393A8G40AB2-CWE </v>
          </cell>
          <cell r="E16679" t="str">
            <v>SNL774</v>
          </cell>
          <cell r="K16679" t="str">
            <v>wprowadzone z faktury 2208260 zamiast 2208589</v>
          </cell>
        </row>
        <row r="16680">
          <cell r="D16680" t="str">
            <v xml:space="preserve">M393A8G40AB2-CWE </v>
          </cell>
          <cell r="E16680" t="str">
            <v>SNL775</v>
          </cell>
          <cell r="K16680" t="str">
            <v>wprowadzone z faktury 2208260 zamiast 2208589</v>
          </cell>
        </row>
        <row r="16681">
          <cell r="D16681" t="str">
            <v xml:space="preserve">M393A8G40AB2-CWE </v>
          </cell>
          <cell r="E16681" t="str">
            <v>SNL776</v>
          </cell>
          <cell r="K16681" t="str">
            <v>wprowadzone z faktury 2208260 zamiast 2208589</v>
          </cell>
        </row>
        <row r="16682">
          <cell r="D16682" t="str">
            <v xml:space="preserve">M393A8G40AB2-CWE </v>
          </cell>
          <cell r="E16682" t="str">
            <v>SNL777</v>
          </cell>
          <cell r="K16682" t="str">
            <v>wprowadzone z faktury 2208260 zamiast 2208589</v>
          </cell>
        </row>
        <row r="16683">
          <cell r="D16683" t="str">
            <v xml:space="preserve">M393A8G40AB2-CWE </v>
          </cell>
          <cell r="E16683" t="str">
            <v>SNL778</v>
          </cell>
          <cell r="K16683" t="str">
            <v>wprowadzone z faktury 2208260 zamiast 2208589</v>
          </cell>
        </row>
        <row r="16684">
          <cell r="D16684" t="str">
            <v xml:space="preserve">M393A8G40AB2-CWE </v>
          </cell>
          <cell r="E16684" t="str">
            <v>SNL779</v>
          </cell>
          <cell r="K16684" t="str">
            <v>wprowadzone z faktury 2208260 zamiast 2208589</v>
          </cell>
        </row>
        <row r="16685">
          <cell r="D16685" t="str">
            <v xml:space="preserve">M393A8G40AB2-CWE </v>
          </cell>
          <cell r="E16685" t="str">
            <v>SNL780</v>
          </cell>
          <cell r="K16685" t="str">
            <v>wprowadzone z faktury 2208260 zamiast 2208589</v>
          </cell>
        </row>
        <row r="16686">
          <cell r="D16686" t="str">
            <v xml:space="preserve">M393A8G40AB2-CWE </v>
          </cell>
          <cell r="E16686" t="str">
            <v>SNL781</v>
          </cell>
          <cell r="K16686" t="str">
            <v>wprowadzone z faktury 2208260 zamiast 2208589</v>
          </cell>
        </row>
        <row r="16687">
          <cell r="D16687" t="str">
            <v xml:space="preserve">M393A8G40AB2-CWE </v>
          </cell>
          <cell r="E16687" t="str">
            <v>SNL782</v>
          </cell>
          <cell r="K16687" t="str">
            <v>wprowadzone z faktury 2208260 zamiast 2208589</v>
          </cell>
        </row>
        <row r="16688">
          <cell r="D16688" t="str">
            <v xml:space="preserve">M393A8G40AB2-CWE </v>
          </cell>
          <cell r="E16688" t="str">
            <v>SNL783</v>
          </cell>
          <cell r="K16688" t="str">
            <v>wprowadzone z faktury 2208260 zamiast 2208589</v>
          </cell>
        </row>
        <row r="16689">
          <cell r="D16689" t="str">
            <v xml:space="preserve">M393A8G40AB2-CWE </v>
          </cell>
          <cell r="E16689" t="str">
            <v>SNL784</v>
          </cell>
          <cell r="K16689" t="str">
            <v>wprowadzone z faktury 2208260 zamiast 2208589</v>
          </cell>
        </row>
        <row r="16690">
          <cell r="D16690" t="str">
            <v xml:space="preserve">M393A8G40AB2-CWE </v>
          </cell>
          <cell r="E16690" t="str">
            <v>SNL785</v>
          </cell>
          <cell r="K16690" t="str">
            <v>wprowadzone z faktury 2208260 zamiast 2208589</v>
          </cell>
        </row>
        <row r="16691">
          <cell r="D16691" t="str">
            <v xml:space="preserve">M393A8G40AB2-CWE </v>
          </cell>
          <cell r="E16691" t="str">
            <v>SNL786</v>
          </cell>
          <cell r="K16691" t="str">
            <v>wprowadzone z faktury 2208260 zamiast 2208589</v>
          </cell>
        </row>
        <row r="16692">
          <cell r="D16692" t="str">
            <v xml:space="preserve">M393A8G40AB2-CWE </v>
          </cell>
          <cell r="E16692" t="str">
            <v>SNL787</v>
          </cell>
          <cell r="K16692" t="str">
            <v>wprowadzone z faktury 2208260 zamiast 2208589</v>
          </cell>
        </row>
        <row r="16693">
          <cell r="D16693" t="str">
            <v xml:space="preserve">M393A8G40AB2-CWE </v>
          </cell>
          <cell r="E16693" t="str">
            <v>SNL788</v>
          </cell>
          <cell r="K16693" t="str">
            <v>wprowadzone z faktury 2208260 zamiast 2208589</v>
          </cell>
        </row>
        <row r="16694">
          <cell r="D16694" t="str">
            <v xml:space="preserve">M393A8G40AB2-CWE </v>
          </cell>
          <cell r="E16694" t="str">
            <v>SNL789</v>
          </cell>
          <cell r="K16694" t="str">
            <v>wprowadzone z faktury 2208260 zamiast 2208589</v>
          </cell>
        </row>
        <row r="16695">
          <cell r="D16695" t="str">
            <v xml:space="preserve">M393A8G40AB2-CWE </v>
          </cell>
          <cell r="E16695" t="str">
            <v>SNL790</v>
          </cell>
          <cell r="K16695" t="str">
            <v>wprowadzone z faktury 2208260 zamiast 2208589</v>
          </cell>
        </row>
        <row r="16696">
          <cell r="D16696" t="str">
            <v xml:space="preserve">M393A8G40AB2-CWE </v>
          </cell>
          <cell r="E16696" t="str">
            <v>SNL791</v>
          </cell>
          <cell r="K16696" t="str">
            <v>wprowadzone z faktury 2208260 zamiast 2208589</v>
          </cell>
        </row>
        <row r="16697">
          <cell r="D16697" t="str">
            <v xml:space="preserve">M393A8G40AB2-CWE </v>
          </cell>
          <cell r="E16697" t="str">
            <v>SNL792</v>
          </cell>
          <cell r="K16697" t="str">
            <v>wprowadzone z faktury 2208260 zamiast 2208589</v>
          </cell>
        </row>
        <row r="16698">
          <cell r="D16698" t="str">
            <v xml:space="preserve">M393A8G40AB2-CWE </v>
          </cell>
          <cell r="E16698" t="str">
            <v>SNL793</v>
          </cell>
          <cell r="K16698" t="str">
            <v>wprowadzone z faktury 2208260 zamiast 2208589</v>
          </cell>
        </row>
        <row r="16699">
          <cell r="D16699" t="str">
            <v xml:space="preserve">M393A8G40AB2-CWE </v>
          </cell>
          <cell r="E16699" t="str">
            <v>SNL794</v>
          </cell>
          <cell r="K16699" t="str">
            <v>wprowadzone z faktury 2208260 zamiast 2208589</v>
          </cell>
        </row>
        <row r="16700">
          <cell r="D16700" t="str">
            <v xml:space="preserve">M393A8G40AB2-CWE </v>
          </cell>
          <cell r="E16700" t="str">
            <v>SNL795</v>
          </cell>
          <cell r="K16700" t="str">
            <v>wprowadzone z faktury 2208260 zamiast 2208589</v>
          </cell>
        </row>
        <row r="16701">
          <cell r="D16701" t="str">
            <v xml:space="preserve">M393A8G40AB2-CWE </v>
          </cell>
          <cell r="E16701" t="str">
            <v>SNL796</v>
          </cell>
          <cell r="K16701" t="str">
            <v>wprowadzone z faktury 2208260 zamiast 2208589</v>
          </cell>
        </row>
        <row r="16702">
          <cell r="D16702" t="str">
            <v xml:space="preserve">M393A8G40AB2-CWE </v>
          </cell>
          <cell r="E16702" t="str">
            <v>SNL797</v>
          </cell>
          <cell r="K16702" t="str">
            <v>wprowadzone z faktury 2208260 zamiast 2208589</v>
          </cell>
        </row>
        <row r="16703">
          <cell r="D16703" t="str">
            <v xml:space="preserve">M393A8G40AB2-CWE </v>
          </cell>
          <cell r="E16703" t="str">
            <v>SNL798</v>
          </cell>
          <cell r="K16703" t="str">
            <v>wprowadzone z faktury 2208260 zamiast 2208589</v>
          </cell>
        </row>
        <row r="16704">
          <cell r="D16704" t="str">
            <v xml:space="preserve">M393A8G40AB2-CWE </v>
          </cell>
          <cell r="E16704" t="str">
            <v>SNL799</v>
          </cell>
          <cell r="K16704" t="str">
            <v>wprowadzone z faktury 2208260 zamiast 2208589</v>
          </cell>
        </row>
        <row r="16705">
          <cell r="D16705" t="str">
            <v xml:space="preserve">M393A8G40AB2-CWE </v>
          </cell>
          <cell r="E16705" t="str">
            <v>SNL800</v>
          </cell>
          <cell r="K16705" t="str">
            <v>wprowadzone z faktury 2208260 zamiast 2208589</v>
          </cell>
        </row>
        <row r="16706">
          <cell r="D16706" t="str">
            <v xml:space="preserve">M393A8G40AB2-CWE </v>
          </cell>
          <cell r="E16706" t="str">
            <v>SNL801</v>
          </cell>
          <cell r="K16706" t="str">
            <v>wprowadzone z faktury 2208260 zamiast 2208589</v>
          </cell>
        </row>
        <row r="16707">
          <cell r="D16707" t="str">
            <v xml:space="preserve">M393A8G40AB2-CWE </v>
          </cell>
          <cell r="E16707" t="str">
            <v>SNL802</v>
          </cell>
          <cell r="K16707" t="str">
            <v>wprowadzone z faktury 2208260 zamiast 2208589</v>
          </cell>
        </row>
        <row r="16708">
          <cell r="D16708" t="str">
            <v xml:space="preserve">M393A8G40AB2-CWE </v>
          </cell>
          <cell r="E16708" t="str">
            <v>SNL803</v>
          </cell>
          <cell r="K16708" t="str">
            <v>wprowadzone z faktury 2208260 zamiast 2208589</v>
          </cell>
        </row>
        <row r="16709">
          <cell r="D16709" t="str">
            <v xml:space="preserve">M393A8G40AB2-CWE </v>
          </cell>
          <cell r="E16709" t="str">
            <v>SNL804</v>
          </cell>
          <cell r="K16709" t="str">
            <v>wprowadzone z faktury 2208260 zamiast 2208589</v>
          </cell>
        </row>
        <row r="16710">
          <cell r="D16710" t="str">
            <v xml:space="preserve">M393A8G40AB2-CWE </v>
          </cell>
          <cell r="E16710" t="str">
            <v>SNL805</v>
          </cell>
          <cell r="K16710" t="str">
            <v>wprowadzone z faktury 2208260 zamiast 2208589</v>
          </cell>
        </row>
        <row r="16711">
          <cell r="D16711" t="str">
            <v xml:space="preserve">M393A8G40AB2-CWE </v>
          </cell>
          <cell r="E16711" t="str">
            <v>SNL806</v>
          </cell>
          <cell r="K16711" t="str">
            <v>wprowadzone z faktury 2208260 zamiast 2208589</v>
          </cell>
        </row>
        <row r="16712">
          <cell r="D16712" t="str">
            <v xml:space="preserve">M393A8G40AB2-CWE </v>
          </cell>
          <cell r="E16712" t="str">
            <v>SNL807</v>
          </cell>
          <cell r="K16712" t="str">
            <v>wprowadzone z faktury 2208260 zamiast 2208589</v>
          </cell>
        </row>
        <row r="16713">
          <cell r="D16713" t="str">
            <v xml:space="preserve">M393A8G40AB2-CWE </v>
          </cell>
          <cell r="E16713" t="str">
            <v>SNL808</v>
          </cell>
          <cell r="K16713" t="str">
            <v>wprowadzone z faktury 2208260 zamiast 2208589</v>
          </cell>
        </row>
        <row r="16714">
          <cell r="D16714" t="str">
            <v xml:space="preserve">M393A8G40AB2-CWE </v>
          </cell>
          <cell r="E16714" t="str">
            <v>SNL809</v>
          </cell>
          <cell r="K16714" t="str">
            <v>wprowadzone z faktury 2208260 zamiast 2208589</v>
          </cell>
        </row>
        <row r="16715">
          <cell r="D16715" t="str">
            <v xml:space="preserve">M393A8G40AB2-CWE </v>
          </cell>
          <cell r="E16715" t="str">
            <v>SNL810</v>
          </cell>
          <cell r="K16715" t="str">
            <v>wprowadzone z faktury 2208260 zamiast 2208589</v>
          </cell>
        </row>
        <row r="16716">
          <cell r="D16716" t="str">
            <v xml:space="preserve">M393A8G40AB2-CWE </v>
          </cell>
          <cell r="E16716" t="str">
            <v>SNL811</v>
          </cell>
          <cell r="K16716" t="str">
            <v>wprowadzone z faktury 2208260 zamiast 2208589</v>
          </cell>
        </row>
        <row r="16717">
          <cell r="D16717" t="str">
            <v xml:space="preserve">M393A8G40AB2-CWE </v>
          </cell>
          <cell r="E16717" t="str">
            <v>SNL812</v>
          </cell>
          <cell r="K16717" t="str">
            <v>wprowadzone z faktury 2208260 zamiast 2208589</v>
          </cell>
        </row>
        <row r="16718">
          <cell r="D16718" t="str">
            <v xml:space="preserve">M393A8G40AB2-CWE </v>
          </cell>
          <cell r="E16718" t="str">
            <v>SNL813</v>
          </cell>
          <cell r="K16718" t="str">
            <v>wprowadzone z faktury 2208260 zamiast 2208589</v>
          </cell>
        </row>
        <row r="16719">
          <cell r="D16719" t="str">
            <v xml:space="preserve">M393A8G40AB2-CWE </v>
          </cell>
          <cell r="E16719" t="str">
            <v>SNL814</v>
          </cell>
          <cell r="K16719" t="str">
            <v>wprowadzone z faktury 2208260 zamiast 2208589</v>
          </cell>
        </row>
        <row r="16720">
          <cell r="D16720" t="str">
            <v xml:space="preserve">M393A8G40AB2-CWE </v>
          </cell>
          <cell r="E16720" t="str">
            <v>SNL815</v>
          </cell>
          <cell r="K16720" t="str">
            <v>wprowadzone z faktury 2208260 zamiast 2208589</v>
          </cell>
        </row>
        <row r="16721">
          <cell r="D16721" t="str">
            <v xml:space="preserve">M393A8G40AB2-CWE </v>
          </cell>
          <cell r="E16721" t="str">
            <v>SNL816</v>
          </cell>
          <cell r="K16721" t="str">
            <v>wprowadzone z faktury 2208260 zamiast 2208589</v>
          </cell>
        </row>
        <row r="16722">
          <cell r="D16722" t="str">
            <v xml:space="preserve">M393A8G40AB2-CWE </v>
          </cell>
          <cell r="E16722" t="str">
            <v>SNL817</v>
          </cell>
          <cell r="K16722" t="str">
            <v>wprowadzone z faktury 2208260 zamiast 2208589</v>
          </cell>
        </row>
        <row r="16723">
          <cell r="D16723" t="str">
            <v xml:space="preserve">M393A8G40AB2-CWE </v>
          </cell>
          <cell r="E16723" t="str">
            <v>SNL818</v>
          </cell>
          <cell r="K16723" t="str">
            <v>wprowadzone z faktury 2208260 zamiast 2208589</v>
          </cell>
        </row>
        <row r="16724">
          <cell r="D16724" t="str">
            <v xml:space="preserve">M393A8G40AB2-CWE </v>
          </cell>
          <cell r="E16724" t="str">
            <v>SNL819</v>
          </cell>
          <cell r="K16724" t="str">
            <v>wprowadzone z faktury 2208260 zamiast 2208589</v>
          </cell>
        </row>
        <row r="16725">
          <cell r="D16725" t="str">
            <v xml:space="preserve">M393A8G40AB2-CWE </v>
          </cell>
          <cell r="E16725" t="str">
            <v>SNL820</v>
          </cell>
          <cell r="K16725" t="str">
            <v>wprowadzone z faktury 2208260 zamiast 2208589</v>
          </cell>
        </row>
        <row r="16726">
          <cell r="D16726" t="str">
            <v xml:space="preserve">M393A8G40AB2-CWE </v>
          </cell>
          <cell r="E16726" t="str">
            <v>SNL821</v>
          </cell>
          <cell r="K16726" t="str">
            <v>wprowadzone z faktury 2208260 zamiast 2208589</v>
          </cell>
        </row>
        <row r="16727">
          <cell r="D16727" t="str">
            <v xml:space="preserve">M393A8G40AB2-CWE </v>
          </cell>
          <cell r="E16727" t="str">
            <v>SNL822</v>
          </cell>
          <cell r="K16727" t="str">
            <v>wprowadzone z faktury 2208260 zamiast 2208589</v>
          </cell>
        </row>
        <row r="16728">
          <cell r="D16728" t="str">
            <v xml:space="preserve">M393A8G40AB2-CWE </v>
          </cell>
          <cell r="E16728" t="str">
            <v>SNL823</v>
          </cell>
          <cell r="K16728" t="str">
            <v>wprowadzone z faktury 2208260 zamiast 2208589</v>
          </cell>
        </row>
        <row r="16729">
          <cell r="D16729" t="str">
            <v>CSE-815TQ-600WB</v>
          </cell>
          <cell r="E16729" t="str">
            <v>C8150LD17ME0145</v>
          </cell>
        </row>
        <row r="16730">
          <cell r="D16730" t="str">
            <v>PWS</v>
          </cell>
          <cell r="E16730" t="str">
            <v>P605A0L21E24754</v>
          </cell>
        </row>
        <row r="16731">
          <cell r="D16731" t="str">
            <v>BPN</v>
          </cell>
          <cell r="E16731" t="str">
            <v>EB145S037731</v>
          </cell>
        </row>
        <row r="16732">
          <cell r="D16732" t="str">
            <v>CSE-815TQ-600WB</v>
          </cell>
          <cell r="E16732" t="str">
            <v>C8150LD17ME0138</v>
          </cell>
        </row>
        <row r="16733">
          <cell r="D16733" t="str">
            <v>PWS</v>
          </cell>
          <cell r="E16733" t="str">
            <v>P605A0L21E24782</v>
          </cell>
        </row>
        <row r="16734">
          <cell r="D16734" t="str">
            <v>BPN</v>
          </cell>
          <cell r="E16734" t="str">
            <v>EB145S037720</v>
          </cell>
        </row>
        <row r="16735">
          <cell r="D16735" t="str">
            <v>CSE-815TQ-600WB</v>
          </cell>
          <cell r="E16735" t="str">
            <v>C8150LD17ME0146</v>
          </cell>
        </row>
        <row r="16736">
          <cell r="D16736" t="str">
            <v>PWS</v>
          </cell>
          <cell r="E16736" t="str">
            <v>P605A0L21E24783</v>
          </cell>
        </row>
        <row r="16737">
          <cell r="D16737" t="str">
            <v>BPN</v>
          </cell>
          <cell r="E16737" t="str">
            <v>EB145S037730</v>
          </cell>
        </row>
        <row r="16738">
          <cell r="D16738" t="str">
            <v>CSE-815TQ-600WB</v>
          </cell>
          <cell r="E16738" t="str">
            <v>C8150LD17ME0221</v>
          </cell>
        </row>
        <row r="16739">
          <cell r="D16739" t="str">
            <v>PWS</v>
          </cell>
          <cell r="E16739" t="str">
            <v>P605A0L21E24911</v>
          </cell>
        </row>
        <row r="16740">
          <cell r="D16740" t="str">
            <v>BPN</v>
          </cell>
          <cell r="E16740" t="str">
            <v>EB145S037888</v>
          </cell>
        </row>
        <row r="16741">
          <cell r="D16741" t="str">
            <v>CSE-815TQ-600WB</v>
          </cell>
          <cell r="E16741" t="str">
            <v>C8150LD17ME0212</v>
          </cell>
        </row>
        <row r="16742">
          <cell r="D16742" t="str">
            <v>PWS</v>
          </cell>
          <cell r="E16742" t="str">
            <v>P605A0L21E24916</v>
          </cell>
        </row>
        <row r="16743">
          <cell r="D16743" t="str">
            <v>BPN</v>
          </cell>
          <cell r="E16743" t="str">
            <v>EB145S037877</v>
          </cell>
        </row>
        <row r="16744">
          <cell r="D16744" t="str">
            <v>CSE-815TQ-600WB</v>
          </cell>
          <cell r="E16744" t="str">
            <v>C8150LD17ME0141</v>
          </cell>
        </row>
        <row r="16745">
          <cell r="D16745" t="str">
            <v>PWS</v>
          </cell>
          <cell r="E16745" t="str">
            <v>P605A0L21E24918</v>
          </cell>
        </row>
        <row r="16746">
          <cell r="D16746" t="str">
            <v>BPN</v>
          </cell>
          <cell r="E16746" t="str">
            <v>EB145S037722</v>
          </cell>
        </row>
        <row r="16747">
          <cell r="D16747" t="str">
            <v>CSE-815TQ-600WB</v>
          </cell>
          <cell r="E16747" t="str">
            <v>C8150LD17ME0140</v>
          </cell>
        </row>
        <row r="16748">
          <cell r="D16748" t="str">
            <v>PWS</v>
          </cell>
          <cell r="E16748" t="str">
            <v>P605A0L21E24917</v>
          </cell>
        </row>
        <row r="16749">
          <cell r="D16749" t="str">
            <v>BPN</v>
          </cell>
          <cell r="E16749" t="str">
            <v>EB145S037723</v>
          </cell>
        </row>
        <row r="16750">
          <cell r="D16750" t="str">
            <v>CSE-815TQ-600WB</v>
          </cell>
          <cell r="E16750" t="str">
            <v>C8150LD17ME0131</v>
          </cell>
        </row>
        <row r="16751">
          <cell r="D16751" t="str">
            <v>PWS</v>
          </cell>
          <cell r="E16751" t="str">
            <v>P605A0L21E24758</v>
          </cell>
        </row>
        <row r="16752">
          <cell r="D16752" t="str">
            <v>BPN</v>
          </cell>
          <cell r="E16752" t="str">
            <v>EB145S038032</v>
          </cell>
        </row>
        <row r="16753">
          <cell r="D16753" t="str">
            <v>CSE-815TQ-600WB</v>
          </cell>
          <cell r="E16753" t="str">
            <v>C8150LD17ME0237</v>
          </cell>
        </row>
        <row r="16754">
          <cell r="D16754" t="str">
            <v>PWS</v>
          </cell>
          <cell r="E16754" t="str">
            <v>P605A0L21E24752</v>
          </cell>
        </row>
        <row r="16755">
          <cell r="D16755" t="str">
            <v>BPN</v>
          </cell>
          <cell r="E16755" t="str">
            <v>EB145S037780</v>
          </cell>
        </row>
        <row r="16756">
          <cell r="D16756" t="str">
            <v>CSE-815TQ-600WB</v>
          </cell>
          <cell r="E16756" t="str">
            <v>C8150LD17ME0227</v>
          </cell>
        </row>
        <row r="16757">
          <cell r="D16757" t="str">
            <v>PWS</v>
          </cell>
          <cell r="E16757" t="str">
            <v>P605A0L21E24781</v>
          </cell>
        </row>
        <row r="16758">
          <cell r="D16758" t="str">
            <v>BPN</v>
          </cell>
          <cell r="E16758" t="str">
            <v>EB145S037620</v>
          </cell>
        </row>
        <row r="16759">
          <cell r="D16759" t="str">
            <v>CSE-815TQ-600WB</v>
          </cell>
          <cell r="E16759" t="str">
            <v>C8150LD17ME0123</v>
          </cell>
        </row>
        <row r="16760">
          <cell r="D16760" t="str">
            <v>PWS</v>
          </cell>
          <cell r="E16760" t="str">
            <v>P605A0L21E24787</v>
          </cell>
        </row>
        <row r="16761">
          <cell r="D16761" t="str">
            <v>BPN</v>
          </cell>
          <cell r="E16761" t="str">
            <v>EB145S038018</v>
          </cell>
        </row>
        <row r="16762">
          <cell r="D16762" t="str">
            <v>CSE-815TQ-600WB</v>
          </cell>
          <cell r="E16762" t="str">
            <v>C8150LD17ME0224</v>
          </cell>
        </row>
        <row r="16763">
          <cell r="D16763" t="str">
            <v>PWS</v>
          </cell>
          <cell r="E16763" t="str">
            <v>P605A0L21E24914</v>
          </cell>
        </row>
        <row r="16764">
          <cell r="D16764" t="str">
            <v>BPN</v>
          </cell>
          <cell r="E16764" t="str">
            <v>EB145S037632</v>
          </cell>
        </row>
        <row r="16765">
          <cell r="D16765" t="str">
            <v>CSE-815TQ-600WB</v>
          </cell>
          <cell r="E16765" t="str">
            <v>C8150LD17ME0210</v>
          </cell>
        </row>
        <row r="16766">
          <cell r="D16766" t="str">
            <v>PWS</v>
          </cell>
          <cell r="E16766" t="str">
            <v>P605A0L21E24912</v>
          </cell>
        </row>
        <row r="16767">
          <cell r="D16767" t="str">
            <v>BPN</v>
          </cell>
          <cell r="E16767" t="str">
            <v>EB145S037883</v>
          </cell>
        </row>
        <row r="16768">
          <cell r="D16768" t="str">
            <v>CSE-815TQ-600WB</v>
          </cell>
          <cell r="E16768" t="str">
            <v>C8150LD17ME0137</v>
          </cell>
        </row>
        <row r="16769">
          <cell r="D16769" t="str">
            <v>PWS</v>
          </cell>
          <cell r="E16769" t="str">
            <v>P605A0L21E24913</v>
          </cell>
        </row>
        <row r="16770">
          <cell r="D16770" t="str">
            <v>BPN</v>
          </cell>
          <cell r="E16770" t="str">
            <v>EB145S037719</v>
          </cell>
        </row>
        <row r="16771">
          <cell r="D16771" t="str">
            <v>CSE-815TQ-600WB</v>
          </cell>
          <cell r="E16771" t="str">
            <v>C8150LD17ME0213</v>
          </cell>
        </row>
        <row r="16772">
          <cell r="D16772" t="str">
            <v>PWS</v>
          </cell>
          <cell r="E16772" t="str">
            <v>P605A0L21E24915</v>
          </cell>
        </row>
        <row r="16773">
          <cell r="D16773" t="str">
            <v>BPN</v>
          </cell>
          <cell r="E16773" t="str">
            <v>EB145S037876</v>
          </cell>
        </row>
        <row r="16774">
          <cell r="D16774" t="str">
            <v>CSE-815TQ-600WB</v>
          </cell>
          <cell r="E16774" t="str">
            <v>C8150LD17ME0120</v>
          </cell>
        </row>
        <row r="16775">
          <cell r="D16775" t="str">
            <v>PWS</v>
          </cell>
          <cell r="E16775" t="str">
            <v>P605A0L21E24919</v>
          </cell>
        </row>
        <row r="16776">
          <cell r="D16776" t="str">
            <v>BPN</v>
          </cell>
          <cell r="E16776" t="str">
            <v>EB145S037890</v>
          </cell>
        </row>
        <row r="16777">
          <cell r="D16777" t="str">
            <v>CSE-815TQ-600WB</v>
          </cell>
          <cell r="E16777" t="str">
            <v>C8150LD17ME0132</v>
          </cell>
        </row>
        <row r="16778">
          <cell r="D16778" t="str">
            <v>PWS</v>
          </cell>
          <cell r="E16778" t="str">
            <v>P605A0L21E24920</v>
          </cell>
        </row>
        <row r="16779">
          <cell r="D16779" t="str">
            <v>BPN</v>
          </cell>
          <cell r="E16779" t="str">
            <v>EB145S038030</v>
          </cell>
        </row>
        <row r="16780">
          <cell r="D16780" t="str">
            <v>AS-5014A-TT</v>
          </cell>
          <cell r="E16780" t="str">
            <v>E446926X2603378</v>
          </cell>
        </row>
        <row r="16781">
          <cell r="D16781" t="str">
            <v>CSE</v>
          </cell>
          <cell r="E16781" t="str">
            <v>CGS700K47B20273</v>
          </cell>
        </row>
        <row r="16782">
          <cell r="D16782" t="str">
            <v>PWS</v>
          </cell>
          <cell r="E16782" t="str">
            <v>P2K0QAL28A00653</v>
          </cell>
        </row>
        <row r="16783">
          <cell r="D16783" t="str">
            <v>MBD</v>
          </cell>
          <cell r="E16783" t="str">
            <v>WM223S608796</v>
          </cell>
        </row>
        <row r="16784">
          <cell r="D16784" t="str">
            <v>CPU</v>
          </cell>
          <cell r="E16784" t="str">
            <v>9LB1662N20094</v>
          </cell>
        </row>
        <row r="16785">
          <cell r="D16785" t="str">
            <v>MEM</v>
          </cell>
          <cell r="E16785" t="str">
            <v>S802C252130F2A49254</v>
          </cell>
        </row>
        <row r="16786">
          <cell r="D16786" t="str">
            <v>MEM</v>
          </cell>
          <cell r="E16786" t="str">
            <v>S802C252130F2A4936D</v>
          </cell>
        </row>
        <row r="16787">
          <cell r="D16787" t="str">
            <v>MEM</v>
          </cell>
          <cell r="E16787" t="str">
            <v>S802C252130F2A49255</v>
          </cell>
        </row>
        <row r="16788">
          <cell r="D16788" t="str">
            <v>MEM</v>
          </cell>
          <cell r="E16788" t="str">
            <v>S802C252130F2A491B8</v>
          </cell>
        </row>
        <row r="16789">
          <cell r="D16789" t="str">
            <v>HDD</v>
          </cell>
          <cell r="E16789" t="str">
            <v>326OK3XJF6XF</v>
          </cell>
        </row>
        <row r="16790">
          <cell r="D16790" t="str">
            <v>AS-5014A-TT</v>
          </cell>
          <cell r="E16790" t="str">
            <v>E446926X2603379</v>
          </cell>
        </row>
        <row r="16791">
          <cell r="D16791" t="str">
            <v>CSE</v>
          </cell>
          <cell r="E16791" t="str">
            <v>CGS700K47B20270</v>
          </cell>
        </row>
        <row r="16792">
          <cell r="D16792" t="str">
            <v>PWS</v>
          </cell>
          <cell r="E16792" t="str">
            <v>P2K0QAL28A00656</v>
          </cell>
        </row>
        <row r="16793">
          <cell r="D16793" t="str">
            <v>MBD</v>
          </cell>
          <cell r="E16793" t="str">
            <v>WM223S608772</v>
          </cell>
        </row>
        <row r="16794">
          <cell r="D16794" t="str">
            <v>CPU</v>
          </cell>
          <cell r="E16794" t="str">
            <v>9LB1662N20109</v>
          </cell>
        </row>
        <row r="16795">
          <cell r="D16795" t="str">
            <v>MEM</v>
          </cell>
          <cell r="E16795" t="str">
            <v>S802C252130F2A49222</v>
          </cell>
        </row>
        <row r="16796">
          <cell r="D16796" t="str">
            <v>MEM</v>
          </cell>
          <cell r="E16796" t="str">
            <v>S802C252130F2A492A3</v>
          </cell>
        </row>
        <row r="16797">
          <cell r="D16797" t="str">
            <v>MEM</v>
          </cell>
          <cell r="E16797" t="str">
            <v>S802C252130F2A49129</v>
          </cell>
        </row>
        <row r="16798">
          <cell r="D16798" t="str">
            <v>MEM</v>
          </cell>
          <cell r="E16798" t="str">
            <v>S802C252130F2A492B7</v>
          </cell>
        </row>
        <row r="16799">
          <cell r="D16799" t="str">
            <v>HDD</v>
          </cell>
          <cell r="E16799" t="str">
            <v>326OK3XKF6XF</v>
          </cell>
        </row>
        <row r="16800">
          <cell r="D16800" t="str">
            <v>SYS-610C-TR</v>
          </cell>
          <cell r="E16800" t="str">
            <v>E423583X2603326</v>
          </cell>
        </row>
        <row r="16801">
          <cell r="D16801" t="str">
            <v>CSE</v>
          </cell>
          <cell r="E16801" t="str">
            <v>CLA15JK42AA0675</v>
          </cell>
        </row>
        <row r="16802">
          <cell r="D16802" t="str">
            <v>PWS</v>
          </cell>
          <cell r="E16802" t="str">
            <v>P8602CM22YB0594</v>
          </cell>
        </row>
        <row r="16803">
          <cell r="D16803" t="str">
            <v>PWS</v>
          </cell>
          <cell r="E16803" t="str">
            <v>P8602CM22YB0593</v>
          </cell>
        </row>
        <row r="16804">
          <cell r="D16804" t="str">
            <v>BPN</v>
          </cell>
          <cell r="E16804" t="str">
            <v>EB21BS023244</v>
          </cell>
        </row>
        <row r="16805">
          <cell r="D16805" t="str">
            <v>PDB</v>
          </cell>
          <cell r="E16805" t="str">
            <v>PT1162L15DB0655</v>
          </cell>
        </row>
        <row r="16806">
          <cell r="D16806" t="str">
            <v>MBD</v>
          </cell>
          <cell r="E16806" t="str">
            <v>OM223S023751</v>
          </cell>
        </row>
        <row r="16807">
          <cell r="D16807" t="str">
            <v>RSC</v>
          </cell>
          <cell r="E16807" t="str">
            <v>ER217S032868</v>
          </cell>
        </row>
        <row r="16808">
          <cell r="D16808" t="str">
            <v>RSC</v>
          </cell>
          <cell r="E16808" t="str">
            <v>ER217S033389</v>
          </cell>
        </row>
        <row r="16809">
          <cell r="D16809" t="str">
            <v>CPU</v>
          </cell>
          <cell r="E16809" t="str">
            <v>71HK777201309</v>
          </cell>
        </row>
        <row r="16810">
          <cell r="D16810" t="str">
            <v>CPU</v>
          </cell>
          <cell r="E16810" t="str">
            <v>71HK777200895</v>
          </cell>
        </row>
        <row r="16811">
          <cell r="D16811" t="str">
            <v>MEM</v>
          </cell>
          <cell r="E16811" t="str">
            <v>80AD01220154F7E527</v>
          </cell>
        </row>
        <row r="16812">
          <cell r="D16812" t="str">
            <v>MEM</v>
          </cell>
          <cell r="E16812" t="str">
            <v>80AD01220154F7E4DC</v>
          </cell>
        </row>
        <row r="16813">
          <cell r="D16813" t="str">
            <v>MEM</v>
          </cell>
          <cell r="E16813" t="str">
            <v>80AD01220154F7E5DF</v>
          </cell>
        </row>
        <row r="16814">
          <cell r="D16814" t="str">
            <v>MEM</v>
          </cell>
          <cell r="E16814" t="str">
            <v>80AD01220154F7E5BA</v>
          </cell>
        </row>
        <row r="16815">
          <cell r="D16815" t="str">
            <v>MEM</v>
          </cell>
          <cell r="E16815" t="str">
            <v>80AD01220154F7E52D</v>
          </cell>
        </row>
        <row r="16816">
          <cell r="D16816" t="str">
            <v>MEM</v>
          </cell>
          <cell r="E16816" t="str">
            <v>80AD01220154F7E52E</v>
          </cell>
        </row>
        <row r="16817">
          <cell r="D16817" t="str">
            <v>MEM</v>
          </cell>
          <cell r="E16817" t="str">
            <v>80AD01220154F7E4D2</v>
          </cell>
        </row>
        <row r="16818">
          <cell r="D16818" t="str">
            <v>MEM</v>
          </cell>
          <cell r="E16818" t="str">
            <v>80AD01220154F7E54F</v>
          </cell>
        </row>
        <row r="16819">
          <cell r="D16819" t="str">
            <v>MEM</v>
          </cell>
          <cell r="E16819" t="str">
            <v>80AD01220154F7E5DE</v>
          </cell>
        </row>
        <row r="16820">
          <cell r="D16820" t="str">
            <v>MEM</v>
          </cell>
          <cell r="E16820" t="str">
            <v>80AD01220154F7E528</v>
          </cell>
        </row>
        <row r="16821">
          <cell r="D16821" t="str">
            <v>MEM</v>
          </cell>
          <cell r="E16821" t="str">
            <v>80AD01220154F7E530</v>
          </cell>
        </row>
        <row r="16822">
          <cell r="D16822" t="str">
            <v>MEM</v>
          </cell>
          <cell r="E16822" t="str">
            <v>80AD01220154F7E539</v>
          </cell>
        </row>
        <row r="16823">
          <cell r="D16823" t="str">
            <v>HDS</v>
          </cell>
          <cell r="E16823" t="str">
            <v>S487NA0R101543</v>
          </cell>
        </row>
        <row r="16824">
          <cell r="D16824" t="str">
            <v>HDS</v>
          </cell>
          <cell r="E16824" t="str">
            <v>S487NA0R101546</v>
          </cell>
        </row>
        <row r="16825">
          <cell r="D16825" t="str">
            <v>AOC</v>
          </cell>
          <cell r="E16825" t="str">
            <v>UA222S019117</v>
          </cell>
        </row>
        <row r="16826">
          <cell r="D16826" t="str">
            <v>AOC</v>
          </cell>
          <cell r="E16826" t="str">
            <v>OA21BS021964</v>
          </cell>
        </row>
        <row r="16827">
          <cell r="D16827" t="str">
            <v>SYS-510P-WT</v>
          </cell>
          <cell r="E16827" t="str">
            <v>A421466X2207077</v>
          </cell>
        </row>
        <row r="16828">
          <cell r="D16828" t="str">
            <v>CSE</v>
          </cell>
          <cell r="E16828" t="str">
            <v>C8150LK43P50082</v>
          </cell>
        </row>
        <row r="16829">
          <cell r="D16829" t="str">
            <v>PWS</v>
          </cell>
          <cell r="E16829" t="str">
            <v>P605A0L43G31001</v>
          </cell>
        </row>
        <row r="16830">
          <cell r="D16830" t="str">
            <v>BPN</v>
          </cell>
          <cell r="E16830" t="str">
            <v>HB21BS024025</v>
          </cell>
        </row>
        <row r="16831">
          <cell r="D16831" t="str">
            <v>MBD</v>
          </cell>
          <cell r="E16831" t="str">
            <v>OM21AS031851</v>
          </cell>
        </row>
        <row r="16832">
          <cell r="D16832" t="str">
            <v>RSC</v>
          </cell>
          <cell r="E16832" t="str">
            <v>ER218S012631</v>
          </cell>
        </row>
        <row r="16833">
          <cell r="D16833" t="str">
            <v>RSC</v>
          </cell>
          <cell r="E16833" t="str">
            <v>ER21AS008986</v>
          </cell>
        </row>
        <row r="16834">
          <cell r="D16834" t="str">
            <v>SYS-610C-TR</v>
          </cell>
          <cell r="E16834" t="str">
            <v>E423583X2603328</v>
          </cell>
        </row>
        <row r="16835">
          <cell r="D16835" t="str">
            <v>CSE</v>
          </cell>
          <cell r="E16835" t="str">
            <v>CLA15JK42AA0669</v>
          </cell>
        </row>
        <row r="16836">
          <cell r="D16836" t="str">
            <v>PWS</v>
          </cell>
          <cell r="E16836" t="str">
            <v>P8602CM22YB0629</v>
          </cell>
        </row>
        <row r="16837">
          <cell r="D16837" t="str">
            <v>PWS</v>
          </cell>
          <cell r="E16837" t="str">
            <v>P8602CM22YB0628</v>
          </cell>
        </row>
        <row r="16838">
          <cell r="D16838" t="str">
            <v>BPN</v>
          </cell>
          <cell r="E16838" t="str">
            <v>EB21BS023239</v>
          </cell>
        </row>
        <row r="16839">
          <cell r="D16839" t="str">
            <v>PDB</v>
          </cell>
          <cell r="E16839" t="str">
            <v>PT1162L15DB0626</v>
          </cell>
        </row>
        <row r="16840">
          <cell r="D16840" t="str">
            <v>MBD</v>
          </cell>
          <cell r="E16840" t="str">
            <v>OM21CS011090</v>
          </cell>
        </row>
        <row r="16841">
          <cell r="D16841" t="str">
            <v>RSC</v>
          </cell>
          <cell r="E16841" t="str">
            <v>ER217S032867</v>
          </cell>
        </row>
        <row r="16842">
          <cell r="D16842" t="str">
            <v>RSC</v>
          </cell>
          <cell r="E16842" t="str">
            <v>ER217S033380</v>
          </cell>
        </row>
        <row r="16843">
          <cell r="D16843" t="str">
            <v>CPU</v>
          </cell>
          <cell r="E16843" t="str">
            <v>41616PC701536</v>
          </cell>
        </row>
        <row r="16844">
          <cell r="D16844" t="str">
            <v>CPU</v>
          </cell>
          <cell r="E16844" t="str">
            <v>41616PC701561</v>
          </cell>
        </row>
        <row r="16845">
          <cell r="D16845" t="str">
            <v>MEM</v>
          </cell>
          <cell r="E16845" t="str">
            <v>S802C252130F2A49469</v>
          </cell>
        </row>
        <row r="16846">
          <cell r="D16846" t="str">
            <v>MEM</v>
          </cell>
          <cell r="E16846" t="str">
            <v>S802C252130F2A493C3</v>
          </cell>
        </row>
        <row r="16847">
          <cell r="D16847" t="str">
            <v>MEM</v>
          </cell>
          <cell r="E16847" t="str">
            <v>S802C252130F2A49004</v>
          </cell>
        </row>
        <row r="16848">
          <cell r="D16848" t="str">
            <v>MEM</v>
          </cell>
          <cell r="E16848" t="str">
            <v>S802C252130F2A49253</v>
          </cell>
        </row>
        <row r="16849">
          <cell r="D16849" t="str">
            <v>MEM</v>
          </cell>
          <cell r="E16849" t="str">
            <v>S802C252130F2A493CA</v>
          </cell>
        </row>
        <row r="16850">
          <cell r="D16850" t="str">
            <v>MEM</v>
          </cell>
          <cell r="E16850" t="str">
            <v>S802C252130F2A492E6</v>
          </cell>
        </row>
        <row r="16851">
          <cell r="D16851" t="str">
            <v>MEM</v>
          </cell>
          <cell r="E16851" t="str">
            <v>S802C252130F2A49454</v>
          </cell>
        </row>
        <row r="16852">
          <cell r="D16852" t="str">
            <v>MEM</v>
          </cell>
          <cell r="E16852" t="str">
            <v>S802C252130F2A4915A</v>
          </cell>
        </row>
        <row r="16853">
          <cell r="D16853" t="str">
            <v>AOC</v>
          </cell>
          <cell r="E16853" t="str">
            <v>UA222S019165</v>
          </cell>
        </row>
        <row r="16854">
          <cell r="D16854" t="str">
            <v>HDS</v>
          </cell>
          <cell r="E16854" t="str">
            <v>S456NC0T108728</v>
          </cell>
        </row>
        <row r="16855">
          <cell r="D16855" t="str">
            <v>HDS</v>
          </cell>
          <cell r="E16855" t="str">
            <v>S456NC0T108725</v>
          </cell>
        </row>
        <row r="16856">
          <cell r="D16856" t="str">
            <v>HDD</v>
          </cell>
          <cell r="E16856" t="str">
            <v>V3GA3WHL</v>
          </cell>
        </row>
        <row r="16857">
          <cell r="D16857" t="str">
            <v>HDD</v>
          </cell>
          <cell r="E16857" t="str">
            <v>V3GA45XL</v>
          </cell>
        </row>
        <row r="16858">
          <cell r="D16858" t="str">
            <v>AOC</v>
          </cell>
          <cell r="E16858" t="str">
            <v>OA21BS021966</v>
          </cell>
        </row>
        <row r="16859">
          <cell r="D16859" t="str">
            <v>SYS-610C-TR</v>
          </cell>
          <cell r="E16859" t="str">
            <v>E423583X2603327</v>
          </cell>
        </row>
        <row r="16860">
          <cell r="D16860" t="str">
            <v>CSE</v>
          </cell>
          <cell r="E16860" t="str">
            <v>CLA15JK42AA0678</v>
          </cell>
        </row>
        <row r="16861">
          <cell r="D16861" t="str">
            <v>PWS</v>
          </cell>
          <cell r="E16861" t="str">
            <v>P8602CM22YB0630</v>
          </cell>
        </row>
        <row r="16862">
          <cell r="D16862" t="str">
            <v>PWS</v>
          </cell>
          <cell r="E16862" t="str">
            <v>P8602CM22YB0627</v>
          </cell>
        </row>
        <row r="16863">
          <cell r="D16863" t="str">
            <v>BPN</v>
          </cell>
          <cell r="E16863" t="str">
            <v>EB21BS023238</v>
          </cell>
        </row>
        <row r="16864">
          <cell r="D16864" t="str">
            <v>PDB</v>
          </cell>
          <cell r="E16864" t="str">
            <v>PT1162L15DB0647</v>
          </cell>
        </row>
        <row r="16865">
          <cell r="D16865" t="str">
            <v>MBD</v>
          </cell>
          <cell r="E16865" t="str">
            <v>OM21CS011118</v>
          </cell>
        </row>
        <row r="16866">
          <cell r="D16866" t="str">
            <v>RSC</v>
          </cell>
          <cell r="E16866" t="str">
            <v>ER217S032879</v>
          </cell>
        </row>
        <row r="16867">
          <cell r="D16867" t="str">
            <v>RSC</v>
          </cell>
          <cell r="E16867" t="str">
            <v>ER217S033373</v>
          </cell>
        </row>
        <row r="16868">
          <cell r="D16868" t="str">
            <v>CPU</v>
          </cell>
          <cell r="E16868" t="str">
            <v>41616PC701385</v>
          </cell>
        </row>
        <row r="16869">
          <cell r="D16869" t="str">
            <v>CPU</v>
          </cell>
          <cell r="E16869" t="str">
            <v>41J02M4300292</v>
          </cell>
        </row>
        <row r="16870">
          <cell r="D16870" t="str">
            <v>MEM</v>
          </cell>
          <cell r="E16870" t="str">
            <v>S802C252130F2A493E9</v>
          </cell>
        </row>
        <row r="16871">
          <cell r="D16871" t="str">
            <v>MEM</v>
          </cell>
          <cell r="E16871" t="str">
            <v>S802C252130F2A4916B</v>
          </cell>
        </row>
        <row r="16872">
          <cell r="D16872" t="str">
            <v>MEM</v>
          </cell>
          <cell r="E16872" t="str">
            <v>S802C252130F2A493E8</v>
          </cell>
        </row>
        <row r="16873">
          <cell r="D16873" t="str">
            <v>MEM</v>
          </cell>
          <cell r="E16873" t="str">
            <v>S802C252130F2A493EC</v>
          </cell>
        </row>
        <row r="16874">
          <cell r="D16874" t="str">
            <v>MEM</v>
          </cell>
          <cell r="E16874" t="str">
            <v>S802C252130F2A49136</v>
          </cell>
        </row>
        <row r="16875">
          <cell r="D16875" t="str">
            <v>MEM</v>
          </cell>
          <cell r="E16875" t="str">
            <v>S802C252130F2A493E5</v>
          </cell>
        </row>
        <row r="16876">
          <cell r="D16876" t="str">
            <v>MEM</v>
          </cell>
          <cell r="E16876" t="str">
            <v>S802C252130F2A490F0</v>
          </cell>
        </row>
        <row r="16877">
          <cell r="D16877" t="str">
            <v>MEM</v>
          </cell>
          <cell r="E16877" t="str">
            <v>S802C252130F2A490F4</v>
          </cell>
        </row>
        <row r="16878">
          <cell r="D16878" t="str">
            <v>AOC</v>
          </cell>
          <cell r="E16878" t="str">
            <v>UA222S018895</v>
          </cell>
        </row>
        <row r="16879">
          <cell r="D16879" t="str">
            <v>HDD</v>
          </cell>
          <cell r="E16879" t="str">
            <v>VCKBGPWP</v>
          </cell>
        </row>
        <row r="16880">
          <cell r="D16880" t="str">
            <v>HDD</v>
          </cell>
          <cell r="E16880" t="str">
            <v>VCKBG8AP</v>
          </cell>
        </row>
        <row r="16881">
          <cell r="D16881" t="str">
            <v>AOC</v>
          </cell>
          <cell r="E16881" t="str">
            <v>OA21BS021956</v>
          </cell>
        </row>
        <row r="16882">
          <cell r="D16882" t="str">
            <v>AOM-TPM-9670V-S-O</v>
          </cell>
          <cell r="E16882" t="str">
            <v>VA21CS024037</v>
          </cell>
        </row>
        <row r="16883">
          <cell r="D16883" t="str">
            <v>HDS-A2000-MG04SCA20EE</v>
          </cell>
          <cell r="E16883" t="str">
            <v>6260A0A7FX2B</v>
          </cell>
        </row>
        <row r="16884">
          <cell r="D16884" t="str">
            <v>HDS-A2000-MG04SCA20EE</v>
          </cell>
          <cell r="E16884" t="str">
            <v>6260A0A8FX2B</v>
          </cell>
        </row>
        <row r="16885">
          <cell r="D16885" t="str">
            <v>HDS-A2000-MG04SCA20EE</v>
          </cell>
          <cell r="E16885" t="str">
            <v>6260A0A9FX2B</v>
          </cell>
        </row>
        <row r="16886">
          <cell r="D16886" t="str">
            <v>HDS-A2000-MG04SCA20EE</v>
          </cell>
          <cell r="E16886" t="str">
            <v>6260A0AAFX2B</v>
          </cell>
        </row>
        <row r="16887">
          <cell r="D16887" t="str">
            <v>HDS-A2000-MG04SCA20EE</v>
          </cell>
          <cell r="E16887" t="str">
            <v>6260A0AEFX2B</v>
          </cell>
        </row>
        <row r="16888">
          <cell r="D16888" t="str">
            <v>HDS-A2000-MG04SCA20EE</v>
          </cell>
          <cell r="E16888" t="str">
            <v>6260A0AHFX2B</v>
          </cell>
        </row>
        <row r="16889">
          <cell r="D16889" t="str">
            <v>HDS-A2000-MG04SCA20EE</v>
          </cell>
          <cell r="E16889" t="str">
            <v>6260A0AJFX2B</v>
          </cell>
        </row>
        <row r="16890">
          <cell r="D16890" t="str">
            <v>HDS-A2000-MG04SCA20EE</v>
          </cell>
          <cell r="E16890" t="str">
            <v>6260A0AKFX2B</v>
          </cell>
        </row>
        <row r="16891">
          <cell r="D16891" t="str">
            <v>HDS-A2000-MG04SCA20EE</v>
          </cell>
          <cell r="E16891" t="str">
            <v>6260A0ALFX2B</v>
          </cell>
        </row>
        <row r="16892">
          <cell r="D16892" t="str">
            <v>HDS-A2000-MG04SCA20EE</v>
          </cell>
          <cell r="E16892" t="str">
            <v>6260A0AMFX2B</v>
          </cell>
        </row>
        <row r="16893">
          <cell r="D16893" t="str">
            <v>HDS-A2000-MG04SCA20EE</v>
          </cell>
          <cell r="E16893" t="str">
            <v>6260A0ANFX2B</v>
          </cell>
        </row>
        <row r="16894">
          <cell r="D16894" t="str">
            <v>HDS-A2000-MG04SCA20EE</v>
          </cell>
          <cell r="E16894" t="str">
            <v>6260A0APFX2B</v>
          </cell>
        </row>
        <row r="16895">
          <cell r="D16895" t="str">
            <v>HDS-A2000-MG04SCA20EE</v>
          </cell>
          <cell r="E16895" t="str">
            <v>6260A0AQFX2B</v>
          </cell>
        </row>
        <row r="16896">
          <cell r="D16896" t="str">
            <v>HDS-A2000-MG04SCA20EE</v>
          </cell>
          <cell r="E16896" t="str">
            <v>6260A0ARFX2B</v>
          </cell>
        </row>
        <row r="16897">
          <cell r="D16897" t="str">
            <v>HDS-A2000-MG04SCA20EE</v>
          </cell>
          <cell r="E16897" t="str">
            <v>6260A0B7FX2B</v>
          </cell>
        </row>
        <row r="16898">
          <cell r="D16898" t="str">
            <v>HDS-A2000-MG04SCA20EE</v>
          </cell>
          <cell r="E16898" t="str">
            <v>6260A0BBFX2B</v>
          </cell>
        </row>
        <row r="16899">
          <cell r="D16899" t="str">
            <v>HDS-A2000-MG04SCA20EE</v>
          </cell>
          <cell r="E16899" t="str">
            <v>6260A0BHFX2B</v>
          </cell>
        </row>
        <row r="16900">
          <cell r="D16900" t="str">
            <v>HDS-A2000-MG04SCA20EE</v>
          </cell>
          <cell r="E16900" t="str">
            <v>6260A0BPFX2B</v>
          </cell>
        </row>
        <row r="16901">
          <cell r="D16901" t="str">
            <v>HDS-A2000-MG04SCA20EE</v>
          </cell>
          <cell r="E16901" t="str">
            <v>6260A0BQFX2B</v>
          </cell>
        </row>
        <row r="16902">
          <cell r="D16902" t="str">
            <v>HDS-A2000-MG04SCA20EE</v>
          </cell>
          <cell r="E16902" t="str">
            <v>6260A0CGFX2B</v>
          </cell>
        </row>
        <row r="16903">
          <cell r="D16903" t="str">
            <v>HDS-A2000-MG04SCA20EE</v>
          </cell>
          <cell r="E16903" t="str">
            <v>6270A03FFX2B</v>
          </cell>
        </row>
        <row r="16904">
          <cell r="D16904" t="str">
            <v>HDS-A2000-MG04SCA20EE</v>
          </cell>
          <cell r="E16904" t="str">
            <v>6270A020FX2B</v>
          </cell>
        </row>
        <row r="16905">
          <cell r="D16905" t="str">
            <v>HDS-A2000-MG04SCA20EE</v>
          </cell>
          <cell r="E16905" t="str">
            <v>3270A0JNFX2B</v>
          </cell>
        </row>
        <row r="16906">
          <cell r="D16906" t="str">
            <v>HDS-A2000-MG04SCA20EE</v>
          </cell>
          <cell r="E16906" t="str">
            <v>3270A0JMFX2B</v>
          </cell>
        </row>
        <row r="16907">
          <cell r="D16907" t="str">
            <v>HDS-A2000-MG04SCA20EE</v>
          </cell>
          <cell r="E16907" t="str">
            <v>6270A01GFX2B</v>
          </cell>
        </row>
        <row r="16908">
          <cell r="D16908" t="str">
            <v>HDS-A2000-MG04SCA20EE</v>
          </cell>
          <cell r="E16908" t="str">
            <v>6270A013FX2B</v>
          </cell>
        </row>
        <row r="16909">
          <cell r="D16909" t="str">
            <v>HDS-A2000-MG04SCA20EE</v>
          </cell>
          <cell r="E16909" t="str">
            <v>6270A017FX2B</v>
          </cell>
        </row>
        <row r="16910">
          <cell r="D16910" t="str">
            <v>HDS-A2000-MG04SCA20EE</v>
          </cell>
          <cell r="E16910" t="str">
            <v>6270A00XFX2B</v>
          </cell>
        </row>
        <row r="16911">
          <cell r="D16911" t="str">
            <v>HDS-A2000-MG04SCA20EE</v>
          </cell>
          <cell r="E16911" t="str">
            <v>6270A01EFX2B</v>
          </cell>
        </row>
        <row r="16912">
          <cell r="D16912" t="str">
            <v>HDS-A2000-MG04SCA20EE</v>
          </cell>
          <cell r="E16912" t="str">
            <v>3270A0JLFX2B</v>
          </cell>
        </row>
        <row r="16913">
          <cell r="D16913" t="str">
            <v>HDS-A2000-MG04SCA20EE</v>
          </cell>
          <cell r="E16913" t="str">
            <v>6270A021FX2B</v>
          </cell>
        </row>
        <row r="16914">
          <cell r="D16914" t="str">
            <v>HDS-A2000-MG04SCA20EE</v>
          </cell>
          <cell r="E16914" t="str">
            <v>3270A0HKFX2B</v>
          </cell>
        </row>
        <row r="16915">
          <cell r="D16915" t="str">
            <v>HDS-A2000-MG04SCA20EE</v>
          </cell>
          <cell r="E16915" t="str">
            <v>3270A0GAFX2B</v>
          </cell>
        </row>
        <row r="16916">
          <cell r="D16916" t="str">
            <v>HDS-A2000-MG04SCA20EE</v>
          </cell>
          <cell r="E16916" t="str">
            <v>3270A0JQFX2B</v>
          </cell>
        </row>
        <row r="16917">
          <cell r="D16917" t="str">
            <v>HDS-A2000-MG04SCA20EE</v>
          </cell>
          <cell r="E16917" t="str">
            <v>6270A014FX2B</v>
          </cell>
        </row>
        <row r="16918">
          <cell r="D16918" t="str">
            <v>HDS-A2000-MG04SCA20EE</v>
          </cell>
          <cell r="E16918" t="str">
            <v>6270A018FX2B</v>
          </cell>
        </row>
        <row r="16919">
          <cell r="D16919" t="str">
            <v>HDS-A2000-MG04SCA20EE</v>
          </cell>
          <cell r="E16919" t="str">
            <v>6270A01AFX2B</v>
          </cell>
        </row>
        <row r="16920">
          <cell r="D16920" t="str">
            <v>HDS-A2000-MG04SCA20EE</v>
          </cell>
          <cell r="E16920" t="str">
            <v>6270A015FX2B</v>
          </cell>
        </row>
        <row r="16921">
          <cell r="D16921" t="str">
            <v>HDS-A2000-MG04SCA20EE</v>
          </cell>
          <cell r="E16921" t="str">
            <v>6270A016FX2B</v>
          </cell>
        </row>
        <row r="16922">
          <cell r="D16922" t="str">
            <v>HDS-A2000-MG04SCA20EE</v>
          </cell>
          <cell r="E16922" t="str">
            <v>6270A012FX2B</v>
          </cell>
        </row>
        <row r="16923">
          <cell r="D16923" t="str">
            <v>HDS-A2000-MG04SCA20EE</v>
          </cell>
          <cell r="E16923" t="str">
            <v>6270A00NFX2B</v>
          </cell>
        </row>
        <row r="16924">
          <cell r="D16924" t="str">
            <v>HDS-A2000-MG04SCA20EE</v>
          </cell>
          <cell r="E16924" t="str">
            <v>6270A019FX2B</v>
          </cell>
        </row>
        <row r="16925">
          <cell r="D16925" t="str">
            <v>HDS-A2000-MG04SCA20EE</v>
          </cell>
          <cell r="E16925" t="str">
            <v>6270A00PFX2B</v>
          </cell>
        </row>
        <row r="16926">
          <cell r="D16926" t="str">
            <v>HDS-A2000-MG04SCA20EE</v>
          </cell>
          <cell r="E16926" t="str">
            <v>6270A00YFX2B</v>
          </cell>
        </row>
        <row r="16927">
          <cell r="D16927" t="str">
            <v>MZ7LH7T6HMLA-00005</v>
          </cell>
          <cell r="E16927" t="str">
            <v>S487NA0T201465</v>
          </cell>
        </row>
        <row r="16928">
          <cell r="D16928" t="str">
            <v>MZ7LH7T6HMLA-00005</v>
          </cell>
          <cell r="E16928" t="str">
            <v>S487NA0T201468</v>
          </cell>
        </row>
        <row r="16929">
          <cell r="D16929" t="str">
            <v>Kamera IP DS.-2CD1321-I</v>
          </cell>
          <cell r="E16929" t="str">
            <v>G00394220</v>
          </cell>
        </row>
        <row r="16930">
          <cell r="D16930" t="str">
            <v>Kamera IP DS.-2CD1321-I</v>
          </cell>
          <cell r="E16930" t="str">
            <v>G00394222</v>
          </cell>
        </row>
        <row r="16931">
          <cell r="D16931" t="str">
            <v>Kamera IP DS.-2CD1321-I</v>
          </cell>
          <cell r="E16931" t="str">
            <v>G00394192</v>
          </cell>
        </row>
        <row r="16932">
          <cell r="D16932" t="str">
            <v>Kamera IP DS.-2CD1321-I</v>
          </cell>
          <cell r="E16932" t="str">
            <v>G00394364</v>
          </cell>
        </row>
        <row r="16933">
          <cell r="D16933" t="str">
            <v>Kamera IP DS.-2CD1321-I</v>
          </cell>
          <cell r="E16933" t="str">
            <v>G00394159</v>
          </cell>
        </row>
        <row r="16934">
          <cell r="D16934" t="str">
            <v>MZWLJ3T8HBLS-00007</v>
          </cell>
          <cell r="E16934" t="str">
            <v>S4YPNC0T404727</v>
          </cell>
        </row>
        <row r="16935">
          <cell r="D16935" t="str">
            <v>MZWLJ3T8HBLS-00007</v>
          </cell>
          <cell r="E16935" t="str">
            <v>S4YPNC0T404720</v>
          </cell>
        </row>
        <row r="16936">
          <cell r="D16936" t="str">
            <v>MZWLJ3T8HBLS-00007</v>
          </cell>
          <cell r="E16936" t="str">
            <v>S4YPNC0T404728</v>
          </cell>
        </row>
        <row r="16937">
          <cell r="D16937" t="str">
            <v>MZWLJ3T8HBLS-00007</v>
          </cell>
          <cell r="E16937" t="str">
            <v>S4YPNC0T404721</v>
          </cell>
        </row>
        <row r="16938">
          <cell r="D16938" t="str">
            <v>0B36040</v>
          </cell>
          <cell r="E16938" t="str">
            <v>V3GAWRWG</v>
          </cell>
        </row>
        <row r="16939">
          <cell r="D16939" t="str">
            <v>0B36040</v>
          </cell>
          <cell r="E16939" t="str">
            <v>V3GA9JKG</v>
          </cell>
        </row>
        <row r="16940">
          <cell r="D16940" t="str">
            <v>0B36040</v>
          </cell>
          <cell r="E16940" t="str">
            <v>V3GAVAPG</v>
          </cell>
        </row>
        <row r="16941">
          <cell r="D16941" t="str">
            <v>0B36040</v>
          </cell>
          <cell r="E16941" t="str">
            <v>V3GAVUGG</v>
          </cell>
        </row>
        <row r="16942">
          <cell r="D16942" t="str">
            <v>0B36040</v>
          </cell>
          <cell r="E16942" t="str">
            <v>V3GAWE9G</v>
          </cell>
        </row>
        <row r="16943">
          <cell r="D16943" t="str">
            <v>0B36040</v>
          </cell>
          <cell r="E16943" t="str">
            <v>V3GAYL0G</v>
          </cell>
        </row>
        <row r="16944">
          <cell r="D16944" t="str">
            <v>0B36040</v>
          </cell>
          <cell r="E16944" t="str">
            <v>V3GAVGDG</v>
          </cell>
        </row>
        <row r="16945">
          <cell r="D16945" t="str">
            <v>0B36040</v>
          </cell>
          <cell r="E16945" t="str">
            <v>V3GAW4TG</v>
          </cell>
        </row>
        <row r="16946">
          <cell r="D16946" t="str">
            <v>0B36040</v>
          </cell>
          <cell r="E16946" t="str">
            <v>V3GA9LPG</v>
          </cell>
        </row>
        <row r="16947">
          <cell r="D16947" t="str">
            <v>0B36040</v>
          </cell>
          <cell r="E16947" t="str">
            <v>V3GAVB2G</v>
          </cell>
        </row>
        <row r="16948">
          <cell r="D16948" t="str">
            <v>0F30141</v>
          </cell>
          <cell r="E16948" t="str">
            <v>5QJRS1HB</v>
          </cell>
        </row>
        <row r="16949">
          <cell r="D16949" t="str">
            <v>0F30141</v>
          </cell>
          <cell r="E16949" t="str">
            <v>5QJS5XWB</v>
          </cell>
        </row>
        <row r="16950">
          <cell r="D16950" t="str">
            <v>0F30141</v>
          </cell>
          <cell r="E16950" t="str">
            <v>5QJRXWRB</v>
          </cell>
        </row>
        <row r="16951">
          <cell r="D16951" t="str">
            <v>0F30141</v>
          </cell>
          <cell r="E16951" t="str">
            <v>5QJS629B</v>
          </cell>
        </row>
        <row r="16952">
          <cell r="D16952" t="str">
            <v>BX806896330     Xeon Gold 6330</v>
          </cell>
          <cell r="E16952" t="str">
            <v>71RB707100279</v>
          </cell>
        </row>
        <row r="16953">
          <cell r="D16953" t="str">
            <v>BX806896330     Xeon Gold 6330</v>
          </cell>
          <cell r="E16953" t="str">
            <v>M1XB618900018</v>
          </cell>
        </row>
        <row r="16954">
          <cell r="D16954" t="str">
            <v>1U4LW-X470</v>
          </cell>
          <cell r="E16954" t="str">
            <v>F2S0R8000101</v>
          </cell>
          <cell r="K16954" t="str">
            <v>EAN 4710483936395</v>
          </cell>
        </row>
        <row r="16955">
          <cell r="D16955" t="str">
            <v>1U4LW-X470</v>
          </cell>
          <cell r="E16955" t="str">
            <v>F2S0R8000102</v>
          </cell>
        </row>
        <row r="16956">
          <cell r="D16956" t="str">
            <v>1U4LW-X470</v>
          </cell>
          <cell r="E16956" t="str">
            <v>F2S0R8000094</v>
          </cell>
        </row>
        <row r="16957">
          <cell r="D16957" t="str">
            <v>1U4LW-X470</v>
          </cell>
          <cell r="E16957" t="str">
            <v>F2S0R8000115</v>
          </cell>
        </row>
        <row r="16958">
          <cell r="D16958" t="str">
            <v>MZ-V8P2T0</v>
          </cell>
          <cell r="E16958" t="str">
            <v>S69ENF0R870485</v>
          </cell>
        </row>
        <row r="16959">
          <cell r="D16959" t="str">
            <v>MZ-V8P2T0</v>
          </cell>
          <cell r="E16959" t="str">
            <v>S69ENF0R870514</v>
          </cell>
        </row>
        <row r="16960">
          <cell r="D16960" t="str">
            <v>Xeon Silver 4216</v>
          </cell>
          <cell r="E16960" t="str">
            <v>311723C06847670ERFBB  M21M9U4600175</v>
          </cell>
        </row>
        <row r="16961">
          <cell r="D16961" t="str">
            <v>Xeon Silver 4216</v>
          </cell>
          <cell r="E16961" t="str">
            <v>31167BBC8A7780A1RFBB  M21M9U4600474</v>
          </cell>
        </row>
        <row r="16962">
          <cell r="D16962" t="str">
            <v>LSI00290   L5-25188-04</v>
          </cell>
          <cell r="E16962" t="str">
            <v>SPB5138206</v>
          </cell>
        </row>
        <row r="16963">
          <cell r="D16963" t="str">
            <v>M393A4K40EB3-CWE</v>
          </cell>
          <cell r="E16963" t="str">
            <v>SNL824</v>
          </cell>
          <cell r="K16963" t="str">
            <v>SO/2022/006264/A</v>
          </cell>
        </row>
        <row r="16964">
          <cell r="D16964" t="str">
            <v>M393A4K40EB3-CWE</v>
          </cell>
          <cell r="E16964" t="str">
            <v>SNL825</v>
          </cell>
          <cell r="K16964" t="str">
            <v>SO/2022/006264/A</v>
          </cell>
        </row>
        <row r="16965">
          <cell r="D16965" t="str">
            <v>M393A4K40EB3-CWE</v>
          </cell>
          <cell r="E16965" t="str">
            <v>SNL826</v>
          </cell>
          <cell r="K16965" t="str">
            <v>SO/2022/006264/A</v>
          </cell>
        </row>
        <row r="16966">
          <cell r="D16966" t="str">
            <v>M393A4K40EB3-CWE</v>
          </cell>
          <cell r="E16966" t="str">
            <v>SNL827</v>
          </cell>
          <cell r="K16966" t="str">
            <v>SO/2022/006264/A</v>
          </cell>
        </row>
        <row r="16967">
          <cell r="D16967" t="str">
            <v>AFM-700    2275400-R</v>
          </cell>
          <cell r="E16967" t="str">
            <v>S0C35EE00EC1</v>
          </cell>
        </row>
        <row r="16968">
          <cell r="D16968" t="str">
            <v>AFM-700    2275400-R</v>
          </cell>
          <cell r="E16968" t="str">
            <v>S0C35EE016D3</v>
          </cell>
        </row>
        <row r="16969">
          <cell r="D16969" t="str">
            <v>MZ7L3960HBLT-00A07</v>
          </cell>
          <cell r="E16969" t="str">
            <v>S6EKNE0T400707</v>
          </cell>
        </row>
        <row r="16970">
          <cell r="D16970" t="str">
            <v>MZ7L3960HBLT-00A07</v>
          </cell>
          <cell r="E16970" t="str">
            <v>S6EKNE0T300261</v>
          </cell>
        </row>
        <row r="16971">
          <cell r="D16971" t="str">
            <v>CSE-513BTQC-350B</v>
          </cell>
          <cell r="E16971" t="str">
            <v>C513BAK31A40010</v>
          </cell>
        </row>
        <row r="16972">
          <cell r="D16972" t="str">
            <v>CSE-513BTQC-350B</v>
          </cell>
          <cell r="E16972" t="str">
            <v>C513BAK31A40021</v>
          </cell>
        </row>
        <row r="16973">
          <cell r="D16973" t="str">
            <v>CSE-513BTQC-350B</v>
          </cell>
          <cell r="E16973" t="str">
            <v>C513BAK31A40017</v>
          </cell>
        </row>
        <row r="16974">
          <cell r="D16974" t="str">
            <v>CSE-513BTQC-350B</v>
          </cell>
          <cell r="E16974" t="str">
            <v>C513BAK31A40006</v>
          </cell>
        </row>
        <row r="16975">
          <cell r="D16975" t="str">
            <v>PSE-MLN7313P-0339 (AMD EPYC 7313P)</v>
          </cell>
          <cell r="E16975" t="str">
            <v>9KJ4812Q20076</v>
          </cell>
          <cell r="K16975" t="str">
            <v>podrapany</v>
          </cell>
        </row>
        <row r="16976">
          <cell r="D16976" t="str">
            <v>PSE-MLN7443P-0342 (AMD EPYC 7443P)</v>
          </cell>
          <cell r="E16976" t="str">
            <v>9LJ1710Q20132</v>
          </cell>
        </row>
        <row r="16977">
          <cell r="D16977" t="str">
            <v>MBD-C9Z490-PGW-O</v>
          </cell>
          <cell r="E16977" t="str">
            <v>ZM224S012533</v>
          </cell>
          <cell r="K16977" t="str">
            <v>EAN 672042409600</v>
          </cell>
        </row>
        <row r="16978">
          <cell r="D16978" t="str">
            <v>MBD-X11SCM-LN8F-O</v>
          </cell>
          <cell r="E16978" t="str">
            <v>ZM21CS020159</v>
          </cell>
        </row>
        <row r="16979">
          <cell r="D16979" t="str">
            <v>MBD-X11SCM-LN8F-O</v>
          </cell>
          <cell r="E16979" t="str">
            <v>ZM21CS020050</v>
          </cell>
        </row>
        <row r="16980">
          <cell r="D16980" t="str">
            <v>MBD-X11SCM-LN8F-O</v>
          </cell>
          <cell r="E16980" t="str">
            <v>ZM21CS020132</v>
          </cell>
        </row>
        <row r="16981">
          <cell r="D16981" t="str">
            <v>MBD-X11SCM-LN8F-O</v>
          </cell>
          <cell r="E16981" t="str">
            <v>ZM21CS020193</v>
          </cell>
        </row>
        <row r="16982">
          <cell r="D16982" t="str">
            <v>CD8069504343701 Xeon Silver 4214R</v>
          </cell>
          <cell r="E16982" t="str">
            <v>3221B228</v>
          </cell>
        </row>
        <row r="16983">
          <cell r="D16983" t="str">
            <v>CD8069504343701 Xeon Silver 4214R</v>
          </cell>
          <cell r="E16983" t="str">
            <v>3221B204</v>
          </cell>
        </row>
        <row r="16984">
          <cell r="D16984" t="str">
            <v>CD8069504343701 Xeon Silver 4214R</v>
          </cell>
          <cell r="E16984" t="str">
            <v>3221B204</v>
          </cell>
        </row>
        <row r="16985">
          <cell r="D16985" t="str">
            <v>CD8069504343701 Xeon Silver 4214R</v>
          </cell>
          <cell r="E16985" t="str">
            <v>3221B204</v>
          </cell>
        </row>
        <row r="16986">
          <cell r="D16986" t="str">
            <v>CD8069504343701 Xeon Silver 4214R</v>
          </cell>
          <cell r="E16986" t="str">
            <v>3221B204</v>
          </cell>
        </row>
        <row r="16987">
          <cell r="D16987" t="str">
            <v>CD8069504343701 Xeon Silver 4214R</v>
          </cell>
          <cell r="E16987" t="str">
            <v>3221B204</v>
          </cell>
        </row>
        <row r="16988">
          <cell r="D16988" t="str">
            <v>CD8069504343701 Xeon Silver 4214R</v>
          </cell>
          <cell r="E16988" t="str">
            <v>3221B204</v>
          </cell>
        </row>
        <row r="16989">
          <cell r="D16989" t="str">
            <v>CD8069504343701 Xeon Silver 4214R</v>
          </cell>
          <cell r="E16989" t="str">
            <v>3221B204</v>
          </cell>
        </row>
        <row r="16990">
          <cell r="D16990" t="str">
            <v>CD8069504343701 Xeon Silver 4214R</v>
          </cell>
          <cell r="E16990" t="str">
            <v>3221B204</v>
          </cell>
        </row>
        <row r="16991">
          <cell r="D16991" t="str">
            <v>CD8069504343701 Xeon Silver 4214R</v>
          </cell>
          <cell r="E16991" t="str">
            <v>3221B204</v>
          </cell>
        </row>
        <row r="16992">
          <cell r="D16992" t="str">
            <v>CD8069504343701 Xeon Silver 4214R</v>
          </cell>
          <cell r="E16992" t="str">
            <v>3221B204</v>
          </cell>
        </row>
        <row r="16993">
          <cell r="D16993" t="str">
            <v>CD8069504343701 Xeon Silver 4214R</v>
          </cell>
          <cell r="E16993" t="str">
            <v>3221B204</v>
          </cell>
        </row>
        <row r="16994">
          <cell r="D16994" t="str">
            <v>CD8069504343701 Xeon Silver 4214R</v>
          </cell>
          <cell r="E16994" t="str">
            <v>3220F326</v>
          </cell>
        </row>
        <row r="16995">
          <cell r="D16995" t="str">
            <v>CD8069504343701 Xeon Silver 4214R</v>
          </cell>
          <cell r="E16995" t="str">
            <v>3220F326</v>
          </cell>
        </row>
        <row r="16996">
          <cell r="D16996" t="str">
            <v>CD8069504343701 Xeon Silver 4214R</v>
          </cell>
          <cell r="E16996" t="str">
            <v>3220F326</v>
          </cell>
        </row>
        <row r="16997">
          <cell r="D16997" t="str">
            <v>CD8069504343701 Xeon Silver 4214R</v>
          </cell>
          <cell r="E16997" t="str">
            <v>3220F326</v>
          </cell>
        </row>
        <row r="16998">
          <cell r="D16998" t="str">
            <v>CD8069504343701 Xeon Silver 4214R</v>
          </cell>
          <cell r="E16998" t="str">
            <v>3220F326</v>
          </cell>
        </row>
        <row r="16999">
          <cell r="D16999" t="str">
            <v>CD8069504343701 Xeon Silver 4214R</v>
          </cell>
          <cell r="E16999" t="str">
            <v>3220F326</v>
          </cell>
        </row>
        <row r="17000">
          <cell r="D17000" t="str">
            <v>CD8069504343701 Xeon Silver 4214R</v>
          </cell>
          <cell r="E17000" t="str">
            <v>3220F326</v>
          </cell>
        </row>
        <row r="17001">
          <cell r="D17001" t="str">
            <v>CD8069504343701 Xeon Silver 4214R</v>
          </cell>
          <cell r="E17001" t="str">
            <v>3220F326</v>
          </cell>
        </row>
        <row r="17002">
          <cell r="D17002" t="str">
            <v>CD8069504343701 Xeon Silver 4214R</v>
          </cell>
          <cell r="E17002" t="str">
            <v>3220F326</v>
          </cell>
        </row>
        <row r="17003">
          <cell r="D17003" t="str">
            <v>CD8069504343701 Xeon Silver 4214R</v>
          </cell>
          <cell r="E17003" t="str">
            <v>3220F326</v>
          </cell>
        </row>
        <row r="17004">
          <cell r="D17004" t="str">
            <v>CD8069504343701 Xeon Silver 4214R</v>
          </cell>
          <cell r="E17004" t="str">
            <v>3220F326</v>
          </cell>
        </row>
        <row r="17005">
          <cell r="D17005" t="str">
            <v>CD8069504343701 Xeon Silver 4214R</v>
          </cell>
          <cell r="E17005" t="str">
            <v>3220F326</v>
          </cell>
        </row>
        <row r="17006">
          <cell r="D17006" t="str">
            <v>CD8069504343701 Xeon Silver 4214R</v>
          </cell>
          <cell r="E17006" t="str">
            <v>3220F326</v>
          </cell>
        </row>
        <row r="17007">
          <cell r="D17007" t="str">
            <v>CD8069504343701 Xeon Silver 4214R</v>
          </cell>
          <cell r="E17007" t="str">
            <v>3220F326</v>
          </cell>
        </row>
        <row r="17008">
          <cell r="D17008" t="str">
            <v>CD8069504343701 Xeon Silver 4214R</v>
          </cell>
          <cell r="E17008" t="str">
            <v>3220F326</v>
          </cell>
        </row>
        <row r="17009">
          <cell r="D17009" t="str">
            <v>CD8069504343701 Xeon Silver 4214R</v>
          </cell>
          <cell r="E17009" t="str">
            <v>3220F326</v>
          </cell>
        </row>
        <row r="17010">
          <cell r="D17010" t="str">
            <v>CD8069504343701 Xeon Silver 4214R</v>
          </cell>
          <cell r="E17010" t="str">
            <v>3220F326</v>
          </cell>
        </row>
        <row r="17011">
          <cell r="D17011" t="str">
            <v>CD8069504343701 Xeon Silver 4214R</v>
          </cell>
          <cell r="E17011" t="str">
            <v>3220F326</v>
          </cell>
        </row>
        <row r="17012">
          <cell r="D17012" t="str">
            <v>CD8069504343701 Xeon Silver 4214R</v>
          </cell>
          <cell r="E17012" t="str">
            <v>3220F326</v>
          </cell>
        </row>
        <row r="17013">
          <cell r="D17013" t="str">
            <v>CD8069504343701 Xeon Silver 4214R</v>
          </cell>
          <cell r="E17013" t="str">
            <v>3220F326</v>
          </cell>
        </row>
        <row r="17014">
          <cell r="D17014" t="str">
            <v>CD8069504343701 Xeon Silver 4214R</v>
          </cell>
          <cell r="E17014" t="str">
            <v>3220F326</v>
          </cell>
        </row>
        <row r="17015">
          <cell r="D17015" t="str">
            <v>CD8069504343701 Xeon Silver 4214R</v>
          </cell>
          <cell r="E17015" t="str">
            <v>3220F326</v>
          </cell>
        </row>
        <row r="17016">
          <cell r="D17016" t="str">
            <v>CD8069504343701 Xeon Silver 4214R</v>
          </cell>
          <cell r="E17016" t="str">
            <v>3220F326</v>
          </cell>
        </row>
        <row r="17017">
          <cell r="D17017" t="str">
            <v>CD8069504343701 Xeon Silver 4214R</v>
          </cell>
          <cell r="E17017" t="str">
            <v>3220F326</v>
          </cell>
        </row>
        <row r="17018">
          <cell r="D17018" t="str">
            <v>CD8069504343701 Xeon Silver 4214R</v>
          </cell>
          <cell r="E17018" t="str">
            <v>3220F326</v>
          </cell>
        </row>
        <row r="17019">
          <cell r="D17019" t="str">
            <v>CD8069504343701 Xeon Silver 4214R</v>
          </cell>
          <cell r="E17019" t="str">
            <v>3220F326</v>
          </cell>
        </row>
        <row r="17020">
          <cell r="D17020" t="str">
            <v>CD8069504343701 Xeon Silver 4214R</v>
          </cell>
          <cell r="E17020" t="str">
            <v>3220F326</v>
          </cell>
        </row>
        <row r="17021">
          <cell r="D17021" t="str">
            <v>CD8069504343701 Xeon Silver 4214R</v>
          </cell>
          <cell r="E17021" t="str">
            <v>3220F326</v>
          </cell>
        </row>
        <row r="17022">
          <cell r="D17022" t="str">
            <v>CD8068904572204  Xeon Gold 6348</v>
          </cell>
          <cell r="E17022" t="str">
            <v>J205H133</v>
          </cell>
        </row>
        <row r="17023">
          <cell r="D17023" t="str">
            <v>CD8068904572204  Xeon Gold 6348</v>
          </cell>
          <cell r="E17023" t="str">
            <v>J205H133</v>
          </cell>
        </row>
        <row r="17024">
          <cell r="D17024" t="str">
            <v>CD8068904572204  Xeon Gold 6348</v>
          </cell>
          <cell r="E17024" t="str">
            <v>B188CC0E8FB06531RKHP   72AL352501267</v>
          </cell>
        </row>
        <row r="17025">
          <cell r="D17025" t="str">
            <v>CD8068904572204  Xeon Gold 6348</v>
          </cell>
          <cell r="E17025" t="str">
            <v>B2B4CD0E49B6A824RKHP   72AL352501040</v>
          </cell>
        </row>
        <row r="17026">
          <cell r="D17026" t="str">
            <v>CD8068904572204  Xeon Gold 6348</v>
          </cell>
          <cell r="E17026" t="str">
            <v>B1CCA50EED89FF07RKHP   72AL352501060</v>
          </cell>
        </row>
        <row r="17027">
          <cell r="D17027" t="str">
            <v>CD8068904572204  Xeon Gold 6348</v>
          </cell>
          <cell r="E17027" t="str">
            <v>B1BA946D6DEE7B67RKHP   72AL352501258</v>
          </cell>
        </row>
        <row r="17028">
          <cell r="D17028" t="str">
            <v>2277600-R</v>
          </cell>
          <cell r="E17028" t="str">
            <v>S0A37G3019A8</v>
          </cell>
        </row>
        <row r="17029">
          <cell r="D17029" t="str">
            <v>0B35946</v>
          </cell>
          <cell r="E17029" t="str">
            <v>V9JYH1SL</v>
          </cell>
        </row>
        <row r="17030">
          <cell r="D17030" t="str">
            <v>0B35946</v>
          </cell>
          <cell r="E17030" t="str">
            <v>V9JYEYSL</v>
          </cell>
        </row>
        <row r="17031">
          <cell r="D17031" t="str">
            <v>0B35946</v>
          </cell>
          <cell r="E17031" t="str">
            <v>V9JYE58L</v>
          </cell>
        </row>
        <row r="17032">
          <cell r="D17032" t="str">
            <v>0B36040</v>
          </cell>
          <cell r="E17032" t="str">
            <v>V3GAYLTG</v>
          </cell>
        </row>
        <row r="17033">
          <cell r="D17033" t="str">
            <v>0B36040</v>
          </cell>
          <cell r="E17033" t="str">
            <v>V3GAUZPG</v>
          </cell>
        </row>
        <row r="17034">
          <cell r="D17034" t="str">
            <v>WD1005FBYZ-01YCBB3</v>
          </cell>
          <cell r="E17034" t="str">
            <v>WCC6M5DN48HT</v>
          </cell>
        </row>
        <row r="17035">
          <cell r="D17035" t="str">
            <v>WD1005FBYZ-01YCBB3</v>
          </cell>
          <cell r="E17035" t="str">
            <v>WCC6M5DN4CAF</v>
          </cell>
        </row>
        <row r="17036">
          <cell r="D17036" t="str">
            <v>1W10002</v>
          </cell>
          <cell r="E17036" t="str">
            <v>WMC6N0M0RDFD</v>
          </cell>
        </row>
        <row r="17037">
          <cell r="D17037" t="str">
            <v>1W10002</v>
          </cell>
          <cell r="E17037" t="str">
            <v>WMC6N0M17PYN</v>
          </cell>
        </row>
        <row r="17038">
          <cell r="D17038" t="str">
            <v>M393A2K40CB2-CTD</v>
          </cell>
          <cell r="E17038" t="str">
            <v>SNL828</v>
          </cell>
        </row>
        <row r="17039">
          <cell r="D17039" t="str">
            <v>M393A2K40CB2-CTD</v>
          </cell>
          <cell r="E17039" t="str">
            <v>SNL829</v>
          </cell>
        </row>
        <row r="17040">
          <cell r="D17040" t="str">
            <v>M393A2K40CB2-CTD</v>
          </cell>
          <cell r="E17040" t="str">
            <v>SNL830</v>
          </cell>
        </row>
        <row r="17041">
          <cell r="D17041" t="str">
            <v>M393A2K40CB2-CTD</v>
          </cell>
          <cell r="E17041" t="str">
            <v>SNL831</v>
          </cell>
        </row>
        <row r="17042">
          <cell r="D17042" t="str">
            <v>M393A2K40CB2-CTD</v>
          </cell>
          <cell r="E17042" t="str">
            <v>SNL832</v>
          </cell>
        </row>
        <row r="17043">
          <cell r="D17043" t="str">
            <v>Xeon Silver 4314</v>
          </cell>
          <cell r="E17043" t="str">
            <v>26A784BEEEE04A07RKXL    71QU326700958</v>
          </cell>
        </row>
        <row r="17044">
          <cell r="D17044" t="str">
            <v>Xeon Silver 4214R</v>
          </cell>
          <cell r="E17044" t="str">
            <v>32A360BE42E5F756RG1W   M2HN175901404</v>
          </cell>
        </row>
        <row r="17045">
          <cell r="D17045" t="str">
            <v>Xeon Silver 4214R</v>
          </cell>
          <cell r="E17045" t="str">
            <v>32A3B0BE410BE99ARG1W  M2HN175901439</v>
          </cell>
        </row>
        <row r="17046">
          <cell r="D17046" t="str">
            <v>CD8069504449200  Xeon Silver 4215R</v>
          </cell>
          <cell r="E17046" t="str">
            <v>1T3216D913</v>
          </cell>
        </row>
        <row r="17047">
          <cell r="D17047" t="str">
            <v>CD8069504449200  Xeon Silver 4215R</v>
          </cell>
          <cell r="E17047" t="str">
            <v>1T3216D913</v>
          </cell>
        </row>
        <row r="17048">
          <cell r="D17048" t="str">
            <v>CD8069504449200  Xeon Silver 4215R</v>
          </cell>
          <cell r="E17048" t="str">
            <v>1T3216D913</v>
          </cell>
        </row>
        <row r="17049">
          <cell r="D17049" t="str">
            <v>CD8069504449200  Xeon Silver 4215R</v>
          </cell>
          <cell r="E17049" t="str">
            <v>1T3216D913</v>
          </cell>
        </row>
        <row r="17050">
          <cell r="D17050" t="str">
            <v>CD8069504449200  Xeon Silver 4215R</v>
          </cell>
          <cell r="E17050" t="str">
            <v>1T3216D913</v>
          </cell>
        </row>
        <row r="17051">
          <cell r="D17051" t="str">
            <v>CD8069504449200  Xeon Silver 4215R</v>
          </cell>
          <cell r="E17051" t="str">
            <v>1T3216D913</v>
          </cell>
        </row>
        <row r="17052">
          <cell r="D17052" t="str">
            <v>CD8069504449200  Xeon Silver 4215R</v>
          </cell>
          <cell r="E17052" t="str">
            <v>1T3216D913</v>
          </cell>
        </row>
        <row r="17053">
          <cell r="D17053" t="str">
            <v>CD8069504449200  Xeon Silver 4215R</v>
          </cell>
          <cell r="E17053" t="str">
            <v>1T3216D913</v>
          </cell>
        </row>
        <row r="17054">
          <cell r="D17054" t="str">
            <v>CD8069504449200  Xeon Silver 4215R</v>
          </cell>
          <cell r="E17054" t="str">
            <v>1T3216D913</v>
          </cell>
        </row>
        <row r="17055">
          <cell r="D17055" t="str">
            <v>CD8069504449200  Xeon Silver 4215R</v>
          </cell>
          <cell r="E17055" t="str">
            <v>1T3216D913</v>
          </cell>
        </row>
        <row r="17056">
          <cell r="D17056" t="str">
            <v>CD8069504449200  Xeon Silver 4215R</v>
          </cell>
          <cell r="E17056" t="str">
            <v>1T3216D913</v>
          </cell>
        </row>
        <row r="17057">
          <cell r="D17057" t="str">
            <v>CD8069504449200  Xeon Silver 4215R</v>
          </cell>
          <cell r="E17057" t="str">
            <v>1T3216D913</v>
          </cell>
        </row>
        <row r="17058">
          <cell r="D17058" t="str">
            <v>CD8069504449200  Xeon Silver 4215R</v>
          </cell>
          <cell r="E17058" t="str">
            <v>1T3216D913</v>
          </cell>
        </row>
        <row r="17059">
          <cell r="D17059" t="str">
            <v>CD8069504449200  Xeon Silver 4215R</v>
          </cell>
          <cell r="E17059" t="str">
            <v>1T3216D913</v>
          </cell>
        </row>
        <row r="17060">
          <cell r="D17060" t="str">
            <v>CD8069504449200  Xeon Silver 4215R</v>
          </cell>
          <cell r="E17060" t="str">
            <v>1T3216D913</v>
          </cell>
        </row>
        <row r="17061">
          <cell r="D17061" t="str">
            <v>CD8069504449200  Xeon Silver 4215R</v>
          </cell>
          <cell r="E17061" t="str">
            <v>1T3216D869</v>
          </cell>
        </row>
        <row r="17062">
          <cell r="D17062" t="str">
            <v>CD8069504449200  Xeon Silver 4215R</v>
          </cell>
          <cell r="E17062" t="str">
            <v>1T3216D869</v>
          </cell>
        </row>
        <row r="17063">
          <cell r="D17063" t="str">
            <v>CD8069504449200  Xeon Silver 4215R</v>
          </cell>
          <cell r="E17063" t="str">
            <v>1T3216D869</v>
          </cell>
        </row>
        <row r="17064">
          <cell r="D17064" t="str">
            <v>CD8069504449200  Xeon Silver 4215R</v>
          </cell>
          <cell r="E17064" t="str">
            <v>1T3216D869</v>
          </cell>
        </row>
        <row r="17065">
          <cell r="D17065" t="str">
            <v>CD8069504449200  Xeon Silver 4215R</v>
          </cell>
          <cell r="E17065" t="str">
            <v>1T3216D869</v>
          </cell>
        </row>
        <row r="17066">
          <cell r="D17066" t="str">
            <v>CD8069504449200  Xeon Silver 4215R</v>
          </cell>
          <cell r="E17066" t="str">
            <v>1T3216D913</v>
          </cell>
        </row>
        <row r="17067">
          <cell r="D17067" t="str">
            <v>CD8069504449200  Xeon Silver 4215R</v>
          </cell>
          <cell r="E17067" t="str">
            <v>1T3216D913</v>
          </cell>
        </row>
        <row r="17068">
          <cell r="D17068" t="str">
            <v>CD8069504449200  Xeon Silver 4215R</v>
          </cell>
          <cell r="E17068" t="str">
            <v>1T3216D913</v>
          </cell>
        </row>
        <row r="17069">
          <cell r="D17069" t="str">
            <v>CD8069504449200  Xeon Silver 4215R</v>
          </cell>
          <cell r="E17069" t="str">
            <v>1T3216D913</v>
          </cell>
        </row>
        <row r="17070">
          <cell r="D17070" t="str">
            <v>CD8069504449200  Xeon Silver 4215R</v>
          </cell>
          <cell r="E17070" t="str">
            <v>1T3216D913</v>
          </cell>
        </row>
        <row r="17071">
          <cell r="D17071" t="str">
            <v>CD8069504449200  Xeon Silver 4215R</v>
          </cell>
          <cell r="E17071" t="str">
            <v>1T3216D869</v>
          </cell>
        </row>
        <row r="17072">
          <cell r="D17072" t="str">
            <v>CD8069504449200  Xeon Silver 4215R</v>
          </cell>
          <cell r="E17072" t="str">
            <v>1T3216D869</v>
          </cell>
        </row>
        <row r="17073">
          <cell r="D17073" t="str">
            <v>CD8069504449200  Xeon Silver 4215R</v>
          </cell>
          <cell r="E17073" t="str">
            <v>1T3216D869</v>
          </cell>
        </row>
        <row r="17074">
          <cell r="D17074" t="str">
            <v>CD8069504449200  Xeon Silver 4215R</v>
          </cell>
          <cell r="E17074" t="str">
            <v>1T3216D869</v>
          </cell>
        </row>
        <row r="17075">
          <cell r="D17075" t="str">
            <v>CD8069504449200  Xeon Silver 4215R</v>
          </cell>
          <cell r="E17075" t="str">
            <v>1T3216D869</v>
          </cell>
        </row>
        <row r="17076">
          <cell r="D17076" t="str">
            <v>CD8069504449200  Xeon Silver 4215R</v>
          </cell>
          <cell r="E17076" t="str">
            <v>1T3216D913</v>
          </cell>
        </row>
        <row r="17077">
          <cell r="D17077" t="str">
            <v>CD8069504449200  Xeon Silver 4215R</v>
          </cell>
          <cell r="E17077" t="str">
            <v>1T3216D913</v>
          </cell>
        </row>
        <row r="17078">
          <cell r="D17078" t="str">
            <v>CD8069504449200  Xeon Silver 4215R</v>
          </cell>
          <cell r="E17078" t="str">
            <v>1T3216D913</v>
          </cell>
        </row>
        <row r="17079">
          <cell r="D17079" t="str">
            <v>CD8069504449200  Xeon Silver 4215R</v>
          </cell>
          <cell r="E17079" t="str">
            <v>1T3216D913</v>
          </cell>
        </row>
        <row r="17080">
          <cell r="D17080" t="str">
            <v>CD8069504449200  Xeon Silver 4215R</v>
          </cell>
          <cell r="E17080" t="str">
            <v>1T3216D913</v>
          </cell>
        </row>
        <row r="17081">
          <cell r="D17081" t="str">
            <v>CD8069504449200  Xeon Silver 4215R</v>
          </cell>
          <cell r="E17081" t="str">
            <v>1T3216D869</v>
          </cell>
        </row>
        <row r="17082">
          <cell r="D17082" t="str">
            <v>CD8069504449200  Xeon Silver 4215R</v>
          </cell>
          <cell r="E17082" t="str">
            <v>1T3216D869</v>
          </cell>
        </row>
        <row r="17083">
          <cell r="D17083" t="str">
            <v>CD8069504449200  Xeon Silver 4215R</v>
          </cell>
          <cell r="E17083" t="str">
            <v>1T3216D869</v>
          </cell>
        </row>
        <row r="17084">
          <cell r="D17084" t="str">
            <v>CD8069504449200  Xeon Silver 4215R</v>
          </cell>
          <cell r="E17084" t="str">
            <v>1T3216D869</v>
          </cell>
        </row>
        <row r="17085">
          <cell r="D17085" t="str">
            <v>CD8069504449200  Xeon Silver 4215R</v>
          </cell>
          <cell r="E17085" t="str">
            <v>1T3216D869</v>
          </cell>
        </row>
        <row r="17086">
          <cell r="D17086" t="str">
            <v>CD8069504449200  Xeon Silver 4215R</v>
          </cell>
          <cell r="E17086" t="str">
            <v>1T3216D869</v>
          </cell>
        </row>
        <row r="17087">
          <cell r="D17087" t="str">
            <v>CD8069504449200  Xeon Silver 4215R</v>
          </cell>
          <cell r="E17087" t="str">
            <v>1T3216D869</v>
          </cell>
        </row>
        <row r="17088">
          <cell r="D17088" t="str">
            <v>CD8069504449200  Xeon Silver 4215R</v>
          </cell>
          <cell r="E17088" t="str">
            <v>1T3216D869</v>
          </cell>
        </row>
        <row r="17089">
          <cell r="D17089" t="str">
            <v>CD8069504449200  Xeon Silver 4215R</v>
          </cell>
          <cell r="E17089" t="str">
            <v>1T3216D869</v>
          </cell>
        </row>
        <row r="17090">
          <cell r="D17090" t="str">
            <v>CD8069504449200  Xeon Silver 4215R</v>
          </cell>
          <cell r="E17090" t="str">
            <v>1T3216D869</v>
          </cell>
        </row>
        <row r="17091">
          <cell r="D17091" t="str">
            <v>CD8069504449200  Xeon Silver 4215R</v>
          </cell>
          <cell r="E17091" t="str">
            <v>1T3216D869</v>
          </cell>
        </row>
        <row r="17092">
          <cell r="D17092" t="str">
            <v>CD8069504449200  Xeon Silver 4215R</v>
          </cell>
          <cell r="E17092" t="str">
            <v>1T3216D869</v>
          </cell>
        </row>
        <row r="17093">
          <cell r="D17093" t="str">
            <v>CD8069504449200  Xeon Silver 4215R</v>
          </cell>
          <cell r="E17093" t="str">
            <v>1T3216D869</v>
          </cell>
        </row>
        <row r="17094">
          <cell r="D17094" t="str">
            <v>CD8069504449200  Xeon Silver 4215R</v>
          </cell>
          <cell r="E17094" t="str">
            <v>1T3216D869</v>
          </cell>
        </row>
        <row r="17095">
          <cell r="D17095" t="str">
            <v>CD8069504449200  Xeon Silver 4215R</v>
          </cell>
          <cell r="E17095" t="str">
            <v>1T3216D869</v>
          </cell>
        </row>
        <row r="17096">
          <cell r="D17096" t="str">
            <v>CD8069504449200  Xeon Silver 4215R</v>
          </cell>
          <cell r="E17096" t="str">
            <v>1T3216D913</v>
          </cell>
        </row>
        <row r="17097">
          <cell r="D17097" t="str">
            <v>CD8069504449200  Xeon Silver 4215R</v>
          </cell>
          <cell r="E17097" t="str">
            <v>1T3216D913</v>
          </cell>
        </row>
        <row r="17098">
          <cell r="D17098" t="str">
            <v>CD8069504449200  Xeon Silver 4215R</v>
          </cell>
          <cell r="E17098" t="str">
            <v>1T3216D913</v>
          </cell>
        </row>
        <row r="17099">
          <cell r="D17099" t="str">
            <v>CD8069504449200  Xeon Silver 4215R</v>
          </cell>
          <cell r="E17099" t="str">
            <v>1T3216D913</v>
          </cell>
        </row>
        <row r="17100">
          <cell r="D17100" t="str">
            <v>CD8069504449200  Xeon Silver 4215R</v>
          </cell>
          <cell r="E17100" t="str">
            <v>1T3216D913</v>
          </cell>
        </row>
        <row r="17101">
          <cell r="D17101" t="str">
            <v>CD8069504449200  Xeon Silver 4215R</v>
          </cell>
          <cell r="E17101" t="str">
            <v>1T3216D913</v>
          </cell>
        </row>
        <row r="17102">
          <cell r="D17102" t="str">
            <v>CD8069504449200  Xeon Silver 4215R</v>
          </cell>
          <cell r="E17102" t="str">
            <v>1T3216D913</v>
          </cell>
        </row>
        <row r="17103">
          <cell r="D17103" t="str">
            <v>CD8069504449200  Xeon Silver 4215R</v>
          </cell>
          <cell r="E17103" t="str">
            <v>1T3216D913</v>
          </cell>
        </row>
        <row r="17104">
          <cell r="D17104" t="str">
            <v>MZ7L31T9HBLT-00A07</v>
          </cell>
          <cell r="E17104" t="str">
            <v>S6ESNE0T307980</v>
          </cell>
        </row>
        <row r="17105">
          <cell r="D17105" t="str">
            <v>MZ7L31T9HBLT-00A07</v>
          </cell>
          <cell r="E17105" t="str">
            <v>S6ESNE0T308143</v>
          </cell>
        </row>
        <row r="17106">
          <cell r="D17106" t="str">
            <v>X710DA4FH</v>
          </cell>
          <cell r="E17106" t="str">
            <v>40A6B79507780081322ADJ11365005</v>
          </cell>
        </row>
        <row r="17107">
          <cell r="D17107" t="str">
            <v>X710DA4FH</v>
          </cell>
          <cell r="E17107" t="str">
            <v>40A6B79507680081322ADJ11365005</v>
          </cell>
        </row>
        <row r="17108">
          <cell r="D17108" t="str">
            <v>X710DA4FH</v>
          </cell>
          <cell r="E17108" t="str">
            <v>40A6B79506780081322ADJ11365005</v>
          </cell>
        </row>
        <row r="17109">
          <cell r="D17109" t="str">
            <v>Xeon Silver 4214R</v>
          </cell>
          <cell r="E17109" t="str">
            <v>2072F0BEAE3B068FRG1W  M1KR749801234</v>
          </cell>
        </row>
        <row r="17110">
          <cell r="D17110" t="str">
            <v>RSC-RR1U-E16</v>
          </cell>
          <cell r="E17110" t="str">
            <v>VR221S000661</v>
          </cell>
          <cell r="K17110" t="str">
            <v>SO/2022/006264/A</v>
          </cell>
        </row>
        <row r="17111">
          <cell r="D17111" t="str">
            <v>MZ-V82T0BW</v>
          </cell>
          <cell r="E17111" t="str">
            <v>S69ENF0R813029</v>
          </cell>
        </row>
        <row r="17112">
          <cell r="D17112" t="str">
            <v>MZ-V82T0BW</v>
          </cell>
          <cell r="E17112" t="str">
            <v>S69ENF0R813001</v>
          </cell>
        </row>
        <row r="17113">
          <cell r="D17113" t="str">
            <v>MZ-V82T0BW</v>
          </cell>
          <cell r="E17113" t="str">
            <v>S69ENF0R813017</v>
          </cell>
        </row>
        <row r="17114">
          <cell r="D17114" t="str">
            <v>MZ-V82T0BW</v>
          </cell>
          <cell r="E17114" t="str">
            <v>S69ENF0R813003</v>
          </cell>
        </row>
        <row r="17115">
          <cell r="D17115" t="str">
            <v>0F30141</v>
          </cell>
          <cell r="E17115" t="str">
            <v>5QJS64VB</v>
          </cell>
        </row>
        <row r="17116">
          <cell r="D17116" t="str">
            <v>0F30141</v>
          </cell>
          <cell r="E17116" t="str">
            <v>5QJRY5LB</v>
          </cell>
        </row>
        <row r="17117">
          <cell r="D17117" t="str">
            <v>0F30144</v>
          </cell>
          <cell r="E17117" t="str">
            <v>5QJTX5PB</v>
          </cell>
        </row>
        <row r="17118">
          <cell r="D17118" t="str">
            <v>0F30144</v>
          </cell>
          <cell r="E17118" t="str">
            <v>5QJU51SB</v>
          </cell>
        </row>
        <row r="17119">
          <cell r="D17119" t="str">
            <v>0F30144</v>
          </cell>
          <cell r="E17119" t="str">
            <v>5QJU2XXB</v>
          </cell>
        </row>
        <row r="17120">
          <cell r="D17120" t="str">
            <v>0F30144</v>
          </cell>
          <cell r="E17120" t="str">
            <v>5QJU1BSB</v>
          </cell>
        </row>
        <row r="17121">
          <cell r="D17121" t="str">
            <v>MZ-77Q2T0BW</v>
          </cell>
          <cell r="E17121" t="str">
            <v>S5RPNF0T316894</v>
          </cell>
        </row>
        <row r="17122">
          <cell r="D17122" t="str">
            <v>MZ-77Q2T0BW</v>
          </cell>
          <cell r="E17122" t="str">
            <v>S5RPNF0T316896</v>
          </cell>
        </row>
        <row r="17123">
          <cell r="D17123" t="str">
            <v>MZ7LH1T9HMLT-00005</v>
          </cell>
          <cell r="E17123" t="str">
            <v>S455NC0T321364</v>
          </cell>
        </row>
        <row r="17124">
          <cell r="D17124" t="str">
            <v>MZ7LH1T9HMLT-00005</v>
          </cell>
          <cell r="E17124" t="str">
            <v>S455NC0T321365</v>
          </cell>
        </row>
        <row r="17125">
          <cell r="D17125" t="str">
            <v>MZ7LH1T9HMLT-00005</v>
          </cell>
          <cell r="E17125" t="str">
            <v>S455NC0T321366</v>
          </cell>
        </row>
        <row r="17126">
          <cell r="D17126" t="str">
            <v>MZ7LH1T9HMLT-00005</v>
          </cell>
          <cell r="E17126" t="str">
            <v>S455NC0T321369</v>
          </cell>
        </row>
        <row r="17127">
          <cell r="D17127" t="str">
            <v>MZ7LH1T9HMLT-00005</v>
          </cell>
          <cell r="E17127" t="str">
            <v>S455NC0T321368</v>
          </cell>
        </row>
        <row r="17128">
          <cell r="D17128" t="str">
            <v>MZ7LH1T9HMLT-00005</v>
          </cell>
          <cell r="E17128" t="str">
            <v>S455NC0T321367</v>
          </cell>
        </row>
        <row r="17129">
          <cell r="D17129" t="str">
            <v>MZ7LH1T9HMLT-00005</v>
          </cell>
          <cell r="E17129" t="str">
            <v>S455NC0T321370</v>
          </cell>
        </row>
        <row r="17130">
          <cell r="D17130" t="str">
            <v>MZ7LH1T9HMLT-00005</v>
          </cell>
          <cell r="E17130" t="str">
            <v>S455NC0T321376</v>
          </cell>
        </row>
        <row r="17131">
          <cell r="D17131" t="str">
            <v>MZ7LH1T9HMLT-00005</v>
          </cell>
          <cell r="E17131" t="str">
            <v>S455NC0T321377</v>
          </cell>
        </row>
        <row r="17132">
          <cell r="D17132" t="str">
            <v>MZ7LH1T9HMLT-00005</v>
          </cell>
          <cell r="E17132" t="str">
            <v>S455NC0T321380</v>
          </cell>
        </row>
        <row r="17133">
          <cell r="D17133" t="str">
            <v>MZ7LH1T9HMLT-00005</v>
          </cell>
          <cell r="E17133" t="str">
            <v>S455NC0T321379</v>
          </cell>
        </row>
        <row r="17134">
          <cell r="D17134" t="str">
            <v>MZ7LH1T9HMLT-00005</v>
          </cell>
          <cell r="E17134" t="str">
            <v>S455NC0T321378</v>
          </cell>
        </row>
        <row r="17135">
          <cell r="D17135" t="str">
            <v>MZ7LH1T9HMLT-00005</v>
          </cell>
          <cell r="E17135" t="str">
            <v>S455NC0T321382</v>
          </cell>
        </row>
        <row r="17136">
          <cell r="D17136" t="str">
            <v>MZ7LH1T9HMLT-00005</v>
          </cell>
          <cell r="E17136" t="str">
            <v>S455NC0T321383</v>
          </cell>
        </row>
        <row r="17137">
          <cell r="D17137" t="str">
            <v>MZ7LH1T9HMLT-00005</v>
          </cell>
          <cell r="E17137" t="str">
            <v>S455NC0T321384</v>
          </cell>
        </row>
        <row r="17138">
          <cell r="D17138" t="str">
            <v>MZ7LH1T9HMLT-00005</v>
          </cell>
          <cell r="E17138" t="str">
            <v>S455NC0T321397</v>
          </cell>
        </row>
        <row r="17139">
          <cell r="D17139" t="str">
            <v>MZ7LH1T9HMLT-00005</v>
          </cell>
          <cell r="E17139" t="str">
            <v>S455NC0T321396</v>
          </cell>
        </row>
        <row r="17140">
          <cell r="D17140" t="str">
            <v>MZ7LH1T9HMLT-00005</v>
          </cell>
          <cell r="E17140" t="str">
            <v>S455NC0T321385</v>
          </cell>
        </row>
        <row r="17141">
          <cell r="D17141" t="str">
            <v>MZ7LH1T9HMLT-00005</v>
          </cell>
          <cell r="E17141" t="str">
            <v>S455NC0T321398</v>
          </cell>
        </row>
        <row r="17142">
          <cell r="D17142" t="str">
            <v>MZ7LH1T9HMLT-00005</v>
          </cell>
          <cell r="E17142" t="str">
            <v>S455NC0T321399</v>
          </cell>
        </row>
        <row r="17143">
          <cell r="D17143" t="str">
            <v>MZ7LH1T9HMLT-00005</v>
          </cell>
          <cell r="E17143" t="str">
            <v>S455NC0T321400</v>
          </cell>
        </row>
        <row r="17144">
          <cell r="D17144" t="str">
            <v>MZ7LH1T9HMLT-00005</v>
          </cell>
          <cell r="E17144" t="str">
            <v>S455NC0T321408</v>
          </cell>
        </row>
        <row r="17145">
          <cell r="D17145" t="str">
            <v>MZ7LH1T9HMLT-00005</v>
          </cell>
          <cell r="E17145" t="str">
            <v>S455NC0T321407</v>
          </cell>
        </row>
        <row r="17146">
          <cell r="D17146" t="str">
            <v>MZ7LH1T9HMLT-00005</v>
          </cell>
          <cell r="E17146" t="str">
            <v>S455NC0T321406</v>
          </cell>
        </row>
        <row r="17147">
          <cell r="D17147" t="str">
            <v>MZ7LH1T9HMLT-00005</v>
          </cell>
          <cell r="E17147" t="str">
            <v>S455NC0T323474</v>
          </cell>
        </row>
        <row r="17148">
          <cell r="D17148" t="str">
            <v>MZ7LH1T9HMLT-00005</v>
          </cell>
          <cell r="E17148" t="str">
            <v>S455NC0T323734</v>
          </cell>
        </row>
        <row r="17149">
          <cell r="D17149" t="str">
            <v>MZ7LH1T9HMLT-00005</v>
          </cell>
          <cell r="E17149" t="str">
            <v>S455NC0T321887</v>
          </cell>
        </row>
        <row r="17150">
          <cell r="D17150" t="str">
            <v>MZ7LH1T9HMLT-00005</v>
          </cell>
          <cell r="E17150" t="str">
            <v>S455NC0T321319</v>
          </cell>
        </row>
        <row r="17151">
          <cell r="D17151" t="str">
            <v>MZ7LH1T9HMLT-00005</v>
          </cell>
          <cell r="E17151" t="str">
            <v>S455NC0T323699</v>
          </cell>
        </row>
        <row r="17152">
          <cell r="D17152" t="str">
            <v>MZ7LH1T9HMLT-00005</v>
          </cell>
          <cell r="E17152" t="str">
            <v>S455NC0T323469</v>
          </cell>
        </row>
        <row r="17153">
          <cell r="D17153" t="str">
            <v>SSDSC2KB960G801</v>
          </cell>
          <cell r="E17153" t="str">
            <v>BTYF209302NH960CGN</v>
          </cell>
        </row>
        <row r="17154">
          <cell r="D17154" t="str">
            <v>SSDSC2KB960G801</v>
          </cell>
          <cell r="E17154" t="str">
            <v>BTYF209303QM960CGN</v>
          </cell>
        </row>
        <row r="17155">
          <cell r="D17155" t="str">
            <v>SSDSC2KB960G801</v>
          </cell>
          <cell r="E17155" t="str">
            <v>BTYF209302MY960CGN</v>
          </cell>
        </row>
        <row r="17156">
          <cell r="D17156" t="str">
            <v>SSDSC2KB960G801</v>
          </cell>
          <cell r="E17156" t="str">
            <v>BTYF209302M3960CGN</v>
          </cell>
        </row>
        <row r="17157">
          <cell r="D17157" t="str">
            <v>SSDSC2KB960G801</v>
          </cell>
          <cell r="E17157" t="str">
            <v>BTYF209303R3960CGN</v>
          </cell>
        </row>
        <row r="17158">
          <cell r="D17158" t="str">
            <v>SSDSC2KB960G801</v>
          </cell>
          <cell r="E17158" t="str">
            <v>PHYF2015001C960CGN</v>
          </cell>
        </row>
        <row r="17159">
          <cell r="D17159" t="str">
            <v>HDS-SMN1-MZ1LB3T8HMLA07</v>
          </cell>
          <cell r="E17159" t="str">
            <v>S46FNC0R603172</v>
          </cell>
        </row>
        <row r="17160">
          <cell r="D17160" t="str">
            <v>HDS-SMN1-MZ1LB3T8HMLA07</v>
          </cell>
          <cell r="E17160" t="str">
            <v>S46FNC0R603177</v>
          </cell>
        </row>
        <row r="17161">
          <cell r="D17161" t="str">
            <v>HDS-SMN1-MZ1LB3T8HMLA07</v>
          </cell>
          <cell r="E17161" t="str">
            <v>S46FNC0R603185</v>
          </cell>
        </row>
        <row r="17162">
          <cell r="D17162" t="str">
            <v>HDS-SMN1-MZ1LB3T8HMLA07</v>
          </cell>
          <cell r="E17162" t="str">
            <v>S46FNC0R603178</v>
          </cell>
        </row>
        <row r="17163">
          <cell r="D17163" t="str">
            <v>P4X-ICX4309Y-SRKXS</v>
          </cell>
          <cell r="E17163" t="str">
            <v>710V2E7400287</v>
          </cell>
        </row>
        <row r="17164">
          <cell r="D17164" t="str">
            <v>PSE-ROM740P-0048</v>
          </cell>
          <cell r="E17164" t="str">
            <v>9KI3196P20036</v>
          </cell>
          <cell r="K17164" t="str">
            <v>SO/2022/006264/A</v>
          </cell>
        </row>
        <row r="17165">
          <cell r="D17165" t="str">
            <v>MBD-H12SSL-C-O</v>
          </cell>
          <cell r="E17165" t="str">
            <v>WM214S604468</v>
          </cell>
          <cell r="K17165" t="str">
            <v>SO/2022/006264/A</v>
          </cell>
        </row>
        <row r="17166">
          <cell r="D17166" t="str">
            <v>MEM-DR564L-HL01-ER48</v>
          </cell>
          <cell r="E17166" t="str">
            <v>80AD01220295C7E079</v>
          </cell>
        </row>
        <row r="17167">
          <cell r="D17167" t="str">
            <v>MEM-DR564L-HL01-ER48</v>
          </cell>
          <cell r="E17167" t="str">
            <v>80AD01220295C7E070</v>
          </cell>
        </row>
        <row r="17168">
          <cell r="D17168" t="str">
            <v>MEM-DR564L-HL01-ER48</v>
          </cell>
          <cell r="E17168" t="str">
            <v>80AD01220295C7E045</v>
          </cell>
        </row>
        <row r="17169">
          <cell r="D17169" t="str">
            <v>MEM-DR564L-HL01-ER48</v>
          </cell>
          <cell r="E17169" t="str">
            <v>80AD01220295C7E067</v>
          </cell>
        </row>
        <row r="17170">
          <cell r="D17170" t="str">
            <v>MEM-DR564L-HL01-ER48</v>
          </cell>
          <cell r="E17170" t="str">
            <v>80AD01220295C7E0A0</v>
          </cell>
        </row>
        <row r="17171">
          <cell r="D17171" t="str">
            <v>MEM-DR564L-HL01-ER48</v>
          </cell>
          <cell r="E17171" t="str">
            <v>80AD01220295C7E06F</v>
          </cell>
        </row>
        <row r="17172">
          <cell r="D17172" t="str">
            <v>MEM-DR564L-HL01-ER48</v>
          </cell>
          <cell r="E17172" t="str">
            <v>80AD01220295C7E046</v>
          </cell>
        </row>
        <row r="17173">
          <cell r="D17173" t="str">
            <v>MEM-DR564L-HL01-ER48</v>
          </cell>
          <cell r="E17173" t="str">
            <v>80AD01220295C7E078</v>
          </cell>
        </row>
        <row r="17174">
          <cell r="D17174" t="str">
            <v>MEM-DR564L-HL01-ER48</v>
          </cell>
          <cell r="E17174" t="str">
            <v>80AD01220295C7E080</v>
          </cell>
        </row>
        <row r="17175">
          <cell r="D17175" t="str">
            <v>MEM-DR564L-HL01-ER48</v>
          </cell>
          <cell r="E17175" t="str">
            <v>80AD01220295C7E075</v>
          </cell>
        </row>
        <row r="17176">
          <cell r="D17176" t="str">
            <v>MEM-DR564L-HL01-ER48</v>
          </cell>
          <cell r="E17176" t="str">
            <v>80AD01220295C7E090</v>
          </cell>
        </row>
        <row r="17177">
          <cell r="D17177" t="str">
            <v>MEM-DR564L-HL01-ER48</v>
          </cell>
          <cell r="E17177" t="str">
            <v>80AD01220295C7E059</v>
          </cell>
        </row>
        <row r="17178">
          <cell r="D17178" t="str">
            <v>MEM-DR564L-HL01-ER48</v>
          </cell>
          <cell r="E17178" t="str">
            <v>80AD01220295C7E08D</v>
          </cell>
        </row>
        <row r="17179">
          <cell r="D17179" t="str">
            <v>MEM-DR564L-HL01-ER48</v>
          </cell>
          <cell r="E17179" t="str">
            <v>80AD01220295C7E052</v>
          </cell>
        </row>
        <row r="17180">
          <cell r="D17180" t="str">
            <v>MEM-DR564L-HL01-ER48</v>
          </cell>
          <cell r="E17180" t="str">
            <v>80AD01220295C7E0B6</v>
          </cell>
        </row>
        <row r="17181">
          <cell r="D17181" t="str">
            <v>MEM-DR564L-HL01-ER48</v>
          </cell>
          <cell r="E17181" t="str">
            <v>80AD01220295C7E0A2</v>
          </cell>
        </row>
        <row r="17182">
          <cell r="D17182" t="str">
            <v>MEM-DR564L-HL01-ER48</v>
          </cell>
          <cell r="E17182" t="str">
            <v>80AD01220295C7E082</v>
          </cell>
        </row>
        <row r="17183">
          <cell r="D17183" t="str">
            <v>MEM-DR564L-HL01-ER48</v>
          </cell>
          <cell r="E17183" t="str">
            <v>80AD01220295C7E05C</v>
          </cell>
        </row>
        <row r="17184">
          <cell r="D17184" t="str">
            <v>MEM-DR564L-HL01-ER48</v>
          </cell>
          <cell r="E17184" t="str">
            <v>80AD01220295C7E055</v>
          </cell>
        </row>
        <row r="17185">
          <cell r="D17185" t="str">
            <v>MEM-DR564L-HL01-ER48</v>
          </cell>
          <cell r="E17185" t="str">
            <v>80AD01220295C7E043</v>
          </cell>
        </row>
        <row r="17186">
          <cell r="D17186" t="str">
            <v>MEM-DR564L-HL01-ER48</v>
          </cell>
          <cell r="E17186" t="str">
            <v>80AD01220295C7E05B</v>
          </cell>
        </row>
        <row r="17187">
          <cell r="D17187" t="str">
            <v>MEM-DR564L-HL01-ER48</v>
          </cell>
          <cell r="E17187" t="str">
            <v>80AD01220295C7E047</v>
          </cell>
        </row>
        <row r="17188">
          <cell r="D17188" t="str">
            <v>MEM-DR564L-HL01-ER48</v>
          </cell>
          <cell r="E17188" t="str">
            <v>80AD01220295C7E08C</v>
          </cell>
        </row>
        <row r="17189">
          <cell r="D17189" t="str">
            <v>MEM-DR564L-HL01-ER48</v>
          </cell>
          <cell r="E17189" t="str">
            <v>80AD01220295C7E09F</v>
          </cell>
        </row>
        <row r="17190">
          <cell r="D17190" t="str">
            <v>MEM-DR564L-HL01-ER48</v>
          </cell>
          <cell r="E17190" t="str">
            <v>80AD01220295C7E07F</v>
          </cell>
        </row>
        <row r="17191">
          <cell r="D17191" t="str">
            <v>MEM-DR564L-HL01-ER48</v>
          </cell>
          <cell r="E17191" t="str">
            <v>80AD01220295C7E08E</v>
          </cell>
        </row>
        <row r="17192">
          <cell r="D17192" t="str">
            <v>MEM-DR564L-HL01-ER48</v>
          </cell>
          <cell r="E17192" t="str">
            <v>80AD01220295C7E08B</v>
          </cell>
        </row>
        <row r="17193">
          <cell r="D17193" t="str">
            <v>MEM-DR564L-HL01-ER48</v>
          </cell>
          <cell r="E17193" t="str">
            <v>80AD01220295C7E073</v>
          </cell>
        </row>
        <row r="17194">
          <cell r="D17194" t="str">
            <v>MEM-DR564L-HL01-ER48</v>
          </cell>
          <cell r="E17194" t="str">
            <v>80AD01220295C7E07B</v>
          </cell>
        </row>
        <row r="17195">
          <cell r="D17195" t="str">
            <v>MEM-DR564L-HL01-ER48</v>
          </cell>
          <cell r="E17195" t="str">
            <v>80AD01220295C7E08F</v>
          </cell>
        </row>
        <row r="17196">
          <cell r="D17196" t="str">
            <v>MEM-DR564L-HL01-ER48</v>
          </cell>
          <cell r="E17196" t="str">
            <v>80AD01220295C7E069</v>
          </cell>
        </row>
        <row r="17197">
          <cell r="D17197" t="str">
            <v>MEM-DR564L-HL01-ER48</v>
          </cell>
          <cell r="E17197" t="str">
            <v>80AD01220295C7E07D</v>
          </cell>
        </row>
        <row r="17198">
          <cell r="D17198" t="str">
            <v>MEM-DR564L-HL01-ER48</v>
          </cell>
          <cell r="E17198" t="str">
            <v>80AD01220295C7E360</v>
          </cell>
        </row>
        <row r="17199">
          <cell r="D17199" t="str">
            <v>MEM-DR564L-HL01-ER48</v>
          </cell>
          <cell r="E17199" t="str">
            <v>80AD01220295C7E0B5</v>
          </cell>
        </row>
        <row r="17200">
          <cell r="D17200" t="str">
            <v>MEM-DR564L-HL01-ER48</v>
          </cell>
          <cell r="E17200" t="str">
            <v>80AD01215185E4013E</v>
          </cell>
        </row>
        <row r="17201">
          <cell r="D17201" t="str">
            <v>MEM-DR564L-HL01-ER48</v>
          </cell>
          <cell r="E17201" t="str">
            <v>80AD01215185E4024F</v>
          </cell>
        </row>
        <row r="17202">
          <cell r="D17202" t="str">
            <v>MEM-DR564L-HL01-ER48</v>
          </cell>
          <cell r="E17202" t="str">
            <v>80AD01215185E402AB</v>
          </cell>
        </row>
        <row r="17203">
          <cell r="D17203" t="str">
            <v>MEM-DR564L-HL01-ER48</v>
          </cell>
          <cell r="E17203" t="str">
            <v>80AD01215185E402E3</v>
          </cell>
        </row>
        <row r="17204">
          <cell r="D17204" t="str">
            <v>MEM-DR564L-HL01-ER48</v>
          </cell>
          <cell r="E17204" t="str">
            <v>80AD01215185E4031F</v>
          </cell>
        </row>
        <row r="17205">
          <cell r="D17205" t="str">
            <v>MEM-DR564L-HL01-ER48</v>
          </cell>
          <cell r="E17205" t="str">
            <v>80AD01215185E40313</v>
          </cell>
        </row>
        <row r="17206">
          <cell r="D17206" t="str">
            <v>MEM-DR564L-HL01-ER48</v>
          </cell>
          <cell r="E17206" t="str">
            <v>80AD01215185E40302</v>
          </cell>
        </row>
        <row r="17207">
          <cell r="D17207" t="str">
            <v>MEM-DR564L-HL01-ER48</v>
          </cell>
          <cell r="E17207" t="str">
            <v>80AD01215185E402A3</v>
          </cell>
        </row>
        <row r="17208">
          <cell r="D17208" t="str">
            <v>MEM-DR564L-HL01-ER48</v>
          </cell>
          <cell r="E17208" t="str">
            <v>80AD01215185E402CD</v>
          </cell>
        </row>
        <row r="17209">
          <cell r="D17209" t="str">
            <v>MEM-DR564L-HL01-ER48</v>
          </cell>
          <cell r="E17209" t="str">
            <v>80AD01215185E40291</v>
          </cell>
        </row>
        <row r="17210">
          <cell r="D17210" t="str">
            <v>MEM-DR564L-HL01-ER48</v>
          </cell>
          <cell r="E17210" t="str">
            <v>80AD01215185E4029F</v>
          </cell>
        </row>
        <row r="17211">
          <cell r="D17211" t="str">
            <v>MEM-DR564L-HL01-ER48</v>
          </cell>
          <cell r="E17211" t="str">
            <v>80AD01215185E402D8</v>
          </cell>
        </row>
        <row r="17212">
          <cell r="D17212" t="str">
            <v>MEM-DR564L-HL01-ER48</v>
          </cell>
          <cell r="E17212" t="str">
            <v>80AD01215185E40273</v>
          </cell>
        </row>
        <row r="17213">
          <cell r="D17213" t="str">
            <v>MEM-DR564L-HL01-ER48</v>
          </cell>
          <cell r="E17213" t="str">
            <v>80AD01215185E402AE</v>
          </cell>
        </row>
        <row r="17214">
          <cell r="D17214" t="str">
            <v>MEM-DR564L-HL01-ER48</v>
          </cell>
          <cell r="E17214" t="str">
            <v>80AD01215185E40292</v>
          </cell>
        </row>
        <row r="17215">
          <cell r="D17215" t="str">
            <v>MEM-DR564L-HL01-ER48</v>
          </cell>
          <cell r="E17215" t="str">
            <v>80AD01215185E40296</v>
          </cell>
        </row>
        <row r="17216">
          <cell r="D17216" t="str">
            <v>MEM-DR564L-HL01-ER48</v>
          </cell>
          <cell r="E17216" t="str">
            <v>80AD01215185E402C6</v>
          </cell>
        </row>
        <row r="17217">
          <cell r="D17217" t="str">
            <v>MEM-DR564L-HL01-ER48</v>
          </cell>
          <cell r="E17217" t="str">
            <v>80AD01215185E4013C</v>
          </cell>
        </row>
        <row r="17218">
          <cell r="D17218" t="str">
            <v>MEM-DR564L-HL01-ER48</v>
          </cell>
          <cell r="E17218" t="str">
            <v>80AD01215185E4026E</v>
          </cell>
        </row>
        <row r="17219">
          <cell r="D17219" t="str">
            <v>MEM-DR564L-HL01-ER48</v>
          </cell>
          <cell r="E17219" t="str">
            <v>80AD01215185E402A6</v>
          </cell>
        </row>
        <row r="17220">
          <cell r="D17220" t="str">
            <v>MEM-DR564L-HL01-ER48</v>
          </cell>
          <cell r="E17220" t="str">
            <v>80AD01215185E402E4</v>
          </cell>
        </row>
        <row r="17221">
          <cell r="D17221" t="str">
            <v>MEM-DR564L-HL01-ER48</v>
          </cell>
          <cell r="E17221" t="str">
            <v>80AD01215185E402F4</v>
          </cell>
        </row>
        <row r="17222">
          <cell r="D17222" t="str">
            <v>MEM-DR564L-HL01-ER48</v>
          </cell>
          <cell r="E17222" t="str">
            <v>80AD01215185E402A5</v>
          </cell>
        </row>
        <row r="17223">
          <cell r="D17223" t="str">
            <v>MEM-DR564L-HL01-ER48</v>
          </cell>
          <cell r="E17223" t="str">
            <v>80AD01215185E402A4</v>
          </cell>
        </row>
        <row r="17224">
          <cell r="D17224" t="str">
            <v>MEM-DR564L-HL01-ER48</v>
          </cell>
          <cell r="E17224" t="str">
            <v>80AD01215185E4024D</v>
          </cell>
        </row>
        <row r="17225">
          <cell r="D17225" t="str">
            <v>MEM-DR564L-HL01-ER48</v>
          </cell>
          <cell r="E17225" t="str">
            <v>80AD01215185E40225</v>
          </cell>
        </row>
        <row r="17226">
          <cell r="D17226" t="str">
            <v>MEM-DR564L-HL01-ER48</v>
          </cell>
          <cell r="E17226" t="str">
            <v>80AD01215185E4026C</v>
          </cell>
        </row>
        <row r="17227">
          <cell r="D17227" t="str">
            <v>MEM-DR564L-HL01-ER48</v>
          </cell>
          <cell r="E17227" t="str">
            <v>80AD01215185E402A1</v>
          </cell>
        </row>
        <row r="17228">
          <cell r="D17228" t="str">
            <v>MEM-DR564L-HL01-ER48</v>
          </cell>
          <cell r="E17228" t="str">
            <v>80AD01215185E40293</v>
          </cell>
        </row>
        <row r="17229">
          <cell r="D17229" t="str">
            <v>MEM-DR564L-HL01-ER48</v>
          </cell>
          <cell r="E17229" t="str">
            <v>80AD01215185E40149</v>
          </cell>
        </row>
        <row r="17230">
          <cell r="D17230" t="str">
            <v>CSE-113MFAC2-R606CB</v>
          </cell>
          <cell r="E17230" t="str">
            <v>C113MLK51P40189</v>
          </cell>
          <cell r="K17230" t="str">
            <v>SO/2022/006264/A</v>
          </cell>
        </row>
        <row r="17231">
          <cell r="D17231" t="str">
            <v>PWS-606P-1R</v>
          </cell>
          <cell r="E17231" t="str">
            <v>P606PCL46PB1332</v>
          </cell>
          <cell r="K17231" t="str">
            <v>SO/2022/006264/A</v>
          </cell>
        </row>
        <row r="17232">
          <cell r="D17232" t="str">
            <v>PWS-606P-1R</v>
          </cell>
          <cell r="E17232" t="str">
            <v>P606PCL46PB1111</v>
          </cell>
          <cell r="K17232" t="str">
            <v>SO/2022/006264/A</v>
          </cell>
        </row>
        <row r="17233">
          <cell r="D17233" t="str">
            <v>BPN-SAS3-113A-N2</v>
          </cell>
          <cell r="E17233" t="str">
            <v>PB21BS006291</v>
          </cell>
          <cell r="K17233" t="str">
            <v>SO/2022/006264/A</v>
          </cell>
        </row>
        <row r="17234">
          <cell r="D17234" t="str">
            <v>SYS-5019C-L</v>
          </cell>
          <cell r="E17234" t="str">
            <v>A352456X2318109</v>
          </cell>
        </row>
        <row r="17235">
          <cell r="D17235" t="str">
            <v>CSE</v>
          </cell>
          <cell r="E17235" t="str">
            <v>C5040LJ28ND0828</v>
          </cell>
        </row>
        <row r="17236">
          <cell r="D17236" t="str">
            <v>PWS</v>
          </cell>
          <cell r="E17236" t="str">
            <v>P20310K23E76047</v>
          </cell>
        </row>
        <row r="17237">
          <cell r="D17237" t="str">
            <v>MBD</v>
          </cell>
          <cell r="E17237" t="str">
            <v>OM221S031792</v>
          </cell>
        </row>
        <row r="17238">
          <cell r="D17238" t="str">
            <v>RSC</v>
          </cell>
          <cell r="E17238" t="str">
            <v>VR218S000112</v>
          </cell>
        </row>
        <row r="17239">
          <cell r="D17239" t="str">
            <v>CPU</v>
          </cell>
          <cell r="E17239" t="str">
            <v>U21L0M3801002</v>
          </cell>
        </row>
        <row r="17240">
          <cell r="D17240" t="str">
            <v>MEM</v>
          </cell>
          <cell r="E17240" t="str">
            <v>S802C0F220534597A4F</v>
          </cell>
        </row>
        <row r="17241">
          <cell r="D17241" t="str">
            <v>MEM</v>
          </cell>
          <cell r="E17241" t="str">
            <v>S802C0F220534597B07</v>
          </cell>
        </row>
        <row r="17242">
          <cell r="D17242" t="str">
            <v>HDD</v>
          </cell>
          <cell r="E17242" t="str">
            <v>V3GAN0TG</v>
          </cell>
        </row>
        <row r="17243">
          <cell r="D17243" t="str">
            <v>HDD</v>
          </cell>
          <cell r="E17243" t="str">
            <v>V3GA462L</v>
          </cell>
        </row>
        <row r="17244">
          <cell r="D17244" t="str">
            <v>HDS</v>
          </cell>
          <cell r="E17244" t="str">
            <v>22083651878C</v>
          </cell>
        </row>
        <row r="17245">
          <cell r="D17245" t="str">
            <v>MZ7LH1T9HMLT-00005</v>
          </cell>
          <cell r="E17245" t="str">
            <v>S455NC0T323581</v>
          </cell>
        </row>
        <row r="17246">
          <cell r="D17246" t="str">
            <v>MZ7LH1T9HMLT-00005</v>
          </cell>
          <cell r="E17246" t="str">
            <v>S455NC0T323587</v>
          </cell>
        </row>
        <row r="17247">
          <cell r="D17247" t="str">
            <v>MZ7LH1T9HMLT-00005</v>
          </cell>
          <cell r="E17247" t="str">
            <v>S455NC0T323588</v>
          </cell>
        </row>
        <row r="17248">
          <cell r="D17248" t="str">
            <v>MZ7LH1T9HMLT-00005</v>
          </cell>
          <cell r="E17248" t="str">
            <v>S455NC0T323598</v>
          </cell>
        </row>
        <row r="17249">
          <cell r="D17249" t="str">
            <v>MZ7LH1T9HMLT-00005</v>
          </cell>
          <cell r="E17249" t="str">
            <v>S455NC0T323599</v>
          </cell>
        </row>
        <row r="17250">
          <cell r="D17250" t="str">
            <v>MZ7LH1T9HMLT-00005</v>
          </cell>
          <cell r="E17250" t="str">
            <v>S455NC0T323600</v>
          </cell>
        </row>
        <row r="17251">
          <cell r="D17251" t="str">
            <v>MZ7LH1T9HMLT-00005</v>
          </cell>
          <cell r="E17251" t="str">
            <v>S455NC0T323601</v>
          </cell>
        </row>
        <row r="17252">
          <cell r="D17252" t="str">
            <v>MZ7LH1T9HMLT-00005</v>
          </cell>
          <cell r="E17252" t="str">
            <v>S455NC0T323589</v>
          </cell>
        </row>
        <row r="17253">
          <cell r="D17253" t="str">
            <v>MZ7LH1T9HMLT-00005</v>
          </cell>
          <cell r="E17253" t="str">
            <v>S455NC0T323590</v>
          </cell>
        </row>
        <row r="17254">
          <cell r="D17254" t="str">
            <v>MZ7LH1T9HMLT-00005</v>
          </cell>
          <cell r="E17254" t="str">
            <v>S455NC0T323591</v>
          </cell>
        </row>
        <row r="17255">
          <cell r="D17255" t="str">
            <v>MZ7LH1T9HMLT-00005</v>
          </cell>
          <cell r="E17255" t="str">
            <v>S455NC0T323597</v>
          </cell>
        </row>
        <row r="17256">
          <cell r="D17256" t="str">
            <v>MZ7LH1T9HMLT-00005</v>
          </cell>
          <cell r="E17256" t="str">
            <v>S455NC0T323612</v>
          </cell>
        </row>
        <row r="17257">
          <cell r="D17257" t="str">
            <v>MZ7LH1T9HMLT-00005</v>
          </cell>
          <cell r="E17257" t="str">
            <v>S455NC0T323613</v>
          </cell>
        </row>
        <row r="17258">
          <cell r="D17258" t="str">
            <v>MZ7LH1T9HMLT-00005</v>
          </cell>
          <cell r="E17258" t="str">
            <v>S455NC0T323616</v>
          </cell>
        </row>
        <row r="17259">
          <cell r="D17259" t="str">
            <v>MZ7LH1T9HMLT-00005</v>
          </cell>
          <cell r="E17259" t="str">
            <v>S455NC0T323615</v>
          </cell>
        </row>
        <row r="17260">
          <cell r="D17260" t="str">
            <v>MZ7LH1T9HMLT-00005</v>
          </cell>
          <cell r="E17260" t="str">
            <v>S455NC0T323622</v>
          </cell>
        </row>
        <row r="17261">
          <cell r="D17261" t="str">
            <v>MZ7LH1T9HMLT-00005</v>
          </cell>
          <cell r="E17261" t="str">
            <v>S455NC0T323623</v>
          </cell>
        </row>
        <row r="17262">
          <cell r="D17262" t="str">
            <v>MZ7LH1T9HMLT-00005</v>
          </cell>
          <cell r="E17262" t="str">
            <v>S455NC0T323625</v>
          </cell>
        </row>
        <row r="17263">
          <cell r="D17263" t="str">
            <v>MZ7LH1T9HMLT-00005</v>
          </cell>
          <cell r="E17263" t="str">
            <v>S455NC0T323626</v>
          </cell>
        </row>
        <row r="17264">
          <cell r="D17264" t="str">
            <v>MZ7LH1T9HMLT-00005</v>
          </cell>
          <cell r="E17264" t="str">
            <v>S455NC0T323632</v>
          </cell>
        </row>
        <row r="17265">
          <cell r="D17265" t="str">
            <v>MZ7LH1T9HMLT-00005</v>
          </cell>
          <cell r="E17265" t="str">
            <v>S455NC0T323633</v>
          </cell>
        </row>
        <row r="17266">
          <cell r="D17266" t="str">
            <v>MZ7LH1T9HMLT-00005</v>
          </cell>
          <cell r="E17266" t="str">
            <v>S455NC0T323634</v>
          </cell>
        </row>
        <row r="17267">
          <cell r="D17267" t="str">
            <v>MZ7LH1T9HMLT-00005</v>
          </cell>
          <cell r="E17267" t="str">
            <v>S455NC0T323635</v>
          </cell>
        </row>
        <row r="17268">
          <cell r="D17268" t="str">
            <v>MZ7LH1T9HMLT-00005</v>
          </cell>
          <cell r="E17268" t="str">
            <v>S455NC0T323636</v>
          </cell>
        </row>
        <row r="17269">
          <cell r="D17269" t="str">
            <v>MZ7LH1T9HMLT-00005</v>
          </cell>
          <cell r="E17269" t="str">
            <v>S455NC0T323570</v>
          </cell>
        </row>
        <row r="17270">
          <cell r="D17270" t="str">
            <v>MZ7LH1T9HMLT-00005</v>
          </cell>
          <cell r="E17270" t="str">
            <v>S455NC0T323571</v>
          </cell>
        </row>
        <row r="17271">
          <cell r="D17271" t="str">
            <v>MZ7LH1T9HMLT-00005</v>
          </cell>
          <cell r="E17271" t="str">
            <v>S455NC0T323578</v>
          </cell>
        </row>
        <row r="17272">
          <cell r="D17272" t="str">
            <v>MZ7LH1T9HMLT-00005</v>
          </cell>
          <cell r="E17272" t="str">
            <v>S455NC0T323579</v>
          </cell>
        </row>
        <row r="17273">
          <cell r="D17273" t="str">
            <v>MZ7LH1T9HMLT-00005</v>
          </cell>
          <cell r="E17273" t="str">
            <v>S455NC0T323580</v>
          </cell>
        </row>
        <row r="17274">
          <cell r="D17274" t="str">
            <v>MZ7L33T8HBLT-00A07</v>
          </cell>
          <cell r="E17274" t="str">
            <v>S6ERNE0T405516</v>
          </cell>
        </row>
        <row r="17275">
          <cell r="D17275" t="str">
            <v>MZ7L33T8HBLT-00A07</v>
          </cell>
          <cell r="E17275" t="str">
            <v>S6ERNE0T405502</v>
          </cell>
        </row>
        <row r="17276">
          <cell r="D17276" t="str">
            <v>MZ7L33T8HBLT-00A07</v>
          </cell>
          <cell r="E17276" t="str">
            <v>S6ERNE0T410216</v>
          </cell>
        </row>
        <row r="17277">
          <cell r="D17277" t="str">
            <v>MZ7L33T8HBLT-00A07</v>
          </cell>
          <cell r="E17277" t="str">
            <v>S6ERNE0T410206</v>
          </cell>
        </row>
        <row r="17278">
          <cell r="D17278" t="str">
            <v>MZ7L33T8HBLT-00A07</v>
          </cell>
          <cell r="E17278" t="str">
            <v>S6ERNE0T410217</v>
          </cell>
        </row>
        <row r="17279">
          <cell r="D17279" t="str">
            <v>MZ7L33T8HBLT-00A07</v>
          </cell>
          <cell r="E17279" t="str">
            <v>S6ERNE0T410223</v>
          </cell>
        </row>
        <row r="17280">
          <cell r="D17280" t="str">
            <v>MZ7L33T8HBLT-00A07</v>
          </cell>
          <cell r="E17280" t="str">
            <v>S6ERNE0T410207</v>
          </cell>
        </row>
        <row r="17281">
          <cell r="D17281" t="str">
            <v>MZ7L33T8HBLT-00A07</v>
          </cell>
          <cell r="E17281" t="str">
            <v>S6ERNE0T410224</v>
          </cell>
        </row>
        <row r="17282">
          <cell r="D17282" t="str">
            <v>MZ7L33T8HBLT-00A07</v>
          </cell>
          <cell r="E17282" t="str">
            <v>S6ERNE0T410225</v>
          </cell>
        </row>
        <row r="17283">
          <cell r="D17283" t="str">
            <v>MZ7L33T8HBLT-00A07</v>
          </cell>
          <cell r="E17283" t="str">
            <v>S6ERNE0T410226</v>
          </cell>
        </row>
        <row r="17284">
          <cell r="D17284" t="str">
            <v>MZ7L33T8HBLT-00A07</v>
          </cell>
          <cell r="E17284" t="str">
            <v>S6ERNE0T410230</v>
          </cell>
        </row>
        <row r="17285">
          <cell r="D17285" t="str">
            <v>MZ7L33T8HBLT-00A07</v>
          </cell>
          <cell r="E17285" t="str">
            <v>S6ERNE0T410233</v>
          </cell>
        </row>
        <row r="17286">
          <cell r="D17286" t="str">
            <v>MZ7L33T8HBLT-00A07</v>
          </cell>
          <cell r="E17286" t="str">
            <v>S6ERNE0T410227</v>
          </cell>
        </row>
        <row r="17287">
          <cell r="D17287" t="str">
            <v>MZ7L33T8HBLT-00A07</v>
          </cell>
          <cell r="E17287" t="str">
            <v>S6ERNE0T410229</v>
          </cell>
        </row>
        <row r="17288">
          <cell r="D17288" t="str">
            <v>MZ7L33T8HBLT-00A07</v>
          </cell>
          <cell r="E17288" t="str">
            <v>S6ERNE0T410231</v>
          </cell>
        </row>
        <row r="17289">
          <cell r="D17289" t="str">
            <v>MZ7L33T8HBLT-00A07</v>
          </cell>
          <cell r="E17289" t="str">
            <v>S6ERNE0T410220</v>
          </cell>
        </row>
        <row r="17290">
          <cell r="D17290" t="str">
            <v>MZ7L33T8HBLT-00A07</v>
          </cell>
          <cell r="E17290" t="str">
            <v>S6ERNE0T410232</v>
          </cell>
        </row>
        <row r="17291">
          <cell r="D17291" t="str">
            <v>MZ7L33T8HBLT-00A07</v>
          </cell>
          <cell r="E17291" t="str">
            <v>S6ERNE0T410236</v>
          </cell>
        </row>
        <row r="17292">
          <cell r="D17292" t="str">
            <v>MZ7L33T8HBLT-00A07</v>
          </cell>
          <cell r="E17292" t="str">
            <v>S6ERNE0T410222</v>
          </cell>
        </row>
        <row r="17293">
          <cell r="D17293" t="str">
            <v>MZ7L33T8HBLT-00A07</v>
          </cell>
          <cell r="E17293" t="str">
            <v>S6ERNE0T410022</v>
          </cell>
        </row>
        <row r="17294">
          <cell r="D17294" t="str">
            <v>MZ7L33T8HBLT-00A07</v>
          </cell>
          <cell r="E17294" t="str">
            <v>S6ERNE0T410023</v>
          </cell>
        </row>
        <row r="17295">
          <cell r="D17295" t="str">
            <v>MZ7L33T8HBLT-00A07</v>
          </cell>
          <cell r="E17295" t="str">
            <v>S6ERNE0T410028</v>
          </cell>
        </row>
        <row r="17296">
          <cell r="D17296" t="str">
            <v>MZ7L33T8HBLT-00A07</v>
          </cell>
          <cell r="E17296" t="str">
            <v>S6ERNE0T410031</v>
          </cell>
        </row>
        <row r="17297">
          <cell r="D17297" t="str">
            <v>MZ7L33T8HBLT-00A07</v>
          </cell>
          <cell r="E17297" t="str">
            <v>S6ERNE0T410021</v>
          </cell>
        </row>
        <row r="17298">
          <cell r="D17298" t="str">
            <v>MZ7L33T8HBLT-00A07</v>
          </cell>
          <cell r="E17298" t="str">
            <v>S6ERNE0T410024</v>
          </cell>
        </row>
        <row r="17299">
          <cell r="D17299" t="str">
            <v>MZ7L33T8HBLT-00A07</v>
          </cell>
          <cell r="E17299" t="str">
            <v>S6ERNE0T410026</v>
          </cell>
        </row>
        <row r="17300">
          <cell r="D17300" t="str">
            <v>MZ7L33T8HBLT-00A07</v>
          </cell>
          <cell r="E17300" t="str">
            <v>S6ERNE0T410033</v>
          </cell>
        </row>
        <row r="17301">
          <cell r="D17301" t="str">
            <v>MZ7L33T8HBLT-00A07</v>
          </cell>
          <cell r="E17301" t="str">
            <v>S6ERNE0T410020</v>
          </cell>
        </row>
        <row r="17302">
          <cell r="D17302" t="str">
            <v>MZ7L33T8HBLT-00A07</v>
          </cell>
          <cell r="E17302" t="str">
            <v>S6ERNE0T410037</v>
          </cell>
        </row>
        <row r="17303">
          <cell r="D17303" t="str">
            <v>MZ7L33T8HBLT-00A07</v>
          </cell>
          <cell r="E17303" t="str">
            <v>S6ERNE0T410038</v>
          </cell>
        </row>
        <row r="17304">
          <cell r="D17304" t="str">
            <v>MZ7L33T8HBLT-00A07</v>
          </cell>
          <cell r="E17304" t="str">
            <v>S6ERNE0T410019</v>
          </cell>
        </row>
        <row r="17305">
          <cell r="D17305" t="str">
            <v>MZ7L33T8HBLT-00A07</v>
          </cell>
          <cell r="E17305" t="str">
            <v>S6ERNE0T410040</v>
          </cell>
        </row>
        <row r="17306">
          <cell r="D17306" t="str">
            <v>MZ7L33T8HBLT-00A07</v>
          </cell>
          <cell r="E17306" t="str">
            <v>S6ERNE0T410027</v>
          </cell>
        </row>
        <row r="17307">
          <cell r="D17307" t="str">
            <v>MZ7L33T8HBLT-00A07</v>
          </cell>
          <cell r="E17307" t="str">
            <v>S6ERNE0T410029</v>
          </cell>
        </row>
        <row r="17308">
          <cell r="D17308" t="str">
            <v>MZ7L33T8HBLT-00A07</v>
          </cell>
          <cell r="E17308" t="str">
            <v>S6ERNE0T410030</v>
          </cell>
        </row>
        <row r="17309">
          <cell r="D17309" t="str">
            <v>MZ7L33T8HBLT-00A07</v>
          </cell>
          <cell r="E17309" t="str">
            <v>S6ERNE0T410034</v>
          </cell>
        </row>
        <row r="17310">
          <cell r="D17310" t="str">
            <v>MZ7L33T8HBLT-00A07</v>
          </cell>
          <cell r="E17310" t="str">
            <v>S6ERNE0T410039</v>
          </cell>
        </row>
        <row r="17311">
          <cell r="D17311" t="str">
            <v>MZ7L33T8HBLT-00A07</v>
          </cell>
          <cell r="E17311" t="str">
            <v>S6ERNE0T410032</v>
          </cell>
        </row>
        <row r="17312">
          <cell r="D17312" t="str">
            <v>MZ7L33T8HBLT-00A07</v>
          </cell>
          <cell r="E17312" t="str">
            <v>S6ERNE0T410048</v>
          </cell>
        </row>
        <row r="17313">
          <cell r="D17313" t="str">
            <v>MZ7L33T8HBLT-00A07</v>
          </cell>
          <cell r="E17313" t="str">
            <v>S6ERNE0T410042</v>
          </cell>
        </row>
        <row r="17314">
          <cell r="D17314" t="str">
            <v>MZ7L33T8HBLT-00A07</v>
          </cell>
          <cell r="E17314" t="str">
            <v>S6ERNE0T410050</v>
          </cell>
        </row>
        <row r="17315">
          <cell r="D17315" t="str">
            <v>MZ7L33T8HBLT-00A07</v>
          </cell>
          <cell r="E17315" t="str">
            <v>S6ERNE0T410051</v>
          </cell>
        </row>
        <row r="17316">
          <cell r="D17316" t="str">
            <v>MZ7L33T8HBLT-00A07</v>
          </cell>
          <cell r="E17316" t="str">
            <v>S6ERNE0T410046</v>
          </cell>
        </row>
        <row r="17317">
          <cell r="D17317" t="str">
            <v>MZ7L33T8HBLT-00A07</v>
          </cell>
          <cell r="E17317" t="str">
            <v>S6ERNE0T410053</v>
          </cell>
        </row>
        <row r="17318">
          <cell r="D17318" t="str">
            <v>MZ7L33T8HBLT-00A07</v>
          </cell>
          <cell r="E17318" t="str">
            <v>S6ERNE0T410041</v>
          </cell>
        </row>
        <row r="17319">
          <cell r="D17319" t="str">
            <v>MZ7L33T8HBLT-00A07</v>
          </cell>
          <cell r="E17319" t="str">
            <v>S6ERNE0T410044</v>
          </cell>
        </row>
        <row r="17320">
          <cell r="D17320" t="str">
            <v>MZ7L33T8HBLT-00A07</v>
          </cell>
          <cell r="E17320" t="str">
            <v>S6ERNE0T410045</v>
          </cell>
        </row>
        <row r="17321">
          <cell r="D17321" t="str">
            <v>MZ7L33T8HBLT-00A07</v>
          </cell>
          <cell r="E17321" t="str">
            <v>S6ERNE0T410049</v>
          </cell>
        </row>
        <row r="17322">
          <cell r="D17322" t="str">
            <v>MZ7L33T8HBLT-00A07</v>
          </cell>
          <cell r="E17322" t="str">
            <v>S6ERNE0T410052</v>
          </cell>
        </row>
        <row r="17323">
          <cell r="D17323" t="str">
            <v>MZ7L33T8HBLT-00A07</v>
          </cell>
          <cell r="E17323" t="str">
            <v>S6ERNE0T410047</v>
          </cell>
        </row>
        <row r="17324">
          <cell r="D17324">
            <v>1750502632</v>
          </cell>
          <cell r="E17324" t="str">
            <v>22220R3X01301</v>
          </cell>
        </row>
        <row r="17325">
          <cell r="D17325">
            <v>1753502267</v>
          </cell>
          <cell r="E17325" t="str">
            <v>22213J6001839</v>
          </cell>
        </row>
        <row r="17326">
          <cell r="D17326" t="str">
            <v>0F30144</v>
          </cell>
          <cell r="E17326" t="str">
            <v>5QJT8T4B</v>
          </cell>
        </row>
        <row r="17327">
          <cell r="D17327" t="str">
            <v>0F30144</v>
          </cell>
          <cell r="E17327" t="str">
            <v>5QJU0ZRB</v>
          </cell>
        </row>
        <row r="17328">
          <cell r="D17328" t="str">
            <v>0F30144</v>
          </cell>
          <cell r="E17328" t="str">
            <v>5QJU11DB</v>
          </cell>
        </row>
        <row r="17329">
          <cell r="D17329" t="str">
            <v>0F30144</v>
          </cell>
          <cell r="E17329" t="str">
            <v>5QJU19XB</v>
          </cell>
        </row>
        <row r="17330">
          <cell r="D17330" t="str">
            <v>0F30144</v>
          </cell>
          <cell r="E17330" t="str">
            <v>5QJU1T5B</v>
          </cell>
        </row>
        <row r="17331">
          <cell r="D17331" t="str">
            <v>0F30144</v>
          </cell>
          <cell r="E17331" t="str">
            <v>5QJU1TNB</v>
          </cell>
        </row>
        <row r="17332">
          <cell r="D17332" t="str">
            <v>0F30144</v>
          </cell>
          <cell r="E17332" t="str">
            <v>5QJU13DB</v>
          </cell>
        </row>
        <row r="17333">
          <cell r="D17333" t="str">
            <v>0F30144</v>
          </cell>
          <cell r="E17333" t="str">
            <v>5QJTXXZB</v>
          </cell>
        </row>
        <row r="17334">
          <cell r="D17334" t="str">
            <v>0F30144</v>
          </cell>
          <cell r="E17334" t="str">
            <v>5QJU5BJB</v>
          </cell>
        </row>
        <row r="17335">
          <cell r="D17335" t="str">
            <v>0F30144</v>
          </cell>
          <cell r="E17335" t="str">
            <v>5QJTRK3B</v>
          </cell>
        </row>
        <row r="17336">
          <cell r="D17336" t="str">
            <v>0TS1875</v>
          </cell>
          <cell r="E17336" t="str">
            <v>A072042E</v>
          </cell>
        </row>
        <row r="17337">
          <cell r="D17337" t="str">
            <v>0TS1875</v>
          </cell>
          <cell r="E17337" t="str">
            <v>A0720429</v>
          </cell>
        </row>
        <row r="17338">
          <cell r="D17338" t="str">
            <v>MZ7L3480HCHQ-00A07</v>
          </cell>
          <cell r="E17338" t="str">
            <v>S664NE0RC25980</v>
          </cell>
        </row>
        <row r="17339">
          <cell r="D17339" t="str">
            <v>MZ7L3480HCHQ-00A07</v>
          </cell>
          <cell r="E17339" t="str">
            <v>S664NE0RC25983</v>
          </cell>
        </row>
        <row r="17340">
          <cell r="D17340" t="str">
            <v>MZ7L3480HCHQ-00A07</v>
          </cell>
          <cell r="E17340" t="str">
            <v>S664NE0RC25969</v>
          </cell>
        </row>
        <row r="17341">
          <cell r="D17341" t="str">
            <v>MZ7L3480HCHQ-00A07</v>
          </cell>
          <cell r="E17341" t="str">
            <v>S664NE0RC25966</v>
          </cell>
        </row>
        <row r="17342">
          <cell r="D17342" t="str">
            <v>MZ7L3480HCHQ-00A07</v>
          </cell>
          <cell r="E17342" t="str">
            <v>S664NE0RC25967</v>
          </cell>
        </row>
        <row r="17343">
          <cell r="D17343" t="str">
            <v>MZ7L3480HCHQ-00A07</v>
          </cell>
          <cell r="E17343" t="str">
            <v>S664NE0RC25962</v>
          </cell>
        </row>
        <row r="17344">
          <cell r="D17344" t="str">
            <v>MZ7L3480HCHQ-00A07</v>
          </cell>
          <cell r="E17344" t="str">
            <v>S664NE0RC25968</v>
          </cell>
        </row>
        <row r="17345">
          <cell r="D17345" t="str">
            <v>MZ7L3480HCHQ-00A07</v>
          </cell>
          <cell r="E17345" t="str">
            <v>S664NE0RC25971</v>
          </cell>
        </row>
        <row r="17346">
          <cell r="D17346" t="str">
            <v>MZ7L3480HCHQ-00A07</v>
          </cell>
          <cell r="E17346" t="str">
            <v>S664NE0RC25957</v>
          </cell>
        </row>
        <row r="17347">
          <cell r="D17347" t="str">
            <v>MZ7L3480HCHQ-00A07</v>
          </cell>
          <cell r="E17347" t="str">
            <v>S664NE0RC25954</v>
          </cell>
        </row>
        <row r="17348">
          <cell r="D17348" t="str">
            <v>MZ7L3480HCHQ-00A07</v>
          </cell>
          <cell r="E17348" t="str">
            <v>S664NE0RC25955</v>
          </cell>
        </row>
        <row r="17349">
          <cell r="D17349" t="str">
            <v>MZ7L3480HCHQ-00A07</v>
          </cell>
          <cell r="E17349" t="str">
            <v>S664NE0RC25950</v>
          </cell>
        </row>
        <row r="17350">
          <cell r="D17350" t="str">
            <v>MZ7L3480HCHQ-00A07</v>
          </cell>
          <cell r="E17350" t="str">
            <v>S664NE0RC25970</v>
          </cell>
        </row>
        <row r="17351">
          <cell r="D17351" t="str">
            <v>MZ7L3480HCHQ-00A07</v>
          </cell>
          <cell r="E17351" t="str">
            <v>S664NE0RC25965</v>
          </cell>
        </row>
        <row r="17352">
          <cell r="D17352" t="str">
            <v>MZ7L3480HCHQ-00A07</v>
          </cell>
          <cell r="E17352" t="str">
            <v>S664NE0RC25964</v>
          </cell>
        </row>
        <row r="17353">
          <cell r="D17353" t="str">
            <v>MZ7L3480HCHQ-00A07</v>
          </cell>
          <cell r="E17353" t="str">
            <v>S664NE0RC25960</v>
          </cell>
        </row>
        <row r="17354">
          <cell r="D17354" t="str">
            <v>MZ7L3480HCHQ-00A07</v>
          </cell>
          <cell r="E17354" t="str">
            <v>S664NE0RC25961</v>
          </cell>
        </row>
        <row r="17355">
          <cell r="D17355" t="str">
            <v>MZ7L3480HCHQ-00A07</v>
          </cell>
          <cell r="E17355" t="str">
            <v>S664NE0RC25963</v>
          </cell>
        </row>
        <row r="17356">
          <cell r="D17356" t="str">
            <v>MZ7L3480HCHQ-00A07</v>
          </cell>
          <cell r="E17356" t="str">
            <v>S664NE0RC26002</v>
          </cell>
        </row>
        <row r="17357">
          <cell r="D17357" t="str">
            <v>MZ7L3480HCHQ-00A07</v>
          </cell>
          <cell r="E17357" t="str">
            <v>S664NE0RC26020</v>
          </cell>
        </row>
        <row r="17358">
          <cell r="D17358" t="str">
            <v>MZ7L31T9HBLT-00A07</v>
          </cell>
          <cell r="E17358" t="str">
            <v>S6ESNE0T503153</v>
          </cell>
        </row>
        <row r="17359">
          <cell r="D17359" t="str">
            <v>MZ7L31T9HBLT-00A07</v>
          </cell>
          <cell r="E17359" t="str">
            <v>S6ESNE0T503154</v>
          </cell>
        </row>
        <row r="17360">
          <cell r="D17360" t="str">
            <v>MZ7L31T9HBLT-00A07</v>
          </cell>
          <cell r="E17360" t="str">
            <v>S6ESNE0T503162</v>
          </cell>
        </row>
        <row r="17361">
          <cell r="D17361" t="str">
            <v>MZ7L31T9HBLT-00A07</v>
          </cell>
          <cell r="E17361" t="str">
            <v>S6ESNE0T503163</v>
          </cell>
        </row>
        <row r="17362">
          <cell r="D17362" t="str">
            <v>0B35950</v>
          </cell>
          <cell r="E17362" t="str">
            <v>VBHK7Z3H</v>
          </cell>
        </row>
        <row r="17363">
          <cell r="D17363" t="str">
            <v>0B35950</v>
          </cell>
          <cell r="E17363" t="str">
            <v>VBHK4PDH</v>
          </cell>
        </row>
        <row r="17364">
          <cell r="D17364" t="str">
            <v>0B35950</v>
          </cell>
          <cell r="E17364" t="str">
            <v>VBHK4M8H</v>
          </cell>
        </row>
        <row r="17365">
          <cell r="D17365" t="str">
            <v>X570D4U</v>
          </cell>
          <cell r="E17365" t="str">
            <v>F1S0XW006296</v>
          </cell>
        </row>
        <row r="17366">
          <cell r="D17366" t="str">
            <v>X570D4U</v>
          </cell>
          <cell r="E17366" t="str">
            <v>F1S0XW006295</v>
          </cell>
        </row>
        <row r="17367">
          <cell r="D17367" t="str">
            <v>MZQLB1T9HAJR-00007</v>
          </cell>
          <cell r="E17367" t="str">
            <v>S439NC0T204800</v>
          </cell>
        </row>
        <row r="17368">
          <cell r="D17368" t="str">
            <v>MZQLB1T9HAJR-00007</v>
          </cell>
          <cell r="E17368" t="str">
            <v>S439NC0T204801</v>
          </cell>
        </row>
        <row r="17369">
          <cell r="D17369" t="str">
            <v>MZQLB1T9HAJR-00007</v>
          </cell>
          <cell r="E17369" t="str">
            <v>S439NC0T204802</v>
          </cell>
        </row>
        <row r="17370">
          <cell r="D17370" t="str">
            <v>MZQLB1T9HAJR-00007</v>
          </cell>
          <cell r="E17370" t="str">
            <v>S439NC0T204803</v>
          </cell>
        </row>
        <row r="17371">
          <cell r="D17371" t="str">
            <v>MZQLB1T9HAJR-00007</v>
          </cell>
          <cell r="E17371" t="str">
            <v>S439NC0T204804</v>
          </cell>
        </row>
        <row r="17372">
          <cell r="D17372" t="str">
            <v>MZQLB1T9HAJR-00007</v>
          </cell>
          <cell r="E17372" t="str">
            <v>S439NC0T204805</v>
          </cell>
        </row>
        <row r="17373">
          <cell r="D17373" t="str">
            <v>MZQLB1T9HAJR-00007</v>
          </cell>
          <cell r="E17373" t="str">
            <v>S439NC0T204762</v>
          </cell>
        </row>
        <row r="17374">
          <cell r="D17374" t="str">
            <v>MZQLB1T9HAJR-00007</v>
          </cell>
          <cell r="E17374" t="str">
            <v>S439NC0T204764</v>
          </cell>
        </row>
        <row r="17375">
          <cell r="D17375" t="str">
            <v>MZQLB1T9HAJR-00007</v>
          </cell>
          <cell r="E17375" t="str">
            <v>S439NC0T204765</v>
          </cell>
        </row>
        <row r="17376">
          <cell r="D17376" t="str">
            <v>MZQLB1T9HAJR-00007</v>
          </cell>
          <cell r="E17376" t="str">
            <v>S439NC0T204796</v>
          </cell>
        </row>
        <row r="17377">
          <cell r="D17377" t="str">
            <v>MZQLB1T9HAJR-00007</v>
          </cell>
          <cell r="E17377" t="str">
            <v>S439NC0T204797</v>
          </cell>
        </row>
        <row r="17378">
          <cell r="D17378" t="str">
            <v>MZQLB1T9HAJR-00007</v>
          </cell>
          <cell r="E17378" t="str">
            <v>S439NC0T204799</v>
          </cell>
        </row>
        <row r="17379">
          <cell r="D17379" t="str">
            <v>M393A8G40AB2-CWE</v>
          </cell>
          <cell r="E17379" t="str">
            <v>SNL833</v>
          </cell>
        </row>
        <row r="17380">
          <cell r="D17380" t="str">
            <v>M393A8G40AB2-CWE</v>
          </cell>
          <cell r="E17380" t="str">
            <v>SNL834</v>
          </cell>
        </row>
        <row r="17381">
          <cell r="D17381" t="str">
            <v>M393A8G40AB2-CWE</v>
          </cell>
          <cell r="E17381" t="str">
            <v>SNL835</v>
          </cell>
        </row>
        <row r="17382">
          <cell r="D17382" t="str">
            <v>M393A8G40AB2-CWE</v>
          </cell>
          <cell r="E17382" t="str">
            <v>SNL836</v>
          </cell>
        </row>
        <row r="17383">
          <cell r="D17383" t="str">
            <v>M393A8G40AB2-CWE</v>
          </cell>
          <cell r="E17383" t="str">
            <v>SNL837</v>
          </cell>
        </row>
        <row r="17384">
          <cell r="D17384" t="str">
            <v>M393A8G40AB2-CWE</v>
          </cell>
          <cell r="E17384" t="str">
            <v>SNL838</v>
          </cell>
        </row>
        <row r="17385">
          <cell r="D17385" t="str">
            <v>M393A8G40AB2-CWE</v>
          </cell>
          <cell r="E17385" t="str">
            <v>SNL839</v>
          </cell>
        </row>
        <row r="17386">
          <cell r="D17386" t="str">
            <v>M393A8G40AB2-CWE</v>
          </cell>
          <cell r="E17386" t="str">
            <v>SNL840</v>
          </cell>
        </row>
        <row r="17387">
          <cell r="D17387" t="str">
            <v>M393A8G40AB2-CWE</v>
          </cell>
          <cell r="E17387" t="str">
            <v>SNL841</v>
          </cell>
        </row>
        <row r="17388">
          <cell r="D17388" t="str">
            <v>M393A8G40AB2-CWE</v>
          </cell>
          <cell r="E17388" t="str">
            <v>SNL842</v>
          </cell>
        </row>
        <row r="17389">
          <cell r="D17389" t="str">
            <v>M393A8G40AB2-CWE</v>
          </cell>
          <cell r="E17389" t="str">
            <v>SNL843</v>
          </cell>
        </row>
        <row r="17390">
          <cell r="D17390" t="str">
            <v>M393A8G40AB2-CWE</v>
          </cell>
          <cell r="E17390" t="str">
            <v>SNL844</v>
          </cell>
        </row>
        <row r="17391">
          <cell r="D17391" t="str">
            <v>M393A8G40AB2-CWE</v>
          </cell>
          <cell r="E17391" t="str">
            <v>SNL845</v>
          </cell>
        </row>
        <row r="17392">
          <cell r="D17392" t="str">
            <v>M393A8G40AB2-CWE</v>
          </cell>
          <cell r="E17392" t="str">
            <v>SNL846</v>
          </cell>
        </row>
        <row r="17393">
          <cell r="D17393" t="str">
            <v>05-26105-00 9341-4i</v>
          </cell>
          <cell r="E17393" t="str">
            <v>SPB4934545</v>
          </cell>
        </row>
        <row r="17394">
          <cell r="D17394" t="str">
            <v>05-26105-00 9341-4i</v>
          </cell>
          <cell r="E17394" t="str">
            <v>SPB4934812</v>
          </cell>
        </row>
        <row r="17395">
          <cell r="D17395" t="str">
            <v>05-26105-00 9341-4i</v>
          </cell>
          <cell r="E17395" t="str">
            <v>SPB4935063</v>
          </cell>
        </row>
        <row r="17396">
          <cell r="D17396" t="str">
            <v>05-26105-00 9341-4i</v>
          </cell>
          <cell r="E17396" t="str">
            <v>SPB4934759</v>
          </cell>
        </row>
        <row r="17397">
          <cell r="D17397" t="str">
            <v>05-26105-00 9341-4i</v>
          </cell>
          <cell r="E17397" t="str">
            <v>SPB4934656</v>
          </cell>
        </row>
        <row r="17398">
          <cell r="D17398" t="str">
            <v>AOC-SGP-I2</v>
          </cell>
          <cell r="E17398" t="str">
            <v>VA21CS043866</v>
          </cell>
        </row>
        <row r="17399">
          <cell r="D17399" t="str">
            <v>AOC-SGP-I2</v>
          </cell>
          <cell r="E17399" t="str">
            <v>VA21CS043870</v>
          </cell>
        </row>
        <row r="17400">
          <cell r="D17400" t="str">
            <v>Intel Xeon Silver 4208</v>
          </cell>
          <cell r="E17400" t="str">
            <v>72X32B8501474</v>
          </cell>
        </row>
        <row r="17401">
          <cell r="D17401" t="str">
            <v>Intel Xeon Silver 4208</v>
          </cell>
          <cell r="E17401" t="str">
            <v>72X32B8500913</v>
          </cell>
        </row>
        <row r="17402">
          <cell r="D17402" t="str">
            <v>Intel Xeon Silver 4208</v>
          </cell>
          <cell r="E17402" t="str">
            <v>72X32B8500932</v>
          </cell>
        </row>
        <row r="17403">
          <cell r="D17403" t="str">
            <v>Intel Xeon Silver 4208</v>
          </cell>
          <cell r="E17403" t="str">
            <v>72X32B8501479</v>
          </cell>
        </row>
        <row r="17404">
          <cell r="D17404" t="str">
            <v>SYS-510T-M</v>
          </cell>
          <cell r="E17404" t="str">
            <v>A459117X2705066</v>
          </cell>
        </row>
        <row r="17405">
          <cell r="D17405" t="str">
            <v>CSE</v>
          </cell>
          <cell r="E17405" t="str">
            <v>C813MLL10A10218</v>
          </cell>
        </row>
        <row r="17406">
          <cell r="D17406" t="str">
            <v>PWS</v>
          </cell>
          <cell r="E17406" t="str">
            <v>P3501AL53GN0257</v>
          </cell>
        </row>
        <row r="17407">
          <cell r="D17407" t="str">
            <v>BPN-SAS3-113A-N2</v>
          </cell>
          <cell r="E17407" t="str">
            <v>EB21AS041433</v>
          </cell>
        </row>
        <row r="17408">
          <cell r="D17408" t="str">
            <v>MBD</v>
          </cell>
          <cell r="E17408" t="str">
            <v>WM224S013160</v>
          </cell>
        </row>
        <row r="17409">
          <cell r="D17409" t="str">
            <v>RSC</v>
          </cell>
          <cell r="E17409" t="str">
            <v>OR223S036177</v>
          </cell>
        </row>
        <row r="17410">
          <cell r="D17410" t="str">
            <v>CPU</v>
          </cell>
          <cell r="E17410" t="str">
            <v>81QY774301332</v>
          </cell>
        </row>
        <row r="17411">
          <cell r="D17411" t="str">
            <v>MEM</v>
          </cell>
          <cell r="E17411" t="str">
            <v>80AD0122199631FE17</v>
          </cell>
        </row>
        <row r="17412">
          <cell r="D17412" t="str">
            <v>MEM</v>
          </cell>
          <cell r="E17412" t="str">
            <v>80AD0122199631FE1D</v>
          </cell>
        </row>
        <row r="17413">
          <cell r="D17413" t="str">
            <v>HDS</v>
          </cell>
          <cell r="E17413" t="str">
            <v>S665NE0R501364</v>
          </cell>
        </row>
        <row r="17414">
          <cell r="D17414" t="str">
            <v>AOC</v>
          </cell>
          <cell r="E17414" t="str">
            <v>UA223S017615</v>
          </cell>
        </row>
        <row r="17415">
          <cell r="D17415" t="str">
            <v>CSE-113AC2-605WB</v>
          </cell>
          <cell r="E17415" t="str">
            <v>C1130LK43P60091</v>
          </cell>
        </row>
        <row r="17416">
          <cell r="D17416" t="str">
            <v>CSE-113AC2-605WB</v>
          </cell>
          <cell r="E17416" t="str">
            <v>C1130LK43P60093</v>
          </cell>
        </row>
        <row r="17417">
          <cell r="D17417" t="str">
            <v>AS-4124GS-TNR</v>
          </cell>
          <cell r="E17417" t="str">
            <v>E404070X2402104</v>
          </cell>
        </row>
        <row r="17418">
          <cell r="D17418" t="str">
            <v>CSE</v>
          </cell>
          <cell r="E17418" t="str">
            <v>C4180AK30A40455</v>
          </cell>
        </row>
        <row r="17419">
          <cell r="D17419" t="str">
            <v>PWS</v>
          </cell>
          <cell r="E17419" t="str">
            <v>P2K08CM14ZB1291</v>
          </cell>
        </row>
        <row r="17420">
          <cell r="D17420" t="str">
            <v>PWS</v>
          </cell>
          <cell r="E17420" t="str">
            <v>P2K08CM14ZB1292</v>
          </cell>
        </row>
        <row r="17421">
          <cell r="D17421" t="str">
            <v>PWS</v>
          </cell>
          <cell r="E17421" t="str">
            <v>P2K08CM14ZB1293</v>
          </cell>
        </row>
        <row r="17422">
          <cell r="D17422" t="str">
            <v>PWS</v>
          </cell>
          <cell r="E17422" t="str">
            <v>P2K08CM14ZB1294</v>
          </cell>
        </row>
        <row r="17423">
          <cell r="D17423" t="str">
            <v>BPN</v>
          </cell>
          <cell r="E17423" t="str">
            <v>EB222S011865</v>
          </cell>
        </row>
        <row r="17424">
          <cell r="D17424" t="str">
            <v>MBD</v>
          </cell>
          <cell r="E17424" t="str">
            <v>UM223S600436</v>
          </cell>
        </row>
        <row r="17425">
          <cell r="D17425" t="str">
            <v>AOC</v>
          </cell>
          <cell r="E17425" t="str">
            <v>OA218S005523</v>
          </cell>
        </row>
        <row r="17426">
          <cell r="D17426" t="str">
            <v>AOC</v>
          </cell>
          <cell r="E17426" t="str">
            <v>UA215S000011</v>
          </cell>
        </row>
        <row r="17427">
          <cell r="D17427" t="str">
            <v>CPU</v>
          </cell>
          <cell r="E17427" t="str">
            <v>4605954V10070</v>
          </cell>
        </row>
        <row r="17428">
          <cell r="D17428" t="str">
            <v>CPU</v>
          </cell>
          <cell r="E17428" t="str">
            <v>4605954V10068</v>
          </cell>
        </row>
        <row r="17429">
          <cell r="D17429" t="str">
            <v>MEM</v>
          </cell>
          <cell r="E17429" t="str">
            <v>S802C252137F2BC428D</v>
          </cell>
        </row>
        <row r="17430">
          <cell r="D17430" t="str">
            <v>MEM</v>
          </cell>
          <cell r="E17430" t="str">
            <v>S802C252137F2BC4284</v>
          </cell>
        </row>
        <row r="17431">
          <cell r="D17431" t="str">
            <v>MEM</v>
          </cell>
          <cell r="E17431" t="str">
            <v>S802C252137F2BC4220</v>
          </cell>
        </row>
        <row r="17432">
          <cell r="D17432" t="str">
            <v>MEM</v>
          </cell>
          <cell r="E17432" t="str">
            <v>S802C252137F2BC4D08</v>
          </cell>
        </row>
        <row r="17433">
          <cell r="D17433" t="str">
            <v>MEM</v>
          </cell>
          <cell r="E17433" t="str">
            <v>S802C252137F2BC4D12</v>
          </cell>
        </row>
        <row r="17434">
          <cell r="D17434" t="str">
            <v>MEM</v>
          </cell>
          <cell r="E17434" t="str">
            <v>S802C252137F2BC4219</v>
          </cell>
        </row>
        <row r="17435">
          <cell r="D17435" t="str">
            <v>MEM</v>
          </cell>
          <cell r="E17435" t="str">
            <v>S802C252137F2BC407A</v>
          </cell>
        </row>
        <row r="17436">
          <cell r="D17436" t="str">
            <v>MEM</v>
          </cell>
          <cell r="E17436" t="str">
            <v>S802C252137F2BC427A</v>
          </cell>
        </row>
        <row r="17437">
          <cell r="D17437" t="str">
            <v>MEM</v>
          </cell>
          <cell r="E17437" t="str">
            <v>S802C252137F2BC427D</v>
          </cell>
        </row>
        <row r="17438">
          <cell r="D17438" t="str">
            <v>MEM</v>
          </cell>
          <cell r="E17438" t="str">
            <v>S802C252137F2BC427F</v>
          </cell>
        </row>
        <row r="17439">
          <cell r="D17439" t="str">
            <v>MEM</v>
          </cell>
          <cell r="E17439" t="str">
            <v>S802C252137F2BC4140</v>
          </cell>
        </row>
        <row r="17440">
          <cell r="D17440" t="str">
            <v>MEM</v>
          </cell>
          <cell r="E17440" t="str">
            <v>S802C252137F2BC4127</v>
          </cell>
        </row>
        <row r="17441">
          <cell r="D17441" t="str">
            <v>MEM</v>
          </cell>
          <cell r="E17441" t="str">
            <v>S802C252137F2BC40A4</v>
          </cell>
        </row>
        <row r="17442">
          <cell r="D17442" t="str">
            <v>MEM</v>
          </cell>
          <cell r="E17442" t="str">
            <v>S802C252137F2BC40A6</v>
          </cell>
        </row>
        <row r="17443">
          <cell r="D17443" t="str">
            <v>MEM</v>
          </cell>
          <cell r="E17443" t="str">
            <v>S802C252137F2BC4090</v>
          </cell>
        </row>
        <row r="17444">
          <cell r="D17444" t="str">
            <v>MEM</v>
          </cell>
          <cell r="E17444" t="str">
            <v>S802C252137F2BC412B</v>
          </cell>
        </row>
        <row r="17445">
          <cell r="D17445" t="str">
            <v>HDS</v>
          </cell>
          <cell r="E17445" t="str">
            <v>22043461ED08</v>
          </cell>
        </row>
        <row r="17446">
          <cell r="D17446" t="str">
            <v>HDS</v>
          </cell>
          <cell r="E17446" t="str">
            <v>22043462E8FD</v>
          </cell>
        </row>
        <row r="17447">
          <cell r="D17447" t="str">
            <v>AOC-SGP-I4</v>
          </cell>
          <cell r="E17447" t="str">
            <v>VA221S019919</v>
          </cell>
        </row>
        <row r="17448">
          <cell r="D17448" t="str">
            <v>AOC-SGP-I4</v>
          </cell>
          <cell r="E17448" t="str">
            <v>VA21AS037683</v>
          </cell>
        </row>
        <row r="17449">
          <cell r="D17449" t="str">
            <v>HDS-I2T0-SSDSC2KB019T8</v>
          </cell>
          <cell r="E17449" t="str">
            <v>PHYF952503YZ1P9DGN</v>
          </cell>
        </row>
        <row r="17450">
          <cell r="D17450" t="str">
            <v>PWS-706P-1R</v>
          </cell>
          <cell r="E17450" t="str">
            <v>P7061VM20LB1999</v>
          </cell>
        </row>
        <row r="17451">
          <cell r="D17451" t="str">
            <v>MBD-H12SSW-NTR-O</v>
          </cell>
          <cell r="E17451" t="str">
            <v>WM213S601862</v>
          </cell>
        </row>
        <row r="17452">
          <cell r="D17452" t="str">
            <v>MBD-H12SSW-NTR-O</v>
          </cell>
          <cell r="E17452" t="str">
            <v>WM213S602006</v>
          </cell>
        </row>
        <row r="17453">
          <cell r="D17453" t="str">
            <v>MBD-X11DDW-NT-B</v>
          </cell>
          <cell r="E17453" t="str">
            <v>NM221S000612</v>
          </cell>
        </row>
        <row r="17454">
          <cell r="D17454" t="str">
            <v>MBD-X11DDW-NT-B</v>
          </cell>
          <cell r="E17454" t="str">
            <v>NM221S000606</v>
          </cell>
        </row>
        <row r="17455">
          <cell r="D17455" t="str">
            <v>MBD-X11DDW-NT-B</v>
          </cell>
          <cell r="E17455" t="str">
            <v>NM221S000604</v>
          </cell>
        </row>
        <row r="17456">
          <cell r="D17456" t="str">
            <v>MBD-X11DDW-NT-B</v>
          </cell>
          <cell r="E17456" t="str">
            <v>NM221S000674</v>
          </cell>
        </row>
        <row r="17457">
          <cell r="D17457" t="str">
            <v>MBD-X11DDW-NT-B</v>
          </cell>
          <cell r="E17457" t="str">
            <v>NM221S000610</v>
          </cell>
        </row>
        <row r="17458">
          <cell r="D17458" t="str">
            <v>MBD-X11DDW-NT-B</v>
          </cell>
          <cell r="E17458" t="str">
            <v>NM221S000452</v>
          </cell>
        </row>
        <row r="17459">
          <cell r="D17459" t="str">
            <v>MBD-X11DDW-NT-B</v>
          </cell>
          <cell r="E17459" t="str">
            <v>NM221S000470</v>
          </cell>
        </row>
        <row r="17460">
          <cell r="D17460" t="str">
            <v>MBD-X11DDW-NT-B</v>
          </cell>
          <cell r="E17460" t="str">
            <v>NM221S000634</v>
          </cell>
        </row>
        <row r="17461">
          <cell r="D17461" t="str">
            <v>MBD-X11DDW-NT-B</v>
          </cell>
          <cell r="E17461" t="str">
            <v>NM221S000636</v>
          </cell>
        </row>
        <row r="17462">
          <cell r="D17462" t="str">
            <v>MBD-X11DDW-NT-B</v>
          </cell>
          <cell r="E17462" t="str">
            <v>NM221S000630</v>
          </cell>
        </row>
        <row r="17463">
          <cell r="D17463" t="str">
            <v>MBD-X11DDW-NT-B</v>
          </cell>
          <cell r="E17463" t="str">
            <v>NM21BS006901</v>
          </cell>
        </row>
        <row r="17464">
          <cell r="D17464" t="str">
            <v>MBD-X11DDW-NT-B</v>
          </cell>
          <cell r="E17464" t="str">
            <v>NM221S000463</v>
          </cell>
        </row>
        <row r="17465">
          <cell r="D17465" t="str">
            <v>MBD-X11DDW-NT-B</v>
          </cell>
          <cell r="E17465" t="str">
            <v>NM221S000738</v>
          </cell>
        </row>
        <row r="17466">
          <cell r="D17466" t="str">
            <v>MBD-X11DDW-NT-B</v>
          </cell>
          <cell r="E17466" t="str">
            <v>NM221S000465</v>
          </cell>
        </row>
        <row r="17467">
          <cell r="D17467" t="str">
            <v>MBD-X11DDW-NT-B</v>
          </cell>
          <cell r="E17467" t="str">
            <v>NM221S000466</v>
          </cell>
        </row>
        <row r="17468">
          <cell r="D17468" t="str">
            <v>MBD-X11DDW-NT-B</v>
          </cell>
          <cell r="E17468" t="str">
            <v>NM221S000467</v>
          </cell>
        </row>
        <row r="17469">
          <cell r="D17469" t="str">
            <v>MBD-X11DDW-NT-B</v>
          </cell>
          <cell r="E17469" t="str">
            <v>NM221S000464</v>
          </cell>
        </row>
        <row r="17470">
          <cell r="D17470" t="str">
            <v>MBD-X11DDW-NT-B</v>
          </cell>
          <cell r="E17470" t="str">
            <v>NM221S000707</v>
          </cell>
        </row>
        <row r="17471">
          <cell r="D17471" t="str">
            <v>MBD-X11DDW-NT-B</v>
          </cell>
          <cell r="E17471" t="str">
            <v>NM221S000468</v>
          </cell>
        </row>
        <row r="17472">
          <cell r="D17472" t="str">
            <v>MBD-X11DDW-NT-B</v>
          </cell>
          <cell r="E17472" t="str">
            <v>NM21BS006915</v>
          </cell>
        </row>
        <row r="17473">
          <cell r="D17473" t="str">
            <v>MBD-X11DDW-NT-B</v>
          </cell>
          <cell r="E17473" t="str">
            <v>NM221S000757</v>
          </cell>
        </row>
        <row r="17474">
          <cell r="D17474" t="str">
            <v>MBD-X11DDW-NT-B</v>
          </cell>
          <cell r="E17474" t="str">
            <v>NM221S000759</v>
          </cell>
        </row>
        <row r="17475">
          <cell r="D17475" t="str">
            <v>MBD-X11DDW-NT-B</v>
          </cell>
          <cell r="E17475" t="str">
            <v>NM221S000557</v>
          </cell>
        </row>
        <row r="17476">
          <cell r="D17476" t="str">
            <v>MBD-X11DDW-NT-B</v>
          </cell>
          <cell r="E17476" t="str">
            <v>NM221S000549</v>
          </cell>
        </row>
        <row r="17477">
          <cell r="D17477" t="str">
            <v>MBD-X11DDW-NT-B</v>
          </cell>
          <cell r="E17477" t="str">
            <v>NM221S000800</v>
          </cell>
        </row>
        <row r="17478">
          <cell r="D17478" t="str">
            <v>MBD-X11DDW-NT-B</v>
          </cell>
          <cell r="E17478" t="str">
            <v>NM221S000556</v>
          </cell>
        </row>
        <row r="17479">
          <cell r="D17479" t="str">
            <v>MBD-X11DDW-NT-B</v>
          </cell>
          <cell r="E17479" t="str">
            <v>NM221S000795</v>
          </cell>
        </row>
        <row r="17480">
          <cell r="D17480" t="str">
            <v>MBD-X11DDW-NT-B</v>
          </cell>
          <cell r="E17480" t="str">
            <v>NM221S000796</v>
          </cell>
        </row>
        <row r="17481">
          <cell r="D17481" t="str">
            <v>MBD-X11DDW-NT-B</v>
          </cell>
          <cell r="E17481" t="str">
            <v>NM221S000885</v>
          </cell>
        </row>
        <row r="17482">
          <cell r="D17482" t="str">
            <v>MBD-X11DDW-NT-B</v>
          </cell>
          <cell r="E17482" t="str">
            <v>NM221S000891</v>
          </cell>
        </row>
        <row r="17483">
          <cell r="D17483" t="str">
            <v>SYS-5019A-FTN4</v>
          </cell>
          <cell r="E17483" t="str">
            <v>E286201X2600305</v>
          </cell>
        </row>
        <row r="17484">
          <cell r="D17484" t="str">
            <v>CSE</v>
          </cell>
          <cell r="E17484" t="str">
            <v>C5050LK37NG0732</v>
          </cell>
        </row>
        <row r="17485">
          <cell r="D17485" t="str">
            <v>PWS</v>
          </cell>
          <cell r="E17485" t="str">
            <v>P20310L35G37575</v>
          </cell>
        </row>
        <row r="17486">
          <cell r="D17486" t="str">
            <v>MBD</v>
          </cell>
          <cell r="E17486" t="str">
            <v>NM21CS008131</v>
          </cell>
        </row>
        <row r="17487">
          <cell r="D17487" t="str">
            <v>RSC</v>
          </cell>
          <cell r="E17487" t="str">
            <v>VR219S026843</v>
          </cell>
        </row>
        <row r="17488">
          <cell r="D17488" t="str">
            <v>AS-4124GS-TNR</v>
          </cell>
          <cell r="E17488" t="str">
            <v>E404070X2402102</v>
          </cell>
        </row>
        <row r="17489">
          <cell r="D17489" t="str">
            <v>CSE</v>
          </cell>
          <cell r="E17489" t="str">
            <v>C4180AK30A40456</v>
          </cell>
        </row>
        <row r="17490">
          <cell r="D17490" t="str">
            <v>PWS</v>
          </cell>
          <cell r="E17490" t="str">
            <v>P2K08CM14ZB1278</v>
          </cell>
        </row>
        <row r="17491">
          <cell r="D17491" t="str">
            <v>PWS</v>
          </cell>
          <cell r="E17491" t="str">
            <v>P2K08CM14ZB1277</v>
          </cell>
        </row>
        <row r="17492">
          <cell r="D17492" t="str">
            <v>PWS</v>
          </cell>
          <cell r="E17492" t="str">
            <v>P2K08CM14ZB1275</v>
          </cell>
        </row>
        <row r="17493">
          <cell r="D17493" t="str">
            <v>PWS</v>
          </cell>
          <cell r="E17493" t="str">
            <v>P2K08CM14ZB1276</v>
          </cell>
        </row>
        <row r="17494">
          <cell r="D17494" t="str">
            <v>BPN</v>
          </cell>
          <cell r="E17494" t="str">
            <v>EB222S011867</v>
          </cell>
        </row>
        <row r="17495">
          <cell r="D17495" t="str">
            <v>MBD</v>
          </cell>
          <cell r="E17495" t="str">
            <v>UM223S600439</v>
          </cell>
        </row>
        <row r="17496">
          <cell r="D17496" t="str">
            <v>AOC</v>
          </cell>
          <cell r="E17496" t="str">
            <v>OA215S044408</v>
          </cell>
        </row>
        <row r="17497">
          <cell r="D17497" t="str">
            <v>AOC</v>
          </cell>
          <cell r="E17497" t="str">
            <v>UA215S000012</v>
          </cell>
        </row>
        <row r="17498">
          <cell r="D17498" t="str">
            <v>CPU</v>
          </cell>
          <cell r="E17498" t="str">
            <v>9LG4222O20010</v>
          </cell>
        </row>
        <row r="17499">
          <cell r="D17499" t="str">
            <v>CPU</v>
          </cell>
          <cell r="E17499" t="str">
            <v>9LG4222O20012</v>
          </cell>
        </row>
        <row r="17500">
          <cell r="D17500" t="str">
            <v>MEM</v>
          </cell>
          <cell r="E17500" t="str">
            <v>S802C252137F2BC49F6</v>
          </cell>
        </row>
        <row r="17501">
          <cell r="D17501" t="str">
            <v>MEM</v>
          </cell>
          <cell r="E17501" t="str">
            <v>S802C252137F2BC41FC</v>
          </cell>
        </row>
        <row r="17502">
          <cell r="D17502" t="str">
            <v>MEM</v>
          </cell>
          <cell r="E17502" t="str">
            <v>S802C252137F2BC495B</v>
          </cell>
        </row>
        <row r="17503">
          <cell r="D17503" t="str">
            <v>MEM</v>
          </cell>
          <cell r="E17503" t="str">
            <v>S802C252137F2BC49F3</v>
          </cell>
        </row>
        <row r="17504">
          <cell r="D17504" t="str">
            <v>MEM</v>
          </cell>
          <cell r="E17504" t="str">
            <v>S802C252137F2BC3942</v>
          </cell>
        </row>
        <row r="17505">
          <cell r="D17505" t="str">
            <v>MEM</v>
          </cell>
          <cell r="E17505" t="str">
            <v>S802C252137F2BC4200</v>
          </cell>
        </row>
        <row r="17506">
          <cell r="D17506" t="str">
            <v>MEM</v>
          </cell>
          <cell r="E17506" t="str">
            <v>S802C252137F2BC3860</v>
          </cell>
        </row>
        <row r="17507">
          <cell r="D17507" t="str">
            <v>MEM</v>
          </cell>
          <cell r="E17507" t="str">
            <v>S802C252137F2BC40D5</v>
          </cell>
        </row>
        <row r="17508">
          <cell r="D17508" t="str">
            <v>MEM</v>
          </cell>
          <cell r="E17508" t="str">
            <v>S802C252137F2BC4203</v>
          </cell>
        </row>
        <row r="17509">
          <cell r="D17509" t="str">
            <v>MEM</v>
          </cell>
          <cell r="E17509" t="str">
            <v>S802C252137F2BC4CD1</v>
          </cell>
        </row>
        <row r="17510">
          <cell r="D17510" t="str">
            <v>MEM</v>
          </cell>
          <cell r="E17510" t="str">
            <v>S802C252137F2BC4CDA</v>
          </cell>
        </row>
        <row r="17511">
          <cell r="D17511" t="str">
            <v>MEM</v>
          </cell>
          <cell r="E17511" t="str">
            <v>S802C252137F2BC4CD2</v>
          </cell>
        </row>
        <row r="17512">
          <cell r="D17512" t="str">
            <v>MEM</v>
          </cell>
          <cell r="E17512" t="str">
            <v>S802C252137F2BC4D8E</v>
          </cell>
        </row>
        <row r="17513">
          <cell r="D17513" t="str">
            <v>MEM</v>
          </cell>
          <cell r="E17513" t="str">
            <v>S802C252137F2BC4CDB</v>
          </cell>
        </row>
        <row r="17514">
          <cell r="D17514" t="str">
            <v>MEM</v>
          </cell>
          <cell r="E17514" t="str">
            <v>S802C252137F2BC41F7</v>
          </cell>
        </row>
        <row r="17515">
          <cell r="D17515" t="str">
            <v>MEM</v>
          </cell>
          <cell r="E17515" t="str">
            <v>S802C252206F32EEB8C</v>
          </cell>
        </row>
        <row r="17516">
          <cell r="D17516" t="str">
            <v>HDS</v>
          </cell>
          <cell r="E17516" t="str">
            <v>2204345F0316</v>
          </cell>
        </row>
        <row r="17517">
          <cell r="D17517" t="str">
            <v>HDS</v>
          </cell>
          <cell r="E17517" t="str">
            <v>2204345F02CA</v>
          </cell>
        </row>
        <row r="17518">
          <cell r="D17518" t="str">
            <v>MZ1LB1T9HALS-00007</v>
          </cell>
          <cell r="E17518" t="str">
            <v>S436NA0R755609</v>
          </cell>
        </row>
        <row r="17519">
          <cell r="D17519" t="str">
            <v>MZ1LB1T9HALS-00007</v>
          </cell>
          <cell r="E17519" t="str">
            <v>S436NA0R755519</v>
          </cell>
        </row>
        <row r="17520">
          <cell r="D17520" t="str">
            <v>M393AAG40M3B-CYF</v>
          </cell>
          <cell r="E17520" t="str">
            <v>SNL847</v>
          </cell>
        </row>
        <row r="17521">
          <cell r="D17521" t="str">
            <v>M393AAG40M3B-CYF</v>
          </cell>
          <cell r="E17521" t="str">
            <v>SNL848</v>
          </cell>
        </row>
        <row r="17522">
          <cell r="D17522" t="str">
            <v>M393AAG40M3B-CYF</v>
          </cell>
          <cell r="E17522" t="str">
            <v>SNL849</v>
          </cell>
        </row>
        <row r="17523">
          <cell r="D17523" t="str">
            <v>M393AAG40M3B-CYF</v>
          </cell>
          <cell r="E17523" t="str">
            <v>SNL850</v>
          </cell>
        </row>
        <row r="17524">
          <cell r="D17524" t="str">
            <v>M393AAG40M3B-CYF</v>
          </cell>
          <cell r="E17524" t="str">
            <v>SNL851</v>
          </cell>
        </row>
        <row r="17525">
          <cell r="D17525" t="str">
            <v>M393AAG40M3B-CYF</v>
          </cell>
          <cell r="E17525" t="str">
            <v>SNL852</v>
          </cell>
        </row>
        <row r="17526">
          <cell r="D17526" t="str">
            <v>M393AAG40M3B-CYF</v>
          </cell>
          <cell r="E17526" t="str">
            <v>SNL853</v>
          </cell>
        </row>
        <row r="17527">
          <cell r="D17527" t="str">
            <v>M393AAG40M3B-CYF</v>
          </cell>
          <cell r="E17527" t="str">
            <v>SNL854</v>
          </cell>
        </row>
        <row r="17528">
          <cell r="D17528" t="str">
            <v>M393AAG40M3B-CYF</v>
          </cell>
          <cell r="E17528" t="str">
            <v>SNL855</v>
          </cell>
        </row>
        <row r="17529">
          <cell r="D17529" t="str">
            <v>M393AAG40M3B-CYF</v>
          </cell>
          <cell r="E17529" t="str">
            <v>SNL856</v>
          </cell>
        </row>
        <row r="17530">
          <cell r="D17530" t="str">
            <v>M393AAG40M3B-CYF</v>
          </cell>
          <cell r="E17530" t="str">
            <v>SNL857</v>
          </cell>
        </row>
        <row r="17531">
          <cell r="D17531" t="str">
            <v>M393AAG40M3B-CYF</v>
          </cell>
          <cell r="E17531" t="str">
            <v>SNL858</v>
          </cell>
        </row>
        <row r="17532">
          <cell r="D17532" t="str">
            <v>M393AAG40M3B-CYF</v>
          </cell>
          <cell r="E17532" t="str">
            <v>SNL859</v>
          </cell>
        </row>
        <row r="17533">
          <cell r="D17533" t="str">
            <v>M393AAG40M3B-CYF</v>
          </cell>
          <cell r="E17533" t="str">
            <v>SNL860</v>
          </cell>
        </row>
        <row r="17534">
          <cell r="D17534" t="str">
            <v>ST18000NM000J</v>
          </cell>
          <cell r="E17534" t="str">
            <v>WR508R9Z</v>
          </cell>
        </row>
        <row r="17535">
          <cell r="D17535" t="str">
            <v>Intel Xeon Silver 4210R</v>
          </cell>
          <cell r="E17535" t="str">
            <v>72T34N4600092</v>
          </cell>
        </row>
        <row r="17536">
          <cell r="D17536" t="str">
            <v>05-50076-00 9580-8i8e</v>
          </cell>
          <cell r="E17536" t="str">
            <v>SPC1626507</v>
          </cell>
          <cell r="K17536" t="str">
            <v>Zwrot do TechDaty</v>
          </cell>
        </row>
        <row r="17537">
          <cell r="D17537" t="str">
            <v>05-50076-00 9580-8i8e</v>
          </cell>
          <cell r="E17537" t="str">
            <v>SPC1429242</v>
          </cell>
          <cell r="K17537" t="str">
            <v>Zwrot do TechDaty</v>
          </cell>
        </row>
        <row r="17538">
          <cell r="D17538" t="str">
            <v>05-26105-00 9341-4i</v>
          </cell>
          <cell r="E17538" t="str">
            <v>SPB5047486</v>
          </cell>
        </row>
        <row r="17539">
          <cell r="D17539" t="str">
            <v>05-26105-00 9341-4i</v>
          </cell>
          <cell r="E17539" t="str">
            <v>SPB5048047</v>
          </cell>
        </row>
        <row r="17540">
          <cell r="D17540" t="str">
            <v>05-26105-00 9341-4i</v>
          </cell>
          <cell r="E17540" t="str">
            <v>SPB5048152</v>
          </cell>
        </row>
        <row r="17541">
          <cell r="D17541" t="str">
            <v>05-26105-00 9341-4i</v>
          </cell>
          <cell r="E17541" t="str">
            <v>SPB5047997</v>
          </cell>
        </row>
        <row r="17542">
          <cell r="D17542" t="str">
            <v>05-26105-00 9341-4i</v>
          </cell>
          <cell r="E17542" t="str">
            <v>SPB5048146</v>
          </cell>
        </row>
        <row r="17543">
          <cell r="D17543" t="str">
            <v>100-000000065</v>
          </cell>
          <cell r="E17543" t="str">
            <v>9KI6723O20460_100-000000065</v>
          </cell>
        </row>
        <row r="17544">
          <cell r="D17544" t="str">
            <v>X570D4U</v>
          </cell>
          <cell r="E17544" t="str">
            <v>F1S0XW006297</v>
          </cell>
        </row>
        <row r="17545">
          <cell r="D17545" t="str">
            <v>X570D4U</v>
          </cell>
          <cell r="E17545" t="str">
            <v>F1S0XW006301</v>
          </cell>
        </row>
        <row r="17546">
          <cell r="D17546" t="str">
            <v>C3558D4I-4L</v>
          </cell>
          <cell r="E17546" t="str">
            <v>F4S0XW003427</v>
          </cell>
        </row>
        <row r="17547">
          <cell r="D17547" t="str">
            <v>1U4LW-X570/EU</v>
          </cell>
          <cell r="E17547" t="str">
            <v>F4S0R8000133</v>
          </cell>
        </row>
        <row r="17548">
          <cell r="D17548" t="str">
            <v>0B36040</v>
          </cell>
          <cell r="E17548" t="str">
            <v>V3GR4SRG</v>
          </cell>
        </row>
        <row r="17549">
          <cell r="D17549" t="str">
            <v>0B36040</v>
          </cell>
          <cell r="E17549" t="str">
            <v>V3GR38YF</v>
          </cell>
        </row>
        <row r="17550">
          <cell r="D17550" t="str">
            <v>SSDPR-CX400-128-G2</v>
          </cell>
          <cell r="E17550" t="str">
            <v>GZE028407</v>
          </cell>
        </row>
        <row r="17551">
          <cell r="D17551" t="str">
            <v>SSDPR-CX400-128-G2</v>
          </cell>
          <cell r="E17551" t="str">
            <v>GZE028423</v>
          </cell>
        </row>
        <row r="17552">
          <cell r="D17552" t="str">
            <v>SSDPR-CX400-128-G2</v>
          </cell>
          <cell r="E17552" t="str">
            <v>GZE028406</v>
          </cell>
        </row>
        <row r="17553">
          <cell r="D17553" t="str">
            <v>SSDPR-CX400-128-G2</v>
          </cell>
          <cell r="E17553" t="str">
            <v>GZE027012</v>
          </cell>
        </row>
        <row r="17554">
          <cell r="D17554" t="str">
            <v>SSDPR-CX400-128-G2</v>
          </cell>
          <cell r="E17554" t="str">
            <v>GZE028424</v>
          </cell>
        </row>
        <row r="17555">
          <cell r="D17555" t="str">
            <v>SSDPR-CX400-128-G2</v>
          </cell>
          <cell r="E17555" t="str">
            <v>GZE028115</v>
          </cell>
        </row>
        <row r="17556">
          <cell r="D17556" t="str">
            <v>SSDPR-CX400-128-G2</v>
          </cell>
          <cell r="E17556" t="str">
            <v>GZE028985</v>
          </cell>
        </row>
        <row r="17557">
          <cell r="D17557" t="str">
            <v>SSDPR-CX400-128-G2</v>
          </cell>
          <cell r="E17557" t="str">
            <v>GZE028968</v>
          </cell>
        </row>
        <row r="17558">
          <cell r="D17558" t="str">
            <v>SSDPR-CX400-128-G2</v>
          </cell>
          <cell r="E17558" t="str">
            <v>GZE028414</v>
          </cell>
        </row>
        <row r="17559">
          <cell r="D17559" t="str">
            <v>SSDPR-CX400-128-G2</v>
          </cell>
          <cell r="E17559" t="str">
            <v>GZE027011</v>
          </cell>
        </row>
        <row r="17560">
          <cell r="D17560" t="str">
            <v>SSDPR-CX400-128-G2</v>
          </cell>
          <cell r="E17560" t="str">
            <v>GZE044010</v>
          </cell>
        </row>
        <row r="17561">
          <cell r="D17561" t="str">
            <v>SSDPR-CX400-128-G2</v>
          </cell>
          <cell r="E17561" t="str">
            <v>GZE044019</v>
          </cell>
        </row>
        <row r="17562">
          <cell r="D17562" t="str">
            <v>SSDPR-CX400-128-G2</v>
          </cell>
          <cell r="E17562" t="str">
            <v>GZE043009</v>
          </cell>
        </row>
        <row r="17563">
          <cell r="D17563" t="str">
            <v>SSDPR-CX400-128-G2</v>
          </cell>
          <cell r="E17563" t="str">
            <v>GZE044007</v>
          </cell>
        </row>
        <row r="17564">
          <cell r="D17564" t="str">
            <v>SSDPR-CX400-128-G2</v>
          </cell>
          <cell r="E17564" t="str">
            <v>GZE044611</v>
          </cell>
        </row>
        <row r="17565">
          <cell r="D17565" t="str">
            <v>SSDPR-CX400-128-G2</v>
          </cell>
          <cell r="E17565" t="str">
            <v>GZE044018</v>
          </cell>
        </row>
        <row r="17566">
          <cell r="D17566" t="str">
            <v>SSDPR-CX400-128-G2</v>
          </cell>
          <cell r="E17566" t="str">
            <v>GZE044011</v>
          </cell>
        </row>
        <row r="17567">
          <cell r="D17567" t="str">
            <v>SSDPR-CX400-128-G2</v>
          </cell>
          <cell r="E17567" t="str">
            <v>GZE044017</v>
          </cell>
        </row>
        <row r="17568">
          <cell r="D17568" t="str">
            <v>SSDPR-CX400-128-G2</v>
          </cell>
          <cell r="E17568" t="str">
            <v>GZE042579</v>
          </cell>
        </row>
        <row r="17569">
          <cell r="D17569" t="str">
            <v>SSDPR-CX400-128-G2</v>
          </cell>
          <cell r="E17569" t="str">
            <v>GZE044020</v>
          </cell>
        </row>
        <row r="17570">
          <cell r="D17570" t="str">
            <v>SSDPR-CX400-128-G2</v>
          </cell>
          <cell r="E17570" t="str">
            <v>GZE042167</v>
          </cell>
        </row>
        <row r="17571">
          <cell r="D17571" t="str">
            <v>SSDPR-CX400-128-G2</v>
          </cell>
          <cell r="E17571" t="str">
            <v>GZE042282</v>
          </cell>
        </row>
        <row r="17572">
          <cell r="D17572" t="str">
            <v>SSDPR-CX400-128-G2</v>
          </cell>
          <cell r="E17572" t="str">
            <v>GZE041826</v>
          </cell>
        </row>
        <row r="17573">
          <cell r="D17573" t="str">
            <v>SSDPR-CX400-128-G2</v>
          </cell>
          <cell r="E17573" t="str">
            <v>GZE040999</v>
          </cell>
        </row>
        <row r="17574">
          <cell r="D17574" t="str">
            <v>SSDPR-CX400-128-G2</v>
          </cell>
          <cell r="E17574" t="str">
            <v>GZE041829</v>
          </cell>
        </row>
        <row r="17575">
          <cell r="D17575" t="str">
            <v>SSDPR-CX400-128-G2</v>
          </cell>
          <cell r="E17575" t="str">
            <v>GZE040994</v>
          </cell>
        </row>
        <row r="17576">
          <cell r="D17576" t="str">
            <v>SSDPR-CX400-128-G2</v>
          </cell>
          <cell r="E17576" t="str">
            <v>GZE041002</v>
          </cell>
        </row>
        <row r="17577">
          <cell r="D17577" t="str">
            <v>SSDPR-CX400-128-G2</v>
          </cell>
          <cell r="E17577" t="str">
            <v>GZE041831</v>
          </cell>
        </row>
        <row r="17578">
          <cell r="D17578" t="str">
            <v>SSDPR-CX400-128-G2</v>
          </cell>
          <cell r="E17578" t="str">
            <v>GZE040224</v>
          </cell>
        </row>
        <row r="17579">
          <cell r="D17579" t="str">
            <v>SSDPR-CX400-128-G2</v>
          </cell>
          <cell r="E17579" t="str">
            <v>GZE040991</v>
          </cell>
        </row>
        <row r="17580">
          <cell r="D17580" t="str">
            <v>SSDPR-CX400-128-G2</v>
          </cell>
          <cell r="E17580" t="str">
            <v>GZE027620</v>
          </cell>
        </row>
        <row r="17581">
          <cell r="D17581" t="str">
            <v>SSDPR-CX400-128-G2</v>
          </cell>
          <cell r="E17581" t="str">
            <v>GZE027608</v>
          </cell>
        </row>
        <row r="17582">
          <cell r="D17582" t="str">
            <v>SSDPR-CX400-128-G2</v>
          </cell>
          <cell r="E17582" t="str">
            <v>GZE027613</v>
          </cell>
        </row>
        <row r="17583">
          <cell r="D17583" t="str">
            <v>SSDPR-CX400-128-G2</v>
          </cell>
          <cell r="E17583" t="str">
            <v>GZE027607</v>
          </cell>
        </row>
        <row r="17584">
          <cell r="D17584" t="str">
            <v>SSDPR-CX400-128-G2</v>
          </cell>
          <cell r="E17584" t="str">
            <v>GZE027616</v>
          </cell>
        </row>
        <row r="17585">
          <cell r="D17585" t="str">
            <v>SSDPR-CX400-128-G2</v>
          </cell>
          <cell r="E17585" t="str">
            <v>GZE027618</v>
          </cell>
        </row>
        <row r="17586">
          <cell r="D17586" t="str">
            <v>SSDPR-CX400-128-G2</v>
          </cell>
          <cell r="E17586" t="str">
            <v>GZE027614</v>
          </cell>
        </row>
        <row r="17587">
          <cell r="D17587" t="str">
            <v>SSDPR-CX400-128-G2</v>
          </cell>
          <cell r="E17587" t="str">
            <v>GZE027611</v>
          </cell>
        </row>
        <row r="17588">
          <cell r="D17588" t="str">
            <v>SSDPR-CX400-128-G2</v>
          </cell>
          <cell r="E17588" t="str">
            <v>GZE028178</v>
          </cell>
        </row>
        <row r="17589">
          <cell r="D17589" t="str">
            <v>SSDPR-CX400-128-G2</v>
          </cell>
          <cell r="E17589" t="str">
            <v>GZE027009</v>
          </cell>
        </row>
        <row r="17590">
          <cell r="D17590" t="str">
            <v>M393A8G40AB2-CWE</v>
          </cell>
          <cell r="E17590" t="str">
            <v>SNL861</v>
          </cell>
        </row>
        <row r="17591">
          <cell r="D17591" t="str">
            <v>M393A8G40AB2-CWE</v>
          </cell>
          <cell r="E17591" t="str">
            <v>SNL862</v>
          </cell>
        </row>
        <row r="17592">
          <cell r="D17592" t="str">
            <v>M393A8G40AB2-CWE</v>
          </cell>
          <cell r="E17592" t="str">
            <v>SNL863</v>
          </cell>
        </row>
        <row r="17593">
          <cell r="D17593" t="str">
            <v>M393A8G40AB2-CWE</v>
          </cell>
          <cell r="E17593" t="str">
            <v>SNL864</v>
          </cell>
        </row>
        <row r="17594">
          <cell r="D17594" t="str">
            <v>MTA36ASF4G72PZ-2G9E2 212</v>
          </cell>
          <cell r="E17594" t="str">
            <v>S802C0F221236295335</v>
          </cell>
        </row>
        <row r="17595">
          <cell r="D17595" t="str">
            <v>MTA36ASF4G72PZ-2G9E2 212</v>
          </cell>
          <cell r="E17595" t="str">
            <v>S802C0F22123629855E</v>
          </cell>
        </row>
        <row r="17596">
          <cell r="D17596" t="str">
            <v>05-26105-00 9341-4i</v>
          </cell>
          <cell r="E17596" t="str">
            <v>SPB5047941</v>
          </cell>
        </row>
        <row r="17597">
          <cell r="D17597" t="str">
            <v>05-26105-00 9341-4i</v>
          </cell>
          <cell r="E17597" t="str">
            <v>SPB5048074</v>
          </cell>
        </row>
        <row r="17598">
          <cell r="D17598" t="str">
            <v>05-26105-00 9341-4i</v>
          </cell>
          <cell r="E17598" t="str">
            <v>SPB5048358</v>
          </cell>
        </row>
        <row r="17599">
          <cell r="D17599" t="str">
            <v>05-26105-00 9341-4i</v>
          </cell>
          <cell r="E17599" t="str">
            <v>SPB5048016</v>
          </cell>
        </row>
        <row r="17600">
          <cell r="D17600" t="str">
            <v>05-26105-00 9341-4i</v>
          </cell>
          <cell r="E17600" t="str">
            <v>SPB5048177</v>
          </cell>
        </row>
        <row r="17601">
          <cell r="D17601" t="str">
            <v>05-26105-00 9341-4i</v>
          </cell>
          <cell r="E17601" t="str">
            <v>SPB5048049</v>
          </cell>
        </row>
        <row r="17602">
          <cell r="D17602" t="str">
            <v>05-26105-00 9341-4i</v>
          </cell>
          <cell r="E17602" t="str">
            <v>SPB5048213</v>
          </cell>
        </row>
        <row r="17603">
          <cell r="D17603" t="str">
            <v>05-26105-00 9341-4i</v>
          </cell>
          <cell r="E17603" t="str">
            <v>SPB5048222</v>
          </cell>
        </row>
        <row r="17604">
          <cell r="D17604" t="str">
            <v>05-26105-00 9341-4i</v>
          </cell>
          <cell r="E17604" t="str">
            <v>SPB5048192</v>
          </cell>
          <cell r="K17604" t="str">
            <v>2207011202 w rozliczeniu serwisowym</v>
          </cell>
        </row>
        <row r="17605">
          <cell r="D17605" t="str">
            <v>05-26105-00 9341-4i</v>
          </cell>
          <cell r="E17605" t="str">
            <v>SPB5048215</v>
          </cell>
        </row>
        <row r="17606">
          <cell r="D17606" t="str">
            <v>BCM957412A4120AC</v>
          </cell>
          <cell r="E17606" t="str">
            <v>A41202226001BIFV</v>
          </cell>
        </row>
        <row r="17607">
          <cell r="D17607" t="str">
            <v>BCM957412A4120AC</v>
          </cell>
          <cell r="E17607" t="str">
            <v>A41202226003DRFV</v>
          </cell>
        </row>
        <row r="17608">
          <cell r="D17608" t="str">
            <v>BCM957412A4120AC</v>
          </cell>
          <cell r="E17608" t="str">
            <v>A41202226001IIFV</v>
          </cell>
        </row>
        <row r="17609">
          <cell r="D17609" t="str">
            <v>BCM957412A4120AC</v>
          </cell>
          <cell r="E17609" t="str">
            <v>A41202226001HCFV</v>
          </cell>
        </row>
        <row r="17610">
          <cell r="D17610" t="str">
            <v>BCM957412A4120AC</v>
          </cell>
          <cell r="E17610" t="str">
            <v>A41202226001HGFV</v>
          </cell>
        </row>
        <row r="17611">
          <cell r="D17611" t="str">
            <v>BCM957412A4120AC</v>
          </cell>
          <cell r="E17611" t="str">
            <v>A41202226001IPFV</v>
          </cell>
        </row>
        <row r="17612">
          <cell r="D17612" t="str">
            <v>BCM957412A4120AC</v>
          </cell>
          <cell r="E17612" t="str">
            <v>A41202226001IBFV</v>
          </cell>
        </row>
        <row r="17613">
          <cell r="D17613" t="str">
            <v>BCM957412A4120AC</v>
          </cell>
          <cell r="E17613" t="str">
            <v>A41202226003F0FV</v>
          </cell>
        </row>
        <row r="17614">
          <cell r="D17614" t="str">
            <v>BCM957412A4120AC</v>
          </cell>
          <cell r="E17614" t="str">
            <v>A41202226001INFV</v>
          </cell>
        </row>
        <row r="17615">
          <cell r="D17615" t="str">
            <v>BCM957412A4120AC</v>
          </cell>
          <cell r="E17615" t="str">
            <v>A41202226001F6FV</v>
          </cell>
        </row>
        <row r="17616">
          <cell r="D17616" t="str">
            <v>BCM957412A4120AC</v>
          </cell>
          <cell r="E17616" t="str">
            <v>A41202226000RUFV</v>
          </cell>
        </row>
        <row r="17617">
          <cell r="D17617" t="str">
            <v>BCM957412A4120AC</v>
          </cell>
          <cell r="E17617" t="str">
            <v>A41202226000SSFV</v>
          </cell>
        </row>
        <row r="17618">
          <cell r="D17618" t="str">
            <v>BCM957412A4120AC</v>
          </cell>
          <cell r="E17618" t="str">
            <v>A412022260010HFV</v>
          </cell>
        </row>
        <row r="17619">
          <cell r="D17619" t="str">
            <v>BCM957412A4120AC</v>
          </cell>
          <cell r="E17619" t="str">
            <v>A41202226000T5FV</v>
          </cell>
        </row>
        <row r="17620">
          <cell r="D17620" t="str">
            <v>BCM957412A4120AC</v>
          </cell>
          <cell r="E17620" t="str">
            <v>A412022260015UFV</v>
          </cell>
        </row>
        <row r="17621">
          <cell r="D17621" t="str">
            <v>BCM957412A4120AC</v>
          </cell>
          <cell r="E17621" t="str">
            <v>A412022260014EFV</v>
          </cell>
        </row>
        <row r="17622">
          <cell r="D17622" t="str">
            <v>BCM957412A4120AC</v>
          </cell>
          <cell r="E17622" t="str">
            <v>A412022260013GFV</v>
          </cell>
        </row>
        <row r="17623">
          <cell r="D17623" t="str">
            <v>BCM957412A4120AC</v>
          </cell>
          <cell r="E17623" t="str">
            <v>A4120222600146FV</v>
          </cell>
        </row>
        <row r="17624">
          <cell r="D17624" t="str">
            <v>BCM957412A4120AC</v>
          </cell>
          <cell r="E17624" t="str">
            <v>A412022260013FFV</v>
          </cell>
        </row>
        <row r="17625">
          <cell r="D17625" t="str">
            <v>BCM957412A4120AC</v>
          </cell>
          <cell r="E17625" t="str">
            <v>A412022260015KFV</v>
          </cell>
        </row>
        <row r="17626">
          <cell r="D17626" t="str">
            <v>BCM957412A4120AC</v>
          </cell>
          <cell r="E17626" t="str">
            <v>A4120222600143FV</v>
          </cell>
        </row>
        <row r="17627">
          <cell r="D17627" t="str">
            <v>BCM957412A4120AC</v>
          </cell>
          <cell r="E17627" t="str">
            <v>A41202226000TZFV</v>
          </cell>
        </row>
        <row r="17628">
          <cell r="D17628" t="str">
            <v>BCM957412A4120AC</v>
          </cell>
          <cell r="E17628" t="str">
            <v>A41202226000TBFV</v>
          </cell>
        </row>
        <row r="17629">
          <cell r="D17629" t="str">
            <v>BCM957412A4120AC</v>
          </cell>
          <cell r="E17629" t="str">
            <v>A412022260013VFV</v>
          </cell>
        </row>
        <row r="17630">
          <cell r="D17630" t="str">
            <v>BCM957412A4120AC</v>
          </cell>
          <cell r="E17630" t="str">
            <v>A4120222600144FV</v>
          </cell>
        </row>
        <row r="17631">
          <cell r="D17631" t="str">
            <v>BCM957412A4120AC</v>
          </cell>
          <cell r="E17631" t="str">
            <v>A4120222600147FV</v>
          </cell>
        </row>
        <row r="17632">
          <cell r="D17632" t="str">
            <v>BCM957412A4120AC</v>
          </cell>
          <cell r="E17632" t="str">
            <v>A41202226000SLFV</v>
          </cell>
        </row>
        <row r="17633">
          <cell r="D17633" t="str">
            <v>BCM957412A4120AC</v>
          </cell>
          <cell r="E17633" t="str">
            <v>A412022260015SFV</v>
          </cell>
        </row>
        <row r="17634">
          <cell r="D17634" t="str">
            <v>BCM957412A4120AC</v>
          </cell>
          <cell r="E17634" t="str">
            <v>A412022260014DFV</v>
          </cell>
        </row>
        <row r="17635">
          <cell r="D17635" t="str">
            <v>BCM957412A4120AC</v>
          </cell>
          <cell r="E17635" t="str">
            <v>A41202226000UKFV</v>
          </cell>
        </row>
        <row r="17636">
          <cell r="D17636" t="str">
            <v>BCM957412A4120AC</v>
          </cell>
          <cell r="E17636" t="str">
            <v>A41202226000COFV</v>
          </cell>
        </row>
        <row r="17637">
          <cell r="D17637" t="str">
            <v>BCM957412A4120AC</v>
          </cell>
          <cell r="E17637" t="str">
            <v>A41202226001HNFV</v>
          </cell>
        </row>
        <row r="17638">
          <cell r="D17638" t="str">
            <v>BCM957412A4120AC</v>
          </cell>
          <cell r="E17638" t="str">
            <v>A41202226000EDFV</v>
          </cell>
        </row>
        <row r="17639">
          <cell r="D17639" t="str">
            <v>BCM957412A4120AC</v>
          </cell>
          <cell r="E17639" t="str">
            <v>A41202226000DPFV</v>
          </cell>
        </row>
        <row r="17640">
          <cell r="D17640" t="str">
            <v>BCM957412A4120AC</v>
          </cell>
          <cell r="E17640" t="str">
            <v>A41202226000I4FV</v>
          </cell>
        </row>
        <row r="17641">
          <cell r="D17641" t="str">
            <v>BCM957412A4120AC</v>
          </cell>
          <cell r="E17641" t="str">
            <v>A41202226000CRFV</v>
          </cell>
        </row>
        <row r="17642">
          <cell r="D17642" t="str">
            <v>BCM957412A4120AC</v>
          </cell>
          <cell r="E17642" t="str">
            <v>A41202226000FPFV</v>
          </cell>
        </row>
        <row r="17643">
          <cell r="D17643" t="str">
            <v>BCM957412A4120AC</v>
          </cell>
          <cell r="E17643" t="str">
            <v>A41202226000DYFV</v>
          </cell>
        </row>
        <row r="17644">
          <cell r="D17644" t="str">
            <v>BCM957412A4120AC</v>
          </cell>
          <cell r="E17644" t="str">
            <v>A41202226000GGFV</v>
          </cell>
        </row>
        <row r="17645">
          <cell r="D17645" t="str">
            <v>BCM957412A4120AC</v>
          </cell>
          <cell r="E17645" t="str">
            <v>A412022260024ZFV</v>
          </cell>
        </row>
        <row r="17646">
          <cell r="D17646" t="str">
            <v>BCM957412A4120AC</v>
          </cell>
          <cell r="E17646" t="str">
            <v>A41202226000S2FV</v>
          </cell>
        </row>
        <row r="17647">
          <cell r="D17647" t="str">
            <v>BCM957412A4120AC</v>
          </cell>
          <cell r="E17647" t="str">
            <v>A41202226000T8FV</v>
          </cell>
        </row>
        <row r="17648">
          <cell r="D17648" t="str">
            <v>BCM957412A4120AC</v>
          </cell>
          <cell r="E17648" t="str">
            <v>A412022260015VFV</v>
          </cell>
        </row>
        <row r="17649">
          <cell r="D17649" t="str">
            <v>BCM957412A4120AC</v>
          </cell>
          <cell r="E17649" t="str">
            <v>A41202226000TGFV</v>
          </cell>
        </row>
        <row r="17650">
          <cell r="D17650" t="str">
            <v>BCM957412A4120AC</v>
          </cell>
          <cell r="E17650" t="str">
            <v>A412022260015TFV</v>
          </cell>
        </row>
        <row r="17651">
          <cell r="D17651" t="str">
            <v>BCM957412A4120AC</v>
          </cell>
          <cell r="E17651" t="str">
            <v>A41202226000UFFV</v>
          </cell>
        </row>
        <row r="17652">
          <cell r="D17652" t="str">
            <v>BCM957412A4120AC</v>
          </cell>
          <cell r="E17652" t="str">
            <v>A412022260016RFV</v>
          </cell>
        </row>
        <row r="17653">
          <cell r="D17653" t="str">
            <v>BCM957412A4120AC</v>
          </cell>
          <cell r="E17653" t="str">
            <v>A41202226000UHFV</v>
          </cell>
        </row>
        <row r="17654">
          <cell r="D17654" t="str">
            <v>BCM957412A4120AC</v>
          </cell>
          <cell r="E17654" t="str">
            <v>A41202226000SPFV</v>
          </cell>
        </row>
        <row r="17655">
          <cell r="D17655" t="str">
            <v>BCM957412A4120AC</v>
          </cell>
          <cell r="E17655" t="str">
            <v>A41202226000RXFV</v>
          </cell>
        </row>
        <row r="17656">
          <cell r="D17656" t="str">
            <v>M393A8G40AB2-CWE</v>
          </cell>
          <cell r="E17656" t="str">
            <v>SNL865</v>
          </cell>
        </row>
        <row r="17657">
          <cell r="D17657" t="str">
            <v>M393A8G40AB2-CWE</v>
          </cell>
          <cell r="E17657" t="str">
            <v>SNL866</v>
          </cell>
        </row>
        <row r="17658">
          <cell r="D17658" t="str">
            <v>M393A8G40AB2-CWE</v>
          </cell>
          <cell r="E17658" t="str">
            <v>SNL867</v>
          </cell>
        </row>
        <row r="17659">
          <cell r="D17659" t="str">
            <v>M393A8G40AB2-CWE</v>
          </cell>
          <cell r="E17659" t="str">
            <v>SNL868</v>
          </cell>
        </row>
        <row r="17660">
          <cell r="D17660" t="str">
            <v>MZ7L3480HCHQ-00A07</v>
          </cell>
          <cell r="E17660" t="str">
            <v>s664ne0rc26821</v>
          </cell>
        </row>
        <row r="17661">
          <cell r="D17661" t="str">
            <v>MZ7L3480HCHQ-00A07</v>
          </cell>
          <cell r="E17661" t="str">
            <v>s664ne0rc26811</v>
          </cell>
        </row>
        <row r="17662">
          <cell r="D17662" t="str">
            <v>MZ7L3480HCHQ-00A07</v>
          </cell>
          <cell r="E17662" t="str">
            <v>s664ne0rc27063</v>
          </cell>
        </row>
        <row r="17663">
          <cell r="D17663" t="str">
            <v>MZ7L3480HCHQ-00A07</v>
          </cell>
          <cell r="E17663" t="str">
            <v>s664ne0rc27059</v>
          </cell>
        </row>
        <row r="17664">
          <cell r="D17664" t="str">
            <v>MZ7L3480HCHQ-00A07</v>
          </cell>
          <cell r="E17664" t="str">
            <v>s664ne0rc26641</v>
          </cell>
          <cell r="K17664" t="str">
            <v>SO/2022/006215/A 2z10</v>
          </cell>
        </row>
        <row r="17665">
          <cell r="D17665" t="str">
            <v>MZ7L3480HCHQ-00A07</v>
          </cell>
          <cell r="E17665" t="str">
            <v>s664ne0rc27061</v>
          </cell>
          <cell r="K17665" t="str">
            <v>SO/2022/006215/A 3z10</v>
          </cell>
        </row>
        <row r="17666">
          <cell r="D17666" t="str">
            <v>MZ7L3480HCHQ-00A07</v>
          </cell>
          <cell r="E17666" t="str">
            <v>s664ne0rc27053</v>
          </cell>
          <cell r="K17666" t="str">
            <v>SO/2022/006215/A 5z10</v>
          </cell>
        </row>
        <row r="17667">
          <cell r="D17667" t="str">
            <v>MZ7L3480HCHQ-00A07</v>
          </cell>
          <cell r="E17667" t="str">
            <v>s664ne0rc27062</v>
          </cell>
          <cell r="K17667" t="str">
            <v>SO/2022/006215/A 4z10</v>
          </cell>
        </row>
        <row r="17668">
          <cell r="D17668" t="str">
            <v>MZ7L3480HCHQ-00A07</v>
          </cell>
          <cell r="E17668" t="str">
            <v>s664ne0rc27052</v>
          </cell>
          <cell r="K17668" t="str">
            <v>SO/2022/006170/A 7z12</v>
          </cell>
        </row>
        <row r="17669">
          <cell r="D17669" t="str">
            <v>MZ7L3480HCHQ-00A07</v>
          </cell>
          <cell r="E17669" t="str">
            <v>s664ne0rc27050</v>
          </cell>
          <cell r="K17669" t="str">
            <v>SO/2022/006170/A 10z12</v>
          </cell>
        </row>
        <row r="17670">
          <cell r="D17670" t="str">
            <v>MZ7L3480HCHQ-00A07</v>
          </cell>
          <cell r="E17670" t="str">
            <v>s664ne0rc27042</v>
          </cell>
          <cell r="K17670" t="str">
            <v>SO/2022/006170/A 8z12</v>
          </cell>
        </row>
        <row r="17671">
          <cell r="D17671" t="str">
            <v>MZ7L3480HCHQ-00A07</v>
          </cell>
          <cell r="E17671" t="str">
            <v>s664ne0rc27051</v>
          </cell>
          <cell r="K17671" t="str">
            <v>SO/2022/006170/A 11z12</v>
          </cell>
        </row>
        <row r="17672">
          <cell r="D17672" t="str">
            <v>MZ7L3480HCHQ-00A07</v>
          </cell>
          <cell r="E17672" t="str">
            <v>s664ne0rc27043</v>
          </cell>
          <cell r="K17672" t="str">
            <v>SO/2022/006170/A 9z12</v>
          </cell>
        </row>
        <row r="17673">
          <cell r="D17673" t="str">
            <v>MZ7L3480HCHQ-00A07</v>
          </cell>
          <cell r="E17673" t="str">
            <v>s664ne0rc27060</v>
          </cell>
          <cell r="K17673" t="str">
            <v>SO/2022/006170/A 12z12</v>
          </cell>
        </row>
        <row r="17674">
          <cell r="D17674" t="str">
            <v>MZ7L3480HCHQ-00A07</v>
          </cell>
          <cell r="E17674" t="str">
            <v>s664ne0rc27041</v>
          </cell>
          <cell r="K17674" t="str">
            <v>SO/2022/006215/A 8z10</v>
          </cell>
        </row>
        <row r="17675">
          <cell r="D17675" t="str">
            <v>MZ7L3480HCHQ-00A07</v>
          </cell>
          <cell r="E17675" t="str">
            <v>s664ne0rc27039</v>
          </cell>
          <cell r="K17675" t="str">
            <v>SO/2022/006215/A 9z10</v>
          </cell>
        </row>
        <row r="17676">
          <cell r="D17676" t="str">
            <v>MZ7L3480HCHQ-00A07</v>
          </cell>
          <cell r="E17676" t="str">
            <v>s664ne0rc27026</v>
          </cell>
          <cell r="K17676" t="str">
            <v>SO/2022/006215/A 7z10</v>
          </cell>
        </row>
        <row r="17677">
          <cell r="D17677" t="str">
            <v>MZ7L3480HCHQ-00A07</v>
          </cell>
          <cell r="E17677" t="str">
            <v>S664NE0RC27040</v>
          </cell>
          <cell r="K17677" t="str">
            <v>SO/2022/006215/A 10z10</v>
          </cell>
        </row>
        <row r="17678">
          <cell r="D17678" t="str">
            <v>MZ7L3480HCHQ-00A07</v>
          </cell>
          <cell r="E17678" t="str">
            <v>S664NE0RC27027</v>
          </cell>
          <cell r="K17678" t="str">
            <v>SO/2022/006215/A 6z10</v>
          </cell>
        </row>
        <row r="17679">
          <cell r="D17679" t="str">
            <v>MZ7L3480HCHQ-00A07</v>
          </cell>
          <cell r="E17679" t="str">
            <v>S664NE0RC27049</v>
          </cell>
          <cell r="K17679" t="str">
            <v>SO/2022/006215/A 1z10</v>
          </cell>
        </row>
        <row r="17680">
          <cell r="D17680" t="str">
            <v>MZ7L33T8HBLT-00A07</v>
          </cell>
          <cell r="E17680" t="str">
            <v>S6ERNE0T410215</v>
          </cell>
        </row>
        <row r="17681">
          <cell r="D17681" t="str">
            <v>MZ7L33T8HBLT-00A07</v>
          </cell>
          <cell r="E17681" t="str">
            <v>S6ERNE0T410086</v>
          </cell>
        </row>
        <row r="17682">
          <cell r="D17682" t="str">
            <v>MZ7L33T8HBLT-00A07</v>
          </cell>
          <cell r="E17682" t="str">
            <v>S6ERNE0T410084</v>
          </cell>
        </row>
        <row r="17683">
          <cell r="D17683" t="str">
            <v>MZ7L33T8HBLT-00A07</v>
          </cell>
          <cell r="E17683" t="str">
            <v>S6ERNE0T410091</v>
          </cell>
        </row>
        <row r="17684">
          <cell r="D17684" t="str">
            <v>MZ7L33T8HBLT-00A07</v>
          </cell>
          <cell r="E17684" t="str">
            <v>S6ERNE0T410201</v>
          </cell>
        </row>
        <row r="17685">
          <cell r="D17685" t="str">
            <v>MZ7L33T8HBLT-00A07</v>
          </cell>
          <cell r="E17685" t="str">
            <v>S6ERNE0T410205</v>
          </cell>
        </row>
        <row r="17686">
          <cell r="D17686" t="str">
            <v>MZ7L33T8HBLT-00A07</v>
          </cell>
          <cell r="E17686" t="str">
            <v>S6ERNE0T410203</v>
          </cell>
        </row>
        <row r="17687">
          <cell r="D17687" t="str">
            <v>MZ7L33T8HBLT-00A07</v>
          </cell>
          <cell r="E17687" t="str">
            <v>S6ERNE0T410204</v>
          </cell>
        </row>
        <row r="17688">
          <cell r="D17688" t="str">
            <v>MZ7L33T8HBLT-00A07</v>
          </cell>
          <cell r="E17688" t="str">
            <v>S6ERNE0T410208</v>
          </cell>
        </row>
        <row r="17689">
          <cell r="D17689" t="str">
            <v>MZ7L33T8HBLT-00A07</v>
          </cell>
          <cell r="E17689" t="str">
            <v>S6ERNE0T410210</v>
          </cell>
        </row>
        <row r="17690">
          <cell r="D17690" t="str">
            <v>100-000000339</v>
          </cell>
          <cell r="E17690" t="str">
            <v>9KI3327P20030_100-000000339</v>
          </cell>
        </row>
        <row r="17691">
          <cell r="D17691" t="str">
            <v>M391A2K43DB1-CWE</v>
          </cell>
          <cell r="E17691" t="str">
            <v>W02Y00021402CA5F23</v>
          </cell>
        </row>
        <row r="17692">
          <cell r="D17692" t="str">
            <v>M391A2K43DB1-CWE</v>
          </cell>
          <cell r="E17692" t="str">
            <v>W02Y00021402CA5F1F</v>
          </cell>
        </row>
        <row r="17693">
          <cell r="D17693" t="str">
            <v>05-50077-00 9560-16i</v>
          </cell>
          <cell r="E17693" t="str">
            <v>SPC1326360</v>
          </cell>
        </row>
        <row r="17694">
          <cell r="D17694" t="str">
            <v>900-5G190-2500-000</v>
          </cell>
          <cell r="E17694">
            <v>1655121001694</v>
          </cell>
        </row>
        <row r="17695">
          <cell r="D17695" t="str">
            <v>900-5G190-2500-000</v>
          </cell>
          <cell r="E17695">
            <v>1655121004325</v>
          </cell>
        </row>
        <row r="17696">
          <cell r="D17696" t="str">
            <v>900-5G190-2500-000</v>
          </cell>
          <cell r="E17696">
            <v>1655021004507</v>
          </cell>
        </row>
        <row r="17697">
          <cell r="D17697" t="str">
            <v>900-5G190-2500-000</v>
          </cell>
          <cell r="E17697">
            <v>1654921004816</v>
          </cell>
        </row>
        <row r="17698">
          <cell r="D17698" t="str">
            <v>SSG-6049P-E1CR36H</v>
          </cell>
          <cell r="E17698" t="str">
            <v>A287680X2712032</v>
          </cell>
        </row>
        <row r="17699">
          <cell r="D17699" t="str">
            <v>CSE</v>
          </cell>
          <cell r="E17699" t="str">
            <v>C8470FL12P40089</v>
          </cell>
        </row>
        <row r="17700">
          <cell r="D17700" t="str">
            <v>PWS</v>
          </cell>
          <cell r="E17700" t="str">
            <v>P1K2ACM19XB1813</v>
          </cell>
        </row>
        <row r="17701">
          <cell r="D17701" t="str">
            <v>PWS</v>
          </cell>
          <cell r="E17701" t="str">
            <v>P1K2ACM19XB1807</v>
          </cell>
        </row>
        <row r="17702">
          <cell r="D17702" t="str">
            <v>MBD</v>
          </cell>
          <cell r="E17702" t="str">
            <v>ZM221S007074</v>
          </cell>
        </row>
        <row r="17703">
          <cell r="D17703" t="str">
            <v>BPN</v>
          </cell>
          <cell r="E17703" t="str">
            <v>HB223S037015</v>
          </cell>
        </row>
        <row r="17704">
          <cell r="D17704" t="str">
            <v>BPN</v>
          </cell>
          <cell r="E17704" t="str">
            <v>HB225S001462</v>
          </cell>
        </row>
        <row r="17705">
          <cell r="D17705" t="str">
            <v>AOC</v>
          </cell>
          <cell r="E17705" t="str">
            <v>VA21CS026151</v>
          </cell>
        </row>
        <row r="17706">
          <cell r="D17706" t="str">
            <v>AOC</v>
          </cell>
          <cell r="E17706" t="str">
            <v>JA21BS002246</v>
          </cell>
        </row>
        <row r="17707">
          <cell r="D17707" t="str">
            <v>SSG-6049P-E1CR36H</v>
          </cell>
          <cell r="E17707" t="str">
            <v>A287680X2712036</v>
          </cell>
        </row>
        <row r="17708">
          <cell r="D17708" t="str">
            <v>CSE</v>
          </cell>
          <cell r="E17708" t="str">
            <v>C8470FL12P40022</v>
          </cell>
        </row>
        <row r="17709">
          <cell r="D17709" t="str">
            <v>PWS</v>
          </cell>
          <cell r="E17709" t="str">
            <v>P1K2ACM19XB1746</v>
          </cell>
        </row>
        <row r="17710">
          <cell r="D17710" t="str">
            <v>PWS</v>
          </cell>
          <cell r="E17710" t="str">
            <v>P1K2ACM19XB1745</v>
          </cell>
        </row>
        <row r="17711">
          <cell r="D17711" t="str">
            <v>MBD</v>
          </cell>
          <cell r="E17711" t="str">
            <v>ZM221S007230</v>
          </cell>
        </row>
        <row r="17712">
          <cell r="D17712" t="str">
            <v>BPN</v>
          </cell>
          <cell r="E17712" t="str">
            <v>HB223S037007</v>
          </cell>
        </row>
        <row r="17713">
          <cell r="D17713" t="str">
            <v>BPN</v>
          </cell>
          <cell r="E17713" t="str">
            <v>HB225S001460</v>
          </cell>
        </row>
        <row r="17714">
          <cell r="D17714" t="str">
            <v>AOC</v>
          </cell>
          <cell r="E17714" t="str">
            <v>VA226S000149</v>
          </cell>
        </row>
        <row r="17715">
          <cell r="D17715" t="str">
            <v>AOC</v>
          </cell>
          <cell r="E17715" t="str">
            <v>JA221S000326</v>
          </cell>
        </row>
        <row r="17716">
          <cell r="D17716" t="str">
            <v>SSG-6049P-E1CR36H</v>
          </cell>
          <cell r="E17716" t="str">
            <v>A287680X2712035</v>
          </cell>
        </row>
        <row r="17717">
          <cell r="D17717" t="str">
            <v>CSE</v>
          </cell>
          <cell r="E17717" t="str">
            <v>C8470FL12P40023</v>
          </cell>
        </row>
        <row r="17718">
          <cell r="D17718" t="str">
            <v>PWS</v>
          </cell>
          <cell r="E17718" t="str">
            <v>P1K2ACM19XB1748</v>
          </cell>
        </row>
        <row r="17719">
          <cell r="D17719" t="str">
            <v>PWS</v>
          </cell>
          <cell r="E17719" t="str">
            <v>P1K2ACM19XB1747</v>
          </cell>
        </row>
        <row r="17720">
          <cell r="D17720" t="str">
            <v>MBD</v>
          </cell>
          <cell r="E17720" t="str">
            <v>ZM221S007225</v>
          </cell>
        </row>
        <row r="17721">
          <cell r="D17721" t="str">
            <v>BPN</v>
          </cell>
          <cell r="E17721" t="str">
            <v>HB223S037011</v>
          </cell>
        </row>
        <row r="17722">
          <cell r="D17722" t="str">
            <v>BPN</v>
          </cell>
          <cell r="E17722" t="str">
            <v>HB225S001466</v>
          </cell>
        </row>
        <row r="17723">
          <cell r="D17723" t="str">
            <v>AOC</v>
          </cell>
          <cell r="E17723" t="str">
            <v>VA21CS026149</v>
          </cell>
        </row>
        <row r="17724">
          <cell r="D17724" t="str">
            <v>AOC</v>
          </cell>
          <cell r="E17724" t="str">
            <v>JA21BS002242</v>
          </cell>
        </row>
        <row r="17725">
          <cell r="D17725" t="str">
            <v>SSG-6049P-E1CR36H</v>
          </cell>
          <cell r="E17725" t="str">
            <v>A287680X2712031</v>
          </cell>
        </row>
        <row r="17726">
          <cell r="D17726" t="str">
            <v>CSE</v>
          </cell>
          <cell r="E17726" t="str">
            <v>C8470FL12P40149</v>
          </cell>
        </row>
        <row r="17727">
          <cell r="D17727" t="str">
            <v>PWS</v>
          </cell>
          <cell r="E17727" t="str">
            <v>P1K2ACM19XB1741</v>
          </cell>
        </row>
        <row r="17728">
          <cell r="D17728" t="str">
            <v>PWS</v>
          </cell>
          <cell r="E17728" t="str">
            <v>P1K2ACM19XB1742</v>
          </cell>
        </row>
        <row r="17729">
          <cell r="D17729" t="str">
            <v>MBD</v>
          </cell>
          <cell r="E17729" t="str">
            <v>ZM221S007235</v>
          </cell>
        </row>
        <row r="17730">
          <cell r="D17730" t="str">
            <v>BPN</v>
          </cell>
          <cell r="E17730" t="str">
            <v>HB223S037008</v>
          </cell>
        </row>
        <row r="17731">
          <cell r="D17731" t="str">
            <v>BPN</v>
          </cell>
          <cell r="E17731" t="str">
            <v>HB225S001510</v>
          </cell>
        </row>
        <row r="17732">
          <cell r="D17732" t="str">
            <v>AOC</v>
          </cell>
          <cell r="E17732" t="str">
            <v>VA226S000151</v>
          </cell>
        </row>
        <row r="17733">
          <cell r="D17733" t="str">
            <v>AOC</v>
          </cell>
          <cell r="E17733" t="str">
            <v>JA221S000354</v>
          </cell>
        </row>
        <row r="17734">
          <cell r="D17734" t="str">
            <v>SSG-6049P-E1CR36H</v>
          </cell>
          <cell r="E17734" t="str">
            <v>A287680X2712033</v>
          </cell>
        </row>
        <row r="17735">
          <cell r="D17735" t="str">
            <v>CSE</v>
          </cell>
          <cell r="E17735" t="str">
            <v>C8470FL12P40027</v>
          </cell>
        </row>
        <row r="17736">
          <cell r="D17736" t="str">
            <v>PWS</v>
          </cell>
          <cell r="E17736" t="str">
            <v>P1K2ACM19XB1812</v>
          </cell>
        </row>
        <row r="17737">
          <cell r="D17737" t="str">
            <v>PWS</v>
          </cell>
          <cell r="E17737" t="str">
            <v>P1K2ACM19XB1811</v>
          </cell>
        </row>
        <row r="17738">
          <cell r="D17738" t="str">
            <v>MBD</v>
          </cell>
          <cell r="E17738" t="str">
            <v>ZM221S007238</v>
          </cell>
        </row>
        <row r="17739">
          <cell r="D17739" t="str">
            <v>BPN</v>
          </cell>
          <cell r="E17739" t="str">
            <v>HB223S037010</v>
          </cell>
        </row>
        <row r="17740">
          <cell r="D17740" t="str">
            <v>BPN</v>
          </cell>
          <cell r="E17740" t="str">
            <v>HB225S001464</v>
          </cell>
        </row>
        <row r="17741">
          <cell r="D17741" t="str">
            <v>AOC</v>
          </cell>
          <cell r="E17741" t="str">
            <v>VA226S000154</v>
          </cell>
        </row>
        <row r="17742">
          <cell r="D17742" t="str">
            <v>AOC</v>
          </cell>
          <cell r="E17742" t="str">
            <v>JA21BS002248</v>
          </cell>
        </row>
        <row r="17743">
          <cell r="D17743" t="str">
            <v>SYS-5019C-MR</v>
          </cell>
          <cell r="E17743" t="str">
            <v>A326099X2408370</v>
          </cell>
        </row>
        <row r="17744">
          <cell r="D17744" t="str">
            <v>CSE</v>
          </cell>
          <cell r="E17744" t="str">
            <v>C813MLK47P50987</v>
          </cell>
        </row>
        <row r="17745">
          <cell r="D17745" t="str">
            <v>PWS</v>
          </cell>
          <cell r="E17745" t="str">
            <v>P407PCL44EB0961</v>
          </cell>
        </row>
        <row r="17746">
          <cell r="D17746" t="str">
            <v>PWS</v>
          </cell>
          <cell r="E17746" t="str">
            <v>P407PCL44EB0938</v>
          </cell>
        </row>
        <row r="17747">
          <cell r="D17747" t="str">
            <v>MBD</v>
          </cell>
          <cell r="E17747" t="str">
            <v>ZM21BS027207</v>
          </cell>
        </row>
        <row r="17748">
          <cell r="D17748" t="str">
            <v>BPN</v>
          </cell>
          <cell r="E17748" t="str">
            <v>EB21AS036385</v>
          </cell>
        </row>
        <row r="17749">
          <cell r="D17749" t="str">
            <v>RSC</v>
          </cell>
          <cell r="E17749" t="str">
            <v>VR218S000178</v>
          </cell>
        </row>
        <row r="17750">
          <cell r="D17750" t="str">
            <v>AS-1114S-WN10RT</v>
          </cell>
          <cell r="E17750" t="str">
            <v>E407507X2700712</v>
          </cell>
        </row>
        <row r="17751">
          <cell r="D17751" t="str">
            <v>CSE</v>
          </cell>
          <cell r="E17751" t="str">
            <v>C1160LK21P51829</v>
          </cell>
        </row>
        <row r="17752">
          <cell r="D17752" t="str">
            <v>PWS</v>
          </cell>
          <cell r="E17752" t="str">
            <v>P7061VM10KB1442</v>
          </cell>
        </row>
        <row r="17753">
          <cell r="D17753" t="str">
            <v>PWS</v>
          </cell>
          <cell r="E17753" t="str">
            <v>P7061VM10KB1443</v>
          </cell>
        </row>
        <row r="17754">
          <cell r="D17754" t="str">
            <v>BPN</v>
          </cell>
          <cell r="E17754" t="str">
            <v>HB226S007970</v>
          </cell>
        </row>
        <row r="17755">
          <cell r="D17755" t="str">
            <v>MBD</v>
          </cell>
          <cell r="E17755" t="str">
            <v>ZM224S603277</v>
          </cell>
        </row>
        <row r="17756">
          <cell r="D17756" t="str">
            <v>RSC</v>
          </cell>
          <cell r="E17756" t="str">
            <v>ER216S032282</v>
          </cell>
        </row>
        <row r="17757">
          <cell r="D17757" t="str">
            <v>RSC</v>
          </cell>
          <cell r="E17757" t="str">
            <v>ER217S049068</v>
          </cell>
        </row>
        <row r="17758">
          <cell r="D17758" t="str">
            <v>CPU</v>
          </cell>
          <cell r="E17758" t="str">
            <v>9LI8958Q20128</v>
          </cell>
        </row>
        <row r="17759">
          <cell r="D17759" t="str">
            <v>MEM</v>
          </cell>
          <cell r="E17759" t="str">
            <v>S802C252219F378D59C</v>
          </cell>
        </row>
        <row r="17760">
          <cell r="D17760" t="str">
            <v>MEM</v>
          </cell>
          <cell r="E17760" t="str">
            <v>S802C252219F378D5CB</v>
          </cell>
        </row>
        <row r="17761">
          <cell r="D17761" t="str">
            <v>MEM</v>
          </cell>
          <cell r="E17761" t="str">
            <v>S802C252219F378D5D2</v>
          </cell>
        </row>
        <row r="17762">
          <cell r="D17762" t="str">
            <v>MEM</v>
          </cell>
          <cell r="E17762" t="str">
            <v>S802C252219F378D5A4</v>
          </cell>
        </row>
        <row r="17763">
          <cell r="D17763" t="str">
            <v>HDS</v>
          </cell>
          <cell r="E17763" t="str">
            <v>S64GNE0R601458</v>
          </cell>
        </row>
        <row r="17764">
          <cell r="D17764" t="str">
            <v>HDS</v>
          </cell>
          <cell r="E17764" t="str">
            <v>S64GNE0R601448</v>
          </cell>
        </row>
        <row r="17765">
          <cell r="D17765" t="str">
            <v>HDS</v>
          </cell>
          <cell r="E17765" t="str">
            <v>S64GNE0R601451</v>
          </cell>
        </row>
        <row r="17766">
          <cell r="D17766" t="str">
            <v>HDS</v>
          </cell>
          <cell r="E17766" t="str">
            <v>S64GNE0R601461</v>
          </cell>
        </row>
        <row r="17767">
          <cell r="D17767" t="str">
            <v>SSG-6029P-E1CR12H</v>
          </cell>
          <cell r="E17767" t="str">
            <v>A287468X2414172</v>
          </cell>
        </row>
        <row r="17768">
          <cell r="D17768" t="str">
            <v>CSE</v>
          </cell>
          <cell r="E17768" t="str">
            <v>C8260FK22P40675</v>
          </cell>
        </row>
        <row r="17769">
          <cell r="D17769" t="str">
            <v>PWS</v>
          </cell>
          <cell r="E17769" t="str">
            <v>P1K2ACM10XB0981</v>
          </cell>
        </row>
        <row r="17770">
          <cell r="D17770" t="str">
            <v>PWS</v>
          </cell>
          <cell r="E17770" t="str">
            <v>P1K2ACM10XB0982</v>
          </cell>
        </row>
        <row r="17771">
          <cell r="D17771" t="str">
            <v>MBD</v>
          </cell>
          <cell r="E17771" t="str">
            <v>ZM21AS018284</v>
          </cell>
        </row>
        <row r="17772">
          <cell r="D17772" t="str">
            <v>BPN</v>
          </cell>
          <cell r="E17772" t="str">
            <v>HB221S047570</v>
          </cell>
        </row>
        <row r="17773">
          <cell r="D17773" t="str">
            <v>AOC</v>
          </cell>
          <cell r="E17773" t="str">
            <v>VA221S000376</v>
          </cell>
        </row>
        <row r="17774">
          <cell r="D17774" t="str">
            <v>AOC</v>
          </cell>
          <cell r="E17774" t="str">
            <v>JA21BS000725</v>
          </cell>
        </row>
        <row r="17775">
          <cell r="D17775" t="str">
            <v>CPU</v>
          </cell>
          <cell r="E17775" t="str">
            <v>72G80K4200858</v>
          </cell>
        </row>
        <row r="17776">
          <cell r="D17776" t="str">
            <v>CPU</v>
          </cell>
          <cell r="E17776" t="str">
            <v>725P7N3300204</v>
          </cell>
        </row>
        <row r="17777">
          <cell r="D17777" t="str">
            <v>MEM</v>
          </cell>
          <cell r="E17777" t="str">
            <v>S802C0622093573B441</v>
          </cell>
        </row>
        <row r="17778">
          <cell r="D17778" t="str">
            <v>MEM</v>
          </cell>
          <cell r="E17778" t="str">
            <v>S802C0622093573CC58</v>
          </cell>
        </row>
        <row r="17779">
          <cell r="D17779" t="str">
            <v>MEM</v>
          </cell>
          <cell r="E17779" t="str">
            <v>S802C0622093573AA24</v>
          </cell>
        </row>
        <row r="17780">
          <cell r="D17780" t="str">
            <v>MEM</v>
          </cell>
          <cell r="E17780" t="str">
            <v>S802C0622093573C58C</v>
          </cell>
        </row>
        <row r="17781">
          <cell r="D17781" t="str">
            <v>HDD</v>
          </cell>
          <cell r="E17781" t="str">
            <v>3GH1PB5E</v>
          </cell>
        </row>
        <row r="17782">
          <cell r="D17782" t="str">
            <v>HDD</v>
          </cell>
          <cell r="E17782" t="str">
            <v>3GH45WSE</v>
          </cell>
        </row>
        <row r="17783">
          <cell r="D17783" t="str">
            <v>HDD</v>
          </cell>
          <cell r="E17783" t="str">
            <v>3WHN4HMJ</v>
          </cell>
        </row>
        <row r="17784">
          <cell r="D17784" t="str">
            <v>HDD</v>
          </cell>
          <cell r="E17784" t="str">
            <v>3GH45WRE</v>
          </cell>
        </row>
        <row r="17785">
          <cell r="D17785" t="str">
            <v>HDD</v>
          </cell>
          <cell r="E17785" t="str">
            <v>3GGGZ5GE</v>
          </cell>
        </row>
        <row r="17786">
          <cell r="D17786" t="str">
            <v>HDD</v>
          </cell>
          <cell r="E17786" t="str">
            <v>3GG2K8PE</v>
          </cell>
        </row>
        <row r="17787">
          <cell r="D17787" t="str">
            <v>HDD</v>
          </cell>
          <cell r="E17787" t="str">
            <v>3WK2K56J</v>
          </cell>
        </row>
        <row r="17788">
          <cell r="D17788" t="str">
            <v>HDD</v>
          </cell>
          <cell r="E17788" t="str">
            <v>3GGZAV4F</v>
          </cell>
        </row>
        <row r="17789">
          <cell r="D17789" t="str">
            <v>HDD</v>
          </cell>
          <cell r="E17789" t="str">
            <v>3WKYE68J</v>
          </cell>
        </row>
        <row r="17790">
          <cell r="D17790" t="str">
            <v>HDD</v>
          </cell>
          <cell r="E17790" t="str">
            <v>3GG3A32E</v>
          </cell>
        </row>
        <row r="17791">
          <cell r="D17791" t="str">
            <v>HDD</v>
          </cell>
          <cell r="E17791" t="str">
            <v>3WHKMDVJ</v>
          </cell>
        </row>
        <row r="17792">
          <cell r="D17792" t="str">
            <v>HDD</v>
          </cell>
          <cell r="E17792" t="str">
            <v>3GG27RME</v>
          </cell>
        </row>
        <row r="17793">
          <cell r="D17793" t="str">
            <v>HDS</v>
          </cell>
          <cell r="E17793" t="str">
            <v>221536C3636B</v>
          </cell>
        </row>
        <row r="17794">
          <cell r="D17794" t="str">
            <v>HDS</v>
          </cell>
          <cell r="E17794" t="str">
            <v>221536C36475</v>
          </cell>
        </row>
        <row r="17795">
          <cell r="D17795" t="str">
            <v>HDS-TMN0-KXG60ZNV1T02</v>
          </cell>
          <cell r="E17795" t="str">
            <v>Y1QFC0CZFXV4</v>
          </cell>
        </row>
        <row r="17796">
          <cell r="D17796" t="str">
            <v>HDS-TMN0-KXG60ZNV1T02</v>
          </cell>
          <cell r="E17796" t="str">
            <v>Y1QFC0AWFXV4</v>
          </cell>
        </row>
        <row r="17797">
          <cell r="D17797" t="str">
            <v>P4X-CLX3204-SRFBP</v>
          </cell>
          <cell r="E17797" t="str">
            <v>71NN263701049</v>
          </cell>
        </row>
        <row r="17798">
          <cell r="D17798" t="str">
            <v>HDS-SMN1-MZ1LB3T8HMLA07</v>
          </cell>
          <cell r="E17798" t="str">
            <v>S46FNC0R603176</v>
          </cell>
        </row>
        <row r="17799">
          <cell r="D17799" t="str">
            <v>HDS-SMN1-MZ1LB3T8HMLA07</v>
          </cell>
          <cell r="E17799" t="str">
            <v>S46FNC0R603344</v>
          </cell>
        </row>
        <row r="17800">
          <cell r="D17800" t="str">
            <v>HDS-SMN1-MZ1LB3T8HMLA07</v>
          </cell>
          <cell r="E17800" t="str">
            <v>S46FNC0R603186</v>
          </cell>
        </row>
        <row r="17801">
          <cell r="D17801" t="str">
            <v>HDS-SMN1-MZ1LB3T8HMLA07</v>
          </cell>
          <cell r="E17801" t="str">
            <v>S46FNC0R603179</v>
          </cell>
        </row>
        <row r="17802">
          <cell r="D17802" t="str">
            <v>PSE-MLN7313P-0339 (AMD EPYC 7313P)</v>
          </cell>
          <cell r="E17802" t="str">
            <v>9LG1922O20050</v>
          </cell>
        </row>
        <row r="17803">
          <cell r="D17803" t="str">
            <v>MBD-H12SSL-I-O</v>
          </cell>
          <cell r="E17803" t="str">
            <v>ZM221S602637</v>
          </cell>
        </row>
        <row r="17804">
          <cell r="D17804" t="str">
            <v>MEM-DR490L-HL01-EU26</v>
          </cell>
          <cell r="E17804" t="str">
            <v>80AD01215075427B06</v>
          </cell>
          <cell r="K17804" t="str">
            <v>A345069X2721202</v>
          </cell>
        </row>
        <row r="17805">
          <cell r="D17805" t="str">
            <v>MEM-DR490L-HL01-EU26</v>
          </cell>
          <cell r="E17805" t="str">
            <v>80AD01215075427AC4</v>
          </cell>
          <cell r="K17805" t="str">
            <v>A345069X2721176</v>
          </cell>
        </row>
        <row r="17806">
          <cell r="D17806" t="str">
            <v>MEM-DR490L-HL01-EU26</v>
          </cell>
          <cell r="E17806" t="str">
            <v>80AD01215075427AC3</v>
          </cell>
          <cell r="K17806" t="str">
            <v>A345069X2721176</v>
          </cell>
        </row>
        <row r="17807">
          <cell r="D17807" t="str">
            <v>MEM-DR490L-HL01-EU26</v>
          </cell>
          <cell r="E17807" t="str">
            <v>80AD01215075427B0A</v>
          </cell>
          <cell r="K17807" t="str">
            <v>A345069X2721201</v>
          </cell>
        </row>
        <row r="17808">
          <cell r="D17808" t="str">
            <v>MEM-DR490L-HL01-EU26</v>
          </cell>
          <cell r="E17808" t="str">
            <v>80AD01215075427BBF</v>
          </cell>
          <cell r="K17808" t="str">
            <v>A345069X2721201</v>
          </cell>
        </row>
        <row r="17809">
          <cell r="D17809" t="str">
            <v>MEM-DR490L-HL01-EU26</v>
          </cell>
          <cell r="E17809" t="str">
            <v>80AD01215075427AD7</v>
          </cell>
          <cell r="K17809" t="str">
            <v>A345069X2721205</v>
          </cell>
        </row>
        <row r="17810">
          <cell r="D17810" t="str">
            <v>MEM-DR490L-HL01-EU26</v>
          </cell>
          <cell r="E17810" t="str">
            <v>80AD01215075427ACF</v>
          </cell>
          <cell r="K17810" t="str">
            <v>A345069X2721205</v>
          </cell>
        </row>
        <row r="17811">
          <cell r="D17811" t="str">
            <v>MEM-DR490L-HL01-EU26</v>
          </cell>
          <cell r="E17811" t="str">
            <v>80AD01215075427ABB</v>
          </cell>
          <cell r="K17811" t="str">
            <v>A345069X2721210</v>
          </cell>
        </row>
        <row r="17812">
          <cell r="D17812" t="str">
            <v>MEM-DR490L-HL01-EU26</v>
          </cell>
          <cell r="E17812" t="str">
            <v>80AD01215075427AB8</v>
          </cell>
          <cell r="K17812" t="str">
            <v>A345069X2721210</v>
          </cell>
        </row>
        <row r="17813">
          <cell r="D17813" t="str">
            <v>MEM-DR490L-HL01-EU26</v>
          </cell>
          <cell r="E17813" t="str">
            <v>80AD01215075427AAD</v>
          </cell>
          <cell r="K17813" t="str">
            <v>A345069X2721208</v>
          </cell>
        </row>
        <row r="17814">
          <cell r="D17814" t="str">
            <v>MEM-DR490L-HL01-EU26</v>
          </cell>
          <cell r="E17814" t="str">
            <v>80AD01215075427AB3</v>
          </cell>
          <cell r="K17814" t="str">
            <v>A345069X2721208</v>
          </cell>
        </row>
        <row r="17815">
          <cell r="D17815" t="str">
            <v>MEM-DR490L-HL01-EU26</v>
          </cell>
          <cell r="E17815" t="str">
            <v>80AD01215075427AA8</v>
          </cell>
          <cell r="K17815" t="str">
            <v>A345069X2721196</v>
          </cell>
        </row>
        <row r="17816">
          <cell r="D17816" t="str">
            <v>MEM-DR490L-HL01-EU26</v>
          </cell>
          <cell r="E17816" t="str">
            <v>80AD01215075427A94</v>
          </cell>
          <cell r="K17816" t="str">
            <v>A345069X2721196</v>
          </cell>
        </row>
        <row r="17817">
          <cell r="D17817" t="str">
            <v>MEM-DR490L-HL01-EU26</v>
          </cell>
          <cell r="E17817" t="str">
            <v>80AD01215075427A99</v>
          </cell>
          <cell r="K17817" t="str">
            <v>A345069X2721177</v>
          </cell>
        </row>
        <row r="17818">
          <cell r="D17818" t="str">
            <v>MEM-DR490L-HL01-EU26</v>
          </cell>
          <cell r="E17818" t="str">
            <v>80AD01215075427A96</v>
          </cell>
          <cell r="K17818" t="str">
            <v>A345069X2721177</v>
          </cell>
        </row>
        <row r="17819">
          <cell r="D17819" t="str">
            <v>MEM-DR490L-HL01-EU26</v>
          </cell>
          <cell r="E17819" t="str">
            <v>80AD01215075427A95</v>
          </cell>
          <cell r="K17819" t="str">
            <v>A345069X2721190</v>
          </cell>
        </row>
        <row r="17820">
          <cell r="D17820" t="str">
            <v>MEM-DR490L-HL01-EU26</v>
          </cell>
          <cell r="E17820" t="str">
            <v>80AD01215075427AB7</v>
          </cell>
          <cell r="K17820" t="str">
            <v>A345069X2721190</v>
          </cell>
        </row>
        <row r="17821">
          <cell r="D17821" t="str">
            <v>MEM-DR490L-HL01-EU26</v>
          </cell>
          <cell r="E17821" t="str">
            <v>80AD01215075427BC0</v>
          </cell>
          <cell r="K17821" t="str">
            <v>A345069X2721189</v>
          </cell>
        </row>
        <row r="17822">
          <cell r="D17822" t="str">
            <v>MEM-DR490L-HL01-EU26</v>
          </cell>
          <cell r="E17822" t="str">
            <v>80AD01215075427ACD</v>
          </cell>
          <cell r="K17822" t="str">
            <v>A345069X2721189</v>
          </cell>
        </row>
        <row r="17823">
          <cell r="D17823" t="str">
            <v>MEM-DR490L-HL01-EU26</v>
          </cell>
          <cell r="E17823" t="str">
            <v>80AD01215075427ACC</v>
          </cell>
          <cell r="K17823" t="str">
            <v>A345069X2721212</v>
          </cell>
        </row>
        <row r="17824">
          <cell r="D17824" t="str">
            <v>MEM-DR490L-HL01-EU26</v>
          </cell>
          <cell r="E17824" t="str">
            <v>80AD01215075427AB6</v>
          </cell>
          <cell r="K17824" t="str">
            <v>A345069X2721212</v>
          </cell>
        </row>
        <row r="17825">
          <cell r="D17825" t="str">
            <v>MEM-DR490L-HL01-EU26</v>
          </cell>
          <cell r="E17825" t="str">
            <v>80AD01215075427BC1</v>
          </cell>
          <cell r="K17825" t="str">
            <v>A345069X2721194</v>
          </cell>
        </row>
        <row r="17826">
          <cell r="D17826" t="str">
            <v>MEM-DR490L-HL01-EU26</v>
          </cell>
          <cell r="E17826" t="str">
            <v>80AD01215075427ABA</v>
          </cell>
          <cell r="K17826" t="str">
            <v>A345069X2721194</v>
          </cell>
        </row>
        <row r="17827">
          <cell r="D17827" t="str">
            <v>MEM-DR490L-HL01-EU26</v>
          </cell>
          <cell r="E17827" t="str">
            <v>80AD01215075427AB9</v>
          </cell>
          <cell r="K17827" t="str">
            <v>A345069X2721216</v>
          </cell>
        </row>
        <row r="17828">
          <cell r="D17828" t="str">
            <v>MEM-DR490L-HL01-EU26</v>
          </cell>
          <cell r="E17828" t="str">
            <v>80AD01215075427A90</v>
          </cell>
          <cell r="K17828" t="str">
            <v>A345069X2721216</v>
          </cell>
        </row>
        <row r="17829">
          <cell r="D17829" t="str">
            <v>MEM-DR490L-HL01-EU26</v>
          </cell>
          <cell r="E17829" t="str">
            <v>80AD01215075427B08</v>
          </cell>
        </row>
        <row r="17830">
          <cell r="D17830" t="str">
            <v>MEM-DR490L-HL01-EU26</v>
          </cell>
          <cell r="E17830" t="str">
            <v>80AD01215075427A91</v>
          </cell>
        </row>
        <row r="17831">
          <cell r="D17831" t="str">
            <v>MEM-DR490L-HL01-EU26</v>
          </cell>
          <cell r="E17831" t="str">
            <v>80AD01215075427A97</v>
          </cell>
        </row>
        <row r="17832">
          <cell r="D17832" t="str">
            <v>MEM-DR490L-HL01-EU26</v>
          </cell>
          <cell r="E17832" t="str">
            <v>80AD01215075427A92</v>
          </cell>
        </row>
        <row r="17833">
          <cell r="D17833" t="str">
            <v>MEM-DR490L-HL01-EU26</v>
          </cell>
          <cell r="E17833" t="str">
            <v>80AD01215075427A98</v>
          </cell>
        </row>
        <row r="17834">
          <cell r="D17834" t="str">
            <v>MEM-DR490L-HL01-EU26</v>
          </cell>
          <cell r="E17834" t="str">
            <v>80AD01215075427A93</v>
          </cell>
        </row>
        <row r="17835">
          <cell r="D17835" t="str">
            <v>MEM-DR490L-HL01-EU26</v>
          </cell>
          <cell r="E17835" t="str">
            <v>80AD01215075427A9A</v>
          </cell>
        </row>
        <row r="17836">
          <cell r="D17836" t="str">
            <v>MEM-DR490L-HL01-EU26</v>
          </cell>
          <cell r="E17836" t="str">
            <v>80AD01215075427A9C</v>
          </cell>
        </row>
        <row r="17837">
          <cell r="D17837" t="str">
            <v>MEM-DR490L-HL01-EU26</v>
          </cell>
          <cell r="E17837" t="str">
            <v>80AD01215075427A9B</v>
          </cell>
        </row>
        <row r="17838">
          <cell r="D17838" t="str">
            <v>MEM-DR490L-HL01-EU26</v>
          </cell>
          <cell r="E17838" t="str">
            <v>80AD01215075427A9D</v>
          </cell>
        </row>
        <row r="17839">
          <cell r="D17839" t="str">
            <v>MEM-DR490L-HL01-EU26</v>
          </cell>
          <cell r="E17839" t="str">
            <v>80AD01215075427B09</v>
          </cell>
        </row>
        <row r="17840">
          <cell r="D17840" t="str">
            <v>MEM-DR490L-HL01-EU26</v>
          </cell>
          <cell r="E17840" t="str">
            <v>80AD01215075427AA9</v>
          </cell>
        </row>
        <row r="17841">
          <cell r="D17841" t="str">
            <v>MEM-DR490L-HL01-EU26</v>
          </cell>
          <cell r="E17841" t="str">
            <v>80AD01215075427AB2</v>
          </cell>
        </row>
        <row r="17842">
          <cell r="D17842" t="str">
            <v>MEM-DR490L-HL01-EU26</v>
          </cell>
          <cell r="E17842" t="str">
            <v>80AD01215075427AAA</v>
          </cell>
        </row>
        <row r="17843">
          <cell r="D17843" t="str">
            <v>MEM-DR490L-HL01-EU26</v>
          </cell>
          <cell r="E17843" t="str">
            <v>80AD01215075427AAB</v>
          </cell>
        </row>
        <row r="17844">
          <cell r="D17844" t="str">
            <v>MEM-DR490L-HL01-EU26</v>
          </cell>
          <cell r="E17844" t="str">
            <v>80AD01215075427A69</v>
          </cell>
          <cell r="K17844" t="str">
            <v>A345069X2721192</v>
          </cell>
        </row>
        <row r="17845">
          <cell r="D17845" t="str">
            <v>MEM-DR490L-HL01-EU26</v>
          </cell>
          <cell r="E17845" t="str">
            <v>80AD01215075427AAC</v>
          </cell>
          <cell r="K17845" t="str">
            <v>A345069X2721192</v>
          </cell>
        </row>
        <row r="17846">
          <cell r="D17846" t="str">
            <v>MEM-DR490L-HL01-EU26</v>
          </cell>
          <cell r="E17846" t="str">
            <v>80AD01215075427AB5</v>
          </cell>
          <cell r="K17846" t="str">
            <v>A345069X2721215</v>
          </cell>
        </row>
        <row r="17847">
          <cell r="D17847" t="str">
            <v>MEM-DR490L-HL01-EU26</v>
          </cell>
          <cell r="E17847" t="str">
            <v>80AD01215075427AAF</v>
          </cell>
          <cell r="K17847" t="str">
            <v>A345069X2721215</v>
          </cell>
        </row>
        <row r="17848">
          <cell r="D17848" t="str">
            <v>MEM-DR490L-HL01-EU26</v>
          </cell>
          <cell r="E17848" t="str">
            <v>80AD01215075427AD4</v>
          </cell>
          <cell r="K17848" t="str">
            <v>A345069X2721218</v>
          </cell>
        </row>
        <row r="17849">
          <cell r="D17849" t="str">
            <v>MEM-DR490L-HL01-EU26</v>
          </cell>
          <cell r="E17849" t="str">
            <v>80AD01215075427ACE</v>
          </cell>
          <cell r="K17849" t="str">
            <v>A345069X2721218</v>
          </cell>
        </row>
        <row r="17850">
          <cell r="D17850" t="str">
            <v>MEM-DR490L-HL01-EU26</v>
          </cell>
          <cell r="E17850" t="str">
            <v>80AD01215075427AD5</v>
          </cell>
          <cell r="K17850" t="str">
            <v>A345069X2721199</v>
          </cell>
        </row>
        <row r="17851">
          <cell r="D17851" t="str">
            <v>MEM-DR490L-HL01-EU26</v>
          </cell>
          <cell r="E17851" t="str">
            <v>80AD01215075427AC7</v>
          </cell>
          <cell r="K17851" t="str">
            <v>A345069X2721199</v>
          </cell>
        </row>
        <row r="17852">
          <cell r="D17852" t="str">
            <v>MEM-DR490L-HL01-EU26</v>
          </cell>
          <cell r="E17852" t="str">
            <v>80AD01215075427B61</v>
          </cell>
          <cell r="K17852" t="str">
            <v>A345069X2721206</v>
          </cell>
        </row>
        <row r="17853">
          <cell r="D17853" t="str">
            <v>MEM-DR490L-HL01-EU26</v>
          </cell>
          <cell r="E17853" t="str">
            <v>80AD01215075427B0B</v>
          </cell>
          <cell r="K17853" t="str">
            <v>A345069X2721206</v>
          </cell>
        </row>
        <row r="17854">
          <cell r="D17854" t="str">
            <v>MEM-DR490L-HL01-EU26</v>
          </cell>
          <cell r="E17854" t="str">
            <v>80AD0121507542C3D9</v>
          </cell>
          <cell r="K17854" t="str">
            <v>A345069X2721202</v>
          </cell>
        </row>
        <row r="17855">
          <cell r="D17855" t="str">
            <v>MZ7L31T9HBLT-00A07</v>
          </cell>
          <cell r="E17855" t="str">
            <v>S6ESNE0T401299</v>
          </cell>
        </row>
        <row r="17856">
          <cell r="D17856" t="str">
            <v>MZ7L31T9HBLT-00A07</v>
          </cell>
          <cell r="E17856" t="str">
            <v>S6ESNE0T401288</v>
          </cell>
        </row>
        <row r="17857">
          <cell r="D17857" t="str">
            <v>MZ7L31T9HBLT-00A07</v>
          </cell>
          <cell r="E17857" t="str">
            <v>S6ESNE0T401289</v>
          </cell>
        </row>
        <row r="17858">
          <cell r="D17858" t="str">
            <v>MZ7L31T9HBLT-00A07</v>
          </cell>
          <cell r="E17858" t="str">
            <v>S6ESNE0T401295</v>
          </cell>
        </row>
        <row r="17859">
          <cell r="D17859" t="str">
            <v>C3558D4U-2OP</v>
          </cell>
          <cell r="E17859" t="str">
            <v>F3S0XW018756</v>
          </cell>
        </row>
        <row r="17860">
          <cell r="D17860" t="str">
            <v>B550D4-4L</v>
          </cell>
          <cell r="E17860" t="str">
            <v>F3S0XW008497</v>
          </cell>
        </row>
        <row r="17861">
          <cell r="D17861" t="str">
            <v>B550D4-4L</v>
          </cell>
          <cell r="E17861" t="str">
            <v>F3S0XW008496</v>
          </cell>
        </row>
        <row r="17862">
          <cell r="D17862" t="str">
            <v>B550D4-4L</v>
          </cell>
          <cell r="E17862" t="str">
            <v>F3S0XW008495</v>
          </cell>
        </row>
        <row r="17863">
          <cell r="D17863" t="str">
            <v>B550D4-4L</v>
          </cell>
          <cell r="E17863" t="str">
            <v>F3S0XW008494</v>
          </cell>
        </row>
        <row r="17864">
          <cell r="D17864" t="str">
            <v>B550D4-4L</v>
          </cell>
          <cell r="E17864" t="str">
            <v>F3S0XW008493</v>
          </cell>
        </row>
        <row r="17865">
          <cell r="D17865" t="str">
            <v>B550D4-4L</v>
          </cell>
          <cell r="E17865" t="str">
            <v>F3S0XW008492</v>
          </cell>
        </row>
        <row r="17866">
          <cell r="D17866" t="str">
            <v>B550D4-4L</v>
          </cell>
          <cell r="E17866" t="str">
            <v>F3S0XW008491</v>
          </cell>
        </row>
        <row r="17867">
          <cell r="D17867" t="str">
            <v>MZ7L3480HBLT-00A07</v>
          </cell>
          <cell r="E17867" t="str">
            <v>S6ELNE0T203271</v>
          </cell>
        </row>
        <row r="17868">
          <cell r="D17868" t="str">
            <v>MZ7L3480HBLT-00A07</v>
          </cell>
          <cell r="E17868" t="str">
            <v>S6ELNE0T206940</v>
          </cell>
        </row>
        <row r="17869">
          <cell r="D17869" t="str">
            <v>MZ7L3480HBLT-00A07</v>
          </cell>
          <cell r="E17869" t="str">
            <v>S6ELNE0T203269</v>
          </cell>
        </row>
        <row r="17870">
          <cell r="D17870" t="str">
            <v>RS3DC080</v>
          </cell>
          <cell r="E17870" t="str">
            <v>ADDC20101234</v>
          </cell>
        </row>
        <row r="17871">
          <cell r="D17871" t="str">
            <v>RS3DC080</v>
          </cell>
          <cell r="E17871" t="str">
            <v>ADDC20101056</v>
          </cell>
        </row>
        <row r="17872">
          <cell r="D17872" t="str">
            <v>AXXRMFBU4</v>
          </cell>
          <cell r="E17872" t="str">
            <v>ADBB12300017</v>
          </cell>
        </row>
        <row r="17873">
          <cell r="D17873" t="str">
            <v>AXXRMFBU4</v>
          </cell>
          <cell r="E17873" t="str">
            <v>ADBB04600253</v>
          </cell>
        </row>
        <row r="17874">
          <cell r="D17874" t="str">
            <v>QLE2672</v>
          </cell>
          <cell r="E17874" t="str">
            <v>RFE1743U40871</v>
          </cell>
        </row>
        <row r="17875">
          <cell r="D17875" t="str">
            <v>QLE2672</v>
          </cell>
          <cell r="E17875" t="str">
            <v>RFE1709S92083</v>
          </cell>
        </row>
        <row r="17876">
          <cell r="D17876" t="str">
            <v>QLE2672</v>
          </cell>
          <cell r="E17876" t="str">
            <v>RFE1709S91384</v>
          </cell>
        </row>
        <row r="17877">
          <cell r="D17877" t="str">
            <v>QLE2672</v>
          </cell>
          <cell r="E17877" t="str">
            <v>RFE1742U34042</v>
          </cell>
          <cell r="K17877" t="str">
            <v>OTWARTY NA CLE</v>
          </cell>
        </row>
        <row r="17878">
          <cell r="D17878" t="str">
            <v xml:space="preserve">PK8071305076101  </v>
          </cell>
          <cell r="E17878" t="str">
            <v>29552320A16BEF9BQ17U   M22X2B3000222</v>
          </cell>
        </row>
        <row r="17879">
          <cell r="D17879" t="str">
            <v xml:space="preserve">PK8071305076101 </v>
          </cell>
          <cell r="E17879" t="str">
            <v>28CD18209BD5248BQ17U  M22X2B3000773</v>
          </cell>
        </row>
        <row r="17880">
          <cell r="D17880" t="str">
            <v>PK8071305072401</v>
          </cell>
          <cell r="E17880" t="str">
            <v>53B92420DB571032Q16R  M2AR818200575</v>
          </cell>
        </row>
        <row r="17881">
          <cell r="D17881" t="str">
            <v>PK8071305072401</v>
          </cell>
          <cell r="E17881" t="str">
            <v>53B92220739E194FQ16R  M21TQ33500371</v>
          </cell>
        </row>
        <row r="17882">
          <cell r="D17882" t="str">
            <v>PK8071305072901</v>
          </cell>
          <cell r="E17882" t="str">
            <v>4F62F01F1FEAD63CQ16W  72WE403800499</v>
          </cell>
        </row>
        <row r="17883">
          <cell r="D17883" t="str">
            <v>PK8071305072901</v>
          </cell>
          <cell r="E17883" t="str">
            <v>4F62F21FB1446EFFQ16W  72WE403800482</v>
          </cell>
        </row>
        <row r="17884">
          <cell r="D17884" t="str">
            <v>0F31284</v>
          </cell>
          <cell r="E17884" t="str">
            <v>9LJ8M3NG</v>
          </cell>
        </row>
        <row r="17885">
          <cell r="D17885" t="str">
            <v>0F30144</v>
          </cell>
          <cell r="E17885" t="str">
            <v>5QJTVAUB</v>
          </cell>
        </row>
        <row r="17886">
          <cell r="D17886" t="str">
            <v>0F30144</v>
          </cell>
          <cell r="E17886" t="str">
            <v>5QJU6Y2B</v>
          </cell>
        </row>
        <row r="17887">
          <cell r="D17887" t="str">
            <v>0F30144</v>
          </cell>
          <cell r="E17887" t="str">
            <v>5QJPHTYB</v>
          </cell>
        </row>
        <row r="17888">
          <cell r="D17888" t="str">
            <v>0F30144</v>
          </cell>
          <cell r="E17888" t="str">
            <v>5QJU5YNB</v>
          </cell>
        </row>
        <row r="17889">
          <cell r="D17889" t="str">
            <v>0F30144</v>
          </cell>
          <cell r="E17889" t="str">
            <v>5QJU74GB</v>
          </cell>
        </row>
        <row r="17890">
          <cell r="D17890" t="str">
            <v>0F30144</v>
          </cell>
          <cell r="E17890" t="str">
            <v>5QJTZMXB</v>
          </cell>
        </row>
        <row r="17891">
          <cell r="D17891" t="str">
            <v>0F30144</v>
          </cell>
          <cell r="E17891" t="str">
            <v>5QJU52RB</v>
          </cell>
        </row>
        <row r="17892">
          <cell r="D17892" t="str">
            <v>0F30144</v>
          </cell>
          <cell r="E17892" t="str">
            <v>5QJU5Z7B</v>
          </cell>
        </row>
        <row r="17893">
          <cell r="D17893" t="str">
            <v>CD8069504343701 Xeon Silver 4214R</v>
          </cell>
          <cell r="E17893" t="str">
            <v>3222F159</v>
          </cell>
        </row>
        <row r="17894">
          <cell r="D17894" t="str">
            <v>CD8069504343701 Xeon Silver 4214R</v>
          </cell>
          <cell r="E17894" t="str">
            <v>3222F159</v>
          </cell>
        </row>
        <row r="17895">
          <cell r="D17895" t="str">
            <v>CD8069503956401 Xeon Silver 4208</v>
          </cell>
          <cell r="E17895" t="str">
            <v>DF54DFAF2A1987A5RFBM  72T65E2500201</v>
          </cell>
        </row>
        <row r="17896">
          <cell r="D17896" t="str">
            <v>CD8069503956401 Xeon Silver 4208</v>
          </cell>
          <cell r="E17896" t="str">
            <v>DF550A6B9CA2DF18RFBM  72T65E2500162</v>
          </cell>
        </row>
        <row r="17897">
          <cell r="D17897" t="str">
            <v>CD8069503956401 Xeon Silver 4208</v>
          </cell>
          <cell r="E17897" t="str">
            <v>DF5515D08094230FRFBM  72T65E2500082</v>
          </cell>
        </row>
        <row r="17898">
          <cell r="D17898" t="str">
            <v>CD8069503956401 Xeon Silver 4208</v>
          </cell>
          <cell r="E17898" t="str">
            <v>DF551018C16BB600RFBM  72T65E2500352</v>
          </cell>
        </row>
        <row r="17899">
          <cell r="D17899" t="str">
            <v>CD8069503956401 Xeon Silver 4208</v>
          </cell>
          <cell r="E17899" t="str">
            <v>DF54FD93577CF833RFBM  72T65E2500374</v>
          </cell>
        </row>
        <row r="17900">
          <cell r="D17900" t="str">
            <v>CD8069503956401 Xeon Silver 4208</v>
          </cell>
          <cell r="E17900" t="str">
            <v>DF55041455CF6772RFBM  72T65E2500164</v>
          </cell>
        </row>
        <row r="17901">
          <cell r="D17901" t="str">
            <v>CD8069504449200  Xeon Silver 4215R</v>
          </cell>
          <cell r="E17901" t="str">
            <v>3222F918</v>
          </cell>
        </row>
        <row r="17902">
          <cell r="D17902" t="str">
            <v>CD8069504449200  Xeon Silver 4215R</v>
          </cell>
          <cell r="E17902" t="str">
            <v>3222F918</v>
          </cell>
        </row>
        <row r="17903">
          <cell r="D17903" t="str">
            <v>CD8069504449200  Xeon Silver 4215R</v>
          </cell>
          <cell r="E17903" t="str">
            <v>3222F918</v>
          </cell>
        </row>
        <row r="17904">
          <cell r="D17904" t="str">
            <v>CD8069504449200  Xeon Silver 4215R</v>
          </cell>
          <cell r="E17904" t="str">
            <v>3222F918</v>
          </cell>
        </row>
        <row r="17905">
          <cell r="D17905" t="str">
            <v>CD8069504449200  Xeon Silver 4215R</v>
          </cell>
          <cell r="E17905" t="str">
            <v>3222F918</v>
          </cell>
        </row>
        <row r="17906">
          <cell r="D17906" t="str">
            <v>CD8069504449200  Xeon Silver 4215R</v>
          </cell>
          <cell r="E17906" t="str">
            <v>3222F918</v>
          </cell>
        </row>
        <row r="17907">
          <cell r="D17907" t="str">
            <v>CD8069504449200  Xeon Silver 4215R</v>
          </cell>
          <cell r="E17907" t="str">
            <v>3222F918</v>
          </cell>
        </row>
        <row r="17908">
          <cell r="D17908" t="str">
            <v>CD8069504449200  Xeon Silver 4215R</v>
          </cell>
          <cell r="E17908" t="str">
            <v>3222F918</v>
          </cell>
        </row>
        <row r="17909">
          <cell r="D17909" t="str">
            <v>CD8069504449200  Xeon Silver 4215R</v>
          </cell>
          <cell r="E17909" t="str">
            <v>3222F918</v>
          </cell>
        </row>
        <row r="17910">
          <cell r="D17910" t="str">
            <v xml:space="preserve">M393A8G40BB4-CWE </v>
          </cell>
          <cell r="E17910" t="str">
            <v>SNL869</v>
          </cell>
        </row>
        <row r="17911">
          <cell r="D17911" t="str">
            <v xml:space="preserve">M393A8G40BB4-CWE </v>
          </cell>
          <cell r="E17911" t="str">
            <v>SNL870</v>
          </cell>
        </row>
        <row r="17912">
          <cell r="D17912" t="str">
            <v xml:space="preserve">M393A8G40BB4-CWE </v>
          </cell>
          <cell r="E17912" t="str">
            <v>SNL871</v>
          </cell>
        </row>
        <row r="17913">
          <cell r="D17913" t="str">
            <v xml:space="preserve">M393A8G40BB4-CWE </v>
          </cell>
          <cell r="E17913" t="str">
            <v>SNL872</v>
          </cell>
        </row>
        <row r="17914">
          <cell r="D17914" t="str">
            <v xml:space="preserve">M393A8G40BB4-CWE </v>
          </cell>
          <cell r="E17914" t="str">
            <v>SNL873</v>
          </cell>
        </row>
        <row r="17915">
          <cell r="D17915" t="str">
            <v xml:space="preserve">M393A8G40BB4-CWE </v>
          </cell>
          <cell r="E17915" t="str">
            <v>SNL874</v>
          </cell>
        </row>
        <row r="17916">
          <cell r="D17916" t="str">
            <v xml:space="preserve">M393A8G40BB4-CWE </v>
          </cell>
          <cell r="E17916" t="str">
            <v>SNL875</v>
          </cell>
        </row>
        <row r="17917">
          <cell r="D17917" t="str">
            <v xml:space="preserve">M393A8G40BB4-CWE </v>
          </cell>
          <cell r="E17917" t="str">
            <v>SNL876</v>
          </cell>
        </row>
        <row r="17918">
          <cell r="D17918" t="str">
            <v xml:space="preserve">M393A8G40BB4-CWE </v>
          </cell>
          <cell r="E17918" t="str">
            <v>SNL877</v>
          </cell>
        </row>
        <row r="17919">
          <cell r="D17919" t="str">
            <v xml:space="preserve">M393A8G40BB4-CWE </v>
          </cell>
          <cell r="E17919" t="str">
            <v>SNL878</v>
          </cell>
        </row>
        <row r="17920">
          <cell r="D17920" t="str">
            <v xml:space="preserve">M393A8G40BB4-CWE </v>
          </cell>
          <cell r="E17920" t="str">
            <v>SNL879</v>
          </cell>
        </row>
        <row r="17921">
          <cell r="D17921" t="str">
            <v xml:space="preserve">M393A8G40BB4-CWE </v>
          </cell>
          <cell r="E17921" t="str">
            <v>SNL880</v>
          </cell>
        </row>
        <row r="17922">
          <cell r="D17922" t="str">
            <v xml:space="preserve">M393A8G40BB4-CWE </v>
          </cell>
          <cell r="E17922" t="str">
            <v>SNL881</v>
          </cell>
        </row>
        <row r="17923">
          <cell r="D17923" t="str">
            <v xml:space="preserve">M393A8G40BB4-CWE </v>
          </cell>
          <cell r="E17923" t="str">
            <v>SNL882</v>
          </cell>
        </row>
        <row r="17924">
          <cell r="D17924" t="str">
            <v xml:space="preserve">M393A8G40BB4-CWE </v>
          </cell>
          <cell r="E17924" t="str">
            <v>SNL883</v>
          </cell>
        </row>
        <row r="17925">
          <cell r="D17925" t="str">
            <v xml:space="preserve">M393A8G40BB4-CWE </v>
          </cell>
          <cell r="E17925" t="str">
            <v>SNL884</v>
          </cell>
        </row>
        <row r="17926">
          <cell r="D17926" t="str">
            <v>Xeon Silver 4208</v>
          </cell>
          <cell r="E17926" t="str">
            <v>DC2DA5CE454D3A22RFBM 71SL003600081</v>
          </cell>
        </row>
        <row r="17927">
          <cell r="D17927" t="str">
            <v>Xeon Silver 4208</v>
          </cell>
          <cell r="E17927" t="str">
            <v>DC2D7F748E765379RFBM  71SL003600948</v>
          </cell>
        </row>
        <row r="17928">
          <cell r="D17928" t="str">
            <v>Xeon Silver 4208</v>
          </cell>
          <cell r="E17928" t="str">
            <v>DAE60BFCCDCA73F9RFBM  71486NW700850</v>
          </cell>
        </row>
        <row r="17929">
          <cell r="D17929" t="str">
            <v>Xeon Silver 4310</v>
          </cell>
          <cell r="E17929" t="str">
            <v>2A13FFFB040E5C2ERKXN  41JH855100198</v>
          </cell>
        </row>
        <row r="17930">
          <cell r="D17930" t="str">
            <v>Xeon Silver 4310</v>
          </cell>
          <cell r="E17930" t="str">
            <v>2A13D9BFB462F883RKXN  41TU798300939</v>
          </cell>
        </row>
        <row r="17931">
          <cell r="D17931" t="str">
            <v>LSI00418/LSICVM02</v>
          </cell>
          <cell r="E17931" t="str">
            <v>SK11660468</v>
          </cell>
          <cell r="K17931" t="str">
            <v>zwrot</v>
          </cell>
        </row>
        <row r="17932">
          <cell r="D17932" t="str">
            <v>LSI00418/LSICVM02</v>
          </cell>
          <cell r="E17932" t="str">
            <v>SK11660458</v>
          </cell>
          <cell r="K17932" t="str">
            <v>zwrot</v>
          </cell>
        </row>
        <row r="17933">
          <cell r="D17933" t="str">
            <v>Xeon E2336 X122F855</v>
          </cell>
          <cell r="E17933" t="str">
            <v>X122F855  02694</v>
          </cell>
        </row>
        <row r="17934">
          <cell r="D17934" t="str">
            <v>LCY1204KRA48800      (serwer)</v>
          </cell>
          <cell r="E17934" t="str">
            <v>BQC222900010</v>
          </cell>
          <cell r="K17934" t="str">
            <v>w serwerze LCY1204KRA48800_0020063108-000010C</v>
          </cell>
        </row>
        <row r="17935">
          <cell r="D17935" t="str">
            <v xml:space="preserve">HMA81GR7CJR8N-XN </v>
          </cell>
          <cell r="E17935" t="str">
            <v>80AD012140751307F0</v>
          </cell>
          <cell r="K17935" t="str">
            <v>Wymontowane z BQC222900010</v>
          </cell>
        </row>
        <row r="17936">
          <cell r="D17936" t="str">
            <v xml:space="preserve">HMA81GR7CJR8N-XN </v>
          </cell>
          <cell r="E17936" t="str">
            <v>80AD0121407513084C</v>
          </cell>
          <cell r="K17936" t="str">
            <v>Wymontowane z BQC222900010</v>
          </cell>
        </row>
        <row r="17937">
          <cell r="D17937" t="str">
            <v>MZ7L31T9HBLT-00A07</v>
          </cell>
          <cell r="E17937" t="str">
            <v>S6ESNE0T504585</v>
          </cell>
        </row>
        <row r="17938">
          <cell r="D17938" t="str">
            <v>MZ7L31T9HBLT-00A07</v>
          </cell>
          <cell r="E17938" t="str">
            <v>S6ESNE0T504563</v>
          </cell>
        </row>
        <row r="17939">
          <cell r="D17939" t="str">
            <v>MZ7L31T9HBLT-00A07</v>
          </cell>
          <cell r="E17939" t="str">
            <v>S6ESNE0T504686</v>
          </cell>
        </row>
        <row r="17940">
          <cell r="D17940" t="str">
            <v>MZ7L31T9HBLT-00A07</v>
          </cell>
          <cell r="E17940" t="str">
            <v>S6ESNE0T504696</v>
          </cell>
        </row>
        <row r="17941">
          <cell r="D17941" t="str">
            <v>MZ7L31T9HBLT-00A07</v>
          </cell>
          <cell r="E17941" t="str">
            <v>S6ESNE0T504702</v>
          </cell>
        </row>
        <row r="17942">
          <cell r="D17942" t="str">
            <v>AOC-SGP-I2</v>
          </cell>
          <cell r="E17942" t="str">
            <v>VA21CS044277</v>
          </cell>
        </row>
        <row r="17943">
          <cell r="D17943" t="str">
            <v>AOC-SGP-I2</v>
          </cell>
          <cell r="E17943" t="str">
            <v>VA21CS042807</v>
          </cell>
        </row>
        <row r="17944">
          <cell r="D17944" t="str">
            <v>AOC-SGP-I2</v>
          </cell>
          <cell r="E17944" t="str">
            <v>VA21CS044296</v>
          </cell>
        </row>
        <row r="17945">
          <cell r="D17945" t="str">
            <v>BCM957414A4142CC</v>
          </cell>
          <cell r="E17945" t="str">
            <v>A41422221000ANFP</v>
          </cell>
        </row>
        <row r="17946">
          <cell r="D17946" t="str">
            <v>BCM957414A4142CC</v>
          </cell>
          <cell r="E17946" t="str">
            <v>A414222210009MFP</v>
          </cell>
        </row>
        <row r="17947">
          <cell r="D17947" t="str">
            <v>BCM957414A4142CC</v>
          </cell>
          <cell r="E17947" t="str">
            <v>A414222210009SFP</v>
          </cell>
        </row>
        <row r="17948">
          <cell r="D17948" t="str">
            <v>BCM957414A4142CC</v>
          </cell>
          <cell r="E17948" t="str">
            <v>A41422221000ABFP</v>
          </cell>
        </row>
        <row r="17949">
          <cell r="D17949" t="str">
            <v>BCM957414A4142CC</v>
          </cell>
          <cell r="E17949" t="str">
            <v>A414222210009XFP</v>
          </cell>
        </row>
        <row r="17950">
          <cell r="D17950" t="str">
            <v>BCM957414A4142CC</v>
          </cell>
          <cell r="E17950" t="str">
            <v>A414222210009QFP</v>
          </cell>
        </row>
        <row r="17951">
          <cell r="D17951" t="str">
            <v>BCM957414A4142CC</v>
          </cell>
          <cell r="E17951" t="str">
            <v>A41422221000B0FP</v>
          </cell>
        </row>
        <row r="17952">
          <cell r="D17952" t="str">
            <v>BCM957414A4142CC</v>
          </cell>
          <cell r="E17952" t="str">
            <v>A41422221000AQFP</v>
          </cell>
        </row>
        <row r="17953">
          <cell r="D17953" t="str">
            <v>BCM957414A4142CC</v>
          </cell>
          <cell r="E17953" t="str">
            <v>A41422221000AOFP</v>
          </cell>
        </row>
        <row r="17954">
          <cell r="D17954" t="str">
            <v>BCM957414A4142CC</v>
          </cell>
          <cell r="E17954" t="str">
            <v>A414222210009ZFP</v>
          </cell>
        </row>
        <row r="17955">
          <cell r="D17955" t="str">
            <v>BCM957414A4142CC</v>
          </cell>
          <cell r="E17955" t="str">
            <v>A414222210009JFP</v>
          </cell>
        </row>
        <row r="17956">
          <cell r="D17956" t="str">
            <v>BCM957414A4142CC</v>
          </cell>
          <cell r="E17956" t="str">
            <v>A414222210009EFP</v>
          </cell>
        </row>
        <row r="17957">
          <cell r="D17957" t="str">
            <v>BCM957414A4142CC</v>
          </cell>
          <cell r="E17957" t="str">
            <v>A414222210009IFP</v>
          </cell>
        </row>
        <row r="17958">
          <cell r="D17958" t="str">
            <v>BCM957414A4142CC</v>
          </cell>
          <cell r="E17958" t="str">
            <v>A414222210009KFP</v>
          </cell>
        </row>
        <row r="17959">
          <cell r="D17959" t="str">
            <v>BCM957414A4142CC</v>
          </cell>
          <cell r="E17959" t="str">
            <v>A41422221000AVFP</v>
          </cell>
        </row>
        <row r="17960">
          <cell r="D17960" t="str">
            <v>BCM957414A4142CC</v>
          </cell>
          <cell r="E17960" t="str">
            <v>A414222210009GFP</v>
          </cell>
        </row>
        <row r="17961">
          <cell r="D17961" t="str">
            <v>BCM957414A4142CC</v>
          </cell>
          <cell r="E17961" t="str">
            <v>A414222210009OFP</v>
          </cell>
        </row>
        <row r="17962">
          <cell r="D17962" t="str">
            <v>BCM957414A4142CC</v>
          </cell>
          <cell r="E17962" t="str">
            <v>A41422221000AGFP</v>
          </cell>
        </row>
        <row r="17963">
          <cell r="D17963" t="str">
            <v>BCM957414A4142CC</v>
          </cell>
          <cell r="E17963" t="str">
            <v>A41422221000AEFP</v>
          </cell>
        </row>
        <row r="17964">
          <cell r="D17964" t="str">
            <v>BCM957414A4142CC</v>
          </cell>
          <cell r="E17964" t="str">
            <v>A41422221000AIFP</v>
          </cell>
        </row>
        <row r="17965">
          <cell r="D17965" t="str">
            <v>BCM957414A4142CC</v>
          </cell>
          <cell r="E17965" t="str">
            <v>A41422221000H6FP</v>
          </cell>
        </row>
        <row r="17966">
          <cell r="D17966" t="str">
            <v>BCM957414A4142CC</v>
          </cell>
          <cell r="E17966" t="str">
            <v>A41422221000HDFP</v>
          </cell>
        </row>
        <row r="17967">
          <cell r="D17967" t="str">
            <v>BCM957414A4142CC</v>
          </cell>
          <cell r="E17967" t="str">
            <v>A41422221000D1FP</v>
          </cell>
        </row>
        <row r="17968">
          <cell r="D17968" t="str">
            <v>BCM957414A4142CC</v>
          </cell>
          <cell r="E17968" t="str">
            <v>A41422221000GZFP</v>
          </cell>
        </row>
        <row r="17969">
          <cell r="D17969" t="str">
            <v>BCM957414A4142CC</v>
          </cell>
          <cell r="E17969" t="str">
            <v>A41422221000H4FP</v>
          </cell>
        </row>
        <row r="17970">
          <cell r="D17970" t="str">
            <v>BCM957414A4142CC</v>
          </cell>
          <cell r="E17970" t="str">
            <v>A41422221000H8FP</v>
          </cell>
        </row>
        <row r="17971">
          <cell r="D17971" t="str">
            <v>BCM957414A4142CC</v>
          </cell>
          <cell r="E17971" t="str">
            <v>A41422221000H0FP</v>
          </cell>
        </row>
        <row r="17972">
          <cell r="D17972" t="str">
            <v>BCM957414A4142CC</v>
          </cell>
          <cell r="E17972" t="str">
            <v>A41422221000H3FP</v>
          </cell>
        </row>
        <row r="17973">
          <cell r="D17973" t="str">
            <v>BCM957414A4142CC</v>
          </cell>
          <cell r="E17973" t="str">
            <v>A41422221000FPFP</v>
          </cell>
        </row>
        <row r="17974">
          <cell r="D17974" t="str">
            <v>BCM957414A4142CC</v>
          </cell>
          <cell r="E17974" t="str">
            <v>A41422221000HJFP</v>
          </cell>
        </row>
        <row r="17975">
          <cell r="D17975" t="str">
            <v>C3558D4I-4L</v>
          </cell>
          <cell r="E17975" t="str">
            <v>F4S0XW003426</v>
          </cell>
        </row>
        <row r="17976">
          <cell r="D17976" t="str">
            <v>M393A4K40EB3-CWE</v>
          </cell>
          <cell r="E17976" t="str">
            <v>SNL885</v>
          </cell>
          <cell r="K17976" t="str">
            <v>w serwerze LCY1204KRA48800_0020063108-000010C</v>
          </cell>
        </row>
        <row r="17977">
          <cell r="D17977" t="str">
            <v>M393A4K40EB3-CWE</v>
          </cell>
          <cell r="E17977" t="str">
            <v>SNL886</v>
          </cell>
          <cell r="K17977" t="str">
            <v>w serwerze LCY1204KRA48800_0020063108-000010C</v>
          </cell>
        </row>
        <row r="17978">
          <cell r="D17978" t="str">
            <v>M393A4K40EB3-CWE</v>
          </cell>
          <cell r="E17978" t="str">
            <v>SNL887</v>
          </cell>
          <cell r="K17978" t="str">
            <v>w serwerze LCY1204KRA48800_0020063108-000010C</v>
          </cell>
        </row>
        <row r="17979">
          <cell r="D17979" t="str">
            <v>M393A4K40EB3-CWE</v>
          </cell>
          <cell r="E17979" t="str">
            <v>SNL888</v>
          </cell>
          <cell r="K17979" t="str">
            <v>w serwerze LCY1204KRA48800_0020063108-000010C</v>
          </cell>
        </row>
        <row r="17980">
          <cell r="D17980" t="str">
            <v>M393A4K40EB3-CWE</v>
          </cell>
          <cell r="E17980" t="str">
            <v>SNL889</v>
          </cell>
          <cell r="K17980" t="str">
            <v>w serwerze LCY1204KRA48800_0020063108-000010C</v>
          </cell>
        </row>
        <row r="17981">
          <cell r="D17981" t="str">
            <v>M393A4K40EB3-CWE</v>
          </cell>
          <cell r="E17981" t="str">
            <v>SNL890</v>
          </cell>
          <cell r="K17981" t="str">
            <v>w serwerze LCY1204KRA48800_0020063108-000010C</v>
          </cell>
        </row>
        <row r="17982">
          <cell r="D17982" t="str">
            <v>M393A4K40EB3-CWE</v>
          </cell>
          <cell r="E17982" t="str">
            <v>SNL891</v>
          </cell>
          <cell r="K17982" t="str">
            <v>w serwerze LCY1204KRA48800_0020063108-000010C</v>
          </cell>
        </row>
        <row r="17983">
          <cell r="D17983" t="str">
            <v>M393A4K40EB3-CWE</v>
          </cell>
          <cell r="E17983" t="str">
            <v>SNL892</v>
          </cell>
          <cell r="K17983" t="str">
            <v>w serwerze LCY1204KRA48800_0020063108-000010C</v>
          </cell>
        </row>
        <row r="17984">
          <cell r="D17984" t="str">
            <v>M393A4K40EB3-CWE</v>
          </cell>
          <cell r="E17984" t="str">
            <v>SNL893</v>
          </cell>
          <cell r="K17984" t="str">
            <v>w serwerze LCY1204KRA48800_0020063108-000010C</v>
          </cell>
        </row>
        <row r="17985">
          <cell r="D17985" t="str">
            <v>M393A4K40EB3-CWE</v>
          </cell>
          <cell r="E17985" t="str">
            <v>SNL894</v>
          </cell>
          <cell r="K17985" t="str">
            <v>w serwerze LCY1204KRA48800_0020063108-000010C</v>
          </cell>
        </row>
        <row r="17986">
          <cell r="D17986" t="str">
            <v>M393A4K40EB3-CWE</v>
          </cell>
          <cell r="E17986" t="str">
            <v>SNL895</v>
          </cell>
          <cell r="K17986" t="str">
            <v>w serwerze LCY1204KRA48800_0020063108-000010C</v>
          </cell>
        </row>
        <row r="17987">
          <cell r="D17987" t="str">
            <v>M393A4K40EB3-CWE</v>
          </cell>
          <cell r="E17987" t="str">
            <v>SNL896</v>
          </cell>
          <cell r="K17987" t="str">
            <v>w serwerze LCY1204KRA48800_0020063108-000010C</v>
          </cell>
        </row>
        <row r="17988">
          <cell r="D17988" t="str">
            <v>M393A4K40EB3-CWE</v>
          </cell>
          <cell r="E17988" t="str">
            <v>SNL897</v>
          </cell>
          <cell r="K17988" t="str">
            <v>w serwerze LCY1204KRA48800_0020063108-000010C</v>
          </cell>
        </row>
        <row r="17989">
          <cell r="D17989" t="str">
            <v>M393A4K40EB3-CWE</v>
          </cell>
          <cell r="E17989" t="str">
            <v>SNL898</v>
          </cell>
          <cell r="K17989" t="str">
            <v>w serwerze LCY1204KRA48800_0020063108-000010C</v>
          </cell>
        </row>
        <row r="17990">
          <cell r="D17990" t="str">
            <v>M393A4K40EB3-CWE</v>
          </cell>
          <cell r="E17990" t="str">
            <v>SNL899</v>
          </cell>
          <cell r="K17990" t="str">
            <v>w serwerze LCY1204KRA48800_0020063108-000010C</v>
          </cell>
        </row>
        <row r="17991">
          <cell r="D17991" t="str">
            <v>M393A4K40EB3-CWE</v>
          </cell>
          <cell r="E17991" t="str">
            <v>SNL900</v>
          </cell>
          <cell r="K17991" t="str">
            <v>w serwerze LCY1204KRA48800_0020063108-000010C</v>
          </cell>
        </row>
        <row r="17992">
          <cell r="D17992" t="str">
            <v>M393A4K40EB3-CWE</v>
          </cell>
          <cell r="E17992" t="str">
            <v>SNL901</v>
          </cell>
          <cell r="K17992" t="str">
            <v>w serwerze LCY1204KRA48800_0020063108-000010C</v>
          </cell>
        </row>
        <row r="17993">
          <cell r="D17993" t="str">
            <v>M393A4K40EB3-CWE</v>
          </cell>
          <cell r="E17993" t="str">
            <v>SNL902</v>
          </cell>
          <cell r="K17993" t="str">
            <v>w serwerze LCY1204KRA48800_0020063108-000010C</v>
          </cell>
        </row>
        <row r="17994">
          <cell r="D17994" t="str">
            <v>M393A4K40EB3-CWE</v>
          </cell>
          <cell r="E17994" t="str">
            <v>SNL903</v>
          </cell>
          <cell r="K17994" t="str">
            <v>w serwerze LCY1204KRA48800_0020063108-000010C</v>
          </cell>
        </row>
        <row r="17995">
          <cell r="D17995" t="str">
            <v>M393A4K40EB3-CWE</v>
          </cell>
          <cell r="E17995" t="str">
            <v>SNL904</v>
          </cell>
          <cell r="K17995" t="str">
            <v>w serwerze LCY1204KRA48800_0020063108-000010C</v>
          </cell>
        </row>
        <row r="17996">
          <cell r="D17996" t="str">
            <v>M393A4K40EB3-CWE</v>
          </cell>
          <cell r="E17996" t="str">
            <v>SNL905</v>
          </cell>
          <cell r="K17996" t="str">
            <v>w serwerze LCY1204KRA48800_0020063108-000010C</v>
          </cell>
        </row>
        <row r="17997">
          <cell r="D17997" t="str">
            <v>M393A4K40EB3-CWE</v>
          </cell>
          <cell r="E17997" t="str">
            <v>SNL906</v>
          </cell>
          <cell r="K17997" t="str">
            <v>w serwerze LCY1204KRA48800_0020063108-000010C</v>
          </cell>
        </row>
        <row r="17998">
          <cell r="D17998" t="str">
            <v>M393A4K40EB3-CWE</v>
          </cell>
          <cell r="E17998" t="str">
            <v>SNL907</v>
          </cell>
          <cell r="K17998" t="str">
            <v>w serwerze LCY1204KRA48800_0020063108-000010C</v>
          </cell>
        </row>
        <row r="17999">
          <cell r="D17999" t="str">
            <v>M393A4K40EB3-CWE</v>
          </cell>
          <cell r="E17999" t="str">
            <v>SNL908</v>
          </cell>
          <cell r="K17999" t="str">
            <v>w serwerze LCY1204KRA48800_0020063108-000010C</v>
          </cell>
        </row>
        <row r="18000">
          <cell r="D18000" t="str">
            <v>MZQL2960HCJR-00A07</v>
          </cell>
          <cell r="E18000" t="str">
            <v>S64FNE0T501213</v>
          </cell>
          <cell r="K18000" t="str">
            <v>w serwerze LCY1204KRA48800_0020063108-000010C</v>
          </cell>
        </row>
        <row r="18001">
          <cell r="D18001" t="str">
            <v>MZQL2960HCJR-00A07</v>
          </cell>
          <cell r="E18001" t="str">
            <v>S64FNE0T501214</v>
          </cell>
          <cell r="K18001" t="str">
            <v>w serwerze LCY1204KRA48800_0020063108-000010C</v>
          </cell>
        </row>
        <row r="18002">
          <cell r="D18002" t="str">
            <v>MZQL2960HCJR-00A07</v>
          </cell>
          <cell r="E18002" t="str">
            <v>S64FNE0T501210</v>
          </cell>
          <cell r="K18002" t="str">
            <v>w serwerze LCY1204KRA48800_0020063108-000010C</v>
          </cell>
        </row>
        <row r="18003">
          <cell r="D18003" t="str">
            <v>MZQL2960HCJR-00A07</v>
          </cell>
          <cell r="E18003" t="str">
            <v>S64FNE0T501211</v>
          </cell>
          <cell r="K18003" t="str">
            <v>w serwerze LCY1204KRA48800_0020063108-000010C</v>
          </cell>
        </row>
        <row r="18004">
          <cell r="D18004" t="str">
            <v xml:space="preserve">M393A4K40EB3-CWE </v>
          </cell>
          <cell r="E18004" t="str">
            <v>SNL909</v>
          </cell>
          <cell r="K18004" t="str">
            <v>C1130LK43P90206</v>
          </cell>
        </row>
        <row r="18005">
          <cell r="D18005" t="str">
            <v xml:space="preserve">M393A4K40EB3-CWE </v>
          </cell>
          <cell r="E18005" t="str">
            <v>SNL910</v>
          </cell>
          <cell r="K18005" t="str">
            <v>C1130LK43P90206</v>
          </cell>
        </row>
        <row r="18006">
          <cell r="D18006" t="str">
            <v xml:space="preserve">M393A4K40EB3-CWE </v>
          </cell>
          <cell r="E18006" t="str">
            <v>SNL911</v>
          </cell>
          <cell r="K18006" t="str">
            <v>C1130LK43P90206</v>
          </cell>
        </row>
        <row r="18007">
          <cell r="D18007" t="str">
            <v xml:space="preserve">M393A4K40EB3-CWE </v>
          </cell>
          <cell r="E18007" t="str">
            <v>SNL912</v>
          </cell>
          <cell r="K18007" t="str">
            <v>C1130LK43P90206</v>
          </cell>
        </row>
        <row r="18008">
          <cell r="D18008" t="str">
            <v xml:space="preserve">M393A4K40EB3-CWE </v>
          </cell>
          <cell r="E18008" t="str">
            <v>SNL913</v>
          </cell>
          <cell r="K18008" t="str">
            <v>C1130LK43P90208</v>
          </cell>
        </row>
        <row r="18009">
          <cell r="D18009" t="str">
            <v xml:space="preserve">M393A4K40EB3-CWE </v>
          </cell>
          <cell r="E18009" t="str">
            <v>SNL914</v>
          </cell>
          <cell r="K18009" t="str">
            <v>C1130LK43P90208</v>
          </cell>
        </row>
        <row r="18010">
          <cell r="D18010" t="str">
            <v xml:space="preserve">M393A4K40EB3-CWE </v>
          </cell>
          <cell r="E18010" t="str">
            <v>SNL915</v>
          </cell>
          <cell r="K18010" t="str">
            <v>C1130LK43P90208</v>
          </cell>
        </row>
        <row r="18011">
          <cell r="D18011" t="str">
            <v xml:space="preserve">M393A4K40EB3-CWE </v>
          </cell>
          <cell r="E18011" t="str">
            <v>SNL916</v>
          </cell>
          <cell r="K18011" t="str">
            <v>C1130LK43P90208</v>
          </cell>
        </row>
        <row r="18012">
          <cell r="D18012" t="str">
            <v>MZ7L3240HCHQ-00A07</v>
          </cell>
          <cell r="E18012" t="str">
            <v>S663NE0RC12798</v>
          </cell>
          <cell r="K18012" t="str">
            <v>C1130LK43P90208</v>
          </cell>
        </row>
        <row r="18013">
          <cell r="D18013" t="str">
            <v>MZ7L3240HCHQ-00A07</v>
          </cell>
          <cell r="E18013" t="str">
            <v>S663NE0RC12779</v>
          </cell>
          <cell r="K18013" t="str">
            <v>C1130LK43P90206</v>
          </cell>
        </row>
        <row r="18014">
          <cell r="D18014" t="str">
            <v>MZ7L3240HCHQ-00A07</v>
          </cell>
          <cell r="E18014" t="str">
            <v>S663NE0RC12719</v>
          </cell>
          <cell r="K18014" t="str">
            <v>C1130LK43P90208</v>
          </cell>
        </row>
        <row r="18015">
          <cell r="D18015" t="str">
            <v>MZ7L3240HCHQ-00A07</v>
          </cell>
          <cell r="E18015" t="str">
            <v>S663NE0RC12783</v>
          </cell>
          <cell r="K18015" t="str">
            <v>C1130LK43P90206</v>
          </cell>
        </row>
        <row r="18016">
          <cell r="D18016" t="str">
            <v>MZ7L33T8HBLT-00A07</v>
          </cell>
          <cell r="E18016" t="str">
            <v>S6ERNE0T603734</v>
          </cell>
          <cell r="K18016" t="str">
            <v>C1130LK43P90208</v>
          </cell>
        </row>
        <row r="18017">
          <cell r="D18017" t="str">
            <v>MZ7L33T8HBLT-00A07</v>
          </cell>
          <cell r="E18017" t="str">
            <v>S6ERNE0T603735</v>
          </cell>
          <cell r="K18017" t="str">
            <v>C1130LK43P90206</v>
          </cell>
        </row>
        <row r="18018">
          <cell r="D18018" t="str">
            <v>MZ7L33T8HBLT-00A07</v>
          </cell>
          <cell r="E18018" t="str">
            <v>S6ERNE0T603736</v>
          </cell>
          <cell r="K18018" t="str">
            <v>C1130LK43P90206</v>
          </cell>
        </row>
        <row r="18019">
          <cell r="D18019" t="str">
            <v>MZ7L33T8HBLT-00A07</v>
          </cell>
          <cell r="E18019" t="str">
            <v>S6ERNE0T603744</v>
          </cell>
          <cell r="K18019" t="str">
            <v>C1130LK43P90208</v>
          </cell>
        </row>
        <row r="18020">
          <cell r="D18020" t="str">
            <v>MZ7L33T8HBLT-00A07</v>
          </cell>
          <cell r="E18020" t="str">
            <v>S6ERNE0T603745</v>
          </cell>
          <cell r="K18020" t="str">
            <v>C1130LK43P90208</v>
          </cell>
        </row>
        <row r="18021">
          <cell r="D18021" t="str">
            <v>MZ7L33T8HBLT-00A07</v>
          </cell>
          <cell r="E18021" t="str">
            <v>S6ERNE0T603746</v>
          </cell>
          <cell r="K18021" t="str">
            <v>C1130LK43P90206</v>
          </cell>
        </row>
        <row r="18022">
          <cell r="D18022" t="str">
            <v>MZ7L31T9HBLT-00A07</v>
          </cell>
          <cell r="E18022" t="str">
            <v>S6ESNE0T504724</v>
          </cell>
        </row>
        <row r="18023">
          <cell r="D18023" t="str">
            <v>0F38459</v>
          </cell>
          <cell r="E18023" t="str">
            <v>5DGNDL0J</v>
          </cell>
        </row>
        <row r="18024">
          <cell r="D18024" t="str">
            <v>0F38459</v>
          </cell>
          <cell r="E18024" t="str">
            <v>5DGPX44J</v>
          </cell>
        </row>
        <row r="18025">
          <cell r="D18025" t="str">
            <v>0F38459</v>
          </cell>
          <cell r="E18025" t="str">
            <v>5DGPUZDJ</v>
          </cell>
        </row>
        <row r="18026">
          <cell r="D18026" t="str">
            <v>SYS-1019C-HTN2</v>
          </cell>
          <cell r="E18026" t="str">
            <v>A345069X2721217</v>
          </cell>
          <cell r="K18026" t="str">
            <v>SO/2022/006170/A 8z12</v>
          </cell>
        </row>
        <row r="18027">
          <cell r="D18027" t="str">
            <v>CSE-510FT-203B</v>
          </cell>
          <cell r="E18027" t="str">
            <v>C5100LL25RA0462</v>
          </cell>
          <cell r="K18027" t="str">
            <v>SO/2022/006170/A 8z12</v>
          </cell>
        </row>
        <row r="18028">
          <cell r="D18028" t="str">
            <v>PWS-203-1H</v>
          </cell>
          <cell r="E18028" t="str">
            <v>P20310L48G50189</v>
          </cell>
          <cell r="K18028" t="str">
            <v>SO/2022/006170/A 8z12</v>
          </cell>
        </row>
        <row r="18029">
          <cell r="D18029" t="str">
            <v>MBD-X11SCZ-F</v>
          </cell>
          <cell r="E18029" t="str">
            <v>VM224S013140</v>
          </cell>
          <cell r="K18029" t="str">
            <v>SO/2022/006170/A 8z12</v>
          </cell>
        </row>
        <row r="18030">
          <cell r="D18030" t="str">
            <v>BPN-SAS-510T</v>
          </cell>
          <cell r="E18030" t="str">
            <v>EB227S007050</v>
          </cell>
          <cell r="K18030" t="str">
            <v>SO/2022/006170/A 8z12</v>
          </cell>
        </row>
        <row r="18031">
          <cell r="D18031" t="str">
            <v>RSC-RR1U-E16</v>
          </cell>
          <cell r="E18031" t="str">
            <v>VR219S016004</v>
          </cell>
          <cell r="K18031" t="str">
            <v>SO/2022/006170/A 8z12</v>
          </cell>
        </row>
        <row r="18032">
          <cell r="D18032" t="str">
            <v>SYS-1019C-HTN2</v>
          </cell>
          <cell r="E18032" t="str">
            <v>A345069X2721203</v>
          </cell>
          <cell r="K18032" t="str">
            <v>SO/2022/006170/A 9z12</v>
          </cell>
        </row>
        <row r="18033">
          <cell r="D18033" t="str">
            <v>CSE-510FT-203B</v>
          </cell>
          <cell r="E18033" t="str">
            <v>C5100LL25RA0479</v>
          </cell>
          <cell r="K18033" t="str">
            <v>SO/2022/006170/A 9z12</v>
          </cell>
        </row>
        <row r="18034">
          <cell r="D18034" t="str">
            <v>PWS-203-1H</v>
          </cell>
          <cell r="E18034" t="str">
            <v>P20310L48G50300</v>
          </cell>
          <cell r="K18034" t="str">
            <v>SO/2022/006170/A 9z12</v>
          </cell>
        </row>
        <row r="18035">
          <cell r="D18035" t="str">
            <v>MBD-X11SCZ-F</v>
          </cell>
          <cell r="E18035" t="str">
            <v>VM224S013211</v>
          </cell>
          <cell r="K18035" t="str">
            <v>SO/2022/006170/A 9z12</v>
          </cell>
        </row>
        <row r="18036">
          <cell r="D18036" t="str">
            <v>BPN-SAS-510T</v>
          </cell>
          <cell r="E18036" t="str">
            <v>EB227S007579</v>
          </cell>
          <cell r="K18036" t="str">
            <v>SO/2022/006170/A 9z12</v>
          </cell>
        </row>
        <row r="18037">
          <cell r="D18037" t="str">
            <v>RSC-RR1U-E16</v>
          </cell>
          <cell r="E18037" t="str">
            <v>VR219S016033</v>
          </cell>
          <cell r="K18037" t="str">
            <v>SO/2022/006170/A 9z12</v>
          </cell>
        </row>
        <row r="18038">
          <cell r="D18038" t="str">
            <v>SYS-1019C-HTN2</v>
          </cell>
          <cell r="E18038" t="str">
            <v>A345069X2721181</v>
          </cell>
          <cell r="K18038" t="str">
            <v>SO/2022/006170/A 7z12</v>
          </cell>
        </row>
        <row r="18039">
          <cell r="D18039" t="str">
            <v>CSE-510FT-203B</v>
          </cell>
          <cell r="E18039" t="str">
            <v>C5100LL02RA0340</v>
          </cell>
          <cell r="K18039" t="str">
            <v>SO/2022/006170/A 7z12</v>
          </cell>
        </row>
        <row r="18040">
          <cell r="D18040" t="str">
            <v>PWS-203-1H</v>
          </cell>
          <cell r="E18040" t="str">
            <v>P20310L48G50306</v>
          </cell>
          <cell r="K18040" t="str">
            <v>SO/2022/006170/A 7z12</v>
          </cell>
        </row>
        <row r="18041">
          <cell r="D18041" t="str">
            <v>MBD-X11SCZ-F</v>
          </cell>
          <cell r="E18041" t="str">
            <v>VM226S001935</v>
          </cell>
          <cell r="K18041" t="str">
            <v>SO/2022/006170/A 7z12</v>
          </cell>
        </row>
        <row r="18042">
          <cell r="D18042" t="str">
            <v>BPN-SAS-510T</v>
          </cell>
          <cell r="E18042" t="str">
            <v>EB227S007567</v>
          </cell>
          <cell r="K18042" t="str">
            <v>SO/2022/006170/A 7z12</v>
          </cell>
        </row>
        <row r="18043">
          <cell r="D18043" t="str">
            <v>RSC-RR1U-E16</v>
          </cell>
          <cell r="E18043" t="str">
            <v>VR219S016035</v>
          </cell>
          <cell r="K18043" t="str">
            <v>SO/2022/006170/A 7z12</v>
          </cell>
        </row>
        <row r="18044">
          <cell r="D18044" t="str">
            <v>SYS-1019C-HTN2</v>
          </cell>
          <cell r="E18044" t="str">
            <v>A345069X2721191</v>
          </cell>
          <cell r="K18044" t="str">
            <v>SO/2022/006170/A 12z12</v>
          </cell>
        </row>
        <row r="18045">
          <cell r="D18045" t="str">
            <v>CSE-510FT-203B</v>
          </cell>
          <cell r="E18045" t="str">
            <v>C5100LL25RA0456</v>
          </cell>
          <cell r="K18045" t="str">
            <v>SO/2022/006170/A 12z12</v>
          </cell>
        </row>
        <row r="18046">
          <cell r="D18046" t="str">
            <v>PWS-203-1H</v>
          </cell>
          <cell r="E18046" t="str">
            <v>P20310L48G50294</v>
          </cell>
          <cell r="K18046" t="str">
            <v>SO/2022/006170/A 12z12</v>
          </cell>
        </row>
        <row r="18047">
          <cell r="D18047" t="str">
            <v>MBD-X11SCZ-F</v>
          </cell>
          <cell r="E18047" t="str">
            <v>VM226S001930</v>
          </cell>
          <cell r="K18047" t="str">
            <v>SO/2022/006170/A 12z12</v>
          </cell>
        </row>
        <row r="18048">
          <cell r="D18048" t="str">
            <v>BPN-SAS-510T</v>
          </cell>
          <cell r="E18048" t="str">
            <v>EB227S007568</v>
          </cell>
          <cell r="K18048" t="str">
            <v>SO/2022/006170/A 12z12</v>
          </cell>
        </row>
        <row r="18049">
          <cell r="D18049" t="str">
            <v>RSC-RR1U-E16</v>
          </cell>
          <cell r="E18049" t="str">
            <v>VR219S016042</v>
          </cell>
          <cell r="K18049" t="str">
            <v>SO/2022/006170/A 12z12</v>
          </cell>
        </row>
        <row r="18050">
          <cell r="D18050" t="str">
            <v>SYS-1019C-HTN2</v>
          </cell>
          <cell r="E18050" t="str">
            <v>A345069X2721207</v>
          </cell>
          <cell r="K18050" t="str">
            <v>SO/2022/006215/A 5z10</v>
          </cell>
        </row>
        <row r="18051">
          <cell r="D18051" t="str">
            <v>CSE-510FT-203B</v>
          </cell>
          <cell r="E18051" t="str">
            <v>C5100LL25RA0471</v>
          </cell>
          <cell r="K18051" t="str">
            <v>SO/2022/006215/A 5z10</v>
          </cell>
        </row>
        <row r="18052">
          <cell r="D18052" t="str">
            <v>PWS-203-1H</v>
          </cell>
          <cell r="E18052" t="str">
            <v>P20310L48G50186</v>
          </cell>
          <cell r="K18052" t="str">
            <v>SO/2022/006215/A 5z10</v>
          </cell>
        </row>
        <row r="18053">
          <cell r="D18053" t="str">
            <v>MBD-X11SCZ-F</v>
          </cell>
          <cell r="E18053" t="str">
            <v>VM224S013212</v>
          </cell>
          <cell r="K18053" t="str">
            <v>SO/2022/006215/A 5z10</v>
          </cell>
        </row>
        <row r="18054">
          <cell r="D18054" t="str">
            <v>BPN-SAS-510T</v>
          </cell>
          <cell r="E18054" t="str">
            <v>EB227S007582</v>
          </cell>
          <cell r="K18054" t="str">
            <v>SO/2022/006215/A 5z10</v>
          </cell>
        </row>
        <row r="18055">
          <cell r="D18055" t="str">
            <v>RSC-RR1U-E16</v>
          </cell>
          <cell r="E18055" t="str">
            <v>VR219S016072</v>
          </cell>
          <cell r="K18055" t="str">
            <v>SO/2022/006215/A 5z10</v>
          </cell>
        </row>
        <row r="18056">
          <cell r="D18056" t="str">
            <v>SYS-1019C-HTN2</v>
          </cell>
          <cell r="E18056" t="str">
            <v>A345069X2721178</v>
          </cell>
          <cell r="K18056" t="str">
            <v>SO/2022/006215/A 3z10</v>
          </cell>
        </row>
        <row r="18057">
          <cell r="D18057" t="str">
            <v>CSE-510FT-203B</v>
          </cell>
          <cell r="E18057" t="str">
            <v>C5100LL25RA0452</v>
          </cell>
          <cell r="K18057" t="str">
            <v>SO/2022/006215/A 3z10</v>
          </cell>
        </row>
        <row r="18058">
          <cell r="D18058" t="str">
            <v>PWS-203-1H</v>
          </cell>
          <cell r="E18058" t="str">
            <v>P20310L48G50297</v>
          </cell>
          <cell r="K18058" t="str">
            <v>SO/2022/006215/A 3z10</v>
          </cell>
        </row>
        <row r="18059">
          <cell r="D18059" t="str">
            <v>MBD-X11SCZ-F</v>
          </cell>
          <cell r="E18059" t="str">
            <v>VM226S001671</v>
          </cell>
          <cell r="K18059" t="str">
            <v>SO/2022/006215/A 3z10</v>
          </cell>
        </row>
        <row r="18060">
          <cell r="D18060" t="str">
            <v>BPN-SAS-510T</v>
          </cell>
          <cell r="E18060" t="str">
            <v>EB227S007576</v>
          </cell>
          <cell r="K18060" t="str">
            <v>SO/2022/006215/A 3z10</v>
          </cell>
        </row>
        <row r="18061">
          <cell r="D18061" t="str">
            <v>RSC-RR1U-E16</v>
          </cell>
          <cell r="E18061" t="str">
            <v>VR219S016046</v>
          </cell>
          <cell r="K18061" t="str">
            <v>SO/2022/006215/A 3z10</v>
          </cell>
        </row>
        <row r="18062">
          <cell r="D18062" t="str">
            <v>SYS-1019C-HTN2</v>
          </cell>
          <cell r="E18062" t="str">
            <v>A345069X2721213</v>
          </cell>
          <cell r="K18062" t="str">
            <v>SO/2022/006215/A 4z10</v>
          </cell>
        </row>
        <row r="18063">
          <cell r="D18063" t="str">
            <v>CSE-510FT-203B</v>
          </cell>
          <cell r="E18063" t="str">
            <v>C5100LL25RA0463</v>
          </cell>
          <cell r="K18063" t="str">
            <v>SO/2022/006215/A 4z10</v>
          </cell>
        </row>
        <row r="18064">
          <cell r="D18064" t="str">
            <v>PWS-203-1H</v>
          </cell>
          <cell r="E18064" t="str">
            <v>P20310L48G50194</v>
          </cell>
          <cell r="K18064" t="str">
            <v>SO/2022/006215/A 4z10</v>
          </cell>
        </row>
        <row r="18065">
          <cell r="D18065" t="str">
            <v>MBD-X11SCZ-F</v>
          </cell>
          <cell r="E18065" t="str">
            <v>VM224S013144</v>
          </cell>
          <cell r="K18065" t="str">
            <v>SO/2022/006215/A 4z10</v>
          </cell>
        </row>
        <row r="18066">
          <cell r="D18066" t="str">
            <v>BPN-SAS-510T</v>
          </cell>
          <cell r="E18066" t="str">
            <v>EB227S007051</v>
          </cell>
          <cell r="K18066" t="str">
            <v>SO/2022/006215/A 4z10</v>
          </cell>
        </row>
        <row r="18067">
          <cell r="D18067" t="str">
            <v>RSC-RR1U-E16</v>
          </cell>
          <cell r="E18067" t="str">
            <v>VR219S016041</v>
          </cell>
          <cell r="K18067" t="str">
            <v>SO/2022/006215/A 4z10</v>
          </cell>
        </row>
        <row r="18068">
          <cell r="D18068" t="str">
            <v>SYS-1019C-HTN2</v>
          </cell>
          <cell r="E18068" t="str">
            <v>A345069X2721184</v>
          </cell>
          <cell r="K18068" t="str">
            <v>SO/2022/006215/A 1z10</v>
          </cell>
        </row>
        <row r="18069">
          <cell r="D18069" t="str">
            <v>CSE-510FT-203B</v>
          </cell>
          <cell r="E18069" t="str">
            <v>C5100LL25RA0458</v>
          </cell>
          <cell r="K18069" t="str">
            <v>SO/2022/006215/A 1z10</v>
          </cell>
        </row>
        <row r="18070">
          <cell r="D18070" t="str">
            <v>PWS-203-1H</v>
          </cell>
          <cell r="E18070" t="str">
            <v>P20310L48G50119</v>
          </cell>
          <cell r="K18070" t="str">
            <v>SO/2022/006215/A 1z10</v>
          </cell>
        </row>
        <row r="18071">
          <cell r="D18071" t="str">
            <v>MBD-X11SCZ-F</v>
          </cell>
          <cell r="E18071" t="str">
            <v>VM226S001849</v>
          </cell>
          <cell r="K18071" t="str">
            <v>SO/2022/006215/A 1z10</v>
          </cell>
        </row>
        <row r="18072">
          <cell r="D18072" t="str">
            <v>BPN-SAS-510T</v>
          </cell>
          <cell r="E18072" t="str">
            <v>EB227S007043</v>
          </cell>
          <cell r="K18072" t="str">
            <v>SO/2022/006215/A 1z10</v>
          </cell>
        </row>
        <row r="18073">
          <cell r="D18073" t="str">
            <v>RSC-RR1U-E16</v>
          </cell>
          <cell r="E18073" t="str">
            <v>VR219S016005</v>
          </cell>
          <cell r="K18073" t="str">
            <v>SO/2022/006215/A 1z10</v>
          </cell>
        </row>
        <row r="18074">
          <cell r="D18074" t="str">
            <v>SYS-1019C-HTN2</v>
          </cell>
          <cell r="E18074" t="str">
            <v>A345069X2721186</v>
          </cell>
          <cell r="K18074" t="str">
            <v>SO/2022/006215/A 2z10</v>
          </cell>
        </row>
        <row r="18075">
          <cell r="D18075" t="str">
            <v>CSE-510FT-203B</v>
          </cell>
          <cell r="E18075" t="str">
            <v>C5100LL25RA0441</v>
          </cell>
          <cell r="K18075" t="str">
            <v>SO/2022/006215/A 2z10</v>
          </cell>
        </row>
        <row r="18076">
          <cell r="D18076" t="str">
            <v>PWS-203-1H</v>
          </cell>
          <cell r="E18076" t="str">
            <v>P20310L48G50117</v>
          </cell>
          <cell r="K18076" t="str">
            <v>SO/2022/006215/A 2z10</v>
          </cell>
        </row>
        <row r="18077">
          <cell r="D18077" t="str">
            <v>MBD-X11SCZ-F</v>
          </cell>
          <cell r="E18077" t="str">
            <v>VM224S005752</v>
          </cell>
          <cell r="K18077" t="str">
            <v>SO/2022/006215/A 2z10</v>
          </cell>
        </row>
        <row r="18078">
          <cell r="D18078" t="str">
            <v>BPN-SAS-510T</v>
          </cell>
          <cell r="E18078" t="str">
            <v>EB227S007561</v>
          </cell>
          <cell r="K18078" t="str">
            <v>SO/2022/006215/A 2z10</v>
          </cell>
        </row>
        <row r="18079">
          <cell r="D18079" t="str">
            <v>RSC-RR1U-E16</v>
          </cell>
          <cell r="E18079" t="str">
            <v>VR219S016021</v>
          </cell>
          <cell r="K18079" t="str">
            <v>SO/2022/006215/A 2z10</v>
          </cell>
        </row>
        <row r="18080">
          <cell r="D18080" t="str">
            <v>SYS-1019C-HTN2</v>
          </cell>
          <cell r="E18080" t="str">
            <v>A345069X2721192</v>
          </cell>
          <cell r="K18080" t="str">
            <v>A345069X2721192</v>
          </cell>
        </row>
        <row r="18081">
          <cell r="D18081" t="str">
            <v>CSE-510FT-203B</v>
          </cell>
          <cell r="E18081" t="str">
            <v>C5100LL25RA0460</v>
          </cell>
          <cell r="K18081" t="str">
            <v>A345069X2721192</v>
          </cell>
        </row>
        <row r="18082">
          <cell r="D18082" t="str">
            <v>PWS-203-1H</v>
          </cell>
          <cell r="E18082" t="str">
            <v>P20310L48G50121</v>
          </cell>
          <cell r="K18082" t="str">
            <v>A345069X2721192</v>
          </cell>
        </row>
        <row r="18083">
          <cell r="D18083" t="str">
            <v>MBD-X11SCZ-F</v>
          </cell>
          <cell r="E18083" t="str">
            <v>VM226S001853</v>
          </cell>
          <cell r="K18083" t="str">
            <v>A345069X2721192</v>
          </cell>
        </row>
        <row r="18084">
          <cell r="D18084" t="str">
            <v>BPN-SAS-510T</v>
          </cell>
          <cell r="E18084" t="str">
            <v>EB20BS009551</v>
          </cell>
          <cell r="K18084" t="str">
            <v>A345069X2721192</v>
          </cell>
        </row>
        <row r="18085">
          <cell r="D18085" t="str">
            <v>RSC-RR1U-E16</v>
          </cell>
          <cell r="E18085" t="str">
            <v>VR219S016048</v>
          </cell>
          <cell r="K18085" t="str">
            <v>A345069X2721192</v>
          </cell>
        </row>
        <row r="18086">
          <cell r="D18086" t="str">
            <v>SYS-1019C-HTN2</v>
          </cell>
          <cell r="E18086" t="str">
            <v>A345069X2721188</v>
          </cell>
          <cell r="K18086" t="str">
            <v>SO/2022/006170/A 11z12</v>
          </cell>
        </row>
        <row r="18087">
          <cell r="D18087" t="str">
            <v>CSE-510FT-203B</v>
          </cell>
          <cell r="E18087" t="str">
            <v>C5100LL25RA0444</v>
          </cell>
          <cell r="K18087" t="str">
            <v>SO/2022/006170/A 11z12</v>
          </cell>
        </row>
        <row r="18088">
          <cell r="D18088" t="str">
            <v>PWS-203-1H</v>
          </cell>
          <cell r="E18088" t="str">
            <v>P20310L48G50115</v>
          </cell>
          <cell r="K18088" t="str">
            <v>SO/2022/006170/A 11z12</v>
          </cell>
        </row>
        <row r="18089">
          <cell r="D18089" t="str">
            <v>MBD-X11SCZ-F</v>
          </cell>
          <cell r="E18089" t="str">
            <v>VM226S001860</v>
          </cell>
          <cell r="K18089" t="str">
            <v>SO/2022/006170/A 11z12</v>
          </cell>
        </row>
        <row r="18090">
          <cell r="D18090" t="str">
            <v>BPN-SAS-510T</v>
          </cell>
          <cell r="E18090" t="str">
            <v>EB227S007057</v>
          </cell>
          <cell r="K18090" t="str">
            <v>SO/2022/006170/A 11z12</v>
          </cell>
        </row>
        <row r="18091">
          <cell r="D18091" t="str">
            <v>RSC-RR1U-E16</v>
          </cell>
          <cell r="E18091" t="str">
            <v>VR219S016031</v>
          </cell>
          <cell r="K18091" t="str">
            <v>SO/2022/006170/A 11z12</v>
          </cell>
        </row>
        <row r="18092">
          <cell r="D18092" t="str">
            <v>SYS-1019C-HTN2</v>
          </cell>
          <cell r="E18092" t="str">
            <v>A345069X2721193</v>
          </cell>
          <cell r="K18092" t="str">
            <v>SO/2022/006170/A 10z12</v>
          </cell>
        </row>
        <row r="18093">
          <cell r="D18093" t="str">
            <v>CSE-510FT-203B</v>
          </cell>
          <cell r="E18093" t="str">
            <v>C5100LL25RA0445</v>
          </cell>
          <cell r="K18093" t="str">
            <v>SO/2022/006170/A 10z12</v>
          </cell>
        </row>
        <row r="18094">
          <cell r="D18094" t="str">
            <v>PWS-203-1H</v>
          </cell>
          <cell r="E18094" t="str">
            <v>P20310L48G50182</v>
          </cell>
          <cell r="K18094" t="str">
            <v>SO/2022/006170/A 10z12</v>
          </cell>
        </row>
        <row r="18095">
          <cell r="D18095" t="str">
            <v>MBD-X11SCZ-F</v>
          </cell>
          <cell r="E18095" t="str">
            <v>VM226S001651</v>
          </cell>
          <cell r="K18095" t="str">
            <v>SO/2022/006170/A 10z12</v>
          </cell>
        </row>
        <row r="18096">
          <cell r="D18096" t="str">
            <v>BPN-SAS-510T</v>
          </cell>
          <cell r="E18096" t="str">
            <v>EB227S007046</v>
          </cell>
          <cell r="K18096" t="str">
            <v>SO/2022/006170/A 10z12</v>
          </cell>
        </row>
        <row r="18097">
          <cell r="D18097" t="str">
            <v>RSC-RR1U-E16</v>
          </cell>
          <cell r="E18097" t="str">
            <v>VR219S016001</v>
          </cell>
          <cell r="K18097" t="str">
            <v>SO/2022/006170/A 10z12</v>
          </cell>
        </row>
        <row r="18098">
          <cell r="D18098" t="str">
            <v>SYS-1019C-HTN2</v>
          </cell>
          <cell r="E18098" t="str">
            <v>A345069X2721214</v>
          </cell>
          <cell r="K18098" t="str">
            <v>SO/2022/006215/A 9z10</v>
          </cell>
        </row>
        <row r="18099">
          <cell r="D18099" t="str">
            <v>CSE-510FT-203B</v>
          </cell>
          <cell r="E18099" t="str">
            <v>C5100LL25RA0469</v>
          </cell>
          <cell r="K18099" t="str">
            <v>SO/2022/006215/A 9z10</v>
          </cell>
        </row>
        <row r="18100">
          <cell r="D18100" t="str">
            <v>PWS-203-1H</v>
          </cell>
          <cell r="E18100" t="str">
            <v>P20310L48G50183</v>
          </cell>
          <cell r="K18100" t="str">
            <v>SO/2022/006215/A 9z10</v>
          </cell>
        </row>
        <row r="18101">
          <cell r="D18101" t="str">
            <v>MBD-X11SCZ-F</v>
          </cell>
          <cell r="E18101" t="str">
            <v>VM224S013153</v>
          </cell>
          <cell r="K18101" t="str">
            <v>SO/2022/006215/A 9z10</v>
          </cell>
        </row>
        <row r="18102">
          <cell r="D18102" t="str">
            <v>BPN-SAS-510T</v>
          </cell>
          <cell r="E18102" t="str">
            <v>EB227S007049</v>
          </cell>
          <cell r="K18102" t="str">
            <v>SO/2022/006215/A 9z10</v>
          </cell>
        </row>
        <row r="18103">
          <cell r="D18103" t="str">
            <v>RSC-RR1U-E16</v>
          </cell>
          <cell r="E18103" t="str">
            <v>VR219S016074</v>
          </cell>
          <cell r="K18103" t="str">
            <v>SO/2022/006215/A 9z10</v>
          </cell>
        </row>
        <row r="18104">
          <cell r="D18104" t="str">
            <v>SYS-1019C-HTN2</v>
          </cell>
          <cell r="E18104" t="str">
            <v>A345069X2721179</v>
          </cell>
          <cell r="K18104" t="str">
            <v>SO/2022/006215/A 10z10</v>
          </cell>
        </row>
        <row r="18105">
          <cell r="D18105" t="str">
            <v>CSE-510FT-203B</v>
          </cell>
          <cell r="E18105" t="str">
            <v>C5100LL02RA0336</v>
          </cell>
          <cell r="K18105" t="str">
            <v>SO/2022/006215/A 10z10</v>
          </cell>
        </row>
        <row r="18106">
          <cell r="D18106" t="str">
            <v>PWS-203-1H</v>
          </cell>
          <cell r="E18106" t="str">
            <v>P20310L48G50291</v>
          </cell>
          <cell r="K18106" t="str">
            <v>SO/2022/006215/A 10z10</v>
          </cell>
        </row>
        <row r="18107">
          <cell r="D18107" t="str">
            <v>MBD-X11SCZ-F</v>
          </cell>
          <cell r="E18107" t="str">
            <v>VM226S001885</v>
          </cell>
          <cell r="K18107" t="str">
            <v>SO/2022/006215/A 10z10</v>
          </cell>
        </row>
        <row r="18108">
          <cell r="D18108" t="str">
            <v>BPN-SAS-510T</v>
          </cell>
          <cell r="E18108" t="str">
            <v>EB227S007563</v>
          </cell>
          <cell r="K18108" t="str">
            <v>SO/2022/006215/A 10z10</v>
          </cell>
        </row>
        <row r="18109">
          <cell r="D18109" t="str">
            <v>RSC-RR1U-E16</v>
          </cell>
          <cell r="E18109" t="str">
            <v>VR219S016027</v>
          </cell>
          <cell r="K18109" t="str">
            <v>SO/2022/006215/A 10z10</v>
          </cell>
        </row>
        <row r="18110">
          <cell r="D18110" t="str">
            <v>SYS-1019C-HTN2</v>
          </cell>
          <cell r="E18110" t="str">
            <v>A345069X2721174</v>
          </cell>
          <cell r="K18110" t="str">
            <v>SO/2022/006215/A 7z10</v>
          </cell>
        </row>
        <row r="18111">
          <cell r="D18111" t="str">
            <v>CSE-510FT-203B</v>
          </cell>
          <cell r="E18111" t="str">
            <v>C5100LL25RA0443</v>
          </cell>
          <cell r="K18111" t="str">
            <v>SO/2022/006215/A 7z10</v>
          </cell>
        </row>
        <row r="18112">
          <cell r="D18112" t="str">
            <v>PWS-203-1H</v>
          </cell>
          <cell r="E18112" t="str">
            <v>P20310L48G50184</v>
          </cell>
          <cell r="K18112" t="str">
            <v>SO/2022/006215/A 7z10</v>
          </cell>
        </row>
        <row r="18113">
          <cell r="D18113" t="str">
            <v>MBD-X11SCZ-F</v>
          </cell>
          <cell r="E18113" t="str">
            <v>VM226S001850</v>
          </cell>
          <cell r="K18113" t="str">
            <v>SO/2022/006215/A 7z10</v>
          </cell>
        </row>
        <row r="18114">
          <cell r="D18114" t="str">
            <v>BPN-SAS-510T</v>
          </cell>
          <cell r="E18114" t="str">
            <v>EB227S007583</v>
          </cell>
          <cell r="K18114" t="str">
            <v>SO/2022/006215/A 7z10</v>
          </cell>
        </row>
        <row r="18115">
          <cell r="D18115" t="str">
            <v>RSC-RR1U-E16</v>
          </cell>
          <cell r="E18115" t="str">
            <v>VR219S016040</v>
          </cell>
          <cell r="K18115" t="str">
            <v>SO/2022/006215/A 7z10</v>
          </cell>
        </row>
        <row r="18116">
          <cell r="D18116" t="str">
            <v>SYS-1019C-HTN2</v>
          </cell>
          <cell r="E18116" t="str">
            <v>A345069X2721183</v>
          </cell>
          <cell r="K18116" t="str">
            <v>SO/2022/006215/A 8z10</v>
          </cell>
        </row>
        <row r="18117">
          <cell r="D18117" t="str">
            <v>CSE-510FT-203B</v>
          </cell>
          <cell r="E18117" t="str">
            <v>C5100LL25RA0453</v>
          </cell>
          <cell r="K18117" t="str">
            <v>SO/2022/006215/A 8z10</v>
          </cell>
        </row>
        <row r="18118">
          <cell r="D18118" t="str">
            <v>PWS-203-1H</v>
          </cell>
          <cell r="E18118" t="str">
            <v>P20310L48G50120</v>
          </cell>
          <cell r="K18118" t="str">
            <v>SO/2022/006215/A 8z10</v>
          </cell>
        </row>
        <row r="18119">
          <cell r="D18119" t="str">
            <v>MBD-X11SCZ-F</v>
          </cell>
          <cell r="E18119" t="str">
            <v>VM226S001848</v>
          </cell>
          <cell r="K18119" t="str">
            <v>SO/2022/006215/A 8z10</v>
          </cell>
        </row>
        <row r="18120">
          <cell r="D18120" t="str">
            <v>BPN-SAS-510T</v>
          </cell>
          <cell r="E18120" t="str">
            <v>EB227S007571</v>
          </cell>
          <cell r="K18120" t="str">
            <v>SO/2022/006215/A 8z10</v>
          </cell>
        </row>
        <row r="18121">
          <cell r="D18121" t="str">
            <v>RSC-RR1U-E16</v>
          </cell>
          <cell r="E18121" t="str">
            <v>VR219S016024</v>
          </cell>
          <cell r="K18121" t="str">
            <v>SO/2022/006215/A 8z10</v>
          </cell>
        </row>
        <row r="18122">
          <cell r="D18122" t="str">
            <v>SYS-1019C-HTN2</v>
          </cell>
          <cell r="E18122" t="str">
            <v>A345069X2721182</v>
          </cell>
          <cell r="K18122" t="str">
            <v>SO/2022/006215/A 6z10</v>
          </cell>
        </row>
        <row r="18123">
          <cell r="D18123" t="str">
            <v>CSE-510FT-203B</v>
          </cell>
          <cell r="E18123" t="str">
            <v>C5100LL25RA0451</v>
          </cell>
          <cell r="K18123" t="str">
            <v>SO/2022/006215/A 6z10</v>
          </cell>
        </row>
        <row r="18124">
          <cell r="D18124" t="str">
            <v>PWS-203-1H</v>
          </cell>
          <cell r="E18124" t="str">
            <v>P20310L48G50122</v>
          </cell>
          <cell r="K18124" t="str">
            <v>SO/2022/006215/A 6z10</v>
          </cell>
        </row>
        <row r="18125">
          <cell r="D18125" t="str">
            <v>MBD-X11SCZ-F</v>
          </cell>
          <cell r="E18125" t="str">
            <v>VM226S001828</v>
          </cell>
          <cell r="K18125" t="str">
            <v>SO/2022/006215/A 6z10</v>
          </cell>
        </row>
        <row r="18126">
          <cell r="D18126" t="str">
            <v>BPN-SAS-510T</v>
          </cell>
          <cell r="E18126" t="str">
            <v>EB227S007566</v>
          </cell>
          <cell r="K18126" t="str">
            <v>SO/2022/006215/A 6z10</v>
          </cell>
        </row>
        <row r="18127">
          <cell r="D18127" t="str">
            <v>RSC-RR1U-E16</v>
          </cell>
          <cell r="E18127" t="str">
            <v>VR219S016032</v>
          </cell>
          <cell r="K18127" t="str">
            <v>SO/2022/006215/A 6z10</v>
          </cell>
        </row>
        <row r="18128">
          <cell r="D18128" t="str">
            <v>SYS-1019C-HTN2</v>
          </cell>
          <cell r="E18128" t="str">
            <v>A345069X2721176</v>
          </cell>
          <cell r="K18128" t="str">
            <v>A345069X2721176</v>
          </cell>
        </row>
        <row r="18129">
          <cell r="D18129" t="str">
            <v>CSE-510FT-203B</v>
          </cell>
          <cell r="E18129" t="str">
            <v>C5100LL02RA0339</v>
          </cell>
          <cell r="K18129" t="str">
            <v>A345069X2721176</v>
          </cell>
        </row>
        <row r="18130">
          <cell r="D18130" t="str">
            <v>PWS-203-1H</v>
          </cell>
          <cell r="E18130" t="str">
            <v>P20310L48G50296</v>
          </cell>
          <cell r="K18130" t="str">
            <v>A345069X2721176</v>
          </cell>
        </row>
        <row r="18131">
          <cell r="D18131" t="str">
            <v>MBD-X11SCZ-F</v>
          </cell>
          <cell r="E18131" t="str">
            <v>VM226S001984</v>
          </cell>
          <cell r="K18131" t="str">
            <v>A345069X2721176</v>
          </cell>
        </row>
        <row r="18132">
          <cell r="D18132" t="str">
            <v>BPN-SAS-510T</v>
          </cell>
          <cell r="E18132" t="str">
            <v>EB227S007584</v>
          </cell>
          <cell r="K18132" t="str">
            <v>A345069X2721176</v>
          </cell>
        </row>
        <row r="18133">
          <cell r="D18133" t="str">
            <v>RSC-RR1U-E16</v>
          </cell>
          <cell r="E18133" t="str">
            <v>VR219S016075</v>
          </cell>
          <cell r="K18133" t="str">
            <v>A345069X2721176</v>
          </cell>
        </row>
        <row r="18134">
          <cell r="D18134" t="str">
            <v>SYS-1019C-HTN2</v>
          </cell>
          <cell r="E18134" t="str">
            <v>A345069X2721202</v>
          </cell>
          <cell r="K18134" t="str">
            <v>A345069X2721202</v>
          </cell>
        </row>
        <row r="18135">
          <cell r="D18135" t="str">
            <v>CSE-510FT-203B</v>
          </cell>
          <cell r="E18135" t="str">
            <v>C5100LL25RA0473</v>
          </cell>
          <cell r="K18135" t="str">
            <v>A345069X2721202</v>
          </cell>
        </row>
        <row r="18136">
          <cell r="D18136" t="str">
            <v>PWS-203-1H</v>
          </cell>
          <cell r="E18136" t="str">
            <v>P20310L48G50299</v>
          </cell>
          <cell r="K18136" t="str">
            <v>A345069X2721202</v>
          </cell>
        </row>
        <row r="18137">
          <cell r="D18137" t="str">
            <v>MBD-X11SCZ-F</v>
          </cell>
          <cell r="E18137" t="str">
            <v>VM224S013209</v>
          </cell>
          <cell r="K18137" t="str">
            <v>A345069X2721202</v>
          </cell>
        </row>
        <row r="18138">
          <cell r="D18138" t="str">
            <v>BPN-SAS-510T</v>
          </cell>
          <cell r="E18138" t="str">
            <v>EB227S007041</v>
          </cell>
          <cell r="K18138" t="str">
            <v>A345069X2721202</v>
          </cell>
        </row>
        <row r="18139">
          <cell r="D18139" t="str">
            <v>RSC-RR1U-E16</v>
          </cell>
          <cell r="E18139" t="str">
            <v>VR219S016038</v>
          </cell>
          <cell r="K18139" t="str">
            <v>A345069X2721202</v>
          </cell>
        </row>
        <row r="18140">
          <cell r="D18140" t="str">
            <v>SYS-1019C-HTN2</v>
          </cell>
          <cell r="E18140" t="str">
            <v>A345069X2721205</v>
          </cell>
          <cell r="K18140" t="str">
            <v>A345069X2721205</v>
          </cell>
        </row>
        <row r="18141">
          <cell r="D18141" t="str">
            <v>CSE-510FT-203B</v>
          </cell>
          <cell r="E18141" t="str">
            <v>C5100LL25RA0450</v>
          </cell>
          <cell r="K18141" t="str">
            <v>A345069X2721205</v>
          </cell>
        </row>
        <row r="18142">
          <cell r="D18142" t="str">
            <v>PWS-203-1H</v>
          </cell>
          <cell r="E18142" t="str">
            <v>P20310L48G50126</v>
          </cell>
          <cell r="K18142" t="str">
            <v>A345069X2721205</v>
          </cell>
        </row>
        <row r="18143">
          <cell r="D18143" t="str">
            <v>MBD-X11SCZ-F</v>
          </cell>
          <cell r="E18143" t="str">
            <v>VM226S001670</v>
          </cell>
          <cell r="K18143" t="str">
            <v>A345069X2721205</v>
          </cell>
        </row>
        <row r="18144">
          <cell r="D18144" t="str">
            <v>BPN-SAS-510T</v>
          </cell>
          <cell r="E18144" t="str">
            <v>EB227S007562</v>
          </cell>
          <cell r="K18144" t="str">
            <v>A345069X2721205</v>
          </cell>
        </row>
        <row r="18145">
          <cell r="D18145" t="str">
            <v>RSC-RR1U-E16</v>
          </cell>
          <cell r="E18145" t="str">
            <v>VR219S016022</v>
          </cell>
          <cell r="K18145" t="str">
            <v>A345069X2721205</v>
          </cell>
        </row>
        <row r="18146">
          <cell r="D18146" t="str">
            <v>SYS-1019C-HTN2</v>
          </cell>
          <cell r="E18146" t="str">
            <v>A345069X2721201</v>
          </cell>
          <cell r="K18146" t="str">
            <v>A345069X2721201</v>
          </cell>
        </row>
        <row r="18147">
          <cell r="D18147" t="str">
            <v>CSE-510FT-203B</v>
          </cell>
          <cell r="E18147" t="str">
            <v>C5100LL25RA0474</v>
          </cell>
          <cell r="K18147" t="str">
            <v>A345069X2721201</v>
          </cell>
        </row>
        <row r="18148">
          <cell r="D18148" t="str">
            <v>PWS-203-1H</v>
          </cell>
          <cell r="E18148" t="str">
            <v>P20310L48G50305</v>
          </cell>
          <cell r="K18148" t="str">
            <v>A345069X2721201</v>
          </cell>
        </row>
        <row r="18149">
          <cell r="D18149" t="str">
            <v>MBD-X11SCZ-F</v>
          </cell>
          <cell r="E18149" t="str">
            <v>VM224S013214</v>
          </cell>
          <cell r="K18149" t="str">
            <v>A345069X2721201</v>
          </cell>
        </row>
        <row r="18150">
          <cell r="D18150" t="str">
            <v>BPN-SAS-510T</v>
          </cell>
          <cell r="E18150" t="str">
            <v>EB227S007580</v>
          </cell>
          <cell r="K18150" t="str">
            <v>A345069X2721201</v>
          </cell>
        </row>
        <row r="18151">
          <cell r="D18151" t="str">
            <v>RSC-RR1U-E16</v>
          </cell>
          <cell r="E18151" t="str">
            <v>VR219S016076</v>
          </cell>
          <cell r="K18151" t="str">
            <v>A345069X2721201</v>
          </cell>
        </row>
        <row r="18152">
          <cell r="D18152" t="str">
            <v>SYS-1019C-HTN2</v>
          </cell>
          <cell r="E18152" t="str">
            <v>A345069X2721208</v>
          </cell>
          <cell r="K18152" t="str">
            <v>A345069X2721208</v>
          </cell>
        </row>
        <row r="18153">
          <cell r="D18153" t="str">
            <v>CSE-510FT-203B</v>
          </cell>
          <cell r="E18153" t="str">
            <v>C5100LL25RA0472</v>
          </cell>
          <cell r="K18153" t="str">
            <v>A345069X2721208</v>
          </cell>
        </row>
        <row r="18154">
          <cell r="D18154" t="str">
            <v>PWS-203-1H</v>
          </cell>
          <cell r="E18154" t="str">
            <v>P20310L48G50301</v>
          </cell>
          <cell r="K18154" t="str">
            <v>A345069X2721208</v>
          </cell>
        </row>
        <row r="18155">
          <cell r="D18155" t="str">
            <v>MBD-X11SCZ-F</v>
          </cell>
          <cell r="E18155" t="str">
            <v>VM224S013210</v>
          </cell>
          <cell r="K18155" t="str">
            <v>A345069X2721208</v>
          </cell>
        </row>
        <row r="18156">
          <cell r="D18156" t="str">
            <v>BPN-SAS-510T</v>
          </cell>
          <cell r="E18156" t="str">
            <v>EB227S007585</v>
          </cell>
          <cell r="K18156" t="str">
            <v>A345069X2721208</v>
          </cell>
        </row>
        <row r="18157">
          <cell r="D18157" t="str">
            <v>RSC-RR1U-E16</v>
          </cell>
          <cell r="E18157" t="str">
            <v>VR219S016078</v>
          </cell>
          <cell r="K18157" t="str">
            <v>A345069X2721208</v>
          </cell>
        </row>
        <row r="18158">
          <cell r="D18158" t="str">
            <v>SYS-1019C-HTN2</v>
          </cell>
          <cell r="E18158" t="str">
            <v>A345069X2721210</v>
          </cell>
          <cell r="K18158" t="str">
            <v>A345069X2721210</v>
          </cell>
        </row>
        <row r="18159">
          <cell r="D18159" t="str">
            <v>CSE-510FT-203B</v>
          </cell>
          <cell r="E18159" t="str">
            <v>C5100LL25RA0478</v>
          </cell>
          <cell r="K18159" t="str">
            <v>A345069X2721210</v>
          </cell>
        </row>
        <row r="18160">
          <cell r="D18160" t="str">
            <v>PWS-203-1H</v>
          </cell>
          <cell r="E18160" t="str">
            <v>P20310L48G50302</v>
          </cell>
          <cell r="K18160" t="str">
            <v>A345069X2721210</v>
          </cell>
        </row>
        <row r="18161">
          <cell r="D18161" t="str">
            <v>MBD-X11SCZ-F</v>
          </cell>
          <cell r="E18161" t="str">
            <v>VM224S013194</v>
          </cell>
          <cell r="K18161" t="str">
            <v>A345069X2721210</v>
          </cell>
        </row>
        <row r="18162">
          <cell r="D18162" t="str">
            <v>BPN-SAS-510T</v>
          </cell>
          <cell r="E18162" t="str">
            <v>EB227S007575</v>
          </cell>
          <cell r="K18162" t="str">
            <v>A345069X2721210</v>
          </cell>
        </row>
        <row r="18163">
          <cell r="D18163" t="str">
            <v>RSC-RR1U-E16</v>
          </cell>
          <cell r="E18163" t="str">
            <v>VR219S016079</v>
          </cell>
          <cell r="K18163" t="str">
            <v>A345069X2721210</v>
          </cell>
        </row>
        <row r="18164">
          <cell r="D18164" t="str">
            <v>SYS-1019C-HTN2</v>
          </cell>
          <cell r="E18164" t="str">
            <v>A345069X2721196</v>
          </cell>
          <cell r="K18164" t="str">
            <v>A345069X2721196</v>
          </cell>
        </row>
        <row r="18165">
          <cell r="D18165" t="str">
            <v>CSE-510FT-203B</v>
          </cell>
          <cell r="E18165" t="str">
            <v>C5100LL25RA0470</v>
          </cell>
          <cell r="K18165" t="str">
            <v>A345069X2721196</v>
          </cell>
        </row>
        <row r="18166">
          <cell r="D18166" t="str">
            <v>PWS-203-1H</v>
          </cell>
          <cell r="E18166" t="str">
            <v>P20310L48G50179</v>
          </cell>
          <cell r="K18166" t="str">
            <v>A345069X2721196</v>
          </cell>
        </row>
        <row r="18167">
          <cell r="D18167" t="str">
            <v>MBD-X11SCZ-F</v>
          </cell>
          <cell r="E18167" t="str">
            <v>VM224S013143</v>
          </cell>
          <cell r="K18167" t="str">
            <v>A345069X2721196</v>
          </cell>
        </row>
        <row r="18168">
          <cell r="D18168" t="str">
            <v>BPN-SAS-510T</v>
          </cell>
          <cell r="E18168" t="str">
            <v>EB227S007053</v>
          </cell>
          <cell r="K18168" t="str">
            <v>A345069X2721196</v>
          </cell>
        </row>
        <row r="18169">
          <cell r="D18169" t="str">
            <v>RSC-RR1U-E16</v>
          </cell>
          <cell r="E18169" t="str">
            <v>VR219S016025</v>
          </cell>
          <cell r="K18169" t="str">
            <v>A345069X2721196</v>
          </cell>
        </row>
        <row r="18170">
          <cell r="D18170" t="str">
            <v>SYS-1019C-HTN2</v>
          </cell>
          <cell r="E18170" t="str">
            <v>A345069X2721177</v>
          </cell>
          <cell r="K18170" t="str">
            <v>A345069X2721177</v>
          </cell>
        </row>
        <row r="18171">
          <cell r="D18171" t="str">
            <v>CSE-510FT-203B</v>
          </cell>
          <cell r="E18171" t="str">
            <v>C5100LL02RA0337</v>
          </cell>
          <cell r="K18171" t="str">
            <v>A345069X2721177</v>
          </cell>
        </row>
        <row r="18172">
          <cell r="D18172" t="str">
            <v>PWS-203-1H</v>
          </cell>
          <cell r="E18172" t="str">
            <v>P20310L48G50295</v>
          </cell>
          <cell r="K18172" t="str">
            <v>A345069X2721177</v>
          </cell>
        </row>
        <row r="18173">
          <cell r="D18173" t="str">
            <v>MBD-X11SCZ-F</v>
          </cell>
          <cell r="E18173" t="str">
            <v>VM226S001738</v>
          </cell>
          <cell r="K18173" t="str">
            <v>A345069X2721177</v>
          </cell>
        </row>
        <row r="18174">
          <cell r="D18174" t="str">
            <v>BPN-SAS-510T</v>
          </cell>
          <cell r="E18174" t="str">
            <v>EB227S007569</v>
          </cell>
          <cell r="K18174" t="str">
            <v>A345069X2721177</v>
          </cell>
        </row>
        <row r="18175">
          <cell r="D18175" t="str">
            <v>RSC-RR1U-E16</v>
          </cell>
          <cell r="E18175" t="str">
            <v>VR219S016037</v>
          </cell>
          <cell r="K18175" t="str">
            <v>A345069X2721177</v>
          </cell>
        </row>
        <row r="18176">
          <cell r="D18176" t="str">
            <v>SYS-1019C-HTN2</v>
          </cell>
          <cell r="E18176" t="str">
            <v>A345069X2721190</v>
          </cell>
          <cell r="K18176" t="str">
            <v>A345069X2721190</v>
          </cell>
        </row>
        <row r="18177">
          <cell r="D18177" t="str">
            <v>CSE-510FT-203B</v>
          </cell>
          <cell r="E18177" t="str">
            <v>C5100LL25RA0457</v>
          </cell>
          <cell r="K18177" t="str">
            <v>A345069X2721190</v>
          </cell>
        </row>
        <row r="18178">
          <cell r="D18178" t="str">
            <v>PWS-203-1H</v>
          </cell>
          <cell r="E18178" t="str">
            <v>P20310L48G50293</v>
          </cell>
          <cell r="K18178" t="str">
            <v>A345069X2721190</v>
          </cell>
        </row>
        <row r="18179">
          <cell r="D18179" t="str">
            <v>MBD-X11SCZ-F</v>
          </cell>
          <cell r="E18179" t="str">
            <v>VM226S001977</v>
          </cell>
          <cell r="K18179" t="str">
            <v>A345069X2721190</v>
          </cell>
        </row>
        <row r="18180">
          <cell r="D18180" t="str">
            <v>BPN-SAS-510T</v>
          </cell>
          <cell r="E18180" t="str">
            <v>EB227S007570</v>
          </cell>
          <cell r="K18180" t="str">
            <v>A345069X2721190</v>
          </cell>
        </row>
        <row r="18181">
          <cell r="D18181" t="str">
            <v>RSC-RR1U-E16</v>
          </cell>
          <cell r="E18181" t="str">
            <v>VR219S016044</v>
          </cell>
          <cell r="K18181" t="str">
            <v>A345069X2721190</v>
          </cell>
        </row>
        <row r="18182">
          <cell r="D18182" t="str">
            <v>SYS-1019C-HTN2</v>
          </cell>
          <cell r="E18182" t="str">
            <v>A345069X2721215</v>
          </cell>
          <cell r="K18182" t="str">
            <v>A345069X2721215</v>
          </cell>
        </row>
        <row r="18183">
          <cell r="D18183" t="str">
            <v>CSE-510FT-203B</v>
          </cell>
          <cell r="E18183" t="str">
            <v>C5100LL25RA0477</v>
          </cell>
          <cell r="K18183" t="str">
            <v>A345069X2721215</v>
          </cell>
        </row>
        <row r="18184">
          <cell r="D18184" t="str">
            <v>PWS-203-1H</v>
          </cell>
          <cell r="E18184" t="str">
            <v>P20310L48G50193</v>
          </cell>
          <cell r="K18184" t="str">
            <v>A345069X2721215</v>
          </cell>
        </row>
        <row r="18185">
          <cell r="D18185" t="str">
            <v>MBD-X11SCZ-F</v>
          </cell>
          <cell r="E18185" t="str">
            <v>VM224S013136</v>
          </cell>
          <cell r="K18185" t="str">
            <v>A345069X2721215</v>
          </cell>
        </row>
        <row r="18186">
          <cell r="D18186" t="str">
            <v>BPN-SAS-510T</v>
          </cell>
          <cell r="E18186" t="str">
            <v>EB227S007047</v>
          </cell>
          <cell r="K18186" t="str">
            <v>A345069X2721215</v>
          </cell>
        </row>
        <row r="18187">
          <cell r="D18187" t="str">
            <v>RSC-RR1U-E16</v>
          </cell>
          <cell r="E18187" t="str">
            <v>VR219S016073</v>
          </cell>
          <cell r="K18187" t="str">
            <v>A345069X2721215</v>
          </cell>
        </row>
        <row r="18188">
          <cell r="D18188" t="str">
            <v>SYS-1019C-HTN2</v>
          </cell>
          <cell r="E18188" t="str">
            <v>A345069X2721218</v>
          </cell>
          <cell r="K18188" t="str">
            <v>A345069X2721218</v>
          </cell>
        </row>
        <row r="18189">
          <cell r="D18189" t="str">
            <v>CSE-510FT-203B</v>
          </cell>
          <cell r="E18189" t="str">
            <v>C5100LL25RA0467</v>
          </cell>
          <cell r="K18189" t="str">
            <v>A345069X2721218</v>
          </cell>
        </row>
        <row r="18190">
          <cell r="D18190" t="str">
            <v>PWS-203-1H</v>
          </cell>
          <cell r="E18190" t="str">
            <v>P20310L48G50187</v>
          </cell>
          <cell r="K18190" t="str">
            <v>A345069X2721218</v>
          </cell>
        </row>
        <row r="18191">
          <cell r="D18191" t="str">
            <v>MBD-X11SCZ-F</v>
          </cell>
          <cell r="E18191" t="str">
            <v>VM224S013137</v>
          </cell>
          <cell r="K18191" t="str">
            <v>A345069X2721218</v>
          </cell>
        </row>
        <row r="18192">
          <cell r="D18192" t="str">
            <v>BPN-SAS-510T</v>
          </cell>
          <cell r="E18192" t="str">
            <v>EB227S007048</v>
          </cell>
          <cell r="K18192" t="str">
            <v>A345069X2721218</v>
          </cell>
        </row>
        <row r="18193">
          <cell r="D18193" t="str">
            <v>RSC-RR1U-E16</v>
          </cell>
          <cell r="E18193" t="str">
            <v>VR219S016003</v>
          </cell>
          <cell r="K18193" t="str">
            <v>A345069X2721218</v>
          </cell>
        </row>
        <row r="18194">
          <cell r="D18194" t="str">
            <v>SYS-1019C-HTN2</v>
          </cell>
          <cell r="E18194" t="str">
            <v>A345069X2721199</v>
          </cell>
          <cell r="K18194" t="str">
            <v>A345069X2721199</v>
          </cell>
        </row>
        <row r="18195">
          <cell r="D18195" t="str">
            <v>CSE-510FT-203B</v>
          </cell>
          <cell r="E18195" t="str">
            <v>C5100LL25RA0449</v>
          </cell>
          <cell r="K18195" t="str">
            <v>A345069X2721199</v>
          </cell>
        </row>
        <row r="18196">
          <cell r="D18196" t="str">
            <v>PWS-203-1H</v>
          </cell>
          <cell r="E18196" t="str">
            <v>P20310L48G50125</v>
          </cell>
          <cell r="K18196" t="str">
            <v>A345069X2721199</v>
          </cell>
        </row>
        <row r="18197">
          <cell r="D18197" t="str">
            <v>MBD-X11SCZ-F</v>
          </cell>
          <cell r="E18197" t="str">
            <v>VM224S013216</v>
          </cell>
          <cell r="K18197" t="str">
            <v>A345069X2721199</v>
          </cell>
        </row>
        <row r="18198">
          <cell r="D18198" t="str">
            <v>BPN-SAS-510T</v>
          </cell>
          <cell r="E18198" t="str">
            <v>EB227S007056</v>
          </cell>
          <cell r="K18198" t="str">
            <v>A345069X2721199</v>
          </cell>
        </row>
        <row r="18199">
          <cell r="D18199" t="str">
            <v>RSC-RR1U-E16</v>
          </cell>
          <cell r="E18199" t="str">
            <v>VR219S016050</v>
          </cell>
          <cell r="K18199" t="str">
            <v>A345069X2721199</v>
          </cell>
        </row>
        <row r="18200">
          <cell r="D18200" t="str">
            <v>SYS-1019C-HTN2</v>
          </cell>
          <cell r="E18200" t="str">
            <v>A345069X2721206</v>
          </cell>
          <cell r="K18200" t="str">
            <v>A345069X2721206</v>
          </cell>
        </row>
        <row r="18201">
          <cell r="D18201" t="str">
            <v>CSE-510FT-203B</v>
          </cell>
          <cell r="E18201" t="str">
            <v>C5100LL25RA0447</v>
          </cell>
          <cell r="K18201" t="str">
            <v>A345069X2721206</v>
          </cell>
        </row>
        <row r="18202">
          <cell r="D18202" t="str">
            <v>PWS-203-1H</v>
          </cell>
          <cell r="E18202" t="str">
            <v>P20310L48G50303</v>
          </cell>
          <cell r="K18202" t="str">
            <v>A345069X2721206</v>
          </cell>
        </row>
        <row r="18203">
          <cell r="D18203" t="str">
            <v>MBD-X11SCZ-F</v>
          </cell>
          <cell r="E18203" t="str">
            <v>VM224S013201</v>
          </cell>
          <cell r="K18203" t="str">
            <v>A345069X2721206</v>
          </cell>
        </row>
        <row r="18204">
          <cell r="D18204" t="str">
            <v>BPN-SAS-510T</v>
          </cell>
          <cell r="E18204" t="str">
            <v>EB227S007586</v>
          </cell>
          <cell r="K18204" t="str">
            <v>A345069X2721206</v>
          </cell>
        </row>
        <row r="18205">
          <cell r="D18205" t="str">
            <v>RSC-RR1U-E16</v>
          </cell>
          <cell r="E18205" t="str">
            <v>VR219S016043</v>
          </cell>
          <cell r="K18205" t="str">
            <v>A345069X2721206</v>
          </cell>
        </row>
        <row r="18206">
          <cell r="D18206" t="str">
            <v>SYS-1019C-HTN2</v>
          </cell>
          <cell r="E18206" t="str">
            <v>A345069X2721216</v>
          </cell>
          <cell r="K18206" t="str">
            <v>A345069X2721216</v>
          </cell>
        </row>
        <row r="18207">
          <cell r="D18207" t="str">
            <v>CSE-510FT-203B</v>
          </cell>
          <cell r="E18207" t="str">
            <v>C5100LL25RA0464</v>
          </cell>
          <cell r="K18207" t="str">
            <v>A345069X2721216</v>
          </cell>
        </row>
        <row r="18208">
          <cell r="D18208" t="str">
            <v>PWS-203-1H</v>
          </cell>
          <cell r="E18208" t="str">
            <v>P20310L48G50188</v>
          </cell>
          <cell r="K18208" t="str">
            <v>A345069X2721216</v>
          </cell>
        </row>
        <row r="18209">
          <cell r="D18209" t="str">
            <v>MBD-X11SCZ-F</v>
          </cell>
          <cell r="E18209" t="str">
            <v>VM224S013142</v>
          </cell>
          <cell r="K18209" t="str">
            <v>A345069X2721216</v>
          </cell>
        </row>
        <row r="18210">
          <cell r="D18210" t="str">
            <v>BPN-SAS-510T</v>
          </cell>
          <cell r="E18210" t="str">
            <v>EB227S007044</v>
          </cell>
          <cell r="K18210" t="str">
            <v>A345069X2721216</v>
          </cell>
        </row>
        <row r="18211">
          <cell r="D18211" t="str">
            <v>RSC-RR1U-E16</v>
          </cell>
          <cell r="E18211" t="str">
            <v>VR219S016047</v>
          </cell>
          <cell r="K18211" t="str">
            <v>A345069X2721216</v>
          </cell>
        </row>
        <row r="18212">
          <cell r="D18212" t="str">
            <v>SYS-1019C-HTN2</v>
          </cell>
          <cell r="E18212" t="str">
            <v>A345069X2721194</v>
          </cell>
          <cell r="K18212" t="str">
            <v>A345069X2721194</v>
          </cell>
        </row>
        <row r="18213">
          <cell r="D18213" t="str">
            <v>CSE-510FT-203B</v>
          </cell>
          <cell r="E18213" t="str">
            <v>C5100LL25RA0466</v>
          </cell>
          <cell r="K18213" t="str">
            <v>A345069X2721194</v>
          </cell>
        </row>
        <row r="18214">
          <cell r="D18214" t="str">
            <v>PWS-203-1H</v>
          </cell>
          <cell r="E18214" t="str">
            <v>P20310L48G50181</v>
          </cell>
          <cell r="K18214" t="str">
            <v>A345069X2721194</v>
          </cell>
        </row>
        <row r="18215">
          <cell r="D18215" t="str">
            <v>MBD-X11SCZ-F</v>
          </cell>
          <cell r="E18215" t="str">
            <v>VM224S012310</v>
          </cell>
          <cell r="K18215" t="str">
            <v>A345069X2721194</v>
          </cell>
        </row>
        <row r="18216">
          <cell r="D18216" t="str">
            <v>BPN-SAS-510T</v>
          </cell>
          <cell r="E18216" t="str">
            <v>EB227S007042</v>
          </cell>
          <cell r="K18216" t="str">
            <v>A345069X2721194</v>
          </cell>
        </row>
        <row r="18217">
          <cell r="D18217" t="str">
            <v>RSC-RR1U-E16</v>
          </cell>
          <cell r="E18217" t="str">
            <v>VR219S016030</v>
          </cell>
          <cell r="K18217" t="str">
            <v>A345069X2721194</v>
          </cell>
        </row>
        <row r="18218">
          <cell r="D18218" t="str">
            <v>SYS-1019C-HTN2</v>
          </cell>
          <cell r="E18218" t="str">
            <v>A345069X2721212</v>
          </cell>
          <cell r="K18218" t="str">
            <v>A345069X2721212</v>
          </cell>
        </row>
        <row r="18219">
          <cell r="D18219" t="str">
            <v>CSE-510FT-203B</v>
          </cell>
          <cell r="E18219" t="str">
            <v>C5100LL25RA0465</v>
          </cell>
          <cell r="K18219" t="str">
            <v>A345069X2721212</v>
          </cell>
        </row>
        <row r="18220">
          <cell r="D18220" t="str">
            <v>PWS-203-1H</v>
          </cell>
          <cell r="E18220" t="str">
            <v>P20310L48G50190</v>
          </cell>
          <cell r="K18220" t="str">
            <v>A345069X2721212</v>
          </cell>
        </row>
        <row r="18221">
          <cell r="D18221" t="str">
            <v>MBD-X11SCZ-F</v>
          </cell>
          <cell r="E18221" t="str">
            <v>VM224S013139</v>
          </cell>
          <cell r="K18221" t="str">
            <v>A345069X2721212</v>
          </cell>
        </row>
        <row r="18222">
          <cell r="D18222" t="str">
            <v>BPN-SAS-510T</v>
          </cell>
          <cell r="E18222" t="str">
            <v>EB227S007052</v>
          </cell>
          <cell r="K18222" t="str">
            <v>A345069X2721212</v>
          </cell>
        </row>
        <row r="18223">
          <cell r="D18223" t="str">
            <v>RSC-RR1U-E16</v>
          </cell>
          <cell r="E18223" t="str">
            <v>VR219S016023</v>
          </cell>
          <cell r="K18223" t="str">
            <v>A345069X2721212</v>
          </cell>
        </row>
        <row r="18224">
          <cell r="D18224" t="str">
            <v>SYS-1019C-HTN2</v>
          </cell>
          <cell r="E18224" t="str">
            <v>A345069X2721189</v>
          </cell>
          <cell r="K18224" t="str">
            <v>A345069X2721189</v>
          </cell>
        </row>
        <row r="18225">
          <cell r="D18225" t="str">
            <v>CSE-510FT-203B</v>
          </cell>
          <cell r="E18225" t="str">
            <v>C5100LL25RA0454</v>
          </cell>
          <cell r="K18225" t="str">
            <v>A345069X2721189</v>
          </cell>
        </row>
        <row r="18226">
          <cell r="D18226" t="str">
            <v>PWS-203-1H</v>
          </cell>
          <cell r="E18226" t="str">
            <v>P20310L48G50127</v>
          </cell>
          <cell r="K18226" t="str">
            <v>A345069X2721189</v>
          </cell>
        </row>
        <row r="18227">
          <cell r="D18227" t="str">
            <v>MBD-X11SCZ-F</v>
          </cell>
          <cell r="E18227" t="str">
            <v>VM226S001847</v>
          </cell>
          <cell r="K18227" t="str">
            <v>A345069X2721189</v>
          </cell>
        </row>
        <row r="18228">
          <cell r="D18228" t="str">
            <v>BPN-SAS-510T</v>
          </cell>
          <cell r="E18228" t="str">
            <v>EB227S007572</v>
          </cell>
          <cell r="K18228" t="str">
            <v>A345069X2721189</v>
          </cell>
        </row>
        <row r="18229">
          <cell r="D18229" t="str">
            <v>RSC-RR1U-E16</v>
          </cell>
          <cell r="E18229" t="str">
            <v>VR219S016051</v>
          </cell>
          <cell r="K18229" t="str">
            <v>A345069X2721189</v>
          </cell>
        </row>
        <row r="18230">
          <cell r="D18230" t="str">
            <v>PWS-2K04F-1R</v>
          </cell>
          <cell r="E18230" t="str">
            <v>P2K4FCL44EN0410</v>
          </cell>
        </row>
        <row r="18231">
          <cell r="D18231" t="str">
            <v>PWS-2K04F-1R</v>
          </cell>
          <cell r="E18231" t="str">
            <v>P2K4FCL44EN0437</v>
          </cell>
        </row>
        <row r="18232">
          <cell r="D18232" t="str">
            <v>PWS-2K04F-1R</v>
          </cell>
          <cell r="E18232" t="str">
            <v>P2K4FCL44EN0439</v>
          </cell>
        </row>
        <row r="18233">
          <cell r="D18233" t="str">
            <v>PWS-1K28P-SQ</v>
          </cell>
          <cell r="E18233" t="str">
            <v>P1K28CK11UB0075</v>
          </cell>
        </row>
        <row r="18234">
          <cell r="D18234" t="str">
            <v>PWS-1K28P-SQ</v>
          </cell>
          <cell r="E18234" t="str">
            <v>P1K28CJ37QB0158</v>
          </cell>
        </row>
        <row r="18235">
          <cell r="D18235" t="str">
            <v>PWS-2K60A-1R</v>
          </cell>
          <cell r="E18235" t="str">
            <v>P2K60CK32NT0338</v>
          </cell>
        </row>
        <row r="18236">
          <cell r="D18236" t="str">
            <v>PWS-2K60A-1R</v>
          </cell>
          <cell r="E18236" t="str">
            <v>P2K60CK32NT0152</v>
          </cell>
        </row>
        <row r="18237">
          <cell r="D18237" t="str">
            <v>MBD-X11DDW-NT-B</v>
          </cell>
          <cell r="E18237" t="str">
            <v>NM222S004228</v>
          </cell>
        </row>
        <row r="18238">
          <cell r="D18238" t="str">
            <v>MBD-X11DDW-NT-B</v>
          </cell>
          <cell r="E18238" t="str">
            <v>NM222S004114</v>
          </cell>
        </row>
        <row r="18239">
          <cell r="D18239" t="str">
            <v>MBD-X11DDW-NT-B</v>
          </cell>
          <cell r="E18239" t="str">
            <v>NM222S004113</v>
          </cell>
        </row>
        <row r="18240">
          <cell r="D18240" t="str">
            <v>MBD-X11DDW-NT-B</v>
          </cell>
          <cell r="E18240" t="str">
            <v>NM222S004262</v>
          </cell>
        </row>
        <row r="18241">
          <cell r="D18241" t="str">
            <v>MBD-X11DDW-NT-B</v>
          </cell>
          <cell r="E18241" t="str">
            <v>NM222S004261</v>
          </cell>
        </row>
        <row r="18242">
          <cell r="D18242" t="str">
            <v>MBD-X11DDW-NT-B</v>
          </cell>
          <cell r="E18242" t="str">
            <v>NM222S004154</v>
          </cell>
        </row>
        <row r="18243">
          <cell r="D18243" t="str">
            <v>MBD-X11DDW-NT-B</v>
          </cell>
          <cell r="E18243" t="str">
            <v>NM222S004263</v>
          </cell>
        </row>
        <row r="18244">
          <cell r="D18244" t="str">
            <v>MBD-X11DDW-NT-B</v>
          </cell>
          <cell r="E18244" t="str">
            <v>NM222S004102</v>
          </cell>
        </row>
        <row r="18245">
          <cell r="D18245" t="str">
            <v>MBD-X11DDW-NT-B</v>
          </cell>
          <cell r="E18245" t="str">
            <v>NM222S004101</v>
          </cell>
        </row>
        <row r="18246">
          <cell r="D18246" t="str">
            <v>MBD-X11DDW-NT-B</v>
          </cell>
          <cell r="E18246" t="str">
            <v>NM222S004112</v>
          </cell>
        </row>
        <row r="18247">
          <cell r="D18247" t="str">
            <v>SYS-510T-M</v>
          </cell>
          <cell r="E18247" t="str">
            <v>A459117X2705065</v>
          </cell>
        </row>
        <row r="18248">
          <cell r="D18248" t="str">
            <v>CSE</v>
          </cell>
          <cell r="E18248" t="str">
            <v>C813MLL10A10198</v>
          </cell>
        </row>
        <row r="18249">
          <cell r="D18249" t="str">
            <v>PWS</v>
          </cell>
          <cell r="E18249" t="str">
            <v>P3501AL53GN0256</v>
          </cell>
        </row>
        <row r="18250">
          <cell r="D18250" t="str">
            <v>BPN</v>
          </cell>
          <cell r="E18250" t="str">
            <v>EB21AS041434</v>
          </cell>
        </row>
        <row r="18251">
          <cell r="D18251" t="str">
            <v>MBD</v>
          </cell>
          <cell r="E18251" t="str">
            <v>WM224S013162</v>
          </cell>
        </row>
        <row r="18252">
          <cell r="D18252" t="str">
            <v>RSC</v>
          </cell>
          <cell r="E18252" t="str">
            <v>OR223S036178</v>
          </cell>
        </row>
        <row r="18253">
          <cell r="D18253" t="str">
            <v>CPU</v>
          </cell>
          <cell r="E18253" t="str">
            <v>815F1G4100706</v>
          </cell>
        </row>
        <row r="18254">
          <cell r="D18254" t="str">
            <v>MEM</v>
          </cell>
          <cell r="E18254" t="str">
            <v>80AD0122199631FE1E</v>
          </cell>
        </row>
        <row r="18255">
          <cell r="D18255" t="str">
            <v>MEM</v>
          </cell>
          <cell r="E18255" t="str">
            <v>80AD0122199631FE0E</v>
          </cell>
        </row>
        <row r="18256">
          <cell r="D18256" t="str">
            <v>HDS</v>
          </cell>
          <cell r="E18256" t="str">
            <v>S665NE0T206964</v>
          </cell>
        </row>
        <row r="18257">
          <cell r="D18257" t="str">
            <v>AOC</v>
          </cell>
          <cell r="E18257" t="str">
            <v>UA223S006112</v>
          </cell>
        </row>
        <row r="18258">
          <cell r="D18258" t="str">
            <v>CSE-113AC2-605WB</v>
          </cell>
          <cell r="E18258" t="str">
            <v>C1130LK43P60039</v>
          </cell>
        </row>
        <row r="18259">
          <cell r="D18259" t="str">
            <v>CSE-113AC2-605WB</v>
          </cell>
          <cell r="E18259" t="str">
            <v>C1130LK43P60047</v>
          </cell>
        </row>
        <row r="18260">
          <cell r="D18260" t="str">
            <v>SYS5039MS-H12TRF</v>
          </cell>
          <cell r="E18260" t="str">
            <v>E211678X2704284</v>
          </cell>
        </row>
        <row r="18261">
          <cell r="D18261" t="str">
            <v>CSE</v>
          </cell>
          <cell r="E18261" t="str">
            <v>C9390AI47P20015</v>
          </cell>
        </row>
        <row r="18262">
          <cell r="D18262" t="str">
            <v>AOC</v>
          </cell>
          <cell r="E18262" t="str">
            <v>WA216S011883</v>
          </cell>
        </row>
        <row r="18263">
          <cell r="D18263" t="str">
            <v>AOC</v>
          </cell>
          <cell r="E18263" t="str">
            <v>WA196S005017</v>
          </cell>
        </row>
        <row r="18264">
          <cell r="D18264" t="str">
            <v>BPN</v>
          </cell>
          <cell r="E18264" t="str">
            <v>JB216S002876</v>
          </cell>
        </row>
        <row r="18265">
          <cell r="D18265" t="str">
            <v>PWS</v>
          </cell>
          <cell r="E18265" t="str">
            <v>P2K4FCJ25HT0149</v>
          </cell>
        </row>
        <row r="18266">
          <cell r="D18266" t="str">
            <v>PWS</v>
          </cell>
          <cell r="E18266" t="str">
            <v>P2K4FCJ25HT0146</v>
          </cell>
        </row>
        <row r="18267">
          <cell r="D18267" t="str">
            <v>MBD</v>
          </cell>
          <cell r="E18267" t="str">
            <v>ZM195S055116</v>
          </cell>
        </row>
        <row r="18268">
          <cell r="D18268" t="str">
            <v>AOC</v>
          </cell>
          <cell r="E18268" t="str">
            <v>ZA218S004308</v>
          </cell>
        </row>
        <row r="18269">
          <cell r="D18269" t="str">
            <v>AOC</v>
          </cell>
          <cell r="E18269" t="str">
            <v>VA218S023614</v>
          </cell>
        </row>
        <row r="18270">
          <cell r="D18270" t="str">
            <v>AOC</v>
          </cell>
          <cell r="E18270" t="str">
            <v>ZA219S002190</v>
          </cell>
        </row>
        <row r="18271">
          <cell r="D18271" t="str">
            <v>MBD</v>
          </cell>
          <cell r="E18271" t="str">
            <v>ZM195S055278</v>
          </cell>
        </row>
        <row r="18272">
          <cell r="D18272" t="str">
            <v>AOC</v>
          </cell>
          <cell r="E18272" t="str">
            <v>ZA218S003951</v>
          </cell>
        </row>
        <row r="18273">
          <cell r="D18273" t="str">
            <v>AOC</v>
          </cell>
          <cell r="E18273" t="str">
            <v>VA19CS003310</v>
          </cell>
        </row>
        <row r="18274">
          <cell r="D18274" t="str">
            <v>AOC</v>
          </cell>
          <cell r="E18274" t="str">
            <v>ZA219S002270</v>
          </cell>
        </row>
        <row r="18275">
          <cell r="D18275" t="str">
            <v>MBD</v>
          </cell>
          <cell r="E18275" t="str">
            <v>ZM195S055263</v>
          </cell>
        </row>
        <row r="18276">
          <cell r="D18276" t="str">
            <v>AOC</v>
          </cell>
          <cell r="E18276" t="str">
            <v>ZA218S004037</v>
          </cell>
        </row>
        <row r="18277">
          <cell r="D18277" t="str">
            <v>AOC</v>
          </cell>
          <cell r="E18277" t="str">
            <v>VA19CS003311</v>
          </cell>
        </row>
        <row r="18278">
          <cell r="D18278" t="str">
            <v>AOC</v>
          </cell>
          <cell r="E18278" t="str">
            <v>ZA222S005063</v>
          </cell>
        </row>
        <row r="18279">
          <cell r="D18279" t="str">
            <v>MBD</v>
          </cell>
          <cell r="E18279" t="str">
            <v>ZM195S055281</v>
          </cell>
        </row>
        <row r="18280">
          <cell r="D18280" t="str">
            <v>AOC</v>
          </cell>
          <cell r="E18280" t="str">
            <v>ZA219S000791</v>
          </cell>
        </row>
        <row r="18281">
          <cell r="D18281" t="str">
            <v>AOC</v>
          </cell>
          <cell r="E18281" t="str">
            <v>VA218S023605</v>
          </cell>
        </row>
        <row r="18282">
          <cell r="D18282" t="str">
            <v>AOC</v>
          </cell>
          <cell r="E18282" t="str">
            <v>ZA219S002059</v>
          </cell>
        </row>
        <row r="18283">
          <cell r="D18283" t="str">
            <v>MBD</v>
          </cell>
          <cell r="E18283" t="str">
            <v>ZM195S055293</v>
          </cell>
        </row>
        <row r="18284">
          <cell r="D18284" t="str">
            <v>AOC</v>
          </cell>
          <cell r="E18284" t="str">
            <v>ZA219S002937</v>
          </cell>
        </row>
        <row r="18285">
          <cell r="D18285" t="str">
            <v>AOC</v>
          </cell>
          <cell r="E18285" t="str">
            <v>VA218S023615</v>
          </cell>
        </row>
        <row r="18286">
          <cell r="D18286" t="str">
            <v>AOC</v>
          </cell>
          <cell r="E18286" t="str">
            <v>ZA219S002311</v>
          </cell>
        </row>
        <row r="18287">
          <cell r="D18287" t="str">
            <v>MBD</v>
          </cell>
          <cell r="E18287" t="str">
            <v>ZM195S055122</v>
          </cell>
        </row>
        <row r="18288">
          <cell r="D18288" t="str">
            <v>AOC</v>
          </cell>
          <cell r="E18288" t="str">
            <v>ZA219S000807</v>
          </cell>
        </row>
        <row r="18289">
          <cell r="D18289" t="str">
            <v>AOC</v>
          </cell>
          <cell r="E18289" t="str">
            <v>VA218S023604</v>
          </cell>
        </row>
        <row r="18290">
          <cell r="D18290" t="str">
            <v>AOC</v>
          </cell>
          <cell r="E18290" t="str">
            <v>ZA219S002057</v>
          </cell>
        </row>
        <row r="18291">
          <cell r="D18291" t="str">
            <v>MBD</v>
          </cell>
          <cell r="E18291" t="str">
            <v>ZM195S055078</v>
          </cell>
        </row>
        <row r="18292">
          <cell r="D18292" t="str">
            <v>AOC</v>
          </cell>
          <cell r="E18292" t="str">
            <v>ZA218S003904</v>
          </cell>
        </row>
        <row r="18293">
          <cell r="D18293" t="str">
            <v>AOC</v>
          </cell>
          <cell r="E18293" t="str">
            <v>VA19CS003317</v>
          </cell>
        </row>
        <row r="18294">
          <cell r="D18294" t="str">
            <v>AOC</v>
          </cell>
          <cell r="E18294" t="str">
            <v>ZA219S002168</v>
          </cell>
        </row>
        <row r="18295">
          <cell r="D18295" t="str">
            <v>MBD</v>
          </cell>
          <cell r="E18295" t="str">
            <v>ZM195S055164</v>
          </cell>
        </row>
        <row r="18296">
          <cell r="D18296" t="str">
            <v>AOC</v>
          </cell>
          <cell r="E18296" t="str">
            <v>ZA219S000798</v>
          </cell>
        </row>
        <row r="18297">
          <cell r="D18297" t="str">
            <v>AOC</v>
          </cell>
          <cell r="E18297" t="str">
            <v>VA19CS003306</v>
          </cell>
        </row>
        <row r="18298">
          <cell r="D18298" t="str">
            <v>AOC</v>
          </cell>
          <cell r="E18298" t="str">
            <v>ZA219S002234</v>
          </cell>
        </row>
        <row r="18299">
          <cell r="D18299" t="str">
            <v>MBD</v>
          </cell>
          <cell r="E18299" t="str">
            <v>ZM195S055186</v>
          </cell>
        </row>
        <row r="18300">
          <cell r="D18300" t="str">
            <v>AOC</v>
          </cell>
          <cell r="E18300" t="str">
            <v>ZA218S003884</v>
          </cell>
        </row>
        <row r="18301">
          <cell r="D18301" t="str">
            <v>AOC</v>
          </cell>
          <cell r="E18301" t="str">
            <v>VA19CS003314</v>
          </cell>
        </row>
        <row r="18302">
          <cell r="D18302" t="str">
            <v>AOC</v>
          </cell>
          <cell r="E18302" t="str">
            <v>ZA219S002226</v>
          </cell>
        </row>
        <row r="18303">
          <cell r="D18303" t="str">
            <v>MBD</v>
          </cell>
          <cell r="E18303" t="str">
            <v>ZM195S055179</v>
          </cell>
        </row>
        <row r="18304">
          <cell r="D18304" t="str">
            <v>AOC</v>
          </cell>
          <cell r="E18304" t="str">
            <v>ZA219S001535</v>
          </cell>
        </row>
        <row r="18305">
          <cell r="D18305" t="str">
            <v>AOC</v>
          </cell>
          <cell r="E18305" t="str">
            <v>VA19CS003305</v>
          </cell>
        </row>
        <row r="18306">
          <cell r="D18306" t="str">
            <v>AOC</v>
          </cell>
          <cell r="E18306" t="str">
            <v>ZA219S002047</v>
          </cell>
        </row>
        <row r="18307">
          <cell r="D18307" t="str">
            <v>MBD</v>
          </cell>
          <cell r="E18307" t="str">
            <v>ZM195S055216</v>
          </cell>
        </row>
        <row r="18308">
          <cell r="D18308" t="str">
            <v>AOC</v>
          </cell>
          <cell r="E18308" t="str">
            <v>ZA219S000460</v>
          </cell>
        </row>
        <row r="18309">
          <cell r="D18309" t="str">
            <v>AOC</v>
          </cell>
          <cell r="E18309" t="str">
            <v>VA19CS003312</v>
          </cell>
        </row>
        <row r="18310">
          <cell r="D18310" t="str">
            <v>AOC</v>
          </cell>
          <cell r="E18310" t="str">
            <v>ZA219S002186</v>
          </cell>
        </row>
        <row r="18311">
          <cell r="D18311" t="str">
            <v>MBD</v>
          </cell>
          <cell r="E18311" t="str">
            <v>ZM195S055069</v>
          </cell>
        </row>
        <row r="18312">
          <cell r="D18312" t="str">
            <v>AOC</v>
          </cell>
          <cell r="E18312" t="str">
            <v>ZA218S004034</v>
          </cell>
        </row>
        <row r="18313">
          <cell r="D18313" t="str">
            <v>AOC</v>
          </cell>
          <cell r="E18313" t="str">
            <v>VA19CS003307</v>
          </cell>
        </row>
        <row r="18314">
          <cell r="D18314" t="str">
            <v>AOC</v>
          </cell>
          <cell r="E18314" t="str">
            <v>ZA219S002096</v>
          </cell>
        </row>
        <row r="18315">
          <cell r="D18315" t="str">
            <v>CPU</v>
          </cell>
          <cell r="E18315" t="str">
            <v>U1WW670503800</v>
          </cell>
        </row>
        <row r="18316">
          <cell r="D18316" t="str">
            <v>MEM</v>
          </cell>
          <cell r="E18316" t="str">
            <v>S802C0F2205345C7C55</v>
          </cell>
        </row>
        <row r="18317">
          <cell r="D18317" t="str">
            <v>MEM</v>
          </cell>
          <cell r="E18317" t="str">
            <v>S802C0F220634AE2008</v>
          </cell>
        </row>
        <row r="18318">
          <cell r="D18318" t="str">
            <v>MEM</v>
          </cell>
          <cell r="E18318" t="str">
            <v>S802C0F2205345C94A4</v>
          </cell>
        </row>
        <row r="18319">
          <cell r="D18319" t="str">
            <v>MEM</v>
          </cell>
          <cell r="E18319" t="str">
            <v>S802C0F220634AE2A53</v>
          </cell>
        </row>
        <row r="18320">
          <cell r="D18320" t="str">
            <v>HDD</v>
          </cell>
          <cell r="E18320" t="str">
            <v>52P0A084FD0H</v>
          </cell>
        </row>
        <row r="18321">
          <cell r="D18321" t="str">
            <v>HDD</v>
          </cell>
          <cell r="E18321" t="str">
            <v>42T0A061FCZH</v>
          </cell>
        </row>
        <row r="18322">
          <cell r="D18322" t="str">
            <v>CPU</v>
          </cell>
          <cell r="E18322" t="str">
            <v>U2JY194001526</v>
          </cell>
        </row>
        <row r="18323">
          <cell r="D18323" t="str">
            <v>MEM</v>
          </cell>
          <cell r="E18323" t="str">
            <v>S802C0F220634AE2B16</v>
          </cell>
        </row>
        <row r="18324">
          <cell r="D18324" t="str">
            <v>MEM</v>
          </cell>
          <cell r="E18324" t="str">
            <v>S802C0F220634AE2873</v>
          </cell>
        </row>
        <row r="18325">
          <cell r="D18325" t="str">
            <v>MEM</v>
          </cell>
          <cell r="E18325" t="str">
            <v>S802C0F220634AE29D3</v>
          </cell>
        </row>
        <row r="18326">
          <cell r="D18326" t="str">
            <v>MEM</v>
          </cell>
          <cell r="E18326" t="str">
            <v>S802C0F220634AE2B02</v>
          </cell>
        </row>
        <row r="18327">
          <cell r="D18327" t="str">
            <v>HDS</v>
          </cell>
          <cell r="E18327" t="str">
            <v>220233E4CA7F</v>
          </cell>
        </row>
        <row r="18328">
          <cell r="D18328" t="str">
            <v>HDS</v>
          </cell>
          <cell r="E18328" t="str">
            <v>220233E4CA57</v>
          </cell>
        </row>
        <row r="18329">
          <cell r="D18329" t="str">
            <v>CPU</v>
          </cell>
          <cell r="E18329" t="str">
            <v>U2JY194000672</v>
          </cell>
        </row>
        <row r="18330">
          <cell r="D18330" t="str">
            <v>MEM</v>
          </cell>
          <cell r="E18330" t="str">
            <v>S802C0F220634AE27B7</v>
          </cell>
        </row>
        <row r="18331">
          <cell r="D18331" t="str">
            <v>HDD</v>
          </cell>
          <cell r="E18331" t="str">
            <v>6180A0A6FVJG</v>
          </cell>
        </row>
        <row r="18332">
          <cell r="D18332" t="str">
            <v>HDD</v>
          </cell>
          <cell r="E18332" t="str">
            <v>6180A0A4FVJG</v>
          </cell>
        </row>
        <row r="18333">
          <cell r="D18333" t="str">
            <v>CPU</v>
          </cell>
          <cell r="E18333" t="str">
            <v>U2JY194002276</v>
          </cell>
        </row>
        <row r="18334">
          <cell r="D18334" t="str">
            <v>MEM</v>
          </cell>
          <cell r="E18334" t="str">
            <v>S802C0F220634AE2881</v>
          </cell>
        </row>
        <row r="18335">
          <cell r="D18335" t="str">
            <v>HDD</v>
          </cell>
          <cell r="E18335" t="str">
            <v>6180A0A2FVJG</v>
          </cell>
        </row>
        <row r="18336">
          <cell r="D18336" t="str">
            <v>HDD</v>
          </cell>
          <cell r="E18336" t="str">
            <v>6180A0A8FVJG</v>
          </cell>
        </row>
        <row r="18337">
          <cell r="D18337" t="str">
            <v>CPU</v>
          </cell>
          <cell r="E18337" t="str">
            <v>U2JY194001043</v>
          </cell>
        </row>
        <row r="18338">
          <cell r="D18338" t="str">
            <v>MEM</v>
          </cell>
          <cell r="E18338" t="str">
            <v>S802C0F220634AE270E</v>
          </cell>
        </row>
        <row r="18339">
          <cell r="D18339" t="str">
            <v>MEM</v>
          </cell>
          <cell r="E18339" t="str">
            <v>S802C0F220634AE277F</v>
          </cell>
        </row>
        <row r="18340">
          <cell r="D18340" t="str">
            <v>HDS</v>
          </cell>
          <cell r="E18340" t="str">
            <v>2212365A28F3</v>
          </cell>
        </row>
        <row r="18341">
          <cell r="D18341" t="str">
            <v>HDS</v>
          </cell>
          <cell r="E18341" t="str">
            <v>2212365A2A73</v>
          </cell>
        </row>
        <row r="18342">
          <cell r="D18342" t="str">
            <v>CPU</v>
          </cell>
          <cell r="E18342" t="str">
            <v>U1WW670504470</v>
          </cell>
        </row>
        <row r="18343">
          <cell r="D18343" t="str">
            <v>MEM</v>
          </cell>
          <cell r="E18343" t="str">
            <v>S802C0F220634AE26DE</v>
          </cell>
        </row>
        <row r="18344">
          <cell r="D18344" t="str">
            <v>MEM</v>
          </cell>
          <cell r="E18344" t="str">
            <v>S802C0F220634AE2682</v>
          </cell>
        </row>
        <row r="18345">
          <cell r="D18345" t="str">
            <v>HDS</v>
          </cell>
          <cell r="E18345" t="str">
            <v>2212365A2A28</v>
          </cell>
        </row>
        <row r="18346">
          <cell r="D18346" t="str">
            <v>HDS</v>
          </cell>
          <cell r="E18346" t="str">
            <v>22123659F184</v>
          </cell>
        </row>
        <row r="18347">
          <cell r="D18347" t="str">
            <v>CPU</v>
          </cell>
          <cell r="E18347" t="str">
            <v>U2J59X9700253</v>
          </cell>
        </row>
        <row r="18348">
          <cell r="D18348" t="str">
            <v>MEM</v>
          </cell>
          <cell r="E18348" t="str">
            <v>S802C0F220634AE25FC</v>
          </cell>
        </row>
        <row r="18349">
          <cell r="D18349" t="str">
            <v>MEM</v>
          </cell>
          <cell r="E18349" t="str">
            <v>S802C0F220634AE299A</v>
          </cell>
        </row>
        <row r="18350">
          <cell r="D18350" t="str">
            <v>HDS</v>
          </cell>
          <cell r="E18350" t="str">
            <v>22083656392F</v>
          </cell>
        </row>
        <row r="18351">
          <cell r="D18351" t="str">
            <v>HDS</v>
          </cell>
          <cell r="E18351" t="str">
            <v>220534A3B22B</v>
          </cell>
        </row>
        <row r="18352">
          <cell r="D18352" t="str">
            <v>CPU</v>
          </cell>
          <cell r="E18352" t="str">
            <v>U2J59X9701676</v>
          </cell>
        </row>
        <row r="18353">
          <cell r="D18353" t="str">
            <v>MEM</v>
          </cell>
          <cell r="E18353" t="str">
            <v>S802C0F220634AE25A2</v>
          </cell>
        </row>
        <row r="18354">
          <cell r="D18354" t="str">
            <v>MEM</v>
          </cell>
          <cell r="E18354" t="str">
            <v>S802C0F220634AE2524</v>
          </cell>
        </row>
        <row r="18355">
          <cell r="D18355" t="str">
            <v>HDS</v>
          </cell>
          <cell r="E18355" t="str">
            <v>2212365A2A56</v>
          </cell>
        </row>
        <row r="18356">
          <cell r="D18356" t="str">
            <v>HDS</v>
          </cell>
          <cell r="E18356" t="str">
            <v>22123659F1B2</v>
          </cell>
        </row>
        <row r="18357">
          <cell r="D18357" t="str">
            <v>CPU</v>
          </cell>
          <cell r="E18357" t="str">
            <v>U2J59X9701523</v>
          </cell>
        </row>
        <row r="18358">
          <cell r="D18358" t="str">
            <v>MEM</v>
          </cell>
          <cell r="E18358" t="str">
            <v>S802C0F220634AE2633</v>
          </cell>
        </row>
        <row r="18359">
          <cell r="D18359" t="str">
            <v>MEM</v>
          </cell>
          <cell r="E18359" t="str">
            <v>S802C0F220634AE25A4</v>
          </cell>
        </row>
        <row r="18360">
          <cell r="D18360" t="str">
            <v>HDS</v>
          </cell>
          <cell r="E18360" t="str">
            <v>2212365A2A5D</v>
          </cell>
        </row>
        <row r="18361">
          <cell r="D18361" t="str">
            <v>HDS</v>
          </cell>
          <cell r="E18361" t="str">
            <v>2212365A2A27</v>
          </cell>
        </row>
        <row r="18362">
          <cell r="D18362" t="str">
            <v>CPU</v>
          </cell>
          <cell r="E18362" t="str">
            <v>U2JY194001548</v>
          </cell>
        </row>
        <row r="18363">
          <cell r="D18363" t="str">
            <v>MEM</v>
          </cell>
          <cell r="E18363" t="str">
            <v>S802C0F220634AE24FB</v>
          </cell>
        </row>
        <row r="18364">
          <cell r="D18364" t="str">
            <v>MEM</v>
          </cell>
          <cell r="E18364" t="str">
            <v>S802C0F220634AE254D</v>
          </cell>
        </row>
        <row r="18365">
          <cell r="D18365" t="str">
            <v>HDS</v>
          </cell>
          <cell r="E18365" t="str">
            <v>2212365A28F2</v>
          </cell>
        </row>
        <row r="18366">
          <cell r="D18366" t="str">
            <v>HDS</v>
          </cell>
          <cell r="E18366" t="str">
            <v>2212365A2A8E</v>
          </cell>
        </row>
        <row r="18367">
          <cell r="D18367" t="str">
            <v>CPU</v>
          </cell>
          <cell r="E18367" t="str">
            <v>U2JY194001632</v>
          </cell>
        </row>
        <row r="18368">
          <cell r="D18368" t="str">
            <v>MEM</v>
          </cell>
          <cell r="E18368" t="str">
            <v>S802C0F220634AE26B9</v>
          </cell>
        </row>
        <row r="18369">
          <cell r="D18369" t="str">
            <v>MEM</v>
          </cell>
          <cell r="E18369" t="str">
            <v>S802C0F220634AE2404</v>
          </cell>
        </row>
        <row r="18370">
          <cell r="D18370" t="str">
            <v>HDS</v>
          </cell>
          <cell r="E18370" t="str">
            <v>221236594A08</v>
          </cell>
        </row>
        <row r="18371">
          <cell r="D18371" t="str">
            <v>HDS</v>
          </cell>
          <cell r="E18371">
            <v>221236594532</v>
          </cell>
        </row>
        <row r="18372">
          <cell r="D18372" t="str">
            <v>CPU</v>
          </cell>
          <cell r="E18372" t="str">
            <v>U2JY194000901</v>
          </cell>
        </row>
        <row r="18373">
          <cell r="D18373" t="str">
            <v>MEM</v>
          </cell>
          <cell r="E18373" t="str">
            <v>S802C0F220634AE26D6</v>
          </cell>
        </row>
        <row r="18374">
          <cell r="D18374" t="str">
            <v>MEM</v>
          </cell>
          <cell r="E18374" t="str">
            <v>S802C0F220634AE2792</v>
          </cell>
        </row>
        <row r="18375">
          <cell r="D18375" t="str">
            <v>HDS</v>
          </cell>
          <cell r="E18375" t="str">
            <v>221236594A4D</v>
          </cell>
        </row>
        <row r="18376">
          <cell r="D18376" t="str">
            <v>HDS</v>
          </cell>
          <cell r="E18376" t="str">
            <v>2212365943D5</v>
          </cell>
        </row>
        <row r="18377">
          <cell r="D18377" t="str">
            <v>SYS5039MS-H12TRF</v>
          </cell>
          <cell r="E18377" t="str">
            <v>E211678X2704285</v>
          </cell>
        </row>
        <row r="18378">
          <cell r="D18378" t="str">
            <v>CSE</v>
          </cell>
          <cell r="E18378" t="str">
            <v>C9390AI47P20014</v>
          </cell>
        </row>
        <row r="18379">
          <cell r="D18379" t="str">
            <v>AOC</v>
          </cell>
          <cell r="E18379" t="str">
            <v>WA216S011887</v>
          </cell>
        </row>
        <row r="18380">
          <cell r="D18380" t="str">
            <v>AOC</v>
          </cell>
          <cell r="E18380" t="str">
            <v>WA196S004283</v>
          </cell>
        </row>
        <row r="18381">
          <cell r="D18381" t="str">
            <v>BPN</v>
          </cell>
          <cell r="E18381" t="str">
            <v>JB216S002868</v>
          </cell>
        </row>
        <row r="18382">
          <cell r="D18382" t="str">
            <v>PWS</v>
          </cell>
          <cell r="E18382" t="str">
            <v>P2K4FCJ25HT0145</v>
          </cell>
        </row>
        <row r="18383">
          <cell r="D18383" t="str">
            <v>PWS</v>
          </cell>
          <cell r="E18383" t="str">
            <v>P2K4FCJ25HT0141</v>
          </cell>
        </row>
        <row r="18384">
          <cell r="D18384" t="str">
            <v>MBD</v>
          </cell>
          <cell r="E18384" t="str">
            <v>ZM195S055044</v>
          </cell>
        </row>
        <row r="18385">
          <cell r="D18385" t="str">
            <v>AOC</v>
          </cell>
          <cell r="E18385" t="str">
            <v>ZA219S000802</v>
          </cell>
        </row>
        <row r="18386">
          <cell r="D18386" t="str">
            <v>AOC</v>
          </cell>
          <cell r="E18386" t="str">
            <v>VA19CS003309</v>
          </cell>
        </row>
        <row r="18387">
          <cell r="D18387" t="str">
            <v>AOC</v>
          </cell>
          <cell r="E18387" t="str">
            <v>ZA219S002227</v>
          </cell>
        </row>
        <row r="18388">
          <cell r="D18388" t="str">
            <v>MBD</v>
          </cell>
          <cell r="E18388" t="str">
            <v>ZM195S055312</v>
          </cell>
        </row>
        <row r="18389">
          <cell r="D18389" t="str">
            <v>AOC</v>
          </cell>
          <cell r="E18389" t="str">
            <v>ZA218S003903</v>
          </cell>
        </row>
        <row r="18390">
          <cell r="D18390" t="str">
            <v>AOC</v>
          </cell>
          <cell r="E18390" t="str">
            <v>VA218S023617</v>
          </cell>
        </row>
        <row r="18391">
          <cell r="D18391" t="str">
            <v>AOC</v>
          </cell>
          <cell r="E18391" t="str">
            <v>ZA219S002117</v>
          </cell>
        </row>
        <row r="18392">
          <cell r="D18392" t="str">
            <v>MBD</v>
          </cell>
          <cell r="E18392" t="str">
            <v>ZM195S055082</v>
          </cell>
        </row>
        <row r="18393">
          <cell r="D18393" t="str">
            <v>AOC</v>
          </cell>
          <cell r="E18393" t="str">
            <v>ZA219S000804</v>
          </cell>
        </row>
        <row r="18394">
          <cell r="D18394" t="str">
            <v>AOC</v>
          </cell>
          <cell r="E18394" t="str">
            <v>VA218S023618</v>
          </cell>
        </row>
        <row r="18395">
          <cell r="D18395" t="str">
            <v>AOC</v>
          </cell>
          <cell r="E18395" t="str">
            <v>ZA219S002118</v>
          </cell>
        </row>
        <row r="18396">
          <cell r="D18396" t="str">
            <v>MBD</v>
          </cell>
          <cell r="E18396" t="str">
            <v>ZM195S055303</v>
          </cell>
        </row>
        <row r="18397">
          <cell r="D18397" t="str">
            <v>AOC</v>
          </cell>
          <cell r="E18397" t="str">
            <v>ZA218S003787</v>
          </cell>
        </row>
        <row r="18398">
          <cell r="D18398" t="str">
            <v>AOC</v>
          </cell>
          <cell r="E18398" t="str">
            <v>VA218S023593</v>
          </cell>
        </row>
        <row r="18399">
          <cell r="D18399" t="str">
            <v>AOC</v>
          </cell>
          <cell r="E18399" t="str">
            <v>ZA219S002119</v>
          </cell>
        </row>
        <row r="18400">
          <cell r="D18400" t="str">
            <v>MBD</v>
          </cell>
          <cell r="E18400" t="str">
            <v>ZM195S055314</v>
          </cell>
        </row>
        <row r="18401">
          <cell r="D18401" t="str">
            <v>AOC</v>
          </cell>
          <cell r="E18401" t="str">
            <v>ZA218S003885</v>
          </cell>
        </row>
        <row r="18402">
          <cell r="D18402" t="str">
            <v>AOC</v>
          </cell>
          <cell r="E18402" t="str">
            <v>VA218S023616</v>
          </cell>
        </row>
        <row r="18403">
          <cell r="D18403" t="str">
            <v>AOC</v>
          </cell>
          <cell r="E18403" t="str">
            <v>ZA219S002037</v>
          </cell>
        </row>
        <row r="18404">
          <cell r="D18404" t="str">
            <v>MBD</v>
          </cell>
          <cell r="E18404" t="str">
            <v>ZM195S036328</v>
          </cell>
        </row>
        <row r="18405">
          <cell r="D18405" t="str">
            <v>AOC</v>
          </cell>
          <cell r="E18405" t="str">
            <v>ZA219S000443</v>
          </cell>
        </row>
        <row r="18406">
          <cell r="D18406" t="str">
            <v>AOC</v>
          </cell>
          <cell r="E18406" t="str">
            <v>VA19CS003313</v>
          </cell>
        </row>
        <row r="18407">
          <cell r="D18407" t="str">
            <v>AOC</v>
          </cell>
          <cell r="E18407" t="str">
            <v>ZA219S002073</v>
          </cell>
        </row>
        <row r="18408">
          <cell r="D18408" t="str">
            <v>MBD</v>
          </cell>
          <cell r="E18408" t="str">
            <v>ZM195S055032</v>
          </cell>
        </row>
        <row r="18409">
          <cell r="D18409" t="str">
            <v>AOC</v>
          </cell>
          <cell r="E18409" t="str">
            <v>ZA218S003905</v>
          </cell>
        </row>
        <row r="18410">
          <cell r="D18410" t="str">
            <v>AOC</v>
          </cell>
          <cell r="E18410" t="str">
            <v>VA19CS003308</v>
          </cell>
        </row>
        <row r="18411">
          <cell r="D18411" t="str">
            <v>AOC</v>
          </cell>
          <cell r="E18411" t="str">
            <v>ZA219S002165</v>
          </cell>
        </row>
        <row r="18412">
          <cell r="D18412" t="str">
            <v>MBD</v>
          </cell>
          <cell r="E18412" t="str">
            <v>ZM195S055038</v>
          </cell>
        </row>
        <row r="18413">
          <cell r="D18413" t="str">
            <v>AOC</v>
          </cell>
          <cell r="E18413" t="str">
            <v>ZA218S004021</v>
          </cell>
        </row>
        <row r="18414">
          <cell r="D18414" t="str">
            <v>AOC</v>
          </cell>
          <cell r="E18414" t="str">
            <v>VA19CS003318</v>
          </cell>
        </row>
        <row r="18415">
          <cell r="D18415" t="str">
            <v>AOC</v>
          </cell>
          <cell r="E18415" t="str">
            <v>ZA219S002230</v>
          </cell>
        </row>
        <row r="18416">
          <cell r="D18416" t="str">
            <v>MBD</v>
          </cell>
          <cell r="E18416" t="str">
            <v>ZM195S055111</v>
          </cell>
        </row>
        <row r="18417">
          <cell r="D18417" t="str">
            <v>AOC</v>
          </cell>
          <cell r="E18417" t="str">
            <v>ZA21AS003382</v>
          </cell>
        </row>
        <row r="18418">
          <cell r="D18418" t="str">
            <v>AOC</v>
          </cell>
          <cell r="E18418" t="str">
            <v>VA19CS003315</v>
          </cell>
        </row>
        <row r="18419">
          <cell r="D18419" t="str">
            <v>AOC</v>
          </cell>
          <cell r="E18419" t="str">
            <v>ZA219S002372</v>
          </cell>
        </row>
        <row r="18420">
          <cell r="D18420" t="str">
            <v>MBD</v>
          </cell>
          <cell r="E18420" t="str">
            <v>ZM195S055103</v>
          </cell>
        </row>
        <row r="18421">
          <cell r="D18421" t="str">
            <v>AOC</v>
          </cell>
          <cell r="E18421" t="str">
            <v>ZA219S002970</v>
          </cell>
        </row>
        <row r="18422">
          <cell r="D18422" t="str">
            <v>AOC</v>
          </cell>
          <cell r="E18422" t="str">
            <v>VA19CS003316</v>
          </cell>
        </row>
        <row r="18423">
          <cell r="D18423" t="str">
            <v>AOC</v>
          </cell>
          <cell r="E18423" t="str">
            <v>ZA219S002231</v>
          </cell>
        </row>
        <row r="18424">
          <cell r="D18424" t="str">
            <v>MBD</v>
          </cell>
          <cell r="E18424" t="str">
            <v>ZM195S055045</v>
          </cell>
        </row>
        <row r="18425">
          <cell r="D18425" t="str">
            <v>AOC</v>
          </cell>
          <cell r="E18425" t="str">
            <v>ZA218S003893</v>
          </cell>
        </row>
        <row r="18426">
          <cell r="D18426" t="str">
            <v>AOC</v>
          </cell>
          <cell r="E18426" t="str">
            <v>VA19CS003303</v>
          </cell>
        </row>
        <row r="18427">
          <cell r="D18427" t="str">
            <v>AOC</v>
          </cell>
          <cell r="E18427" t="str">
            <v>ZA219S002224</v>
          </cell>
        </row>
        <row r="18428">
          <cell r="D18428" t="str">
            <v>MBD</v>
          </cell>
          <cell r="E18428" t="str">
            <v>ZM195S055248</v>
          </cell>
        </row>
        <row r="18429">
          <cell r="D18429" t="str">
            <v>AOC</v>
          </cell>
          <cell r="E18429" t="str">
            <v>ZA219S000602</v>
          </cell>
        </row>
        <row r="18430">
          <cell r="D18430" t="str">
            <v>AOC</v>
          </cell>
          <cell r="E18430" t="str">
            <v>VA19CS003304</v>
          </cell>
        </row>
        <row r="18431">
          <cell r="D18431" t="str">
            <v>AOC</v>
          </cell>
          <cell r="E18431" t="str">
            <v>ZA219S002053</v>
          </cell>
        </row>
        <row r="18432">
          <cell r="D18432" t="str">
            <v>CPU</v>
          </cell>
          <cell r="E18432" t="str">
            <v>U1WW670504479</v>
          </cell>
        </row>
        <row r="18433">
          <cell r="D18433" t="str">
            <v>MEM</v>
          </cell>
          <cell r="E18433" t="str">
            <v>S802C0F220634AE1BF6</v>
          </cell>
        </row>
        <row r="18434">
          <cell r="D18434" t="str">
            <v>MEM</v>
          </cell>
          <cell r="E18434" t="str">
            <v>S802C0F220634AE27CD</v>
          </cell>
        </row>
        <row r="18435">
          <cell r="D18435" t="str">
            <v>MEM</v>
          </cell>
          <cell r="E18435" t="str">
            <v>S802C0F220634AE2B68</v>
          </cell>
        </row>
        <row r="18436">
          <cell r="D18436" t="str">
            <v>MEM</v>
          </cell>
          <cell r="E18436" t="str">
            <v>S802C0F220634AE319B</v>
          </cell>
        </row>
        <row r="18437">
          <cell r="D18437" t="str">
            <v>HDD</v>
          </cell>
          <cell r="E18437" t="str">
            <v>42T0A06UFCZH</v>
          </cell>
        </row>
        <row r="18438">
          <cell r="D18438" t="str">
            <v>HDD</v>
          </cell>
          <cell r="E18438" t="str">
            <v>42T0A0BSFCZH</v>
          </cell>
        </row>
        <row r="18439">
          <cell r="D18439" t="str">
            <v>CPU</v>
          </cell>
          <cell r="E18439" t="str">
            <v>U1WW670504016</v>
          </cell>
        </row>
        <row r="18440">
          <cell r="D18440" t="str">
            <v>MEM</v>
          </cell>
          <cell r="E18440" t="str">
            <v>S802C0F220634AE1E01</v>
          </cell>
        </row>
        <row r="18441">
          <cell r="D18441" t="str">
            <v>MEM</v>
          </cell>
          <cell r="E18441" t="str">
            <v>S802C0F220634AE27BD</v>
          </cell>
        </row>
        <row r="18442">
          <cell r="D18442" t="str">
            <v>MEM</v>
          </cell>
          <cell r="E18442" t="str">
            <v>S802C0F220634AE2556</v>
          </cell>
        </row>
        <row r="18443">
          <cell r="D18443" t="str">
            <v>MEM</v>
          </cell>
          <cell r="E18443" t="str">
            <v>S802C0F220634AE2842</v>
          </cell>
        </row>
        <row r="18444">
          <cell r="D18444" t="str">
            <v>HDS</v>
          </cell>
          <cell r="E18444">
            <v>221236594548</v>
          </cell>
        </row>
        <row r="18445">
          <cell r="D18445" t="str">
            <v>HDS</v>
          </cell>
          <cell r="E18445" t="str">
            <v>221236594BFB</v>
          </cell>
        </row>
        <row r="18446">
          <cell r="D18446" t="str">
            <v>CPU</v>
          </cell>
          <cell r="E18446" t="str">
            <v>U2J59X9700888</v>
          </cell>
        </row>
        <row r="18447">
          <cell r="D18447" t="str">
            <v>MEM</v>
          </cell>
          <cell r="E18447" t="str">
            <v>S802C0F220634AE27F2</v>
          </cell>
        </row>
        <row r="18448">
          <cell r="D18448" t="str">
            <v>HDD</v>
          </cell>
          <cell r="E18448" t="str">
            <v>6180A057FVJG</v>
          </cell>
        </row>
        <row r="18449">
          <cell r="D18449" t="str">
            <v>HDD</v>
          </cell>
          <cell r="E18449" t="str">
            <v>6180A07BFVJG</v>
          </cell>
        </row>
        <row r="18450">
          <cell r="D18450" t="str">
            <v>CPU</v>
          </cell>
          <cell r="E18450" t="str">
            <v>U2J59X9701433</v>
          </cell>
        </row>
        <row r="18451">
          <cell r="D18451" t="str">
            <v>MEM</v>
          </cell>
          <cell r="E18451" t="str">
            <v>S802C0F220634AE1C16</v>
          </cell>
        </row>
        <row r="18452">
          <cell r="D18452" t="str">
            <v>HDD</v>
          </cell>
          <cell r="E18452" t="str">
            <v>6180A0B3FVJG</v>
          </cell>
        </row>
        <row r="18453">
          <cell r="D18453" t="str">
            <v>HDD</v>
          </cell>
          <cell r="E18453" t="str">
            <v>6180A0A0FVJG</v>
          </cell>
        </row>
        <row r="18454">
          <cell r="D18454" t="str">
            <v>CPU</v>
          </cell>
          <cell r="E18454" t="str">
            <v>U2JY194001630</v>
          </cell>
        </row>
        <row r="18455">
          <cell r="D18455" t="str">
            <v>MEM</v>
          </cell>
          <cell r="E18455" t="str">
            <v>S802C0F220634AE1E2D</v>
          </cell>
        </row>
        <row r="18456">
          <cell r="D18456" t="str">
            <v>MEM</v>
          </cell>
          <cell r="E18456" t="str">
            <v>S802C0F220634AE28C1</v>
          </cell>
        </row>
        <row r="18457">
          <cell r="D18457" t="str">
            <v>HDS</v>
          </cell>
          <cell r="E18457">
            <v>221236594589</v>
          </cell>
        </row>
        <row r="18458">
          <cell r="D18458" t="str">
            <v>HDS</v>
          </cell>
          <cell r="E18458" t="str">
            <v>221236594BDD</v>
          </cell>
        </row>
        <row r="18459">
          <cell r="D18459" t="str">
            <v>CPU</v>
          </cell>
          <cell r="E18459" t="str">
            <v>U2JY194001626</v>
          </cell>
        </row>
        <row r="18460">
          <cell r="D18460" t="str">
            <v>MEM</v>
          </cell>
          <cell r="E18460" t="str">
            <v>S802C0F220634AE1DD3</v>
          </cell>
        </row>
        <row r="18461">
          <cell r="D18461" t="str">
            <v>MEM</v>
          </cell>
          <cell r="E18461" t="str">
            <v>S802C0F220634AE289D</v>
          </cell>
        </row>
        <row r="18462">
          <cell r="D18462" t="str">
            <v>HDS</v>
          </cell>
          <cell r="E18462" t="str">
            <v>221236594A39</v>
          </cell>
        </row>
        <row r="18463">
          <cell r="D18463" t="str">
            <v>HDS</v>
          </cell>
          <cell r="E18463" t="str">
            <v>221236594C18</v>
          </cell>
        </row>
        <row r="18464">
          <cell r="D18464" t="str">
            <v>CPU</v>
          </cell>
          <cell r="E18464" t="str">
            <v>U1WW670504019</v>
          </cell>
        </row>
        <row r="18465">
          <cell r="D18465" t="str">
            <v>MEM</v>
          </cell>
          <cell r="E18465" t="str">
            <v>S802C0F220634AE2914</v>
          </cell>
        </row>
        <row r="18466">
          <cell r="D18466" t="str">
            <v>MEM</v>
          </cell>
          <cell r="E18466" t="str">
            <v>S802C0F220634AE1E37</v>
          </cell>
        </row>
        <row r="18467">
          <cell r="D18467" t="str">
            <v>HDS</v>
          </cell>
          <cell r="E18467" t="str">
            <v>221236594EA3</v>
          </cell>
        </row>
        <row r="18468">
          <cell r="D18468" t="str">
            <v>HDS</v>
          </cell>
          <cell r="E18468" t="str">
            <v>221236594EA2</v>
          </cell>
        </row>
        <row r="18469">
          <cell r="D18469" t="str">
            <v>CPU</v>
          </cell>
          <cell r="E18469" t="str">
            <v>U1WW670503783</v>
          </cell>
        </row>
        <row r="18470">
          <cell r="D18470" t="str">
            <v>MEM</v>
          </cell>
          <cell r="E18470" t="str">
            <v>S802C0F220634AE1E0F</v>
          </cell>
        </row>
        <row r="18471">
          <cell r="D18471" t="str">
            <v>MEM</v>
          </cell>
          <cell r="E18471" t="str">
            <v>S802C0F220634AE28F5</v>
          </cell>
        </row>
        <row r="18472">
          <cell r="D18472" t="str">
            <v>HDS</v>
          </cell>
          <cell r="E18472" t="str">
            <v>221236594FC8</v>
          </cell>
        </row>
        <row r="18473">
          <cell r="D18473" t="str">
            <v>HDS</v>
          </cell>
          <cell r="E18473" t="str">
            <v>221236594BD6</v>
          </cell>
        </row>
        <row r="18474">
          <cell r="D18474" t="str">
            <v>CPU</v>
          </cell>
          <cell r="E18474" t="str">
            <v>U2J59X9705210</v>
          </cell>
        </row>
        <row r="18475">
          <cell r="D18475" t="str">
            <v>MEM</v>
          </cell>
          <cell r="E18475" t="str">
            <v>S802C0F220634AE29FA</v>
          </cell>
        </row>
        <row r="18476">
          <cell r="D18476" t="str">
            <v>MEM</v>
          </cell>
          <cell r="E18476" t="str">
            <v>S802C0F220634AE2A3F</v>
          </cell>
        </row>
        <row r="18477">
          <cell r="D18477" t="str">
            <v>HDS</v>
          </cell>
          <cell r="E18477" t="str">
            <v>221236594CF5</v>
          </cell>
        </row>
        <row r="18478">
          <cell r="D18478" t="str">
            <v>HDS</v>
          </cell>
          <cell r="E18478" t="str">
            <v>221236594CF6</v>
          </cell>
        </row>
        <row r="18479">
          <cell r="D18479" t="str">
            <v>CPU</v>
          </cell>
          <cell r="E18479" t="str">
            <v>U2J59X9701443</v>
          </cell>
        </row>
        <row r="18480">
          <cell r="D18480" t="str">
            <v>MEM</v>
          </cell>
          <cell r="E18480" t="str">
            <v>S802C0F220634AE2AE9</v>
          </cell>
        </row>
        <row r="18481">
          <cell r="D18481" t="str">
            <v>MEM</v>
          </cell>
          <cell r="E18481" t="str">
            <v>S802C0F220634AE28CC</v>
          </cell>
        </row>
        <row r="18482">
          <cell r="D18482" t="str">
            <v>HDS</v>
          </cell>
          <cell r="E18482" t="str">
            <v>221236594CF8</v>
          </cell>
        </row>
        <row r="18483">
          <cell r="D18483" t="str">
            <v>HDS</v>
          </cell>
          <cell r="E18483">
            <v>2.21236594E+107</v>
          </cell>
        </row>
        <row r="18484">
          <cell r="D18484" t="str">
            <v>CPU</v>
          </cell>
          <cell r="E18484" t="str">
            <v>U2J59X9700240</v>
          </cell>
        </row>
        <row r="18485">
          <cell r="D18485" t="str">
            <v>MEM</v>
          </cell>
          <cell r="E18485" t="str">
            <v>S802C0F220634AE2A56</v>
          </cell>
        </row>
        <row r="18486">
          <cell r="D18486" t="str">
            <v>MEM</v>
          </cell>
          <cell r="E18486" t="str">
            <v>S802C0F220634AE2A86</v>
          </cell>
        </row>
        <row r="18487">
          <cell r="D18487" t="str">
            <v>HDS</v>
          </cell>
          <cell r="E18487" t="str">
            <v>221236594FD1</v>
          </cell>
        </row>
        <row r="18488">
          <cell r="D18488" t="str">
            <v>HDS</v>
          </cell>
          <cell r="E18488" t="str">
            <v>22123659500B</v>
          </cell>
        </row>
        <row r="18489">
          <cell r="D18489" t="str">
            <v>CPU</v>
          </cell>
          <cell r="E18489" t="str">
            <v>U2JY194000437</v>
          </cell>
        </row>
        <row r="18490">
          <cell r="D18490" t="str">
            <v>MEM</v>
          </cell>
          <cell r="E18490" t="str">
            <v>S802C0F220634AE1BF4</v>
          </cell>
        </row>
        <row r="18491">
          <cell r="D18491" t="str">
            <v>MEM</v>
          </cell>
          <cell r="E18491" t="str">
            <v>S802C0F220634AE2880</v>
          </cell>
        </row>
        <row r="18492">
          <cell r="D18492" t="str">
            <v>HDS</v>
          </cell>
          <cell r="E18492" t="str">
            <v>220233E4C963</v>
          </cell>
        </row>
        <row r="18493">
          <cell r="D18493" t="str">
            <v>HDS</v>
          </cell>
          <cell r="E18493" t="str">
            <v>220233E4C9FE</v>
          </cell>
        </row>
        <row r="18494">
          <cell r="D18494" t="str">
            <v>PWS-1K41-1R</v>
          </cell>
          <cell r="E18494" t="str">
            <v>P1K43CH08TT0133</v>
          </cell>
        </row>
        <row r="18495">
          <cell r="D18495" t="str">
            <v>PWS-920P-SQ</v>
          </cell>
          <cell r="E18495" t="str">
            <v>P9212CL46SN2410</v>
          </cell>
        </row>
        <row r="18496">
          <cell r="D18496" t="str">
            <v>HDS-M2T-MTFDDAK480TDS1AW</v>
          </cell>
          <cell r="E18496" t="str">
            <v>22123642CC5C</v>
          </cell>
        </row>
        <row r="18497">
          <cell r="D18497" t="str">
            <v>HDS-M2T-MTFDDAK480TDS1AW</v>
          </cell>
          <cell r="E18497" t="str">
            <v>22123642CC27</v>
          </cell>
        </row>
        <row r="18498">
          <cell r="D18498" t="str">
            <v>HDS-M2T-MTFDDAK480TDS1AW</v>
          </cell>
          <cell r="E18498" t="str">
            <v>22123642CC5F</v>
          </cell>
        </row>
        <row r="18499">
          <cell r="D18499" t="str">
            <v>HDS-M2T-MTFDDAK480TDS1AW</v>
          </cell>
          <cell r="E18499" t="str">
            <v>22123642CC4D</v>
          </cell>
        </row>
        <row r="18500">
          <cell r="D18500" t="str">
            <v>HDS-M2T-MTFDDAK480TDS1AW</v>
          </cell>
          <cell r="E18500" t="str">
            <v>22123642CC5B</v>
          </cell>
        </row>
        <row r="18501">
          <cell r="D18501" t="str">
            <v>HDS-M2T-MTFDDAK480TDS1AW</v>
          </cell>
          <cell r="E18501" t="str">
            <v>22123642CCB9</v>
          </cell>
        </row>
        <row r="18502">
          <cell r="D18502" t="str">
            <v>HDD-2A2400-ST2400MM0129</v>
          </cell>
          <cell r="E18502" t="str">
            <v>WBM61SAX</v>
          </cell>
        </row>
        <row r="18503">
          <cell r="D18503" t="str">
            <v>HDD-2A2400-ST2400MM0129</v>
          </cell>
          <cell r="E18503" t="str">
            <v>WBM61R7V</v>
          </cell>
        </row>
        <row r="18504">
          <cell r="D18504" t="str">
            <v>HDD-2A2400-ST2400MM0129</v>
          </cell>
          <cell r="E18504" t="str">
            <v>WBM61SC7</v>
          </cell>
        </row>
        <row r="18505">
          <cell r="D18505" t="str">
            <v>HDD-2A2400-ST2400MM0129</v>
          </cell>
          <cell r="E18505" t="str">
            <v>WBM61S2N</v>
          </cell>
        </row>
        <row r="18506">
          <cell r="D18506" t="str">
            <v>HDD-2A2400-ST2400MM0129</v>
          </cell>
          <cell r="E18506" t="str">
            <v>WBM61RBK</v>
          </cell>
        </row>
        <row r="18507">
          <cell r="D18507" t="str">
            <v>HDD-2A2400-ST2400MM0129</v>
          </cell>
          <cell r="E18507" t="str">
            <v>WBM61R7F</v>
          </cell>
        </row>
        <row r="18508">
          <cell r="D18508" t="str">
            <v>RSC-RR1U-E16</v>
          </cell>
          <cell r="E18508" t="str">
            <v>VR219S015441</v>
          </cell>
        </row>
        <row r="18509">
          <cell r="D18509" t="str">
            <v>HDS-I2T0-SSDSC2KB019T8</v>
          </cell>
          <cell r="E18509" t="str">
            <v>BTYF211404DH1P9DGN</v>
          </cell>
        </row>
        <row r="18510">
          <cell r="D18510" t="str">
            <v>HDS-I2T0-SSDSC2KB019T8</v>
          </cell>
          <cell r="E18510" t="str">
            <v>BTYF2114048Y1P9DGN</v>
          </cell>
        </row>
        <row r="18511">
          <cell r="D18511" t="str">
            <v>HDS-I2T0-SSDSC2KB019T8</v>
          </cell>
          <cell r="E18511" t="str">
            <v>BTYF211404451P9DGN</v>
          </cell>
        </row>
        <row r="18512">
          <cell r="D18512" t="str">
            <v>HDS-I2T0-SSDSC2KB019T8</v>
          </cell>
          <cell r="E18512" t="str">
            <v>PHYF952501E21P9DGN</v>
          </cell>
        </row>
        <row r="18513">
          <cell r="D18513" t="str">
            <v>HDS-I2T0-SSDSC2KB019T8</v>
          </cell>
          <cell r="E18513" t="str">
            <v>BTYF2114042T1P9DGN</v>
          </cell>
        </row>
        <row r="18514">
          <cell r="D18514" t="str">
            <v>HDS-I2T0-SSDSC2KB019T8</v>
          </cell>
          <cell r="E18514" t="str">
            <v>BTYF211405E81P9DGN</v>
          </cell>
        </row>
        <row r="18515">
          <cell r="D18515" t="str">
            <v>HDS-I2T0-SSDSC2KB019T8</v>
          </cell>
          <cell r="E18515" t="str">
            <v>PHYF952504HD1P9DGN</v>
          </cell>
        </row>
        <row r="18516">
          <cell r="D18516" t="str">
            <v>HDS-I2T0-SSDSC2KB019T8</v>
          </cell>
          <cell r="E18516" t="str">
            <v>PHYF952500QZ1P9DGN</v>
          </cell>
        </row>
        <row r="18517">
          <cell r="D18517" t="str">
            <v>BX80684E2224G</v>
          </cell>
          <cell r="E18517" t="str">
            <v>U2M0603J00997</v>
          </cell>
        </row>
        <row r="18518">
          <cell r="D18518" t="str">
            <v>Xeon E-2246G</v>
          </cell>
          <cell r="E18518" t="str">
            <v xml:space="preserve">X225K132  02405 </v>
          </cell>
          <cell r="K18518" t="str">
            <v>SO/2022/006215/A 3z10</v>
          </cell>
        </row>
        <row r="18519">
          <cell r="D18519" t="str">
            <v>Xeon E-2246G</v>
          </cell>
          <cell r="E18519" t="str">
            <v>X225K132  01978</v>
          </cell>
          <cell r="K18519" t="str">
            <v>SO/2022/006215/A 4z10</v>
          </cell>
        </row>
        <row r="18520">
          <cell r="D18520" t="str">
            <v>Xeon E-2246G</v>
          </cell>
          <cell r="E18520" t="str">
            <v>X225K132  00450</v>
          </cell>
          <cell r="K18520" t="str">
            <v>SO/2022/006215/A 5z10</v>
          </cell>
        </row>
        <row r="18521">
          <cell r="D18521" t="str">
            <v>Xeon E-2246G</v>
          </cell>
          <cell r="E18521" t="str">
            <v>X225K132  00739</v>
          </cell>
          <cell r="K18521" t="str">
            <v>SO/2022/006215/A 6z10</v>
          </cell>
        </row>
        <row r="18522">
          <cell r="D18522" t="str">
            <v>Xeon E-2246G</v>
          </cell>
          <cell r="E18522" t="str">
            <v>X225K132  01845</v>
          </cell>
          <cell r="K18522" t="str">
            <v>SO/2022/006215/A 2z10</v>
          </cell>
        </row>
        <row r="18523">
          <cell r="D18523" t="str">
            <v>Xeon E-2246G</v>
          </cell>
          <cell r="E18523" t="str">
            <v>X225K132  01846</v>
          </cell>
          <cell r="K18523" t="str">
            <v>SO/2022/006215/A 1z10</v>
          </cell>
        </row>
        <row r="18524">
          <cell r="D18524" t="str">
            <v>Xeon E-2246G</v>
          </cell>
          <cell r="E18524" t="str">
            <v>X225K132  00055</v>
          </cell>
          <cell r="K18524" t="str">
            <v>SO/2022/006215/A 7z10</v>
          </cell>
        </row>
        <row r="18525">
          <cell r="D18525" t="str">
            <v>Xeon E-2246G</v>
          </cell>
          <cell r="E18525" t="str">
            <v>X225K132  02003</v>
          </cell>
          <cell r="K18525" t="str">
            <v>SO/2022/006215/A 8z10</v>
          </cell>
        </row>
        <row r="18526">
          <cell r="D18526" t="str">
            <v>Xeon E-2246G</v>
          </cell>
          <cell r="E18526" t="str">
            <v>X225K132 01706</v>
          </cell>
          <cell r="K18526" t="str">
            <v>SO/2022/006215/A 9z10</v>
          </cell>
        </row>
        <row r="18527">
          <cell r="D18527" t="str">
            <v>Xeon E-2246G</v>
          </cell>
          <cell r="E18527" t="str">
            <v>X225K132 02203</v>
          </cell>
          <cell r="K18527" t="str">
            <v>SO/2022/006215/A 10z10</v>
          </cell>
        </row>
        <row r="18528">
          <cell r="D18528" t="str">
            <v>MZ7L3480HCHQ-00A07</v>
          </cell>
          <cell r="E18528" t="str">
            <v>S664NE0RC25576</v>
          </cell>
          <cell r="K18528" t="str">
            <v>A345069X2721216</v>
          </cell>
        </row>
        <row r="18529">
          <cell r="D18529" t="str">
            <v>MZ7L3480HCHQ-00A07</v>
          </cell>
          <cell r="E18529" t="str">
            <v>S664NE0RC25579</v>
          </cell>
          <cell r="K18529" t="str">
            <v>A345069X2721206</v>
          </cell>
        </row>
        <row r="18530">
          <cell r="D18530" t="str">
            <v>MZ7L3480HCHQ-00A07</v>
          </cell>
          <cell r="E18530" t="str">
            <v>S664NE0RC25580</v>
          </cell>
          <cell r="K18530" t="str">
            <v>A345069X2721199</v>
          </cell>
        </row>
        <row r="18531">
          <cell r="D18531" t="str">
            <v>MZ7L3480HCHQ-00A07</v>
          </cell>
          <cell r="E18531" t="str">
            <v>S664NE0RC25586</v>
          </cell>
          <cell r="K18531" t="str">
            <v>A345069X2721218</v>
          </cell>
        </row>
        <row r="18532">
          <cell r="D18532" t="str">
            <v>MZ7L3480HCHQ-00A07</v>
          </cell>
          <cell r="E18532" t="str">
            <v>S664NE0RC25590</v>
          </cell>
          <cell r="K18532" t="str">
            <v>A345069X2721215</v>
          </cell>
        </row>
        <row r="18533">
          <cell r="D18533" t="str">
            <v>MZ7L3480HCHQ-00A07</v>
          </cell>
          <cell r="E18533" t="str">
            <v>S664NE0RC25577</v>
          </cell>
          <cell r="K18533" t="str">
            <v>A345069X2721192</v>
          </cell>
        </row>
        <row r="18534">
          <cell r="D18534" t="str">
            <v>MZ7L3480HCHQ-00A07</v>
          </cell>
          <cell r="E18534" t="str">
            <v>S664NE0RC25854</v>
          </cell>
          <cell r="K18534" t="str">
            <v>A345069X2721196</v>
          </cell>
        </row>
        <row r="18535">
          <cell r="D18535" t="str">
            <v>MZ7L3480HCHQ-00A07</v>
          </cell>
          <cell r="E18535" t="str">
            <v>S664NE0RC25845</v>
          </cell>
          <cell r="K18535" t="str">
            <v>A345069X2721177</v>
          </cell>
        </row>
        <row r="18536">
          <cell r="D18536" t="str">
            <v>MZ7L3480HCHQ-00A07</v>
          </cell>
          <cell r="E18536" t="str">
            <v>S664NE0RC25848</v>
          </cell>
          <cell r="K18536" t="str">
            <v>A345069X2721190</v>
          </cell>
        </row>
        <row r="18537">
          <cell r="D18537" t="str">
            <v>MZ7L3480HCHQ-00A07</v>
          </cell>
          <cell r="E18537" t="str">
            <v>S664NE0RC25855</v>
          </cell>
          <cell r="K18537" t="str">
            <v>A345069X2721189</v>
          </cell>
        </row>
        <row r="18538">
          <cell r="D18538" t="str">
            <v>MZ7L3480HCHQ-00A07</v>
          </cell>
          <cell r="E18538" t="str">
            <v>S664NE0RC25859</v>
          </cell>
          <cell r="K18538" t="str">
            <v>A345069X2721212</v>
          </cell>
        </row>
        <row r="18539">
          <cell r="D18539" t="str">
            <v>MZ7L3480HCHQ-00A07</v>
          </cell>
          <cell r="E18539" t="str">
            <v>S664NE0RC25846</v>
          </cell>
          <cell r="K18539" t="str">
            <v>A345069X2721194</v>
          </cell>
        </row>
        <row r="18540">
          <cell r="D18540" t="str">
            <v>MZ7L3480HCHQ-00A07</v>
          </cell>
          <cell r="E18540" t="str">
            <v>S664NE0RC25593</v>
          </cell>
          <cell r="K18540" t="str">
            <v>A345069X2721202</v>
          </cell>
        </row>
        <row r="18541">
          <cell r="D18541" t="str">
            <v>MZ7L3480HCHQ-00A07</v>
          </cell>
          <cell r="E18541" t="str">
            <v>S664NE0RC25583</v>
          </cell>
          <cell r="K18541" t="str">
            <v>A345069X2721176</v>
          </cell>
        </row>
        <row r="18542">
          <cell r="D18542" t="str">
            <v>MZ7L3480HCHQ-00A07</v>
          </cell>
          <cell r="E18542" t="str">
            <v>S664NE0RC25585</v>
          </cell>
          <cell r="K18542" t="str">
            <v>A345069X2721201</v>
          </cell>
        </row>
        <row r="18543">
          <cell r="D18543" t="str">
            <v>MZ7L3480HCHQ-00A07</v>
          </cell>
          <cell r="E18543" t="str">
            <v>S664NE0RC25596</v>
          </cell>
          <cell r="K18543" t="str">
            <v>A345069X2721205</v>
          </cell>
        </row>
        <row r="18544">
          <cell r="D18544" t="str">
            <v>MZ7L3480HCHQ-00A07</v>
          </cell>
          <cell r="E18544" t="str">
            <v>S664NE0RC25599</v>
          </cell>
          <cell r="K18544" t="str">
            <v>A345069X2721210</v>
          </cell>
        </row>
        <row r="18545">
          <cell r="D18545" t="str">
            <v>MZ7L3480HCHQ-00A07</v>
          </cell>
          <cell r="E18545" t="str">
            <v>S664NE0RC25594</v>
          </cell>
          <cell r="K18545" t="str">
            <v>A345069X2721208</v>
          </cell>
        </row>
        <row r="18546">
          <cell r="D18546" t="str">
            <v>MZ7L3480HCHQ-00A07</v>
          </cell>
          <cell r="E18546" t="str">
            <v>S664NE0RC26182</v>
          </cell>
        </row>
        <row r="18547">
          <cell r="D18547" t="str">
            <v>MZ7L3480HCHQ-00A07</v>
          </cell>
          <cell r="E18547" t="str">
            <v>S664NE0RC25837</v>
          </cell>
        </row>
        <row r="18548">
          <cell r="D18548" t="str">
            <v>0B36040</v>
          </cell>
          <cell r="E18548" t="str">
            <v>V3GPZ8NF</v>
          </cell>
        </row>
        <row r="18549">
          <cell r="D18549" t="str">
            <v>0B36040</v>
          </cell>
          <cell r="E18549" t="str">
            <v>V3GR380F</v>
          </cell>
        </row>
        <row r="18550">
          <cell r="D18550" t="str">
            <v>MegaRaid 9361-8i   05-25420-08</v>
          </cell>
          <cell r="E18550" t="str">
            <v>SKC1267020</v>
          </cell>
        </row>
        <row r="18551">
          <cell r="D18551" t="str">
            <v>MegaRaid 9361-8i   05-25420-08</v>
          </cell>
          <cell r="E18551" t="str">
            <v>SKC1275066</v>
          </cell>
        </row>
        <row r="18552">
          <cell r="D18552" t="str">
            <v>MegaRaid 9361-8i   05-25420-08</v>
          </cell>
          <cell r="E18552" t="str">
            <v>SKC1294054</v>
          </cell>
        </row>
        <row r="18553">
          <cell r="D18553" t="str">
            <v>MegaRaid 9361-8i   05-25420-08</v>
          </cell>
          <cell r="E18553" t="str">
            <v>SKC1294050</v>
          </cell>
          <cell r="K18553" t="str">
            <v>C1130LK43P90206</v>
          </cell>
        </row>
        <row r="18554">
          <cell r="D18554" t="str">
            <v>MegaRaid 9361-8i   05-25420-08</v>
          </cell>
          <cell r="E18554" t="str">
            <v>SKC1294600</v>
          </cell>
          <cell r="K18554" t="str">
            <v>C1130LK43P90208</v>
          </cell>
        </row>
        <row r="18555">
          <cell r="D18555" t="str">
            <v>MegaRaid 9361-8i   05-25420-08</v>
          </cell>
          <cell r="E18555" t="str">
            <v>SKC1294081</v>
          </cell>
        </row>
        <row r="18556">
          <cell r="D18556" t="str">
            <v>MegaRaid 9361-8i   05-25420-08</v>
          </cell>
          <cell r="E18556" t="str">
            <v>SKC1294057</v>
          </cell>
        </row>
        <row r="18557">
          <cell r="D18557" t="str">
            <v>MegaRaid 9361-8i   05-25420-08</v>
          </cell>
          <cell r="E18557" t="str">
            <v>SKC1274267</v>
          </cell>
        </row>
        <row r="18558">
          <cell r="D18558" t="str">
            <v>Liteon iHAS122-14</v>
          </cell>
          <cell r="E18558" t="str">
            <v>3743522551 2H8207500220</v>
          </cell>
          <cell r="K18558" t="str">
            <v>C7430FK37P00339</v>
          </cell>
        </row>
        <row r="18559">
          <cell r="D18559" t="str">
            <v>Liteon iHAS122-14</v>
          </cell>
          <cell r="E18559" t="str">
            <v>3743522551 2H8207500210</v>
          </cell>
          <cell r="K18559" t="str">
            <v>C7450FL18P50355</v>
          </cell>
        </row>
        <row r="18560">
          <cell r="D18560" t="str">
            <v>CD8069504449200  Xeon Silver 4215R</v>
          </cell>
          <cell r="E18560" t="str">
            <v>3219G194</v>
          </cell>
        </row>
        <row r="18561">
          <cell r="D18561" t="str">
            <v>CD8069504449200  Xeon Silver 4215R</v>
          </cell>
          <cell r="E18561" t="str">
            <v>3219G194</v>
          </cell>
        </row>
        <row r="18562">
          <cell r="D18562" t="str">
            <v>CD8069504449200  Xeon Silver 4215R</v>
          </cell>
          <cell r="E18562" t="str">
            <v>3219G194</v>
          </cell>
        </row>
        <row r="18563">
          <cell r="D18563" t="str">
            <v>CD8069504449200  Xeon Silver 4215R</v>
          </cell>
          <cell r="E18563" t="str">
            <v>3219G194</v>
          </cell>
        </row>
        <row r="18564">
          <cell r="D18564" t="str">
            <v>CD8069504449200  Xeon Silver 4215R</v>
          </cell>
          <cell r="E18564" t="str">
            <v>3219G194</v>
          </cell>
        </row>
        <row r="18565">
          <cell r="D18565" t="str">
            <v>CD8069504449200  Xeon Silver 4215R</v>
          </cell>
          <cell r="E18565" t="str">
            <v>3217F881</v>
          </cell>
        </row>
        <row r="18566">
          <cell r="D18566" t="str">
            <v>CD8069504449200  Xeon Silver 4215R</v>
          </cell>
          <cell r="E18566" t="str">
            <v>3217F881</v>
          </cell>
        </row>
        <row r="18567">
          <cell r="D18567" t="str">
            <v>CD8069504449200  Xeon Silver 4215R</v>
          </cell>
          <cell r="E18567" t="str">
            <v>3217F881</v>
          </cell>
        </row>
        <row r="18568">
          <cell r="D18568" t="str">
            <v>CD8069504449200  Xeon Silver 4215R</v>
          </cell>
          <cell r="E18568" t="str">
            <v>3217F881</v>
          </cell>
        </row>
        <row r="18569">
          <cell r="D18569" t="str">
            <v>CD8069504449200  Xeon Silver 4215R</v>
          </cell>
          <cell r="E18569" t="str">
            <v>3217F881</v>
          </cell>
        </row>
        <row r="18570">
          <cell r="D18570" t="str">
            <v>CD8069504449200  Xeon Silver 4215R</v>
          </cell>
          <cell r="E18570" t="str">
            <v>3222G110</v>
          </cell>
        </row>
        <row r="18571">
          <cell r="D18571" t="str">
            <v>CD8069504449200  Xeon Silver 4215R</v>
          </cell>
          <cell r="E18571" t="str">
            <v>3217F881</v>
          </cell>
        </row>
        <row r="18572">
          <cell r="D18572" t="str">
            <v>CD8069504449200  Xeon Silver 4215R</v>
          </cell>
          <cell r="E18572" t="str">
            <v>3217F881</v>
          </cell>
        </row>
        <row r="18573">
          <cell r="D18573" t="str">
            <v>CD8069504449200  Xeon Silver 4215R</v>
          </cell>
          <cell r="E18573" t="str">
            <v>3217F881</v>
          </cell>
        </row>
        <row r="18574">
          <cell r="D18574" t="str">
            <v>CD8069504449200  Xeon Silver 4215R</v>
          </cell>
          <cell r="E18574" t="str">
            <v>3217F881</v>
          </cell>
        </row>
        <row r="18575">
          <cell r="D18575" t="str">
            <v>CD8069504449200  Xeon Silver 4215R</v>
          </cell>
          <cell r="E18575" t="str">
            <v>3217F881</v>
          </cell>
        </row>
        <row r="18576">
          <cell r="D18576" t="str">
            <v>CD8069504449200  Xeon Silver 4215R</v>
          </cell>
          <cell r="E18576" t="str">
            <v>3217F881</v>
          </cell>
        </row>
        <row r="18577">
          <cell r="D18577" t="str">
            <v>CD8069504449200  Xeon Silver 4215R</v>
          </cell>
          <cell r="E18577" t="str">
            <v>3217F881</v>
          </cell>
        </row>
        <row r="18578">
          <cell r="D18578" t="str">
            <v>CD8069504449200  Xeon Silver 4215R</v>
          </cell>
          <cell r="E18578" t="str">
            <v>3217F881</v>
          </cell>
        </row>
        <row r="18579">
          <cell r="D18579" t="str">
            <v>CD8069504449200  Xeon Silver 4215R</v>
          </cell>
          <cell r="E18579" t="str">
            <v>3217F881</v>
          </cell>
        </row>
        <row r="18580">
          <cell r="D18580" t="str">
            <v>CD8069504449200  Xeon Silver 4215R</v>
          </cell>
          <cell r="E18580" t="str">
            <v>3217F881</v>
          </cell>
        </row>
        <row r="18581">
          <cell r="D18581" t="str">
            <v>CD8069504449200  Xeon Silver 4215R</v>
          </cell>
          <cell r="E18581" t="str">
            <v>3217F881</v>
          </cell>
        </row>
        <row r="18582">
          <cell r="D18582" t="str">
            <v>CD8069504449200  Xeon Silver 4215R</v>
          </cell>
          <cell r="E18582" t="str">
            <v>3217F881</v>
          </cell>
        </row>
        <row r="18583">
          <cell r="D18583" t="str">
            <v>CD8069504449200  Xeon Silver 4215R</v>
          </cell>
          <cell r="E18583" t="str">
            <v>3217F881</v>
          </cell>
        </row>
        <row r="18584">
          <cell r="D18584" t="str">
            <v>CD8069504449200  Xeon Silver 4215R</v>
          </cell>
          <cell r="E18584" t="str">
            <v>3217F881</v>
          </cell>
        </row>
        <row r="18585">
          <cell r="D18585" t="str">
            <v>CD8069504449200  Xeon Silver 4215R</v>
          </cell>
          <cell r="E18585" t="str">
            <v>3217F881</v>
          </cell>
        </row>
        <row r="18586">
          <cell r="D18586" t="str">
            <v>CD8069504449200  Xeon Silver 4215R</v>
          </cell>
          <cell r="E18586" t="str">
            <v>3217F881</v>
          </cell>
        </row>
        <row r="18587">
          <cell r="D18587" t="str">
            <v>CD8069504449200  Xeon Silver 4215R</v>
          </cell>
          <cell r="E18587" t="str">
            <v>3217F881</v>
          </cell>
        </row>
        <row r="18588">
          <cell r="D18588" t="str">
            <v>CD8069504449200  Xeon Silver 4215R</v>
          </cell>
          <cell r="E18588" t="str">
            <v>3217F881</v>
          </cell>
        </row>
        <row r="18589">
          <cell r="D18589" t="str">
            <v>CD8069504449200  Xeon Silver 4215R</v>
          </cell>
          <cell r="E18589" t="str">
            <v>3217F881</v>
          </cell>
        </row>
        <row r="18590">
          <cell r="D18590" t="str">
            <v>CD8069504449200  Xeon Silver 4215R</v>
          </cell>
          <cell r="E18590" t="str">
            <v>3217F881</v>
          </cell>
        </row>
        <row r="18591">
          <cell r="D18591" t="str">
            <v>CD8069504449200  Xeon Silver 4215R</v>
          </cell>
          <cell r="E18591" t="str">
            <v>3219G071</v>
          </cell>
        </row>
        <row r="18592">
          <cell r="D18592" t="str">
            <v>CD8069504449200  Xeon Silver 4215R</v>
          </cell>
          <cell r="E18592" t="str">
            <v>3219G071</v>
          </cell>
        </row>
        <row r="18593">
          <cell r="D18593" t="str">
            <v>CD8069504449200  Xeon Silver 4215R</v>
          </cell>
          <cell r="E18593" t="str">
            <v>3219G071</v>
          </cell>
        </row>
        <row r="18594">
          <cell r="D18594" t="str">
            <v>CD8069504449200  Xeon Silver 4215R</v>
          </cell>
          <cell r="E18594" t="str">
            <v>3219G071</v>
          </cell>
        </row>
        <row r="18595">
          <cell r="D18595" t="str">
            <v>CD8069504449200  Xeon Silver 4215R</v>
          </cell>
          <cell r="E18595" t="str">
            <v>3219G071</v>
          </cell>
        </row>
        <row r="18596">
          <cell r="D18596" t="str">
            <v>CD8069504449200  Xeon Silver 4215R</v>
          </cell>
          <cell r="E18596" t="str">
            <v>3219G071</v>
          </cell>
        </row>
        <row r="18597">
          <cell r="D18597" t="str">
            <v>CD8069504449200  Xeon Silver 4215R</v>
          </cell>
          <cell r="E18597" t="str">
            <v>3219G071</v>
          </cell>
        </row>
        <row r="18598">
          <cell r="D18598" t="str">
            <v>CD8069504449200  Xeon Silver 4215R</v>
          </cell>
          <cell r="E18598" t="str">
            <v>3219G071</v>
          </cell>
        </row>
        <row r="18599">
          <cell r="D18599" t="str">
            <v>CD8069504449200  Xeon Silver 4215R</v>
          </cell>
          <cell r="E18599" t="str">
            <v>3219G071</v>
          </cell>
        </row>
        <row r="18600">
          <cell r="D18600" t="str">
            <v>CD8069504449200  Xeon Silver 4215R</v>
          </cell>
          <cell r="E18600" t="str">
            <v>3219G071</v>
          </cell>
        </row>
        <row r="18601">
          <cell r="D18601" t="str">
            <v>CD8069504449200  Xeon Silver 4215R</v>
          </cell>
          <cell r="E18601" t="str">
            <v>3219G071</v>
          </cell>
        </row>
        <row r="18602">
          <cell r="D18602" t="str">
            <v>CD8069504449200  Xeon Silver 4215R</v>
          </cell>
          <cell r="E18602" t="str">
            <v>3219G071</v>
          </cell>
        </row>
        <row r="18603">
          <cell r="D18603" t="str">
            <v>CD8069504449200  Xeon Silver 4215R</v>
          </cell>
          <cell r="E18603" t="str">
            <v>3219G071</v>
          </cell>
        </row>
        <row r="18604">
          <cell r="D18604" t="str">
            <v>CD8069504449200  Xeon Silver 4215R</v>
          </cell>
          <cell r="E18604" t="str">
            <v>3221B810</v>
          </cell>
        </row>
        <row r="18605">
          <cell r="D18605" t="str">
            <v>CD8069504449200  Xeon Silver 4215R</v>
          </cell>
          <cell r="E18605" t="str">
            <v>3221B810</v>
          </cell>
        </row>
        <row r="18606">
          <cell r="D18606" t="str">
            <v>CD8069504449200  Xeon Silver 4215R</v>
          </cell>
          <cell r="E18606" t="str">
            <v>3221B810</v>
          </cell>
        </row>
        <row r="18607">
          <cell r="D18607" t="str">
            <v>CD8069504449200  Xeon Silver 4215R</v>
          </cell>
          <cell r="E18607" t="str">
            <v>3221B810</v>
          </cell>
        </row>
        <row r="18608">
          <cell r="D18608" t="str">
            <v>CD8069504449200  Xeon Silver 4215R</v>
          </cell>
          <cell r="E18608" t="str">
            <v>3221B810</v>
          </cell>
        </row>
        <row r="18609">
          <cell r="D18609" t="str">
            <v>LSI00418/LSICVM02  05-25444-00</v>
          </cell>
          <cell r="E18609" t="str">
            <v>SKC0103937</v>
          </cell>
        </row>
        <row r="18610">
          <cell r="D18610" t="str">
            <v>LSI00418/LSICVM02  05-25444-00</v>
          </cell>
          <cell r="E18610" t="str">
            <v>SKC0103934</v>
          </cell>
        </row>
        <row r="18611">
          <cell r="D18611" t="str">
            <v>LSI00418/LSICVM02  05-25444-00</v>
          </cell>
          <cell r="E18611" t="str">
            <v>SKC0103996</v>
          </cell>
        </row>
        <row r="18612">
          <cell r="D18612" t="str">
            <v>LSI00418/LSICVM02  05-25444-00</v>
          </cell>
          <cell r="E18612" t="str">
            <v>SKC0104007</v>
          </cell>
        </row>
        <row r="18613">
          <cell r="D18613" t="str">
            <v>LSI00418/LSICVM02  05-25444-00</v>
          </cell>
          <cell r="E18613" t="str">
            <v>SKC0103935</v>
          </cell>
        </row>
        <row r="18614">
          <cell r="D18614" t="str">
            <v>LSI00418/LSICVM02  05-25444-00</v>
          </cell>
          <cell r="E18614" t="str">
            <v>SKC0103994</v>
          </cell>
        </row>
        <row r="18615">
          <cell r="D18615" t="str">
            <v>LSI00418/LSICVM02  05-25444-00</v>
          </cell>
          <cell r="E18615" t="str">
            <v>SKC0104130</v>
          </cell>
        </row>
        <row r="18616">
          <cell r="D18616" t="str">
            <v>AOC-SGP-I2</v>
          </cell>
          <cell r="E18616" t="str">
            <v>VA21CS042803</v>
          </cell>
        </row>
        <row r="18617">
          <cell r="D18617" t="str">
            <v>AOC-SGP-I2</v>
          </cell>
          <cell r="E18617" t="str">
            <v>VA21BS000785</v>
          </cell>
        </row>
        <row r="18618">
          <cell r="D18618" t="str">
            <v xml:space="preserve">M393A1K43DB2-CWE </v>
          </cell>
          <cell r="E18618" t="str">
            <v>K12P00022615839B4E</v>
          </cell>
          <cell r="K18618" t="str">
            <v>C7450FL18P50355</v>
          </cell>
        </row>
        <row r="18619">
          <cell r="D18619" t="str">
            <v xml:space="preserve">M393A1K43DB2-CWE </v>
          </cell>
          <cell r="E18619" t="str">
            <v>K12P00022615839B20</v>
          </cell>
          <cell r="K18619" t="str">
            <v>C7450FL18P50355</v>
          </cell>
        </row>
        <row r="18620">
          <cell r="D18620" t="str">
            <v xml:space="preserve">M393A1K43DB2-CWE </v>
          </cell>
          <cell r="E18620" t="str">
            <v>K12P0002261583CE5A</v>
          </cell>
          <cell r="K18620" t="str">
            <v>C7430FK37P00339</v>
          </cell>
        </row>
        <row r="18621">
          <cell r="D18621" t="str">
            <v xml:space="preserve">M393A1K43DB2-CWE </v>
          </cell>
          <cell r="E18621" t="str">
            <v>K12P00022615839B53</v>
          </cell>
          <cell r="K18621" t="str">
            <v>C7430FK37P00339</v>
          </cell>
        </row>
        <row r="18622">
          <cell r="D18622" t="str">
            <v>SSDSC2KB960G801</v>
          </cell>
          <cell r="E18622" t="str">
            <v>PHYF117002KV960CGN</v>
          </cell>
        </row>
        <row r="18623">
          <cell r="D18623" t="str">
            <v>SSDSC2KB960G801</v>
          </cell>
          <cell r="E18623" t="str">
            <v>PHYF1170040H960CGN</v>
          </cell>
        </row>
        <row r="18624">
          <cell r="D18624" t="str">
            <v>SSDSC2KB960G801</v>
          </cell>
          <cell r="E18624" t="str">
            <v>PHYF1170025E960CGN</v>
          </cell>
        </row>
        <row r="18625">
          <cell r="D18625" t="str">
            <v>SSDSC2KB960G801</v>
          </cell>
          <cell r="E18625" t="str">
            <v>PHYF1170025J960CGN</v>
          </cell>
        </row>
        <row r="18626">
          <cell r="D18626" t="str">
            <v>SSDSC2KB960G801</v>
          </cell>
          <cell r="E18626" t="str">
            <v>PHYF11700292960CGN</v>
          </cell>
        </row>
        <row r="18627">
          <cell r="D18627" t="str">
            <v>SSDSC2KB960G801</v>
          </cell>
          <cell r="E18627" t="str">
            <v>PHYF1170027V960CGN</v>
          </cell>
        </row>
        <row r="18628">
          <cell r="D18628" t="str">
            <v>SSDSC2KB960G801</v>
          </cell>
          <cell r="E18628" t="str">
            <v>PHYF1170025Z960CGN</v>
          </cell>
        </row>
        <row r="18629">
          <cell r="D18629" t="str">
            <v>SSDSC2KB960G801</v>
          </cell>
          <cell r="E18629" t="str">
            <v>PHYF1170026L960CGN</v>
          </cell>
        </row>
        <row r="18630">
          <cell r="D18630" t="str">
            <v>SSDSC2KB960G801</v>
          </cell>
          <cell r="E18630" t="str">
            <v>PHYF11700404960CGN</v>
          </cell>
        </row>
        <row r="18631">
          <cell r="D18631" t="str">
            <v>SSDSC2KB960G801</v>
          </cell>
          <cell r="E18631" t="str">
            <v>PHYF1170032D960CGN</v>
          </cell>
        </row>
        <row r="18632">
          <cell r="D18632" t="str">
            <v>MegaRaid 9560-16i  05-50077-00</v>
          </cell>
          <cell r="E18632" t="str">
            <v>SKC1626138</v>
          </cell>
        </row>
        <row r="18633">
          <cell r="D18633" t="str">
            <v>MegaRaid 9560-16i  05-50077-00</v>
          </cell>
          <cell r="E18633" t="str">
            <v>SKC1626194</v>
          </cell>
        </row>
        <row r="18634">
          <cell r="D18634" t="str">
            <v>MegaRaid 9560-16i  05-50077-00</v>
          </cell>
          <cell r="E18634" t="str">
            <v>SKC1614117</v>
          </cell>
        </row>
        <row r="18635">
          <cell r="D18635" t="str">
            <v>Xeon E-2246G</v>
          </cell>
          <cell r="E18635" t="str">
            <v>X1221K741  01554 U2VJ357701554</v>
          </cell>
        </row>
        <row r="18636">
          <cell r="D18636" t="str">
            <v>SSDSC2KG960G801</v>
          </cell>
          <cell r="E18636" t="str">
            <v>PHYG2042026N960CGN</v>
          </cell>
        </row>
        <row r="18637">
          <cell r="D18637" t="str">
            <v>SSDSC2KG960G801</v>
          </cell>
          <cell r="E18637" t="str">
            <v>PHYG20420278960CGN</v>
          </cell>
        </row>
        <row r="18638">
          <cell r="D18638" t="str">
            <v>SSDSC2KG960G801</v>
          </cell>
          <cell r="E18638" t="str">
            <v>PHYG204301EK960CGN</v>
          </cell>
        </row>
        <row r="18639">
          <cell r="D18639" t="str">
            <v>SSDSC2KG960G801</v>
          </cell>
          <cell r="E18639" t="str">
            <v>PHYG2042026Z960CGN</v>
          </cell>
        </row>
        <row r="18640">
          <cell r="D18640" t="str">
            <v>SSDSC2KG960G801</v>
          </cell>
          <cell r="E18640" t="str">
            <v>PHYG204301ET960CGN</v>
          </cell>
        </row>
        <row r="18641">
          <cell r="D18641" t="str">
            <v>SSDSC2KG960G801</v>
          </cell>
          <cell r="E18641" t="str">
            <v>PHYG204202BN960CGN</v>
          </cell>
        </row>
        <row r="18642">
          <cell r="D18642" t="str">
            <v>SSDSC2KG960G801</v>
          </cell>
          <cell r="E18642" t="str">
            <v>PHYG204202A6960CGN</v>
          </cell>
        </row>
        <row r="18643">
          <cell r="D18643" t="str">
            <v>X470D4U</v>
          </cell>
          <cell r="E18643" t="str">
            <v>F1S0XW010765</v>
          </cell>
        </row>
        <row r="18644">
          <cell r="D18644" t="str">
            <v>X470D4U</v>
          </cell>
          <cell r="E18644" t="str">
            <v>F1S0XW010766</v>
          </cell>
        </row>
        <row r="18645">
          <cell r="D18645" t="str">
            <v>MegaRaid 9460-8i  05-50011-02</v>
          </cell>
          <cell r="E18645" t="str">
            <v>SPB0939743</v>
          </cell>
        </row>
        <row r="18646">
          <cell r="D18646" t="str">
            <v>KSM32ED8/32ME</v>
          </cell>
          <cell r="E18646" t="str">
            <v>2228 0000009533166-T000261</v>
          </cell>
        </row>
        <row r="18647">
          <cell r="D18647" t="str">
            <v>KSM32ED8/32ME</v>
          </cell>
          <cell r="E18647" t="str">
            <v>2228 0000009528678-T000059</v>
          </cell>
        </row>
        <row r="18648">
          <cell r="D18648" t="str">
            <v>CSE-113AC2-706WB2</v>
          </cell>
          <cell r="E18648" t="str">
            <v>C1130LK43P90208</v>
          </cell>
          <cell r="K18648" t="str">
            <v>C1130LK43P90208</v>
          </cell>
        </row>
        <row r="18649">
          <cell r="D18649" t="str">
            <v>PWS-706P-1R</v>
          </cell>
          <cell r="E18649" t="str">
            <v>P7061VL40GB0463</v>
          </cell>
          <cell r="K18649" t="str">
            <v>C1130LK43P90208</v>
          </cell>
        </row>
        <row r="18650">
          <cell r="D18650" t="str">
            <v>PWS-706P-1R</v>
          </cell>
          <cell r="E18650" t="str">
            <v>P7061VL40GB0464</v>
          </cell>
          <cell r="K18650" t="str">
            <v>C1130LK43P90208</v>
          </cell>
        </row>
        <row r="18651">
          <cell r="D18651" t="str">
            <v>BPN-SAS3-113A-N2</v>
          </cell>
          <cell r="E18651" t="str">
            <v>PB216S000636</v>
          </cell>
          <cell r="K18651" t="str">
            <v>C1130LK43P90208</v>
          </cell>
        </row>
        <row r="18652">
          <cell r="D18652" t="str">
            <v>CSE-113AC2-706WB2</v>
          </cell>
          <cell r="E18652" t="str">
            <v>C1130LK43P90206</v>
          </cell>
          <cell r="K18652" t="str">
            <v>C1130LK43P90206</v>
          </cell>
        </row>
        <row r="18653">
          <cell r="D18653" t="str">
            <v>PWS-706P-1R</v>
          </cell>
          <cell r="E18653" t="str">
            <v>P7061VL40GB0462</v>
          </cell>
          <cell r="K18653" t="str">
            <v>C1130LK43P90206</v>
          </cell>
        </row>
        <row r="18654">
          <cell r="D18654" t="str">
            <v>PWS-706P-1R</v>
          </cell>
          <cell r="E18654" t="str">
            <v>P7061VL40GB0461</v>
          </cell>
          <cell r="K18654" t="str">
            <v>C1130LK43P90206</v>
          </cell>
        </row>
        <row r="18655">
          <cell r="D18655" t="str">
            <v>BPN-SAS3-113A-N2</v>
          </cell>
          <cell r="E18655" t="str">
            <v>PB216S000738</v>
          </cell>
          <cell r="K18655" t="str">
            <v>C1130LK43P90206</v>
          </cell>
        </row>
        <row r="18656">
          <cell r="D18656" t="str">
            <v>CSE-745BTQ-R920B</v>
          </cell>
          <cell r="E18656" t="str">
            <v>C7450FL18P50355</v>
          </cell>
          <cell r="K18656" t="str">
            <v>C7450FL18P50355</v>
          </cell>
        </row>
        <row r="18657">
          <cell r="D18657" t="str">
            <v>PWS-920P-SQ</v>
          </cell>
          <cell r="E18657" t="str">
            <v>P9212CM08UN0338</v>
          </cell>
          <cell r="K18657" t="str">
            <v>C7450FL18P50355</v>
          </cell>
        </row>
        <row r="18658">
          <cell r="D18658" t="str">
            <v>PWS-920P-SQ</v>
          </cell>
          <cell r="E18658" t="str">
            <v>P9212CM08UN0390</v>
          </cell>
          <cell r="K18658" t="str">
            <v>C7450FL18P50355</v>
          </cell>
        </row>
        <row r="18659">
          <cell r="D18659" t="str">
            <v>BPN-SAS743TQ</v>
          </cell>
          <cell r="E18659" t="str">
            <v>EB21AS008988</v>
          </cell>
          <cell r="K18659" t="str">
            <v>C7450FL18P50355</v>
          </cell>
        </row>
        <row r="18660">
          <cell r="D18660" t="str">
            <v>CSE-743AC-1K26B-SQ</v>
          </cell>
          <cell r="E18660" t="str">
            <v>C7430FK37P00339</v>
          </cell>
          <cell r="K18660" t="str">
            <v>C7430FK37P00339</v>
          </cell>
        </row>
        <row r="18661">
          <cell r="D18661" t="str">
            <v>PWS-1K26P-PQ</v>
          </cell>
          <cell r="E18661" t="str">
            <v>P1K26AL14AD1693</v>
          </cell>
          <cell r="K18661" t="str">
            <v>C7430FK37P00339</v>
          </cell>
        </row>
        <row r="18662">
          <cell r="D18662" t="str">
            <v>BPN-SAS3-743A</v>
          </cell>
          <cell r="E18662" t="str">
            <v>PB206S003653</v>
          </cell>
          <cell r="K18662" t="str">
            <v>C7430FK37P00339</v>
          </cell>
        </row>
        <row r="18663">
          <cell r="D18663" t="str">
            <v>AS-2124US-TNPR</v>
          </cell>
          <cell r="E18663" t="str">
            <v>E431267X2800773</v>
          </cell>
        </row>
        <row r="18664">
          <cell r="D18664" t="str">
            <v>CSE</v>
          </cell>
          <cell r="E18664" t="str">
            <v>C219UAK34P20073</v>
          </cell>
        </row>
        <row r="18665">
          <cell r="D18665" t="str">
            <v>PWS</v>
          </cell>
          <cell r="E18665" t="str">
            <v>P1K6BCM11KB1574</v>
          </cell>
        </row>
        <row r="18666">
          <cell r="D18666" t="str">
            <v>PWS</v>
          </cell>
          <cell r="E18666" t="str">
            <v>P1K6BCM11KB1575</v>
          </cell>
        </row>
        <row r="18667">
          <cell r="D18667" t="str">
            <v>BPN</v>
          </cell>
          <cell r="E18667" t="str">
            <v>HB224S039533</v>
          </cell>
        </row>
        <row r="18668">
          <cell r="D18668" t="str">
            <v>MBD</v>
          </cell>
          <cell r="E18668" t="str">
            <v>VM226S600743</v>
          </cell>
        </row>
        <row r="18669">
          <cell r="D18669" t="str">
            <v>RSC</v>
          </cell>
          <cell r="E18669" t="str">
            <v>UR21AS018945</v>
          </cell>
        </row>
        <row r="18670">
          <cell r="D18670" t="str">
            <v>RSC</v>
          </cell>
          <cell r="E18670" t="str">
            <v>ER21CS013585</v>
          </cell>
        </row>
        <row r="18671">
          <cell r="D18671" t="str">
            <v>AOC</v>
          </cell>
          <cell r="E18671" t="str">
            <v>UA224S013689</v>
          </cell>
        </row>
        <row r="18672">
          <cell r="D18672" t="str">
            <v>AOC</v>
          </cell>
          <cell r="E18672" t="str">
            <v>UA224S013688</v>
          </cell>
        </row>
        <row r="18673">
          <cell r="D18673" t="str">
            <v>AOC</v>
          </cell>
          <cell r="E18673" t="str">
            <v>UA224S010071</v>
          </cell>
        </row>
        <row r="18674">
          <cell r="D18674" t="str">
            <v>AOC</v>
          </cell>
          <cell r="E18674" t="str">
            <v>UA225S011961</v>
          </cell>
        </row>
        <row r="18675">
          <cell r="D18675" t="str">
            <v>AOC</v>
          </cell>
          <cell r="E18675" t="str">
            <v>UA225S011953</v>
          </cell>
        </row>
        <row r="18676">
          <cell r="D18676" t="str">
            <v>AOC</v>
          </cell>
          <cell r="E18676" t="str">
            <v>OA221S006539</v>
          </cell>
        </row>
        <row r="18677">
          <cell r="D18677" t="str">
            <v>CPU</v>
          </cell>
          <cell r="E18677" t="str">
            <v>9KI3457O20087</v>
          </cell>
        </row>
        <row r="18678">
          <cell r="D18678" t="str">
            <v>CPU</v>
          </cell>
          <cell r="E18678" t="str">
            <v>9KI3457O20008</v>
          </cell>
        </row>
        <row r="18679">
          <cell r="D18679" t="str">
            <v>MEM</v>
          </cell>
          <cell r="E18679" t="str">
            <v>S802C1A2215D014AA8C</v>
          </cell>
        </row>
        <row r="18680">
          <cell r="D18680" t="str">
            <v>MEM</v>
          </cell>
          <cell r="E18680" t="str">
            <v>S802C1A2215D014AA95</v>
          </cell>
        </row>
        <row r="18681">
          <cell r="D18681" t="str">
            <v>MEM</v>
          </cell>
          <cell r="E18681" t="str">
            <v>S802C1A2215D014AA98</v>
          </cell>
        </row>
        <row r="18682">
          <cell r="D18682" t="str">
            <v>MEM</v>
          </cell>
          <cell r="E18682" t="str">
            <v>S802C1A2215D014A7EC</v>
          </cell>
        </row>
        <row r="18683">
          <cell r="D18683" t="str">
            <v>MEM</v>
          </cell>
          <cell r="E18683" t="str">
            <v>S802C1A2215D014AA97</v>
          </cell>
        </row>
        <row r="18684">
          <cell r="D18684" t="str">
            <v>MEM</v>
          </cell>
          <cell r="E18684" t="str">
            <v>S802C1A2215D014A882</v>
          </cell>
        </row>
        <row r="18685">
          <cell r="D18685" t="str">
            <v>MEM</v>
          </cell>
          <cell r="E18685" t="str">
            <v>S802C1A2215D014A883</v>
          </cell>
        </row>
        <row r="18686">
          <cell r="D18686" t="str">
            <v>MEM</v>
          </cell>
          <cell r="E18686" t="str">
            <v>S802C1A2215D014A88D</v>
          </cell>
        </row>
        <row r="18687">
          <cell r="D18687" t="str">
            <v>MEM</v>
          </cell>
          <cell r="E18687" t="str">
            <v>S802C1A2214D0137378</v>
          </cell>
        </row>
        <row r="18688">
          <cell r="D18688" t="str">
            <v>MEM</v>
          </cell>
          <cell r="E18688" t="str">
            <v>S802C1A2214D0137394</v>
          </cell>
        </row>
        <row r="18689">
          <cell r="D18689" t="str">
            <v>MEM</v>
          </cell>
          <cell r="E18689" t="str">
            <v>S802C1A2215D014AA5B</v>
          </cell>
        </row>
        <row r="18690">
          <cell r="D18690" t="str">
            <v>MEM</v>
          </cell>
          <cell r="E18690" t="str">
            <v>S802C1A2215D014A881</v>
          </cell>
        </row>
        <row r="18691">
          <cell r="D18691" t="str">
            <v>MEM</v>
          </cell>
          <cell r="E18691" t="str">
            <v>S802C1A2215D014A830</v>
          </cell>
        </row>
        <row r="18692">
          <cell r="D18692" t="str">
            <v>MEM</v>
          </cell>
          <cell r="E18692" t="str">
            <v>S802C1A2215D014A884</v>
          </cell>
        </row>
        <row r="18693">
          <cell r="D18693" t="str">
            <v>MEM</v>
          </cell>
          <cell r="E18693" t="str">
            <v>S802C1A2215D014A88A</v>
          </cell>
        </row>
        <row r="18694">
          <cell r="D18694" t="str">
            <v>MEM</v>
          </cell>
          <cell r="E18694" t="str">
            <v>S802C1A2214D01373D0</v>
          </cell>
        </row>
        <row r="18695">
          <cell r="D18695" t="str">
            <v>HDS</v>
          </cell>
          <cell r="E18695" t="str">
            <v>32R0A00ET4T8</v>
          </cell>
        </row>
        <row r="18696">
          <cell r="D18696" t="str">
            <v>HDS</v>
          </cell>
          <cell r="E18696" t="str">
            <v>32R0A00HT4T8</v>
          </cell>
        </row>
        <row r="18697">
          <cell r="D18697" t="str">
            <v>HDS</v>
          </cell>
          <cell r="E18697" t="str">
            <v>32R0A00QT4T8</v>
          </cell>
        </row>
        <row r="18698">
          <cell r="D18698" t="str">
            <v>HDS</v>
          </cell>
          <cell r="E18698" t="str">
            <v>12F0A0Z6T4T8</v>
          </cell>
        </row>
        <row r="18699">
          <cell r="D18699" t="str">
            <v>HDS</v>
          </cell>
          <cell r="E18699" t="str">
            <v>32R0A007T4T8</v>
          </cell>
        </row>
        <row r="18700">
          <cell r="D18700" t="str">
            <v>HDS</v>
          </cell>
          <cell r="E18700" t="str">
            <v>1280A00FT4T8</v>
          </cell>
        </row>
        <row r="18701">
          <cell r="D18701" t="str">
            <v>HDS</v>
          </cell>
          <cell r="E18701" t="str">
            <v>32R0A01AT4T8</v>
          </cell>
        </row>
        <row r="18702">
          <cell r="D18702" t="str">
            <v>HDS</v>
          </cell>
          <cell r="E18702" t="str">
            <v>32R0A017T4T8</v>
          </cell>
        </row>
        <row r="18703">
          <cell r="D18703" t="str">
            <v>HDS</v>
          </cell>
          <cell r="E18703" t="str">
            <v>32R0A00FT4T8</v>
          </cell>
        </row>
        <row r="18704">
          <cell r="D18704" t="str">
            <v>HDS</v>
          </cell>
          <cell r="E18704" t="str">
            <v>32R0A00YT4T8</v>
          </cell>
        </row>
        <row r="18705">
          <cell r="D18705" t="str">
            <v>HDS</v>
          </cell>
          <cell r="E18705" t="str">
            <v>32R0A006T4T8</v>
          </cell>
        </row>
        <row r="18706">
          <cell r="D18706" t="str">
            <v>HDS</v>
          </cell>
          <cell r="E18706" t="str">
            <v>32R0A003T4T8</v>
          </cell>
        </row>
        <row r="18707">
          <cell r="D18707" t="str">
            <v>AOC</v>
          </cell>
          <cell r="E18707" t="str">
            <v>OA19BS048490</v>
          </cell>
        </row>
        <row r="18708">
          <cell r="D18708" t="str">
            <v>AOC</v>
          </cell>
          <cell r="E18708" t="str">
            <v>VA21BS022973</v>
          </cell>
        </row>
        <row r="18709">
          <cell r="D18709" t="str">
            <v>AS-1114CS-TNR</v>
          </cell>
          <cell r="E18709" t="str">
            <v>E452392X2701501</v>
          </cell>
        </row>
        <row r="18710">
          <cell r="D18710" t="str">
            <v>CSE</v>
          </cell>
          <cell r="E18710" t="str">
            <v>CLB16JK47A80082</v>
          </cell>
        </row>
        <row r="18711">
          <cell r="D18711" t="str">
            <v>PWS</v>
          </cell>
          <cell r="E18711" t="str">
            <v>P8602CM26YB2433</v>
          </cell>
        </row>
        <row r="18712">
          <cell r="D18712" t="str">
            <v>PWS</v>
          </cell>
          <cell r="E18712" t="str">
            <v>P8602CM26YB2434</v>
          </cell>
        </row>
        <row r="18713">
          <cell r="D18713" t="str">
            <v>BPN</v>
          </cell>
          <cell r="E18713" t="str">
            <v>HB226S008616</v>
          </cell>
        </row>
        <row r="18714">
          <cell r="D18714" t="str">
            <v>MBD</v>
          </cell>
          <cell r="E18714" t="str">
            <v>WM221S609052</v>
          </cell>
        </row>
        <row r="18715">
          <cell r="D18715" t="str">
            <v>RSC</v>
          </cell>
          <cell r="E18715" t="str">
            <v>ER223S002002</v>
          </cell>
        </row>
        <row r="18716">
          <cell r="D18716" t="str">
            <v>RSC</v>
          </cell>
          <cell r="E18716" t="str">
            <v>ER222S002528</v>
          </cell>
        </row>
        <row r="18717">
          <cell r="D18717" t="str">
            <v>CPU</v>
          </cell>
          <cell r="E18717" t="str">
            <v>9LK4295R20099</v>
          </cell>
        </row>
        <row r="18718">
          <cell r="D18718" t="str">
            <v>MEM</v>
          </cell>
          <cell r="E18718" t="str">
            <v>S802C06222238623E0A</v>
          </cell>
        </row>
        <row r="18719">
          <cell r="D18719" t="str">
            <v>MEM</v>
          </cell>
          <cell r="E18719" t="str">
            <v>S802C0622223862478A</v>
          </cell>
        </row>
        <row r="18720">
          <cell r="D18720" t="str">
            <v>MEM</v>
          </cell>
          <cell r="E18720" t="str">
            <v>S802C062222386241DB</v>
          </cell>
        </row>
        <row r="18721">
          <cell r="D18721" t="str">
            <v>MEM</v>
          </cell>
          <cell r="E18721" t="str">
            <v>S802C06222238623649</v>
          </cell>
        </row>
        <row r="18722">
          <cell r="D18722" t="str">
            <v>HDS</v>
          </cell>
          <cell r="E18722" t="str">
            <v>S64GNE0R600991</v>
          </cell>
        </row>
        <row r="18723">
          <cell r="D18723" t="str">
            <v>AOC</v>
          </cell>
          <cell r="E18723" t="str">
            <v>OA21CS060285</v>
          </cell>
        </row>
        <row r="18724">
          <cell r="D18724" t="str">
            <v>CSE-826BAC4-R920WB</v>
          </cell>
          <cell r="E18724" t="str">
            <v>C8260FL26PD0645</v>
          </cell>
        </row>
        <row r="18725">
          <cell r="D18725" t="str">
            <v>CSE-826BAC4-R920WB</v>
          </cell>
          <cell r="E18725" t="str">
            <v>C8260FL26PD0662</v>
          </cell>
        </row>
        <row r="18726">
          <cell r="D18726" t="str">
            <v>CSE-826BAC4-R920WB</v>
          </cell>
          <cell r="E18726" t="str">
            <v>C8260FL26PD0663</v>
          </cell>
        </row>
        <row r="18727">
          <cell r="D18727" t="str">
            <v>CSE-826BAC4-R920WB</v>
          </cell>
          <cell r="E18727" t="str">
            <v>C8260FL26PD0665</v>
          </cell>
        </row>
        <row r="18728">
          <cell r="D18728" t="str">
            <v>CSE-826BAC4-R920WB</v>
          </cell>
          <cell r="E18728" t="str">
            <v>C8260FL26PD0588</v>
          </cell>
        </row>
        <row r="18729">
          <cell r="D18729" t="str">
            <v>CSE-826BAC4-R920WB</v>
          </cell>
          <cell r="E18729" t="str">
            <v>C8260FL26PD0647</v>
          </cell>
        </row>
        <row r="18730">
          <cell r="D18730" t="str">
            <v>CSE-826BAC4-R920WB</v>
          </cell>
          <cell r="E18730" t="str">
            <v>C8260FL26PD0664</v>
          </cell>
        </row>
        <row r="18731">
          <cell r="D18731" t="str">
            <v>HDS-I2T0-SSDSC2KG480GZ</v>
          </cell>
          <cell r="E18731" t="str">
            <v>PHYJ1481032Z480AGN</v>
          </cell>
          <cell r="K18731" t="str">
            <v>C7450FL18P50355</v>
          </cell>
        </row>
        <row r="18732">
          <cell r="D18732" t="str">
            <v>HDS-I2T0-SSDSC2KG480GZ</v>
          </cell>
          <cell r="E18732" t="str">
            <v>PHYJ1481032R480AGN</v>
          </cell>
          <cell r="K18732" t="str">
            <v>C7430FK37P00339</v>
          </cell>
        </row>
        <row r="18733">
          <cell r="D18733" t="str">
            <v>HDS-I2T0-SSDSC2KG480GZ</v>
          </cell>
          <cell r="E18733" t="str">
            <v>PHYJ148103A1480AGN</v>
          </cell>
          <cell r="K18733" t="str">
            <v>C7450FL18P50355</v>
          </cell>
        </row>
        <row r="18734">
          <cell r="D18734" t="str">
            <v>MBD-X12SPL-F-O</v>
          </cell>
          <cell r="E18734" t="str">
            <v>ZM223S015311</v>
          </cell>
          <cell r="K18734" t="str">
            <v>C7430FK37P00339</v>
          </cell>
        </row>
        <row r="18735">
          <cell r="D18735" t="str">
            <v>MBD-X12SPL-F-O</v>
          </cell>
          <cell r="E18735" t="str">
            <v>ZM223S015399</v>
          </cell>
          <cell r="K18735" t="str">
            <v>C7450FL18P50355</v>
          </cell>
        </row>
        <row r="18736">
          <cell r="D18736" t="str">
            <v>RSC-R1UW-2E16</v>
          </cell>
          <cell r="E18736" t="str">
            <v>VR218S031323</v>
          </cell>
          <cell r="K18736" t="str">
            <v>C1130LK43P90208</v>
          </cell>
        </row>
        <row r="18737">
          <cell r="D18737" t="str">
            <v>RSC-R1UW-2E16</v>
          </cell>
          <cell r="E18737" t="str">
            <v>VR218S031321</v>
          </cell>
          <cell r="K18737" t="str">
            <v>C1130LK43P90206</v>
          </cell>
        </row>
        <row r="18738">
          <cell r="D18738" t="str">
            <v>RSC-R1UW-E8R</v>
          </cell>
          <cell r="E18738" t="str">
            <v>VR221S013568</v>
          </cell>
          <cell r="K18738" t="str">
            <v>C1130LK43P90208</v>
          </cell>
        </row>
        <row r="18739">
          <cell r="D18739" t="str">
            <v>RSC-R1UW-E8R</v>
          </cell>
          <cell r="E18739" t="str">
            <v>VR221S013567</v>
          </cell>
          <cell r="K18739" t="str">
            <v>C1130LK43P90206</v>
          </cell>
        </row>
        <row r="18740">
          <cell r="D18740" t="str">
            <v>AOC-SGP-I4</v>
          </cell>
          <cell r="E18740" t="str">
            <v>VA21AS037775</v>
          </cell>
          <cell r="K18740" t="str">
            <v>C1130LK43P90208</v>
          </cell>
        </row>
        <row r="18741">
          <cell r="D18741" t="str">
            <v>AOC-SGP-I4</v>
          </cell>
          <cell r="E18741" t="str">
            <v>VA21AS037139</v>
          </cell>
          <cell r="K18741" t="str">
            <v>C1130LK43P90206</v>
          </cell>
        </row>
        <row r="18742">
          <cell r="D18742" t="str">
            <v>MBD-X11DDW-L-O</v>
          </cell>
          <cell r="E18742" t="str">
            <v>NM217S001560</v>
          </cell>
          <cell r="K18742" t="str">
            <v>C1130LK43P90208</v>
          </cell>
        </row>
        <row r="18743">
          <cell r="D18743" t="str">
            <v>MBD-X11DDW-L-O</v>
          </cell>
          <cell r="E18743" t="str">
            <v>NM217S006332</v>
          </cell>
          <cell r="K18743" t="str">
            <v>C1130LK43P90206</v>
          </cell>
        </row>
        <row r="18744">
          <cell r="D18744" t="str">
            <v>HDD-2A600-ST600MM0099</v>
          </cell>
          <cell r="E18744" t="str">
            <v>WFJ5ZVPK</v>
          </cell>
        </row>
        <row r="18745">
          <cell r="D18745" t="str">
            <v>HDD-2A600-ST600MM0099</v>
          </cell>
          <cell r="E18745" t="str">
            <v>WFJ5ZVPG</v>
          </cell>
        </row>
        <row r="18746">
          <cell r="D18746" t="str">
            <v>HDS-TMN0-KXG60ZNV1T02</v>
          </cell>
          <cell r="E18746" t="str">
            <v>Y1QFC0C3FXV4</v>
          </cell>
        </row>
        <row r="18747">
          <cell r="D18747" t="str">
            <v>HDS-TMN0-KXG60ZNV1T02</v>
          </cell>
          <cell r="E18747" t="str">
            <v>Y1QFC042FXV4</v>
          </cell>
        </row>
        <row r="18748">
          <cell r="D18748" t="str">
            <v>X570D4U</v>
          </cell>
          <cell r="E18748" t="str">
            <v>F1S0XW006260</v>
          </cell>
        </row>
        <row r="18749">
          <cell r="D18749" t="str">
            <v>X570D4U</v>
          </cell>
          <cell r="E18749" t="str">
            <v>F1S0XW006259</v>
          </cell>
        </row>
        <row r="18750">
          <cell r="D18750" t="str">
            <v>X570D4U</v>
          </cell>
          <cell r="E18750" t="str">
            <v>F1S0XW006258</v>
          </cell>
        </row>
        <row r="18751">
          <cell r="D18751" t="str">
            <v>B550D4-4L</v>
          </cell>
          <cell r="E18751" t="str">
            <v>F3S0XW008500</v>
          </cell>
        </row>
        <row r="18752">
          <cell r="D18752" t="str">
            <v>X470D4U</v>
          </cell>
          <cell r="E18752" t="str">
            <v>F1S0XW010763</v>
          </cell>
        </row>
        <row r="18753">
          <cell r="D18753" t="str">
            <v>X470D4U</v>
          </cell>
          <cell r="E18753" t="str">
            <v>F1S0XW010764</v>
          </cell>
        </row>
        <row r="18754">
          <cell r="D18754" t="str">
            <v>Xeon E-2288G</v>
          </cell>
          <cell r="E18754" t="str">
            <v>X126G651 02504  U189E8W402504</v>
          </cell>
        </row>
        <row r="18755">
          <cell r="D18755" t="str">
            <v>Xeon E-2288G</v>
          </cell>
          <cell r="E18755" t="str">
            <v>X126G651 02230  U1YE142602230</v>
          </cell>
        </row>
        <row r="18756">
          <cell r="D18756" t="str">
            <v>Xeon E-2288G</v>
          </cell>
          <cell r="E18756" t="str">
            <v>X126G651 00242  U1T0C67200242</v>
          </cell>
        </row>
        <row r="18757">
          <cell r="D18757" t="str">
            <v xml:space="preserve">M393A4K40EB3-CWE </v>
          </cell>
          <cell r="E18757" t="str">
            <v>H0I6000220513E4E4D</v>
          </cell>
        </row>
        <row r="18758">
          <cell r="D18758" t="str">
            <v xml:space="preserve">M393A4K40EB3-CWE </v>
          </cell>
          <cell r="E18758" t="str">
            <v>H0I6000220513E389B</v>
          </cell>
        </row>
        <row r="18759">
          <cell r="D18759" t="str">
            <v xml:space="preserve">M393A4K40EB3-CWE </v>
          </cell>
          <cell r="E18759" t="str">
            <v>H0I6000220513E38D2</v>
          </cell>
        </row>
        <row r="18760">
          <cell r="D18760" t="str">
            <v xml:space="preserve">M393A4K40EB3-CWE </v>
          </cell>
          <cell r="E18760" t="str">
            <v>H0I6000220513E38D3</v>
          </cell>
        </row>
        <row r="18761">
          <cell r="D18761" t="str">
            <v xml:space="preserve">M393A4K40EB3-CWE </v>
          </cell>
          <cell r="E18761" t="str">
            <v>H0I6000220513E38CE</v>
          </cell>
        </row>
        <row r="18762">
          <cell r="D18762" t="str">
            <v xml:space="preserve">M393A4K40EB3-CWE </v>
          </cell>
          <cell r="E18762" t="str">
            <v>H0I6000220513E38CC</v>
          </cell>
        </row>
        <row r="18763">
          <cell r="D18763" t="str">
            <v xml:space="preserve">M393A4K40EB3-CWE </v>
          </cell>
          <cell r="E18763" t="str">
            <v>H0I6000220513E38D1</v>
          </cell>
        </row>
        <row r="18764">
          <cell r="D18764" t="str">
            <v xml:space="preserve">M393A4K40EB3-CWE </v>
          </cell>
          <cell r="E18764" t="str">
            <v>H0I6000220513E38A2</v>
          </cell>
        </row>
        <row r="18765">
          <cell r="D18765" t="str">
            <v xml:space="preserve">M393A4K40EB3-CWE </v>
          </cell>
          <cell r="E18765" t="str">
            <v>H0I6000220513E38E9</v>
          </cell>
        </row>
        <row r="18766">
          <cell r="D18766" t="str">
            <v xml:space="preserve">M393A4K40EB3-CWE </v>
          </cell>
          <cell r="E18766" t="str">
            <v>H0I6000220513E3918</v>
          </cell>
        </row>
        <row r="18767">
          <cell r="D18767" t="str">
            <v xml:space="preserve">M393A4K40EB3-CWE </v>
          </cell>
          <cell r="E18767" t="str">
            <v>H0I6000220513E38EA</v>
          </cell>
        </row>
        <row r="18768">
          <cell r="D18768" t="str">
            <v xml:space="preserve">M393A4K40EB3-CWE </v>
          </cell>
          <cell r="E18768" t="str">
            <v>H0I6000220513E38ED</v>
          </cell>
        </row>
        <row r="18769">
          <cell r="D18769" t="str">
            <v xml:space="preserve">M393A4K40EB3-CWE </v>
          </cell>
          <cell r="E18769" t="str">
            <v>H0I6000220513E38EB</v>
          </cell>
        </row>
        <row r="18770">
          <cell r="D18770" t="str">
            <v xml:space="preserve">M393A4K40EB3-CWE </v>
          </cell>
          <cell r="E18770" t="str">
            <v>H0I6000220513E38CF</v>
          </cell>
        </row>
        <row r="18771">
          <cell r="D18771" t="str">
            <v xml:space="preserve">M393A4K40EB3-CWE </v>
          </cell>
          <cell r="E18771" t="str">
            <v>H0I6000220513E38F1</v>
          </cell>
        </row>
        <row r="18772">
          <cell r="D18772" t="str">
            <v xml:space="preserve">M393A4K40EB3-CWE </v>
          </cell>
          <cell r="E18772" t="str">
            <v>H0I6000220513E4460</v>
          </cell>
        </row>
        <row r="18773">
          <cell r="D18773" t="str">
            <v xml:space="preserve">M393A4K40EB3-CWE </v>
          </cell>
          <cell r="E18773" t="str">
            <v>H0I6000220513E38E8</v>
          </cell>
        </row>
        <row r="18774">
          <cell r="D18774" t="str">
            <v xml:space="preserve">M393A4K40EB3-CWE </v>
          </cell>
          <cell r="E18774" t="str">
            <v>H0I6000220513E3911</v>
          </cell>
        </row>
        <row r="18775">
          <cell r="D18775" t="str">
            <v xml:space="preserve">M393A4K40EB3-CWE </v>
          </cell>
          <cell r="E18775" t="str">
            <v>H0I6000220513E38EC</v>
          </cell>
        </row>
        <row r="18776">
          <cell r="D18776" t="str">
            <v xml:space="preserve">M393A4K40EB3-CWE </v>
          </cell>
          <cell r="E18776" t="str">
            <v>H0I6000220513E38F0</v>
          </cell>
        </row>
        <row r="18777">
          <cell r="D18777" t="str">
            <v xml:space="preserve">M393A4K40EB3-CWE </v>
          </cell>
          <cell r="E18777" t="str">
            <v>H0I6000220513E48F3</v>
          </cell>
        </row>
        <row r="18778">
          <cell r="D18778" t="str">
            <v xml:space="preserve">M393A4K40EB3-CWE </v>
          </cell>
          <cell r="E18778" t="str">
            <v>H0I6000220513E4936</v>
          </cell>
        </row>
        <row r="18779">
          <cell r="D18779" t="str">
            <v xml:space="preserve">M393A4K40EB3-CWE </v>
          </cell>
          <cell r="E18779" t="str">
            <v>H0I6000220513E48EF</v>
          </cell>
        </row>
        <row r="18780">
          <cell r="D18780" t="str">
            <v xml:space="preserve">M393A4K40EB3-CWE </v>
          </cell>
          <cell r="E18780" t="str">
            <v>H0I6000220513E48F2</v>
          </cell>
        </row>
        <row r="18781">
          <cell r="D18781" t="str">
            <v xml:space="preserve"> M391A2K43DB1-CWE </v>
          </cell>
          <cell r="E18781" t="str">
            <v>W00UEM0209029463A1</v>
          </cell>
        </row>
        <row r="18782">
          <cell r="D18782" t="str">
            <v xml:space="preserve"> M391A2K43DB1-CWE </v>
          </cell>
          <cell r="E18782" t="str">
            <v>W00UEM020902945C2B</v>
          </cell>
        </row>
        <row r="18783">
          <cell r="D18783" t="str">
            <v xml:space="preserve"> M391A2K43DB1-CWE </v>
          </cell>
          <cell r="E18783" t="str">
            <v>W00UEM020902945B4E</v>
          </cell>
        </row>
        <row r="18784">
          <cell r="D18784" t="str">
            <v xml:space="preserve"> M391A2K43DB1-CWE </v>
          </cell>
          <cell r="E18784" t="str">
            <v>W00UEM0209029462F1</v>
          </cell>
        </row>
        <row r="18785">
          <cell r="D18785" t="str">
            <v xml:space="preserve"> M391A2K43DB1-CWE </v>
          </cell>
          <cell r="E18785" t="str">
            <v>W00UEM02090294638A</v>
          </cell>
        </row>
        <row r="18786">
          <cell r="D18786" t="str">
            <v xml:space="preserve"> M391A2K43DB1-CWE </v>
          </cell>
          <cell r="E18786" t="str">
            <v>W00UEM0209029461B3</v>
          </cell>
        </row>
        <row r="18787">
          <cell r="D18787" t="str">
            <v xml:space="preserve"> M391A2K43DB1-CWE </v>
          </cell>
          <cell r="E18787" t="str">
            <v>W00UEM02090294650C</v>
          </cell>
        </row>
        <row r="18788">
          <cell r="D18788" t="str">
            <v xml:space="preserve"> M391A2K43DB1-CWE </v>
          </cell>
          <cell r="E18788" t="str">
            <v>W00UEM020902945C24</v>
          </cell>
        </row>
        <row r="18789">
          <cell r="D18789" t="str">
            <v xml:space="preserve"> M391A2K43DB1-CWE </v>
          </cell>
          <cell r="E18789" t="str">
            <v>W00UEM020902945BFC</v>
          </cell>
        </row>
        <row r="18790">
          <cell r="D18790" t="str">
            <v xml:space="preserve"> M391A2K43DB1-CWE </v>
          </cell>
          <cell r="E18790" t="str">
            <v>W00UEM020902945B54</v>
          </cell>
        </row>
        <row r="18791">
          <cell r="D18791" t="str">
            <v xml:space="preserve"> M391A2K43DB1-CWE </v>
          </cell>
          <cell r="E18791" t="str">
            <v>W00UEM020902946406</v>
          </cell>
        </row>
        <row r="18792">
          <cell r="D18792" t="str">
            <v xml:space="preserve"> M391A2K43DB1-CWE </v>
          </cell>
          <cell r="E18792" t="str">
            <v>W00UEM0209029461E2</v>
          </cell>
        </row>
        <row r="18793">
          <cell r="D18793" t="str">
            <v xml:space="preserve"> M391A2K43DB1-CWE </v>
          </cell>
          <cell r="E18793" t="str">
            <v>W00UEM0209029463AE</v>
          </cell>
        </row>
        <row r="18794">
          <cell r="D18794" t="str">
            <v xml:space="preserve"> M391A2K43DB1-CWE </v>
          </cell>
          <cell r="E18794" t="str">
            <v>W00UEM020902946311</v>
          </cell>
        </row>
        <row r="18795">
          <cell r="D18795" t="str">
            <v xml:space="preserve"> M391A2K43DB1-CWE </v>
          </cell>
          <cell r="E18795" t="str">
            <v>W00UEM020902945C10</v>
          </cell>
        </row>
        <row r="18796">
          <cell r="D18796" t="str">
            <v xml:space="preserve"> M391A2K43DB1-CWE </v>
          </cell>
          <cell r="E18796" t="str">
            <v>W00UEM020902945C35</v>
          </cell>
        </row>
        <row r="18797">
          <cell r="D18797" t="str">
            <v xml:space="preserve"> M391A2K43DB1-CWE </v>
          </cell>
          <cell r="E18797" t="str">
            <v>W00UEM020902945C11</v>
          </cell>
        </row>
        <row r="18798">
          <cell r="D18798" t="str">
            <v xml:space="preserve"> M391A2K43DB1-CWE </v>
          </cell>
          <cell r="E18798" t="str">
            <v>W00UEM02090294639F</v>
          </cell>
        </row>
        <row r="18799">
          <cell r="D18799" t="str">
            <v xml:space="preserve"> M391A2K43DB1-CWE </v>
          </cell>
          <cell r="E18799" t="str">
            <v>W00UEM020902946126</v>
          </cell>
        </row>
        <row r="18800">
          <cell r="D18800" t="str">
            <v xml:space="preserve"> M391A2K43DB1-CWE </v>
          </cell>
          <cell r="E18800" t="str">
            <v>W00UEM02090294638F</v>
          </cell>
        </row>
        <row r="18801">
          <cell r="D18801" t="str">
            <v xml:space="preserve"> M391A2K43DB1-CWE </v>
          </cell>
          <cell r="E18801" t="str">
            <v>W00UEM0209029463C9</v>
          </cell>
        </row>
        <row r="18802">
          <cell r="D18802" t="str">
            <v>0B36040</v>
          </cell>
          <cell r="E18802" t="str">
            <v>V3GPYW2F</v>
          </cell>
        </row>
        <row r="18803">
          <cell r="D18803" t="str">
            <v>0B36040</v>
          </cell>
          <cell r="E18803" t="str">
            <v>V3GPHX5F</v>
          </cell>
        </row>
        <row r="18804">
          <cell r="D18804" t="str">
            <v>0B36040</v>
          </cell>
          <cell r="E18804" t="str">
            <v>V3GR3RJF</v>
          </cell>
        </row>
        <row r="18805">
          <cell r="D18805" t="str">
            <v>0B36040</v>
          </cell>
          <cell r="E18805" t="str">
            <v>V3GPZ9SF</v>
          </cell>
        </row>
        <row r="18806">
          <cell r="D18806" t="str">
            <v>0B36040</v>
          </cell>
          <cell r="E18806" t="str">
            <v>V3GR3RXF</v>
          </cell>
        </row>
        <row r="18807">
          <cell r="D18807" t="str">
            <v>0B36040</v>
          </cell>
          <cell r="E18807" t="str">
            <v>V3GR3KVF</v>
          </cell>
        </row>
        <row r="18808">
          <cell r="D18808" t="str">
            <v>0B36040</v>
          </cell>
          <cell r="E18808" t="str">
            <v>V3GR4AZF</v>
          </cell>
        </row>
        <row r="18809">
          <cell r="D18809" t="str">
            <v>0B36040</v>
          </cell>
          <cell r="E18809" t="str">
            <v>V3GR37HF</v>
          </cell>
        </row>
        <row r="18810">
          <cell r="D18810" t="str">
            <v>MZ-V7S2T0BW</v>
          </cell>
          <cell r="E18810" t="str">
            <v>S6P1NS0T603137</v>
          </cell>
        </row>
        <row r="18811">
          <cell r="D18811" t="str">
            <v>MZ-V7S2T0BW</v>
          </cell>
          <cell r="E18811" t="str">
            <v>S6P1NS0T603293</v>
          </cell>
        </row>
        <row r="18812">
          <cell r="D18812" t="str">
            <v>VCNTRTXA6000-SB</v>
          </cell>
          <cell r="E18812" t="str">
            <v>PG133UR13217200025</v>
          </cell>
        </row>
        <row r="18813">
          <cell r="D18813" t="str">
            <v xml:space="preserve">M321R4GA3BB6-CQKMG </v>
          </cell>
          <cell r="E18813" t="str">
            <v>SNL917</v>
          </cell>
        </row>
        <row r="18814">
          <cell r="D18814" t="str">
            <v xml:space="preserve">M321R4GA3BB6-CQKMG </v>
          </cell>
          <cell r="E18814" t="str">
            <v>SNL918</v>
          </cell>
        </row>
        <row r="18815">
          <cell r="D18815" t="str">
            <v xml:space="preserve">M321R4GA3BB6-CQKMG </v>
          </cell>
          <cell r="E18815" t="str">
            <v>SNL919</v>
          </cell>
        </row>
        <row r="18816">
          <cell r="D18816" t="str">
            <v xml:space="preserve">M321R4GA3BB6-CQKMG </v>
          </cell>
          <cell r="E18816" t="str">
            <v>SNL920</v>
          </cell>
        </row>
        <row r="18817">
          <cell r="D18817" t="str">
            <v xml:space="preserve">M321R4GA3BB6-CQKMG </v>
          </cell>
          <cell r="E18817" t="str">
            <v>SNL921</v>
          </cell>
        </row>
        <row r="18818">
          <cell r="D18818" t="str">
            <v xml:space="preserve">M321R4GA3BB6-CQKMG </v>
          </cell>
          <cell r="E18818" t="str">
            <v>SNL922</v>
          </cell>
        </row>
        <row r="18819">
          <cell r="D18819" t="str">
            <v xml:space="preserve">M321R4GA3BB6-CQKMG </v>
          </cell>
          <cell r="E18819" t="str">
            <v>SNL923</v>
          </cell>
        </row>
        <row r="18820">
          <cell r="D18820" t="str">
            <v xml:space="preserve">M321R4GA3BB6-CQKMG </v>
          </cell>
          <cell r="E18820" t="str">
            <v>SNL924</v>
          </cell>
        </row>
        <row r="18821">
          <cell r="D18821" t="str">
            <v>MZ1LB960HAJQ-00007</v>
          </cell>
          <cell r="E18821" t="str">
            <v>S435NC0T600166</v>
          </cell>
        </row>
        <row r="18822">
          <cell r="D18822" t="str">
            <v>MZ1LB960HAJQ-00007</v>
          </cell>
          <cell r="E18822" t="str">
            <v>S435NC0T600260</v>
          </cell>
        </row>
        <row r="18823">
          <cell r="D18823" t="str">
            <v>MZ1LB960HAJQ-00007</v>
          </cell>
          <cell r="E18823" t="str">
            <v>S435NC0T600262</v>
          </cell>
        </row>
        <row r="18824">
          <cell r="D18824" t="str">
            <v>MZ1LB960HAJQ-00007</v>
          </cell>
          <cell r="E18824" t="str">
            <v>S435NC0T600164</v>
          </cell>
        </row>
        <row r="18825">
          <cell r="D18825" t="str">
            <v>CD8069504448800 Xeon Gold 6230R</v>
          </cell>
          <cell r="E18825" t="str">
            <v>3219G101</v>
          </cell>
        </row>
        <row r="18826">
          <cell r="D18826" t="str">
            <v>CD8069504448800 Xeon Gold 6230R</v>
          </cell>
          <cell r="E18826" t="str">
            <v>3222F850</v>
          </cell>
        </row>
        <row r="18827">
          <cell r="D18827" t="str">
            <v>CD8069504448800 Xeon Gold 6230R</v>
          </cell>
          <cell r="E18827" t="str">
            <v>3222F850</v>
          </cell>
        </row>
        <row r="18828">
          <cell r="D18828" t="str">
            <v>CD8069504448800 Xeon Gold 6230R</v>
          </cell>
          <cell r="E18828" t="str">
            <v>3222F850</v>
          </cell>
        </row>
        <row r="18829">
          <cell r="D18829" t="str">
            <v>CD8069504448800 Xeon Gold 6230R</v>
          </cell>
          <cell r="E18829" t="str">
            <v>3222F854</v>
          </cell>
        </row>
        <row r="18830">
          <cell r="D18830" t="str">
            <v>CD8069504448800 Xeon Gold 6230R</v>
          </cell>
          <cell r="E18830" t="str">
            <v>3222F854</v>
          </cell>
        </row>
        <row r="18831">
          <cell r="D18831" t="str">
            <v>CD8069504448800 Xeon Gold 6230R</v>
          </cell>
          <cell r="E18831" t="str">
            <v>3222F854</v>
          </cell>
        </row>
        <row r="18832">
          <cell r="D18832" t="str">
            <v>CD8069504448800 Xeon Gold 6230R</v>
          </cell>
          <cell r="E18832" t="str">
            <v>3222F854</v>
          </cell>
        </row>
        <row r="18833">
          <cell r="D18833" t="str">
            <v>X570D4U</v>
          </cell>
          <cell r="E18833" t="str">
            <v>F1S0XW007792</v>
          </cell>
        </row>
        <row r="18834">
          <cell r="D18834" t="str">
            <v>X570D4U</v>
          </cell>
          <cell r="E18834" t="str">
            <v>F1S0XW007791</v>
          </cell>
        </row>
        <row r="18835">
          <cell r="D18835" t="str">
            <v>X570D4U</v>
          </cell>
          <cell r="E18835" t="str">
            <v>F1S0XW007794</v>
          </cell>
        </row>
        <row r="18836">
          <cell r="D18836" t="str">
            <v>XXV710DA2BLK</v>
          </cell>
          <cell r="E18836" t="str">
            <v>40A6B79B08300042022ADJ48306003</v>
          </cell>
        </row>
        <row r="18837">
          <cell r="D18837" t="str">
            <v>MegaRaid 9361-8i   05-25420-08</v>
          </cell>
          <cell r="E18837" t="str">
            <v>SKC1272363</v>
          </cell>
        </row>
        <row r="18838">
          <cell r="D18838" t="str">
            <v>Xeon E2246G</v>
          </cell>
          <cell r="E18838" t="str">
            <v>X212K767 01538  U2XN436701538</v>
          </cell>
        </row>
        <row r="18839">
          <cell r="D18839" t="str">
            <v>Xeon E2246G</v>
          </cell>
          <cell r="E18839" t="str">
            <v>X212K767 02076   U2XN436702076</v>
          </cell>
          <cell r="K18839" t="str">
            <v>A345069X2721202</v>
          </cell>
        </row>
        <row r="18840">
          <cell r="D18840" t="str">
            <v>Xeon E2246G</v>
          </cell>
          <cell r="E18840" t="str">
            <v>X212K767 03225   U2KJ702903225</v>
          </cell>
          <cell r="K18840" t="str">
            <v>A345069X2721176</v>
          </cell>
        </row>
        <row r="18841">
          <cell r="D18841" t="str">
            <v>Xeon E2246G</v>
          </cell>
          <cell r="E18841" t="str">
            <v>X212K767 02557   U2XN436702557</v>
          </cell>
          <cell r="K18841" t="str">
            <v>A345069X2721201</v>
          </cell>
        </row>
        <row r="18842">
          <cell r="D18842" t="str">
            <v>Xeon E2246G</v>
          </cell>
          <cell r="E18842" t="str">
            <v>X212K767 02884  U2XN436702884</v>
          </cell>
          <cell r="K18842" t="str">
            <v>A345069X2721205</v>
          </cell>
        </row>
        <row r="18843">
          <cell r="D18843" t="str">
            <v>Xeon E2246G</v>
          </cell>
          <cell r="E18843" t="str">
            <v>X212K767 02829   U2XN436702829</v>
          </cell>
          <cell r="K18843" t="str">
            <v>A345069X2721210</v>
          </cell>
        </row>
        <row r="18844">
          <cell r="D18844" t="str">
            <v>Xeon E2246G</v>
          </cell>
          <cell r="E18844" t="str">
            <v>X212K767 02993   U2XN436702993</v>
          </cell>
          <cell r="K18844" t="str">
            <v>A345069X2721208</v>
          </cell>
        </row>
        <row r="18845">
          <cell r="D18845" t="str">
            <v>Xeon E2246G</v>
          </cell>
          <cell r="E18845" t="str">
            <v>X212K767 02546   U2XN436702546</v>
          </cell>
        </row>
        <row r="18846">
          <cell r="D18846" t="str">
            <v>Xeon E2246G</v>
          </cell>
          <cell r="E18846" t="str">
            <v>X212K767 01762   U2XN436701762</v>
          </cell>
          <cell r="K18846" t="str">
            <v>A345069X2721196</v>
          </cell>
        </row>
        <row r="18847">
          <cell r="D18847" t="str">
            <v>Xeon E2246G</v>
          </cell>
          <cell r="E18847" t="str">
            <v>X212K767 02458   U2KJ702902458</v>
          </cell>
          <cell r="K18847" t="str">
            <v>A345069X2721177</v>
          </cell>
        </row>
        <row r="18848">
          <cell r="D18848" t="str">
            <v>Xeon E2246G</v>
          </cell>
          <cell r="E18848" t="str">
            <v>X212K767 01511   U2XN436701511</v>
          </cell>
          <cell r="K18848" t="str">
            <v>A345069X2721190</v>
          </cell>
        </row>
        <row r="18849">
          <cell r="D18849" t="str">
            <v>Xeon E2246G</v>
          </cell>
          <cell r="E18849" t="str">
            <v>X212K767 02988   U2XN436702988</v>
          </cell>
          <cell r="K18849" t="str">
            <v>A345069X2721189</v>
          </cell>
        </row>
        <row r="18850">
          <cell r="D18850" t="str">
            <v>Xeon E2246G</v>
          </cell>
          <cell r="E18850" t="str">
            <v>X212K767 02075   U2XN436702075</v>
          </cell>
          <cell r="K18850" t="str">
            <v>A345069X2721212</v>
          </cell>
        </row>
        <row r="18851">
          <cell r="D18851" t="str">
            <v>Xeon E2246G</v>
          </cell>
          <cell r="E18851" t="str">
            <v>X212K767 01535   U2XN436701535</v>
          </cell>
          <cell r="K18851" t="str">
            <v>A345069X2721194</v>
          </cell>
        </row>
        <row r="18852">
          <cell r="D18852" t="str">
            <v>Xeon E2246G</v>
          </cell>
          <cell r="E18852" t="str">
            <v>X212K767 02790   U2XN436702790</v>
          </cell>
          <cell r="K18852" t="str">
            <v>A345069X2721216</v>
          </cell>
        </row>
        <row r="18853">
          <cell r="D18853" t="str">
            <v>Xeon E2246G</v>
          </cell>
          <cell r="E18853" t="str">
            <v>X212K767 02159  U2KJ702902159</v>
          </cell>
          <cell r="K18853" t="str">
            <v>A345069X2721206</v>
          </cell>
        </row>
        <row r="18854">
          <cell r="D18854" t="str">
            <v>Xeon E2246G</v>
          </cell>
          <cell r="E18854" t="str">
            <v>X212K767 02119   U2XN436702119</v>
          </cell>
          <cell r="K18854" t="str">
            <v>A345069X2721199</v>
          </cell>
        </row>
        <row r="18855">
          <cell r="D18855" t="str">
            <v>Xeon E2246G</v>
          </cell>
          <cell r="E18855" t="str">
            <v>X212K767 02698   U2XN436702698</v>
          </cell>
          <cell r="K18855" t="str">
            <v>A345069X2721218</v>
          </cell>
        </row>
        <row r="18856">
          <cell r="D18856" t="str">
            <v>Xeon E2246G</v>
          </cell>
          <cell r="E18856" t="str">
            <v>X212K767 01300   U2XN436701300</v>
          </cell>
          <cell r="K18856" t="str">
            <v>A345069X2721215</v>
          </cell>
        </row>
        <row r="18857">
          <cell r="D18857" t="str">
            <v>Xeon E2246G</v>
          </cell>
          <cell r="E18857" t="str">
            <v>X212K767 02060   U2XN436702060 </v>
          </cell>
          <cell r="K18857" t="str">
            <v>A345069X2721192</v>
          </cell>
        </row>
        <row r="18858">
          <cell r="D18858" t="str">
            <v>Xeon Silver 4216</v>
          </cell>
          <cell r="E18858" t="str">
            <v>35FD12FC86622E2BRFBB    M2MX830200342</v>
          </cell>
          <cell r="K18858" t="str">
            <v>C1130LK43P90208</v>
          </cell>
        </row>
        <row r="18859">
          <cell r="D18859" t="str">
            <v>Xeon Silver 4216</v>
          </cell>
          <cell r="E18859" t="str">
            <v>35FE11FC938DCADBRFBB   M2T19L2800107</v>
          </cell>
          <cell r="K18859" t="str">
            <v>C1130LK43P90208</v>
          </cell>
        </row>
        <row r="18860">
          <cell r="D18860" t="str">
            <v>Xeon Silver 4216</v>
          </cell>
          <cell r="E18860" t="str">
            <v>35FDFEBE45A82111RFBB     M2T19L2800139</v>
          </cell>
          <cell r="K18860" t="str">
            <v>C1130LK43P90206</v>
          </cell>
        </row>
        <row r="18861">
          <cell r="D18861" t="str">
            <v>Xeon Silver 4216</v>
          </cell>
          <cell r="E18861" t="str">
            <v>35FE20BFB041C669RFBB     M2T19L2800257</v>
          </cell>
          <cell r="K18861" t="str">
            <v>C1130LK43P90206</v>
          </cell>
        </row>
        <row r="18862">
          <cell r="D18862" t="str">
            <v xml:space="preserve">M391A2K43DB1-CWE </v>
          </cell>
          <cell r="E18862" t="str">
            <v>W02Y00021402CA5D49</v>
          </cell>
        </row>
        <row r="18863">
          <cell r="D18863" t="str">
            <v>MZQLB1T9HAJR-00007</v>
          </cell>
          <cell r="E18863" t="str">
            <v>S439NC0T300976</v>
          </cell>
        </row>
        <row r="18864">
          <cell r="D18864" t="str">
            <v>MZQLB1T9HAJR-00007</v>
          </cell>
          <cell r="E18864" t="str">
            <v>S439NC0T301083</v>
          </cell>
        </row>
        <row r="18865">
          <cell r="D18865" t="str">
            <v xml:space="preserve">M391A4G43BB1-CWE </v>
          </cell>
          <cell r="E18865" t="str">
            <v>W01Y000221031FAD9A</v>
          </cell>
        </row>
        <row r="18866">
          <cell r="D18866" t="str">
            <v xml:space="preserve">M391A4G43BB1-CWE </v>
          </cell>
          <cell r="E18866" t="str">
            <v>W01Y000221031FA802</v>
          </cell>
        </row>
        <row r="18867">
          <cell r="D18867" t="str">
            <v xml:space="preserve">M391A4G43BB1-CWE </v>
          </cell>
          <cell r="E18867" t="str">
            <v>W01Y000221031FA7CE</v>
          </cell>
        </row>
        <row r="18868">
          <cell r="D18868" t="str">
            <v xml:space="preserve">M391A4G43BB1-CWE </v>
          </cell>
          <cell r="E18868" t="str">
            <v>W01Y000221031FA816</v>
          </cell>
        </row>
        <row r="18869">
          <cell r="D18869" t="str">
            <v xml:space="preserve">M391A4G43BB1-CWE </v>
          </cell>
          <cell r="E18869" t="str">
            <v>W01Y000221031FADA0</v>
          </cell>
        </row>
        <row r="18870">
          <cell r="D18870" t="str">
            <v xml:space="preserve">M391A4G43BB1-CWE </v>
          </cell>
          <cell r="E18870" t="str">
            <v>W01Y000221031FA7B2</v>
          </cell>
        </row>
        <row r="18871">
          <cell r="D18871" t="str">
            <v xml:space="preserve">M391A4G43BB1-CWE </v>
          </cell>
          <cell r="E18871" t="str">
            <v>W01Y000221031FA833</v>
          </cell>
        </row>
        <row r="18872">
          <cell r="D18872" t="str">
            <v xml:space="preserve">M391A4G43BB1-CWE </v>
          </cell>
          <cell r="E18872" t="str">
            <v>W01Y000221031FAB25</v>
          </cell>
        </row>
        <row r="18873">
          <cell r="D18873" t="str">
            <v xml:space="preserve">M391A4G43BB1-CWE </v>
          </cell>
          <cell r="E18873" t="str">
            <v>W01Y000221031FAB37</v>
          </cell>
        </row>
        <row r="18874">
          <cell r="D18874" t="str">
            <v xml:space="preserve">M391A4G43BB1-CWE </v>
          </cell>
          <cell r="E18874" t="str">
            <v>W01Y000221031FA71A</v>
          </cell>
        </row>
        <row r="18875">
          <cell r="D18875" t="str">
            <v xml:space="preserve">M391A4G43BB1-CWE </v>
          </cell>
          <cell r="E18875" t="str">
            <v>W01Y000221031FADAC</v>
          </cell>
        </row>
        <row r="18876">
          <cell r="D18876" t="str">
            <v xml:space="preserve">M391A4G43BB1-CWE </v>
          </cell>
          <cell r="E18876" t="str">
            <v>W01Y000221031FADA1</v>
          </cell>
        </row>
        <row r="18877">
          <cell r="D18877" t="str">
            <v xml:space="preserve">M391A4G43BB1-CWE </v>
          </cell>
          <cell r="E18877" t="str">
            <v>W01Y000221031FA7E6</v>
          </cell>
        </row>
        <row r="18878">
          <cell r="D18878" t="str">
            <v xml:space="preserve">M391A4G43BB1-CWE </v>
          </cell>
          <cell r="E18878" t="str">
            <v>W01Y000221031FAD99</v>
          </cell>
        </row>
        <row r="18879">
          <cell r="D18879" t="str">
            <v xml:space="preserve">M391A4G43BB1-CWE </v>
          </cell>
          <cell r="E18879" t="str">
            <v>W01Y000221031FA7D3</v>
          </cell>
        </row>
        <row r="18880">
          <cell r="D18880" t="str">
            <v xml:space="preserve">M391A4G43BB1-CWE </v>
          </cell>
          <cell r="E18880" t="str">
            <v>W01Y000221031FADB1</v>
          </cell>
        </row>
        <row r="18881">
          <cell r="D18881" t="str">
            <v xml:space="preserve">M391A4G43BB1-CWE </v>
          </cell>
          <cell r="E18881" t="str">
            <v>W01Y000221031FABE5</v>
          </cell>
        </row>
        <row r="18882">
          <cell r="D18882" t="str">
            <v xml:space="preserve">M391A4G43BB1-CWE </v>
          </cell>
          <cell r="E18882" t="str">
            <v>W01Y000221031FADBE</v>
          </cell>
        </row>
        <row r="18883">
          <cell r="D18883" t="str">
            <v xml:space="preserve">M391A4G43BB1-CWE </v>
          </cell>
          <cell r="E18883" t="str">
            <v>W01Y000221031FADB7</v>
          </cell>
        </row>
        <row r="18884">
          <cell r="D18884" t="str">
            <v xml:space="preserve">M391A4G43BB1-CWE </v>
          </cell>
          <cell r="E18884" t="str">
            <v>W01Y000221031FAD83</v>
          </cell>
        </row>
        <row r="18885">
          <cell r="D18885" t="str">
            <v xml:space="preserve">M391A4G43BB1-CWE </v>
          </cell>
          <cell r="E18885" t="str">
            <v>W01Y000221031FADA5</v>
          </cell>
        </row>
        <row r="18886">
          <cell r="D18886" t="str">
            <v xml:space="preserve">M391A4G43BB1-CWE </v>
          </cell>
          <cell r="E18886" t="str">
            <v>W01Y000221031FA886</v>
          </cell>
        </row>
        <row r="18887">
          <cell r="D18887" t="str">
            <v xml:space="preserve">M391A4G43BB1-CWE </v>
          </cell>
          <cell r="E18887" t="str">
            <v>W01Y000221031FAD24</v>
          </cell>
        </row>
        <row r="18888">
          <cell r="D18888" t="str">
            <v xml:space="preserve">M391A4G43BB1-CWE </v>
          </cell>
          <cell r="E18888" t="str">
            <v>W07R0002200315DD35</v>
          </cell>
        </row>
        <row r="18889">
          <cell r="D18889" t="str">
            <v xml:space="preserve">M391A4G43BB1-CWE </v>
          </cell>
          <cell r="E18889" t="str">
            <v>W07R0002200315DB55</v>
          </cell>
        </row>
        <row r="18890">
          <cell r="D18890" t="str">
            <v xml:space="preserve">M391A4G43BB1-CWE </v>
          </cell>
          <cell r="E18890" t="str">
            <v>W07R0002200315DAD6</v>
          </cell>
        </row>
        <row r="18891">
          <cell r="D18891" t="str">
            <v xml:space="preserve">M391A4G43BB1-CWE </v>
          </cell>
          <cell r="E18891" t="str">
            <v>W07R0002200315DAB5</v>
          </cell>
        </row>
        <row r="18892">
          <cell r="D18892" t="str">
            <v xml:space="preserve">M391A4G43BB1-CWE </v>
          </cell>
          <cell r="E18892" t="str">
            <v>W07R0002200315DAD5</v>
          </cell>
        </row>
        <row r="18893">
          <cell r="D18893" t="str">
            <v xml:space="preserve">M391A4G43BB1-CWE </v>
          </cell>
          <cell r="E18893" t="str">
            <v>W01Y000221031FAD86</v>
          </cell>
        </row>
        <row r="18894">
          <cell r="D18894" t="str">
            <v xml:space="preserve">M391A4G43BB1-CWE </v>
          </cell>
          <cell r="E18894" t="str">
            <v>W01Y000221031FAB30</v>
          </cell>
        </row>
        <row r="18895">
          <cell r="D18895" t="str">
            <v xml:space="preserve">M391A4G43BB1-CWE </v>
          </cell>
          <cell r="E18895" t="str">
            <v>W01Y000221031FAD8D</v>
          </cell>
        </row>
        <row r="18896">
          <cell r="D18896" t="str">
            <v xml:space="preserve">M391A4G43BB1-CWE </v>
          </cell>
          <cell r="E18896" t="str">
            <v>W01Y000221031FAD2E</v>
          </cell>
        </row>
        <row r="18897">
          <cell r="D18897" t="str">
            <v xml:space="preserve">M391A4G43BB1-CWE </v>
          </cell>
          <cell r="E18897" t="str">
            <v>W01Y000221031FAC0A</v>
          </cell>
        </row>
        <row r="18898">
          <cell r="D18898" t="str">
            <v xml:space="preserve">M391A4G43BB1-CWE </v>
          </cell>
          <cell r="E18898" t="str">
            <v>W01Y000221031FAB19</v>
          </cell>
        </row>
        <row r="18899">
          <cell r="D18899" t="str">
            <v xml:space="preserve">M391A4G43BB1-CWE </v>
          </cell>
          <cell r="E18899" t="str">
            <v>W01Y000221031FAC51</v>
          </cell>
        </row>
        <row r="18900">
          <cell r="D18900" t="str">
            <v xml:space="preserve">M391A4G43BB1-CWE </v>
          </cell>
          <cell r="E18900" t="str">
            <v>W01Y000221031FAB20</v>
          </cell>
        </row>
        <row r="18901">
          <cell r="D18901" t="str">
            <v xml:space="preserve">M391A4G43BB1-CWE </v>
          </cell>
          <cell r="E18901" t="str">
            <v>W01Y000221031FAB0C</v>
          </cell>
        </row>
        <row r="18902">
          <cell r="D18902" t="str">
            <v xml:space="preserve">M391A4G43BB1-CWE </v>
          </cell>
          <cell r="E18902" t="str">
            <v>W01Y000221031FADBB</v>
          </cell>
        </row>
        <row r="18903">
          <cell r="D18903" t="str">
            <v xml:space="preserve">M391A4G43BB1-CWE </v>
          </cell>
          <cell r="E18903" t="str">
            <v>W01Y000221031FABE9</v>
          </cell>
        </row>
        <row r="18904">
          <cell r="D18904" t="str">
            <v>1W10002</v>
          </cell>
          <cell r="E18904" t="str">
            <v>WCC6N4XCZ37X</v>
          </cell>
        </row>
        <row r="18905">
          <cell r="D18905" t="str">
            <v>1W10002</v>
          </cell>
          <cell r="E18905" t="str">
            <v>WCC6N4XCZ7RA</v>
          </cell>
        </row>
        <row r="18906">
          <cell r="D18906" t="str">
            <v>1W10002</v>
          </cell>
          <cell r="E18906" t="str">
            <v>WCC6N3XVSY2E</v>
          </cell>
        </row>
        <row r="18907">
          <cell r="D18907" t="str">
            <v>1W10002</v>
          </cell>
          <cell r="E18907" t="str">
            <v>WCC6N4XCZFFA</v>
          </cell>
        </row>
        <row r="18908">
          <cell r="D18908" t="str">
            <v>1W10002</v>
          </cell>
          <cell r="E18908" t="str">
            <v>WCC6N4XCZ610</v>
          </cell>
        </row>
        <row r="18909">
          <cell r="D18909" t="str">
            <v>1W10002</v>
          </cell>
          <cell r="E18909" t="str">
            <v>WCC6N4XCZH8Z</v>
          </cell>
        </row>
        <row r="18910">
          <cell r="D18910" t="str">
            <v>1W10002</v>
          </cell>
          <cell r="E18910" t="str">
            <v>WCC6N4HCFZYD</v>
          </cell>
        </row>
        <row r="18911">
          <cell r="D18911" t="str">
            <v>1W10002</v>
          </cell>
          <cell r="E18911" t="str">
            <v>WCC6N4XCZ38C</v>
          </cell>
        </row>
        <row r="18912">
          <cell r="D18912" t="str">
            <v>1W10002</v>
          </cell>
          <cell r="E18912" t="str">
            <v>WCC6N4XCZKL2</v>
          </cell>
        </row>
        <row r="18913">
          <cell r="D18913" t="str">
            <v>1W10002</v>
          </cell>
          <cell r="E18913" t="str">
            <v>WCC6N4XCZ9LL</v>
          </cell>
        </row>
        <row r="18914">
          <cell r="D18914" t="str">
            <v>1W10002</v>
          </cell>
          <cell r="E18914" t="str">
            <v>WCC6N4XCZTHU</v>
          </cell>
        </row>
        <row r="18915">
          <cell r="D18915" t="str">
            <v>1W10002</v>
          </cell>
          <cell r="E18915" t="str">
            <v>WCC6N4XCZH58</v>
          </cell>
        </row>
        <row r="18916">
          <cell r="D18916" t="str">
            <v>1W10002</v>
          </cell>
          <cell r="E18916" t="str">
            <v>WCC6N4XCZ07C</v>
          </cell>
        </row>
        <row r="18917">
          <cell r="D18917" t="str">
            <v>1W10002</v>
          </cell>
          <cell r="E18917" t="str">
            <v>WCC6N4XCZ6CL</v>
          </cell>
        </row>
        <row r="18918">
          <cell r="D18918" t="str">
            <v>1W10002</v>
          </cell>
          <cell r="E18918" t="str">
            <v>WCC6N4XCZJJX</v>
          </cell>
        </row>
        <row r="18919">
          <cell r="D18919" t="str">
            <v>1W10002</v>
          </cell>
          <cell r="E18919" t="str">
            <v>WCC6N4XCZT9A</v>
          </cell>
        </row>
        <row r="18920">
          <cell r="D18920" t="str">
            <v>1W10002</v>
          </cell>
          <cell r="E18920" t="str">
            <v>WCC6N4XCZ7N1</v>
          </cell>
        </row>
        <row r="18921">
          <cell r="D18921" t="str">
            <v>1W10002</v>
          </cell>
          <cell r="E18921" t="str">
            <v>WCC6N4HCFS13</v>
          </cell>
        </row>
        <row r="18922">
          <cell r="D18922" t="str">
            <v>1W10002</v>
          </cell>
          <cell r="E18922" t="str">
            <v>WCC6N4XCZE2N</v>
          </cell>
        </row>
        <row r="18923">
          <cell r="D18923" t="str">
            <v>1W10002</v>
          </cell>
          <cell r="E18923" t="str">
            <v>WCC6N4XCZN9P</v>
          </cell>
        </row>
        <row r="18924">
          <cell r="D18924" t="str">
            <v>1W10002</v>
          </cell>
          <cell r="E18924" t="str">
            <v>WCC6N2JHXXT0</v>
          </cell>
        </row>
        <row r="18925">
          <cell r="D18925" t="str">
            <v>1W10002</v>
          </cell>
          <cell r="E18925" t="str">
            <v>WCC6N2JHX2UK</v>
          </cell>
        </row>
        <row r="18926">
          <cell r="D18926" t="str">
            <v>1W10002</v>
          </cell>
          <cell r="E18926" t="str">
            <v>WCC6N5DXA0A6</v>
          </cell>
        </row>
        <row r="18927">
          <cell r="D18927" t="str">
            <v>1W10002</v>
          </cell>
          <cell r="E18927" t="str">
            <v>WMC6N0M1SDLF</v>
          </cell>
        </row>
        <row r="18928">
          <cell r="D18928" t="str">
            <v>1W10002</v>
          </cell>
          <cell r="E18928" t="str">
            <v>WCC6N5DXA68X</v>
          </cell>
        </row>
        <row r="18929">
          <cell r="D18929" t="str">
            <v>1W10002</v>
          </cell>
          <cell r="E18929" t="str">
            <v>WMC6N0M8WU3C</v>
          </cell>
        </row>
        <row r="18930">
          <cell r="D18930" t="str">
            <v>1W10002</v>
          </cell>
          <cell r="E18930" t="str">
            <v>WCC6N2JHX4X9</v>
          </cell>
        </row>
        <row r="18931">
          <cell r="D18931" t="str">
            <v>1W10002</v>
          </cell>
          <cell r="E18931" t="str">
            <v>WCC6N5DXATRT</v>
          </cell>
        </row>
        <row r="18932">
          <cell r="D18932" t="str">
            <v>1W10002</v>
          </cell>
          <cell r="E18932" t="str">
            <v>WCC6N2JHXKET</v>
          </cell>
        </row>
        <row r="18933">
          <cell r="D18933" t="str">
            <v>1W10002</v>
          </cell>
          <cell r="E18933" t="str">
            <v>WCC6N5DXACEY</v>
          </cell>
        </row>
        <row r="18934">
          <cell r="D18934" t="str">
            <v>0B36040</v>
          </cell>
          <cell r="E18934" t="str">
            <v>V3GR3TMF</v>
          </cell>
        </row>
        <row r="18935">
          <cell r="D18935" t="str">
            <v>0B36040</v>
          </cell>
          <cell r="E18935" t="str">
            <v>V3GR7HUG</v>
          </cell>
        </row>
        <row r="18936">
          <cell r="D18936" t="str">
            <v>0B36040</v>
          </cell>
          <cell r="E18936" t="str">
            <v>V3GPYN3F</v>
          </cell>
        </row>
        <row r="18937">
          <cell r="D18937" t="str">
            <v>0B36040</v>
          </cell>
          <cell r="E18937" t="str">
            <v>V3GR38DF</v>
          </cell>
        </row>
        <row r="18938">
          <cell r="D18938" t="str">
            <v>0F30144</v>
          </cell>
          <cell r="E18938" t="str">
            <v>5QJZ4J9B</v>
          </cell>
        </row>
        <row r="18939">
          <cell r="D18939" t="str">
            <v>0F30144</v>
          </cell>
          <cell r="E18939" t="str">
            <v>5QJZAM5B</v>
          </cell>
        </row>
        <row r="18940">
          <cell r="D18940" t="str">
            <v>0F30144</v>
          </cell>
          <cell r="E18940" t="str">
            <v>5QJZAX5B</v>
          </cell>
        </row>
        <row r="18941">
          <cell r="D18941" t="str">
            <v>0F30144</v>
          </cell>
          <cell r="E18941" t="str">
            <v>5QJUWPWB</v>
          </cell>
        </row>
        <row r="18942">
          <cell r="D18942" t="str">
            <v>0F30144</v>
          </cell>
          <cell r="E18942" t="str">
            <v>5QJZ6N7B</v>
          </cell>
        </row>
        <row r="18943">
          <cell r="D18943" t="str">
            <v>0F30144</v>
          </cell>
          <cell r="E18943" t="str">
            <v>5QJZAPMB</v>
          </cell>
        </row>
        <row r="18944">
          <cell r="D18944" t="str">
            <v>0F30144</v>
          </cell>
          <cell r="E18944" t="str">
            <v>5QJZDV3B</v>
          </cell>
        </row>
        <row r="18945">
          <cell r="D18945" t="str">
            <v>0F30144</v>
          </cell>
          <cell r="E18945" t="str">
            <v>5QJZ4SVB</v>
          </cell>
        </row>
        <row r="18946">
          <cell r="D18946" t="str">
            <v>0F30144</v>
          </cell>
          <cell r="E18946" t="str">
            <v>5QJZAN1B</v>
          </cell>
        </row>
        <row r="18947">
          <cell r="D18947" t="str">
            <v>0F30144</v>
          </cell>
          <cell r="E18947" t="str">
            <v>5QJZBU7B</v>
          </cell>
        </row>
        <row r="18948">
          <cell r="D18948" t="str">
            <v>0F30144</v>
          </cell>
          <cell r="E18948" t="str">
            <v>5QJZ4EKB</v>
          </cell>
        </row>
        <row r="18949">
          <cell r="D18949" t="str">
            <v>0F30144</v>
          </cell>
          <cell r="E18949" t="str">
            <v>5QJZ7K6B</v>
          </cell>
        </row>
        <row r="18950">
          <cell r="D18950" t="str">
            <v>0F30144</v>
          </cell>
          <cell r="E18950" t="str">
            <v>5QJZARLB</v>
          </cell>
        </row>
        <row r="18951">
          <cell r="D18951" t="str">
            <v>0F30144</v>
          </cell>
          <cell r="E18951" t="str">
            <v>5QJZG5WB</v>
          </cell>
        </row>
        <row r="18952">
          <cell r="D18952" t="str">
            <v>0F30144</v>
          </cell>
          <cell r="E18952" t="str">
            <v>5QJZ558B</v>
          </cell>
        </row>
        <row r="18953">
          <cell r="D18953" t="str">
            <v>0F30144</v>
          </cell>
          <cell r="E18953" t="str">
            <v>5QJZANYB</v>
          </cell>
        </row>
        <row r="18954">
          <cell r="D18954" t="str">
            <v>0F30144</v>
          </cell>
          <cell r="E18954" t="str">
            <v>5QJZD6RB</v>
          </cell>
        </row>
        <row r="18955">
          <cell r="D18955" t="str">
            <v>0F30144</v>
          </cell>
          <cell r="E18955" t="str">
            <v>5QJZAB7B</v>
          </cell>
        </row>
        <row r="18956">
          <cell r="D18956" t="str">
            <v>0F30144</v>
          </cell>
          <cell r="E18956" t="str">
            <v>5QJZAWMB</v>
          </cell>
        </row>
        <row r="18957">
          <cell r="D18957" t="str">
            <v>0F30144</v>
          </cell>
          <cell r="E18957" t="str">
            <v>5QJZJKAB</v>
          </cell>
        </row>
        <row r="18958">
          <cell r="D18958" t="str">
            <v>0B36039</v>
          </cell>
          <cell r="E18958" t="str">
            <v>V7G8514H</v>
          </cell>
        </row>
        <row r="18959">
          <cell r="D18959" t="str">
            <v>0B36039</v>
          </cell>
          <cell r="E18959" t="str">
            <v>V7G97B2J</v>
          </cell>
        </row>
        <row r="18960">
          <cell r="D18960" t="str">
            <v>0B36039</v>
          </cell>
          <cell r="E18960" t="str">
            <v>V7G9ML8H</v>
          </cell>
        </row>
        <row r="18961">
          <cell r="D18961" t="str">
            <v>0B36039</v>
          </cell>
          <cell r="E18961" t="str">
            <v>V7G7XD9H</v>
          </cell>
        </row>
        <row r="18962">
          <cell r="D18962" t="str">
            <v>0B36039</v>
          </cell>
          <cell r="E18962" t="str">
            <v>V7G8LYMH</v>
          </cell>
        </row>
        <row r="18963">
          <cell r="D18963" t="str">
            <v>0B36039</v>
          </cell>
          <cell r="E18963" t="str">
            <v>V7G97DPJ</v>
          </cell>
        </row>
        <row r="18964">
          <cell r="D18964" t="str">
            <v>0B36039</v>
          </cell>
          <cell r="E18964" t="str">
            <v>V7GA54UH</v>
          </cell>
        </row>
        <row r="18965">
          <cell r="D18965" t="str">
            <v>0B36039</v>
          </cell>
          <cell r="E18965" t="str">
            <v>V7G8E77H</v>
          </cell>
        </row>
        <row r="18966">
          <cell r="D18966" t="str">
            <v>0B36039</v>
          </cell>
          <cell r="E18966" t="str">
            <v>V7G97D2J</v>
          </cell>
        </row>
        <row r="18967">
          <cell r="D18967" t="str">
            <v>0B36039</v>
          </cell>
          <cell r="E18967" t="str">
            <v>V7GA51GH</v>
          </cell>
        </row>
        <row r="18968">
          <cell r="D18968" t="str">
            <v>0B36039</v>
          </cell>
          <cell r="E18968" t="str">
            <v>V7G84KMH</v>
          </cell>
        </row>
        <row r="18969">
          <cell r="D18969" t="str">
            <v>0B36039</v>
          </cell>
          <cell r="E18969" t="str">
            <v>V7G8VSNH</v>
          </cell>
        </row>
        <row r="18970">
          <cell r="D18970" t="str">
            <v>0B36039</v>
          </cell>
          <cell r="E18970" t="str">
            <v>V7G97DSJ</v>
          </cell>
        </row>
        <row r="18971">
          <cell r="D18971" t="str">
            <v>0B36039</v>
          </cell>
          <cell r="E18971" t="str">
            <v>V7GA557H</v>
          </cell>
        </row>
        <row r="18972">
          <cell r="D18972" t="str">
            <v>0B36039</v>
          </cell>
          <cell r="E18972" t="str">
            <v>V7G8JBSH</v>
          </cell>
        </row>
        <row r="18973">
          <cell r="D18973" t="str">
            <v>0B36039</v>
          </cell>
          <cell r="E18973" t="str">
            <v>V7G97DAJ</v>
          </cell>
        </row>
        <row r="18974">
          <cell r="D18974" t="str">
            <v>0B36039</v>
          </cell>
          <cell r="E18974" t="str">
            <v>V7GA543H</v>
          </cell>
        </row>
        <row r="18975">
          <cell r="D18975" t="str">
            <v>0B36039</v>
          </cell>
          <cell r="E18975" t="str">
            <v>V7G97AVJ</v>
          </cell>
        </row>
        <row r="18976">
          <cell r="D18976" t="str">
            <v>0B36039</v>
          </cell>
          <cell r="E18976" t="str">
            <v>V7G9JUSH</v>
          </cell>
        </row>
        <row r="18977">
          <cell r="D18977" t="str">
            <v>0B36039</v>
          </cell>
          <cell r="E18977" t="str">
            <v>V7GAKBPH</v>
          </cell>
        </row>
        <row r="18978">
          <cell r="D18978" t="str">
            <v>0B36039</v>
          </cell>
          <cell r="E18978" t="str">
            <v>V7GA57DH</v>
          </cell>
        </row>
        <row r="18979">
          <cell r="D18979" t="str">
            <v>0B36039</v>
          </cell>
          <cell r="E18979" t="str">
            <v>V7GAAVPH</v>
          </cell>
        </row>
        <row r="18980">
          <cell r="D18980" t="str">
            <v>0B36039</v>
          </cell>
          <cell r="E18980" t="str">
            <v>V7GAD1BH</v>
          </cell>
        </row>
        <row r="18981">
          <cell r="D18981" t="str">
            <v>0B36039</v>
          </cell>
          <cell r="E18981" t="str">
            <v>V7G620XH</v>
          </cell>
        </row>
        <row r="18982">
          <cell r="D18982" t="str">
            <v>0B36039</v>
          </cell>
          <cell r="E18982" t="str">
            <v>V7GAAL4H</v>
          </cell>
        </row>
        <row r="18983">
          <cell r="D18983" t="str">
            <v>0B36039</v>
          </cell>
          <cell r="E18983" t="str">
            <v>V7GABBJH</v>
          </cell>
        </row>
        <row r="18984">
          <cell r="D18984" t="str">
            <v>0B36039</v>
          </cell>
          <cell r="E18984" t="str">
            <v>V7GADE6H</v>
          </cell>
        </row>
        <row r="18985">
          <cell r="D18985" t="str">
            <v>0B36039</v>
          </cell>
          <cell r="E18985" t="str">
            <v>V7GA8UMH</v>
          </cell>
        </row>
        <row r="18986">
          <cell r="D18986" t="str">
            <v>0B36039</v>
          </cell>
          <cell r="E18986" t="str">
            <v>V7GAB04H</v>
          </cell>
        </row>
        <row r="18987">
          <cell r="D18987" t="str">
            <v>0B36039</v>
          </cell>
          <cell r="E18987" t="str">
            <v>V7GAD9HH</v>
          </cell>
        </row>
        <row r="18988">
          <cell r="D18988" t="str">
            <v>0B36039</v>
          </cell>
          <cell r="E18988" t="str">
            <v>V7G9WWDH</v>
          </cell>
        </row>
        <row r="18989">
          <cell r="D18989" t="str">
            <v>0B36039</v>
          </cell>
          <cell r="E18989" t="str">
            <v>V7GAALTH</v>
          </cell>
        </row>
        <row r="18990">
          <cell r="D18990" t="str">
            <v>0B36039</v>
          </cell>
          <cell r="E18990" t="str">
            <v>V7GABEBH</v>
          </cell>
        </row>
        <row r="18991">
          <cell r="D18991" t="str">
            <v>0B36039</v>
          </cell>
          <cell r="E18991" t="str">
            <v>V7GAE72J</v>
          </cell>
        </row>
        <row r="18992">
          <cell r="D18992" t="str">
            <v>0B36039</v>
          </cell>
          <cell r="E18992" t="str">
            <v>V7GAA3KH</v>
          </cell>
        </row>
        <row r="18993">
          <cell r="D18993" t="str">
            <v>0B36039</v>
          </cell>
          <cell r="E18993" t="str">
            <v>V7GAB9AH</v>
          </cell>
        </row>
        <row r="18994">
          <cell r="D18994" t="str">
            <v>0B36039</v>
          </cell>
          <cell r="E18994" t="str">
            <v>V7GAD9LH</v>
          </cell>
        </row>
        <row r="18995">
          <cell r="D18995" t="str">
            <v>0B36039</v>
          </cell>
          <cell r="E18995" t="str">
            <v>V7GAALWH</v>
          </cell>
        </row>
        <row r="18996">
          <cell r="D18996" t="str">
            <v>0B36039</v>
          </cell>
          <cell r="E18996" t="str">
            <v>V7GAD0ZH</v>
          </cell>
        </row>
        <row r="18997">
          <cell r="D18997" t="str">
            <v>0B36039</v>
          </cell>
          <cell r="E18997" t="str">
            <v>V7GAEDBJ</v>
          </cell>
        </row>
        <row r="18998">
          <cell r="D18998" t="str">
            <v>SSDSC2KB960GZ01</v>
          </cell>
          <cell r="E18998" t="str">
            <v>BTYI201203BJ960CGN</v>
          </cell>
        </row>
        <row r="18999">
          <cell r="D18999" t="str">
            <v>SSDSC2KB960GZ01</v>
          </cell>
          <cell r="E18999" t="str">
            <v>PHYI1461010T960CGN</v>
          </cell>
        </row>
        <row r="19000">
          <cell r="D19000" t="str">
            <v>SSDSC2KB960GZ01</v>
          </cell>
          <cell r="E19000" t="str">
            <v>PHYI146100VG960CGN</v>
          </cell>
        </row>
        <row r="19001">
          <cell r="D19001" t="str">
            <v>SSDSC2KB960GZ01</v>
          </cell>
          <cell r="E19001" t="str">
            <v>BTYI201203WY960CGN</v>
          </cell>
        </row>
        <row r="19002">
          <cell r="D19002" t="str">
            <v>SSDSC2KB960GZ01</v>
          </cell>
          <cell r="E19002" t="str">
            <v>BTYI2044013Z960CGN</v>
          </cell>
        </row>
        <row r="19003">
          <cell r="D19003" t="str">
            <v>CSE-825TQ-600LPB</v>
          </cell>
          <cell r="E19003" t="str">
            <v>C8250FK42PA0286</v>
          </cell>
        </row>
        <row r="19004">
          <cell r="D19004" t="str">
            <v>CSE-825TQ-600LPB</v>
          </cell>
          <cell r="E19004" t="str">
            <v>C8250FK42PA0311</v>
          </cell>
        </row>
        <row r="19005">
          <cell r="D19005" t="str">
            <v>MBD-X10SRH-CLN4F</v>
          </cell>
          <cell r="E19005" t="str">
            <v>NM21BS002267</v>
          </cell>
        </row>
        <row r="19006">
          <cell r="D19006" t="str">
            <v>MBD-X10SRH-CLN4F</v>
          </cell>
          <cell r="E19006" t="str">
            <v>NM21BS002222</v>
          </cell>
        </row>
        <row r="19007">
          <cell r="D19007" t="str">
            <v>MBD-X10SRH-CLN4F</v>
          </cell>
          <cell r="E19007" t="str">
            <v>NM21BS002266</v>
          </cell>
        </row>
        <row r="19008">
          <cell r="D19008" t="str">
            <v>MBD-X10SRH-CLN4F</v>
          </cell>
          <cell r="E19008" t="str">
            <v>NM21BS002264</v>
          </cell>
        </row>
        <row r="19009">
          <cell r="D19009" t="str">
            <v>MBD-X10SRH-CLN4F</v>
          </cell>
          <cell r="E19009" t="str">
            <v>NM21BS002262</v>
          </cell>
        </row>
        <row r="19010">
          <cell r="D19010" t="str">
            <v>MBD-X10SRH-CLN4F</v>
          </cell>
          <cell r="E19010" t="str">
            <v>NM21BS002265</v>
          </cell>
        </row>
        <row r="19011">
          <cell r="D19011" t="str">
            <v>MBD-X10SRH-CLN4F</v>
          </cell>
          <cell r="E19011" t="str">
            <v>NM21BS002261</v>
          </cell>
        </row>
        <row r="19012">
          <cell r="D19012" t="str">
            <v>MBD-X10SRH-CLN4F</v>
          </cell>
          <cell r="E19012" t="str">
            <v>NM21BS002235</v>
          </cell>
        </row>
        <row r="19013">
          <cell r="D19013" t="str">
            <v>MBD-X10SRH-CLN4F</v>
          </cell>
          <cell r="E19013" t="str">
            <v>NM21BS002214</v>
          </cell>
        </row>
        <row r="19014">
          <cell r="D19014" t="str">
            <v>MBD-X10SRH-CLN4F</v>
          </cell>
          <cell r="E19014" t="str">
            <v>NM21BS002076</v>
          </cell>
        </row>
        <row r="19015">
          <cell r="D19015" t="str">
            <v>AOC-SLG3-4E4T-O</v>
          </cell>
          <cell r="E19015" t="str">
            <v>OA225S051973</v>
          </cell>
        </row>
        <row r="19016">
          <cell r="D19016" t="str">
            <v>AOC-SLG3-4E4T-O</v>
          </cell>
          <cell r="E19016" t="str">
            <v>OA225S051966</v>
          </cell>
        </row>
        <row r="19017">
          <cell r="D19017" t="str">
            <v>AOC-SLG3-4E4T-O</v>
          </cell>
          <cell r="E19017" t="str">
            <v>OA225S051967</v>
          </cell>
        </row>
        <row r="19018">
          <cell r="D19018" t="str">
            <v>AOC-SLG3-4E4T-O</v>
          </cell>
          <cell r="E19018" t="str">
            <v>OA225S051970</v>
          </cell>
        </row>
        <row r="19019">
          <cell r="D19019" t="str">
            <v>AOC-SLG3-4E4T-O</v>
          </cell>
          <cell r="E19019" t="str">
            <v>OA225S051969</v>
          </cell>
        </row>
        <row r="19020">
          <cell r="D19020" t="str">
            <v>RSC-RR1U-E8</v>
          </cell>
          <cell r="E19020" t="str">
            <v>VR21BS016418</v>
          </cell>
        </row>
        <row r="19021">
          <cell r="D19021" t="str">
            <v>RSC-RR1U-E8</v>
          </cell>
          <cell r="E19021" t="str">
            <v>VR21BS016417</v>
          </cell>
        </row>
        <row r="19022">
          <cell r="D19022" t="str">
            <v>RSC-RR1U-E8</v>
          </cell>
          <cell r="E19022" t="str">
            <v>VR21BS016416</v>
          </cell>
        </row>
        <row r="19023">
          <cell r="D19023" t="str">
            <v>RSC-RR1U-E8</v>
          </cell>
          <cell r="E19023" t="str">
            <v>VR21BS016419</v>
          </cell>
        </row>
        <row r="19024">
          <cell r="D19024" t="str">
            <v>RSC-RR1U-E8</v>
          </cell>
          <cell r="E19024" t="str">
            <v>VR21BS016420</v>
          </cell>
        </row>
        <row r="19025">
          <cell r="D19025" t="str">
            <v>HDD-2A600-ST600MM0009</v>
          </cell>
          <cell r="E19025" t="str">
            <v>WFJ5ZT35</v>
          </cell>
        </row>
        <row r="19026">
          <cell r="D19026" t="str">
            <v>AOC-SLG3-2M2-O</v>
          </cell>
          <cell r="E19026" t="str">
            <v>VA21AS024572</v>
          </cell>
        </row>
        <row r="19027">
          <cell r="D19027" t="str">
            <v>AOC-SLG3-2M2-O</v>
          </cell>
          <cell r="E19027" t="str">
            <v>VA21AS024593</v>
          </cell>
        </row>
        <row r="19028">
          <cell r="D19028" t="str">
            <v>AOC-SLG3-2M2-O</v>
          </cell>
          <cell r="E19028" t="str">
            <v>VA21AS024574</v>
          </cell>
        </row>
        <row r="19029">
          <cell r="D19029" t="str">
            <v>AOC-SLG3-2M2-O</v>
          </cell>
          <cell r="E19029" t="str">
            <v>VA21AS024576</v>
          </cell>
        </row>
        <row r="19030">
          <cell r="D19030" t="str">
            <v>AOC-SLG3-2M2-O</v>
          </cell>
          <cell r="E19030" t="str">
            <v>VA21AS024571</v>
          </cell>
        </row>
        <row r="19031">
          <cell r="D19031" t="str">
            <v>MBD-X11SCL-LN4F-O</v>
          </cell>
          <cell r="E19031" t="str">
            <v>ZM21AS008388</v>
          </cell>
        </row>
        <row r="19032">
          <cell r="D19032" t="str">
            <v>HDD-2A600-ST600MM0009</v>
          </cell>
          <cell r="E19032" t="str">
            <v>WFJ5ZSEK</v>
          </cell>
        </row>
        <row r="19033">
          <cell r="D19033" t="str">
            <v>HDD-2A600-ST600MM0009</v>
          </cell>
          <cell r="E19033" t="str">
            <v>WFJ5Z2EC</v>
          </cell>
        </row>
        <row r="19034">
          <cell r="D19034" t="str">
            <v>AOC-SLG3-2H8M2-O</v>
          </cell>
          <cell r="E19034" t="str">
            <v>HA222S001603</v>
          </cell>
        </row>
        <row r="19035">
          <cell r="D19035" t="str">
            <v>BPN-SAS3-826A-N4</v>
          </cell>
          <cell r="E19035" t="str">
            <v>HB226S052894</v>
          </cell>
        </row>
        <row r="19036">
          <cell r="D19036" t="str">
            <v>BPN-SAS3-826A-N4</v>
          </cell>
          <cell r="E19036" t="str">
            <v>HB226S052895</v>
          </cell>
        </row>
        <row r="19037">
          <cell r="D19037" t="str">
            <v>BPN-SAS3-826A-N4</v>
          </cell>
          <cell r="E19037" t="str">
            <v>HB226S052896</v>
          </cell>
        </row>
        <row r="19038">
          <cell r="D19038" t="str">
            <v>BPN-SAS3-826A-N4</v>
          </cell>
          <cell r="E19038" t="str">
            <v>HB226S052892</v>
          </cell>
        </row>
        <row r="19039">
          <cell r="D19039" t="str">
            <v>BPN-SAS3-826A-N4</v>
          </cell>
          <cell r="E19039" t="str">
            <v>HB226S052893</v>
          </cell>
        </row>
        <row r="19040">
          <cell r="D19040" t="str">
            <v>BX80684E2234</v>
          </cell>
          <cell r="E19040" t="str">
            <v>U20N7E0502247</v>
          </cell>
        </row>
        <row r="19041">
          <cell r="D19041" t="str">
            <v>BX80684E2234</v>
          </cell>
          <cell r="E19041" t="str">
            <v>U233E4P800241</v>
          </cell>
        </row>
        <row r="19042">
          <cell r="D19042" t="str">
            <v>CSE84BE1C-R1K23B</v>
          </cell>
          <cell r="E19042" t="str">
            <v>C8460FK48MR0385</v>
          </cell>
        </row>
        <row r="19043">
          <cell r="D19043" t="str">
            <v>PWS</v>
          </cell>
          <cell r="E19043" t="str">
            <v>P1K2ACM10XB1654</v>
          </cell>
        </row>
        <row r="19044">
          <cell r="D19044" t="str">
            <v>PWS</v>
          </cell>
          <cell r="E19044" t="str">
            <v>P1K2ACM10XB1653</v>
          </cell>
        </row>
        <row r="19045">
          <cell r="D19045" t="str">
            <v>BPN</v>
          </cell>
          <cell r="E19045" t="str">
            <v>HB221S007306</v>
          </cell>
        </row>
        <row r="19046">
          <cell r="D19046" t="str">
            <v>CSE84BE1C-R1K23B</v>
          </cell>
          <cell r="E19046" t="str">
            <v>C8460FK48MR0336</v>
          </cell>
        </row>
        <row r="19047">
          <cell r="D19047" t="str">
            <v>PWS</v>
          </cell>
          <cell r="E19047" t="str">
            <v>P1K2ACM10XB1781</v>
          </cell>
        </row>
        <row r="19048">
          <cell r="D19048" t="str">
            <v>PWS</v>
          </cell>
          <cell r="E19048" t="str">
            <v>P1K2ACM10XB1782</v>
          </cell>
        </row>
        <row r="19049">
          <cell r="D19049" t="str">
            <v>BPN</v>
          </cell>
          <cell r="E19049" t="str">
            <v>HB221S007336</v>
          </cell>
        </row>
        <row r="19050">
          <cell r="D19050" t="str">
            <v>MZ7L3240HCHQ-00A07</v>
          </cell>
          <cell r="E19050" t="str">
            <v>S663NE0RC09212</v>
          </cell>
        </row>
        <row r="19051">
          <cell r="D19051" t="str">
            <v>MZ7L3240HCHQ-00A07</v>
          </cell>
          <cell r="E19051" t="str">
            <v>S663NE0RC09213</v>
          </cell>
        </row>
        <row r="19052">
          <cell r="D19052" t="str">
            <v>MZ7L3240HCHQ-00A07</v>
          </cell>
          <cell r="E19052" t="str">
            <v>S663NE0RC09583</v>
          </cell>
        </row>
        <row r="19053">
          <cell r="D19053" t="str">
            <v>MZ7L3240HCHQ-00A07</v>
          </cell>
          <cell r="E19053" t="str">
            <v>S663NE0RC09215</v>
          </cell>
        </row>
        <row r="19054">
          <cell r="D19054" t="str">
            <v>M391A4G43BB1-CWE</v>
          </cell>
          <cell r="E19054" t="str">
            <v>W07R0002200315D083</v>
          </cell>
        </row>
        <row r="19055">
          <cell r="D19055" t="str">
            <v>M391A4G43BB1-CWE</v>
          </cell>
          <cell r="E19055" t="str">
            <v>W07R0002200315DA94</v>
          </cell>
        </row>
        <row r="19056">
          <cell r="D19056" t="str">
            <v>M391A4G43BB1-CWE</v>
          </cell>
          <cell r="E19056" t="str">
            <v>W07R0002200315D6E7</v>
          </cell>
        </row>
        <row r="19057">
          <cell r="D19057" t="str">
            <v>M391A4G43BB1-CWE</v>
          </cell>
          <cell r="E19057" t="str">
            <v>W07R0002200315DA9B</v>
          </cell>
        </row>
        <row r="19058">
          <cell r="D19058" t="str">
            <v>M391A4G43BB1-CWE</v>
          </cell>
          <cell r="E19058" t="str">
            <v>W07R0002200315D091</v>
          </cell>
        </row>
        <row r="19059">
          <cell r="D19059" t="str">
            <v>M391A4G43BB1-CWE</v>
          </cell>
          <cell r="E19059" t="str">
            <v>W07R0002200315DB94</v>
          </cell>
        </row>
        <row r="19060">
          <cell r="D19060" t="str">
            <v>M391A4G43BB1-CWE</v>
          </cell>
          <cell r="E19060" t="str">
            <v>W07R0002200315D0DE</v>
          </cell>
        </row>
        <row r="19061">
          <cell r="D19061" t="str">
            <v>0B35914</v>
          </cell>
          <cell r="E19061" t="str">
            <v>V9KA4XSL</v>
          </cell>
        </row>
        <row r="19062">
          <cell r="D19062" t="str">
            <v>0B35914</v>
          </cell>
          <cell r="E19062" t="str">
            <v>V9KA69BL</v>
          </cell>
        </row>
        <row r="19063">
          <cell r="D19063" t="str">
            <v>0B35914</v>
          </cell>
          <cell r="E19063" t="str">
            <v>V9KA6APL</v>
          </cell>
        </row>
        <row r="19064">
          <cell r="D19064" t="str">
            <v>0B35914</v>
          </cell>
          <cell r="E19064" t="str">
            <v>V9KEDUAL</v>
          </cell>
        </row>
        <row r="19065">
          <cell r="D19065" t="str">
            <v>0B35914</v>
          </cell>
          <cell r="E19065" t="str">
            <v>V9KE7XHL</v>
          </cell>
        </row>
        <row r="19066">
          <cell r="D19066" t="str">
            <v>0B35914</v>
          </cell>
          <cell r="E19066" t="str">
            <v>V9KEG82L</v>
          </cell>
        </row>
        <row r="19067">
          <cell r="D19067" t="str">
            <v>0B35914</v>
          </cell>
          <cell r="E19067" t="str">
            <v>V9KA693L</v>
          </cell>
        </row>
        <row r="19068">
          <cell r="D19068" t="str">
            <v>0B35914</v>
          </cell>
          <cell r="E19068" t="str">
            <v>V9KA69AL</v>
          </cell>
        </row>
        <row r="19069">
          <cell r="D19069" t="str">
            <v>0B35914</v>
          </cell>
          <cell r="E19069" t="str">
            <v>V9KDX5AL</v>
          </cell>
        </row>
        <row r="19070">
          <cell r="D19070" t="str">
            <v>0F30144</v>
          </cell>
          <cell r="E19070" t="str">
            <v>5QJVZKPB</v>
          </cell>
        </row>
        <row r="19071">
          <cell r="D19071" t="str">
            <v>0F30144</v>
          </cell>
          <cell r="E19071" t="str">
            <v>5QJZ4RYB</v>
          </cell>
        </row>
        <row r="19072">
          <cell r="D19072" t="str">
            <v>0F30144</v>
          </cell>
          <cell r="E19072" t="str">
            <v>5QJZD5SB</v>
          </cell>
        </row>
        <row r="19073">
          <cell r="D19073" t="str">
            <v>0F30144</v>
          </cell>
          <cell r="E19073" t="str">
            <v>5QJZBKYB</v>
          </cell>
        </row>
        <row r="19074">
          <cell r="D19074" t="str">
            <v>0F30144</v>
          </cell>
          <cell r="E19074" t="str">
            <v>5QJZAV2B</v>
          </cell>
        </row>
        <row r="19075">
          <cell r="D19075" t="str">
            <v>0F30144</v>
          </cell>
          <cell r="E19075" t="str">
            <v>5QJZD14B</v>
          </cell>
        </row>
        <row r="19076">
          <cell r="D19076" t="str">
            <v>0F30144</v>
          </cell>
          <cell r="E19076" t="str">
            <v>5QJZDJAB</v>
          </cell>
        </row>
        <row r="19077">
          <cell r="D19077" t="str">
            <v>0F30144</v>
          </cell>
          <cell r="E19077" t="str">
            <v>5QJZNDEB</v>
          </cell>
        </row>
        <row r="19078">
          <cell r="D19078" t="str">
            <v>0F30144</v>
          </cell>
          <cell r="E19078" t="str">
            <v>5QJZG74B</v>
          </cell>
        </row>
        <row r="19079">
          <cell r="D19079" t="str">
            <v>0F30144</v>
          </cell>
          <cell r="E19079" t="str">
            <v>5QJZGWEB</v>
          </cell>
        </row>
        <row r="19080">
          <cell r="D19080" t="str">
            <v>0F30144</v>
          </cell>
          <cell r="E19080" t="str">
            <v>5QJZE3HB</v>
          </cell>
        </row>
        <row r="19081">
          <cell r="D19081" t="str">
            <v>0F30144</v>
          </cell>
          <cell r="E19081" t="str">
            <v>5QJZLHGB</v>
          </cell>
        </row>
        <row r="19082">
          <cell r="D19082" t="str">
            <v>MZ7L3960HCJR-00A07</v>
          </cell>
          <cell r="E19082" t="str">
            <v>S662NE0RC03471</v>
          </cell>
        </row>
        <row r="19083">
          <cell r="D19083" t="str">
            <v>MZ7L3960HCJR-00A07</v>
          </cell>
          <cell r="E19083" t="str">
            <v>S662NE0RC03472</v>
          </cell>
        </row>
        <row r="19084">
          <cell r="D19084" t="str">
            <v>MZ7L3960HCJR-00A07</v>
          </cell>
          <cell r="E19084" t="str">
            <v>S662NE0RC03473</v>
          </cell>
        </row>
        <row r="19085">
          <cell r="D19085" t="str">
            <v>MZ7L3960HCJR-00A07</v>
          </cell>
          <cell r="E19085" t="str">
            <v>S662NE0RC03372</v>
          </cell>
        </row>
        <row r="19086">
          <cell r="D19086" t="str">
            <v>MZ7L3960HCJR-00A07</v>
          </cell>
          <cell r="E19086" t="str">
            <v>S662NE0RC03373</v>
          </cell>
        </row>
        <row r="19087">
          <cell r="D19087" t="str">
            <v>MZ7L3960HCJR-00A07</v>
          </cell>
          <cell r="E19087" t="str">
            <v>S662NE0RC03374</v>
          </cell>
        </row>
        <row r="19088">
          <cell r="D19088" t="str">
            <v>MZ7L3960HCJR-00A07</v>
          </cell>
          <cell r="E19088" t="str">
            <v>S662NE0RC03375</v>
          </cell>
        </row>
        <row r="19089">
          <cell r="D19089" t="str">
            <v>MZ7L3960HCJR-00A07</v>
          </cell>
          <cell r="E19089" t="str">
            <v>S662NE0RC03376</v>
          </cell>
        </row>
        <row r="19090">
          <cell r="D19090" t="str">
            <v>MZ7L3960HCJR-00A07</v>
          </cell>
          <cell r="E19090" t="str">
            <v>S662NE0RC03377</v>
          </cell>
        </row>
        <row r="19091">
          <cell r="D19091" t="str">
            <v>MZ7L3960HCJR-00A07</v>
          </cell>
          <cell r="E19091" t="str">
            <v>S662NE0RC03378</v>
          </cell>
        </row>
        <row r="19092">
          <cell r="D19092" t="str">
            <v>MZ7L3960HCJR-00A07</v>
          </cell>
          <cell r="E19092" t="str">
            <v>S662NE0RC03379</v>
          </cell>
        </row>
        <row r="19093">
          <cell r="D19093" t="str">
            <v>MZ7L3960HCJR-00A07</v>
          </cell>
          <cell r="E19093" t="str">
            <v>S662NE0RC03380</v>
          </cell>
        </row>
        <row r="19094">
          <cell r="D19094" t="str">
            <v>KXG60ZNV1T02</v>
          </cell>
          <cell r="E19094" t="str">
            <v>125FC02HFXV4</v>
          </cell>
        </row>
        <row r="19095">
          <cell r="D19095" t="str">
            <v>KXG60ZNV512G</v>
          </cell>
          <cell r="E19095" t="str">
            <v>22GFC6X4FXR4</v>
          </cell>
        </row>
        <row r="19096">
          <cell r="D19096" t="str">
            <v>KXG60ZNV512G</v>
          </cell>
          <cell r="E19096" t="str">
            <v>22GFC7F9FXR4</v>
          </cell>
        </row>
        <row r="19097">
          <cell r="D19097" t="str">
            <v>KXG60ZNV1T02</v>
          </cell>
          <cell r="E19097" t="str">
            <v>125FC15VFXV4</v>
          </cell>
        </row>
        <row r="19098">
          <cell r="D19098" t="str">
            <v>KXG60ZNV1T02</v>
          </cell>
          <cell r="E19098" t="str">
            <v>125FC0EUFXV4</v>
          </cell>
        </row>
        <row r="19099">
          <cell r="D19099" t="str">
            <v>Xeon Silver 4309Y</v>
          </cell>
          <cell r="E19099" t="str">
            <v>3792C8C063B0AC4ARKXS  42GP526000628</v>
          </cell>
        </row>
        <row r="19100">
          <cell r="D19100" t="str">
            <v>CD8069504446300 Xeon Gold 5218R</v>
          </cell>
          <cell r="E19100" t="str">
            <v>1T3222F757</v>
          </cell>
        </row>
        <row r="19101">
          <cell r="D19101" t="str">
            <v>CD8069503956401 Xeon Silver 4208</v>
          </cell>
          <cell r="E19101" t="str">
            <v>4579C71BBFA0490BRFBM    72NL410100800</v>
          </cell>
        </row>
        <row r="19102">
          <cell r="D19102" t="str">
            <v>CD8069503956401 Xeon Silver 4208</v>
          </cell>
          <cell r="E19102" t="str">
            <v>314db31b9ff670ferfbm             72LW458600601</v>
          </cell>
        </row>
        <row r="19103">
          <cell r="D19103" t="str">
            <v>CD8069503956401 Xeon Silver 4208</v>
          </cell>
          <cell r="E19103" t="str">
            <v>3147e81b2743b412rfbm         72LW458601059</v>
          </cell>
        </row>
        <row r="19104">
          <cell r="D19104" t="str">
            <v>CD8069503956401 Xeon Silver 4208</v>
          </cell>
          <cell r="E19104" t="str">
            <v>3173ea1b5d1ef0f3rfbm            72LW458601052</v>
          </cell>
        </row>
        <row r="19105">
          <cell r="D19105" t="str">
            <v>CD8069503956401 Xeon Silver 4208</v>
          </cell>
          <cell r="E19105" t="str">
            <v>3177d81b6b00aff0rfbm            72LW458601116</v>
          </cell>
        </row>
        <row r="19106">
          <cell r="D19106" t="str">
            <v>CD8069503956401 Xeon Silver 4208</v>
          </cell>
          <cell r="E19106" t="str">
            <v>3140f11b213b6438rfbm           72LW458601020</v>
          </cell>
        </row>
        <row r="19107">
          <cell r="D19107" t="str">
            <v>CD8069503956401 Xeon Silver 4208</v>
          </cell>
          <cell r="E19107" t="str">
            <v>3142f31b0734f92drfbm             72LW458601017</v>
          </cell>
        </row>
        <row r="19108">
          <cell r="D19108" t="str">
            <v>CD8069503956401 Xeon Silver 4208</v>
          </cell>
          <cell r="E19108" t="str">
            <v xml:space="preserve">3143641b7b802b44rfbm          72LW458601140 </v>
          </cell>
        </row>
        <row r="19109">
          <cell r="D19109" t="str">
            <v>MegaRaid 9361-8i   05-25420-08</v>
          </cell>
          <cell r="E19109" t="str">
            <v>SKC1269649</v>
          </cell>
        </row>
        <row r="19110">
          <cell r="D19110" t="str">
            <v>X470D4U</v>
          </cell>
          <cell r="E19110" t="str">
            <v>F1S0XW010762</v>
          </cell>
        </row>
        <row r="19111">
          <cell r="D19111" t="str">
            <v>X470D4U</v>
          </cell>
          <cell r="E19111" t="str">
            <v>F1S0XW010761</v>
          </cell>
        </row>
        <row r="19112">
          <cell r="D19112" t="str">
            <v>X570D4U</v>
          </cell>
          <cell r="E19112" t="str">
            <v>F1S0XW007725</v>
          </cell>
        </row>
        <row r="19113">
          <cell r="D19113" t="str">
            <v>X570D4U</v>
          </cell>
          <cell r="E19113" t="str">
            <v>F1S0XW007724</v>
          </cell>
        </row>
        <row r="19114">
          <cell r="D19114" t="str">
            <v>X570D4U</v>
          </cell>
          <cell r="E19114" t="str">
            <v>F1S0XW007723</v>
          </cell>
        </row>
        <row r="19115">
          <cell r="D19115" t="str">
            <v>X570D4U</v>
          </cell>
          <cell r="E19115" t="str">
            <v>F1S0XW007722</v>
          </cell>
        </row>
        <row r="19116">
          <cell r="D19116" t="str">
            <v>X570D4U</v>
          </cell>
          <cell r="E19116" t="str">
            <v>F1S0XW007721</v>
          </cell>
        </row>
        <row r="19117">
          <cell r="D19117" t="str">
            <v>X570D4U</v>
          </cell>
          <cell r="E19117" t="str">
            <v>F1S0XW007726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8C5B39-EA86-4F6E-8310-290622E74B85}" name="Tabela1" displayName="Tabela1" ref="A1:K6109" totalsRowShown="0" headerRowDxfId="603">
  <autoFilter ref="A1:K6109" xr:uid="{31F7B4CE-A43B-4E57-B4C9-9DF45599EA99}"/>
  <tableColumns count="11">
    <tableColumn id="1" xr3:uid="{8F806845-C22F-45CB-855D-ADEE41A9172A}" name="PRZYSZŁO"/>
    <tableColumn id="2" xr3:uid="{472DE9A7-A904-4054-A39C-FB876A83DC04}" name="NR LISTU*"/>
    <tableColumn id="3" xr3:uid="{B68823A9-3906-40BD-B375-C14EDA85809D}" name="DATA ZAKUPU"/>
    <tableColumn id="4" xr3:uid="{1F8FA5AC-967A-4251-9F8A-B408A71A8BA7}" name="NAZWA"/>
    <tableColumn id="5" xr3:uid="{2E49D68B-A1ED-426A-A2C7-02582AEBF0C7}" name="NUMER SERYJNY"/>
    <tableColumn id="6" xr3:uid="{89C556BF-1CD5-4C11-9A71-07EFABA58774}" name="DOSTAWCA"/>
    <tableColumn id="7" xr3:uid="{D2546D7D-1B8A-4F52-AF3A-D9C3A052D22A}" name="NR. FAKTURY ZAKUPU"/>
    <tableColumn id="8" xr3:uid="{1450AA62-8E50-4263-B333-6C7A337D437C}" name="DATA WYSYŁKI"/>
    <tableColumn id="9" xr3:uid="{D864C9AF-0D7B-4DC9-B2B0-4874B0B15D95}" name="DATA SPRZEDAŻY"/>
    <tableColumn id="10" xr3:uid="{DA4E2977-6BA0-42E2-B8D7-D4FE3AF5BEEF}" name="KLIENT"/>
    <tableColumn id="11" xr3:uid="{BF3157FA-1C15-4F9D-86F8-EF0B14978FCE}" name="KOMENTARZ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61B51-B057-4508-883B-887E9A82F39C}">
  <sheetPr codeName="Arkusz2">
    <tabColor rgb="FFFF0000"/>
  </sheetPr>
  <dimension ref="A1:F3"/>
  <sheetViews>
    <sheetView workbookViewId="0">
      <selection activeCell="A22" sqref="A22"/>
    </sheetView>
  </sheetViews>
  <sheetFormatPr defaultRowHeight="15"/>
  <cols>
    <col min="1" max="1" width="89.85546875" customWidth="1"/>
  </cols>
  <sheetData>
    <row r="1" spans="1:6">
      <c r="A1" t="s">
        <v>192</v>
      </c>
    </row>
    <row r="2" spans="1:6">
      <c r="A2" t="s">
        <v>193</v>
      </c>
    </row>
    <row r="3" spans="1:6" ht="156" customHeight="1">
      <c r="A3" s="69" t="s">
        <v>194</v>
      </c>
      <c r="B3" s="69"/>
      <c r="C3" s="69"/>
      <c r="D3" s="69"/>
      <c r="E3" s="69"/>
      <c r="F3" s="69"/>
    </row>
  </sheetData>
  <mergeCells count="1">
    <mergeCell ref="A3:F3"/>
  </mergeCells>
  <pageMargins left="0.7" right="0.7" top="0.75" bottom="0.75" header="0.3" footer="0.3"/>
  <pageSetup paperSize="0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A7253-5D6A-4D90-AB2B-26FF0D351631}">
  <sheetPr codeName="Arkusz3">
    <tabColor theme="9" tint="0.39997558519241921"/>
  </sheetPr>
  <dimension ref="A1:M6109"/>
  <sheetViews>
    <sheetView topLeftCell="B1" workbookViewId="0">
      <selection activeCell="E1" sqref="E1:E1048576"/>
    </sheetView>
  </sheetViews>
  <sheetFormatPr defaultRowHeight="15"/>
  <cols>
    <col min="1" max="1" width="12.7109375" style="1" customWidth="1"/>
    <col min="2" max="2" width="22.28515625" style="2" bestFit="1" customWidth="1"/>
    <col min="3" max="3" width="16.140625" style="1" customWidth="1"/>
    <col min="4" max="4" width="32.140625" style="1" bestFit="1" customWidth="1"/>
    <col min="5" max="5" width="25.7109375" style="1" customWidth="1"/>
    <col min="6" max="6" width="23.140625" style="1" customWidth="1"/>
    <col min="7" max="7" width="28.5703125" style="1" customWidth="1"/>
    <col min="8" max="8" width="19" style="1" customWidth="1"/>
    <col min="9" max="9" width="20.28515625" style="1" customWidth="1"/>
    <col min="10" max="10" width="18" style="1" customWidth="1"/>
    <col min="11" max="11" width="34.28515625" style="1" customWidth="1"/>
    <col min="12" max="16384" width="9.140625" style="1"/>
  </cols>
  <sheetData>
    <row r="1" spans="1:13">
      <c r="A1" s="3" t="s">
        <v>0</v>
      </c>
      <c r="B1" s="4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109</v>
      </c>
      <c r="I1" s="3" t="s">
        <v>110</v>
      </c>
      <c r="J1" s="3" t="s">
        <v>7</v>
      </c>
      <c r="K1" s="3" t="s">
        <v>8</v>
      </c>
      <c r="M1" s="5" t="s">
        <v>10</v>
      </c>
    </row>
    <row r="2" spans="1:13">
      <c r="A2" t="s">
        <v>13</v>
      </c>
      <c r="B2" t="s">
        <v>9</v>
      </c>
      <c r="C2">
        <v>43838</v>
      </c>
      <c r="D2" t="s">
        <v>10</v>
      </c>
      <c r="E2" t="s">
        <v>11</v>
      </c>
      <c r="F2" t="s">
        <v>12</v>
      </c>
      <c r="G2">
        <v>931155208</v>
      </c>
      <c r="H2"/>
      <c r="I2"/>
      <c r="J2"/>
      <c r="K2" t="s">
        <v>13</v>
      </c>
      <c r="M2" s="5" t="s">
        <v>14</v>
      </c>
    </row>
    <row r="3" spans="1:13">
      <c r="A3">
        <v>44207</v>
      </c>
      <c r="B3" t="s">
        <v>9</v>
      </c>
      <c r="C3">
        <v>43838</v>
      </c>
      <c r="D3" t="s">
        <v>14</v>
      </c>
      <c r="E3" t="s">
        <v>15</v>
      </c>
      <c r="F3"/>
      <c r="G3"/>
      <c r="H3"/>
      <c r="I3"/>
      <c r="J3"/>
      <c r="K3" t="s">
        <v>13</v>
      </c>
      <c r="M3" s="5" t="s">
        <v>189</v>
      </c>
    </row>
    <row r="4" spans="1:13">
      <c r="A4">
        <v>44207</v>
      </c>
      <c r="B4" t="s">
        <v>9</v>
      </c>
      <c r="C4">
        <v>43838</v>
      </c>
      <c r="D4" t="s">
        <v>189</v>
      </c>
      <c r="E4" t="s">
        <v>16</v>
      </c>
      <c r="F4" t="s">
        <v>12</v>
      </c>
      <c r="G4">
        <v>931155208</v>
      </c>
      <c r="H4"/>
      <c r="I4"/>
      <c r="J4"/>
      <c r="K4" t="s">
        <v>13</v>
      </c>
      <c r="M4" s="5" t="s">
        <v>111</v>
      </c>
    </row>
    <row r="5" spans="1:13">
      <c r="A5">
        <v>44207</v>
      </c>
      <c r="B5" t="s">
        <v>9</v>
      </c>
      <c r="C5">
        <v>43838</v>
      </c>
      <c r="D5" t="s">
        <v>17</v>
      </c>
      <c r="E5" t="s">
        <v>18</v>
      </c>
      <c r="F5" t="s">
        <v>12</v>
      </c>
      <c r="G5">
        <v>931155208</v>
      </c>
      <c r="H5"/>
      <c r="I5"/>
      <c r="J5"/>
      <c r="K5" t="s">
        <v>13</v>
      </c>
      <c r="M5" s="5" t="s">
        <v>190</v>
      </c>
    </row>
    <row r="6" spans="1:13">
      <c r="A6">
        <v>44214</v>
      </c>
      <c r="B6" t="s">
        <v>223</v>
      </c>
      <c r="C6">
        <v>44211</v>
      </c>
      <c r="D6" t="s">
        <v>225</v>
      </c>
      <c r="E6" t="s">
        <v>233</v>
      </c>
      <c r="F6" t="s">
        <v>210</v>
      </c>
      <c r="G6">
        <v>931160032</v>
      </c>
      <c r="H6"/>
      <c r="I6"/>
      <c r="J6"/>
      <c r="K6" t="s">
        <v>13</v>
      </c>
      <c r="M6" s="5"/>
    </row>
    <row r="7" spans="1:13">
      <c r="A7">
        <v>44230</v>
      </c>
      <c r="B7" t="s">
        <v>219</v>
      </c>
      <c r="C7">
        <v>44229</v>
      </c>
      <c r="D7" t="s">
        <v>220</v>
      </c>
      <c r="E7" t="s">
        <v>259</v>
      </c>
      <c r="F7" t="s">
        <v>222</v>
      </c>
      <c r="G7">
        <v>40000494</v>
      </c>
      <c r="H7"/>
      <c r="I7"/>
      <c r="J7"/>
      <c r="K7" t="s">
        <v>13</v>
      </c>
      <c r="M7" s="5"/>
    </row>
    <row r="8" spans="1:13">
      <c r="A8">
        <v>44209</v>
      </c>
      <c r="B8">
        <v>947658636609</v>
      </c>
      <c r="C8">
        <v>44207</v>
      </c>
      <c r="D8" t="s">
        <v>111</v>
      </c>
      <c r="E8" t="s">
        <v>136</v>
      </c>
      <c r="F8" t="s">
        <v>113</v>
      </c>
      <c r="G8">
        <v>2100429</v>
      </c>
      <c r="H8"/>
      <c r="I8"/>
      <c r="J8"/>
      <c r="K8" t="s">
        <v>13</v>
      </c>
      <c r="M8" s="5"/>
    </row>
    <row r="9" spans="1:13">
      <c r="A9">
        <v>44209</v>
      </c>
      <c r="B9">
        <v>947658636609</v>
      </c>
      <c r="C9">
        <v>44207</v>
      </c>
      <c r="D9" t="s">
        <v>111</v>
      </c>
      <c r="E9" t="s">
        <v>137</v>
      </c>
      <c r="F9" t="s">
        <v>113</v>
      </c>
      <c r="G9">
        <v>2100429</v>
      </c>
      <c r="H9"/>
      <c r="I9"/>
      <c r="J9"/>
      <c r="K9" t="s">
        <v>13</v>
      </c>
      <c r="M9" s="5"/>
    </row>
    <row r="10" spans="1:13">
      <c r="A10">
        <v>44209</v>
      </c>
      <c r="B10">
        <v>947658636609</v>
      </c>
      <c r="C10">
        <v>44207</v>
      </c>
      <c r="D10" t="s">
        <v>111</v>
      </c>
      <c r="E10" t="s">
        <v>138</v>
      </c>
      <c r="F10" t="s">
        <v>113</v>
      </c>
      <c r="G10">
        <v>2100429</v>
      </c>
      <c r="H10"/>
      <c r="I10"/>
      <c r="J10"/>
      <c r="K10" t="s">
        <v>13</v>
      </c>
      <c r="M10" s="5"/>
    </row>
    <row r="11" spans="1:13">
      <c r="A11">
        <v>44209</v>
      </c>
      <c r="B11">
        <v>947658636609</v>
      </c>
      <c r="C11">
        <v>44207</v>
      </c>
      <c r="D11" t="s">
        <v>111</v>
      </c>
      <c r="E11" t="s">
        <v>139</v>
      </c>
      <c r="F11" t="s">
        <v>113</v>
      </c>
      <c r="G11">
        <v>2100429</v>
      </c>
      <c r="H11"/>
      <c r="I11"/>
      <c r="J11"/>
      <c r="K11" t="s">
        <v>13</v>
      </c>
      <c r="M11" s="5"/>
    </row>
    <row r="12" spans="1:13">
      <c r="A12">
        <v>44214</v>
      </c>
      <c r="B12" t="s">
        <v>223</v>
      </c>
      <c r="C12">
        <v>44211</v>
      </c>
      <c r="D12" t="s">
        <v>225</v>
      </c>
      <c r="E12" t="s">
        <v>231</v>
      </c>
      <c r="F12" t="s">
        <v>210</v>
      </c>
      <c r="G12">
        <v>931160032</v>
      </c>
      <c r="H12"/>
      <c r="I12"/>
      <c r="J12"/>
      <c r="K12" t="s">
        <v>20</v>
      </c>
      <c r="M12" s="5"/>
    </row>
    <row r="13" spans="1:13">
      <c r="A13">
        <v>44230</v>
      </c>
      <c r="B13" t="s">
        <v>219</v>
      </c>
      <c r="C13">
        <v>44229</v>
      </c>
      <c r="D13" t="s">
        <v>220</v>
      </c>
      <c r="E13" t="s">
        <v>261</v>
      </c>
      <c r="F13" t="s">
        <v>222</v>
      </c>
      <c r="G13">
        <v>40000494</v>
      </c>
      <c r="H13"/>
      <c r="I13"/>
      <c r="J13"/>
      <c r="K13" t="s">
        <v>20</v>
      </c>
      <c r="M13" s="5"/>
    </row>
    <row r="14" spans="1:13">
      <c r="A14">
        <v>44207</v>
      </c>
      <c r="B14" t="s">
        <v>9</v>
      </c>
      <c r="C14">
        <v>43838</v>
      </c>
      <c r="D14" t="s">
        <v>10</v>
      </c>
      <c r="E14" t="s">
        <v>19</v>
      </c>
      <c r="F14" t="s">
        <v>12</v>
      </c>
      <c r="G14">
        <v>931155209</v>
      </c>
      <c r="H14"/>
      <c r="I14"/>
      <c r="J14"/>
      <c r="K14" t="s">
        <v>20</v>
      </c>
      <c r="M14" s="5"/>
    </row>
    <row r="15" spans="1:13">
      <c r="A15">
        <v>44207</v>
      </c>
      <c r="B15" t="s">
        <v>9</v>
      </c>
      <c r="C15">
        <v>43838</v>
      </c>
      <c r="D15" t="s">
        <v>14</v>
      </c>
      <c r="E15" t="s">
        <v>21</v>
      </c>
      <c r="F15"/>
      <c r="G15"/>
      <c r="H15"/>
      <c r="I15"/>
      <c r="J15"/>
      <c r="K15" t="s">
        <v>20</v>
      </c>
      <c r="M15" s="5"/>
    </row>
    <row r="16" spans="1:13">
      <c r="A16">
        <v>44207</v>
      </c>
      <c r="B16" t="s">
        <v>9</v>
      </c>
      <c r="C16">
        <v>43838</v>
      </c>
      <c r="D16" t="s">
        <v>189</v>
      </c>
      <c r="E16" t="s">
        <v>22</v>
      </c>
      <c r="F16" t="s">
        <v>12</v>
      </c>
      <c r="G16">
        <v>931155208</v>
      </c>
      <c r="H16"/>
      <c r="I16"/>
      <c r="J16"/>
      <c r="K16" t="s">
        <v>20</v>
      </c>
      <c r="M16" s="5"/>
    </row>
    <row r="17" spans="1:13">
      <c r="A17">
        <v>44207</v>
      </c>
      <c r="B17" t="s">
        <v>9</v>
      </c>
      <c r="C17">
        <v>43838</v>
      </c>
      <c r="D17" t="s">
        <v>17</v>
      </c>
      <c r="E17" t="s">
        <v>23</v>
      </c>
      <c r="F17" t="s">
        <v>12</v>
      </c>
      <c r="G17">
        <v>931155208</v>
      </c>
      <c r="H17"/>
      <c r="I17"/>
      <c r="J17"/>
      <c r="K17" t="s">
        <v>20</v>
      </c>
      <c r="M17" s="5"/>
    </row>
    <row r="18" spans="1:13">
      <c r="A18">
        <v>44209</v>
      </c>
      <c r="B18">
        <v>947658636609</v>
      </c>
      <c r="C18">
        <v>44207</v>
      </c>
      <c r="D18" t="s">
        <v>111</v>
      </c>
      <c r="E18" t="s">
        <v>132</v>
      </c>
      <c r="F18" t="s">
        <v>113</v>
      </c>
      <c r="G18">
        <v>2100429</v>
      </c>
      <c r="H18"/>
      <c r="I18"/>
      <c r="J18"/>
      <c r="K18" t="s">
        <v>20</v>
      </c>
      <c r="M18" s="5"/>
    </row>
    <row r="19" spans="1:13">
      <c r="A19">
        <v>44209</v>
      </c>
      <c r="B19">
        <v>947658636609</v>
      </c>
      <c r="C19">
        <v>44207</v>
      </c>
      <c r="D19" t="s">
        <v>111</v>
      </c>
      <c r="E19" t="s">
        <v>133</v>
      </c>
      <c r="F19" t="s">
        <v>113</v>
      </c>
      <c r="G19">
        <v>2100429</v>
      </c>
      <c r="H19"/>
      <c r="I19"/>
      <c r="J19"/>
      <c r="K19" t="s">
        <v>20</v>
      </c>
      <c r="M19" s="5"/>
    </row>
    <row r="20" spans="1:13">
      <c r="A20">
        <v>44209</v>
      </c>
      <c r="B20">
        <v>947658636609</v>
      </c>
      <c r="C20">
        <v>44207</v>
      </c>
      <c r="D20" t="s">
        <v>111</v>
      </c>
      <c r="E20" t="s">
        <v>134</v>
      </c>
      <c r="F20" t="s">
        <v>113</v>
      </c>
      <c r="G20">
        <v>2100429</v>
      </c>
      <c r="H20"/>
      <c r="I20"/>
      <c r="J20"/>
      <c r="K20" t="s">
        <v>20</v>
      </c>
      <c r="M20" s="5"/>
    </row>
    <row r="21" spans="1:13">
      <c r="A21">
        <v>44209</v>
      </c>
      <c r="B21">
        <v>947658636609</v>
      </c>
      <c r="C21">
        <v>44207</v>
      </c>
      <c r="D21" t="s">
        <v>111</v>
      </c>
      <c r="E21" t="s">
        <v>135</v>
      </c>
      <c r="F21" t="s">
        <v>113</v>
      </c>
      <c r="G21">
        <v>2100429</v>
      </c>
      <c r="H21"/>
      <c r="I21"/>
      <c r="J21"/>
      <c r="K21" t="s">
        <v>20</v>
      </c>
      <c r="M21" s="5"/>
    </row>
    <row r="22" spans="1:13">
      <c r="A22">
        <v>44214</v>
      </c>
      <c r="B22" t="s">
        <v>223</v>
      </c>
      <c r="C22">
        <v>44211</v>
      </c>
      <c r="D22" t="s">
        <v>225</v>
      </c>
      <c r="E22" t="s">
        <v>235</v>
      </c>
      <c r="F22" t="s">
        <v>210</v>
      </c>
      <c r="G22">
        <v>931160032</v>
      </c>
      <c r="H22"/>
      <c r="I22"/>
      <c r="J22"/>
      <c r="K22" t="s">
        <v>25</v>
      </c>
      <c r="M22" s="5"/>
    </row>
    <row r="23" spans="1:13">
      <c r="A23">
        <v>44230</v>
      </c>
      <c r="B23" t="s">
        <v>219</v>
      </c>
      <c r="C23">
        <v>44229</v>
      </c>
      <c r="D23" t="s">
        <v>220</v>
      </c>
      <c r="E23" t="s">
        <v>257</v>
      </c>
      <c r="F23" t="s">
        <v>222</v>
      </c>
      <c r="G23">
        <v>40000494</v>
      </c>
      <c r="H23"/>
      <c r="I23"/>
      <c r="J23"/>
      <c r="K23" t="s">
        <v>25</v>
      </c>
      <c r="M23" s="5"/>
    </row>
    <row r="24" spans="1:13">
      <c r="A24">
        <v>44207</v>
      </c>
      <c r="B24" t="s">
        <v>9</v>
      </c>
      <c r="C24">
        <v>43838</v>
      </c>
      <c r="D24" t="s">
        <v>10</v>
      </c>
      <c r="E24" t="s">
        <v>24</v>
      </c>
      <c r="F24" t="s">
        <v>12</v>
      </c>
      <c r="G24">
        <v>931155209</v>
      </c>
      <c r="H24"/>
      <c r="I24"/>
      <c r="J24"/>
      <c r="K24" t="s">
        <v>25</v>
      </c>
      <c r="M24" s="5"/>
    </row>
    <row r="25" spans="1:13">
      <c r="A25">
        <v>44207</v>
      </c>
      <c r="B25" t="s">
        <v>9</v>
      </c>
      <c r="C25">
        <v>43838</v>
      </c>
      <c r="D25" t="s">
        <v>14</v>
      </c>
      <c r="E25" t="s">
        <v>26</v>
      </c>
      <c r="F25"/>
      <c r="G25"/>
      <c r="H25"/>
      <c r="I25"/>
      <c r="J25"/>
      <c r="K25" t="s">
        <v>25</v>
      </c>
      <c r="M25" s="5"/>
    </row>
    <row r="26" spans="1:13">
      <c r="A26">
        <v>44207</v>
      </c>
      <c r="B26" t="s">
        <v>9</v>
      </c>
      <c r="C26">
        <v>43838</v>
      </c>
      <c r="D26" t="s">
        <v>189</v>
      </c>
      <c r="E26" t="s">
        <v>27</v>
      </c>
      <c r="F26" t="s">
        <v>12</v>
      </c>
      <c r="G26">
        <v>931155209</v>
      </c>
      <c r="H26"/>
      <c r="I26"/>
      <c r="J26"/>
      <c r="K26" t="s">
        <v>25</v>
      </c>
      <c r="M26" s="5"/>
    </row>
    <row r="27" spans="1:13">
      <c r="A27">
        <v>44207</v>
      </c>
      <c r="B27" t="s">
        <v>9</v>
      </c>
      <c r="C27">
        <v>43838</v>
      </c>
      <c r="D27" t="s">
        <v>17</v>
      </c>
      <c r="E27" t="s">
        <v>28</v>
      </c>
      <c r="F27" t="s">
        <v>12</v>
      </c>
      <c r="G27">
        <v>931155208</v>
      </c>
      <c r="H27"/>
      <c r="I27"/>
      <c r="J27"/>
      <c r="K27" t="s">
        <v>25</v>
      </c>
      <c r="M27" s="5"/>
    </row>
    <row r="28" spans="1:13">
      <c r="A28">
        <v>44209</v>
      </c>
      <c r="B28">
        <v>947658636609</v>
      </c>
      <c r="C28">
        <v>44207</v>
      </c>
      <c r="D28" t="s">
        <v>111</v>
      </c>
      <c r="E28" t="s">
        <v>140</v>
      </c>
      <c r="F28" t="s">
        <v>113</v>
      </c>
      <c r="G28">
        <v>2100429</v>
      </c>
      <c r="H28"/>
      <c r="I28"/>
      <c r="J28"/>
      <c r="K28" t="s">
        <v>25</v>
      </c>
      <c r="M28" s="5"/>
    </row>
    <row r="29" spans="1:13">
      <c r="A29">
        <v>44209</v>
      </c>
      <c r="B29">
        <v>947658636609</v>
      </c>
      <c r="C29">
        <v>44207</v>
      </c>
      <c r="D29" t="s">
        <v>111</v>
      </c>
      <c r="E29" t="s">
        <v>141</v>
      </c>
      <c r="F29" t="s">
        <v>113</v>
      </c>
      <c r="G29">
        <v>2100429</v>
      </c>
      <c r="H29"/>
      <c r="I29"/>
      <c r="J29"/>
      <c r="K29" t="s">
        <v>25</v>
      </c>
      <c r="M29" s="5"/>
    </row>
    <row r="30" spans="1:13">
      <c r="A30">
        <v>44209</v>
      </c>
      <c r="B30">
        <v>947658636609</v>
      </c>
      <c r="C30">
        <v>44207</v>
      </c>
      <c r="D30" t="s">
        <v>111</v>
      </c>
      <c r="E30" t="s">
        <v>142</v>
      </c>
      <c r="F30" t="s">
        <v>113</v>
      </c>
      <c r="G30">
        <v>2100429</v>
      </c>
      <c r="H30"/>
      <c r="I30"/>
      <c r="J30"/>
      <c r="K30" t="s">
        <v>25</v>
      </c>
      <c r="M30" s="5"/>
    </row>
    <row r="31" spans="1:13">
      <c r="A31">
        <v>44209</v>
      </c>
      <c r="B31">
        <v>947658636609</v>
      </c>
      <c r="C31">
        <v>44207</v>
      </c>
      <c r="D31" t="s">
        <v>111</v>
      </c>
      <c r="E31" t="s">
        <v>143</v>
      </c>
      <c r="F31" t="s">
        <v>113</v>
      </c>
      <c r="G31">
        <v>2100429</v>
      </c>
      <c r="H31"/>
      <c r="I31"/>
      <c r="J31"/>
      <c r="K31" t="s">
        <v>25</v>
      </c>
      <c r="M31" s="5"/>
    </row>
    <row r="32" spans="1:13">
      <c r="A32">
        <v>44214</v>
      </c>
      <c r="B32" t="s">
        <v>223</v>
      </c>
      <c r="C32">
        <v>44211</v>
      </c>
      <c r="D32" t="s">
        <v>225</v>
      </c>
      <c r="E32" t="s">
        <v>236</v>
      </c>
      <c r="F32" t="s">
        <v>210</v>
      </c>
      <c r="G32">
        <v>931160032</v>
      </c>
      <c r="H32"/>
      <c r="I32"/>
      <c r="J32"/>
      <c r="K32" t="s">
        <v>30</v>
      </c>
      <c r="M32" s="5"/>
    </row>
    <row r="33" spans="1:13">
      <c r="A33">
        <v>44230</v>
      </c>
      <c r="B33" t="s">
        <v>219</v>
      </c>
      <c r="C33">
        <v>44229</v>
      </c>
      <c r="D33" t="s">
        <v>220</v>
      </c>
      <c r="E33" t="s">
        <v>247</v>
      </c>
      <c r="F33" t="s">
        <v>222</v>
      </c>
      <c r="G33">
        <v>40000494</v>
      </c>
      <c r="H33"/>
      <c r="I33"/>
      <c r="J33"/>
      <c r="K33" t="s">
        <v>30</v>
      </c>
      <c r="M33" s="5"/>
    </row>
    <row r="34" spans="1:13">
      <c r="A34">
        <v>44207</v>
      </c>
      <c r="B34" t="s">
        <v>9</v>
      </c>
      <c r="C34">
        <v>43838</v>
      </c>
      <c r="D34" t="s">
        <v>10</v>
      </c>
      <c r="E34" t="s">
        <v>29</v>
      </c>
      <c r="F34" t="s">
        <v>12</v>
      </c>
      <c r="G34">
        <v>931155208</v>
      </c>
      <c r="H34"/>
      <c r="I34"/>
      <c r="J34"/>
      <c r="K34" t="s">
        <v>30</v>
      </c>
      <c r="M34" s="5"/>
    </row>
    <row r="35" spans="1:13">
      <c r="A35">
        <v>44207</v>
      </c>
      <c r="B35" t="s">
        <v>9</v>
      </c>
      <c r="C35">
        <v>43838</v>
      </c>
      <c r="D35" t="s">
        <v>14</v>
      </c>
      <c r="E35" t="s">
        <v>31</v>
      </c>
      <c r="F35"/>
      <c r="G35"/>
      <c r="H35"/>
      <c r="I35"/>
      <c r="J35"/>
      <c r="K35" t="s">
        <v>30</v>
      </c>
      <c r="M35" s="5"/>
    </row>
    <row r="36" spans="1:13">
      <c r="A36">
        <v>44207</v>
      </c>
      <c r="B36" t="s">
        <v>9</v>
      </c>
      <c r="C36">
        <v>43838</v>
      </c>
      <c r="D36" t="s">
        <v>189</v>
      </c>
      <c r="E36" t="s">
        <v>32</v>
      </c>
      <c r="F36" t="s">
        <v>12</v>
      </c>
      <c r="G36">
        <v>931155209</v>
      </c>
      <c r="H36"/>
      <c r="I36"/>
      <c r="J36"/>
      <c r="K36" t="s">
        <v>30</v>
      </c>
      <c r="M36" s="5"/>
    </row>
    <row r="37" spans="1:13">
      <c r="A37">
        <v>44207</v>
      </c>
      <c r="B37" t="s">
        <v>9</v>
      </c>
      <c r="C37">
        <v>43838</v>
      </c>
      <c r="D37" t="s">
        <v>17</v>
      </c>
      <c r="E37" t="s">
        <v>33</v>
      </c>
      <c r="F37" t="s">
        <v>12</v>
      </c>
      <c r="G37">
        <v>931155208</v>
      </c>
      <c r="H37"/>
      <c r="I37"/>
      <c r="J37"/>
      <c r="K37" t="s">
        <v>30</v>
      </c>
      <c r="M37" s="5"/>
    </row>
    <row r="38" spans="1:13">
      <c r="A38">
        <v>44209</v>
      </c>
      <c r="B38">
        <v>947658636609</v>
      </c>
      <c r="C38">
        <v>44207</v>
      </c>
      <c r="D38" t="s">
        <v>111</v>
      </c>
      <c r="E38" t="s">
        <v>144</v>
      </c>
      <c r="F38" t="s">
        <v>113</v>
      </c>
      <c r="G38">
        <v>2100429</v>
      </c>
      <c r="H38"/>
      <c r="I38"/>
      <c r="J38"/>
      <c r="K38" t="s">
        <v>30</v>
      </c>
      <c r="M38" s="5"/>
    </row>
    <row r="39" spans="1:13">
      <c r="A39">
        <v>44209</v>
      </c>
      <c r="B39">
        <v>947658636609</v>
      </c>
      <c r="C39">
        <v>44207</v>
      </c>
      <c r="D39" t="s">
        <v>111</v>
      </c>
      <c r="E39" t="s">
        <v>145</v>
      </c>
      <c r="F39" t="s">
        <v>113</v>
      </c>
      <c r="G39">
        <v>2100429</v>
      </c>
      <c r="H39"/>
      <c r="I39"/>
      <c r="J39"/>
      <c r="K39" t="s">
        <v>30</v>
      </c>
      <c r="M39" s="5"/>
    </row>
    <row r="40" spans="1:13">
      <c r="A40">
        <v>44209</v>
      </c>
      <c r="B40">
        <v>947658636609</v>
      </c>
      <c r="C40">
        <v>44207</v>
      </c>
      <c r="D40" t="s">
        <v>111</v>
      </c>
      <c r="E40" t="s">
        <v>146</v>
      </c>
      <c r="F40" t="s">
        <v>113</v>
      </c>
      <c r="G40">
        <v>2100429</v>
      </c>
      <c r="H40"/>
      <c r="I40"/>
      <c r="J40"/>
      <c r="K40" t="s">
        <v>30</v>
      </c>
      <c r="M40" s="5"/>
    </row>
    <row r="41" spans="1:13">
      <c r="A41">
        <v>44209</v>
      </c>
      <c r="B41">
        <v>947658636609</v>
      </c>
      <c r="C41">
        <v>44207</v>
      </c>
      <c r="D41" t="s">
        <v>111</v>
      </c>
      <c r="E41" t="s">
        <v>147</v>
      </c>
      <c r="F41" t="s">
        <v>113</v>
      </c>
      <c r="G41">
        <v>2100429</v>
      </c>
      <c r="H41"/>
      <c r="I41"/>
      <c r="J41"/>
      <c r="K41" t="s">
        <v>30</v>
      </c>
      <c r="M41" s="5"/>
    </row>
    <row r="42" spans="1:13">
      <c r="A42">
        <v>44214</v>
      </c>
      <c r="B42" t="s">
        <v>223</v>
      </c>
      <c r="C42">
        <v>44211</v>
      </c>
      <c r="D42" t="s">
        <v>225</v>
      </c>
      <c r="E42" t="s">
        <v>238</v>
      </c>
      <c r="F42" t="s">
        <v>210</v>
      </c>
      <c r="G42">
        <v>931160035</v>
      </c>
      <c r="H42"/>
      <c r="I42"/>
      <c r="J42"/>
      <c r="K42" t="s">
        <v>35</v>
      </c>
      <c r="M42" s="5"/>
    </row>
    <row r="43" spans="1:13">
      <c r="A43">
        <v>44230</v>
      </c>
      <c r="B43" t="s">
        <v>219</v>
      </c>
      <c r="C43">
        <v>44229</v>
      </c>
      <c r="D43" t="s">
        <v>220</v>
      </c>
      <c r="E43" t="s">
        <v>249</v>
      </c>
      <c r="F43" t="s">
        <v>222</v>
      </c>
      <c r="G43">
        <v>40000494</v>
      </c>
      <c r="H43"/>
      <c r="I43"/>
      <c r="J43"/>
      <c r="K43" t="s">
        <v>35</v>
      </c>
      <c r="M43" s="5"/>
    </row>
    <row r="44" spans="1:13">
      <c r="A44">
        <v>44207</v>
      </c>
      <c r="B44" t="s">
        <v>9</v>
      </c>
      <c r="C44">
        <v>43838</v>
      </c>
      <c r="D44" t="s">
        <v>10</v>
      </c>
      <c r="E44" t="s">
        <v>34</v>
      </c>
      <c r="F44" t="s">
        <v>12</v>
      </c>
      <c r="G44">
        <v>931155209</v>
      </c>
      <c r="H44"/>
      <c r="I44"/>
      <c r="J44"/>
      <c r="K44" t="s">
        <v>35</v>
      </c>
      <c r="M44" s="5"/>
    </row>
    <row r="45" spans="1:13">
      <c r="A45">
        <v>44207</v>
      </c>
      <c r="B45" t="s">
        <v>9</v>
      </c>
      <c r="C45">
        <v>43838</v>
      </c>
      <c r="D45" t="s">
        <v>14</v>
      </c>
      <c r="E45" t="s">
        <v>36</v>
      </c>
      <c r="F45"/>
      <c r="G45"/>
      <c r="H45"/>
      <c r="I45"/>
      <c r="J45"/>
      <c r="K45" t="s">
        <v>35</v>
      </c>
      <c r="M45" s="5"/>
    </row>
    <row r="46" spans="1:13">
      <c r="A46">
        <v>44207</v>
      </c>
      <c r="B46" t="s">
        <v>9</v>
      </c>
      <c r="C46">
        <v>43838</v>
      </c>
      <c r="D46" t="s">
        <v>189</v>
      </c>
      <c r="E46" t="s">
        <v>37</v>
      </c>
      <c r="F46" t="s">
        <v>12</v>
      </c>
      <c r="G46">
        <v>931155209</v>
      </c>
      <c r="H46"/>
      <c r="I46"/>
      <c r="J46"/>
      <c r="K46" t="s">
        <v>35</v>
      </c>
      <c r="M46" s="5"/>
    </row>
    <row r="47" spans="1:13">
      <c r="A47">
        <v>44207</v>
      </c>
      <c r="B47" t="s">
        <v>9</v>
      </c>
      <c r="C47">
        <v>43838</v>
      </c>
      <c r="D47" t="s">
        <v>17</v>
      </c>
      <c r="E47" t="s">
        <v>38</v>
      </c>
      <c r="F47" t="s">
        <v>12</v>
      </c>
      <c r="G47">
        <v>931155208</v>
      </c>
      <c r="H47"/>
      <c r="I47"/>
      <c r="J47"/>
      <c r="K47" t="s">
        <v>35</v>
      </c>
      <c r="M47" s="5"/>
    </row>
    <row r="48" spans="1:13">
      <c r="A48">
        <v>44209</v>
      </c>
      <c r="B48">
        <v>947658636609</v>
      </c>
      <c r="C48">
        <v>44207</v>
      </c>
      <c r="D48" t="s">
        <v>111</v>
      </c>
      <c r="E48" t="s">
        <v>148</v>
      </c>
      <c r="F48" t="s">
        <v>113</v>
      </c>
      <c r="G48">
        <v>2100429</v>
      </c>
      <c r="H48"/>
      <c r="I48"/>
      <c r="J48"/>
      <c r="K48" t="s">
        <v>35</v>
      </c>
      <c r="M48" s="5"/>
    </row>
    <row r="49" spans="1:13">
      <c r="A49">
        <v>44209</v>
      </c>
      <c r="B49">
        <v>947658636609</v>
      </c>
      <c r="C49">
        <v>44207</v>
      </c>
      <c r="D49" t="s">
        <v>111</v>
      </c>
      <c r="E49" t="s">
        <v>149</v>
      </c>
      <c r="F49" t="s">
        <v>113</v>
      </c>
      <c r="G49">
        <v>2100429</v>
      </c>
      <c r="H49"/>
      <c r="I49"/>
      <c r="J49"/>
      <c r="K49" t="s">
        <v>35</v>
      </c>
      <c r="M49" s="5"/>
    </row>
    <row r="50" spans="1:13">
      <c r="A50">
        <v>44209</v>
      </c>
      <c r="B50">
        <v>947658636609</v>
      </c>
      <c r="C50">
        <v>44207</v>
      </c>
      <c r="D50" t="s">
        <v>111</v>
      </c>
      <c r="E50" t="s">
        <v>150</v>
      </c>
      <c r="F50" t="s">
        <v>113</v>
      </c>
      <c r="G50">
        <v>2100429</v>
      </c>
      <c r="H50"/>
      <c r="I50"/>
      <c r="J50"/>
      <c r="K50" t="s">
        <v>35</v>
      </c>
      <c r="M50" s="5"/>
    </row>
    <row r="51" spans="1:13">
      <c r="A51">
        <v>44209</v>
      </c>
      <c r="B51">
        <v>947658636609</v>
      </c>
      <c r="C51">
        <v>44207</v>
      </c>
      <c r="D51" t="s">
        <v>111</v>
      </c>
      <c r="E51" t="s">
        <v>151</v>
      </c>
      <c r="F51" t="s">
        <v>113</v>
      </c>
      <c r="G51">
        <v>2100429</v>
      </c>
      <c r="H51"/>
      <c r="I51"/>
      <c r="J51"/>
      <c r="K51" t="s">
        <v>35</v>
      </c>
      <c r="M51" s="5"/>
    </row>
    <row r="52" spans="1:13">
      <c r="A52">
        <v>44214</v>
      </c>
      <c r="B52" t="s">
        <v>223</v>
      </c>
      <c r="C52">
        <v>44211</v>
      </c>
      <c r="D52" t="s">
        <v>225</v>
      </c>
      <c r="E52" t="s">
        <v>240</v>
      </c>
      <c r="F52" t="s">
        <v>210</v>
      </c>
      <c r="G52">
        <v>931160035</v>
      </c>
      <c r="H52"/>
      <c r="I52"/>
      <c r="J52"/>
      <c r="K52" t="s">
        <v>40</v>
      </c>
      <c r="M52" s="5"/>
    </row>
    <row r="53" spans="1:13">
      <c r="A53">
        <v>44230</v>
      </c>
      <c r="B53" t="s">
        <v>219</v>
      </c>
      <c r="C53">
        <v>44229</v>
      </c>
      <c r="D53" t="s">
        <v>220</v>
      </c>
      <c r="E53" t="s">
        <v>251</v>
      </c>
      <c r="F53" t="s">
        <v>222</v>
      </c>
      <c r="G53">
        <v>40000494</v>
      </c>
      <c r="H53"/>
      <c r="I53"/>
      <c r="J53"/>
      <c r="K53" t="s">
        <v>40</v>
      </c>
      <c r="M53" s="5"/>
    </row>
    <row r="54" spans="1:13">
      <c r="A54">
        <v>44207</v>
      </c>
      <c r="B54" t="s">
        <v>9</v>
      </c>
      <c r="C54">
        <v>43838</v>
      </c>
      <c r="D54" t="s">
        <v>10</v>
      </c>
      <c r="E54" t="s">
        <v>39</v>
      </c>
      <c r="F54" t="s">
        <v>12</v>
      </c>
      <c r="G54">
        <v>931155209</v>
      </c>
      <c r="H54"/>
      <c r="I54"/>
      <c r="J54"/>
      <c r="K54" t="s">
        <v>40</v>
      </c>
      <c r="M54" s="5" t="s">
        <v>17</v>
      </c>
    </row>
    <row r="55" spans="1:13">
      <c r="A55">
        <v>44207</v>
      </c>
      <c r="B55" t="s">
        <v>9</v>
      </c>
      <c r="C55">
        <v>43838</v>
      </c>
      <c r="D55" t="s">
        <v>14</v>
      </c>
      <c r="E55" t="s">
        <v>41</v>
      </c>
      <c r="F55"/>
      <c r="G55"/>
      <c r="H55"/>
      <c r="I55"/>
      <c r="J55"/>
      <c r="K55" t="s">
        <v>40</v>
      </c>
      <c r="M55" s="5" t="s">
        <v>191</v>
      </c>
    </row>
    <row r="56" spans="1:13">
      <c r="A56">
        <v>44207</v>
      </c>
      <c r="B56" t="s">
        <v>9</v>
      </c>
      <c r="C56">
        <v>43838</v>
      </c>
      <c r="D56" t="s">
        <v>189</v>
      </c>
      <c r="E56" t="s">
        <v>42</v>
      </c>
      <c r="F56" t="s">
        <v>12</v>
      </c>
      <c r="G56">
        <v>931155209</v>
      </c>
      <c r="H56"/>
      <c r="I56"/>
      <c r="J56"/>
      <c r="K56" t="s">
        <v>40</v>
      </c>
      <c r="M56" s="1" t="s">
        <v>13</v>
      </c>
    </row>
    <row r="57" spans="1:13">
      <c r="A57">
        <v>44207</v>
      </c>
      <c r="B57" t="s">
        <v>9</v>
      </c>
      <c r="C57">
        <v>43838</v>
      </c>
      <c r="D57" t="s">
        <v>17</v>
      </c>
      <c r="E57" t="s">
        <v>43</v>
      </c>
      <c r="F57" t="s">
        <v>12</v>
      </c>
      <c r="G57">
        <v>931155208</v>
      </c>
      <c r="H57"/>
      <c r="I57"/>
      <c r="J57"/>
      <c r="K57" t="s">
        <v>40</v>
      </c>
      <c r="M57" s="1" t="s">
        <v>20</v>
      </c>
    </row>
    <row r="58" spans="1:13">
      <c r="A58">
        <v>44209</v>
      </c>
      <c r="B58">
        <v>947658636609</v>
      </c>
      <c r="C58">
        <v>44207</v>
      </c>
      <c r="D58" t="s">
        <v>111</v>
      </c>
      <c r="E58" t="s">
        <v>152</v>
      </c>
      <c r="F58" t="s">
        <v>113</v>
      </c>
      <c r="G58">
        <v>2100429</v>
      </c>
      <c r="H58"/>
      <c r="I58"/>
      <c r="J58"/>
      <c r="K58" t="s">
        <v>40</v>
      </c>
      <c r="M58" s="1" t="s">
        <v>25</v>
      </c>
    </row>
    <row r="59" spans="1:13">
      <c r="A59">
        <v>44209</v>
      </c>
      <c r="B59">
        <v>947658636609</v>
      </c>
      <c r="C59">
        <v>44207</v>
      </c>
      <c r="D59" t="s">
        <v>111</v>
      </c>
      <c r="E59" t="s">
        <v>153</v>
      </c>
      <c r="F59" t="s">
        <v>113</v>
      </c>
      <c r="G59">
        <v>2100429</v>
      </c>
      <c r="H59"/>
      <c r="I59"/>
      <c r="J59"/>
      <c r="K59" t="s">
        <v>40</v>
      </c>
      <c r="M59" s="1" t="s">
        <v>30</v>
      </c>
    </row>
    <row r="60" spans="1:13">
      <c r="A60">
        <v>44209</v>
      </c>
      <c r="B60">
        <v>947658636609</v>
      </c>
      <c r="C60">
        <v>44207</v>
      </c>
      <c r="D60" t="s">
        <v>111</v>
      </c>
      <c r="E60" t="s">
        <v>154</v>
      </c>
      <c r="F60" t="s">
        <v>113</v>
      </c>
      <c r="G60">
        <v>2100429</v>
      </c>
      <c r="H60"/>
      <c r="I60"/>
      <c r="J60"/>
      <c r="K60" t="s">
        <v>40</v>
      </c>
      <c r="M60" s="1" t="s">
        <v>35</v>
      </c>
    </row>
    <row r="61" spans="1:13">
      <c r="A61">
        <v>44209</v>
      </c>
      <c r="B61">
        <v>947658636609</v>
      </c>
      <c r="C61">
        <v>44207</v>
      </c>
      <c r="D61" t="s">
        <v>111</v>
      </c>
      <c r="E61" t="s">
        <v>155</v>
      </c>
      <c r="F61" t="s">
        <v>113</v>
      </c>
      <c r="G61">
        <v>2100429</v>
      </c>
      <c r="H61"/>
      <c r="I61"/>
      <c r="J61"/>
      <c r="K61" t="s">
        <v>40</v>
      </c>
      <c r="M61" s="1" t="s">
        <v>40</v>
      </c>
    </row>
    <row r="62" spans="1:13">
      <c r="A62">
        <v>44214</v>
      </c>
      <c r="B62" t="s">
        <v>223</v>
      </c>
      <c r="C62">
        <v>44211</v>
      </c>
      <c r="D62" t="s">
        <v>225</v>
      </c>
      <c r="E62" t="s">
        <v>243</v>
      </c>
      <c r="F62" t="s">
        <v>210</v>
      </c>
      <c r="G62">
        <v>931160035</v>
      </c>
      <c r="H62"/>
      <c r="I62"/>
      <c r="J62"/>
      <c r="K62" t="s">
        <v>45</v>
      </c>
    </row>
    <row r="63" spans="1:13">
      <c r="A63">
        <v>44230</v>
      </c>
      <c r="B63" t="s">
        <v>219</v>
      </c>
      <c r="C63">
        <v>44229</v>
      </c>
      <c r="D63" t="s">
        <v>220</v>
      </c>
      <c r="E63" t="s">
        <v>246</v>
      </c>
      <c r="F63" t="s">
        <v>222</v>
      </c>
      <c r="G63">
        <v>40000494</v>
      </c>
      <c r="H63"/>
      <c r="I63"/>
      <c r="J63"/>
      <c r="K63" t="s">
        <v>45</v>
      </c>
    </row>
    <row r="64" spans="1:13">
      <c r="A64">
        <v>44207</v>
      </c>
      <c r="B64" t="s">
        <v>9</v>
      </c>
      <c r="C64">
        <v>43838</v>
      </c>
      <c r="D64" t="s">
        <v>10</v>
      </c>
      <c r="E64" t="s">
        <v>44</v>
      </c>
      <c r="F64" t="s">
        <v>12</v>
      </c>
      <c r="G64">
        <v>931155208</v>
      </c>
      <c r="H64"/>
      <c r="I64"/>
      <c r="J64"/>
      <c r="K64" t="s">
        <v>45</v>
      </c>
      <c r="M64" s="1" t="s">
        <v>45</v>
      </c>
    </row>
    <row r="65" spans="1:13">
      <c r="A65">
        <v>44207</v>
      </c>
      <c r="B65" t="s">
        <v>9</v>
      </c>
      <c r="C65">
        <v>43838</v>
      </c>
      <c r="D65" t="s">
        <v>14</v>
      </c>
      <c r="E65" t="s">
        <v>46</v>
      </c>
      <c r="F65"/>
      <c r="G65"/>
      <c r="H65"/>
      <c r="I65"/>
      <c r="J65"/>
      <c r="K65" t="s">
        <v>45</v>
      </c>
      <c r="M65" s="1" t="s">
        <v>50</v>
      </c>
    </row>
    <row r="66" spans="1:13">
      <c r="A66">
        <v>44207</v>
      </c>
      <c r="B66" t="s">
        <v>9</v>
      </c>
      <c r="C66">
        <v>43838</v>
      </c>
      <c r="D66" t="s">
        <v>189</v>
      </c>
      <c r="E66" t="s">
        <v>47</v>
      </c>
      <c r="F66" t="s">
        <v>12</v>
      </c>
      <c r="G66">
        <v>931155209</v>
      </c>
      <c r="H66"/>
      <c r="I66"/>
      <c r="J66"/>
      <c r="K66" t="s">
        <v>45</v>
      </c>
      <c r="M66" s="1" t="s">
        <v>55</v>
      </c>
    </row>
    <row r="67" spans="1:13">
      <c r="A67">
        <v>44207</v>
      </c>
      <c r="B67" t="s">
        <v>9</v>
      </c>
      <c r="C67">
        <v>43838</v>
      </c>
      <c r="D67" t="s">
        <v>17</v>
      </c>
      <c r="E67" t="s">
        <v>48</v>
      </c>
      <c r="F67" t="s">
        <v>12</v>
      </c>
      <c r="G67">
        <v>931155208</v>
      </c>
      <c r="H67"/>
      <c r="I67"/>
      <c r="J67"/>
      <c r="K67" t="s">
        <v>45</v>
      </c>
      <c r="M67" s="1" t="s">
        <v>60</v>
      </c>
    </row>
    <row r="68" spans="1:13">
      <c r="A68">
        <v>44209</v>
      </c>
      <c r="B68">
        <v>947658636609</v>
      </c>
      <c r="C68">
        <v>44207</v>
      </c>
      <c r="D68" t="s">
        <v>111</v>
      </c>
      <c r="E68" t="s">
        <v>184</v>
      </c>
      <c r="F68" t="s">
        <v>113</v>
      </c>
      <c r="G68">
        <v>2100429</v>
      </c>
      <c r="H68"/>
      <c r="I68"/>
      <c r="J68"/>
      <c r="K68" t="s">
        <v>45</v>
      </c>
      <c r="M68" s="1" t="s">
        <v>65</v>
      </c>
    </row>
    <row r="69" spans="1:13">
      <c r="A69">
        <v>44209</v>
      </c>
      <c r="B69">
        <v>947658636609</v>
      </c>
      <c r="C69">
        <v>44207</v>
      </c>
      <c r="D69" t="s">
        <v>111</v>
      </c>
      <c r="E69" t="s">
        <v>185</v>
      </c>
      <c r="F69" t="s">
        <v>113</v>
      </c>
      <c r="G69">
        <v>2100429</v>
      </c>
      <c r="H69"/>
      <c r="I69"/>
      <c r="J69"/>
      <c r="K69" t="s">
        <v>45</v>
      </c>
      <c r="M69" s="1" t="s">
        <v>70</v>
      </c>
    </row>
    <row r="70" spans="1:13">
      <c r="A70">
        <v>44209</v>
      </c>
      <c r="B70">
        <v>947658636609</v>
      </c>
      <c r="C70">
        <v>44207</v>
      </c>
      <c r="D70" t="s">
        <v>111</v>
      </c>
      <c r="E70" t="s">
        <v>186</v>
      </c>
      <c r="F70" t="s">
        <v>113</v>
      </c>
      <c r="G70">
        <v>2100429</v>
      </c>
      <c r="H70"/>
      <c r="I70"/>
      <c r="J70"/>
      <c r="K70" t="s">
        <v>45</v>
      </c>
      <c r="M70" s="1" t="s">
        <v>74</v>
      </c>
    </row>
    <row r="71" spans="1:13">
      <c r="A71">
        <v>44209</v>
      </c>
      <c r="B71">
        <v>947658636609</v>
      </c>
      <c r="C71">
        <v>44207</v>
      </c>
      <c r="D71" t="s">
        <v>111</v>
      </c>
      <c r="E71" t="s">
        <v>187</v>
      </c>
      <c r="F71" t="s">
        <v>113</v>
      </c>
      <c r="G71">
        <v>2100429</v>
      </c>
      <c r="H71"/>
      <c r="I71"/>
      <c r="J71"/>
      <c r="K71" t="s">
        <v>45</v>
      </c>
      <c r="M71" s="1" t="s">
        <v>80</v>
      </c>
    </row>
    <row r="72" spans="1:13">
      <c r="A72">
        <v>44207</v>
      </c>
      <c r="B72" t="s">
        <v>9</v>
      </c>
      <c r="C72">
        <v>43838</v>
      </c>
      <c r="D72" t="s">
        <v>10</v>
      </c>
      <c r="E72" t="s">
        <v>49</v>
      </c>
      <c r="F72" t="s">
        <v>12</v>
      </c>
      <c r="G72">
        <v>931155209</v>
      </c>
      <c r="H72"/>
      <c r="I72"/>
      <c r="J72"/>
      <c r="K72" t="s">
        <v>50</v>
      </c>
      <c r="M72" s="1" t="s">
        <v>85</v>
      </c>
    </row>
    <row r="73" spans="1:13">
      <c r="A73">
        <v>44207</v>
      </c>
      <c r="B73" t="s">
        <v>9</v>
      </c>
      <c r="C73">
        <v>43838</v>
      </c>
      <c r="D73" t="s">
        <v>14</v>
      </c>
      <c r="E73" t="s">
        <v>51</v>
      </c>
      <c r="F73"/>
      <c r="G73"/>
      <c r="H73"/>
      <c r="I73"/>
      <c r="J73"/>
      <c r="K73" t="s">
        <v>50</v>
      </c>
      <c r="M73" s="1" t="s">
        <v>90</v>
      </c>
    </row>
    <row r="74" spans="1:13">
      <c r="A74">
        <v>44207</v>
      </c>
      <c r="B74" t="s">
        <v>9</v>
      </c>
      <c r="C74">
        <v>43838</v>
      </c>
      <c r="D74" t="s">
        <v>189</v>
      </c>
      <c r="E74" t="s">
        <v>52</v>
      </c>
      <c r="F74" t="s">
        <v>12</v>
      </c>
      <c r="G74">
        <v>931155209</v>
      </c>
      <c r="H74"/>
      <c r="I74"/>
      <c r="J74"/>
      <c r="K74" t="s">
        <v>50</v>
      </c>
      <c r="M74" s="1" t="s">
        <v>95</v>
      </c>
    </row>
    <row r="75" spans="1:13">
      <c r="A75">
        <v>44207</v>
      </c>
      <c r="B75" t="s">
        <v>9</v>
      </c>
      <c r="C75">
        <v>43838</v>
      </c>
      <c r="D75" t="s">
        <v>17</v>
      </c>
      <c r="E75" t="s">
        <v>53</v>
      </c>
      <c r="F75" t="s">
        <v>12</v>
      </c>
      <c r="G75">
        <v>931155208</v>
      </c>
      <c r="H75"/>
      <c r="I75"/>
      <c r="J75"/>
      <c r="K75" t="s">
        <v>50</v>
      </c>
      <c r="M75" s="1" t="s">
        <v>100</v>
      </c>
    </row>
    <row r="76" spans="1:13">
      <c r="A76">
        <v>44214</v>
      </c>
      <c r="B76" t="s">
        <v>223</v>
      </c>
      <c r="C76">
        <v>44211</v>
      </c>
      <c r="D76" t="s">
        <v>225</v>
      </c>
      <c r="E76" t="s">
        <v>224</v>
      </c>
      <c r="F76" t="s">
        <v>210</v>
      </c>
      <c r="G76">
        <v>931160035</v>
      </c>
      <c r="H76"/>
      <c r="I76"/>
      <c r="J76"/>
      <c r="K76" t="s">
        <v>50</v>
      </c>
      <c r="M76" s="1" t="s">
        <v>105</v>
      </c>
    </row>
    <row r="77" spans="1:13">
      <c r="A77">
        <v>44230</v>
      </c>
      <c r="B77" t="s">
        <v>219</v>
      </c>
      <c r="C77">
        <v>44229</v>
      </c>
      <c r="D77" t="s">
        <v>220</v>
      </c>
      <c r="E77" t="s">
        <v>221</v>
      </c>
      <c r="F77" t="s">
        <v>222</v>
      </c>
      <c r="G77">
        <v>40000494</v>
      </c>
      <c r="H77"/>
      <c r="I77"/>
      <c r="J77"/>
      <c r="K77" t="s">
        <v>50</v>
      </c>
    </row>
    <row r="78" spans="1:13">
      <c r="A78">
        <v>44209</v>
      </c>
      <c r="B78">
        <v>947658636609</v>
      </c>
      <c r="C78">
        <v>44207</v>
      </c>
      <c r="D78" t="s">
        <v>111</v>
      </c>
      <c r="E78" t="s">
        <v>180</v>
      </c>
      <c r="F78" t="s">
        <v>113</v>
      </c>
      <c r="G78">
        <v>2100429</v>
      </c>
      <c r="H78"/>
      <c r="I78"/>
      <c r="J78"/>
      <c r="K78" t="s">
        <v>50</v>
      </c>
    </row>
    <row r="79" spans="1:13">
      <c r="A79">
        <v>44209</v>
      </c>
      <c r="B79">
        <v>947658636609</v>
      </c>
      <c r="C79">
        <v>44207</v>
      </c>
      <c r="D79" t="s">
        <v>111</v>
      </c>
      <c r="E79" t="s">
        <v>181</v>
      </c>
      <c r="F79" t="s">
        <v>113</v>
      </c>
      <c r="G79">
        <v>2100429</v>
      </c>
      <c r="H79"/>
      <c r="I79"/>
      <c r="J79"/>
      <c r="K79" t="s">
        <v>50</v>
      </c>
    </row>
    <row r="80" spans="1:13">
      <c r="A80">
        <v>44209</v>
      </c>
      <c r="B80">
        <v>947658636609</v>
      </c>
      <c r="C80">
        <v>44207</v>
      </c>
      <c r="D80" t="s">
        <v>111</v>
      </c>
      <c r="E80" t="s">
        <v>182</v>
      </c>
      <c r="F80" t="s">
        <v>113</v>
      </c>
      <c r="G80">
        <v>2100429</v>
      </c>
      <c r="H80"/>
      <c r="I80"/>
      <c r="J80"/>
      <c r="K80" t="s">
        <v>50</v>
      </c>
    </row>
    <row r="81" spans="1:11">
      <c r="A81">
        <v>44209</v>
      </c>
      <c r="B81">
        <v>947658636609</v>
      </c>
      <c r="C81">
        <v>44207</v>
      </c>
      <c r="D81" t="s">
        <v>111</v>
      </c>
      <c r="E81" t="s">
        <v>183</v>
      </c>
      <c r="F81" t="s">
        <v>113</v>
      </c>
      <c r="G81">
        <v>2100429</v>
      </c>
      <c r="H81"/>
      <c r="I81"/>
      <c r="J81"/>
      <c r="K81" t="s">
        <v>50</v>
      </c>
    </row>
    <row r="82" spans="1:11">
      <c r="A82">
        <v>44214</v>
      </c>
      <c r="B82" t="s">
        <v>223</v>
      </c>
      <c r="C82">
        <v>44211</v>
      </c>
      <c r="D82" t="s">
        <v>225</v>
      </c>
      <c r="E82" t="s">
        <v>242</v>
      </c>
      <c r="F82" t="s">
        <v>210</v>
      </c>
      <c r="G82">
        <v>931160035</v>
      </c>
      <c r="H82"/>
      <c r="I82"/>
      <c r="J82"/>
      <c r="K82" t="s">
        <v>55</v>
      </c>
    </row>
    <row r="83" spans="1:11">
      <c r="A83">
        <v>44230</v>
      </c>
      <c r="B83" t="s">
        <v>219</v>
      </c>
      <c r="C83">
        <v>44229</v>
      </c>
      <c r="D83" t="s">
        <v>220</v>
      </c>
      <c r="E83" t="s">
        <v>245</v>
      </c>
      <c r="F83" t="s">
        <v>222</v>
      </c>
      <c r="G83">
        <v>40000494</v>
      </c>
      <c r="H83"/>
      <c r="I83"/>
      <c r="J83"/>
      <c r="K83" t="s">
        <v>55</v>
      </c>
    </row>
    <row r="84" spans="1:11">
      <c r="A84">
        <v>44207</v>
      </c>
      <c r="B84" t="s">
        <v>9</v>
      </c>
      <c r="C84">
        <v>43838</v>
      </c>
      <c r="D84" t="s">
        <v>189</v>
      </c>
      <c r="E84" t="s">
        <v>54</v>
      </c>
      <c r="F84" t="s">
        <v>12</v>
      </c>
      <c r="G84">
        <v>931155208</v>
      </c>
      <c r="H84"/>
      <c r="I84"/>
      <c r="J84"/>
      <c r="K84" t="s">
        <v>55</v>
      </c>
    </row>
    <row r="85" spans="1:11">
      <c r="A85">
        <v>44207</v>
      </c>
      <c r="B85" t="s">
        <v>9</v>
      </c>
      <c r="C85">
        <v>43838</v>
      </c>
      <c r="D85" t="s">
        <v>10</v>
      </c>
      <c r="E85" t="s">
        <v>56</v>
      </c>
      <c r="F85" t="s">
        <v>12</v>
      </c>
      <c r="G85">
        <v>931155209</v>
      </c>
      <c r="H85"/>
      <c r="I85"/>
      <c r="J85"/>
      <c r="K85" t="s">
        <v>55</v>
      </c>
    </row>
    <row r="86" spans="1:11">
      <c r="A86">
        <v>44207</v>
      </c>
      <c r="B86" t="s">
        <v>9</v>
      </c>
      <c r="C86">
        <v>43838</v>
      </c>
      <c r="D86" t="s">
        <v>14</v>
      </c>
      <c r="E86" t="s">
        <v>57</v>
      </c>
      <c r="F86"/>
      <c r="G86"/>
      <c r="H86"/>
      <c r="I86"/>
      <c r="J86"/>
      <c r="K86" t="s">
        <v>55</v>
      </c>
    </row>
    <row r="87" spans="1:11">
      <c r="A87">
        <v>44207</v>
      </c>
      <c r="B87" t="s">
        <v>9</v>
      </c>
      <c r="C87">
        <v>43838</v>
      </c>
      <c r="D87" t="s">
        <v>17</v>
      </c>
      <c r="E87" t="s">
        <v>58</v>
      </c>
      <c r="F87" t="s">
        <v>12</v>
      </c>
      <c r="G87">
        <v>931155208</v>
      </c>
      <c r="H87"/>
      <c r="I87"/>
      <c r="J87"/>
      <c r="K87" t="s">
        <v>55</v>
      </c>
    </row>
    <row r="88" spans="1:11">
      <c r="A88">
        <v>44209</v>
      </c>
      <c r="B88">
        <v>947658636609</v>
      </c>
      <c r="C88">
        <v>44207</v>
      </c>
      <c r="D88" t="s">
        <v>111</v>
      </c>
      <c r="E88" t="s">
        <v>176</v>
      </c>
      <c r="F88" t="s">
        <v>113</v>
      </c>
      <c r="G88">
        <v>2100429</v>
      </c>
      <c r="H88"/>
      <c r="I88"/>
      <c r="J88"/>
      <c r="K88" t="s">
        <v>55</v>
      </c>
    </row>
    <row r="89" spans="1:11">
      <c r="A89">
        <v>44209</v>
      </c>
      <c r="B89">
        <v>947658636609</v>
      </c>
      <c r="C89">
        <v>44207</v>
      </c>
      <c r="D89" t="s">
        <v>111</v>
      </c>
      <c r="E89" t="s">
        <v>177</v>
      </c>
      <c r="F89" t="s">
        <v>113</v>
      </c>
      <c r="G89">
        <v>2100429</v>
      </c>
      <c r="H89"/>
      <c r="I89"/>
      <c r="J89"/>
      <c r="K89" t="s">
        <v>55</v>
      </c>
    </row>
    <row r="90" spans="1:11">
      <c r="A90">
        <v>44209</v>
      </c>
      <c r="B90">
        <v>947658636609</v>
      </c>
      <c r="C90">
        <v>44207</v>
      </c>
      <c r="D90" t="s">
        <v>111</v>
      </c>
      <c r="E90" t="s">
        <v>178</v>
      </c>
      <c r="F90" t="s">
        <v>113</v>
      </c>
      <c r="G90">
        <v>2100429</v>
      </c>
      <c r="H90"/>
      <c r="I90"/>
      <c r="J90"/>
      <c r="K90" t="s">
        <v>55</v>
      </c>
    </row>
    <row r="91" spans="1:11">
      <c r="A91">
        <v>44209</v>
      </c>
      <c r="B91">
        <v>947658636609</v>
      </c>
      <c r="C91">
        <v>44207</v>
      </c>
      <c r="D91" t="s">
        <v>111</v>
      </c>
      <c r="E91" t="s">
        <v>179</v>
      </c>
      <c r="F91" t="s">
        <v>113</v>
      </c>
      <c r="G91">
        <v>2100429</v>
      </c>
      <c r="H91"/>
      <c r="I91"/>
      <c r="J91"/>
      <c r="K91" t="s">
        <v>55</v>
      </c>
    </row>
    <row r="92" spans="1:11">
      <c r="A92">
        <v>44214</v>
      </c>
      <c r="B92" t="s">
        <v>223</v>
      </c>
      <c r="C92">
        <v>44211</v>
      </c>
      <c r="D92" t="s">
        <v>225</v>
      </c>
      <c r="E92" t="s">
        <v>226</v>
      </c>
      <c r="F92" t="s">
        <v>210</v>
      </c>
      <c r="G92">
        <v>931160032</v>
      </c>
      <c r="H92"/>
      <c r="I92"/>
      <c r="J92"/>
      <c r="K92" t="s">
        <v>60</v>
      </c>
    </row>
    <row r="93" spans="1:11">
      <c r="A93">
        <v>44230</v>
      </c>
      <c r="B93" t="s">
        <v>219</v>
      </c>
      <c r="C93">
        <v>44229</v>
      </c>
      <c r="D93" t="s">
        <v>220</v>
      </c>
      <c r="E93" t="s">
        <v>256</v>
      </c>
      <c r="F93" t="s">
        <v>222</v>
      </c>
      <c r="G93">
        <v>40000494</v>
      </c>
      <c r="H93"/>
      <c r="I93"/>
      <c r="J93"/>
      <c r="K93" t="s">
        <v>60</v>
      </c>
    </row>
    <row r="94" spans="1:11">
      <c r="A94">
        <v>44207</v>
      </c>
      <c r="B94" t="s">
        <v>9</v>
      </c>
      <c r="C94">
        <v>43838</v>
      </c>
      <c r="D94" t="s">
        <v>189</v>
      </c>
      <c r="E94" t="s">
        <v>59</v>
      </c>
      <c r="F94" t="s">
        <v>12</v>
      </c>
      <c r="G94">
        <v>931155208</v>
      </c>
      <c r="H94"/>
      <c r="I94"/>
      <c r="J94"/>
      <c r="K94" t="s">
        <v>60</v>
      </c>
    </row>
    <row r="95" spans="1:11">
      <c r="A95">
        <v>44207</v>
      </c>
      <c r="B95" t="s">
        <v>9</v>
      </c>
      <c r="C95">
        <v>43838</v>
      </c>
      <c r="D95" t="s">
        <v>10</v>
      </c>
      <c r="E95" t="s">
        <v>61</v>
      </c>
      <c r="F95" t="s">
        <v>12</v>
      </c>
      <c r="G95">
        <v>931155209</v>
      </c>
      <c r="H95"/>
      <c r="I95"/>
      <c r="J95"/>
      <c r="K95" t="s">
        <v>60</v>
      </c>
    </row>
    <row r="96" spans="1:11">
      <c r="A96">
        <v>44207</v>
      </c>
      <c r="B96" t="s">
        <v>9</v>
      </c>
      <c r="C96">
        <v>43838</v>
      </c>
      <c r="D96" t="s">
        <v>14</v>
      </c>
      <c r="E96" t="s">
        <v>62</v>
      </c>
      <c r="F96"/>
      <c r="G96"/>
      <c r="H96"/>
      <c r="I96"/>
      <c r="J96"/>
      <c r="K96" t="s">
        <v>60</v>
      </c>
    </row>
    <row r="97" spans="1:11">
      <c r="A97">
        <v>44207</v>
      </c>
      <c r="B97" t="s">
        <v>9</v>
      </c>
      <c r="C97">
        <v>43838</v>
      </c>
      <c r="D97" t="s">
        <v>17</v>
      </c>
      <c r="E97" t="s">
        <v>63</v>
      </c>
      <c r="F97" t="s">
        <v>12</v>
      </c>
      <c r="G97">
        <v>931155208</v>
      </c>
      <c r="H97"/>
      <c r="I97"/>
      <c r="J97"/>
      <c r="K97" t="s">
        <v>60</v>
      </c>
    </row>
    <row r="98" spans="1:11">
      <c r="A98">
        <v>44209</v>
      </c>
      <c r="B98">
        <v>947658636609</v>
      </c>
      <c r="C98">
        <v>44207</v>
      </c>
      <c r="D98" t="s">
        <v>111</v>
      </c>
      <c r="E98" t="s">
        <v>156</v>
      </c>
      <c r="F98" t="s">
        <v>113</v>
      </c>
      <c r="G98">
        <v>2100429</v>
      </c>
      <c r="H98"/>
      <c r="I98"/>
      <c r="J98"/>
      <c r="K98" t="s">
        <v>60</v>
      </c>
    </row>
    <row r="99" spans="1:11">
      <c r="A99">
        <v>44209</v>
      </c>
      <c r="B99">
        <v>947658636609</v>
      </c>
      <c r="C99">
        <v>44207</v>
      </c>
      <c r="D99" t="s">
        <v>111</v>
      </c>
      <c r="E99" t="s">
        <v>157</v>
      </c>
      <c r="F99" t="s">
        <v>113</v>
      </c>
      <c r="G99">
        <v>2100429</v>
      </c>
      <c r="H99"/>
      <c r="I99"/>
      <c r="J99"/>
      <c r="K99" t="s">
        <v>60</v>
      </c>
    </row>
    <row r="100" spans="1:11">
      <c r="A100">
        <v>44209</v>
      </c>
      <c r="B100">
        <v>947658636609</v>
      </c>
      <c r="C100">
        <v>44207</v>
      </c>
      <c r="D100" t="s">
        <v>111</v>
      </c>
      <c r="E100" t="s">
        <v>158</v>
      </c>
      <c r="F100" t="s">
        <v>113</v>
      </c>
      <c r="G100">
        <v>2100429</v>
      </c>
      <c r="H100"/>
      <c r="I100"/>
      <c r="J100"/>
      <c r="K100" t="s">
        <v>60</v>
      </c>
    </row>
    <row r="101" spans="1:11">
      <c r="A101">
        <v>44209</v>
      </c>
      <c r="B101">
        <v>947658636609</v>
      </c>
      <c r="C101">
        <v>44207</v>
      </c>
      <c r="D101" t="s">
        <v>111</v>
      </c>
      <c r="E101" t="s">
        <v>159</v>
      </c>
      <c r="F101" t="s">
        <v>113</v>
      </c>
      <c r="G101">
        <v>2100429</v>
      </c>
      <c r="H101"/>
      <c r="I101"/>
      <c r="J101"/>
      <c r="K101" t="s">
        <v>60</v>
      </c>
    </row>
    <row r="102" spans="1:11">
      <c r="A102">
        <v>44214</v>
      </c>
      <c r="B102" t="s">
        <v>223</v>
      </c>
      <c r="C102">
        <v>44211</v>
      </c>
      <c r="D102" t="s">
        <v>225</v>
      </c>
      <c r="E102" t="s">
        <v>227</v>
      </c>
      <c r="F102" t="s">
        <v>210</v>
      </c>
      <c r="G102">
        <v>931160032</v>
      </c>
      <c r="H102"/>
      <c r="I102"/>
      <c r="J102"/>
      <c r="K102" t="s">
        <v>65</v>
      </c>
    </row>
    <row r="103" spans="1:11">
      <c r="A103">
        <v>44230</v>
      </c>
      <c r="B103" t="s">
        <v>219</v>
      </c>
      <c r="C103">
        <v>44229</v>
      </c>
      <c r="D103" t="s">
        <v>220</v>
      </c>
      <c r="E103" t="s">
        <v>255</v>
      </c>
      <c r="F103" t="s">
        <v>222</v>
      </c>
      <c r="G103">
        <v>40000494</v>
      </c>
      <c r="H103"/>
      <c r="I103"/>
      <c r="J103"/>
      <c r="K103" t="s">
        <v>65</v>
      </c>
    </row>
    <row r="104" spans="1:11">
      <c r="A104">
        <v>44207</v>
      </c>
      <c r="B104" t="s">
        <v>9</v>
      </c>
      <c r="C104">
        <v>43838</v>
      </c>
      <c r="D104" t="s">
        <v>189</v>
      </c>
      <c r="E104" t="s">
        <v>64</v>
      </c>
      <c r="F104" t="s">
        <v>12</v>
      </c>
      <c r="G104">
        <v>931155208</v>
      </c>
      <c r="H104"/>
      <c r="I104"/>
      <c r="J104"/>
      <c r="K104" t="s">
        <v>65</v>
      </c>
    </row>
    <row r="105" spans="1:11">
      <c r="A105">
        <v>44207</v>
      </c>
      <c r="B105" t="s">
        <v>9</v>
      </c>
      <c r="C105">
        <v>43838</v>
      </c>
      <c r="D105" t="s">
        <v>10</v>
      </c>
      <c r="E105" t="s">
        <v>66</v>
      </c>
      <c r="F105" t="s">
        <v>12</v>
      </c>
      <c r="G105">
        <v>931155209</v>
      </c>
      <c r="H105"/>
      <c r="I105"/>
      <c r="J105"/>
      <c r="K105" t="s">
        <v>65</v>
      </c>
    </row>
    <row r="106" spans="1:11">
      <c r="A106">
        <v>44207</v>
      </c>
      <c r="B106" t="s">
        <v>9</v>
      </c>
      <c r="C106">
        <v>43838</v>
      </c>
      <c r="D106" t="s">
        <v>14</v>
      </c>
      <c r="E106" t="s">
        <v>67</v>
      </c>
      <c r="F106"/>
      <c r="G106"/>
      <c r="H106"/>
      <c r="I106"/>
      <c r="J106"/>
      <c r="K106" t="s">
        <v>65</v>
      </c>
    </row>
    <row r="107" spans="1:11">
      <c r="A107">
        <v>44207</v>
      </c>
      <c r="B107" t="s">
        <v>9</v>
      </c>
      <c r="C107">
        <v>43838</v>
      </c>
      <c r="D107" t="s">
        <v>17</v>
      </c>
      <c r="E107" t="s">
        <v>68</v>
      </c>
      <c r="F107" t="s">
        <v>12</v>
      </c>
      <c r="G107">
        <v>931155208</v>
      </c>
      <c r="H107"/>
      <c r="I107"/>
      <c r="J107"/>
      <c r="K107" t="s">
        <v>65</v>
      </c>
    </row>
    <row r="108" spans="1:11">
      <c r="A108">
        <v>44209</v>
      </c>
      <c r="B108">
        <v>947658636609</v>
      </c>
      <c r="C108">
        <v>44207</v>
      </c>
      <c r="D108" t="s">
        <v>111</v>
      </c>
      <c r="E108" t="s">
        <v>160</v>
      </c>
      <c r="F108" t="s">
        <v>113</v>
      </c>
      <c r="G108">
        <v>2100429</v>
      </c>
      <c r="H108"/>
      <c r="I108"/>
      <c r="J108"/>
      <c r="K108" t="s">
        <v>65</v>
      </c>
    </row>
    <row r="109" spans="1:11">
      <c r="A109">
        <v>44209</v>
      </c>
      <c r="B109">
        <v>947658636609</v>
      </c>
      <c r="C109">
        <v>44207</v>
      </c>
      <c r="D109" t="s">
        <v>111</v>
      </c>
      <c r="E109" t="s">
        <v>161</v>
      </c>
      <c r="F109" t="s">
        <v>113</v>
      </c>
      <c r="G109">
        <v>2100429</v>
      </c>
      <c r="H109"/>
      <c r="I109"/>
      <c r="J109"/>
      <c r="K109" t="s">
        <v>65</v>
      </c>
    </row>
    <row r="110" spans="1:11">
      <c r="A110">
        <v>44209</v>
      </c>
      <c r="B110">
        <v>947658636609</v>
      </c>
      <c r="C110">
        <v>44207</v>
      </c>
      <c r="D110" t="s">
        <v>111</v>
      </c>
      <c r="E110" t="s">
        <v>162</v>
      </c>
      <c r="F110" t="s">
        <v>113</v>
      </c>
      <c r="G110">
        <v>2100429</v>
      </c>
      <c r="H110"/>
      <c r="I110"/>
      <c r="J110"/>
      <c r="K110" t="s">
        <v>65</v>
      </c>
    </row>
    <row r="111" spans="1:11">
      <c r="A111">
        <v>44209</v>
      </c>
      <c r="B111">
        <v>947658636609</v>
      </c>
      <c r="C111">
        <v>44207</v>
      </c>
      <c r="D111" t="s">
        <v>111</v>
      </c>
      <c r="E111" t="s">
        <v>163</v>
      </c>
      <c r="F111" t="s">
        <v>113</v>
      </c>
      <c r="G111">
        <v>2100429</v>
      </c>
      <c r="H111"/>
      <c r="I111"/>
      <c r="J111"/>
      <c r="K111" t="s">
        <v>65</v>
      </c>
    </row>
    <row r="112" spans="1:11">
      <c r="A112">
        <v>44214</v>
      </c>
      <c r="B112" t="s">
        <v>223</v>
      </c>
      <c r="C112">
        <v>44211</v>
      </c>
      <c r="D112" t="s">
        <v>225</v>
      </c>
      <c r="E112" t="s">
        <v>228</v>
      </c>
      <c r="F112" t="s">
        <v>210</v>
      </c>
      <c r="G112">
        <v>931160032</v>
      </c>
      <c r="H112"/>
      <c r="I112"/>
      <c r="J112"/>
      <c r="K112" t="s">
        <v>70</v>
      </c>
    </row>
    <row r="113" spans="1:11">
      <c r="A113">
        <v>44230</v>
      </c>
      <c r="B113" t="s">
        <v>219</v>
      </c>
      <c r="C113">
        <v>44229</v>
      </c>
      <c r="D113" t="s">
        <v>220</v>
      </c>
      <c r="E113" t="s">
        <v>254</v>
      </c>
      <c r="F113" t="s">
        <v>222</v>
      </c>
      <c r="G113">
        <v>40000494</v>
      </c>
      <c r="H113"/>
      <c r="I113"/>
      <c r="J113"/>
      <c r="K113" t="s">
        <v>70</v>
      </c>
    </row>
    <row r="114" spans="1:11">
      <c r="A114">
        <v>44207</v>
      </c>
      <c r="B114" t="s">
        <v>9</v>
      </c>
      <c r="C114">
        <v>43838</v>
      </c>
      <c r="D114" t="s">
        <v>189</v>
      </c>
      <c r="E114" t="s">
        <v>69</v>
      </c>
      <c r="F114" t="s">
        <v>12</v>
      </c>
      <c r="G114">
        <v>931155208</v>
      </c>
      <c r="H114"/>
      <c r="I114"/>
      <c r="J114"/>
      <c r="K114" t="s">
        <v>70</v>
      </c>
    </row>
    <row r="115" spans="1:11">
      <c r="A115">
        <v>44207</v>
      </c>
      <c r="B115" t="s">
        <v>9</v>
      </c>
      <c r="C115">
        <v>43838</v>
      </c>
      <c r="D115" t="s">
        <v>10</v>
      </c>
      <c r="E115" t="s">
        <v>71</v>
      </c>
      <c r="F115" t="s">
        <v>12</v>
      </c>
      <c r="G115">
        <v>931155209</v>
      </c>
      <c r="H115"/>
      <c r="I115"/>
      <c r="J115"/>
      <c r="K115" t="s">
        <v>70</v>
      </c>
    </row>
    <row r="116" spans="1:11">
      <c r="A116">
        <v>44207</v>
      </c>
      <c r="B116" t="s">
        <v>9</v>
      </c>
      <c r="C116">
        <v>43838</v>
      </c>
      <c r="D116" t="s">
        <v>14</v>
      </c>
      <c r="E116" t="s">
        <v>72</v>
      </c>
      <c r="F116"/>
      <c r="G116"/>
      <c r="H116"/>
      <c r="I116"/>
      <c r="J116"/>
      <c r="K116" t="s">
        <v>70</v>
      </c>
    </row>
    <row r="117" spans="1:11">
      <c r="A117">
        <v>44207</v>
      </c>
      <c r="B117" t="s">
        <v>9</v>
      </c>
      <c r="C117">
        <v>43838</v>
      </c>
      <c r="D117" t="s">
        <v>17</v>
      </c>
      <c r="E117" t="s">
        <v>73</v>
      </c>
      <c r="F117" t="s">
        <v>12</v>
      </c>
      <c r="G117">
        <v>931155208</v>
      </c>
      <c r="H117"/>
      <c r="I117"/>
      <c r="J117"/>
      <c r="K117" t="s">
        <v>70</v>
      </c>
    </row>
    <row r="118" spans="1:11">
      <c r="A118">
        <v>44209</v>
      </c>
      <c r="B118">
        <v>947658636609</v>
      </c>
      <c r="C118">
        <v>44207</v>
      </c>
      <c r="D118" t="s">
        <v>111</v>
      </c>
      <c r="E118" t="s">
        <v>164</v>
      </c>
      <c r="F118" t="s">
        <v>113</v>
      </c>
      <c r="G118">
        <v>2100429</v>
      </c>
      <c r="H118"/>
      <c r="I118"/>
      <c r="J118"/>
      <c r="K118" t="s">
        <v>70</v>
      </c>
    </row>
    <row r="119" spans="1:11">
      <c r="A119">
        <v>44209</v>
      </c>
      <c r="B119">
        <v>947658636609</v>
      </c>
      <c r="C119">
        <v>44207</v>
      </c>
      <c r="D119" t="s">
        <v>111</v>
      </c>
      <c r="E119" t="s">
        <v>165</v>
      </c>
      <c r="F119" t="s">
        <v>113</v>
      </c>
      <c r="G119">
        <v>2100429</v>
      </c>
      <c r="H119"/>
      <c r="I119"/>
      <c r="J119"/>
      <c r="K119" t="s">
        <v>70</v>
      </c>
    </row>
    <row r="120" spans="1:11">
      <c r="A120">
        <v>44209</v>
      </c>
      <c r="B120">
        <v>947658636609</v>
      </c>
      <c r="C120">
        <v>44207</v>
      </c>
      <c r="D120" t="s">
        <v>111</v>
      </c>
      <c r="E120" t="s">
        <v>166</v>
      </c>
      <c r="F120" t="s">
        <v>113</v>
      </c>
      <c r="G120">
        <v>2100429</v>
      </c>
      <c r="H120"/>
      <c r="I120"/>
      <c r="J120"/>
      <c r="K120" t="s">
        <v>70</v>
      </c>
    </row>
    <row r="121" spans="1:11">
      <c r="A121">
        <v>44209</v>
      </c>
      <c r="B121">
        <v>947658636609</v>
      </c>
      <c r="C121">
        <v>44207</v>
      </c>
      <c r="D121" t="s">
        <v>111</v>
      </c>
      <c r="E121" t="s">
        <v>167</v>
      </c>
      <c r="F121" t="s">
        <v>113</v>
      </c>
      <c r="G121">
        <v>2100429</v>
      </c>
      <c r="H121"/>
      <c r="I121"/>
      <c r="J121"/>
      <c r="K121" t="s">
        <v>70</v>
      </c>
    </row>
    <row r="122" spans="1:11">
      <c r="A122">
        <v>44214</v>
      </c>
      <c r="B122" t="s">
        <v>223</v>
      </c>
      <c r="C122">
        <v>44211</v>
      </c>
      <c r="D122" t="s">
        <v>225</v>
      </c>
      <c r="E122" t="s">
        <v>239</v>
      </c>
      <c r="F122" t="s">
        <v>210</v>
      </c>
      <c r="G122">
        <v>931160035</v>
      </c>
      <c r="H122"/>
      <c r="I122"/>
      <c r="J122"/>
      <c r="K122" t="s">
        <v>74</v>
      </c>
    </row>
    <row r="123" spans="1:11">
      <c r="A123">
        <v>44230</v>
      </c>
      <c r="B123" t="s">
        <v>219</v>
      </c>
      <c r="C123">
        <v>44229</v>
      </c>
      <c r="D123" t="s">
        <v>220</v>
      </c>
      <c r="E123" t="s">
        <v>250</v>
      </c>
      <c r="F123" t="s">
        <v>222</v>
      </c>
      <c r="G123">
        <v>40000494</v>
      </c>
      <c r="H123"/>
      <c r="I123"/>
      <c r="J123"/>
      <c r="K123" t="s">
        <v>74</v>
      </c>
    </row>
    <row r="124" spans="1:11">
      <c r="A124">
        <v>44207</v>
      </c>
      <c r="B124" t="s">
        <v>9</v>
      </c>
      <c r="C124">
        <v>43838</v>
      </c>
      <c r="D124" t="s">
        <v>189</v>
      </c>
      <c r="E124" t="s">
        <v>75</v>
      </c>
      <c r="F124" t="s">
        <v>12</v>
      </c>
      <c r="G124">
        <v>931155208</v>
      </c>
      <c r="H124"/>
      <c r="I124"/>
      <c r="J124"/>
      <c r="K124" t="s">
        <v>74</v>
      </c>
    </row>
    <row r="125" spans="1:11">
      <c r="A125">
        <v>44207</v>
      </c>
      <c r="B125" t="s">
        <v>9</v>
      </c>
      <c r="C125">
        <v>43838</v>
      </c>
      <c r="D125" t="s">
        <v>10</v>
      </c>
      <c r="E125" t="s">
        <v>76</v>
      </c>
      <c r="F125" t="s">
        <v>12</v>
      </c>
      <c r="G125">
        <v>931155209</v>
      </c>
      <c r="H125"/>
      <c r="I125"/>
      <c r="J125"/>
      <c r="K125" t="s">
        <v>74</v>
      </c>
    </row>
    <row r="126" spans="1:11">
      <c r="A126">
        <v>44207</v>
      </c>
      <c r="B126" t="s">
        <v>9</v>
      </c>
      <c r="C126">
        <v>43838</v>
      </c>
      <c r="D126" t="s">
        <v>14</v>
      </c>
      <c r="E126" t="s">
        <v>77</v>
      </c>
      <c r="F126"/>
      <c r="G126"/>
      <c r="H126"/>
      <c r="I126"/>
      <c r="J126"/>
      <c r="K126" t="s">
        <v>74</v>
      </c>
    </row>
    <row r="127" spans="1:11">
      <c r="A127">
        <v>44207</v>
      </c>
      <c r="B127" t="s">
        <v>9</v>
      </c>
      <c r="C127">
        <v>43838</v>
      </c>
      <c r="D127" t="s">
        <v>17</v>
      </c>
      <c r="E127" t="s">
        <v>78</v>
      </c>
      <c r="F127" t="s">
        <v>12</v>
      </c>
      <c r="G127">
        <v>931155208</v>
      </c>
      <c r="H127"/>
      <c r="I127"/>
      <c r="J127"/>
      <c r="K127" t="s">
        <v>74</v>
      </c>
    </row>
    <row r="128" spans="1:11">
      <c r="A128">
        <v>44209</v>
      </c>
      <c r="B128">
        <v>947658636609</v>
      </c>
      <c r="C128">
        <v>44207</v>
      </c>
      <c r="D128" t="s">
        <v>111</v>
      </c>
      <c r="E128" t="s">
        <v>128</v>
      </c>
      <c r="F128" t="s">
        <v>113</v>
      </c>
      <c r="G128">
        <v>2100429</v>
      </c>
      <c r="H128"/>
      <c r="I128"/>
      <c r="J128"/>
      <c r="K128" t="s">
        <v>74</v>
      </c>
    </row>
    <row r="129" spans="1:11">
      <c r="A129">
        <v>44209</v>
      </c>
      <c r="B129">
        <v>947658636609</v>
      </c>
      <c r="C129">
        <v>44207</v>
      </c>
      <c r="D129" t="s">
        <v>111</v>
      </c>
      <c r="E129" t="s">
        <v>129</v>
      </c>
      <c r="F129" t="s">
        <v>113</v>
      </c>
      <c r="G129">
        <v>2100429</v>
      </c>
      <c r="H129"/>
      <c r="I129"/>
      <c r="J129"/>
      <c r="K129" t="s">
        <v>74</v>
      </c>
    </row>
    <row r="130" spans="1:11">
      <c r="A130">
        <v>44209</v>
      </c>
      <c r="B130">
        <v>947658636609</v>
      </c>
      <c r="C130">
        <v>44207</v>
      </c>
      <c r="D130" t="s">
        <v>111</v>
      </c>
      <c r="E130" t="s">
        <v>130</v>
      </c>
      <c r="F130" t="s">
        <v>113</v>
      </c>
      <c r="G130">
        <v>2100429</v>
      </c>
      <c r="H130"/>
      <c r="I130"/>
      <c r="J130"/>
      <c r="K130" t="s">
        <v>74</v>
      </c>
    </row>
    <row r="131" spans="1:11">
      <c r="A131">
        <v>44209</v>
      </c>
      <c r="B131">
        <v>947658636609</v>
      </c>
      <c r="C131">
        <v>44207</v>
      </c>
      <c r="D131" t="s">
        <v>111</v>
      </c>
      <c r="E131" t="s">
        <v>131</v>
      </c>
      <c r="F131" t="s">
        <v>113</v>
      </c>
      <c r="G131">
        <v>2100429</v>
      </c>
      <c r="H131"/>
      <c r="I131"/>
      <c r="J131"/>
      <c r="K131" t="s">
        <v>74</v>
      </c>
    </row>
    <row r="132" spans="1:11">
      <c r="A132">
        <v>44214</v>
      </c>
      <c r="B132" t="s">
        <v>223</v>
      </c>
      <c r="C132">
        <v>44211</v>
      </c>
      <c r="D132" t="s">
        <v>225</v>
      </c>
      <c r="E132" t="s">
        <v>229</v>
      </c>
      <c r="F132" t="s">
        <v>210</v>
      </c>
      <c r="G132">
        <v>931160032</v>
      </c>
      <c r="H132"/>
      <c r="I132"/>
      <c r="J132"/>
      <c r="K132" t="s">
        <v>80</v>
      </c>
    </row>
    <row r="133" spans="1:11">
      <c r="A133">
        <v>44230</v>
      </c>
      <c r="B133" t="s">
        <v>219</v>
      </c>
      <c r="C133">
        <v>44229</v>
      </c>
      <c r="D133" t="s">
        <v>220</v>
      </c>
      <c r="E133" t="s">
        <v>253</v>
      </c>
      <c r="F133" t="s">
        <v>222</v>
      </c>
      <c r="G133">
        <v>40000494</v>
      </c>
      <c r="H133"/>
      <c r="I133"/>
      <c r="J133"/>
      <c r="K133" t="s">
        <v>80</v>
      </c>
    </row>
    <row r="134" spans="1:11">
      <c r="A134">
        <v>44207</v>
      </c>
      <c r="B134" t="s">
        <v>9</v>
      </c>
      <c r="C134">
        <v>43838</v>
      </c>
      <c r="D134" t="s">
        <v>10</v>
      </c>
      <c r="E134" t="s">
        <v>79</v>
      </c>
      <c r="F134" t="s">
        <v>12</v>
      </c>
      <c r="G134">
        <v>931155208</v>
      </c>
      <c r="H134"/>
      <c r="I134"/>
      <c r="J134"/>
      <c r="K134" t="s">
        <v>80</v>
      </c>
    </row>
    <row r="135" spans="1:11">
      <c r="A135">
        <v>44207</v>
      </c>
      <c r="B135" t="s">
        <v>9</v>
      </c>
      <c r="C135">
        <v>43838</v>
      </c>
      <c r="D135" t="s">
        <v>14</v>
      </c>
      <c r="E135" t="s">
        <v>81</v>
      </c>
      <c r="F135"/>
      <c r="G135"/>
      <c r="H135"/>
      <c r="I135"/>
      <c r="J135"/>
      <c r="K135" t="s">
        <v>80</v>
      </c>
    </row>
    <row r="136" spans="1:11">
      <c r="A136">
        <v>44207</v>
      </c>
      <c r="B136" t="s">
        <v>9</v>
      </c>
      <c r="C136">
        <v>43838</v>
      </c>
      <c r="D136" t="s">
        <v>189</v>
      </c>
      <c r="E136" t="s">
        <v>82</v>
      </c>
      <c r="F136" t="s">
        <v>12</v>
      </c>
      <c r="G136">
        <v>931155208</v>
      </c>
      <c r="H136"/>
      <c r="I136"/>
      <c r="J136"/>
      <c r="K136" t="s">
        <v>80</v>
      </c>
    </row>
    <row r="137" spans="1:11">
      <c r="A137">
        <v>44207</v>
      </c>
      <c r="B137" t="s">
        <v>9</v>
      </c>
      <c r="C137">
        <v>43838</v>
      </c>
      <c r="D137" t="s">
        <v>17</v>
      </c>
      <c r="E137" t="s">
        <v>83</v>
      </c>
      <c r="F137" t="s">
        <v>12</v>
      </c>
      <c r="G137">
        <v>931155208</v>
      </c>
      <c r="H137"/>
      <c r="I137"/>
      <c r="J137"/>
      <c r="K137" t="s">
        <v>80</v>
      </c>
    </row>
    <row r="138" spans="1:11">
      <c r="A138">
        <v>44209</v>
      </c>
      <c r="B138">
        <v>947658636609</v>
      </c>
      <c r="C138">
        <v>44207</v>
      </c>
      <c r="D138" t="s">
        <v>111</v>
      </c>
      <c r="E138" t="s">
        <v>168</v>
      </c>
      <c r="F138" t="s">
        <v>113</v>
      </c>
      <c r="G138">
        <v>2100429</v>
      </c>
      <c r="H138"/>
      <c r="I138"/>
      <c r="J138"/>
      <c r="K138" t="s">
        <v>80</v>
      </c>
    </row>
    <row r="139" spans="1:11">
      <c r="A139">
        <v>44209</v>
      </c>
      <c r="B139">
        <v>947658636609</v>
      </c>
      <c r="C139">
        <v>44207</v>
      </c>
      <c r="D139" t="s">
        <v>111</v>
      </c>
      <c r="E139" t="s">
        <v>169</v>
      </c>
      <c r="F139" t="s">
        <v>113</v>
      </c>
      <c r="G139">
        <v>2100429</v>
      </c>
      <c r="H139"/>
      <c r="I139"/>
      <c r="J139"/>
      <c r="K139" t="s">
        <v>80</v>
      </c>
    </row>
    <row r="140" spans="1:11">
      <c r="A140">
        <v>44209</v>
      </c>
      <c r="B140">
        <v>947658636609</v>
      </c>
      <c r="C140">
        <v>44207</v>
      </c>
      <c r="D140" t="s">
        <v>111</v>
      </c>
      <c r="E140" t="s">
        <v>170</v>
      </c>
      <c r="F140" t="s">
        <v>113</v>
      </c>
      <c r="G140">
        <v>2100429</v>
      </c>
      <c r="H140"/>
      <c r="I140"/>
      <c r="J140"/>
      <c r="K140" t="s">
        <v>80</v>
      </c>
    </row>
    <row r="141" spans="1:11">
      <c r="A141">
        <v>44209</v>
      </c>
      <c r="B141">
        <v>947658636609</v>
      </c>
      <c r="C141">
        <v>44207</v>
      </c>
      <c r="D141" t="s">
        <v>111</v>
      </c>
      <c r="E141" t="s">
        <v>171</v>
      </c>
      <c r="F141" t="s">
        <v>113</v>
      </c>
      <c r="G141">
        <v>2100429</v>
      </c>
      <c r="H141"/>
      <c r="I141"/>
      <c r="J141"/>
      <c r="K141" t="s">
        <v>80</v>
      </c>
    </row>
    <row r="142" spans="1:11">
      <c r="A142">
        <v>44214</v>
      </c>
      <c r="B142" t="s">
        <v>223</v>
      </c>
      <c r="C142">
        <v>44211</v>
      </c>
      <c r="D142" t="s">
        <v>225</v>
      </c>
      <c r="E142" t="s">
        <v>237</v>
      </c>
      <c r="F142" t="s">
        <v>210</v>
      </c>
      <c r="G142">
        <v>931160032</v>
      </c>
      <c r="H142"/>
      <c r="I142"/>
      <c r="J142"/>
      <c r="K142" t="s">
        <v>85</v>
      </c>
    </row>
    <row r="143" spans="1:11">
      <c r="A143">
        <v>44230</v>
      </c>
      <c r="B143" t="s">
        <v>219</v>
      </c>
      <c r="C143">
        <v>44229</v>
      </c>
      <c r="D143" t="s">
        <v>220</v>
      </c>
      <c r="E143" t="s">
        <v>248</v>
      </c>
      <c r="F143" t="s">
        <v>222</v>
      </c>
      <c r="G143">
        <v>40000494</v>
      </c>
      <c r="H143"/>
      <c r="I143"/>
      <c r="J143"/>
      <c r="K143" t="s">
        <v>85</v>
      </c>
    </row>
    <row r="144" spans="1:11">
      <c r="A144">
        <v>44207</v>
      </c>
      <c r="B144" t="s">
        <v>9</v>
      </c>
      <c r="C144">
        <v>43838</v>
      </c>
      <c r="D144" t="s">
        <v>10</v>
      </c>
      <c r="E144" t="s">
        <v>84</v>
      </c>
      <c r="F144" t="s">
        <v>12</v>
      </c>
      <c r="G144">
        <v>931155208</v>
      </c>
      <c r="H144"/>
      <c r="I144"/>
      <c r="J144"/>
      <c r="K144" t="s">
        <v>85</v>
      </c>
    </row>
    <row r="145" spans="1:11">
      <c r="A145">
        <v>44207</v>
      </c>
      <c r="B145" t="s">
        <v>9</v>
      </c>
      <c r="C145">
        <v>43838</v>
      </c>
      <c r="D145" t="s">
        <v>14</v>
      </c>
      <c r="E145" t="s">
        <v>86</v>
      </c>
      <c r="F145"/>
      <c r="G145"/>
      <c r="H145"/>
      <c r="I145"/>
      <c r="J145"/>
      <c r="K145" t="s">
        <v>85</v>
      </c>
    </row>
    <row r="146" spans="1:11">
      <c r="A146">
        <v>44207</v>
      </c>
      <c r="B146" t="s">
        <v>9</v>
      </c>
      <c r="C146">
        <v>43838</v>
      </c>
      <c r="D146" t="s">
        <v>189</v>
      </c>
      <c r="E146" t="s">
        <v>87</v>
      </c>
      <c r="F146" t="s">
        <v>12</v>
      </c>
      <c r="G146">
        <v>931155208</v>
      </c>
      <c r="H146"/>
      <c r="I146"/>
      <c r="J146"/>
      <c r="K146" t="s">
        <v>85</v>
      </c>
    </row>
    <row r="147" spans="1:11">
      <c r="A147">
        <v>44207</v>
      </c>
      <c r="B147" t="s">
        <v>9</v>
      </c>
      <c r="C147">
        <v>43838</v>
      </c>
      <c r="D147" t="s">
        <v>17</v>
      </c>
      <c r="E147" t="s">
        <v>88</v>
      </c>
      <c r="F147" t="s">
        <v>12</v>
      </c>
      <c r="G147">
        <v>931155208</v>
      </c>
      <c r="H147"/>
      <c r="I147"/>
      <c r="J147"/>
      <c r="K147" t="s">
        <v>85</v>
      </c>
    </row>
    <row r="148" spans="1:11">
      <c r="A148">
        <v>44209</v>
      </c>
      <c r="B148">
        <v>947658636609</v>
      </c>
      <c r="C148">
        <v>44207</v>
      </c>
      <c r="D148" t="s">
        <v>111</v>
      </c>
      <c r="E148" t="s">
        <v>124</v>
      </c>
      <c r="F148" t="s">
        <v>113</v>
      </c>
      <c r="G148">
        <v>2100429</v>
      </c>
      <c r="H148"/>
      <c r="I148"/>
      <c r="J148"/>
      <c r="K148" t="s">
        <v>85</v>
      </c>
    </row>
    <row r="149" spans="1:11">
      <c r="A149">
        <v>44209</v>
      </c>
      <c r="B149">
        <v>947658636609</v>
      </c>
      <c r="C149">
        <v>44207</v>
      </c>
      <c r="D149" t="s">
        <v>111</v>
      </c>
      <c r="E149" t="s">
        <v>125</v>
      </c>
      <c r="F149" t="s">
        <v>113</v>
      </c>
      <c r="G149">
        <v>2100429</v>
      </c>
      <c r="H149"/>
      <c r="I149"/>
      <c r="J149"/>
      <c r="K149" t="s">
        <v>85</v>
      </c>
    </row>
    <row r="150" spans="1:11">
      <c r="A150">
        <v>44209</v>
      </c>
      <c r="B150">
        <v>947658636609</v>
      </c>
      <c r="C150">
        <v>44207</v>
      </c>
      <c r="D150" t="s">
        <v>111</v>
      </c>
      <c r="E150" t="s">
        <v>126</v>
      </c>
      <c r="F150" t="s">
        <v>113</v>
      </c>
      <c r="G150">
        <v>2100429</v>
      </c>
      <c r="H150"/>
      <c r="I150"/>
      <c r="J150"/>
      <c r="K150" t="s">
        <v>85</v>
      </c>
    </row>
    <row r="151" spans="1:11">
      <c r="A151">
        <v>44209</v>
      </c>
      <c r="B151">
        <v>947658636609</v>
      </c>
      <c r="C151">
        <v>44207</v>
      </c>
      <c r="D151" t="s">
        <v>111</v>
      </c>
      <c r="E151" t="s">
        <v>127</v>
      </c>
      <c r="F151" t="s">
        <v>113</v>
      </c>
      <c r="G151">
        <v>2100429</v>
      </c>
      <c r="H151"/>
      <c r="I151"/>
      <c r="J151"/>
      <c r="K151" t="s">
        <v>85</v>
      </c>
    </row>
    <row r="152" spans="1:11">
      <c r="A152">
        <v>44214</v>
      </c>
      <c r="B152" t="s">
        <v>223</v>
      </c>
      <c r="C152">
        <v>44211</v>
      </c>
      <c r="D152" t="s">
        <v>225</v>
      </c>
      <c r="E152" t="s">
        <v>234</v>
      </c>
      <c r="F152" t="s">
        <v>210</v>
      </c>
      <c r="G152">
        <v>931160032</v>
      </c>
      <c r="H152"/>
      <c r="I152"/>
      <c r="J152"/>
      <c r="K152" t="s">
        <v>90</v>
      </c>
    </row>
    <row r="153" spans="1:11">
      <c r="A153">
        <v>44230</v>
      </c>
      <c r="B153" t="s">
        <v>219</v>
      </c>
      <c r="C153">
        <v>44229</v>
      </c>
      <c r="D153" t="s">
        <v>220</v>
      </c>
      <c r="E153" t="s">
        <v>258</v>
      </c>
      <c r="F153" t="s">
        <v>222</v>
      </c>
      <c r="G153">
        <v>40000494</v>
      </c>
      <c r="H153"/>
      <c r="I153"/>
      <c r="J153"/>
      <c r="K153" t="s">
        <v>90</v>
      </c>
    </row>
    <row r="154" spans="1:11">
      <c r="A154">
        <v>44207</v>
      </c>
      <c r="B154" t="s">
        <v>9</v>
      </c>
      <c r="C154">
        <v>43838</v>
      </c>
      <c r="D154" t="s">
        <v>10</v>
      </c>
      <c r="E154" t="s">
        <v>89</v>
      </c>
      <c r="F154" t="s">
        <v>12</v>
      </c>
      <c r="G154">
        <v>931155208</v>
      </c>
      <c r="H154"/>
      <c r="I154"/>
      <c r="J154"/>
      <c r="K154" t="s">
        <v>90</v>
      </c>
    </row>
    <row r="155" spans="1:11">
      <c r="A155">
        <v>44207</v>
      </c>
      <c r="B155" t="s">
        <v>9</v>
      </c>
      <c r="C155">
        <v>43838</v>
      </c>
      <c r="D155" t="s">
        <v>14</v>
      </c>
      <c r="E155" t="s">
        <v>91</v>
      </c>
      <c r="F155"/>
      <c r="G155"/>
      <c r="H155"/>
      <c r="I155"/>
      <c r="J155"/>
      <c r="K155" t="s">
        <v>90</v>
      </c>
    </row>
    <row r="156" spans="1:11">
      <c r="A156">
        <v>44207</v>
      </c>
      <c r="B156" t="s">
        <v>9</v>
      </c>
      <c r="C156">
        <v>43838</v>
      </c>
      <c r="D156" t="s">
        <v>189</v>
      </c>
      <c r="E156" t="s">
        <v>92</v>
      </c>
      <c r="F156" t="s">
        <v>12</v>
      </c>
      <c r="G156">
        <v>931155208</v>
      </c>
      <c r="H156"/>
      <c r="I156"/>
      <c r="J156"/>
      <c r="K156" t="s">
        <v>90</v>
      </c>
    </row>
    <row r="157" spans="1:11">
      <c r="A157">
        <v>44207</v>
      </c>
      <c r="B157" t="s">
        <v>9</v>
      </c>
      <c r="C157">
        <v>43838</v>
      </c>
      <c r="D157" t="s">
        <v>17</v>
      </c>
      <c r="E157" t="s">
        <v>93</v>
      </c>
      <c r="F157" t="s">
        <v>12</v>
      </c>
      <c r="G157">
        <v>931155208</v>
      </c>
      <c r="H157"/>
      <c r="I157"/>
      <c r="J157"/>
      <c r="K157" t="s">
        <v>90</v>
      </c>
    </row>
    <row r="158" spans="1:11">
      <c r="A158">
        <v>44209</v>
      </c>
      <c r="B158">
        <v>947658636609</v>
      </c>
      <c r="C158">
        <v>44207</v>
      </c>
      <c r="D158" t="s">
        <v>111</v>
      </c>
      <c r="E158" t="s">
        <v>120</v>
      </c>
      <c r="F158" t="s">
        <v>113</v>
      </c>
      <c r="G158">
        <v>2100429</v>
      </c>
      <c r="H158"/>
      <c r="I158"/>
      <c r="J158"/>
      <c r="K158" t="s">
        <v>90</v>
      </c>
    </row>
    <row r="159" spans="1:11">
      <c r="A159">
        <v>44209</v>
      </c>
      <c r="B159">
        <v>947658636609</v>
      </c>
      <c r="C159">
        <v>44207</v>
      </c>
      <c r="D159" t="s">
        <v>111</v>
      </c>
      <c r="E159" t="s">
        <v>121</v>
      </c>
      <c r="F159" t="s">
        <v>113</v>
      </c>
      <c r="G159">
        <v>2100429</v>
      </c>
      <c r="H159"/>
      <c r="I159"/>
      <c r="J159"/>
      <c r="K159" t="s">
        <v>90</v>
      </c>
    </row>
    <row r="160" spans="1:11">
      <c r="A160">
        <v>44209</v>
      </c>
      <c r="B160">
        <v>947658636609</v>
      </c>
      <c r="C160">
        <v>44207</v>
      </c>
      <c r="D160" t="s">
        <v>111</v>
      </c>
      <c r="E160" t="s">
        <v>122</v>
      </c>
      <c r="F160" t="s">
        <v>113</v>
      </c>
      <c r="G160">
        <v>2100429</v>
      </c>
      <c r="H160"/>
      <c r="I160"/>
      <c r="J160"/>
      <c r="K160" t="s">
        <v>90</v>
      </c>
    </row>
    <row r="161" spans="1:11">
      <c r="A161">
        <v>44209</v>
      </c>
      <c r="B161">
        <v>947658636609</v>
      </c>
      <c r="C161">
        <v>44207</v>
      </c>
      <c r="D161" t="s">
        <v>111</v>
      </c>
      <c r="E161" t="s">
        <v>123</v>
      </c>
      <c r="F161" t="s">
        <v>113</v>
      </c>
      <c r="G161">
        <v>2100429</v>
      </c>
      <c r="H161"/>
      <c r="I161"/>
      <c r="J161"/>
      <c r="K161" t="s">
        <v>90</v>
      </c>
    </row>
    <row r="162" spans="1:11">
      <c r="A162">
        <v>44214</v>
      </c>
      <c r="B162" t="s">
        <v>223</v>
      </c>
      <c r="C162">
        <v>44211</v>
      </c>
      <c r="D162" t="s">
        <v>225</v>
      </c>
      <c r="E162" t="s">
        <v>232</v>
      </c>
      <c r="F162" t="s">
        <v>210</v>
      </c>
      <c r="G162">
        <v>931160032</v>
      </c>
      <c r="H162"/>
      <c r="I162"/>
      <c r="J162"/>
      <c r="K162" t="s">
        <v>95</v>
      </c>
    </row>
    <row r="163" spans="1:11">
      <c r="A163">
        <v>44230</v>
      </c>
      <c r="B163" t="s">
        <v>219</v>
      </c>
      <c r="C163">
        <v>44229</v>
      </c>
      <c r="D163" t="s">
        <v>220</v>
      </c>
      <c r="E163" t="s">
        <v>260</v>
      </c>
      <c r="F163" t="s">
        <v>222</v>
      </c>
      <c r="G163">
        <v>40000494</v>
      </c>
      <c r="H163"/>
      <c r="I163"/>
      <c r="J163"/>
      <c r="K163" t="s">
        <v>95</v>
      </c>
    </row>
    <row r="164" spans="1:11">
      <c r="A164">
        <v>44207</v>
      </c>
      <c r="B164" t="s">
        <v>9</v>
      </c>
      <c r="C164">
        <v>43838</v>
      </c>
      <c r="D164" t="s">
        <v>10</v>
      </c>
      <c r="E164" t="s">
        <v>94</v>
      </c>
      <c r="F164" t="s">
        <v>12</v>
      </c>
      <c r="G164">
        <v>931155208</v>
      </c>
      <c r="H164"/>
      <c r="I164"/>
      <c r="J164"/>
      <c r="K164" t="s">
        <v>95</v>
      </c>
    </row>
    <row r="165" spans="1:11">
      <c r="A165">
        <v>44207</v>
      </c>
      <c r="B165" t="s">
        <v>9</v>
      </c>
      <c r="C165">
        <v>43838</v>
      </c>
      <c r="D165" t="s">
        <v>14</v>
      </c>
      <c r="E165" t="s">
        <v>96</v>
      </c>
      <c r="F165"/>
      <c r="G165"/>
      <c r="H165"/>
      <c r="I165"/>
      <c r="J165"/>
      <c r="K165" t="s">
        <v>95</v>
      </c>
    </row>
    <row r="166" spans="1:11">
      <c r="A166">
        <v>44207</v>
      </c>
      <c r="B166" t="s">
        <v>9</v>
      </c>
      <c r="C166">
        <v>43838</v>
      </c>
      <c r="D166" t="s">
        <v>189</v>
      </c>
      <c r="E166" t="s">
        <v>97</v>
      </c>
      <c r="F166" t="s">
        <v>12</v>
      </c>
      <c r="G166">
        <v>931155208</v>
      </c>
      <c r="H166"/>
      <c r="I166"/>
      <c r="J166"/>
      <c r="K166" t="s">
        <v>95</v>
      </c>
    </row>
    <row r="167" spans="1:11">
      <c r="A167">
        <v>44207</v>
      </c>
      <c r="B167" t="s">
        <v>9</v>
      </c>
      <c r="C167">
        <v>43838</v>
      </c>
      <c r="D167" t="s">
        <v>17</v>
      </c>
      <c r="E167" t="s">
        <v>98</v>
      </c>
      <c r="F167" t="s">
        <v>12</v>
      </c>
      <c r="G167">
        <v>931155208</v>
      </c>
      <c r="H167"/>
      <c r="I167"/>
      <c r="J167"/>
      <c r="K167" t="s">
        <v>95</v>
      </c>
    </row>
    <row r="168" spans="1:11">
      <c r="A168">
        <v>44209</v>
      </c>
      <c r="B168">
        <v>947658636609</v>
      </c>
      <c r="C168">
        <v>44207</v>
      </c>
      <c r="D168" t="s">
        <v>111</v>
      </c>
      <c r="E168" t="s">
        <v>116</v>
      </c>
      <c r="F168" t="s">
        <v>113</v>
      </c>
      <c r="G168">
        <v>2100429</v>
      </c>
      <c r="H168"/>
      <c r="I168"/>
      <c r="J168"/>
      <c r="K168" t="s">
        <v>95</v>
      </c>
    </row>
    <row r="169" spans="1:11">
      <c r="A169">
        <v>44209</v>
      </c>
      <c r="B169">
        <v>947658636609</v>
      </c>
      <c r="C169">
        <v>44207</v>
      </c>
      <c r="D169" t="s">
        <v>111</v>
      </c>
      <c r="E169" t="s">
        <v>117</v>
      </c>
      <c r="F169" t="s">
        <v>113</v>
      </c>
      <c r="G169">
        <v>2100429</v>
      </c>
      <c r="H169"/>
      <c r="I169"/>
      <c r="J169"/>
      <c r="K169" t="s">
        <v>95</v>
      </c>
    </row>
    <row r="170" spans="1:11">
      <c r="A170">
        <v>44209</v>
      </c>
      <c r="B170">
        <v>947658636609</v>
      </c>
      <c r="C170">
        <v>44207</v>
      </c>
      <c r="D170" t="s">
        <v>111</v>
      </c>
      <c r="E170" t="s">
        <v>118</v>
      </c>
      <c r="F170" t="s">
        <v>113</v>
      </c>
      <c r="G170">
        <v>2100429</v>
      </c>
      <c r="H170"/>
      <c r="I170"/>
      <c r="J170"/>
      <c r="K170" t="s">
        <v>95</v>
      </c>
    </row>
    <row r="171" spans="1:11">
      <c r="A171">
        <v>44209</v>
      </c>
      <c r="B171">
        <v>947658636609</v>
      </c>
      <c r="C171">
        <v>44207</v>
      </c>
      <c r="D171" t="s">
        <v>111</v>
      </c>
      <c r="E171" t="s">
        <v>119</v>
      </c>
      <c r="F171" t="s">
        <v>113</v>
      </c>
      <c r="G171">
        <v>2100429</v>
      </c>
      <c r="H171"/>
      <c r="I171"/>
      <c r="J171"/>
      <c r="K171" t="s">
        <v>95</v>
      </c>
    </row>
    <row r="172" spans="1:11">
      <c r="A172">
        <v>44214</v>
      </c>
      <c r="B172" t="s">
        <v>223</v>
      </c>
      <c r="C172">
        <v>44211</v>
      </c>
      <c r="D172" t="s">
        <v>225</v>
      </c>
      <c r="E172" t="s">
        <v>230</v>
      </c>
      <c r="F172" t="s">
        <v>210</v>
      </c>
      <c r="G172">
        <v>931160032</v>
      </c>
      <c r="H172"/>
      <c r="I172"/>
      <c r="J172"/>
      <c r="K172" t="s">
        <v>100</v>
      </c>
    </row>
    <row r="173" spans="1:11">
      <c r="A173">
        <v>44230</v>
      </c>
      <c r="B173" t="s">
        <v>219</v>
      </c>
      <c r="C173">
        <v>44229</v>
      </c>
      <c r="D173" t="s">
        <v>220</v>
      </c>
      <c r="E173" t="s">
        <v>252</v>
      </c>
      <c r="F173" t="s">
        <v>222</v>
      </c>
      <c r="G173">
        <v>40000494</v>
      </c>
      <c r="H173"/>
      <c r="I173"/>
      <c r="J173"/>
      <c r="K173" t="s">
        <v>100</v>
      </c>
    </row>
    <row r="174" spans="1:11">
      <c r="A174">
        <v>44207</v>
      </c>
      <c r="B174" t="s">
        <v>9</v>
      </c>
      <c r="C174">
        <v>43838</v>
      </c>
      <c r="D174" t="s">
        <v>10</v>
      </c>
      <c r="E174" t="s">
        <v>99</v>
      </c>
      <c r="F174" t="s">
        <v>12</v>
      </c>
      <c r="G174">
        <v>931155208</v>
      </c>
      <c r="H174"/>
      <c r="I174"/>
      <c r="J174"/>
      <c r="K174" t="s">
        <v>100</v>
      </c>
    </row>
    <row r="175" spans="1:11">
      <c r="A175">
        <v>44207</v>
      </c>
      <c r="B175" t="s">
        <v>9</v>
      </c>
      <c r="C175">
        <v>43838</v>
      </c>
      <c r="D175" t="s">
        <v>14</v>
      </c>
      <c r="E175" t="s">
        <v>101</v>
      </c>
      <c r="F175"/>
      <c r="G175"/>
      <c r="H175"/>
      <c r="I175"/>
      <c r="J175"/>
      <c r="K175" t="s">
        <v>100</v>
      </c>
    </row>
    <row r="176" spans="1:11">
      <c r="A176">
        <v>44207</v>
      </c>
      <c r="B176" t="s">
        <v>9</v>
      </c>
      <c r="C176">
        <v>43838</v>
      </c>
      <c r="D176" t="s">
        <v>189</v>
      </c>
      <c r="E176" t="s">
        <v>102</v>
      </c>
      <c r="F176" t="s">
        <v>12</v>
      </c>
      <c r="G176">
        <v>931155208</v>
      </c>
      <c r="H176"/>
      <c r="I176"/>
      <c r="J176"/>
      <c r="K176" t="s">
        <v>100</v>
      </c>
    </row>
    <row r="177" spans="1:11">
      <c r="A177">
        <v>44207</v>
      </c>
      <c r="B177" t="s">
        <v>9</v>
      </c>
      <c r="C177">
        <v>43838</v>
      </c>
      <c r="D177" t="s">
        <v>17</v>
      </c>
      <c r="E177" t="s">
        <v>103</v>
      </c>
      <c r="F177" t="s">
        <v>12</v>
      </c>
      <c r="G177">
        <v>931155208</v>
      </c>
      <c r="H177"/>
      <c r="I177"/>
      <c r="J177"/>
      <c r="K177" t="s">
        <v>100</v>
      </c>
    </row>
    <row r="178" spans="1:11">
      <c r="A178">
        <v>44209</v>
      </c>
      <c r="B178">
        <v>947658636609</v>
      </c>
      <c r="C178">
        <v>44207</v>
      </c>
      <c r="D178" t="s">
        <v>111</v>
      </c>
      <c r="E178" t="s">
        <v>112</v>
      </c>
      <c r="F178" t="s">
        <v>113</v>
      </c>
      <c r="G178">
        <v>2100429</v>
      </c>
      <c r="H178"/>
      <c r="I178"/>
      <c r="J178"/>
      <c r="K178" t="s">
        <v>100</v>
      </c>
    </row>
    <row r="179" spans="1:11">
      <c r="A179">
        <v>44209</v>
      </c>
      <c r="B179">
        <v>947658636609</v>
      </c>
      <c r="C179">
        <v>44207</v>
      </c>
      <c r="D179" t="s">
        <v>111</v>
      </c>
      <c r="E179" t="s">
        <v>114</v>
      </c>
      <c r="F179" t="s">
        <v>113</v>
      </c>
      <c r="G179">
        <v>2100429</v>
      </c>
      <c r="H179"/>
      <c r="I179"/>
      <c r="J179"/>
      <c r="K179" t="s">
        <v>100</v>
      </c>
    </row>
    <row r="180" spans="1:11">
      <c r="A180">
        <v>44209</v>
      </c>
      <c r="B180">
        <v>947658636609</v>
      </c>
      <c r="C180">
        <v>44207</v>
      </c>
      <c r="D180" t="s">
        <v>111</v>
      </c>
      <c r="E180" t="s">
        <v>115</v>
      </c>
      <c r="F180" t="s">
        <v>113</v>
      </c>
      <c r="G180">
        <v>2100429</v>
      </c>
      <c r="H180"/>
      <c r="I180"/>
      <c r="J180"/>
      <c r="K180" t="s">
        <v>100</v>
      </c>
    </row>
    <row r="181" spans="1:11">
      <c r="A181">
        <v>44209</v>
      </c>
      <c r="B181">
        <v>947658636609</v>
      </c>
      <c r="C181">
        <v>44207</v>
      </c>
      <c r="D181" t="s">
        <v>111</v>
      </c>
      <c r="E181" t="s">
        <v>188</v>
      </c>
      <c r="F181" t="s">
        <v>113</v>
      </c>
      <c r="G181">
        <v>2100429</v>
      </c>
      <c r="H181"/>
      <c r="I181"/>
      <c r="J181"/>
      <c r="K181" t="s">
        <v>100</v>
      </c>
    </row>
    <row r="182" spans="1:11">
      <c r="A182">
        <v>44214</v>
      </c>
      <c r="B182" t="s">
        <v>223</v>
      </c>
      <c r="C182">
        <v>44211</v>
      </c>
      <c r="D182" t="s">
        <v>225</v>
      </c>
      <c r="E182" t="s">
        <v>241</v>
      </c>
      <c r="F182" t="s">
        <v>210</v>
      </c>
      <c r="G182">
        <v>931160035</v>
      </c>
      <c r="H182"/>
      <c r="I182"/>
      <c r="J182"/>
      <c r="K182" t="s">
        <v>105</v>
      </c>
    </row>
    <row r="183" spans="1:11">
      <c r="A183">
        <v>44230</v>
      </c>
      <c r="B183" t="s">
        <v>219</v>
      </c>
      <c r="C183">
        <v>44229</v>
      </c>
      <c r="D183" t="s">
        <v>220</v>
      </c>
      <c r="E183" t="s">
        <v>244</v>
      </c>
      <c r="F183" t="s">
        <v>222</v>
      </c>
      <c r="G183">
        <v>40000494</v>
      </c>
      <c r="H183"/>
      <c r="I183"/>
      <c r="J183"/>
      <c r="K183" t="s">
        <v>105</v>
      </c>
    </row>
    <row r="184" spans="1:11">
      <c r="A184">
        <v>44207</v>
      </c>
      <c r="B184" t="s">
        <v>9</v>
      </c>
      <c r="C184">
        <v>43838</v>
      </c>
      <c r="D184" t="s">
        <v>10</v>
      </c>
      <c r="E184" t="s">
        <v>104</v>
      </c>
      <c r="F184" t="s">
        <v>12</v>
      </c>
      <c r="G184">
        <v>931155208</v>
      </c>
      <c r="H184"/>
      <c r="I184"/>
      <c r="J184"/>
      <c r="K184" t="s">
        <v>105</v>
      </c>
    </row>
    <row r="185" spans="1:11">
      <c r="A185">
        <v>44207</v>
      </c>
      <c r="B185" t="s">
        <v>9</v>
      </c>
      <c r="C185">
        <v>43838</v>
      </c>
      <c r="D185" t="s">
        <v>14</v>
      </c>
      <c r="E185" t="s">
        <v>106</v>
      </c>
      <c r="F185"/>
      <c r="G185"/>
      <c r="H185"/>
      <c r="I185"/>
      <c r="J185"/>
      <c r="K185" t="s">
        <v>105</v>
      </c>
    </row>
    <row r="186" spans="1:11">
      <c r="A186">
        <v>44207</v>
      </c>
      <c r="B186" t="s">
        <v>9</v>
      </c>
      <c r="C186">
        <v>43838</v>
      </c>
      <c r="D186" t="s">
        <v>189</v>
      </c>
      <c r="E186" t="s">
        <v>107</v>
      </c>
      <c r="F186" t="s">
        <v>12</v>
      </c>
      <c r="G186">
        <v>931155203</v>
      </c>
      <c r="H186"/>
      <c r="I186"/>
      <c r="J186"/>
      <c r="K186" t="s">
        <v>105</v>
      </c>
    </row>
    <row r="187" spans="1:11">
      <c r="A187">
        <v>44207</v>
      </c>
      <c r="B187" t="s">
        <v>9</v>
      </c>
      <c r="C187">
        <v>43838</v>
      </c>
      <c r="D187" t="s">
        <v>17</v>
      </c>
      <c r="E187" t="s">
        <v>108</v>
      </c>
      <c r="F187" t="s">
        <v>12</v>
      </c>
      <c r="G187">
        <v>931155208</v>
      </c>
      <c r="H187"/>
      <c r="I187"/>
      <c r="J187"/>
      <c r="K187" t="s">
        <v>105</v>
      </c>
    </row>
    <row r="188" spans="1:11">
      <c r="A188">
        <v>44209</v>
      </c>
      <c r="B188">
        <v>947658636609</v>
      </c>
      <c r="C188">
        <v>44207</v>
      </c>
      <c r="D188" t="s">
        <v>111</v>
      </c>
      <c r="E188" t="s">
        <v>172</v>
      </c>
      <c r="F188" t="s">
        <v>113</v>
      </c>
      <c r="G188">
        <v>2100429</v>
      </c>
      <c r="H188"/>
      <c r="I188"/>
      <c r="J188"/>
      <c r="K188" t="s">
        <v>105</v>
      </c>
    </row>
    <row r="189" spans="1:11">
      <c r="A189">
        <v>44209</v>
      </c>
      <c r="B189">
        <v>947658636609</v>
      </c>
      <c r="C189">
        <v>44207</v>
      </c>
      <c r="D189" t="s">
        <v>111</v>
      </c>
      <c r="E189" t="s">
        <v>173</v>
      </c>
      <c r="F189" t="s">
        <v>113</v>
      </c>
      <c r="G189">
        <v>2100429</v>
      </c>
      <c r="H189"/>
      <c r="I189"/>
      <c r="J189"/>
      <c r="K189" t="s">
        <v>105</v>
      </c>
    </row>
    <row r="190" spans="1:11">
      <c r="A190">
        <v>44209</v>
      </c>
      <c r="B190">
        <v>947658636609</v>
      </c>
      <c r="C190">
        <v>44207</v>
      </c>
      <c r="D190" t="s">
        <v>111</v>
      </c>
      <c r="E190" t="s">
        <v>174</v>
      </c>
      <c r="F190" t="s">
        <v>113</v>
      </c>
      <c r="G190">
        <v>2100429</v>
      </c>
      <c r="H190"/>
      <c r="I190"/>
      <c r="J190"/>
      <c r="K190" t="s">
        <v>105</v>
      </c>
    </row>
    <row r="191" spans="1:11">
      <c r="A191">
        <v>44209</v>
      </c>
      <c r="B191">
        <v>947658636609</v>
      </c>
      <c r="C191">
        <v>44207</v>
      </c>
      <c r="D191" t="s">
        <v>111</v>
      </c>
      <c r="E191" t="s">
        <v>175</v>
      </c>
      <c r="F191" t="s">
        <v>113</v>
      </c>
      <c r="G191">
        <v>2100429</v>
      </c>
      <c r="H191"/>
      <c r="I191"/>
      <c r="J191"/>
      <c r="K191" t="s">
        <v>105</v>
      </c>
    </row>
    <row r="192" spans="1:11">
      <c r="A192">
        <v>44211</v>
      </c>
      <c r="B192">
        <v>10811644016</v>
      </c>
      <c r="C192">
        <v>44210</v>
      </c>
      <c r="D192" t="s">
        <v>195</v>
      </c>
      <c r="E192" t="s">
        <v>196</v>
      </c>
      <c r="F192" t="s">
        <v>197</v>
      </c>
      <c r="G192">
        <v>40180422</v>
      </c>
      <c r="H192"/>
      <c r="I192"/>
      <c r="J192"/>
      <c r="K192" t="s">
        <v>198</v>
      </c>
    </row>
    <row r="193" spans="1:11">
      <c r="A193">
        <v>44225</v>
      </c>
      <c r="B193" t="s">
        <v>199</v>
      </c>
      <c r="C193">
        <v>44224</v>
      </c>
      <c r="D193" t="s">
        <v>200</v>
      </c>
      <c r="E193" t="s">
        <v>201</v>
      </c>
      <c r="F193" t="s">
        <v>202</v>
      </c>
      <c r="G193" t="s">
        <v>203</v>
      </c>
      <c r="H193"/>
      <c r="I193"/>
      <c r="J193"/>
      <c r="K193" t="s">
        <v>198</v>
      </c>
    </row>
    <row r="194" spans="1:11">
      <c r="A194">
        <v>44225</v>
      </c>
      <c r="B194" t="s">
        <v>199</v>
      </c>
      <c r="C194">
        <v>44224</v>
      </c>
      <c r="D194" t="s">
        <v>200</v>
      </c>
      <c r="E194" t="s">
        <v>204</v>
      </c>
      <c r="F194" t="s">
        <v>202</v>
      </c>
      <c r="G194" t="s">
        <v>203</v>
      </c>
      <c r="H194"/>
      <c r="I194"/>
      <c r="J194"/>
      <c r="K194" t="s">
        <v>198</v>
      </c>
    </row>
    <row r="195" spans="1:11">
      <c r="A195" s="1">
        <v>44225</v>
      </c>
      <c r="B195" s="1" t="s">
        <v>199</v>
      </c>
      <c r="C195" s="1">
        <v>44224</v>
      </c>
      <c r="D195" s="1" t="s">
        <v>200</v>
      </c>
      <c r="E195" s="1" t="s">
        <v>205</v>
      </c>
      <c r="F195" s="1" t="s">
        <v>202</v>
      </c>
      <c r="G195" s="1" t="s">
        <v>203</v>
      </c>
      <c r="K195" s="1" t="s">
        <v>198</v>
      </c>
    </row>
    <row r="196" spans="1:11">
      <c r="A196" s="1">
        <v>44225</v>
      </c>
      <c r="B196" s="1" t="s">
        <v>199</v>
      </c>
      <c r="C196" s="1">
        <v>44224</v>
      </c>
      <c r="D196" t="s">
        <v>200</v>
      </c>
      <c r="E196" t="s">
        <v>206</v>
      </c>
      <c r="F196" s="1" t="s">
        <v>202</v>
      </c>
      <c r="G196" t="s">
        <v>203</v>
      </c>
      <c r="H196"/>
      <c r="I196"/>
      <c r="J196"/>
      <c r="K196" t="s">
        <v>198</v>
      </c>
    </row>
    <row r="197" spans="1:11">
      <c r="A197">
        <v>44228</v>
      </c>
      <c r="B197" t="s">
        <v>207</v>
      </c>
      <c r="C197">
        <v>44225</v>
      </c>
      <c r="D197" t="s">
        <v>208</v>
      </c>
      <c r="E197" t="s">
        <v>209</v>
      </c>
      <c r="F197" t="s">
        <v>210</v>
      </c>
      <c r="G197">
        <v>931169186</v>
      </c>
      <c r="H197"/>
      <c r="I197"/>
      <c r="J197"/>
      <c r="K197" t="s">
        <v>198</v>
      </c>
    </row>
    <row r="198" spans="1:11">
      <c r="A198">
        <v>44228</v>
      </c>
      <c r="B198" t="s">
        <v>207</v>
      </c>
      <c r="C198">
        <v>44225</v>
      </c>
      <c r="D198" t="s">
        <v>211</v>
      </c>
      <c r="E198" t="s">
        <v>212</v>
      </c>
      <c r="F198" t="s">
        <v>210</v>
      </c>
      <c r="G198">
        <v>931169184</v>
      </c>
      <c r="H198"/>
      <c r="I198"/>
      <c r="J198"/>
      <c r="K198" t="s">
        <v>198</v>
      </c>
    </row>
    <row r="199" spans="1:11">
      <c r="A199">
        <v>44228</v>
      </c>
      <c r="B199" t="s">
        <v>207</v>
      </c>
      <c r="C199">
        <v>44225</v>
      </c>
      <c r="D199" t="s">
        <v>217</v>
      </c>
      <c r="E199" t="s">
        <v>218</v>
      </c>
      <c r="F199" t="s">
        <v>210</v>
      </c>
      <c r="G199">
        <v>931169184</v>
      </c>
      <c r="H199"/>
      <c r="I199"/>
      <c r="J199"/>
      <c r="K199" t="s">
        <v>198</v>
      </c>
    </row>
    <row r="200" spans="1:11">
      <c r="A200">
        <v>44195</v>
      </c>
      <c r="B200">
        <v>947658634179</v>
      </c>
      <c r="C200">
        <v>44193</v>
      </c>
      <c r="D200" t="s">
        <v>213</v>
      </c>
      <c r="E200" t="s">
        <v>214</v>
      </c>
      <c r="F200" t="s">
        <v>215</v>
      </c>
      <c r="G200">
        <v>2021265</v>
      </c>
      <c r="H200"/>
      <c r="I200"/>
      <c r="J200"/>
      <c r="K200" t="s">
        <v>198</v>
      </c>
    </row>
    <row r="201" spans="1:11">
      <c r="A201" s="1">
        <v>44195</v>
      </c>
      <c r="B201" s="1">
        <v>947658634179</v>
      </c>
      <c r="C201" s="1">
        <v>44193</v>
      </c>
      <c r="D201" s="1" t="s">
        <v>213</v>
      </c>
      <c r="E201" s="1" t="s">
        <v>216</v>
      </c>
      <c r="F201" s="1" t="s">
        <v>215</v>
      </c>
      <c r="G201" s="1">
        <v>2021265</v>
      </c>
      <c r="K201" s="1" t="s">
        <v>198</v>
      </c>
    </row>
    <row r="202" spans="1:11">
      <c r="A202">
        <v>44200</v>
      </c>
      <c r="B202">
        <v>23104586559</v>
      </c>
      <c r="C202">
        <v>44195</v>
      </c>
      <c r="D202" t="s">
        <v>262</v>
      </c>
      <c r="E202" t="s">
        <v>263</v>
      </c>
      <c r="F202" t="s">
        <v>264</v>
      </c>
      <c r="G202" t="s">
        <v>265</v>
      </c>
      <c r="H202"/>
      <c r="I202"/>
      <c r="J202"/>
      <c r="K202" t="s">
        <v>266</v>
      </c>
    </row>
    <row r="203" spans="1:11">
      <c r="A203">
        <v>44200</v>
      </c>
      <c r="B203">
        <v>23104586559</v>
      </c>
      <c r="C203">
        <v>44195</v>
      </c>
      <c r="D203" t="s">
        <v>262</v>
      </c>
      <c r="E203" t="s">
        <v>267</v>
      </c>
      <c r="F203" t="s">
        <v>264</v>
      </c>
      <c r="G203" t="s">
        <v>265</v>
      </c>
      <c r="H203"/>
      <c r="I203"/>
      <c r="J203"/>
      <c r="K203" t="s">
        <v>268</v>
      </c>
    </row>
    <row r="204" spans="1:11">
      <c r="A204">
        <v>44200</v>
      </c>
      <c r="B204">
        <v>23104586559</v>
      </c>
      <c r="C204">
        <v>44195</v>
      </c>
      <c r="D204" t="s">
        <v>262</v>
      </c>
      <c r="E204" t="s">
        <v>269</v>
      </c>
      <c r="F204" t="s">
        <v>264</v>
      </c>
      <c r="G204" t="s">
        <v>265</v>
      </c>
      <c r="H204"/>
      <c r="I204"/>
      <c r="J204"/>
      <c r="K204" t="s">
        <v>270</v>
      </c>
    </row>
    <row r="205" spans="1:11">
      <c r="A205">
        <v>44200</v>
      </c>
      <c r="B205">
        <v>23104586559</v>
      </c>
      <c r="C205">
        <v>44195</v>
      </c>
      <c r="D205" t="s">
        <v>262</v>
      </c>
      <c r="E205" t="s">
        <v>271</v>
      </c>
      <c r="F205" t="s">
        <v>264</v>
      </c>
      <c r="G205" t="s">
        <v>265</v>
      </c>
      <c r="H205"/>
      <c r="I205"/>
      <c r="J205"/>
      <c r="K205" t="s">
        <v>272</v>
      </c>
    </row>
    <row r="206" spans="1:11">
      <c r="A206">
        <v>44200</v>
      </c>
      <c r="B206">
        <v>23104586559</v>
      </c>
      <c r="C206">
        <v>44195</v>
      </c>
      <c r="D206" t="s">
        <v>262</v>
      </c>
      <c r="E206" t="s">
        <v>273</v>
      </c>
      <c r="F206" t="s">
        <v>264</v>
      </c>
      <c r="G206" t="s">
        <v>265</v>
      </c>
      <c r="H206"/>
      <c r="I206"/>
      <c r="J206"/>
      <c r="K206" t="s">
        <v>274</v>
      </c>
    </row>
    <row r="207" spans="1:11">
      <c r="A207">
        <v>44200</v>
      </c>
      <c r="B207">
        <v>23104586559</v>
      </c>
      <c r="C207">
        <v>44195</v>
      </c>
      <c r="D207" t="s">
        <v>262</v>
      </c>
      <c r="E207" t="s">
        <v>275</v>
      </c>
      <c r="F207" t="s">
        <v>264</v>
      </c>
      <c r="G207" t="s">
        <v>265</v>
      </c>
      <c r="H207"/>
      <c r="I207"/>
      <c r="J207"/>
      <c r="K207" t="s">
        <v>276</v>
      </c>
    </row>
    <row r="208" spans="1:11">
      <c r="A208">
        <v>44200</v>
      </c>
      <c r="B208">
        <v>23104586559</v>
      </c>
      <c r="C208">
        <v>44195</v>
      </c>
      <c r="D208" t="s">
        <v>262</v>
      </c>
      <c r="E208" t="s">
        <v>277</v>
      </c>
      <c r="F208" t="s">
        <v>264</v>
      </c>
      <c r="G208" t="s">
        <v>265</v>
      </c>
      <c r="H208"/>
      <c r="I208"/>
      <c r="J208"/>
      <c r="K208" t="s">
        <v>278</v>
      </c>
    </row>
    <row r="209" spans="1:11">
      <c r="A209">
        <v>44207</v>
      </c>
      <c r="B209" t="s">
        <v>9</v>
      </c>
      <c r="C209">
        <v>43838</v>
      </c>
      <c r="D209" t="s">
        <v>279</v>
      </c>
      <c r="E209" t="s">
        <v>280</v>
      </c>
      <c r="F209" t="s">
        <v>12</v>
      </c>
      <c r="G209">
        <v>931155202</v>
      </c>
      <c r="H209"/>
      <c r="I209"/>
      <c r="J209"/>
      <c r="K209" t="s">
        <v>281</v>
      </c>
    </row>
    <row r="210" spans="1:11">
      <c r="A210">
        <v>44235</v>
      </c>
      <c r="B210" t="s">
        <v>207</v>
      </c>
      <c r="C210">
        <v>44232</v>
      </c>
      <c r="D210" t="s">
        <v>279</v>
      </c>
      <c r="E210" t="s">
        <v>527</v>
      </c>
      <c r="F210" t="s">
        <v>210</v>
      </c>
      <c r="G210">
        <v>931174035</v>
      </c>
      <c r="H210"/>
      <c r="I210"/>
      <c r="J210"/>
      <c r="K210" t="s">
        <v>304</v>
      </c>
    </row>
    <row r="211" spans="1:11">
      <c r="A211">
        <v>44235</v>
      </c>
      <c r="B211" t="s">
        <v>207</v>
      </c>
      <c r="C211">
        <v>44232</v>
      </c>
      <c r="D211" t="s">
        <v>279</v>
      </c>
      <c r="E211" t="s">
        <v>526</v>
      </c>
      <c r="F211" t="s">
        <v>210</v>
      </c>
      <c r="G211">
        <v>931174035</v>
      </c>
      <c r="H211"/>
      <c r="I211"/>
      <c r="J211"/>
      <c r="K211" t="s">
        <v>310</v>
      </c>
    </row>
    <row r="212" spans="1:11">
      <c r="A212">
        <v>44235</v>
      </c>
      <c r="B212" t="s">
        <v>207</v>
      </c>
      <c r="C212">
        <v>44232</v>
      </c>
      <c r="D212" t="s">
        <v>279</v>
      </c>
      <c r="E212" t="s">
        <v>521</v>
      </c>
      <c r="F212" t="s">
        <v>210</v>
      </c>
      <c r="G212">
        <v>931174035</v>
      </c>
      <c r="H212"/>
      <c r="I212"/>
      <c r="J212"/>
      <c r="K212" t="s">
        <v>312</v>
      </c>
    </row>
    <row r="213" spans="1:11">
      <c r="A213">
        <v>44235</v>
      </c>
      <c r="B213" t="s">
        <v>207</v>
      </c>
      <c r="C213">
        <v>44232</v>
      </c>
      <c r="D213" t="s">
        <v>279</v>
      </c>
      <c r="E213" t="s">
        <v>528</v>
      </c>
      <c r="F213" t="s">
        <v>210</v>
      </c>
      <c r="G213">
        <v>931174035</v>
      </c>
      <c r="H213"/>
      <c r="I213"/>
      <c r="J213"/>
      <c r="K213" t="s">
        <v>342</v>
      </c>
    </row>
    <row r="214" spans="1:11">
      <c r="A214">
        <v>44235</v>
      </c>
      <c r="B214" t="s">
        <v>207</v>
      </c>
      <c r="C214">
        <v>44232</v>
      </c>
      <c r="D214" t="s">
        <v>279</v>
      </c>
      <c r="E214" t="s">
        <v>523</v>
      </c>
      <c r="F214" t="s">
        <v>210</v>
      </c>
      <c r="G214">
        <v>931174035</v>
      </c>
      <c r="H214"/>
      <c r="I214"/>
      <c r="J214"/>
      <c r="K214" t="s">
        <v>314</v>
      </c>
    </row>
    <row r="215" spans="1:11">
      <c r="A215">
        <v>44235</v>
      </c>
      <c r="B215" t="s">
        <v>207</v>
      </c>
      <c r="C215">
        <v>44232</v>
      </c>
      <c r="D215" t="s">
        <v>279</v>
      </c>
      <c r="E215" t="s">
        <v>529</v>
      </c>
      <c r="F215" t="s">
        <v>210</v>
      </c>
      <c r="G215">
        <v>931174035</v>
      </c>
      <c r="H215"/>
      <c r="I215"/>
      <c r="J215"/>
      <c r="K215" t="s">
        <v>306</v>
      </c>
    </row>
    <row r="216" spans="1:11">
      <c r="A216">
        <v>44235</v>
      </c>
      <c r="B216" t="s">
        <v>207</v>
      </c>
      <c r="C216">
        <v>44232</v>
      </c>
      <c r="D216" t="s">
        <v>279</v>
      </c>
      <c r="E216" t="s">
        <v>524</v>
      </c>
      <c r="F216" t="s">
        <v>210</v>
      </c>
      <c r="G216">
        <v>931174035</v>
      </c>
      <c r="H216"/>
      <c r="I216"/>
      <c r="J216"/>
      <c r="K216" t="s">
        <v>300</v>
      </c>
    </row>
    <row r="217" spans="1:11">
      <c r="A217">
        <v>44235</v>
      </c>
      <c r="B217" t="s">
        <v>207</v>
      </c>
      <c r="C217">
        <v>44232</v>
      </c>
      <c r="D217" t="s">
        <v>279</v>
      </c>
      <c r="E217" t="s">
        <v>525</v>
      </c>
      <c r="F217" t="s">
        <v>210</v>
      </c>
      <c r="G217">
        <v>931174035</v>
      </c>
      <c r="H217"/>
      <c r="I217"/>
      <c r="J217"/>
      <c r="K217" t="s">
        <v>302</v>
      </c>
    </row>
    <row r="218" spans="1:11">
      <c r="A218">
        <v>44235</v>
      </c>
      <c r="B218" t="s">
        <v>207</v>
      </c>
      <c r="C218">
        <v>44232</v>
      </c>
      <c r="D218" t="s">
        <v>279</v>
      </c>
      <c r="E218" t="s">
        <v>522</v>
      </c>
      <c r="F218" t="s">
        <v>210</v>
      </c>
      <c r="G218">
        <v>931174035</v>
      </c>
      <c r="H218"/>
      <c r="I218"/>
      <c r="J218"/>
      <c r="K218" t="s">
        <v>308</v>
      </c>
    </row>
    <row r="219" spans="1:11">
      <c r="A219">
        <v>44214</v>
      </c>
      <c r="B219" t="s">
        <v>223</v>
      </c>
      <c r="C219">
        <v>44211</v>
      </c>
      <c r="D219" t="s">
        <v>293</v>
      </c>
      <c r="E219" t="s">
        <v>294</v>
      </c>
      <c r="F219" t="s">
        <v>210</v>
      </c>
      <c r="G219">
        <v>931160039</v>
      </c>
      <c r="H219"/>
      <c r="I219"/>
      <c r="J219"/>
      <c r="K219" t="s">
        <v>278</v>
      </c>
    </row>
    <row r="220" spans="1:11">
      <c r="A220">
        <v>44214</v>
      </c>
      <c r="B220" t="s">
        <v>223</v>
      </c>
      <c r="C220">
        <v>44211</v>
      </c>
      <c r="D220" t="s">
        <v>293</v>
      </c>
      <c r="E220" t="s">
        <v>295</v>
      </c>
      <c r="F220" t="s">
        <v>210</v>
      </c>
      <c r="G220">
        <v>931160039</v>
      </c>
      <c r="H220"/>
      <c r="I220"/>
      <c r="J220"/>
      <c r="K220" t="s">
        <v>272</v>
      </c>
    </row>
    <row r="221" spans="1:11">
      <c r="A221">
        <v>44214</v>
      </c>
      <c r="B221" t="s">
        <v>223</v>
      </c>
      <c r="C221">
        <v>44211</v>
      </c>
      <c r="D221" t="s">
        <v>293</v>
      </c>
      <c r="E221" t="s">
        <v>296</v>
      </c>
      <c r="F221" t="s">
        <v>210</v>
      </c>
      <c r="G221">
        <v>931160039</v>
      </c>
      <c r="H221"/>
      <c r="I221"/>
      <c r="J221"/>
      <c r="K221" t="s">
        <v>268</v>
      </c>
    </row>
    <row r="222" spans="1:11">
      <c r="A222">
        <v>44214</v>
      </c>
      <c r="B222" t="s">
        <v>223</v>
      </c>
      <c r="C222">
        <v>44211</v>
      </c>
      <c r="D222" t="s">
        <v>293</v>
      </c>
      <c r="E222" t="s">
        <v>297</v>
      </c>
      <c r="F222" t="s">
        <v>210</v>
      </c>
      <c r="G222">
        <v>931160039</v>
      </c>
      <c r="H222"/>
      <c r="I222"/>
      <c r="J222"/>
      <c r="K222" t="s">
        <v>270</v>
      </c>
    </row>
    <row r="223" spans="1:11">
      <c r="A223">
        <v>44214</v>
      </c>
      <c r="B223" t="s">
        <v>223</v>
      </c>
      <c r="C223">
        <v>44211</v>
      </c>
      <c r="D223" t="s">
        <v>293</v>
      </c>
      <c r="E223" t="s">
        <v>298</v>
      </c>
      <c r="F223" t="s">
        <v>210</v>
      </c>
      <c r="G223">
        <v>931160039</v>
      </c>
      <c r="H223"/>
      <c r="I223"/>
      <c r="J223"/>
      <c r="K223" t="s">
        <v>276</v>
      </c>
    </row>
    <row r="224" spans="1:11">
      <c r="A224">
        <v>44214</v>
      </c>
      <c r="B224" t="s">
        <v>223</v>
      </c>
      <c r="C224">
        <v>44211</v>
      </c>
      <c r="D224" t="s">
        <v>293</v>
      </c>
      <c r="E224" t="s">
        <v>299</v>
      </c>
      <c r="F224" t="s">
        <v>210</v>
      </c>
      <c r="G224">
        <v>931160039</v>
      </c>
      <c r="H224"/>
      <c r="I224"/>
      <c r="J224"/>
      <c r="K224" t="s">
        <v>300</v>
      </c>
    </row>
    <row r="225" spans="1:11">
      <c r="A225">
        <v>44214</v>
      </c>
      <c r="B225" t="s">
        <v>223</v>
      </c>
      <c r="C225">
        <v>44211</v>
      </c>
      <c r="D225" t="s">
        <v>293</v>
      </c>
      <c r="E225" t="s">
        <v>301</v>
      </c>
      <c r="F225" t="s">
        <v>210</v>
      </c>
      <c r="G225">
        <v>931160039</v>
      </c>
      <c r="H225"/>
      <c r="I225"/>
      <c r="J225"/>
      <c r="K225" t="s">
        <v>302</v>
      </c>
    </row>
    <row r="226" spans="1:11">
      <c r="A226">
        <v>44214</v>
      </c>
      <c r="B226" t="s">
        <v>223</v>
      </c>
      <c r="C226">
        <v>44211</v>
      </c>
      <c r="D226" t="s">
        <v>293</v>
      </c>
      <c r="E226" t="s">
        <v>303</v>
      </c>
      <c r="F226" t="s">
        <v>210</v>
      </c>
      <c r="G226">
        <v>931160039</v>
      </c>
      <c r="H226"/>
      <c r="I226"/>
      <c r="J226"/>
      <c r="K226" t="s">
        <v>304</v>
      </c>
    </row>
    <row r="227" spans="1:11">
      <c r="A227">
        <v>44214</v>
      </c>
      <c r="B227" t="s">
        <v>223</v>
      </c>
      <c r="C227">
        <v>44211</v>
      </c>
      <c r="D227" t="s">
        <v>293</v>
      </c>
      <c r="E227" t="s">
        <v>305</v>
      </c>
      <c r="F227" t="s">
        <v>210</v>
      </c>
      <c r="G227">
        <v>931160039</v>
      </c>
      <c r="H227"/>
      <c r="I227"/>
      <c r="J227"/>
      <c r="K227" t="s">
        <v>306</v>
      </c>
    </row>
    <row r="228" spans="1:11">
      <c r="A228">
        <v>44214</v>
      </c>
      <c r="B228" t="s">
        <v>223</v>
      </c>
      <c r="C228">
        <v>44211</v>
      </c>
      <c r="D228" t="s">
        <v>293</v>
      </c>
      <c r="E228" t="s">
        <v>307</v>
      </c>
      <c r="F228" t="s">
        <v>210</v>
      </c>
      <c r="G228">
        <v>931160039</v>
      </c>
      <c r="H228"/>
      <c r="I228"/>
      <c r="J228"/>
      <c r="K228" t="s">
        <v>308</v>
      </c>
    </row>
    <row r="229" spans="1:11">
      <c r="A229">
        <v>44214</v>
      </c>
      <c r="B229" t="s">
        <v>223</v>
      </c>
      <c r="C229">
        <v>44211</v>
      </c>
      <c r="D229" t="s">
        <v>293</v>
      </c>
      <c r="E229" t="s">
        <v>309</v>
      </c>
      <c r="F229" t="s">
        <v>210</v>
      </c>
      <c r="G229">
        <v>931160039</v>
      </c>
      <c r="H229"/>
      <c r="I229"/>
      <c r="J229"/>
      <c r="K229" t="s">
        <v>310</v>
      </c>
    </row>
    <row r="230" spans="1:11">
      <c r="A230">
        <v>44214</v>
      </c>
      <c r="B230" t="s">
        <v>223</v>
      </c>
      <c r="C230">
        <v>44211</v>
      </c>
      <c r="D230" t="s">
        <v>293</v>
      </c>
      <c r="E230" t="s">
        <v>311</v>
      </c>
      <c r="F230" t="s">
        <v>210</v>
      </c>
      <c r="G230">
        <v>931160039</v>
      </c>
      <c r="H230"/>
      <c r="I230"/>
      <c r="J230"/>
      <c r="K230" t="s">
        <v>312</v>
      </c>
    </row>
    <row r="231" spans="1:11">
      <c r="A231">
        <v>44214</v>
      </c>
      <c r="B231" t="s">
        <v>223</v>
      </c>
      <c r="C231">
        <v>44211</v>
      </c>
      <c r="D231" t="s">
        <v>293</v>
      </c>
      <c r="E231" t="s">
        <v>313</v>
      </c>
      <c r="F231" t="s">
        <v>210</v>
      </c>
      <c r="G231">
        <v>931160039</v>
      </c>
      <c r="H231"/>
      <c r="I231"/>
      <c r="J231"/>
      <c r="K231" t="s">
        <v>314</v>
      </c>
    </row>
    <row r="232" spans="1:11">
      <c r="A232">
        <v>44214</v>
      </c>
      <c r="B232" t="s">
        <v>223</v>
      </c>
      <c r="C232">
        <v>44211</v>
      </c>
      <c r="D232" t="s">
        <v>293</v>
      </c>
      <c r="E232" t="s">
        <v>315</v>
      </c>
      <c r="F232" t="s">
        <v>210</v>
      </c>
      <c r="G232">
        <v>931160039</v>
      </c>
      <c r="H232"/>
      <c r="I232"/>
      <c r="J232"/>
      <c r="K232" t="s">
        <v>274</v>
      </c>
    </row>
    <row r="233" spans="1:11">
      <c r="A233">
        <v>44214</v>
      </c>
      <c r="B233" t="s">
        <v>223</v>
      </c>
      <c r="C233">
        <v>44211</v>
      </c>
      <c r="D233" t="s">
        <v>293</v>
      </c>
      <c r="E233" t="s">
        <v>316</v>
      </c>
      <c r="F233" t="s">
        <v>210</v>
      </c>
      <c r="G233">
        <v>931160039</v>
      </c>
      <c r="H233"/>
      <c r="I233"/>
      <c r="J233"/>
      <c r="K233" t="s">
        <v>317</v>
      </c>
    </row>
    <row r="234" spans="1:11">
      <c r="A234">
        <v>44214</v>
      </c>
      <c r="B234" t="s">
        <v>223</v>
      </c>
      <c r="C234">
        <v>44211</v>
      </c>
      <c r="D234" t="s">
        <v>293</v>
      </c>
      <c r="E234" t="s">
        <v>318</v>
      </c>
      <c r="F234" t="s">
        <v>210</v>
      </c>
      <c r="G234">
        <v>931160039</v>
      </c>
      <c r="H234"/>
      <c r="I234"/>
      <c r="J234"/>
      <c r="K234" t="s">
        <v>266</v>
      </c>
    </row>
    <row r="235" spans="1:11">
      <c r="A235">
        <v>44214</v>
      </c>
      <c r="B235" t="s">
        <v>223</v>
      </c>
      <c r="C235">
        <v>44211</v>
      </c>
      <c r="D235" t="s">
        <v>293</v>
      </c>
      <c r="E235" t="s">
        <v>319</v>
      </c>
      <c r="F235" t="s">
        <v>210</v>
      </c>
      <c r="G235">
        <v>931160039</v>
      </c>
      <c r="H235"/>
      <c r="I235"/>
      <c r="J235"/>
      <c r="K235" t="s">
        <v>291</v>
      </c>
    </row>
    <row r="236" spans="1:11">
      <c r="A236">
        <v>44214</v>
      </c>
      <c r="B236" t="s">
        <v>223</v>
      </c>
      <c r="C236">
        <v>44211</v>
      </c>
      <c r="D236" t="s">
        <v>293</v>
      </c>
      <c r="E236" t="s">
        <v>320</v>
      </c>
      <c r="F236" t="s">
        <v>210</v>
      </c>
      <c r="G236">
        <v>931160039</v>
      </c>
      <c r="H236"/>
      <c r="I236"/>
      <c r="J236"/>
      <c r="K236" t="s">
        <v>288</v>
      </c>
    </row>
    <row r="237" spans="1:11">
      <c r="A237">
        <v>44214</v>
      </c>
      <c r="B237" t="s">
        <v>223</v>
      </c>
      <c r="C237">
        <v>44211</v>
      </c>
      <c r="D237" t="s">
        <v>321</v>
      </c>
      <c r="E237" t="s">
        <v>322</v>
      </c>
      <c r="F237" t="s">
        <v>210</v>
      </c>
      <c r="G237">
        <v>931160039</v>
      </c>
      <c r="H237"/>
      <c r="I237"/>
      <c r="J237"/>
      <c r="K237" t="s">
        <v>274</v>
      </c>
    </row>
    <row r="238" spans="1:11">
      <c r="A238">
        <v>44214</v>
      </c>
      <c r="B238" t="s">
        <v>223</v>
      </c>
      <c r="C238">
        <v>44211</v>
      </c>
      <c r="D238" t="s">
        <v>321</v>
      </c>
      <c r="E238" t="s">
        <v>323</v>
      </c>
      <c r="F238" t="s">
        <v>210</v>
      </c>
      <c r="G238">
        <v>931160039</v>
      </c>
      <c r="H238"/>
      <c r="I238"/>
      <c r="J238"/>
      <c r="K238" t="s">
        <v>317</v>
      </c>
    </row>
    <row r="239" spans="1:11">
      <c r="A239">
        <v>44214</v>
      </c>
      <c r="B239" t="s">
        <v>223</v>
      </c>
      <c r="C239">
        <v>44211</v>
      </c>
      <c r="D239" t="s">
        <v>321</v>
      </c>
      <c r="E239" t="s">
        <v>324</v>
      </c>
      <c r="F239" t="s">
        <v>210</v>
      </c>
      <c r="G239">
        <v>931160039</v>
      </c>
      <c r="H239"/>
      <c r="I239"/>
      <c r="J239"/>
      <c r="K239" t="s">
        <v>266</v>
      </c>
    </row>
    <row r="240" spans="1:11">
      <c r="A240">
        <v>44214</v>
      </c>
      <c r="B240" t="s">
        <v>223</v>
      </c>
      <c r="C240">
        <v>44211</v>
      </c>
      <c r="D240" t="s">
        <v>321</v>
      </c>
      <c r="E240" t="s">
        <v>325</v>
      </c>
      <c r="F240" t="s">
        <v>210</v>
      </c>
      <c r="G240">
        <v>931160039</v>
      </c>
      <c r="H240"/>
      <c r="I240"/>
      <c r="J240"/>
      <c r="K240" t="s">
        <v>278</v>
      </c>
    </row>
    <row r="241" spans="1:11">
      <c r="A241">
        <v>44214</v>
      </c>
      <c r="B241" t="s">
        <v>223</v>
      </c>
      <c r="C241">
        <v>44211</v>
      </c>
      <c r="D241" t="s">
        <v>321</v>
      </c>
      <c r="E241" t="s">
        <v>326</v>
      </c>
      <c r="F241" t="s">
        <v>210</v>
      </c>
      <c r="G241">
        <v>931160039</v>
      </c>
      <c r="H241"/>
      <c r="I241"/>
      <c r="J241"/>
      <c r="K241" t="s">
        <v>291</v>
      </c>
    </row>
    <row r="242" spans="1:11">
      <c r="A242">
        <v>44214</v>
      </c>
      <c r="B242" t="s">
        <v>223</v>
      </c>
      <c r="C242">
        <v>44211</v>
      </c>
      <c r="D242" t="s">
        <v>321</v>
      </c>
      <c r="E242" t="s">
        <v>327</v>
      </c>
      <c r="F242" t="s">
        <v>210</v>
      </c>
      <c r="G242">
        <v>931160039</v>
      </c>
      <c r="H242"/>
      <c r="I242"/>
      <c r="J242"/>
      <c r="K242" t="s">
        <v>270</v>
      </c>
    </row>
    <row r="243" spans="1:11">
      <c r="A243">
        <v>44214</v>
      </c>
      <c r="B243" t="s">
        <v>223</v>
      </c>
      <c r="C243">
        <v>44211</v>
      </c>
      <c r="D243" t="s">
        <v>321</v>
      </c>
      <c r="E243" t="s">
        <v>328</v>
      </c>
      <c r="F243" t="s">
        <v>210</v>
      </c>
      <c r="G243">
        <v>931160039</v>
      </c>
      <c r="H243"/>
      <c r="I243"/>
      <c r="J243"/>
      <c r="K243" t="s">
        <v>276</v>
      </c>
    </row>
    <row r="244" spans="1:11">
      <c r="A244">
        <v>44214</v>
      </c>
      <c r="B244" t="s">
        <v>223</v>
      </c>
      <c r="C244">
        <v>44211</v>
      </c>
      <c r="D244" t="s">
        <v>321</v>
      </c>
      <c r="E244" t="s">
        <v>329</v>
      </c>
      <c r="F244" t="s">
        <v>210</v>
      </c>
      <c r="G244">
        <v>931160039</v>
      </c>
      <c r="H244"/>
      <c r="I244"/>
      <c r="J244"/>
      <c r="K244" t="s">
        <v>268</v>
      </c>
    </row>
    <row r="245" spans="1:11">
      <c r="A245">
        <v>44214</v>
      </c>
      <c r="B245" t="s">
        <v>223</v>
      </c>
      <c r="C245">
        <v>44211</v>
      </c>
      <c r="D245" t="s">
        <v>321</v>
      </c>
      <c r="E245" t="s">
        <v>330</v>
      </c>
      <c r="F245" t="s">
        <v>210</v>
      </c>
      <c r="G245">
        <v>931160039</v>
      </c>
      <c r="H245"/>
      <c r="I245"/>
      <c r="J245"/>
      <c r="K245" t="s">
        <v>272</v>
      </c>
    </row>
    <row r="246" spans="1:11">
      <c r="A246">
        <v>44214</v>
      </c>
      <c r="B246" t="s">
        <v>223</v>
      </c>
      <c r="C246">
        <v>44211</v>
      </c>
      <c r="D246" t="s">
        <v>321</v>
      </c>
      <c r="E246" t="s">
        <v>331</v>
      </c>
      <c r="F246" t="s">
        <v>210</v>
      </c>
      <c r="G246">
        <v>931160039</v>
      </c>
      <c r="H246"/>
      <c r="I246"/>
      <c r="J246"/>
      <c r="K246" t="s">
        <v>288</v>
      </c>
    </row>
    <row r="247" spans="1:11">
      <c r="A247">
        <v>44214</v>
      </c>
      <c r="B247" t="s">
        <v>223</v>
      </c>
      <c r="C247">
        <v>44211</v>
      </c>
      <c r="D247" t="s">
        <v>321</v>
      </c>
      <c r="E247" t="s">
        <v>332</v>
      </c>
      <c r="F247" t="s">
        <v>210</v>
      </c>
      <c r="G247">
        <v>931160039</v>
      </c>
      <c r="H247"/>
      <c r="I247"/>
      <c r="J247"/>
      <c r="K247" t="s">
        <v>308</v>
      </c>
    </row>
    <row r="248" spans="1:11">
      <c r="A248">
        <v>44214</v>
      </c>
      <c r="B248" t="s">
        <v>223</v>
      </c>
      <c r="C248">
        <v>44211</v>
      </c>
      <c r="D248" t="s">
        <v>321</v>
      </c>
      <c r="E248" t="s">
        <v>333</v>
      </c>
      <c r="F248" t="s">
        <v>210</v>
      </c>
      <c r="G248">
        <v>931160039</v>
      </c>
      <c r="H248"/>
      <c r="I248"/>
      <c r="J248"/>
      <c r="K248" t="s">
        <v>306</v>
      </c>
    </row>
    <row r="249" spans="1:11">
      <c r="A249">
        <v>44214</v>
      </c>
      <c r="B249" t="s">
        <v>223</v>
      </c>
      <c r="C249">
        <v>44211</v>
      </c>
      <c r="D249" t="s">
        <v>321</v>
      </c>
      <c r="E249" t="s">
        <v>334</v>
      </c>
      <c r="F249" t="s">
        <v>210</v>
      </c>
      <c r="G249">
        <v>931160039</v>
      </c>
      <c r="H249"/>
      <c r="I249"/>
      <c r="J249"/>
      <c r="K249" t="s">
        <v>300</v>
      </c>
    </row>
    <row r="250" spans="1:11">
      <c r="A250">
        <v>44214</v>
      </c>
      <c r="B250" t="s">
        <v>223</v>
      </c>
      <c r="C250">
        <v>44211</v>
      </c>
      <c r="D250" t="s">
        <v>321</v>
      </c>
      <c r="E250" t="s">
        <v>335</v>
      </c>
      <c r="F250" t="s">
        <v>210</v>
      </c>
      <c r="G250">
        <v>931160039</v>
      </c>
      <c r="H250"/>
      <c r="I250"/>
      <c r="J250"/>
      <c r="K250" t="s">
        <v>314</v>
      </c>
    </row>
    <row r="251" spans="1:11">
      <c r="A251">
        <v>44214</v>
      </c>
      <c r="B251" t="s">
        <v>223</v>
      </c>
      <c r="C251">
        <v>44211</v>
      </c>
      <c r="D251" t="s">
        <v>321</v>
      </c>
      <c r="E251" t="s">
        <v>336</v>
      </c>
      <c r="F251" t="s">
        <v>210</v>
      </c>
      <c r="G251">
        <v>931160039</v>
      </c>
      <c r="H251"/>
      <c r="I251"/>
      <c r="J251"/>
      <c r="K251" t="s">
        <v>312</v>
      </c>
    </row>
    <row r="252" spans="1:11">
      <c r="A252">
        <v>44214</v>
      </c>
      <c r="B252" t="s">
        <v>223</v>
      </c>
      <c r="C252">
        <v>44211</v>
      </c>
      <c r="D252" t="s">
        <v>321</v>
      </c>
      <c r="E252" t="s">
        <v>337</v>
      </c>
      <c r="F252" t="s">
        <v>210</v>
      </c>
      <c r="G252">
        <v>931160039</v>
      </c>
      <c r="H252"/>
      <c r="I252"/>
      <c r="J252"/>
      <c r="K252" t="s">
        <v>310</v>
      </c>
    </row>
    <row r="253" spans="1:11">
      <c r="A253">
        <v>44214</v>
      </c>
      <c r="B253" t="s">
        <v>223</v>
      </c>
      <c r="C253">
        <v>44211</v>
      </c>
      <c r="D253" t="s">
        <v>321</v>
      </c>
      <c r="E253" t="s">
        <v>338</v>
      </c>
      <c r="F253" t="s">
        <v>210</v>
      </c>
      <c r="G253">
        <v>931160039</v>
      </c>
      <c r="H253"/>
      <c r="I253"/>
      <c r="J253"/>
      <c r="K253" t="s">
        <v>304</v>
      </c>
    </row>
    <row r="254" spans="1:11">
      <c r="A254">
        <v>44214</v>
      </c>
      <c r="B254" t="s">
        <v>223</v>
      </c>
      <c r="C254">
        <v>44211</v>
      </c>
      <c r="D254" t="s">
        <v>321</v>
      </c>
      <c r="E254" t="s">
        <v>339</v>
      </c>
      <c r="F254" t="s">
        <v>210</v>
      </c>
      <c r="G254">
        <v>931160039</v>
      </c>
      <c r="H254"/>
      <c r="I254"/>
      <c r="J254"/>
      <c r="K254" t="s">
        <v>281</v>
      </c>
    </row>
    <row r="255" spans="1:11">
      <c r="A255">
        <v>44221</v>
      </c>
      <c r="B255" t="s">
        <v>223</v>
      </c>
      <c r="C255">
        <v>44218</v>
      </c>
      <c r="D255" t="s">
        <v>340</v>
      </c>
      <c r="E255" t="s">
        <v>341</v>
      </c>
      <c r="F255" t="s">
        <v>210</v>
      </c>
      <c r="G255">
        <v>931164231</v>
      </c>
      <c r="H255"/>
      <c r="I255"/>
      <c r="J255"/>
      <c r="K255" t="s">
        <v>342</v>
      </c>
    </row>
    <row r="256" spans="1:11">
      <c r="A256"/>
      <c r="B256"/>
      <c r="C256"/>
      <c r="D256" t="s">
        <v>582</v>
      </c>
      <c r="E256" t="s">
        <v>343</v>
      </c>
      <c r="F256"/>
      <c r="G256"/>
      <c r="H256"/>
      <c r="I256"/>
      <c r="J256"/>
      <c r="K256" t="s">
        <v>342</v>
      </c>
    </row>
    <row r="257" spans="1:11">
      <c r="A257"/>
      <c r="B257"/>
      <c r="C257"/>
      <c r="D257" t="s">
        <v>582</v>
      </c>
      <c r="E257" t="s">
        <v>344</v>
      </c>
      <c r="F257"/>
      <c r="G257"/>
      <c r="H257"/>
      <c r="I257"/>
      <c r="J257"/>
      <c r="K257" t="s">
        <v>342</v>
      </c>
    </row>
    <row r="258" spans="1:11">
      <c r="A258"/>
      <c r="B258"/>
      <c r="C258"/>
      <c r="D258" t="s">
        <v>581</v>
      </c>
      <c r="E258" t="s">
        <v>345</v>
      </c>
      <c r="F258"/>
      <c r="G258"/>
      <c r="H258"/>
      <c r="I258"/>
      <c r="J258"/>
      <c r="K258" t="s">
        <v>342</v>
      </c>
    </row>
    <row r="259" spans="1:11">
      <c r="A259">
        <v>44221</v>
      </c>
      <c r="B259" t="s">
        <v>223</v>
      </c>
      <c r="C259">
        <v>44218</v>
      </c>
      <c r="D259" t="s">
        <v>340</v>
      </c>
      <c r="E259" t="s">
        <v>346</v>
      </c>
      <c r="F259" t="s">
        <v>210</v>
      </c>
      <c r="G259">
        <v>931164231</v>
      </c>
      <c r="H259"/>
      <c r="I259"/>
      <c r="J259"/>
      <c r="K259" t="s">
        <v>310</v>
      </c>
    </row>
    <row r="260" spans="1:11">
      <c r="A260"/>
      <c r="B260"/>
      <c r="C260"/>
      <c r="D260" t="s">
        <v>582</v>
      </c>
      <c r="E260" t="s">
        <v>347</v>
      </c>
      <c r="F260"/>
      <c r="G260"/>
      <c r="H260"/>
      <c r="I260"/>
      <c r="J260"/>
      <c r="K260" t="s">
        <v>310</v>
      </c>
    </row>
    <row r="261" spans="1:11">
      <c r="A261"/>
      <c r="B261"/>
      <c r="C261"/>
      <c r="D261" t="s">
        <v>582</v>
      </c>
      <c r="E261" t="s">
        <v>348</v>
      </c>
      <c r="F261"/>
      <c r="G261"/>
      <c r="H261"/>
      <c r="I261"/>
      <c r="J261"/>
      <c r="K261" t="s">
        <v>310</v>
      </c>
    </row>
    <row r="262" spans="1:11">
      <c r="A262"/>
      <c r="B262"/>
      <c r="C262"/>
      <c r="D262" t="s">
        <v>581</v>
      </c>
      <c r="E262" t="s">
        <v>349</v>
      </c>
      <c r="F262"/>
      <c r="G262"/>
      <c r="H262"/>
      <c r="I262"/>
      <c r="J262"/>
      <c r="K262" t="s">
        <v>310</v>
      </c>
    </row>
    <row r="263" spans="1:11">
      <c r="A263">
        <v>44221</v>
      </c>
      <c r="B263" t="s">
        <v>223</v>
      </c>
      <c r="C263">
        <v>44218</v>
      </c>
      <c r="D263" t="s">
        <v>340</v>
      </c>
      <c r="E263" t="s">
        <v>350</v>
      </c>
      <c r="F263" t="s">
        <v>210</v>
      </c>
      <c r="G263">
        <v>931164231</v>
      </c>
      <c r="H263"/>
      <c r="I263"/>
      <c r="J263"/>
      <c r="K263" t="s">
        <v>312</v>
      </c>
    </row>
    <row r="264" spans="1:11">
      <c r="A264"/>
      <c r="B264"/>
      <c r="C264"/>
      <c r="D264" t="s">
        <v>582</v>
      </c>
      <c r="E264" t="s">
        <v>351</v>
      </c>
      <c r="F264"/>
      <c r="G264"/>
      <c r="H264"/>
      <c r="I264"/>
      <c r="J264"/>
      <c r="K264" t="s">
        <v>312</v>
      </c>
    </row>
    <row r="265" spans="1:11">
      <c r="A265"/>
      <c r="B265"/>
      <c r="C265"/>
      <c r="D265" t="s">
        <v>582</v>
      </c>
      <c r="E265" t="s">
        <v>352</v>
      </c>
      <c r="F265"/>
      <c r="G265"/>
      <c r="H265"/>
      <c r="I265"/>
      <c r="J265"/>
      <c r="K265" t="s">
        <v>312</v>
      </c>
    </row>
    <row r="266" spans="1:11">
      <c r="A266"/>
      <c r="B266"/>
      <c r="C266"/>
      <c r="D266" t="s">
        <v>581</v>
      </c>
      <c r="E266" t="s">
        <v>353</v>
      </c>
      <c r="F266"/>
      <c r="G266"/>
      <c r="H266"/>
      <c r="I266"/>
      <c r="J266"/>
      <c r="K266" t="s">
        <v>312</v>
      </c>
    </row>
    <row r="267" spans="1:11">
      <c r="A267">
        <v>44221</v>
      </c>
      <c r="B267" t="s">
        <v>223</v>
      </c>
      <c r="C267">
        <v>44218</v>
      </c>
      <c r="D267" t="s">
        <v>340</v>
      </c>
      <c r="E267" t="s">
        <v>354</v>
      </c>
      <c r="F267" t="s">
        <v>210</v>
      </c>
      <c r="G267">
        <v>931164231</v>
      </c>
      <c r="H267"/>
      <c r="I267"/>
      <c r="J267"/>
      <c r="K267" t="s">
        <v>304</v>
      </c>
    </row>
    <row r="268" spans="1:11">
      <c r="A268"/>
      <c r="B268"/>
      <c r="C268"/>
      <c r="D268" t="s">
        <v>582</v>
      </c>
      <c r="E268" t="s">
        <v>355</v>
      </c>
      <c r="F268"/>
      <c r="G268"/>
      <c r="H268"/>
      <c r="I268"/>
      <c r="J268"/>
      <c r="K268" t="s">
        <v>304</v>
      </c>
    </row>
    <row r="269" spans="1:11">
      <c r="A269"/>
      <c r="B269"/>
      <c r="C269"/>
      <c r="D269" t="s">
        <v>582</v>
      </c>
      <c r="E269" t="s">
        <v>356</v>
      </c>
      <c r="F269"/>
      <c r="G269"/>
      <c r="H269"/>
      <c r="I269"/>
      <c r="J269"/>
      <c r="K269" t="s">
        <v>304</v>
      </c>
    </row>
    <row r="270" spans="1:11">
      <c r="A270"/>
      <c r="B270"/>
      <c r="C270"/>
      <c r="D270" t="s">
        <v>581</v>
      </c>
      <c r="E270" t="s">
        <v>357</v>
      </c>
      <c r="F270"/>
      <c r="G270"/>
      <c r="H270"/>
      <c r="I270"/>
      <c r="J270"/>
      <c r="K270" t="s">
        <v>304</v>
      </c>
    </row>
    <row r="271" spans="1:11">
      <c r="A271">
        <v>44221</v>
      </c>
      <c r="B271" t="s">
        <v>223</v>
      </c>
      <c r="C271">
        <v>44218</v>
      </c>
      <c r="D271" t="s">
        <v>340</v>
      </c>
      <c r="E271" t="s">
        <v>358</v>
      </c>
      <c r="F271" t="s">
        <v>210</v>
      </c>
      <c r="G271">
        <v>931164231</v>
      </c>
      <c r="H271"/>
      <c r="I271"/>
      <c r="J271"/>
      <c r="K271" t="s">
        <v>281</v>
      </c>
    </row>
    <row r="272" spans="1:11">
      <c r="A272"/>
      <c r="B272"/>
      <c r="C272"/>
      <c r="D272" t="s">
        <v>582</v>
      </c>
      <c r="E272" t="s">
        <v>359</v>
      </c>
      <c r="F272"/>
      <c r="G272"/>
      <c r="H272"/>
      <c r="I272"/>
      <c r="J272"/>
      <c r="K272" t="s">
        <v>281</v>
      </c>
    </row>
    <row r="273" spans="1:11">
      <c r="A273"/>
      <c r="B273"/>
      <c r="C273"/>
      <c r="D273" t="s">
        <v>582</v>
      </c>
      <c r="E273" t="s">
        <v>360</v>
      </c>
      <c r="F273"/>
      <c r="G273"/>
      <c r="H273"/>
      <c r="I273"/>
      <c r="J273"/>
      <c r="K273" t="s">
        <v>281</v>
      </c>
    </row>
    <row r="274" spans="1:11">
      <c r="A274"/>
      <c r="B274"/>
      <c r="C274"/>
      <c r="D274" t="s">
        <v>581</v>
      </c>
      <c r="E274" t="s">
        <v>361</v>
      </c>
      <c r="F274"/>
      <c r="G274"/>
      <c r="H274"/>
      <c r="I274"/>
      <c r="J274"/>
      <c r="K274" t="s">
        <v>281</v>
      </c>
    </row>
    <row r="275" spans="1:11">
      <c r="A275">
        <v>44225</v>
      </c>
      <c r="B275" t="s">
        <v>199</v>
      </c>
      <c r="C275">
        <v>44224</v>
      </c>
      <c r="D275" t="s">
        <v>362</v>
      </c>
      <c r="E275" t="s">
        <v>368</v>
      </c>
      <c r="F275" t="s">
        <v>202</v>
      </c>
      <c r="G275" t="s">
        <v>203</v>
      </c>
      <c r="H275"/>
      <c r="I275"/>
      <c r="J275"/>
      <c r="K275" t="s">
        <v>281</v>
      </c>
    </row>
    <row r="276" spans="1:11">
      <c r="A276">
        <v>44138</v>
      </c>
      <c r="B276">
        <v>22557591843</v>
      </c>
      <c r="C276">
        <v>44106</v>
      </c>
      <c r="D276" t="s">
        <v>362</v>
      </c>
      <c r="E276" t="s">
        <v>579</v>
      </c>
      <c r="F276" t="s">
        <v>264</v>
      </c>
      <c r="G276" t="s">
        <v>577</v>
      </c>
      <c r="H276">
        <v>44203</v>
      </c>
      <c r="I276"/>
      <c r="J276"/>
      <c r="K276" t="s">
        <v>304</v>
      </c>
    </row>
    <row r="277" spans="1:11">
      <c r="A277" t="s">
        <v>596</v>
      </c>
      <c r="B277" t="s">
        <v>597</v>
      </c>
      <c r="C277">
        <v>44195</v>
      </c>
      <c r="D277" t="s">
        <v>362</v>
      </c>
      <c r="E277" t="s">
        <v>601</v>
      </c>
      <c r="F277" t="s">
        <v>599</v>
      </c>
      <c r="G277" t="s">
        <v>600</v>
      </c>
      <c r="H277">
        <v>44203</v>
      </c>
      <c r="I277"/>
      <c r="J277"/>
      <c r="K277" t="s">
        <v>312</v>
      </c>
    </row>
    <row r="278" spans="1:11">
      <c r="A278" t="s">
        <v>596</v>
      </c>
      <c r="B278" t="s">
        <v>597</v>
      </c>
      <c r="C278">
        <v>44195</v>
      </c>
      <c r="D278" t="s">
        <v>362</v>
      </c>
      <c r="E278" t="s">
        <v>602</v>
      </c>
      <c r="F278" t="s">
        <v>599</v>
      </c>
      <c r="G278" t="s">
        <v>600</v>
      </c>
      <c r="H278">
        <v>44203</v>
      </c>
      <c r="I278"/>
      <c r="J278"/>
      <c r="K278" t="s">
        <v>342</v>
      </c>
    </row>
    <row r="279" spans="1:11">
      <c r="A279">
        <v>44138</v>
      </c>
      <c r="B279">
        <v>22557591843</v>
      </c>
      <c r="C279">
        <v>44106</v>
      </c>
      <c r="D279" t="s">
        <v>362</v>
      </c>
      <c r="E279" t="s">
        <v>576</v>
      </c>
      <c r="F279" t="s">
        <v>264</v>
      </c>
      <c r="G279" t="s">
        <v>577</v>
      </c>
      <c r="H279">
        <v>44203</v>
      </c>
      <c r="I279"/>
      <c r="J279"/>
      <c r="K279" t="s">
        <v>314</v>
      </c>
    </row>
    <row r="280" spans="1:11">
      <c r="A280" t="s">
        <v>596</v>
      </c>
      <c r="B280" t="s">
        <v>597</v>
      </c>
      <c r="C280">
        <v>44195</v>
      </c>
      <c r="D280" t="s">
        <v>362</v>
      </c>
      <c r="E280" t="s">
        <v>598</v>
      </c>
      <c r="F280" t="s">
        <v>599</v>
      </c>
      <c r="G280" t="s">
        <v>600</v>
      </c>
      <c r="H280">
        <v>44203</v>
      </c>
      <c r="I280"/>
      <c r="J280"/>
      <c r="K280" t="s">
        <v>306</v>
      </c>
    </row>
    <row r="281" spans="1:11">
      <c r="A281">
        <v>44138</v>
      </c>
      <c r="B281">
        <v>22557591843</v>
      </c>
      <c r="C281">
        <v>44106</v>
      </c>
      <c r="D281" t="s">
        <v>362</v>
      </c>
      <c r="E281" t="s">
        <v>578</v>
      </c>
      <c r="F281" t="s">
        <v>264</v>
      </c>
      <c r="G281" t="s">
        <v>577</v>
      </c>
      <c r="H281">
        <v>44203</v>
      </c>
      <c r="I281"/>
      <c r="J281"/>
      <c r="K281" t="s">
        <v>300</v>
      </c>
    </row>
    <row r="282" spans="1:11">
      <c r="A282">
        <v>44225</v>
      </c>
      <c r="B282" t="s">
        <v>199</v>
      </c>
      <c r="C282">
        <v>44224</v>
      </c>
      <c r="D282" t="s">
        <v>362</v>
      </c>
      <c r="E282" t="s">
        <v>365</v>
      </c>
      <c r="F282" t="s">
        <v>202</v>
      </c>
      <c r="G282" t="s">
        <v>203</v>
      </c>
      <c r="H282"/>
      <c r="I282"/>
      <c r="J282"/>
      <c r="K282" t="s">
        <v>302</v>
      </c>
    </row>
    <row r="283" spans="1:11">
      <c r="A283">
        <v>44228</v>
      </c>
      <c r="B283" t="s">
        <v>207</v>
      </c>
      <c r="C283">
        <v>44225</v>
      </c>
      <c r="D283" t="s">
        <v>340</v>
      </c>
      <c r="E283" t="s">
        <v>371</v>
      </c>
      <c r="F283" t="s">
        <v>210</v>
      </c>
      <c r="G283">
        <v>931169182</v>
      </c>
      <c r="H283"/>
      <c r="I283"/>
      <c r="J283"/>
      <c r="K283" t="s">
        <v>314</v>
      </c>
    </row>
    <row r="284" spans="1:11">
      <c r="A284"/>
      <c r="B284"/>
      <c r="C284"/>
      <c r="D284" t="s">
        <v>582</v>
      </c>
      <c r="E284" t="s">
        <v>372</v>
      </c>
      <c r="F284" t="s">
        <v>210</v>
      </c>
      <c r="G284">
        <v>931169182</v>
      </c>
      <c r="H284"/>
      <c r="I284"/>
      <c r="J284"/>
      <c r="K284" t="s">
        <v>314</v>
      </c>
    </row>
    <row r="285" spans="1:11">
      <c r="A285"/>
      <c r="B285"/>
      <c r="C285"/>
      <c r="D285" t="s">
        <v>582</v>
      </c>
      <c r="E285" t="s">
        <v>373</v>
      </c>
      <c r="F285" t="s">
        <v>210</v>
      </c>
      <c r="G285">
        <v>931169182</v>
      </c>
      <c r="H285"/>
      <c r="I285"/>
      <c r="J285"/>
      <c r="K285" t="s">
        <v>314</v>
      </c>
    </row>
    <row r="286" spans="1:11">
      <c r="A286"/>
      <c r="B286"/>
      <c r="C286"/>
      <c r="D286" t="s">
        <v>581</v>
      </c>
      <c r="E286" t="s">
        <v>374</v>
      </c>
      <c r="F286" t="s">
        <v>210</v>
      </c>
      <c r="G286">
        <v>931169182</v>
      </c>
      <c r="H286"/>
      <c r="I286"/>
      <c r="J286"/>
      <c r="K286" t="s">
        <v>314</v>
      </c>
    </row>
    <row r="287" spans="1:11">
      <c r="A287">
        <v>44228</v>
      </c>
      <c r="B287" t="s">
        <v>207</v>
      </c>
      <c r="C287">
        <v>44225</v>
      </c>
      <c r="D287" t="s">
        <v>340</v>
      </c>
      <c r="E287" t="s">
        <v>375</v>
      </c>
      <c r="F287" t="s">
        <v>210</v>
      </c>
      <c r="G287">
        <v>931169182</v>
      </c>
      <c r="H287"/>
      <c r="I287"/>
      <c r="J287"/>
      <c r="K287" t="s">
        <v>274</v>
      </c>
    </row>
    <row r="288" spans="1:11">
      <c r="A288"/>
      <c r="B288"/>
      <c r="C288"/>
      <c r="D288" t="s">
        <v>582</v>
      </c>
      <c r="E288" t="s">
        <v>376</v>
      </c>
      <c r="F288" t="s">
        <v>210</v>
      </c>
      <c r="G288">
        <v>931169182</v>
      </c>
      <c r="H288"/>
      <c r="I288"/>
      <c r="J288"/>
      <c r="K288" t="s">
        <v>274</v>
      </c>
    </row>
    <row r="289" spans="1:11">
      <c r="A289"/>
      <c r="B289"/>
      <c r="C289"/>
      <c r="D289" t="s">
        <v>582</v>
      </c>
      <c r="E289" t="s">
        <v>377</v>
      </c>
      <c r="F289" t="s">
        <v>210</v>
      </c>
      <c r="G289">
        <v>931169182</v>
      </c>
      <c r="H289"/>
      <c r="I289"/>
      <c r="J289"/>
      <c r="K289" t="s">
        <v>274</v>
      </c>
    </row>
    <row r="290" spans="1:11">
      <c r="A290"/>
      <c r="B290"/>
      <c r="C290"/>
      <c r="D290" t="s">
        <v>581</v>
      </c>
      <c r="E290" t="s">
        <v>378</v>
      </c>
      <c r="F290" t="s">
        <v>210</v>
      </c>
      <c r="G290">
        <v>931169182</v>
      </c>
      <c r="H290"/>
      <c r="I290"/>
      <c r="J290"/>
      <c r="K290" t="s">
        <v>274</v>
      </c>
    </row>
    <row r="291" spans="1:11">
      <c r="A291">
        <v>44228</v>
      </c>
      <c r="B291" t="s">
        <v>207</v>
      </c>
      <c r="C291">
        <v>44225</v>
      </c>
      <c r="D291" t="s">
        <v>340</v>
      </c>
      <c r="E291" t="s">
        <v>379</v>
      </c>
      <c r="F291" t="s">
        <v>210</v>
      </c>
      <c r="G291">
        <v>931169182</v>
      </c>
      <c r="H291"/>
      <c r="I291"/>
      <c r="J291"/>
      <c r="K291" t="s">
        <v>266</v>
      </c>
    </row>
    <row r="292" spans="1:11">
      <c r="A292"/>
      <c r="B292"/>
      <c r="C292"/>
      <c r="D292" t="s">
        <v>582</v>
      </c>
      <c r="E292" t="s">
        <v>380</v>
      </c>
      <c r="F292" t="s">
        <v>210</v>
      </c>
      <c r="G292">
        <v>931169182</v>
      </c>
      <c r="H292"/>
      <c r="I292"/>
      <c r="J292"/>
      <c r="K292" t="s">
        <v>266</v>
      </c>
    </row>
    <row r="293" spans="1:11">
      <c r="A293"/>
      <c r="B293"/>
      <c r="C293"/>
      <c r="D293" t="s">
        <v>582</v>
      </c>
      <c r="E293" t="s">
        <v>381</v>
      </c>
      <c r="F293" t="s">
        <v>210</v>
      </c>
      <c r="G293">
        <v>931169182</v>
      </c>
      <c r="H293"/>
      <c r="I293"/>
      <c r="J293"/>
      <c r="K293" t="s">
        <v>266</v>
      </c>
    </row>
    <row r="294" spans="1:11">
      <c r="A294"/>
      <c r="B294"/>
      <c r="C294"/>
      <c r="D294" t="s">
        <v>581</v>
      </c>
      <c r="E294" t="s">
        <v>382</v>
      </c>
      <c r="F294" t="s">
        <v>210</v>
      </c>
      <c r="G294">
        <v>931169182</v>
      </c>
      <c r="H294"/>
      <c r="I294"/>
      <c r="J294"/>
      <c r="K294" t="s">
        <v>266</v>
      </c>
    </row>
    <row r="295" spans="1:11">
      <c r="A295">
        <v>44228</v>
      </c>
      <c r="B295" t="s">
        <v>207</v>
      </c>
      <c r="C295">
        <v>44225</v>
      </c>
      <c r="D295" t="s">
        <v>340</v>
      </c>
      <c r="E295" t="s">
        <v>383</v>
      </c>
      <c r="F295" t="s">
        <v>210</v>
      </c>
      <c r="G295">
        <v>931169182</v>
      </c>
      <c r="H295"/>
      <c r="I295"/>
      <c r="J295"/>
      <c r="K295" t="s">
        <v>270</v>
      </c>
    </row>
    <row r="296" spans="1:11">
      <c r="A296"/>
      <c r="B296"/>
      <c r="C296"/>
      <c r="D296" t="s">
        <v>582</v>
      </c>
      <c r="E296" t="s">
        <v>384</v>
      </c>
      <c r="F296" t="s">
        <v>210</v>
      </c>
      <c r="G296">
        <v>931169182</v>
      </c>
      <c r="H296"/>
      <c r="I296"/>
      <c r="J296"/>
      <c r="K296" t="s">
        <v>270</v>
      </c>
    </row>
    <row r="297" spans="1:11">
      <c r="A297"/>
      <c r="B297"/>
      <c r="C297"/>
      <c r="D297" t="s">
        <v>582</v>
      </c>
      <c r="E297" t="s">
        <v>385</v>
      </c>
      <c r="F297" t="s">
        <v>210</v>
      </c>
      <c r="G297">
        <v>931169182</v>
      </c>
      <c r="H297"/>
      <c r="I297"/>
      <c r="J297"/>
      <c r="K297" t="s">
        <v>270</v>
      </c>
    </row>
    <row r="298" spans="1:11">
      <c r="A298"/>
      <c r="B298"/>
      <c r="C298"/>
      <c r="D298" t="s">
        <v>581</v>
      </c>
      <c r="E298" t="s">
        <v>386</v>
      </c>
      <c r="F298" t="s">
        <v>210</v>
      </c>
      <c r="G298">
        <v>931169182</v>
      </c>
      <c r="H298"/>
      <c r="I298"/>
      <c r="J298"/>
      <c r="K298" t="s">
        <v>270</v>
      </c>
    </row>
    <row r="299" spans="1:11">
      <c r="A299">
        <v>44228</v>
      </c>
      <c r="B299" t="s">
        <v>207</v>
      </c>
      <c r="C299">
        <v>44225</v>
      </c>
      <c r="D299" t="s">
        <v>340</v>
      </c>
      <c r="E299" t="s">
        <v>387</v>
      </c>
      <c r="F299" t="s">
        <v>210</v>
      </c>
      <c r="G299">
        <v>931169182</v>
      </c>
      <c r="H299"/>
      <c r="I299"/>
      <c r="J299"/>
      <c r="K299" t="s">
        <v>276</v>
      </c>
    </row>
    <row r="300" spans="1:11">
      <c r="A300"/>
      <c r="B300"/>
      <c r="C300"/>
      <c r="D300" t="s">
        <v>582</v>
      </c>
      <c r="E300" t="s">
        <v>388</v>
      </c>
      <c r="F300" t="s">
        <v>210</v>
      </c>
      <c r="G300">
        <v>931169182</v>
      </c>
      <c r="H300"/>
      <c r="I300"/>
      <c r="J300"/>
      <c r="K300" t="s">
        <v>276</v>
      </c>
    </row>
    <row r="301" spans="1:11">
      <c r="A301"/>
      <c r="B301"/>
      <c r="C301"/>
      <c r="D301" t="s">
        <v>582</v>
      </c>
      <c r="E301" t="s">
        <v>389</v>
      </c>
      <c r="F301" t="s">
        <v>210</v>
      </c>
      <c r="G301">
        <v>931169182</v>
      </c>
      <c r="H301"/>
      <c r="I301"/>
      <c r="J301"/>
      <c r="K301" t="s">
        <v>276</v>
      </c>
    </row>
    <row r="302" spans="1:11">
      <c r="A302"/>
      <c r="B302"/>
      <c r="C302"/>
      <c r="D302" t="s">
        <v>581</v>
      </c>
      <c r="E302" t="s">
        <v>390</v>
      </c>
      <c r="F302" t="s">
        <v>210</v>
      </c>
      <c r="G302">
        <v>931169182</v>
      </c>
      <c r="H302"/>
      <c r="I302"/>
      <c r="J302"/>
      <c r="K302" t="s">
        <v>276</v>
      </c>
    </row>
    <row r="303" spans="1:11">
      <c r="A303">
        <v>44228</v>
      </c>
      <c r="B303" t="s">
        <v>207</v>
      </c>
      <c r="C303">
        <v>44225</v>
      </c>
      <c r="D303" t="s">
        <v>340</v>
      </c>
      <c r="E303" t="s">
        <v>391</v>
      </c>
      <c r="F303" t="s">
        <v>210</v>
      </c>
      <c r="G303">
        <v>931169182</v>
      </c>
      <c r="H303"/>
      <c r="I303"/>
      <c r="J303"/>
      <c r="K303" t="s">
        <v>268</v>
      </c>
    </row>
    <row r="304" spans="1:11">
      <c r="A304"/>
      <c r="B304"/>
      <c r="C304"/>
      <c r="D304" t="s">
        <v>582</v>
      </c>
      <c r="E304" t="s">
        <v>392</v>
      </c>
      <c r="F304" t="s">
        <v>210</v>
      </c>
      <c r="G304">
        <v>931169182</v>
      </c>
      <c r="H304"/>
      <c r="I304"/>
      <c r="J304"/>
      <c r="K304" t="s">
        <v>268</v>
      </c>
    </row>
    <row r="305" spans="1:11">
      <c r="A305"/>
      <c r="B305"/>
      <c r="C305"/>
      <c r="D305" t="s">
        <v>582</v>
      </c>
      <c r="E305" t="s">
        <v>393</v>
      </c>
      <c r="F305" t="s">
        <v>210</v>
      </c>
      <c r="G305">
        <v>931169182</v>
      </c>
      <c r="H305"/>
      <c r="I305"/>
      <c r="J305"/>
      <c r="K305" t="s">
        <v>268</v>
      </c>
    </row>
    <row r="306" spans="1:11">
      <c r="A306"/>
      <c r="B306"/>
      <c r="C306"/>
      <c r="D306" t="s">
        <v>581</v>
      </c>
      <c r="E306" t="s">
        <v>394</v>
      </c>
      <c r="F306" t="s">
        <v>210</v>
      </c>
      <c r="G306">
        <v>931169182</v>
      </c>
      <c r="H306"/>
      <c r="I306"/>
      <c r="J306"/>
      <c r="K306" t="s">
        <v>268</v>
      </c>
    </row>
    <row r="307" spans="1:11">
      <c r="A307">
        <v>44228</v>
      </c>
      <c r="B307" t="s">
        <v>207</v>
      </c>
      <c r="C307">
        <v>44225</v>
      </c>
      <c r="D307" t="s">
        <v>340</v>
      </c>
      <c r="E307" t="s">
        <v>395</v>
      </c>
      <c r="F307" t="s">
        <v>210</v>
      </c>
      <c r="G307">
        <v>931169182</v>
      </c>
      <c r="H307"/>
      <c r="I307"/>
      <c r="J307"/>
      <c r="K307" t="s">
        <v>272</v>
      </c>
    </row>
    <row r="308" spans="1:11">
      <c r="A308"/>
      <c r="B308"/>
      <c r="C308"/>
      <c r="D308" t="s">
        <v>582</v>
      </c>
      <c r="E308" t="s">
        <v>396</v>
      </c>
      <c r="F308" t="s">
        <v>210</v>
      </c>
      <c r="G308">
        <v>931169182</v>
      </c>
      <c r="H308"/>
      <c r="I308"/>
      <c r="J308"/>
      <c r="K308" t="s">
        <v>272</v>
      </c>
    </row>
    <row r="309" spans="1:11">
      <c r="A309"/>
      <c r="B309"/>
      <c r="C309"/>
      <c r="D309" t="s">
        <v>582</v>
      </c>
      <c r="E309" t="s">
        <v>397</v>
      </c>
      <c r="F309" t="s">
        <v>210</v>
      </c>
      <c r="G309">
        <v>931169182</v>
      </c>
      <c r="H309"/>
      <c r="I309"/>
      <c r="J309"/>
      <c r="K309" t="s">
        <v>272</v>
      </c>
    </row>
    <row r="310" spans="1:11">
      <c r="A310"/>
      <c r="B310"/>
      <c r="C310"/>
      <c r="D310" t="s">
        <v>581</v>
      </c>
      <c r="E310" t="s">
        <v>398</v>
      </c>
      <c r="F310" t="s">
        <v>210</v>
      </c>
      <c r="G310">
        <v>931169182</v>
      </c>
      <c r="H310"/>
      <c r="I310"/>
      <c r="J310"/>
      <c r="K310" t="s">
        <v>272</v>
      </c>
    </row>
    <row r="311" spans="1:11">
      <c r="A311">
        <v>44228</v>
      </c>
      <c r="B311" t="s">
        <v>207</v>
      </c>
      <c r="C311">
        <v>44225</v>
      </c>
      <c r="D311" t="s">
        <v>340</v>
      </c>
      <c r="E311" t="s">
        <v>399</v>
      </c>
      <c r="F311" t="s">
        <v>210</v>
      </c>
      <c r="G311">
        <v>931169182</v>
      </c>
      <c r="H311"/>
      <c r="I311"/>
      <c r="J311"/>
      <c r="K311" t="s">
        <v>278</v>
      </c>
    </row>
    <row r="312" spans="1:11">
      <c r="A312"/>
      <c r="B312"/>
      <c r="C312"/>
      <c r="D312" t="s">
        <v>582</v>
      </c>
      <c r="E312" t="s">
        <v>400</v>
      </c>
      <c r="F312" t="s">
        <v>210</v>
      </c>
      <c r="G312">
        <v>931169182</v>
      </c>
      <c r="H312"/>
      <c r="I312"/>
      <c r="J312"/>
      <c r="K312" t="s">
        <v>278</v>
      </c>
    </row>
    <row r="313" spans="1:11">
      <c r="A313"/>
      <c r="B313"/>
      <c r="C313"/>
      <c r="D313" t="s">
        <v>582</v>
      </c>
      <c r="E313" t="s">
        <v>401</v>
      </c>
      <c r="F313" t="s">
        <v>210</v>
      </c>
      <c r="G313">
        <v>931169182</v>
      </c>
      <c r="H313"/>
      <c r="I313"/>
      <c r="J313"/>
      <c r="K313" t="s">
        <v>278</v>
      </c>
    </row>
    <row r="314" spans="1:11">
      <c r="A314"/>
      <c r="B314"/>
      <c r="C314"/>
      <c r="D314" t="s">
        <v>581</v>
      </c>
      <c r="E314" t="s">
        <v>402</v>
      </c>
      <c r="F314" t="s">
        <v>210</v>
      </c>
      <c r="G314">
        <v>931169182</v>
      </c>
      <c r="H314"/>
      <c r="I314"/>
      <c r="J314"/>
      <c r="K314" t="s">
        <v>278</v>
      </c>
    </row>
    <row r="315" spans="1:11">
      <c r="A315">
        <v>44228</v>
      </c>
      <c r="B315" t="s">
        <v>207</v>
      </c>
      <c r="C315">
        <v>44225</v>
      </c>
      <c r="D315" t="s">
        <v>340</v>
      </c>
      <c r="E315" t="s">
        <v>403</v>
      </c>
      <c r="F315" t="s">
        <v>210</v>
      </c>
      <c r="G315">
        <v>931169182</v>
      </c>
      <c r="H315"/>
      <c r="I315"/>
      <c r="J315"/>
      <c r="K315" t="s">
        <v>306</v>
      </c>
    </row>
    <row r="316" spans="1:11">
      <c r="A316"/>
      <c r="B316"/>
      <c r="C316"/>
      <c r="D316" t="s">
        <v>582</v>
      </c>
      <c r="E316" t="s">
        <v>404</v>
      </c>
      <c r="F316" t="s">
        <v>210</v>
      </c>
      <c r="G316">
        <v>931169182</v>
      </c>
      <c r="H316"/>
      <c r="I316"/>
      <c r="J316"/>
      <c r="K316" t="s">
        <v>306</v>
      </c>
    </row>
    <row r="317" spans="1:11">
      <c r="A317"/>
      <c r="B317"/>
      <c r="C317"/>
      <c r="D317" t="s">
        <v>582</v>
      </c>
      <c r="E317" t="s">
        <v>405</v>
      </c>
      <c r="F317" t="s">
        <v>210</v>
      </c>
      <c r="G317">
        <v>931169182</v>
      </c>
      <c r="H317"/>
      <c r="I317"/>
      <c r="J317"/>
      <c r="K317" t="s">
        <v>306</v>
      </c>
    </row>
    <row r="318" spans="1:11">
      <c r="A318"/>
      <c r="B318"/>
      <c r="C318"/>
      <c r="D318" t="s">
        <v>581</v>
      </c>
      <c r="E318" t="s">
        <v>406</v>
      </c>
      <c r="F318" t="s">
        <v>210</v>
      </c>
      <c r="G318">
        <v>931169182</v>
      </c>
      <c r="H318"/>
      <c r="I318"/>
      <c r="J318"/>
      <c r="K318" t="s">
        <v>306</v>
      </c>
    </row>
    <row r="319" spans="1:11">
      <c r="A319">
        <v>44228</v>
      </c>
      <c r="B319" t="s">
        <v>207</v>
      </c>
      <c r="C319">
        <v>44225</v>
      </c>
      <c r="D319" t="s">
        <v>340</v>
      </c>
      <c r="E319" t="s">
        <v>407</v>
      </c>
      <c r="F319" t="s">
        <v>210</v>
      </c>
      <c r="G319">
        <v>931169182</v>
      </c>
      <c r="H319"/>
      <c r="I319"/>
      <c r="J319"/>
      <c r="K319" t="s">
        <v>300</v>
      </c>
    </row>
    <row r="320" spans="1:11">
      <c r="A320"/>
      <c r="B320"/>
      <c r="C320"/>
      <c r="D320" t="s">
        <v>582</v>
      </c>
      <c r="E320" t="s">
        <v>408</v>
      </c>
      <c r="F320" t="s">
        <v>210</v>
      </c>
      <c r="G320">
        <v>931169182</v>
      </c>
      <c r="H320"/>
      <c r="I320"/>
      <c r="J320"/>
      <c r="K320" t="s">
        <v>300</v>
      </c>
    </row>
    <row r="321" spans="1:11">
      <c r="A321"/>
      <c r="B321"/>
      <c r="C321"/>
      <c r="D321" t="s">
        <v>582</v>
      </c>
      <c r="E321" t="s">
        <v>409</v>
      </c>
      <c r="F321" t="s">
        <v>210</v>
      </c>
      <c r="G321">
        <v>931169182</v>
      </c>
      <c r="H321"/>
      <c r="I321"/>
      <c r="J321"/>
      <c r="K321" t="s">
        <v>300</v>
      </c>
    </row>
    <row r="322" spans="1:11">
      <c r="A322"/>
      <c r="B322"/>
      <c r="C322"/>
      <c r="D322" t="s">
        <v>581</v>
      </c>
      <c r="E322" t="s">
        <v>410</v>
      </c>
      <c r="F322" t="s">
        <v>210</v>
      </c>
      <c r="G322">
        <v>931169182</v>
      </c>
      <c r="H322"/>
      <c r="I322"/>
      <c r="J322"/>
      <c r="K322" t="s">
        <v>300</v>
      </c>
    </row>
    <row r="323" spans="1:11">
      <c r="A323">
        <v>44228</v>
      </c>
      <c r="B323" t="s">
        <v>207</v>
      </c>
      <c r="C323">
        <v>44225</v>
      </c>
      <c r="D323" t="s">
        <v>340</v>
      </c>
      <c r="E323" t="s">
        <v>411</v>
      </c>
      <c r="F323" t="s">
        <v>210</v>
      </c>
      <c r="G323">
        <v>931169182</v>
      </c>
      <c r="H323"/>
      <c r="I323"/>
      <c r="J323"/>
      <c r="K323" t="s">
        <v>302</v>
      </c>
    </row>
    <row r="324" spans="1:11">
      <c r="A324"/>
      <c r="B324"/>
      <c r="C324"/>
      <c r="D324" t="s">
        <v>582</v>
      </c>
      <c r="E324" t="s">
        <v>412</v>
      </c>
      <c r="F324" t="s">
        <v>210</v>
      </c>
      <c r="G324">
        <v>931169182</v>
      </c>
      <c r="H324"/>
      <c r="I324"/>
      <c r="J324"/>
      <c r="K324" t="s">
        <v>302</v>
      </c>
    </row>
    <row r="325" spans="1:11">
      <c r="A325"/>
      <c r="B325"/>
      <c r="C325"/>
      <c r="D325" t="s">
        <v>582</v>
      </c>
      <c r="E325" t="s">
        <v>413</v>
      </c>
      <c r="F325" t="s">
        <v>210</v>
      </c>
      <c r="G325">
        <v>931169182</v>
      </c>
      <c r="H325"/>
      <c r="I325"/>
      <c r="J325"/>
      <c r="K325" t="s">
        <v>302</v>
      </c>
    </row>
    <row r="326" spans="1:11">
      <c r="A326"/>
      <c r="B326"/>
      <c r="C326"/>
      <c r="D326" t="s">
        <v>581</v>
      </c>
      <c r="E326" t="s">
        <v>414</v>
      </c>
      <c r="F326" t="s">
        <v>210</v>
      </c>
      <c r="G326">
        <v>931169182</v>
      </c>
      <c r="H326"/>
      <c r="I326"/>
      <c r="J326"/>
      <c r="K326" t="s">
        <v>302</v>
      </c>
    </row>
    <row r="327" spans="1:11">
      <c r="A327">
        <v>44228</v>
      </c>
      <c r="B327" t="s">
        <v>207</v>
      </c>
      <c r="C327">
        <v>44225</v>
      </c>
      <c r="D327" t="s">
        <v>340</v>
      </c>
      <c r="E327" t="s">
        <v>415</v>
      </c>
      <c r="F327" t="s">
        <v>210</v>
      </c>
      <c r="G327">
        <v>931169182</v>
      </c>
      <c r="H327"/>
      <c r="I327"/>
      <c r="J327"/>
      <c r="K327" t="s">
        <v>308</v>
      </c>
    </row>
    <row r="328" spans="1:11">
      <c r="A328"/>
      <c r="B328"/>
      <c r="C328"/>
      <c r="D328" t="s">
        <v>582</v>
      </c>
      <c r="E328" t="s">
        <v>416</v>
      </c>
      <c r="F328" t="s">
        <v>210</v>
      </c>
      <c r="G328">
        <v>931169182</v>
      </c>
      <c r="H328"/>
      <c r="I328"/>
      <c r="J328"/>
      <c r="K328" t="s">
        <v>308</v>
      </c>
    </row>
    <row r="329" spans="1:11">
      <c r="A329"/>
      <c r="B329"/>
      <c r="C329"/>
      <c r="D329" t="s">
        <v>582</v>
      </c>
      <c r="E329" t="s">
        <v>417</v>
      </c>
      <c r="F329" t="s">
        <v>210</v>
      </c>
      <c r="G329">
        <v>931169182</v>
      </c>
      <c r="H329"/>
      <c r="I329"/>
      <c r="J329"/>
      <c r="K329" t="s">
        <v>308</v>
      </c>
    </row>
    <row r="330" spans="1:11">
      <c r="A330"/>
      <c r="B330"/>
      <c r="C330"/>
      <c r="D330" t="s">
        <v>581</v>
      </c>
      <c r="E330" t="s">
        <v>418</v>
      </c>
      <c r="F330" t="s">
        <v>210</v>
      </c>
      <c r="G330">
        <v>931169182</v>
      </c>
      <c r="H330"/>
      <c r="I330"/>
      <c r="J330"/>
      <c r="K330" t="s">
        <v>308</v>
      </c>
    </row>
    <row r="331" spans="1:11">
      <c r="A331">
        <v>44228</v>
      </c>
      <c r="B331" t="s">
        <v>207</v>
      </c>
      <c r="C331">
        <v>44225</v>
      </c>
      <c r="D331" t="s">
        <v>340</v>
      </c>
      <c r="E331" t="s">
        <v>419</v>
      </c>
      <c r="F331" t="s">
        <v>210</v>
      </c>
      <c r="G331">
        <v>931169182</v>
      </c>
      <c r="H331"/>
      <c r="I331"/>
      <c r="J331"/>
      <c r="K331" t="s">
        <v>288</v>
      </c>
    </row>
    <row r="332" spans="1:11">
      <c r="A332"/>
      <c r="B332"/>
      <c r="C332"/>
      <c r="D332" t="s">
        <v>582</v>
      </c>
      <c r="E332" t="s">
        <v>420</v>
      </c>
      <c r="F332" t="s">
        <v>210</v>
      </c>
      <c r="G332">
        <v>931169182</v>
      </c>
      <c r="H332"/>
      <c r="I332"/>
      <c r="J332"/>
      <c r="K332" t="s">
        <v>288</v>
      </c>
    </row>
    <row r="333" spans="1:11">
      <c r="A333"/>
      <c r="B333"/>
      <c r="C333"/>
      <c r="D333" t="s">
        <v>582</v>
      </c>
      <c r="E333" t="s">
        <v>421</v>
      </c>
      <c r="F333" t="s">
        <v>210</v>
      </c>
      <c r="G333">
        <v>931169182</v>
      </c>
      <c r="H333"/>
      <c r="I333"/>
      <c r="J333"/>
      <c r="K333" t="s">
        <v>288</v>
      </c>
    </row>
    <row r="334" spans="1:11">
      <c r="A334"/>
      <c r="B334"/>
      <c r="C334"/>
      <c r="D334" t="s">
        <v>581</v>
      </c>
      <c r="E334" t="s">
        <v>422</v>
      </c>
      <c r="F334" t="s">
        <v>210</v>
      </c>
      <c r="G334">
        <v>931169182</v>
      </c>
      <c r="H334"/>
      <c r="I334"/>
      <c r="J334"/>
      <c r="K334" t="s">
        <v>288</v>
      </c>
    </row>
    <row r="335" spans="1:11">
      <c r="A335">
        <v>44228</v>
      </c>
      <c r="B335" t="s">
        <v>207</v>
      </c>
      <c r="C335">
        <v>44225</v>
      </c>
      <c r="D335" t="s">
        <v>340</v>
      </c>
      <c r="E335" t="s">
        <v>423</v>
      </c>
      <c r="F335" t="s">
        <v>210</v>
      </c>
      <c r="G335">
        <v>931169182</v>
      </c>
      <c r="H335"/>
      <c r="I335"/>
      <c r="J335"/>
      <c r="K335" t="s">
        <v>291</v>
      </c>
    </row>
    <row r="336" spans="1:11">
      <c r="A336"/>
      <c r="B336"/>
      <c r="C336"/>
      <c r="D336" t="s">
        <v>582</v>
      </c>
      <c r="E336" t="s">
        <v>424</v>
      </c>
      <c r="F336" t="s">
        <v>210</v>
      </c>
      <c r="G336">
        <v>931169182</v>
      </c>
      <c r="H336"/>
      <c r="I336"/>
      <c r="J336"/>
      <c r="K336" t="s">
        <v>291</v>
      </c>
    </row>
    <row r="337" spans="1:11">
      <c r="A337"/>
      <c r="B337"/>
      <c r="C337"/>
      <c r="D337" t="s">
        <v>582</v>
      </c>
      <c r="E337" t="s">
        <v>425</v>
      </c>
      <c r="F337" t="s">
        <v>210</v>
      </c>
      <c r="G337">
        <v>931169182</v>
      </c>
      <c r="H337"/>
      <c r="I337"/>
      <c r="J337"/>
      <c r="K337" t="s">
        <v>291</v>
      </c>
    </row>
    <row r="338" spans="1:11">
      <c r="A338"/>
      <c r="B338"/>
      <c r="C338"/>
      <c r="D338" t="s">
        <v>581</v>
      </c>
      <c r="E338" t="s">
        <v>426</v>
      </c>
      <c r="F338" t="s">
        <v>210</v>
      </c>
      <c r="G338">
        <v>931169182</v>
      </c>
      <c r="H338"/>
      <c r="I338"/>
      <c r="J338"/>
      <c r="K338" t="s">
        <v>291</v>
      </c>
    </row>
    <row r="339" spans="1:11">
      <c r="A339">
        <v>44228</v>
      </c>
      <c r="B339" t="s">
        <v>207</v>
      </c>
      <c r="C339">
        <v>44225</v>
      </c>
      <c r="D339" t="s">
        <v>340</v>
      </c>
      <c r="E339" t="s">
        <v>427</v>
      </c>
      <c r="F339" t="s">
        <v>210</v>
      </c>
      <c r="G339">
        <v>931169182</v>
      </c>
      <c r="H339"/>
      <c r="I339"/>
      <c r="J339"/>
      <c r="K339" t="s">
        <v>317</v>
      </c>
    </row>
    <row r="340" spans="1:11">
      <c r="A340"/>
      <c r="B340"/>
      <c r="C340"/>
      <c r="D340" t="s">
        <v>582</v>
      </c>
      <c r="E340" t="s">
        <v>428</v>
      </c>
      <c r="F340" t="s">
        <v>210</v>
      </c>
      <c r="G340">
        <v>931169182</v>
      </c>
      <c r="H340"/>
      <c r="I340"/>
      <c r="J340"/>
      <c r="K340" t="s">
        <v>317</v>
      </c>
    </row>
    <row r="341" spans="1:11">
      <c r="A341"/>
      <c r="B341"/>
      <c r="C341"/>
      <c r="D341" t="s">
        <v>582</v>
      </c>
      <c r="E341" t="s">
        <v>429</v>
      </c>
      <c r="F341" t="s">
        <v>210</v>
      </c>
      <c r="G341">
        <v>931169182</v>
      </c>
      <c r="H341"/>
      <c r="I341"/>
      <c r="J341"/>
      <c r="K341" t="s">
        <v>317</v>
      </c>
    </row>
    <row r="342" spans="1:11">
      <c r="A342"/>
      <c r="B342"/>
      <c r="C342"/>
      <c r="D342" t="s">
        <v>581</v>
      </c>
      <c r="E342" t="s">
        <v>430</v>
      </c>
      <c r="F342" t="s">
        <v>210</v>
      </c>
      <c r="G342">
        <v>931169182</v>
      </c>
      <c r="H342"/>
      <c r="I342"/>
      <c r="J342"/>
      <c r="K342" t="s">
        <v>317</v>
      </c>
    </row>
    <row r="343" spans="1:11">
      <c r="A343">
        <v>44225</v>
      </c>
      <c r="B343" t="s">
        <v>199</v>
      </c>
      <c r="C343">
        <v>44224</v>
      </c>
      <c r="D343" t="s">
        <v>362</v>
      </c>
      <c r="E343" t="s">
        <v>364</v>
      </c>
      <c r="F343" t="s">
        <v>202</v>
      </c>
      <c r="G343" t="s">
        <v>203</v>
      </c>
      <c r="H343"/>
      <c r="I343"/>
      <c r="J343"/>
      <c r="K343" t="s">
        <v>308</v>
      </c>
    </row>
    <row r="344" spans="1:11">
      <c r="A344">
        <v>44225</v>
      </c>
      <c r="B344" t="s">
        <v>199</v>
      </c>
      <c r="C344">
        <v>44224</v>
      </c>
      <c r="D344" t="s">
        <v>362</v>
      </c>
      <c r="E344" t="s">
        <v>363</v>
      </c>
      <c r="F344" t="s">
        <v>202</v>
      </c>
      <c r="G344" t="s">
        <v>203</v>
      </c>
      <c r="H344"/>
      <c r="I344"/>
      <c r="J344"/>
      <c r="K344" t="s">
        <v>288</v>
      </c>
    </row>
    <row r="345" spans="1:11">
      <c r="A345">
        <v>44225</v>
      </c>
      <c r="B345" t="s">
        <v>199</v>
      </c>
      <c r="C345">
        <v>44224</v>
      </c>
      <c r="D345" t="s">
        <v>362</v>
      </c>
      <c r="E345" t="s">
        <v>366</v>
      </c>
      <c r="F345" t="s">
        <v>202</v>
      </c>
      <c r="G345" t="s">
        <v>203</v>
      </c>
      <c r="H345"/>
      <c r="I345"/>
      <c r="J345"/>
      <c r="K345" t="s">
        <v>291</v>
      </c>
    </row>
    <row r="346" spans="1:11">
      <c r="A346">
        <v>44225</v>
      </c>
      <c r="B346" t="s">
        <v>199</v>
      </c>
      <c r="C346">
        <v>44224</v>
      </c>
      <c r="D346" t="s">
        <v>362</v>
      </c>
      <c r="E346" t="s">
        <v>367</v>
      </c>
      <c r="F346" t="s">
        <v>202</v>
      </c>
      <c r="G346" t="s">
        <v>203</v>
      </c>
      <c r="H346"/>
      <c r="I346"/>
      <c r="J346"/>
      <c r="K346" t="s">
        <v>317</v>
      </c>
    </row>
    <row r="347" spans="1:11">
      <c r="A347">
        <v>44230</v>
      </c>
      <c r="B347" t="s">
        <v>431</v>
      </c>
      <c r="C347"/>
      <c r="D347" t="s">
        <v>362</v>
      </c>
      <c r="E347" t="s">
        <v>433</v>
      </c>
      <c r="F347" t="s">
        <v>202</v>
      </c>
      <c r="G347"/>
      <c r="H347"/>
      <c r="I347"/>
      <c r="J347"/>
      <c r="K347" t="s">
        <v>274</v>
      </c>
    </row>
    <row r="348" spans="1:11">
      <c r="A348">
        <v>44230</v>
      </c>
      <c r="B348" t="s">
        <v>437</v>
      </c>
      <c r="C348">
        <v>44209</v>
      </c>
      <c r="D348" t="s">
        <v>438</v>
      </c>
      <c r="E348" t="s">
        <v>439</v>
      </c>
      <c r="F348" t="s">
        <v>440</v>
      </c>
      <c r="G348">
        <v>232174</v>
      </c>
      <c r="H348"/>
      <c r="I348"/>
      <c r="J348"/>
      <c r="K348" t="s">
        <v>278</v>
      </c>
    </row>
    <row r="349" spans="1:11">
      <c r="A349">
        <v>44230</v>
      </c>
      <c r="B349" t="s">
        <v>437</v>
      </c>
      <c r="C349">
        <v>44209</v>
      </c>
      <c r="D349" t="s">
        <v>438</v>
      </c>
      <c r="E349" t="s">
        <v>441</v>
      </c>
      <c r="F349" t="s">
        <v>440</v>
      </c>
      <c r="G349">
        <v>232174</v>
      </c>
      <c r="H349"/>
      <c r="I349"/>
      <c r="J349"/>
      <c r="K349" t="s">
        <v>268</v>
      </c>
    </row>
    <row r="350" spans="1:11">
      <c r="A350">
        <v>44230</v>
      </c>
      <c r="B350" t="s">
        <v>437</v>
      </c>
      <c r="C350">
        <v>44209</v>
      </c>
      <c r="D350" t="s">
        <v>438</v>
      </c>
      <c r="E350" t="s">
        <v>442</v>
      </c>
      <c r="F350" t="s">
        <v>440</v>
      </c>
      <c r="G350">
        <v>232174</v>
      </c>
      <c r="H350"/>
      <c r="I350"/>
      <c r="J350"/>
      <c r="K350" t="s">
        <v>268</v>
      </c>
    </row>
    <row r="351" spans="1:11">
      <c r="A351">
        <v>44230</v>
      </c>
      <c r="B351" t="s">
        <v>437</v>
      </c>
      <c r="C351">
        <v>44209</v>
      </c>
      <c r="D351" t="s">
        <v>438</v>
      </c>
      <c r="E351" t="s">
        <v>443</v>
      </c>
      <c r="F351" t="s">
        <v>440</v>
      </c>
      <c r="G351">
        <v>232174</v>
      </c>
      <c r="H351"/>
      <c r="I351"/>
      <c r="J351"/>
      <c r="K351" t="s">
        <v>308</v>
      </c>
    </row>
    <row r="352" spans="1:11">
      <c r="A352">
        <v>44230</v>
      </c>
      <c r="B352" t="s">
        <v>437</v>
      </c>
      <c r="C352">
        <v>44209</v>
      </c>
      <c r="D352" t="s">
        <v>438</v>
      </c>
      <c r="E352" t="s">
        <v>444</v>
      </c>
      <c r="F352" t="s">
        <v>440</v>
      </c>
      <c r="G352">
        <v>232174</v>
      </c>
      <c r="H352"/>
      <c r="I352"/>
      <c r="J352"/>
      <c r="K352" t="s">
        <v>308</v>
      </c>
    </row>
    <row r="353" spans="1:11">
      <c r="A353">
        <v>44230</v>
      </c>
      <c r="B353" t="s">
        <v>437</v>
      </c>
      <c r="C353">
        <v>44209</v>
      </c>
      <c r="D353" t="s">
        <v>438</v>
      </c>
      <c r="E353" t="s">
        <v>445</v>
      </c>
      <c r="F353" t="s">
        <v>440</v>
      </c>
      <c r="G353">
        <v>232174</v>
      </c>
      <c r="H353"/>
      <c r="I353"/>
      <c r="J353"/>
      <c r="K353" t="s">
        <v>308</v>
      </c>
    </row>
    <row r="354" spans="1:11">
      <c r="A354">
        <v>44230</v>
      </c>
      <c r="B354" t="s">
        <v>437</v>
      </c>
      <c r="C354">
        <v>44209</v>
      </c>
      <c r="D354" t="s">
        <v>438</v>
      </c>
      <c r="E354" t="s">
        <v>446</v>
      </c>
      <c r="F354" t="s">
        <v>440</v>
      </c>
      <c r="G354">
        <v>232174</v>
      </c>
      <c r="H354"/>
      <c r="I354"/>
      <c r="J354"/>
      <c r="K354" t="s">
        <v>308</v>
      </c>
    </row>
    <row r="355" spans="1:11">
      <c r="A355">
        <v>44230</v>
      </c>
      <c r="B355" t="s">
        <v>437</v>
      </c>
      <c r="C355">
        <v>44209</v>
      </c>
      <c r="D355" t="s">
        <v>438</v>
      </c>
      <c r="E355" t="s">
        <v>447</v>
      </c>
      <c r="F355" t="s">
        <v>440</v>
      </c>
      <c r="G355">
        <v>232174</v>
      </c>
      <c r="H355"/>
      <c r="I355"/>
      <c r="J355"/>
      <c r="K355" t="s">
        <v>302</v>
      </c>
    </row>
    <row r="356" spans="1:11">
      <c r="A356">
        <v>44230</v>
      </c>
      <c r="B356" t="s">
        <v>437</v>
      </c>
      <c r="C356">
        <v>44209</v>
      </c>
      <c r="D356" t="s">
        <v>438</v>
      </c>
      <c r="E356" t="s">
        <v>448</v>
      </c>
      <c r="F356" t="s">
        <v>440</v>
      </c>
      <c r="G356">
        <v>232174</v>
      </c>
      <c r="H356"/>
      <c r="I356"/>
      <c r="J356"/>
      <c r="K356" t="s">
        <v>302</v>
      </c>
    </row>
    <row r="357" spans="1:11">
      <c r="A357">
        <v>44230</v>
      </c>
      <c r="B357" t="s">
        <v>437</v>
      </c>
      <c r="C357">
        <v>44209</v>
      </c>
      <c r="D357" t="s">
        <v>438</v>
      </c>
      <c r="E357" t="s">
        <v>449</v>
      </c>
      <c r="F357" t="s">
        <v>440</v>
      </c>
      <c r="G357">
        <v>232174</v>
      </c>
      <c r="H357"/>
      <c r="I357"/>
      <c r="J357"/>
      <c r="K357" t="s">
        <v>302</v>
      </c>
    </row>
    <row r="358" spans="1:11">
      <c r="A358">
        <v>44230</v>
      </c>
      <c r="B358" t="s">
        <v>437</v>
      </c>
      <c r="C358">
        <v>44209</v>
      </c>
      <c r="D358" t="s">
        <v>438</v>
      </c>
      <c r="E358" t="s">
        <v>450</v>
      </c>
      <c r="F358" t="s">
        <v>440</v>
      </c>
      <c r="G358">
        <v>232174</v>
      </c>
      <c r="H358"/>
      <c r="I358"/>
      <c r="J358"/>
      <c r="K358" t="s">
        <v>302</v>
      </c>
    </row>
    <row r="359" spans="1:11">
      <c r="A359">
        <v>44230</v>
      </c>
      <c r="B359" t="s">
        <v>437</v>
      </c>
      <c r="C359">
        <v>44209</v>
      </c>
      <c r="D359" t="s">
        <v>438</v>
      </c>
      <c r="E359" t="s">
        <v>451</v>
      </c>
      <c r="F359" t="s">
        <v>440</v>
      </c>
      <c r="G359">
        <v>232174</v>
      </c>
      <c r="H359"/>
      <c r="I359"/>
      <c r="J359"/>
      <c r="K359" t="s">
        <v>300</v>
      </c>
    </row>
    <row r="360" spans="1:11">
      <c r="A360">
        <v>44230</v>
      </c>
      <c r="B360" t="s">
        <v>437</v>
      </c>
      <c r="C360">
        <v>44209</v>
      </c>
      <c r="D360" t="s">
        <v>438</v>
      </c>
      <c r="E360" t="s">
        <v>452</v>
      </c>
      <c r="F360" t="s">
        <v>440</v>
      </c>
      <c r="G360">
        <v>232174</v>
      </c>
      <c r="H360"/>
      <c r="I360"/>
      <c r="J360"/>
      <c r="K360" t="s">
        <v>300</v>
      </c>
    </row>
    <row r="361" spans="1:11">
      <c r="A361">
        <v>44230</v>
      </c>
      <c r="B361" t="s">
        <v>437</v>
      </c>
      <c r="C361">
        <v>44209</v>
      </c>
      <c r="D361" t="s">
        <v>438</v>
      </c>
      <c r="E361" t="s">
        <v>453</v>
      </c>
      <c r="F361" t="s">
        <v>440</v>
      </c>
      <c r="G361">
        <v>232174</v>
      </c>
      <c r="H361"/>
      <c r="I361"/>
      <c r="J361"/>
      <c r="K361" t="s">
        <v>317</v>
      </c>
    </row>
    <row r="362" spans="1:11">
      <c r="A362">
        <v>44230</v>
      </c>
      <c r="B362" t="s">
        <v>437</v>
      </c>
      <c r="C362">
        <v>44209</v>
      </c>
      <c r="D362" t="s">
        <v>438</v>
      </c>
      <c r="E362" t="s">
        <v>454</v>
      </c>
      <c r="F362" t="s">
        <v>440</v>
      </c>
      <c r="G362">
        <v>232174</v>
      </c>
      <c r="H362"/>
      <c r="I362"/>
      <c r="J362"/>
      <c r="K362" t="s">
        <v>317</v>
      </c>
    </row>
    <row r="363" spans="1:11">
      <c r="A363">
        <v>44230</v>
      </c>
      <c r="B363" t="s">
        <v>437</v>
      </c>
      <c r="C363">
        <v>44209</v>
      </c>
      <c r="D363" t="s">
        <v>438</v>
      </c>
      <c r="E363" t="s">
        <v>455</v>
      </c>
      <c r="F363" t="s">
        <v>440</v>
      </c>
      <c r="G363">
        <v>232174</v>
      </c>
      <c r="H363"/>
      <c r="I363"/>
      <c r="J363"/>
      <c r="K363" t="s">
        <v>291</v>
      </c>
    </row>
    <row r="364" spans="1:11">
      <c r="A364">
        <v>44230</v>
      </c>
      <c r="B364" t="s">
        <v>437</v>
      </c>
      <c r="C364">
        <v>44209</v>
      </c>
      <c r="D364" t="s">
        <v>438</v>
      </c>
      <c r="E364" t="s">
        <v>456</v>
      </c>
      <c r="F364" t="s">
        <v>440</v>
      </c>
      <c r="G364">
        <v>232174</v>
      </c>
      <c r="H364"/>
      <c r="I364"/>
      <c r="J364"/>
      <c r="K364" t="s">
        <v>291</v>
      </c>
    </row>
    <row r="365" spans="1:11">
      <c r="A365">
        <v>44230</v>
      </c>
      <c r="B365" t="s">
        <v>437</v>
      </c>
      <c r="C365">
        <v>44209</v>
      </c>
      <c r="D365" t="s">
        <v>438</v>
      </c>
      <c r="E365" t="s">
        <v>457</v>
      </c>
      <c r="F365" t="s">
        <v>440</v>
      </c>
      <c r="G365">
        <v>232174</v>
      </c>
      <c r="H365"/>
      <c r="I365"/>
      <c r="J365"/>
      <c r="K365" t="s">
        <v>291</v>
      </c>
    </row>
    <row r="366" spans="1:11">
      <c r="A366">
        <v>44230</v>
      </c>
      <c r="B366" t="s">
        <v>437</v>
      </c>
      <c r="C366">
        <v>44209</v>
      </c>
      <c r="D366" t="s">
        <v>438</v>
      </c>
      <c r="E366" t="s">
        <v>458</v>
      </c>
      <c r="F366" t="s">
        <v>440</v>
      </c>
      <c r="G366">
        <v>232174</v>
      </c>
      <c r="H366"/>
      <c r="I366"/>
      <c r="J366"/>
      <c r="K366" t="s">
        <v>291</v>
      </c>
    </row>
    <row r="367" spans="1:11">
      <c r="A367">
        <v>44230</v>
      </c>
      <c r="B367" t="s">
        <v>437</v>
      </c>
      <c r="C367">
        <v>44209</v>
      </c>
      <c r="D367" t="s">
        <v>438</v>
      </c>
      <c r="E367" t="s">
        <v>459</v>
      </c>
      <c r="F367" t="s">
        <v>440</v>
      </c>
      <c r="G367">
        <v>232174</v>
      </c>
      <c r="H367"/>
      <c r="I367"/>
      <c r="J367"/>
      <c r="K367" t="s">
        <v>288</v>
      </c>
    </row>
    <row r="368" spans="1:11">
      <c r="A368">
        <v>44230</v>
      </c>
      <c r="B368" t="s">
        <v>437</v>
      </c>
      <c r="C368">
        <v>44209</v>
      </c>
      <c r="D368" t="s">
        <v>438</v>
      </c>
      <c r="E368" t="s">
        <v>460</v>
      </c>
      <c r="F368" t="s">
        <v>440</v>
      </c>
      <c r="G368">
        <v>232174</v>
      </c>
      <c r="H368"/>
      <c r="I368"/>
      <c r="J368"/>
      <c r="K368" t="s">
        <v>288</v>
      </c>
    </row>
    <row r="369" spans="1:11">
      <c r="A369">
        <v>44230</v>
      </c>
      <c r="B369" t="s">
        <v>437</v>
      </c>
      <c r="C369">
        <v>44209</v>
      </c>
      <c r="D369" t="s">
        <v>438</v>
      </c>
      <c r="E369" t="s">
        <v>461</v>
      </c>
      <c r="F369" t="s">
        <v>440</v>
      </c>
      <c r="G369">
        <v>232174</v>
      </c>
      <c r="H369"/>
      <c r="I369"/>
      <c r="J369"/>
      <c r="K369" t="s">
        <v>288</v>
      </c>
    </row>
    <row r="370" spans="1:11">
      <c r="A370">
        <v>44230</v>
      </c>
      <c r="B370" t="s">
        <v>437</v>
      </c>
      <c r="C370">
        <v>44209</v>
      </c>
      <c r="D370" t="s">
        <v>438</v>
      </c>
      <c r="E370" t="s">
        <v>462</v>
      </c>
      <c r="F370" t="s">
        <v>440</v>
      </c>
      <c r="G370">
        <v>232174</v>
      </c>
      <c r="H370"/>
      <c r="I370"/>
      <c r="J370"/>
      <c r="K370" t="s">
        <v>288</v>
      </c>
    </row>
    <row r="371" spans="1:11">
      <c r="A371">
        <v>44230</v>
      </c>
      <c r="B371" t="s">
        <v>437</v>
      </c>
      <c r="C371">
        <v>44209</v>
      </c>
      <c r="D371" t="s">
        <v>438</v>
      </c>
      <c r="E371" t="s">
        <v>463</v>
      </c>
      <c r="F371" t="s">
        <v>440</v>
      </c>
      <c r="G371">
        <v>232174</v>
      </c>
      <c r="H371"/>
      <c r="I371"/>
      <c r="J371"/>
      <c r="K371" t="s">
        <v>266</v>
      </c>
    </row>
    <row r="372" spans="1:11">
      <c r="A372">
        <v>44230</v>
      </c>
      <c r="B372" t="s">
        <v>437</v>
      </c>
      <c r="C372">
        <v>44209</v>
      </c>
      <c r="D372" t="s">
        <v>438</v>
      </c>
      <c r="E372" t="s">
        <v>464</v>
      </c>
      <c r="F372" t="s">
        <v>440</v>
      </c>
      <c r="G372">
        <v>232174</v>
      </c>
      <c r="H372"/>
      <c r="I372"/>
      <c r="J372"/>
      <c r="K372" t="s">
        <v>266</v>
      </c>
    </row>
    <row r="373" spans="1:11">
      <c r="A373">
        <v>44230</v>
      </c>
      <c r="B373" t="s">
        <v>437</v>
      </c>
      <c r="C373">
        <v>44209</v>
      </c>
      <c r="D373" t="s">
        <v>438</v>
      </c>
      <c r="E373" t="s">
        <v>465</v>
      </c>
      <c r="F373" t="s">
        <v>440</v>
      </c>
      <c r="G373">
        <v>232174</v>
      </c>
      <c r="H373"/>
      <c r="I373"/>
      <c r="J373"/>
      <c r="K373" t="s">
        <v>266</v>
      </c>
    </row>
    <row r="374" spans="1:11">
      <c r="A374">
        <v>44230</v>
      </c>
      <c r="B374" t="s">
        <v>437</v>
      </c>
      <c r="C374">
        <v>44209</v>
      </c>
      <c r="D374" t="s">
        <v>438</v>
      </c>
      <c r="E374" t="s">
        <v>466</v>
      </c>
      <c r="F374" t="s">
        <v>440</v>
      </c>
      <c r="G374">
        <v>232174</v>
      </c>
      <c r="H374"/>
      <c r="I374"/>
      <c r="J374"/>
      <c r="K374" t="s">
        <v>266</v>
      </c>
    </row>
    <row r="375" spans="1:11">
      <c r="A375">
        <v>44230</v>
      </c>
      <c r="B375" t="s">
        <v>437</v>
      </c>
      <c r="C375">
        <v>44209</v>
      </c>
      <c r="D375" t="s">
        <v>438</v>
      </c>
      <c r="E375" t="s">
        <v>467</v>
      </c>
      <c r="F375" t="s">
        <v>440</v>
      </c>
      <c r="G375">
        <v>232174</v>
      </c>
      <c r="H375"/>
      <c r="I375"/>
      <c r="J375"/>
      <c r="K375" t="s">
        <v>274</v>
      </c>
    </row>
    <row r="376" spans="1:11">
      <c r="A376">
        <v>44230</v>
      </c>
      <c r="B376" t="s">
        <v>437</v>
      </c>
      <c r="C376">
        <v>44209</v>
      </c>
      <c r="D376" t="s">
        <v>438</v>
      </c>
      <c r="E376" t="s">
        <v>468</v>
      </c>
      <c r="F376" t="s">
        <v>440</v>
      </c>
      <c r="G376">
        <v>232174</v>
      </c>
      <c r="H376"/>
      <c r="I376"/>
      <c r="J376"/>
      <c r="K376" t="s">
        <v>274</v>
      </c>
    </row>
    <row r="377" spans="1:11">
      <c r="A377">
        <v>44230</v>
      </c>
      <c r="B377" t="s">
        <v>437</v>
      </c>
      <c r="C377">
        <v>44209</v>
      </c>
      <c r="D377" t="s">
        <v>438</v>
      </c>
      <c r="E377" t="s">
        <v>469</v>
      </c>
      <c r="F377" t="s">
        <v>440</v>
      </c>
      <c r="G377">
        <v>232174</v>
      </c>
      <c r="H377"/>
      <c r="I377"/>
      <c r="J377"/>
      <c r="K377" t="s">
        <v>274</v>
      </c>
    </row>
    <row r="378" spans="1:11">
      <c r="A378">
        <v>44230</v>
      </c>
      <c r="B378" t="s">
        <v>437</v>
      </c>
      <c r="C378">
        <v>44209</v>
      </c>
      <c r="D378" t="s">
        <v>438</v>
      </c>
      <c r="E378" t="s">
        <v>470</v>
      </c>
      <c r="F378" t="s">
        <v>440</v>
      </c>
      <c r="G378">
        <v>232174</v>
      </c>
      <c r="H378"/>
      <c r="I378"/>
      <c r="J378"/>
      <c r="K378" t="s">
        <v>274</v>
      </c>
    </row>
    <row r="379" spans="1:11">
      <c r="A379">
        <v>44230</v>
      </c>
      <c r="B379" t="s">
        <v>437</v>
      </c>
      <c r="C379">
        <v>44209</v>
      </c>
      <c r="D379" t="s">
        <v>438</v>
      </c>
      <c r="E379" t="s">
        <v>471</v>
      </c>
      <c r="F379" t="s">
        <v>440</v>
      </c>
      <c r="G379">
        <v>232174</v>
      </c>
      <c r="H379"/>
      <c r="I379"/>
      <c r="J379"/>
      <c r="K379" t="s">
        <v>317</v>
      </c>
    </row>
    <row r="380" spans="1:11">
      <c r="A380">
        <v>44230</v>
      </c>
      <c r="B380" t="s">
        <v>437</v>
      </c>
      <c r="C380">
        <v>44209</v>
      </c>
      <c r="D380" t="s">
        <v>438</v>
      </c>
      <c r="E380" t="s">
        <v>472</v>
      </c>
      <c r="F380" t="s">
        <v>440</v>
      </c>
      <c r="G380">
        <v>232174</v>
      </c>
      <c r="H380"/>
      <c r="I380"/>
      <c r="J380"/>
      <c r="K380" t="s">
        <v>317</v>
      </c>
    </row>
    <row r="381" spans="1:11">
      <c r="A381">
        <v>44230</v>
      </c>
      <c r="B381" t="s">
        <v>437</v>
      </c>
      <c r="C381">
        <v>44209</v>
      </c>
      <c r="D381" t="s">
        <v>438</v>
      </c>
      <c r="E381" t="s">
        <v>473</v>
      </c>
      <c r="F381" t="s">
        <v>440</v>
      </c>
      <c r="G381">
        <v>232174</v>
      </c>
      <c r="H381"/>
      <c r="I381"/>
      <c r="J381"/>
      <c r="K381" t="s">
        <v>276</v>
      </c>
    </row>
    <row r="382" spans="1:11">
      <c r="A382">
        <v>44230</v>
      </c>
      <c r="B382" t="s">
        <v>437</v>
      </c>
      <c r="C382">
        <v>44209</v>
      </c>
      <c r="D382" t="s">
        <v>438</v>
      </c>
      <c r="E382" t="s">
        <v>474</v>
      </c>
      <c r="F382" t="s">
        <v>440</v>
      </c>
      <c r="G382">
        <v>232174</v>
      </c>
      <c r="H382"/>
      <c r="I382"/>
      <c r="J382"/>
      <c r="K382" t="s">
        <v>276</v>
      </c>
    </row>
    <row r="383" spans="1:11">
      <c r="A383">
        <v>44230</v>
      </c>
      <c r="B383" t="s">
        <v>437</v>
      </c>
      <c r="C383">
        <v>44209</v>
      </c>
      <c r="D383" t="s">
        <v>438</v>
      </c>
      <c r="E383" t="s">
        <v>475</v>
      </c>
      <c r="F383" t="s">
        <v>440</v>
      </c>
      <c r="G383">
        <v>232174</v>
      </c>
      <c r="H383"/>
      <c r="I383"/>
      <c r="J383"/>
      <c r="K383" t="s">
        <v>276</v>
      </c>
    </row>
    <row r="384" spans="1:11">
      <c r="A384">
        <v>44230</v>
      </c>
      <c r="B384" t="s">
        <v>437</v>
      </c>
      <c r="C384">
        <v>44209</v>
      </c>
      <c r="D384" t="s">
        <v>438</v>
      </c>
      <c r="E384" t="s">
        <v>476</v>
      </c>
      <c r="F384" t="s">
        <v>440</v>
      </c>
      <c r="G384">
        <v>232174</v>
      </c>
      <c r="H384"/>
      <c r="I384"/>
      <c r="J384"/>
      <c r="K384" t="s">
        <v>276</v>
      </c>
    </row>
    <row r="385" spans="1:11">
      <c r="A385">
        <v>44230</v>
      </c>
      <c r="B385" t="s">
        <v>437</v>
      </c>
      <c r="C385">
        <v>44209</v>
      </c>
      <c r="D385" t="s">
        <v>438</v>
      </c>
      <c r="E385" t="s">
        <v>477</v>
      </c>
      <c r="F385" t="s">
        <v>440</v>
      </c>
      <c r="G385">
        <v>232174</v>
      </c>
      <c r="H385"/>
      <c r="I385"/>
      <c r="J385"/>
      <c r="K385" t="s">
        <v>270</v>
      </c>
    </row>
    <row r="386" spans="1:11">
      <c r="A386">
        <v>44230</v>
      </c>
      <c r="B386" t="s">
        <v>437</v>
      </c>
      <c r="C386">
        <v>44209</v>
      </c>
      <c r="D386" t="s">
        <v>438</v>
      </c>
      <c r="E386" t="s">
        <v>478</v>
      </c>
      <c r="F386" t="s">
        <v>440</v>
      </c>
      <c r="G386">
        <v>232174</v>
      </c>
      <c r="H386"/>
      <c r="I386"/>
      <c r="J386"/>
      <c r="K386" t="s">
        <v>270</v>
      </c>
    </row>
    <row r="387" spans="1:11">
      <c r="A387">
        <v>44230</v>
      </c>
      <c r="B387" t="s">
        <v>437</v>
      </c>
      <c r="C387">
        <v>44209</v>
      </c>
      <c r="D387" t="s">
        <v>438</v>
      </c>
      <c r="E387" t="s">
        <v>479</v>
      </c>
      <c r="F387" t="s">
        <v>440</v>
      </c>
      <c r="G387">
        <v>232174</v>
      </c>
      <c r="H387"/>
      <c r="I387"/>
      <c r="J387"/>
      <c r="K387" t="s">
        <v>270</v>
      </c>
    </row>
    <row r="388" spans="1:11">
      <c r="A388">
        <v>44230</v>
      </c>
      <c r="B388" t="s">
        <v>437</v>
      </c>
      <c r="C388">
        <v>44209</v>
      </c>
      <c r="D388" t="s">
        <v>438</v>
      </c>
      <c r="E388" t="s">
        <v>480</v>
      </c>
      <c r="F388" t="s">
        <v>440</v>
      </c>
      <c r="G388">
        <v>232174</v>
      </c>
      <c r="H388"/>
      <c r="I388"/>
      <c r="J388"/>
      <c r="K388" t="s">
        <v>270</v>
      </c>
    </row>
    <row r="389" spans="1:11">
      <c r="A389">
        <v>44230</v>
      </c>
      <c r="B389" t="s">
        <v>437</v>
      </c>
      <c r="C389">
        <v>44209</v>
      </c>
      <c r="D389" t="s">
        <v>438</v>
      </c>
      <c r="E389" t="s">
        <v>481</v>
      </c>
      <c r="F389" t="s">
        <v>440</v>
      </c>
      <c r="G389">
        <v>232174</v>
      </c>
      <c r="H389"/>
      <c r="I389"/>
      <c r="J389"/>
      <c r="K389" t="s">
        <v>268</v>
      </c>
    </row>
    <row r="390" spans="1:11">
      <c r="A390">
        <v>44230</v>
      </c>
      <c r="B390" t="s">
        <v>437</v>
      </c>
      <c r="C390">
        <v>44209</v>
      </c>
      <c r="D390" t="s">
        <v>438</v>
      </c>
      <c r="E390" t="s">
        <v>482</v>
      </c>
      <c r="F390" t="s">
        <v>440</v>
      </c>
      <c r="G390">
        <v>232174</v>
      </c>
      <c r="H390"/>
      <c r="I390"/>
      <c r="J390"/>
      <c r="K390" t="s">
        <v>268</v>
      </c>
    </row>
    <row r="391" spans="1:11">
      <c r="A391">
        <v>44232</v>
      </c>
      <c r="B391" t="s">
        <v>483</v>
      </c>
      <c r="C391">
        <v>44209</v>
      </c>
      <c r="D391" t="s">
        <v>438</v>
      </c>
      <c r="E391" t="s">
        <v>484</v>
      </c>
      <c r="F391" t="s">
        <v>440</v>
      </c>
      <c r="G391">
        <v>23173</v>
      </c>
      <c r="H391"/>
      <c r="I391"/>
      <c r="J391"/>
      <c r="K391" t="s">
        <v>310</v>
      </c>
    </row>
    <row r="392" spans="1:11">
      <c r="A392">
        <v>44232</v>
      </c>
      <c r="B392" t="s">
        <v>483</v>
      </c>
      <c r="C392">
        <v>44209</v>
      </c>
      <c r="D392" t="s">
        <v>438</v>
      </c>
      <c r="E392" t="s">
        <v>485</v>
      </c>
      <c r="F392" t="s">
        <v>440</v>
      </c>
      <c r="G392">
        <v>23173</v>
      </c>
      <c r="H392"/>
      <c r="I392"/>
      <c r="J392"/>
      <c r="K392" t="s">
        <v>310</v>
      </c>
    </row>
    <row r="393" spans="1:11">
      <c r="A393">
        <v>44232</v>
      </c>
      <c r="B393" t="s">
        <v>483</v>
      </c>
      <c r="C393">
        <v>44209</v>
      </c>
      <c r="D393" t="s">
        <v>438</v>
      </c>
      <c r="E393" t="s">
        <v>486</v>
      </c>
      <c r="F393" t="s">
        <v>440</v>
      </c>
      <c r="G393">
        <v>23173</v>
      </c>
      <c r="H393"/>
      <c r="I393"/>
      <c r="J393"/>
      <c r="K393" t="s">
        <v>304</v>
      </c>
    </row>
    <row r="394" spans="1:11">
      <c r="A394">
        <v>44232</v>
      </c>
      <c r="B394" t="s">
        <v>483</v>
      </c>
      <c r="C394">
        <v>44209</v>
      </c>
      <c r="D394" t="s">
        <v>438</v>
      </c>
      <c r="E394" t="s">
        <v>487</v>
      </c>
      <c r="F394" t="s">
        <v>440</v>
      </c>
      <c r="G394">
        <v>23173</v>
      </c>
      <c r="H394"/>
      <c r="I394"/>
      <c r="J394"/>
      <c r="K394" t="s">
        <v>304</v>
      </c>
    </row>
    <row r="395" spans="1:11">
      <c r="A395">
        <v>44232</v>
      </c>
      <c r="B395" t="s">
        <v>483</v>
      </c>
      <c r="C395">
        <v>44209</v>
      </c>
      <c r="D395" t="s">
        <v>438</v>
      </c>
      <c r="E395" t="s">
        <v>488</v>
      </c>
      <c r="F395" t="s">
        <v>440</v>
      </c>
      <c r="G395">
        <v>23173</v>
      </c>
      <c r="H395"/>
      <c r="I395"/>
      <c r="J395"/>
      <c r="K395" t="s">
        <v>304</v>
      </c>
    </row>
    <row r="396" spans="1:11">
      <c r="A396">
        <v>44232</v>
      </c>
      <c r="B396" t="s">
        <v>483</v>
      </c>
      <c r="C396">
        <v>44209</v>
      </c>
      <c r="D396" t="s">
        <v>438</v>
      </c>
      <c r="E396" t="s">
        <v>489</v>
      </c>
      <c r="F396" t="s">
        <v>440</v>
      </c>
      <c r="G396">
        <v>23173</v>
      </c>
      <c r="H396"/>
      <c r="I396"/>
      <c r="J396"/>
      <c r="K396" t="s">
        <v>304</v>
      </c>
    </row>
    <row r="397" spans="1:11">
      <c r="A397">
        <v>44232</v>
      </c>
      <c r="B397" t="s">
        <v>483</v>
      </c>
      <c r="C397">
        <v>44209</v>
      </c>
      <c r="D397" t="s">
        <v>438</v>
      </c>
      <c r="E397" t="s">
        <v>490</v>
      </c>
      <c r="F397" t="s">
        <v>440</v>
      </c>
      <c r="G397">
        <v>23173</v>
      </c>
      <c r="H397"/>
      <c r="I397"/>
      <c r="J397"/>
      <c r="K397" t="s">
        <v>281</v>
      </c>
    </row>
    <row r="398" spans="1:11">
      <c r="A398">
        <v>44232</v>
      </c>
      <c r="B398" t="s">
        <v>483</v>
      </c>
      <c r="C398">
        <v>44209</v>
      </c>
      <c r="D398" t="s">
        <v>438</v>
      </c>
      <c r="E398" t="s">
        <v>491</v>
      </c>
      <c r="F398" t="s">
        <v>440</v>
      </c>
      <c r="G398">
        <v>23173</v>
      </c>
      <c r="H398"/>
      <c r="I398"/>
      <c r="J398"/>
      <c r="K398" t="s">
        <v>281</v>
      </c>
    </row>
    <row r="399" spans="1:11">
      <c r="A399">
        <v>44232</v>
      </c>
      <c r="B399" t="s">
        <v>483</v>
      </c>
      <c r="C399">
        <v>44209</v>
      </c>
      <c r="D399" t="s">
        <v>438</v>
      </c>
      <c r="E399" t="s">
        <v>492</v>
      </c>
      <c r="F399" t="s">
        <v>440</v>
      </c>
      <c r="G399">
        <v>23173</v>
      </c>
      <c r="H399"/>
      <c r="I399"/>
      <c r="J399"/>
      <c r="K399" t="s">
        <v>281</v>
      </c>
    </row>
    <row r="400" spans="1:11">
      <c r="A400">
        <v>44232</v>
      </c>
      <c r="B400" t="s">
        <v>483</v>
      </c>
      <c r="C400">
        <v>44209</v>
      </c>
      <c r="D400" t="s">
        <v>438</v>
      </c>
      <c r="E400" t="s">
        <v>493</v>
      </c>
      <c r="F400" t="s">
        <v>440</v>
      </c>
      <c r="G400">
        <v>23173</v>
      </c>
      <c r="H400"/>
      <c r="I400"/>
      <c r="J400"/>
      <c r="K400" t="s">
        <v>281</v>
      </c>
    </row>
    <row r="401" spans="1:11">
      <c r="A401">
        <v>44232</v>
      </c>
      <c r="B401" t="s">
        <v>483</v>
      </c>
      <c r="C401">
        <v>44209</v>
      </c>
      <c r="D401" t="s">
        <v>438</v>
      </c>
      <c r="E401" t="s">
        <v>494</v>
      </c>
      <c r="F401" t="s">
        <v>440</v>
      </c>
      <c r="G401">
        <v>23173</v>
      </c>
      <c r="H401"/>
      <c r="I401"/>
      <c r="J401"/>
      <c r="K401" t="s">
        <v>300</v>
      </c>
    </row>
    <row r="402" spans="1:11">
      <c r="A402">
        <v>44232</v>
      </c>
      <c r="B402" t="s">
        <v>483</v>
      </c>
      <c r="C402">
        <v>44209</v>
      </c>
      <c r="D402" t="s">
        <v>438</v>
      </c>
      <c r="E402" t="s">
        <v>495</v>
      </c>
      <c r="F402" t="s">
        <v>440</v>
      </c>
      <c r="G402">
        <v>23173</v>
      </c>
      <c r="H402"/>
      <c r="I402"/>
      <c r="J402"/>
      <c r="K402" t="s">
        <v>342</v>
      </c>
    </row>
    <row r="403" spans="1:11">
      <c r="A403">
        <v>44232</v>
      </c>
      <c r="B403" t="s">
        <v>483</v>
      </c>
      <c r="C403">
        <v>44209</v>
      </c>
      <c r="D403" t="s">
        <v>438</v>
      </c>
      <c r="E403" t="s">
        <v>496</v>
      </c>
      <c r="F403" t="s">
        <v>440</v>
      </c>
      <c r="G403">
        <v>23173</v>
      </c>
      <c r="H403"/>
      <c r="I403"/>
      <c r="J403"/>
      <c r="K403" t="s">
        <v>342</v>
      </c>
    </row>
    <row r="404" spans="1:11">
      <c r="A404">
        <v>44232</v>
      </c>
      <c r="B404" t="s">
        <v>483</v>
      </c>
      <c r="C404">
        <v>44209</v>
      </c>
      <c r="D404" t="s">
        <v>438</v>
      </c>
      <c r="E404" t="s">
        <v>497</v>
      </c>
      <c r="F404" t="s">
        <v>440</v>
      </c>
      <c r="G404">
        <v>23173</v>
      </c>
      <c r="H404"/>
      <c r="I404"/>
      <c r="J404"/>
      <c r="K404" t="s">
        <v>342</v>
      </c>
    </row>
    <row r="405" spans="1:11">
      <c r="A405">
        <v>44232</v>
      </c>
      <c r="B405" t="s">
        <v>483</v>
      </c>
      <c r="C405">
        <v>44209</v>
      </c>
      <c r="D405" t="s">
        <v>438</v>
      </c>
      <c r="E405" t="s">
        <v>498</v>
      </c>
      <c r="F405" t="s">
        <v>440</v>
      </c>
      <c r="G405">
        <v>23173</v>
      </c>
      <c r="H405"/>
      <c r="I405"/>
      <c r="J405"/>
      <c r="K405" t="s">
        <v>342</v>
      </c>
    </row>
    <row r="406" spans="1:11">
      <c r="A406">
        <v>44232</v>
      </c>
      <c r="B406" t="s">
        <v>483</v>
      </c>
      <c r="C406">
        <v>44209</v>
      </c>
      <c r="D406" t="s">
        <v>438</v>
      </c>
      <c r="E406" t="s">
        <v>499</v>
      </c>
      <c r="F406" t="s">
        <v>440</v>
      </c>
      <c r="G406">
        <v>23173</v>
      </c>
      <c r="H406"/>
      <c r="I406"/>
      <c r="J406"/>
      <c r="K406" t="s">
        <v>312</v>
      </c>
    </row>
    <row r="407" spans="1:11">
      <c r="A407">
        <v>44232</v>
      </c>
      <c r="B407" t="s">
        <v>483</v>
      </c>
      <c r="C407">
        <v>44209</v>
      </c>
      <c r="D407" t="s">
        <v>438</v>
      </c>
      <c r="E407" t="s">
        <v>500</v>
      </c>
      <c r="F407" t="s">
        <v>440</v>
      </c>
      <c r="G407">
        <v>23173</v>
      </c>
      <c r="H407"/>
      <c r="I407"/>
      <c r="J407"/>
      <c r="K407" t="s">
        <v>312</v>
      </c>
    </row>
    <row r="408" spans="1:11">
      <c r="A408">
        <v>44232</v>
      </c>
      <c r="B408" t="s">
        <v>483</v>
      </c>
      <c r="C408">
        <v>44209</v>
      </c>
      <c r="D408" t="s">
        <v>438</v>
      </c>
      <c r="E408" t="s">
        <v>501</v>
      </c>
      <c r="F408" t="s">
        <v>440</v>
      </c>
      <c r="G408">
        <v>23173</v>
      </c>
      <c r="H408"/>
      <c r="I408"/>
      <c r="J408"/>
      <c r="K408" t="s">
        <v>312</v>
      </c>
    </row>
    <row r="409" spans="1:11">
      <c r="A409">
        <v>44232</v>
      </c>
      <c r="B409" t="s">
        <v>483</v>
      </c>
      <c r="C409">
        <v>44209</v>
      </c>
      <c r="D409" t="s">
        <v>438</v>
      </c>
      <c r="E409" t="s">
        <v>502</v>
      </c>
      <c r="F409" t="s">
        <v>440</v>
      </c>
      <c r="G409">
        <v>23173</v>
      </c>
      <c r="H409"/>
      <c r="I409"/>
      <c r="J409"/>
      <c r="K409" t="s">
        <v>312</v>
      </c>
    </row>
    <row r="410" spans="1:11">
      <c r="A410">
        <v>44232</v>
      </c>
      <c r="B410" t="s">
        <v>483</v>
      </c>
      <c r="C410">
        <v>44209</v>
      </c>
      <c r="D410" t="s">
        <v>438</v>
      </c>
      <c r="E410" t="s">
        <v>503</v>
      </c>
      <c r="F410" t="s">
        <v>440</v>
      </c>
      <c r="G410">
        <v>23173</v>
      </c>
      <c r="H410"/>
      <c r="I410"/>
      <c r="J410"/>
      <c r="K410" t="s">
        <v>310</v>
      </c>
    </row>
    <row r="411" spans="1:11">
      <c r="A411">
        <v>44232</v>
      </c>
      <c r="B411" t="s">
        <v>483</v>
      </c>
      <c r="C411">
        <v>44209</v>
      </c>
      <c r="D411" t="s">
        <v>438</v>
      </c>
      <c r="E411" t="s">
        <v>504</v>
      </c>
      <c r="F411" t="s">
        <v>440</v>
      </c>
      <c r="G411">
        <v>23173</v>
      </c>
      <c r="H411"/>
      <c r="I411"/>
      <c r="J411"/>
      <c r="K411" t="s">
        <v>310</v>
      </c>
    </row>
    <row r="412" spans="1:11">
      <c r="A412">
        <v>44232</v>
      </c>
      <c r="B412" t="s">
        <v>483</v>
      </c>
      <c r="C412">
        <v>44209</v>
      </c>
      <c r="D412" t="s">
        <v>438</v>
      </c>
      <c r="E412" t="s">
        <v>505</v>
      </c>
      <c r="F412" t="s">
        <v>440</v>
      </c>
      <c r="G412">
        <v>23173</v>
      </c>
      <c r="H412"/>
      <c r="I412"/>
      <c r="J412"/>
      <c r="K412" t="s">
        <v>272</v>
      </c>
    </row>
    <row r="413" spans="1:11">
      <c r="A413">
        <v>44232</v>
      </c>
      <c r="B413" t="s">
        <v>483</v>
      </c>
      <c r="C413">
        <v>44209</v>
      </c>
      <c r="D413" t="s">
        <v>438</v>
      </c>
      <c r="E413" t="s">
        <v>506</v>
      </c>
      <c r="F413" t="s">
        <v>440</v>
      </c>
      <c r="G413">
        <v>23173</v>
      </c>
      <c r="H413"/>
      <c r="I413"/>
      <c r="J413"/>
      <c r="K413" t="s">
        <v>300</v>
      </c>
    </row>
    <row r="414" spans="1:11">
      <c r="A414">
        <v>44232</v>
      </c>
      <c r="B414" t="s">
        <v>483</v>
      </c>
      <c r="C414">
        <v>44209</v>
      </c>
      <c r="D414" t="s">
        <v>438</v>
      </c>
      <c r="E414" t="s">
        <v>507</v>
      </c>
      <c r="F414" t="s">
        <v>440</v>
      </c>
      <c r="G414">
        <v>23173</v>
      </c>
      <c r="H414"/>
      <c r="I414"/>
      <c r="J414"/>
      <c r="K414" t="s">
        <v>306</v>
      </c>
    </row>
    <row r="415" spans="1:11">
      <c r="A415">
        <v>44232</v>
      </c>
      <c r="B415" t="s">
        <v>483</v>
      </c>
      <c r="C415">
        <v>44209</v>
      </c>
      <c r="D415" t="s">
        <v>438</v>
      </c>
      <c r="E415" t="s">
        <v>508</v>
      </c>
      <c r="F415" t="s">
        <v>440</v>
      </c>
      <c r="G415">
        <v>23173</v>
      </c>
      <c r="H415"/>
      <c r="I415"/>
      <c r="J415"/>
      <c r="K415" t="s">
        <v>306</v>
      </c>
    </row>
    <row r="416" spans="1:11">
      <c r="A416">
        <v>44232</v>
      </c>
      <c r="B416" t="s">
        <v>483</v>
      </c>
      <c r="C416">
        <v>44209</v>
      </c>
      <c r="D416" t="s">
        <v>438</v>
      </c>
      <c r="E416" t="s">
        <v>509</v>
      </c>
      <c r="F416" t="s">
        <v>440</v>
      </c>
      <c r="G416">
        <v>23173</v>
      </c>
      <c r="H416"/>
      <c r="I416"/>
      <c r="J416"/>
      <c r="K416" t="s">
        <v>306</v>
      </c>
    </row>
    <row r="417" spans="1:11">
      <c r="A417">
        <v>44232</v>
      </c>
      <c r="B417" t="s">
        <v>483</v>
      </c>
      <c r="C417">
        <v>44209</v>
      </c>
      <c r="D417" t="s">
        <v>438</v>
      </c>
      <c r="E417" t="s">
        <v>510</v>
      </c>
      <c r="F417" t="s">
        <v>440</v>
      </c>
      <c r="G417">
        <v>23173</v>
      </c>
      <c r="H417"/>
      <c r="I417"/>
      <c r="J417"/>
      <c r="K417" t="s">
        <v>306</v>
      </c>
    </row>
    <row r="418" spans="1:11">
      <c r="A418">
        <v>44232</v>
      </c>
      <c r="B418" t="s">
        <v>483</v>
      </c>
      <c r="C418">
        <v>44209</v>
      </c>
      <c r="D418" t="s">
        <v>438</v>
      </c>
      <c r="E418" t="s">
        <v>511</v>
      </c>
      <c r="F418" t="s">
        <v>440</v>
      </c>
      <c r="G418">
        <v>23173</v>
      </c>
      <c r="H418"/>
      <c r="I418"/>
      <c r="J418"/>
      <c r="K418" t="s">
        <v>314</v>
      </c>
    </row>
    <row r="419" spans="1:11">
      <c r="A419">
        <v>44232</v>
      </c>
      <c r="B419" t="s">
        <v>483</v>
      </c>
      <c r="C419">
        <v>44209</v>
      </c>
      <c r="D419" t="s">
        <v>438</v>
      </c>
      <c r="E419" t="s">
        <v>512</v>
      </c>
      <c r="F419" t="s">
        <v>440</v>
      </c>
      <c r="G419">
        <v>23173</v>
      </c>
      <c r="H419"/>
      <c r="I419"/>
      <c r="J419"/>
      <c r="K419" t="s">
        <v>314</v>
      </c>
    </row>
    <row r="420" spans="1:11">
      <c r="A420">
        <v>44232</v>
      </c>
      <c r="B420" t="s">
        <v>483</v>
      </c>
      <c r="C420">
        <v>44209</v>
      </c>
      <c r="D420" t="s">
        <v>438</v>
      </c>
      <c r="E420" t="s">
        <v>513</v>
      </c>
      <c r="F420" t="s">
        <v>440</v>
      </c>
      <c r="G420">
        <v>23173</v>
      </c>
      <c r="H420"/>
      <c r="I420"/>
      <c r="J420"/>
      <c r="K420" t="s">
        <v>314</v>
      </c>
    </row>
    <row r="421" spans="1:11">
      <c r="A421">
        <v>44232</v>
      </c>
      <c r="B421" t="s">
        <v>483</v>
      </c>
      <c r="C421">
        <v>44209</v>
      </c>
      <c r="D421" t="s">
        <v>438</v>
      </c>
      <c r="E421" t="s">
        <v>514</v>
      </c>
      <c r="F421" t="s">
        <v>440</v>
      </c>
      <c r="G421">
        <v>23173</v>
      </c>
      <c r="H421"/>
      <c r="I421"/>
      <c r="J421"/>
      <c r="K421" t="s">
        <v>314</v>
      </c>
    </row>
    <row r="422" spans="1:11">
      <c r="A422">
        <v>44232</v>
      </c>
      <c r="B422" t="s">
        <v>483</v>
      </c>
      <c r="C422">
        <v>44209</v>
      </c>
      <c r="D422" t="s">
        <v>438</v>
      </c>
      <c r="E422" t="s">
        <v>515</v>
      </c>
      <c r="F422" t="s">
        <v>440</v>
      </c>
      <c r="G422">
        <v>23173</v>
      </c>
      <c r="H422"/>
      <c r="I422"/>
      <c r="J422"/>
      <c r="K422" t="s">
        <v>278</v>
      </c>
    </row>
    <row r="423" spans="1:11">
      <c r="A423">
        <v>44232</v>
      </c>
      <c r="B423" t="s">
        <v>483</v>
      </c>
      <c r="C423">
        <v>44209</v>
      </c>
      <c r="D423" t="s">
        <v>438</v>
      </c>
      <c r="E423" t="s">
        <v>516</v>
      </c>
      <c r="F423" t="s">
        <v>440</v>
      </c>
      <c r="G423">
        <v>23173</v>
      </c>
      <c r="H423"/>
      <c r="I423"/>
      <c r="J423"/>
      <c r="K423" t="s">
        <v>278</v>
      </c>
    </row>
    <row r="424" spans="1:11">
      <c r="A424">
        <v>44232</v>
      </c>
      <c r="B424" t="s">
        <v>483</v>
      </c>
      <c r="C424">
        <v>44209</v>
      </c>
      <c r="D424" t="s">
        <v>438</v>
      </c>
      <c r="E424" t="s">
        <v>517</v>
      </c>
      <c r="F424" t="s">
        <v>440</v>
      </c>
      <c r="G424">
        <v>23173</v>
      </c>
      <c r="H424"/>
      <c r="I424"/>
      <c r="J424"/>
      <c r="K424" t="s">
        <v>272</v>
      </c>
    </row>
    <row r="425" spans="1:11">
      <c r="A425">
        <v>44232</v>
      </c>
      <c r="B425" t="s">
        <v>483</v>
      </c>
      <c r="C425">
        <v>44209</v>
      </c>
      <c r="D425" t="s">
        <v>438</v>
      </c>
      <c r="E425" t="s">
        <v>518</v>
      </c>
      <c r="F425" t="s">
        <v>440</v>
      </c>
      <c r="G425">
        <v>23173</v>
      </c>
      <c r="H425"/>
      <c r="I425"/>
      <c r="J425"/>
      <c r="K425" t="s">
        <v>272</v>
      </c>
    </row>
    <row r="426" spans="1:11">
      <c r="A426">
        <v>44232</v>
      </c>
      <c r="B426" t="s">
        <v>483</v>
      </c>
      <c r="C426">
        <v>44209</v>
      </c>
      <c r="D426" t="s">
        <v>438</v>
      </c>
      <c r="E426" t="s">
        <v>519</v>
      </c>
      <c r="F426" t="s">
        <v>440</v>
      </c>
      <c r="G426">
        <v>23173</v>
      </c>
      <c r="H426"/>
      <c r="I426"/>
      <c r="J426"/>
      <c r="K426" t="s">
        <v>272</v>
      </c>
    </row>
    <row r="427" spans="1:11">
      <c r="A427">
        <v>44232</v>
      </c>
      <c r="B427" t="s">
        <v>483</v>
      </c>
      <c r="C427">
        <v>44209</v>
      </c>
      <c r="D427" t="s">
        <v>438</v>
      </c>
      <c r="E427" t="s">
        <v>520</v>
      </c>
      <c r="F427" t="s">
        <v>440</v>
      </c>
      <c r="G427">
        <v>23173</v>
      </c>
      <c r="H427"/>
      <c r="I427"/>
      <c r="J427"/>
      <c r="K427" t="s">
        <v>278</v>
      </c>
    </row>
    <row r="428" spans="1:11">
      <c r="A428">
        <v>44207</v>
      </c>
      <c r="B428" t="s">
        <v>9</v>
      </c>
      <c r="C428">
        <v>43838</v>
      </c>
      <c r="D428" t="s">
        <v>279</v>
      </c>
      <c r="E428" t="s">
        <v>287</v>
      </c>
      <c r="F428" t="s">
        <v>12</v>
      </c>
      <c r="G428">
        <v>931155200</v>
      </c>
      <c r="H428"/>
      <c r="I428"/>
      <c r="J428"/>
      <c r="K428" t="s">
        <v>288</v>
      </c>
    </row>
    <row r="429" spans="1:11">
      <c r="A429">
        <v>44207</v>
      </c>
      <c r="B429" t="s">
        <v>9</v>
      </c>
      <c r="C429">
        <v>43838</v>
      </c>
      <c r="D429" t="s">
        <v>279</v>
      </c>
      <c r="E429" t="s">
        <v>290</v>
      </c>
      <c r="F429" t="s">
        <v>12</v>
      </c>
      <c r="G429">
        <v>931155200</v>
      </c>
      <c r="H429"/>
      <c r="I429"/>
      <c r="J429"/>
      <c r="K429" t="s">
        <v>291</v>
      </c>
    </row>
    <row r="430" spans="1:11">
      <c r="A430">
        <v>44207</v>
      </c>
      <c r="B430" t="s">
        <v>9</v>
      </c>
      <c r="C430">
        <v>43838</v>
      </c>
      <c r="D430" t="s">
        <v>279</v>
      </c>
      <c r="E430" t="s">
        <v>603</v>
      </c>
      <c r="F430" t="s">
        <v>12</v>
      </c>
      <c r="G430">
        <v>931155200</v>
      </c>
      <c r="H430"/>
      <c r="I430"/>
      <c r="J430"/>
      <c r="K430" t="s">
        <v>317</v>
      </c>
    </row>
    <row r="431" spans="1:11">
      <c r="A431">
        <v>44207</v>
      </c>
      <c r="B431" t="s">
        <v>9</v>
      </c>
      <c r="C431">
        <v>43838</v>
      </c>
      <c r="D431" t="s">
        <v>279</v>
      </c>
      <c r="E431" t="s">
        <v>284</v>
      </c>
      <c r="F431" t="s">
        <v>12</v>
      </c>
      <c r="G431">
        <v>931155200</v>
      </c>
      <c r="H431"/>
      <c r="I431"/>
      <c r="J431"/>
      <c r="K431" t="s">
        <v>274</v>
      </c>
    </row>
    <row r="432" spans="1:11">
      <c r="A432">
        <v>44207</v>
      </c>
      <c r="B432" t="s">
        <v>9</v>
      </c>
      <c r="C432">
        <v>43838</v>
      </c>
      <c r="D432" t="s">
        <v>279</v>
      </c>
      <c r="E432" t="s">
        <v>282</v>
      </c>
      <c r="F432" t="s">
        <v>12</v>
      </c>
      <c r="G432">
        <v>931155200</v>
      </c>
      <c r="H432"/>
      <c r="I432"/>
      <c r="J432"/>
      <c r="K432" t="s">
        <v>266</v>
      </c>
    </row>
    <row r="433" spans="1:11">
      <c r="A433">
        <v>44207</v>
      </c>
      <c r="B433" t="s">
        <v>9</v>
      </c>
      <c r="C433">
        <v>43838</v>
      </c>
      <c r="D433" t="s">
        <v>279</v>
      </c>
      <c r="E433" t="s">
        <v>292</v>
      </c>
      <c r="F433" t="s">
        <v>12</v>
      </c>
      <c r="G433">
        <v>931155200</v>
      </c>
      <c r="H433"/>
      <c r="I433"/>
      <c r="J433"/>
      <c r="K433" t="s">
        <v>270</v>
      </c>
    </row>
    <row r="434" spans="1:11">
      <c r="A434">
        <v>44207</v>
      </c>
      <c r="B434" t="s">
        <v>9</v>
      </c>
      <c r="C434">
        <v>43838</v>
      </c>
      <c r="D434" t="s">
        <v>279</v>
      </c>
      <c r="E434" t="s">
        <v>286</v>
      </c>
      <c r="F434" t="s">
        <v>12</v>
      </c>
      <c r="G434">
        <v>931155200</v>
      </c>
      <c r="H434"/>
      <c r="I434"/>
      <c r="J434"/>
      <c r="K434" t="s">
        <v>276</v>
      </c>
    </row>
    <row r="435" spans="1:11">
      <c r="A435">
        <v>44207</v>
      </c>
      <c r="B435" t="s">
        <v>9</v>
      </c>
      <c r="C435">
        <v>43838</v>
      </c>
      <c r="D435" t="s">
        <v>279</v>
      </c>
      <c r="E435" t="s">
        <v>289</v>
      </c>
      <c r="F435" t="s">
        <v>12</v>
      </c>
      <c r="G435">
        <v>931155200</v>
      </c>
      <c r="H435"/>
      <c r="I435"/>
      <c r="J435"/>
      <c r="K435" t="s">
        <v>268</v>
      </c>
    </row>
    <row r="436" spans="1:11">
      <c r="A436">
        <v>44207</v>
      </c>
      <c r="B436" t="s">
        <v>9</v>
      </c>
      <c r="C436">
        <v>43838</v>
      </c>
      <c r="D436" t="s">
        <v>279</v>
      </c>
      <c r="E436" t="s">
        <v>283</v>
      </c>
      <c r="F436" t="s">
        <v>12</v>
      </c>
      <c r="G436">
        <v>931155200</v>
      </c>
      <c r="H436"/>
      <c r="I436"/>
      <c r="J436"/>
      <c r="K436" t="s">
        <v>272</v>
      </c>
    </row>
    <row r="437" spans="1:11">
      <c r="A437">
        <v>44236</v>
      </c>
      <c r="B437" t="s">
        <v>530</v>
      </c>
      <c r="C437">
        <v>44235</v>
      </c>
      <c r="D437" t="s">
        <v>531</v>
      </c>
      <c r="E437" t="s">
        <v>532</v>
      </c>
      <c r="F437" t="s">
        <v>202</v>
      </c>
      <c r="G437" t="s">
        <v>533</v>
      </c>
      <c r="H437"/>
      <c r="I437"/>
      <c r="J437"/>
      <c r="K437" t="s">
        <v>308</v>
      </c>
    </row>
    <row r="438" spans="1:11">
      <c r="A438">
        <v>44236</v>
      </c>
      <c r="B438" t="s">
        <v>530</v>
      </c>
      <c r="C438">
        <v>44235</v>
      </c>
      <c r="D438" t="s">
        <v>531</v>
      </c>
      <c r="E438" t="s">
        <v>534</v>
      </c>
      <c r="F438" t="s">
        <v>202</v>
      </c>
      <c r="G438" t="s">
        <v>533</v>
      </c>
      <c r="H438"/>
      <c r="I438"/>
      <c r="J438"/>
      <c r="K438" t="s">
        <v>308</v>
      </c>
    </row>
    <row r="439" spans="1:11">
      <c r="A439">
        <v>44236</v>
      </c>
      <c r="B439" t="s">
        <v>530</v>
      </c>
      <c r="C439">
        <v>44235</v>
      </c>
      <c r="D439" t="s">
        <v>531</v>
      </c>
      <c r="E439" t="s">
        <v>535</v>
      </c>
      <c r="F439" t="s">
        <v>202</v>
      </c>
      <c r="G439" t="s">
        <v>533</v>
      </c>
      <c r="H439"/>
      <c r="I439"/>
      <c r="J439"/>
      <c r="K439" t="s">
        <v>302</v>
      </c>
    </row>
    <row r="440" spans="1:11">
      <c r="A440">
        <v>44236</v>
      </c>
      <c r="B440" t="s">
        <v>530</v>
      </c>
      <c r="C440">
        <v>44235</v>
      </c>
      <c r="D440" t="s">
        <v>531</v>
      </c>
      <c r="E440" t="s">
        <v>536</v>
      </c>
      <c r="F440" t="s">
        <v>202</v>
      </c>
      <c r="G440" t="s">
        <v>533</v>
      </c>
      <c r="H440"/>
      <c r="I440"/>
      <c r="J440"/>
      <c r="K440" t="s">
        <v>302</v>
      </c>
    </row>
    <row r="441" spans="1:11">
      <c r="A441">
        <v>44236</v>
      </c>
      <c r="B441" t="s">
        <v>530</v>
      </c>
      <c r="C441">
        <v>44235</v>
      </c>
      <c r="D441" t="s">
        <v>531</v>
      </c>
      <c r="E441" t="s">
        <v>537</v>
      </c>
      <c r="F441" t="s">
        <v>202</v>
      </c>
      <c r="G441" t="s">
        <v>533</v>
      </c>
      <c r="H441"/>
      <c r="I441"/>
      <c r="J441"/>
      <c r="K441" t="s">
        <v>300</v>
      </c>
    </row>
    <row r="442" spans="1:11">
      <c r="A442">
        <v>44236</v>
      </c>
      <c r="B442" t="s">
        <v>530</v>
      </c>
      <c r="C442">
        <v>44235</v>
      </c>
      <c r="D442" t="s">
        <v>531</v>
      </c>
      <c r="E442" t="s">
        <v>538</v>
      </c>
      <c r="F442" t="s">
        <v>202</v>
      </c>
      <c r="G442" t="s">
        <v>533</v>
      </c>
      <c r="H442"/>
      <c r="I442"/>
      <c r="J442"/>
      <c r="K442" t="s">
        <v>300</v>
      </c>
    </row>
    <row r="443" spans="1:11">
      <c r="A443">
        <v>44236</v>
      </c>
      <c r="B443" t="s">
        <v>530</v>
      </c>
      <c r="C443">
        <v>44235</v>
      </c>
      <c r="D443" t="s">
        <v>531</v>
      </c>
      <c r="E443" t="s">
        <v>539</v>
      </c>
      <c r="F443" t="s">
        <v>202</v>
      </c>
      <c r="G443" t="s">
        <v>533</v>
      </c>
      <c r="H443"/>
      <c r="I443"/>
      <c r="J443"/>
      <c r="K443" t="s">
        <v>306</v>
      </c>
    </row>
    <row r="444" spans="1:11">
      <c r="A444">
        <v>44236</v>
      </c>
      <c r="B444" t="s">
        <v>530</v>
      </c>
      <c r="C444">
        <v>44235</v>
      </c>
      <c r="D444" t="s">
        <v>531</v>
      </c>
      <c r="E444" t="s">
        <v>540</v>
      </c>
      <c r="F444" t="s">
        <v>202</v>
      </c>
      <c r="G444" t="s">
        <v>533</v>
      </c>
      <c r="H444"/>
      <c r="I444"/>
      <c r="J444"/>
      <c r="K444" t="s">
        <v>306</v>
      </c>
    </row>
    <row r="445" spans="1:11">
      <c r="A445">
        <v>44236</v>
      </c>
      <c r="B445" t="s">
        <v>530</v>
      </c>
      <c r="C445">
        <v>44235</v>
      </c>
      <c r="D445" t="s">
        <v>531</v>
      </c>
      <c r="E445" t="s">
        <v>541</v>
      </c>
      <c r="F445" t="s">
        <v>202</v>
      </c>
      <c r="G445" t="s">
        <v>533</v>
      </c>
      <c r="H445"/>
      <c r="I445"/>
      <c r="J445"/>
      <c r="K445" t="s">
        <v>314</v>
      </c>
    </row>
    <row r="446" spans="1:11">
      <c r="A446">
        <v>44236</v>
      </c>
      <c r="B446" t="s">
        <v>530</v>
      </c>
      <c r="C446">
        <v>44235</v>
      </c>
      <c r="D446" t="s">
        <v>531</v>
      </c>
      <c r="E446" t="s">
        <v>542</v>
      </c>
      <c r="F446" t="s">
        <v>202</v>
      </c>
      <c r="G446" t="s">
        <v>533</v>
      </c>
      <c r="H446"/>
      <c r="I446"/>
      <c r="J446"/>
      <c r="K446" t="s">
        <v>314</v>
      </c>
    </row>
    <row r="447" spans="1:11">
      <c r="A447">
        <v>44236</v>
      </c>
      <c r="B447" t="s">
        <v>530</v>
      </c>
      <c r="C447">
        <v>44235</v>
      </c>
      <c r="D447" t="s">
        <v>531</v>
      </c>
      <c r="E447" t="s">
        <v>543</v>
      </c>
      <c r="F447" t="s">
        <v>202</v>
      </c>
      <c r="G447" t="s">
        <v>533</v>
      </c>
      <c r="H447"/>
      <c r="I447"/>
      <c r="J447"/>
      <c r="K447" t="s">
        <v>342</v>
      </c>
    </row>
    <row r="448" spans="1:11">
      <c r="A448">
        <v>44236</v>
      </c>
      <c r="B448" t="s">
        <v>530</v>
      </c>
      <c r="C448">
        <v>44235</v>
      </c>
      <c r="D448" t="s">
        <v>531</v>
      </c>
      <c r="E448" t="s">
        <v>544</v>
      </c>
      <c r="F448" t="s">
        <v>202</v>
      </c>
      <c r="G448" t="s">
        <v>533</v>
      </c>
      <c r="H448"/>
      <c r="I448"/>
      <c r="J448"/>
      <c r="K448" t="s">
        <v>342</v>
      </c>
    </row>
    <row r="449" spans="1:11">
      <c r="A449">
        <v>44236</v>
      </c>
      <c r="B449" t="s">
        <v>530</v>
      </c>
      <c r="C449">
        <v>44235</v>
      </c>
      <c r="D449" t="s">
        <v>531</v>
      </c>
      <c r="E449" t="s">
        <v>545</v>
      </c>
      <c r="F449" t="s">
        <v>202</v>
      </c>
      <c r="G449" t="s">
        <v>533</v>
      </c>
      <c r="H449"/>
      <c r="I449"/>
      <c r="J449"/>
      <c r="K449" t="s">
        <v>281</v>
      </c>
    </row>
    <row r="450" spans="1:11">
      <c r="A450">
        <v>44236</v>
      </c>
      <c r="B450" t="s">
        <v>530</v>
      </c>
      <c r="C450">
        <v>44235</v>
      </c>
      <c r="D450" t="s">
        <v>531</v>
      </c>
      <c r="E450" t="s">
        <v>546</v>
      </c>
      <c r="F450" t="s">
        <v>202</v>
      </c>
      <c r="G450" t="s">
        <v>533</v>
      </c>
      <c r="H450"/>
      <c r="I450"/>
      <c r="J450"/>
      <c r="K450" t="s">
        <v>281</v>
      </c>
    </row>
    <row r="451" spans="1:11">
      <c r="A451">
        <v>44236</v>
      </c>
      <c r="B451" t="s">
        <v>530</v>
      </c>
      <c r="C451">
        <v>44235</v>
      </c>
      <c r="D451" t="s">
        <v>531</v>
      </c>
      <c r="E451" t="s">
        <v>547</v>
      </c>
      <c r="F451" t="s">
        <v>202</v>
      </c>
      <c r="G451" t="s">
        <v>533</v>
      </c>
      <c r="H451"/>
      <c r="I451"/>
      <c r="J451"/>
      <c r="K451" t="s">
        <v>304</v>
      </c>
    </row>
    <row r="452" spans="1:11">
      <c r="A452">
        <v>44236</v>
      </c>
      <c r="B452" t="s">
        <v>530</v>
      </c>
      <c r="C452">
        <v>44235</v>
      </c>
      <c r="D452" t="s">
        <v>531</v>
      </c>
      <c r="E452" t="s">
        <v>548</v>
      </c>
      <c r="F452" t="s">
        <v>202</v>
      </c>
      <c r="G452" t="s">
        <v>533</v>
      </c>
      <c r="H452"/>
      <c r="I452"/>
      <c r="J452"/>
      <c r="K452" t="s">
        <v>304</v>
      </c>
    </row>
    <row r="453" spans="1:11">
      <c r="A453">
        <v>44236</v>
      </c>
      <c r="B453" t="s">
        <v>530</v>
      </c>
      <c r="C453">
        <v>44235</v>
      </c>
      <c r="D453" t="s">
        <v>531</v>
      </c>
      <c r="E453" t="s">
        <v>549</v>
      </c>
      <c r="F453" t="s">
        <v>202</v>
      </c>
      <c r="G453" t="s">
        <v>533</v>
      </c>
      <c r="H453"/>
      <c r="I453"/>
      <c r="J453"/>
      <c r="K453" t="s">
        <v>310</v>
      </c>
    </row>
    <row r="454" spans="1:11">
      <c r="A454">
        <v>44236</v>
      </c>
      <c r="B454" t="s">
        <v>530</v>
      </c>
      <c r="C454">
        <v>44235</v>
      </c>
      <c r="D454" t="s">
        <v>531</v>
      </c>
      <c r="E454" t="s">
        <v>550</v>
      </c>
      <c r="F454" t="s">
        <v>202</v>
      </c>
      <c r="G454" t="s">
        <v>533</v>
      </c>
      <c r="H454"/>
      <c r="I454"/>
      <c r="J454"/>
      <c r="K454" t="s">
        <v>310</v>
      </c>
    </row>
    <row r="455" spans="1:11">
      <c r="A455">
        <v>44236</v>
      </c>
      <c r="B455" t="s">
        <v>530</v>
      </c>
      <c r="C455">
        <v>44235</v>
      </c>
      <c r="D455" t="s">
        <v>531</v>
      </c>
      <c r="E455" t="s">
        <v>551</v>
      </c>
      <c r="F455" t="s">
        <v>202</v>
      </c>
      <c r="G455" t="s">
        <v>533</v>
      </c>
      <c r="H455"/>
      <c r="I455"/>
      <c r="J455"/>
      <c r="K455" t="s">
        <v>312</v>
      </c>
    </row>
    <row r="456" spans="1:11">
      <c r="A456">
        <v>44236</v>
      </c>
      <c r="B456" t="s">
        <v>530</v>
      </c>
      <c r="C456">
        <v>44235</v>
      </c>
      <c r="D456" t="s">
        <v>531</v>
      </c>
      <c r="E456" t="s">
        <v>552</v>
      </c>
      <c r="F456" t="s">
        <v>202</v>
      </c>
      <c r="G456" t="s">
        <v>533</v>
      </c>
      <c r="H456"/>
      <c r="I456"/>
      <c r="J456"/>
      <c r="K456" t="s">
        <v>312</v>
      </c>
    </row>
    <row r="457" spans="1:11">
      <c r="A457">
        <v>44237</v>
      </c>
      <c r="B457" t="s">
        <v>553</v>
      </c>
      <c r="C457">
        <v>44235</v>
      </c>
      <c r="D457" t="s">
        <v>531</v>
      </c>
      <c r="E457" t="s">
        <v>554</v>
      </c>
      <c r="F457" t="s">
        <v>202</v>
      </c>
      <c r="G457" t="s">
        <v>533</v>
      </c>
      <c r="H457"/>
      <c r="I457"/>
      <c r="J457"/>
      <c r="K457" t="s">
        <v>278</v>
      </c>
    </row>
    <row r="458" spans="1:11">
      <c r="A458">
        <v>44237</v>
      </c>
      <c r="B458" t="s">
        <v>553</v>
      </c>
      <c r="C458">
        <v>44235</v>
      </c>
      <c r="D458" t="s">
        <v>531</v>
      </c>
      <c r="E458" t="s">
        <v>555</v>
      </c>
      <c r="F458" t="s">
        <v>202</v>
      </c>
      <c r="G458" t="s">
        <v>533</v>
      </c>
      <c r="H458"/>
      <c r="I458"/>
      <c r="J458"/>
      <c r="K458" t="s">
        <v>278</v>
      </c>
    </row>
    <row r="459" spans="1:11">
      <c r="A459">
        <v>44237</v>
      </c>
      <c r="B459" t="s">
        <v>553</v>
      </c>
      <c r="C459">
        <v>44235</v>
      </c>
      <c r="D459" t="s">
        <v>531</v>
      </c>
      <c r="E459" t="s">
        <v>556</v>
      </c>
      <c r="F459" t="s">
        <v>202</v>
      </c>
      <c r="G459" t="s">
        <v>533</v>
      </c>
      <c r="H459"/>
      <c r="I459"/>
      <c r="J459"/>
      <c r="K459" t="s">
        <v>272</v>
      </c>
    </row>
    <row r="460" spans="1:11">
      <c r="A460">
        <v>44237</v>
      </c>
      <c r="B460" t="s">
        <v>553</v>
      </c>
      <c r="C460">
        <v>44235</v>
      </c>
      <c r="D460" t="s">
        <v>531</v>
      </c>
      <c r="E460" t="s">
        <v>557</v>
      </c>
      <c r="F460" t="s">
        <v>202</v>
      </c>
      <c r="G460" t="s">
        <v>533</v>
      </c>
      <c r="H460"/>
      <c r="I460"/>
      <c r="J460"/>
      <c r="K460" t="s">
        <v>272</v>
      </c>
    </row>
    <row r="461" spans="1:11">
      <c r="A461">
        <v>44237</v>
      </c>
      <c r="B461" t="s">
        <v>553</v>
      </c>
      <c r="C461">
        <v>44235</v>
      </c>
      <c r="D461" t="s">
        <v>531</v>
      </c>
      <c r="E461" t="s">
        <v>558</v>
      </c>
      <c r="F461" t="s">
        <v>202</v>
      </c>
      <c r="G461" t="s">
        <v>533</v>
      </c>
      <c r="H461"/>
      <c r="I461"/>
      <c r="J461"/>
      <c r="K461" t="s">
        <v>268</v>
      </c>
    </row>
    <row r="462" spans="1:11">
      <c r="A462">
        <v>44237</v>
      </c>
      <c r="B462" t="s">
        <v>553</v>
      </c>
      <c r="C462">
        <v>44235</v>
      </c>
      <c r="D462" t="s">
        <v>531</v>
      </c>
      <c r="E462" t="s">
        <v>559</v>
      </c>
      <c r="F462" t="s">
        <v>202</v>
      </c>
      <c r="G462" t="s">
        <v>533</v>
      </c>
      <c r="H462"/>
      <c r="I462"/>
      <c r="J462"/>
      <c r="K462" t="s">
        <v>268</v>
      </c>
    </row>
    <row r="463" spans="1:11">
      <c r="A463">
        <v>44237</v>
      </c>
      <c r="B463" t="s">
        <v>553</v>
      </c>
      <c r="C463">
        <v>44235</v>
      </c>
      <c r="D463" t="s">
        <v>531</v>
      </c>
      <c r="E463" t="s">
        <v>560</v>
      </c>
      <c r="F463" t="s">
        <v>202</v>
      </c>
      <c r="G463" t="s">
        <v>533</v>
      </c>
      <c r="H463"/>
      <c r="I463"/>
      <c r="J463"/>
      <c r="K463" t="s">
        <v>276</v>
      </c>
    </row>
    <row r="464" spans="1:11">
      <c r="A464">
        <v>44237</v>
      </c>
      <c r="B464" t="s">
        <v>553</v>
      </c>
      <c r="C464">
        <v>44235</v>
      </c>
      <c r="D464" t="s">
        <v>531</v>
      </c>
      <c r="E464" t="s">
        <v>561</v>
      </c>
      <c r="F464" t="s">
        <v>202</v>
      </c>
      <c r="G464" t="s">
        <v>533</v>
      </c>
      <c r="H464"/>
      <c r="I464"/>
      <c r="J464"/>
      <c r="K464" t="s">
        <v>276</v>
      </c>
    </row>
    <row r="465" spans="1:11">
      <c r="A465">
        <v>44237</v>
      </c>
      <c r="B465" t="s">
        <v>553</v>
      </c>
      <c r="C465">
        <v>44235</v>
      </c>
      <c r="D465" t="s">
        <v>531</v>
      </c>
      <c r="E465" t="s">
        <v>562</v>
      </c>
      <c r="F465" t="s">
        <v>202</v>
      </c>
      <c r="G465" t="s">
        <v>533</v>
      </c>
      <c r="H465"/>
      <c r="I465"/>
      <c r="J465"/>
      <c r="K465" t="s">
        <v>270</v>
      </c>
    </row>
    <row r="466" spans="1:11">
      <c r="A466">
        <v>44237</v>
      </c>
      <c r="B466" t="s">
        <v>553</v>
      </c>
      <c r="C466">
        <v>44235</v>
      </c>
      <c r="D466" t="s">
        <v>531</v>
      </c>
      <c r="E466" t="s">
        <v>563</v>
      </c>
      <c r="F466" t="s">
        <v>202</v>
      </c>
      <c r="G466" t="s">
        <v>533</v>
      </c>
      <c r="H466"/>
      <c r="I466"/>
      <c r="J466"/>
      <c r="K466" t="s">
        <v>270</v>
      </c>
    </row>
    <row r="467" spans="1:11">
      <c r="A467">
        <v>44237</v>
      </c>
      <c r="B467" t="s">
        <v>553</v>
      </c>
      <c r="C467">
        <v>44235</v>
      </c>
      <c r="D467" t="s">
        <v>531</v>
      </c>
      <c r="E467" t="s">
        <v>564</v>
      </c>
      <c r="F467" t="s">
        <v>202</v>
      </c>
      <c r="G467" t="s">
        <v>533</v>
      </c>
      <c r="H467"/>
      <c r="I467"/>
      <c r="J467"/>
      <c r="K467" t="s">
        <v>266</v>
      </c>
    </row>
    <row r="468" spans="1:11">
      <c r="A468">
        <v>44237</v>
      </c>
      <c r="B468" t="s">
        <v>553</v>
      </c>
      <c r="C468">
        <v>44235</v>
      </c>
      <c r="D468" t="s">
        <v>531</v>
      </c>
      <c r="E468" t="s">
        <v>565</v>
      </c>
      <c r="F468" t="s">
        <v>202</v>
      </c>
      <c r="G468" t="s">
        <v>533</v>
      </c>
      <c r="H468"/>
      <c r="I468"/>
      <c r="J468"/>
      <c r="K468" t="s">
        <v>266</v>
      </c>
    </row>
    <row r="469" spans="1:11">
      <c r="A469">
        <v>44237</v>
      </c>
      <c r="B469" t="s">
        <v>553</v>
      </c>
      <c r="C469">
        <v>44235</v>
      </c>
      <c r="D469" t="s">
        <v>531</v>
      </c>
      <c r="E469" t="s">
        <v>566</v>
      </c>
      <c r="F469" t="s">
        <v>202</v>
      </c>
      <c r="G469" t="s">
        <v>533</v>
      </c>
      <c r="H469"/>
      <c r="I469"/>
      <c r="J469"/>
      <c r="K469" t="s">
        <v>274</v>
      </c>
    </row>
    <row r="470" spans="1:11">
      <c r="A470">
        <v>44237</v>
      </c>
      <c r="B470" t="s">
        <v>553</v>
      </c>
      <c r="C470">
        <v>44235</v>
      </c>
      <c r="D470" t="s">
        <v>531</v>
      </c>
      <c r="E470" t="s">
        <v>567</v>
      </c>
      <c r="F470" t="s">
        <v>202</v>
      </c>
      <c r="G470" t="s">
        <v>533</v>
      </c>
      <c r="H470"/>
      <c r="I470"/>
      <c r="J470"/>
      <c r="K470" t="s">
        <v>274</v>
      </c>
    </row>
    <row r="471" spans="1:11">
      <c r="A471">
        <v>44237</v>
      </c>
      <c r="B471" t="s">
        <v>553</v>
      </c>
      <c r="C471">
        <v>44235</v>
      </c>
      <c r="D471" t="s">
        <v>531</v>
      </c>
      <c r="E471" t="s">
        <v>568</v>
      </c>
      <c r="F471" t="s">
        <v>202</v>
      </c>
      <c r="G471" t="s">
        <v>533</v>
      </c>
      <c r="H471"/>
      <c r="I471"/>
      <c r="J471"/>
      <c r="K471" t="s">
        <v>317</v>
      </c>
    </row>
    <row r="472" spans="1:11">
      <c r="A472">
        <v>44237</v>
      </c>
      <c r="B472" t="s">
        <v>553</v>
      </c>
      <c r="C472">
        <v>44235</v>
      </c>
      <c r="D472" t="s">
        <v>531</v>
      </c>
      <c r="E472" t="s">
        <v>569</v>
      </c>
      <c r="F472" t="s">
        <v>202</v>
      </c>
      <c r="G472" t="s">
        <v>533</v>
      </c>
      <c r="H472"/>
      <c r="I472"/>
      <c r="J472"/>
      <c r="K472" t="s">
        <v>317</v>
      </c>
    </row>
    <row r="473" spans="1:11">
      <c r="A473">
        <v>44237</v>
      </c>
      <c r="B473" t="s">
        <v>553</v>
      </c>
      <c r="C473">
        <v>44235</v>
      </c>
      <c r="D473" t="s">
        <v>531</v>
      </c>
      <c r="E473" t="s">
        <v>570</v>
      </c>
      <c r="F473" t="s">
        <v>202</v>
      </c>
      <c r="G473" t="s">
        <v>533</v>
      </c>
      <c r="H473"/>
      <c r="I473"/>
      <c r="J473"/>
      <c r="K473" t="s">
        <v>291</v>
      </c>
    </row>
    <row r="474" spans="1:11">
      <c r="A474">
        <v>44237</v>
      </c>
      <c r="B474" t="s">
        <v>553</v>
      </c>
      <c r="C474">
        <v>44235</v>
      </c>
      <c r="D474" t="s">
        <v>531</v>
      </c>
      <c r="E474" t="s">
        <v>571</v>
      </c>
      <c r="F474" t="s">
        <v>202</v>
      </c>
      <c r="G474" t="s">
        <v>533</v>
      </c>
      <c r="H474"/>
      <c r="I474"/>
      <c r="J474"/>
      <c r="K474" t="s">
        <v>291</v>
      </c>
    </row>
    <row r="475" spans="1:11">
      <c r="A475">
        <v>44237</v>
      </c>
      <c r="B475" t="s">
        <v>553</v>
      </c>
      <c r="C475">
        <v>44235</v>
      </c>
      <c r="D475" t="s">
        <v>531</v>
      </c>
      <c r="E475" t="s">
        <v>572</v>
      </c>
      <c r="F475" t="s">
        <v>202</v>
      </c>
      <c r="G475" t="s">
        <v>533</v>
      </c>
      <c r="H475"/>
      <c r="I475"/>
      <c r="J475"/>
      <c r="K475" t="s">
        <v>288</v>
      </c>
    </row>
    <row r="476" spans="1:11">
      <c r="A476">
        <v>44237</v>
      </c>
      <c r="B476" t="s">
        <v>553</v>
      </c>
      <c r="C476">
        <v>44235</v>
      </c>
      <c r="D476" t="s">
        <v>531</v>
      </c>
      <c r="E476" t="s">
        <v>573</v>
      </c>
      <c r="F476" t="s">
        <v>202</v>
      </c>
      <c r="G476" t="s">
        <v>533</v>
      </c>
      <c r="H476"/>
      <c r="I476"/>
      <c r="J476"/>
      <c r="K476" t="s">
        <v>288</v>
      </c>
    </row>
    <row r="477" spans="1:11">
      <c r="A477">
        <v>44116</v>
      </c>
      <c r="B477" t="s">
        <v>9</v>
      </c>
      <c r="C477">
        <v>44113</v>
      </c>
      <c r="D477" t="s">
        <v>293</v>
      </c>
      <c r="E477" t="s">
        <v>574</v>
      </c>
      <c r="F477" t="s">
        <v>12</v>
      </c>
      <c r="G477">
        <v>931096020</v>
      </c>
      <c r="H477"/>
      <c r="I477"/>
      <c r="J477"/>
      <c r="K477" t="s">
        <v>281</v>
      </c>
    </row>
    <row r="478" spans="1:11">
      <c r="A478">
        <v>44116</v>
      </c>
      <c r="B478" t="s">
        <v>9</v>
      </c>
      <c r="C478">
        <v>44113</v>
      </c>
      <c r="D478" t="s">
        <v>321</v>
      </c>
      <c r="E478" t="s">
        <v>575</v>
      </c>
      <c r="F478" t="s">
        <v>12</v>
      </c>
      <c r="G478">
        <v>931096020</v>
      </c>
      <c r="H478"/>
      <c r="I478"/>
      <c r="J478"/>
      <c r="K478" t="s">
        <v>302</v>
      </c>
    </row>
    <row r="479" spans="1:11">
      <c r="A479">
        <v>44230</v>
      </c>
      <c r="B479" t="s">
        <v>431</v>
      </c>
      <c r="C479"/>
      <c r="D479" t="s">
        <v>362</v>
      </c>
      <c r="E479" t="s">
        <v>434</v>
      </c>
      <c r="F479" t="s">
        <v>202</v>
      </c>
      <c r="G479"/>
      <c r="H479"/>
      <c r="I479"/>
      <c r="J479"/>
      <c r="K479" t="s">
        <v>266</v>
      </c>
    </row>
    <row r="480" spans="1:11">
      <c r="A480">
        <v>44230</v>
      </c>
      <c r="B480" t="s">
        <v>431</v>
      </c>
      <c r="C480"/>
      <c r="D480" t="s">
        <v>362</v>
      </c>
      <c r="E480" t="s">
        <v>435</v>
      </c>
      <c r="F480" t="s">
        <v>202</v>
      </c>
      <c r="G480"/>
      <c r="H480"/>
      <c r="I480"/>
      <c r="J480"/>
      <c r="K480" t="s">
        <v>270</v>
      </c>
    </row>
    <row r="481" spans="1:11">
      <c r="A481">
        <v>44230</v>
      </c>
      <c r="B481" t="s">
        <v>431</v>
      </c>
      <c r="C481"/>
      <c r="D481" t="s">
        <v>362</v>
      </c>
      <c r="E481" t="s">
        <v>436</v>
      </c>
      <c r="F481" t="s">
        <v>202</v>
      </c>
      <c r="G481"/>
      <c r="H481"/>
      <c r="I481"/>
      <c r="J481"/>
      <c r="K481" t="s">
        <v>276</v>
      </c>
    </row>
    <row r="482" spans="1:11">
      <c r="A482">
        <v>44138</v>
      </c>
      <c r="B482">
        <v>22557591843</v>
      </c>
      <c r="C482">
        <v>44106</v>
      </c>
      <c r="D482" t="s">
        <v>262</v>
      </c>
      <c r="E482" t="s">
        <v>580</v>
      </c>
      <c r="F482" t="s">
        <v>264</v>
      </c>
      <c r="G482" t="s">
        <v>577</v>
      </c>
      <c r="H482"/>
      <c r="I482"/>
      <c r="J482"/>
      <c r="K482" t="s">
        <v>281</v>
      </c>
    </row>
    <row r="483" spans="1:11">
      <c r="A483">
        <v>44194</v>
      </c>
      <c r="B483">
        <v>23104562424</v>
      </c>
      <c r="C483">
        <v>44193</v>
      </c>
      <c r="D483" t="s">
        <v>262</v>
      </c>
      <c r="E483" t="s">
        <v>583</v>
      </c>
      <c r="F483" t="s">
        <v>264</v>
      </c>
      <c r="G483" t="s">
        <v>584</v>
      </c>
      <c r="H483"/>
      <c r="I483"/>
      <c r="J483"/>
      <c r="K483" t="s">
        <v>342</v>
      </c>
    </row>
    <row r="484" spans="1:11">
      <c r="A484">
        <v>44194</v>
      </c>
      <c r="B484">
        <v>23104562424</v>
      </c>
      <c r="C484">
        <v>44193</v>
      </c>
      <c r="D484" t="s">
        <v>262</v>
      </c>
      <c r="E484" t="s">
        <v>585</v>
      </c>
      <c r="F484" t="s">
        <v>264</v>
      </c>
      <c r="G484" t="s">
        <v>584</v>
      </c>
      <c r="H484"/>
      <c r="I484"/>
      <c r="J484"/>
      <c r="K484" t="s">
        <v>304</v>
      </c>
    </row>
    <row r="485" spans="1:11">
      <c r="A485">
        <v>44194</v>
      </c>
      <c r="B485">
        <v>23104562424</v>
      </c>
      <c r="C485">
        <v>44193</v>
      </c>
      <c r="D485" t="s">
        <v>262</v>
      </c>
      <c r="E485" t="s">
        <v>586</v>
      </c>
      <c r="F485" t="s">
        <v>264</v>
      </c>
      <c r="G485" t="s">
        <v>584</v>
      </c>
      <c r="H485"/>
      <c r="I485"/>
      <c r="J485"/>
      <c r="K485" t="s">
        <v>300</v>
      </c>
    </row>
    <row r="486" spans="1:11">
      <c r="A486">
        <v>44194</v>
      </c>
      <c r="B486">
        <v>23104562424</v>
      </c>
      <c r="C486">
        <v>44193</v>
      </c>
      <c r="D486" t="s">
        <v>262</v>
      </c>
      <c r="E486" t="s">
        <v>587</v>
      </c>
      <c r="F486" t="s">
        <v>264</v>
      </c>
      <c r="G486" t="s">
        <v>584</v>
      </c>
      <c r="H486"/>
      <c r="I486"/>
      <c r="J486"/>
      <c r="K486" t="s">
        <v>288</v>
      </c>
    </row>
    <row r="487" spans="1:11">
      <c r="A487">
        <v>44194</v>
      </c>
      <c r="B487">
        <v>23104562424</v>
      </c>
      <c r="C487">
        <v>44193</v>
      </c>
      <c r="D487" t="s">
        <v>262</v>
      </c>
      <c r="E487" t="s">
        <v>588</v>
      </c>
      <c r="F487" t="s">
        <v>264</v>
      </c>
      <c r="G487" t="s">
        <v>584</v>
      </c>
      <c r="H487"/>
      <c r="I487"/>
      <c r="J487"/>
      <c r="K487" t="s">
        <v>310</v>
      </c>
    </row>
    <row r="488" spans="1:11">
      <c r="A488">
        <v>44194</v>
      </c>
      <c r="B488">
        <v>23104562424</v>
      </c>
      <c r="C488">
        <v>44193</v>
      </c>
      <c r="D488" t="s">
        <v>262</v>
      </c>
      <c r="E488" t="s">
        <v>589</v>
      </c>
      <c r="F488" t="s">
        <v>264</v>
      </c>
      <c r="G488" t="s">
        <v>584</v>
      </c>
      <c r="H488"/>
      <c r="I488"/>
      <c r="J488"/>
      <c r="K488" t="s">
        <v>314</v>
      </c>
    </row>
    <row r="489" spans="1:11">
      <c r="A489">
        <v>44194</v>
      </c>
      <c r="B489">
        <v>23104562424</v>
      </c>
      <c r="C489">
        <v>44193</v>
      </c>
      <c r="D489" t="s">
        <v>262</v>
      </c>
      <c r="E489" t="s">
        <v>590</v>
      </c>
      <c r="F489" t="s">
        <v>264</v>
      </c>
      <c r="G489" t="s">
        <v>584</v>
      </c>
      <c r="H489"/>
      <c r="I489"/>
      <c r="J489"/>
      <c r="K489" t="s">
        <v>302</v>
      </c>
    </row>
    <row r="490" spans="1:11">
      <c r="A490">
        <v>44194</v>
      </c>
      <c r="B490">
        <v>23104562424</v>
      </c>
      <c r="C490">
        <v>44193</v>
      </c>
      <c r="D490" t="s">
        <v>262</v>
      </c>
      <c r="E490" t="s">
        <v>591</v>
      </c>
      <c r="F490" t="s">
        <v>264</v>
      </c>
      <c r="G490" t="s">
        <v>584</v>
      </c>
      <c r="H490"/>
      <c r="I490"/>
      <c r="J490"/>
      <c r="K490" t="s">
        <v>291</v>
      </c>
    </row>
    <row r="491" spans="1:11">
      <c r="A491">
        <v>44194</v>
      </c>
      <c r="B491">
        <v>23104562424</v>
      </c>
      <c r="C491">
        <v>44193</v>
      </c>
      <c r="D491" t="s">
        <v>262</v>
      </c>
      <c r="E491" t="s">
        <v>592</v>
      </c>
      <c r="F491" t="s">
        <v>264</v>
      </c>
      <c r="G491" t="s">
        <v>584</v>
      </c>
      <c r="H491"/>
      <c r="I491"/>
      <c r="J491"/>
      <c r="K491" t="s">
        <v>312</v>
      </c>
    </row>
    <row r="492" spans="1:11">
      <c r="A492">
        <v>44194</v>
      </c>
      <c r="B492">
        <v>23104562424</v>
      </c>
      <c r="C492">
        <v>44193</v>
      </c>
      <c r="D492" t="s">
        <v>262</v>
      </c>
      <c r="E492" t="s">
        <v>593</v>
      </c>
      <c r="F492" t="s">
        <v>264</v>
      </c>
      <c r="G492" t="s">
        <v>584</v>
      </c>
      <c r="H492"/>
      <c r="I492"/>
      <c r="J492"/>
      <c r="K492" t="s">
        <v>306</v>
      </c>
    </row>
    <row r="493" spans="1:11">
      <c r="A493">
        <v>44194</v>
      </c>
      <c r="B493">
        <v>23104562424</v>
      </c>
      <c r="C493">
        <v>44193</v>
      </c>
      <c r="D493" t="s">
        <v>262</v>
      </c>
      <c r="E493" t="s">
        <v>594</v>
      </c>
      <c r="F493" t="s">
        <v>264</v>
      </c>
      <c r="G493" t="s">
        <v>584</v>
      </c>
      <c r="H493"/>
      <c r="I493"/>
      <c r="J493"/>
      <c r="K493" t="s">
        <v>308</v>
      </c>
    </row>
    <row r="494" spans="1:11">
      <c r="A494">
        <v>44194</v>
      </c>
      <c r="B494">
        <v>23104562424</v>
      </c>
      <c r="C494">
        <v>44193</v>
      </c>
      <c r="D494" t="s">
        <v>262</v>
      </c>
      <c r="E494" t="s">
        <v>595</v>
      </c>
      <c r="F494" t="s">
        <v>264</v>
      </c>
      <c r="G494" t="s">
        <v>584</v>
      </c>
      <c r="H494"/>
      <c r="I494"/>
      <c r="J494"/>
      <c r="K494" t="s">
        <v>317</v>
      </c>
    </row>
    <row r="495" spans="1:11">
      <c r="A495">
        <v>44230</v>
      </c>
      <c r="B495" t="s">
        <v>431</v>
      </c>
      <c r="C495"/>
      <c r="D495" t="s">
        <v>362</v>
      </c>
      <c r="E495" t="s">
        <v>432</v>
      </c>
      <c r="F495" t="s">
        <v>202</v>
      </c>
      <c r="G495"/>
      <c r="H495"/>
      <c r="I495"/>
      <c r="J495"/>
      <c r="K495" t="s">
        <v>268</v>
      </c>
    </row>
    <row r="496" spans="1:11">
      <c r="A496">
        <v>44225</v>
      </c>
      <c r="B496" t="s">
        <v>199</v>
      </c>
      <c r="C496">
        <v>44224</v>
      </c>
      <c r="D496" t="s">
        <v>362</v>
      </c>
      <c r="E496" t="s">
        <v>370</v>
      </c>
      <c r="F496" t="s">
        <v>202</v>
      </c>
      <c r="G496" t="s">
        <v>203</v>
      </c>
      <c r="H496"/>
      <c r="I496"/>
      <c r="J496"/>
      <c r="K496" t="s">
        <v>272</v>
      </c>
    </row>
    <row r="497" spans="1:11">
      <c r="A497">
        <v>44225</v>
      </c>
      <c r="B497" t="s">
        <v>199</v>
      </c>
      <c r="C497">
        <v>44224</v>
      </c>
      <c r="D497" t="s">
        <v>362</v>
      </c>
      <c r="E497" t="s">
        <v>369</v>
      </c>
      <c r="F497" t="s">
        <v>202</v>
      </c>
      <c r="G497" t="s">
        <v>203</v>
      </c>
      <c r="H497"/>
      <c r="I497"/>
      <c r="J497"/>
      <c r="K497" t="s">
        <v>278</v>
      </c>
    </row>
    <row r="498" spans="1:11">
      <c r="A498">
        <v>44207</v>
      </c>
      <c r="B498" t="s">
        <v>9</v>
      </c>
      <c r="C498">
        <v>43838</v>
      </c>
      <c r="D498" t="s">
        <v>279</v>
      </c>
      <c r="E498" t="s">
        <v>285</v>
      </c>
      <c r="F498" t="s">
        <v>12</v>
      </c>
      <c r="G498">
        <v>931155200</v>
      </c>
      <c r="H498"/>
      <c r="I498"/>
      <c r="J498"/>
      <c r="K498" t="s">
        <v>278</v>
      </c>
    </row>
    <row r="499" spans="1:11">
      <c r="A499" t="s">
        <v>604</v>
      </c>
      <c r="B499">
        <v>4.1007850133410101E+27</v>
      </c>
      <c r="C499" t="s">
        <v>605</v>
      </c>
      <c r="D499" t="s">
        <v>362</v>
      </c>
      <c r="E499" t="s">
        <v>606</v>
      </c>
      <c r="F499" t="s">
        <v>607</v>
      </c>
      <c r="G499"/>
      <c r="H499"/>
      <c r="I499"/>
      <c r="J499"/>
      <c r="K499" t="s">
        <v>310</v>
      </c>
    </row>
    <row r="500" spans="1:11">
      <c r="A500">
        <v>44214</v>
      </c>
      <c r="B500" t="s">
        <v>223</v>
      </c>
      <c r="C500">
        <v>44211</v>
      </c>
      <c r="D500" t="s">
        <v>293</v>
      </c>
      <c r="E500" t="s">
        <v>608</v>
      </c>
      <c r="F500" t="s">
        <v>210</v>
      </c>
      <c r="G500">
        <v>931160039</v>
      </c>
      <c r="H500"/>
      <c r="I500"/>
      <c r="J500"/>
      <c r="K500" t="s">
        <v>342</v>
      </c>
    </row>
    <row r="501" spans="1:11">
      <c r="A501">
        <v>44214</v>
      </c>
      <c r="B501" t="s">
        <v>223</v>
      </c>
      <c r="C501">
        <v>44211</v>
      </c>
      <c r="D501" t="s">
        <v>321</v>
      </c>
      <c r="E501" t="s">
        <v>609</v>
      </c>
      <c r="F501" t="s">
        <v>210</v>
      </c>
      <c r="G501">
        <v>931160039</v>
      </c>
      <c r="H501"/>
      <c r="I501"/>
      <c r="J501"/>
      <c r="K501" t="s">
        <v>342</v>
      </c>
    </row>
    <row r="502" spans="1:11">
      <c r="A502" s="1">
        <v>44238</v>
      </c>
      <c r="B502" s="1" t="s">
        <v>610</v>
      </c>
      <c r="C502" s="1">
        <v>44237</v>
      </c>
      <c r="D502" t="s">
        <v>611</v>
      </c>
      <c r="E502" t="s">
        <v>612</v>
      </c>
      <c r="F502" s="1" t="s">
        <v>202</v>
      </c>
      <c r="G502" t="s">
        <v>613</v>
      </c>
      <c r="H502"/>
      <c r="I502"/>
      <c r="J502"/>
      <c r="K502" t="s">
        <v>198</v>
      </c>
    </row>
    <row r="503" spans="1:11">
      <c r="A503">
        <v>44228</v>
      </c>
      <c r="B503" t="s">
        <v>207</v>
      </c>
      <c r="C503">
        <v>44225</v>
      </c>
      <c r="D503" t="s">
        <v>614</v>
      </c>
      <c r="E503" t="s">
        <v>615</v>
      </c>
      <c r="F503"/>
      <c r="G503"/>
      <c r="H503"/>
      <c r="I503"/>
      <c r="J503"/>
      <c r="K503" t="s">
        <v>198</v>
      </c>
    </row>
    <row r="504" spans="1:11">
      <c r="A504"/>
      <c r="B504" t="s">
        <v>618</v>
      </c>
      <c r="C504"/>
      <c r="D504" t="s">
        <v>616</v>
      </c>
      <c r="E504" t="s">
        <v>620</v>
      </c>
      <c r="F504"/>
      <c r="G504"/>
      <c r="H504"/>
      <c r="I504"/>
      <c r="J504"/>
      <c r="K504" t="s">
        <v>198</v>
      </c>
    </row>
    <row r="505" spans="1:11">
      <c r="A505"/>
      <c r="B505" t="s">
        <v>619</v>
      </c>
      <c r="C505"/>
      <c r="D505" t="s">
        <v>617</v>
      </c>
      <c r="E505" t="s">
        <v>621</v>
      </c>
      <c r="F505"/>
      <c r="G505"/>
      <c r="H505"/>
      <c r="I505"/>
      <c r="J505"/>
      <c r="K505" t="s">
        <v>198</v>
      </c>
    </row>
    <row r="506" spans="1:11">
      <c r="A506"/>
      <c r="B506" t="s">
        <v>619</v>
      </c>
      <c r="C506"/>
      <c r="D506" t="s">
        <v>617</v>
      </c>
      <c r="E506" t="s">
        <v>622</v>
      </c>
      <c r="F506"/>
      <c r="G506"/>
      <c r="H506"/>
      <c r="I506"/>
      <c r="J506"/>
      <c r="K506" t="s">
        <v>198</v>
      </c>
    </row>
    <row r="507" spans="1:11">
      <c r="B507" s="1" t="s">
        <v>619</v>
      </c>
      <c r="D507" s="1" t="s">
        <v>617</v>
      </c>
      <c r="E507" s="1" t="s">
        <v>623</v>
      </c>
      <c r="K507" s="1" t="s">
        <v>198</v>
      </c>
    </row>
    <row r="508" spans="1:11">
      <c r="B508" s="1" t="s">
        <v>619</v>
      </c>
      <c r="D508" t="s">
        <v>617</v>
      </c>
      <c r="E508" t="s">
        <v>624</v>
      </c>
      <c r="G508"/>
      <c r="H508"/>
      <c r="I508"/>
      <c r="J508"/>
      <c r="K508" t="s">
        <v>198</v>
      </c>
    </row>
    <row r="509" spans="1:11">
      <c r="A509"/>
      <c r="B509" t="s">
        <v>619</v>
      </c>
      <c r="C509"/>
      <c r="D509" t="s">
        <v>617</v>
      </c>
      <c r="E509" t="s">
        <v>625</v>
      </c>
      <c r="F509"/>
      <c r="G509"/>
      <c r="H509"/>
      <c r="I509"/>
      <c r="J509"/>
      <c r="K509" t="s">
        <v>198</v>
      </c>
    </row>
    <row r="510" spans="1:11">
      <c r="A510"/>
      <c r="B510" t="s">
        <v>619</v>
      </c>
      <c r="C510"/>
      <c r="D510" t="s">
        <v>617</v>
      </c>
      <c r="E510" t="s">
        <v>626</v>
      </c>
      <c r="F510"/>
      <c r="G510"/>
      <c r="H510"/>
      <c r="I510"/>
      <c r="J510"/>
      <c r="K510" t="s">
        <v>198</v>
      </c>
    </row>
    <row r="511" spans="1:11">
      <c r="A511"/>
      <c r="B511" t="s">
        <v>619</v>
      </c>
      <c r="C511"/>
      <c r="D511" t="s">
        <v>617</v>
      </c>
      <c r="E511" t="s">
        <v>627</v>
      </c>
      <c r="F511"/>
      <c r="G511"/>
      <c r="H511"/>
      <c r="I511"/>
      <c r="J511"/>
      <c r="K511" t="s">
        <v>198</v>
      </c>
    </row>
    <row r="512" spans="1:11">
      <c r="A512">
        <v>44243</v>
      </c>
      <c r="B512" t="s">
        <v>628</v>
      </c>
      <c r="C512">
        <v>44239</v>
      </c>
      <c r="D512" t="s">
        <v>629</v>
      </c>
      <c r="E512" t="s">
        <v>630</v>
      </c>
      <c r="F512" t="s">
        <v>631</v>
      </c>
      <c r="G512" t="s">
        <v>632</v>
      </c>
      <c r="H512"/>
      <c r="I512"/>
      <c r="J512"/>
      <c r="K512" t="s">
        <v>633</v>
      </c>
    </row>
    <row r="513" spans="1:11">
      <c r="A513">
        <v>44243</v>
      </c>
      <c r="B513" t="s">
        <v>628</v>
      </c>
      <c r="C513">
        <v>44239</v>
      </c>
      <c r="D513" t="s">
        <v>629</v>
      </c>
      <c r="E513" t="s">
        <v>634</v>
      </c>
      <c r="F513" t="s">
        <v>631</v>
      </c>
      <c r="G513" t="s">
        <v>632</v>
      </c>
      <c r="H513"/>
      <c r="I513"/>
      <c r="J513"/>
      <c r="K513" t="s">
        <v>633</v>
      </c>
    </row>
    <row r="514" spans="1:11">
      <c r="A514">
        <v>44243</v>
      </c>
      <c r="B514" t="s">
        <v>628</v>
      </c>
      <c r="C514">
        <v>44239</v>
      </c>
      <c r="D514" t="s">
        <v>629</v>
      </c>
      <c r="E514" t="s">
        <v>635</v>
      </c>
      <c r="F514" t="s">
        <v>631</v>
      </c>
      <c r="G514" t="s">
        <v>632</v>
      </c>
      <c r="H514"/>
      <c r="I514"/>
      <c r="J514"/>
      <c r="K514" t="s">
        <v>633</v>
      </c>
    </row>
    <row r="515" spans="1:11">
      <c r="A515">
        <v>44243</v>
      </c>
      <c r="B515" t="s">
        <v>628</v>
      </c>
      <c r="C515">
        <v>44239</v>
      </c>
      <c r="D515" t="s">
        <v>629</v>
      </c>
      <c r="E515" t="s">
        <v>636</v>
      </c>
      <c r="F515" t="s">
        <v>631</v>
      </c>
      <c r="G515" t="s">
        <v>632</v>
      </c>
      <c r="H515"/>
      <c r="I515"/>
      <c r="J515"/>
      <c r="K515" t="s">
        <v>633</v>
      </c>
    </row>
    <row r="516" spans="1:11">
      <c r="A516">
        <v>44243</v>
      </c>
      <c r="B516" t="s">
        <v>628</v>
      </c>
      <c r="C516">
        <v>44239</v>
      </c>
      <c r="D516" t="s">
        <v>637</v>
      </c>
      <c r="E516" t="s">
        <v>638</v>
      </c>
      <c r="F516" t="s">
        <v>631</v>
      </c>
      <c r="G516" t="s">
        <v>632</v>
      </c>
      <c r="H516"/>
      <c r="I516"/>
      <c r="J516"/>
      <c r="K516" t="s">
        <v>633</v>
      </c>
    </row>
    <row r="517" spans="1:11">
      <c r="A517">
        <v>44246</v>
      </c>
      <c r="B517">
        <v>947658709983</v>
      </c>
      <c r="C517">
        <v>40956</v>
      </c>
      <c r="D517" t="s">
        <v>639</v>
      </c>
      <c r="E517" t="s">
        <v>640</v>
      </c>
      <c r="F517" t="s">
        <v>113</v>
      </c>
      <c r="G517">
        <v>2103164</v>
      </c>
      <c r="H517"/>
      <c r="I517"/>
      <c r="J517"/>
      <c r="K517" t="s">
        <v>633</v>
      </c>
    </row>
    <row r="518" spans="1:11">
      <c r="A518">
        <v>44246</v>
      </c>
      <c r="B518">
        <v>947658709983</v>
      </c>
      <c r="C518">
        <v>40956</v>
      </c>
      <c r="D518" t="s">
        <v>639</v>
      </c>
      <c r="E518" t="s">
        <v>641</v>
      </c>
      <c r="F518" t="s">
        <v>113</v>
      </c>
      <c r="G518">
        <v>2103164</v>
      </c>
      <c r="H518"/>
      <c r="I518"/>
      <c r="J518"/>
      <c r="K518" t="s">
        <v>633</v>
      </c>
    </row>
    <row r="519" spans="1:11">
      <c r="A519">
        <v>44246</v>
      </c>
      <c r="B519">
        <v>947658709983</v>
      </c>
      <c r="C519">
        <v>40956</v>
      </c>
      <c r="D519" t="s">
        <v>639</v>
      </c>
      <c r="E519" t="s">
        <v>642</v>
      </c>
      <c r="F519" t="s">
        <v>113</v>
      </c>
      <c r="G519">
        <v>2103164</v>
      </c>
      <c r="H519"/>
      <c r="I519"/>
      <c r="J519"/>
      <c r="K519" t="s">
        <v>633</v>
      </c>
    </row>
    <row r="520" spans="1:11">
      <c r="A520">
        <v>44246</v>
      </c>
      <c r="B520">
        <v>947658709983</v>
      </c>
      <c r="C520">
        <v>40956</v>
      </c>
      <c r="D520" t="s">
        <v>639</v>
      </c>
      <c r="E520" t="s">
        <v>643</v>
      </c>
      <c r="F520" t="s">
        <v>113</v>
      </c>
      <c r="G520">
        <v>2103164</v>
      </c>
      <c r="H520"/>
      <c r="I520"/>
      <c r="J520"/>
      <c r="K520" t="s">
        <v>633</v>
      </c>
    </row>
    <row r="521" spans="1:11">
      <c r="A521">
        <v>44246</v>
      </c>
      <c r="B521">
        <v>947658709983</v>
      </c>
      <c r="C521">
        <v>40956</v>
      </c>
      <c r="D521" t="s">
        <v>639</v>
      </c>
      <c r="E521" t="s">
        <v>644</v>
      </c>
      <c r="F521" t="s">
        <v>113</v>
      </c>
      <c r="G521">
        <v>2103164</v>
      </c>
      <c r="H521"/>
      <c r="I521"/>
      <c r="J521"/>
      <c r="K521" t="s">
        <v>633</v>
      </c>
    </row>
    <row r="522" spans="1:11">
      <c r="A522">
        <v>44246</v>
      </c>
      <c r="B522">
        <v>947658709983</v>
      </c>
      <c r="C522">
        <v>40956</v>
      </c>
      <c r="D522" t="s">
        <v>639</v>
      </c>
      <c r="E522" t="s">
        <v>645</v>
      </c>
      <c r="F522" t="s">
        <v>113</v>
      </c>
      <c r="G522">
        <v>2103164</v>
      </c>
      <c r="H522"/>
      <c r="I522"/>
      <c r="J522"/>
      <c r="K522" t="s">
        <v>633</v>
      </c>
    </row>
    <row r="523" spans="1:11">
      <c r="A523">
        <v>44246</v>
      </c>
      <c r="B523">
        <v>947658709983</v>
      </c>
      <c r="C523">
        <v>40956</v>
      </c>
      <c r="D523" t="s">
        <v>639</v>
      </c>
      <c r="E523" t="s">
        <v>646</v>
      </c>
      <c r="F523" t="s">
        <v>113</v>
      </c>
      <c r="G523">
        <v>2103164</v>
      </c>
      <c r="H523"/>
      <c r="I523"/>
      <c r="J523"/>
      <c r="K523" t="s">
        <v>633</v>
      </c>
    </row>
    <row r="524" spans="1:11">
      <c r="A524">
        <v>44246</v>
      </c>
      <c r="B524">
        <v>947658709983</v>
      </c>
      <c r="C524">
        <v>40956</v>
      </c>
      <c r="D524" t="s">
        <v>639</v>
      </c>
      <c r="E524" t="s">
        <v>647</v>
      </c>
      <c r="F524" t="s">
        <v>113</v>
      </c>
      <c r="G524">
        <v>2103164</v>
      </c>
      <c r="H524"/>
      <c r="I524"/>
      <c r="J524"/>
      <c r="K524" t="s">
        <v>633</v>
      </c>
    </row>
    <row r="525" spans="1:11">
      <c r="A525">
        <v>44249</v>
      </c>
      <c r="B525">
        <v>815322217189</v>
      </c>
      <c r="C525">
        <v>44245</v>
      </c>
      <c r="D525" t="s">
        <v>657</v>
      </c>
      <c r="E525" t="s">
        <v>648</v>
      </c>
      <c r="F525" t="s">
        <v>649</v>
      </c>
      <c r="G525"/>
      <c r="H525"/>
      <c r="I525"/>
      <c r="J525"/>
      <c r="K525" t="s">
        <v>633</v>
      </c>
    </row>
    <row r="526" spans="1:11">
      <c r="A526">
        <v>44249</v>
      </c>
      <c r="B526">
        <v>815322217189</v>
      </c>
      <c r="C526">
        <v>44245</v>
      </c>
      <c r="D526" t="s">
        <v>650</v>
      </c>
      <c r="E526" t="s">
        <v>651</v>
      </c>
      <c r="F526"/>
      <c r="G526"/>
      <c r="H526"/>
      <c r="I526"/>
      <c r="J526"/>
      <c r="K526" t="s">
        <v>633</v>
      </c>
    </row>
    <row r="527" spans="1:11">
      <c r="A527">
        <v>44249</v>
      </c>
      <c r="B527">
        <v>815322217189</v>
      </c>
      <c r="C527">
        <v>44245</v>
      </c>
      <c r="D527" t="s">
        <v>650</v>
      </c>
      <c r="E527" t="s">
        <v>652</v>
      </c>
      <c r="F527"/>
      <c r="G527"/>
      <c r="H527"/>
      <c r="I527"/>
      <c r="J527"/>
      <c r="K527" t="s">
        <v>633</v>
      </c>
    </row>
    <row r="528" spans="1:11">
      <c r="A528">
        <v>44249</v>
      </c>
      <c r="B528">
        <v>815322217189</v>
      </c>
      <c r="C528">
        <v>44245</v>
      </c>
      <c r="D528" t="s">
        <v>653</v>
      </c>
      <c r="E528" t="s">
        <v>654</v>
      </c>
      <c r="F528"/>
      <c r="G528"/>
      <c r="H528"/>
      <c r="I528"/>
      <c r="J528"/>
      <c r="K528" t="s">
        <v>633</v>
      </c>
    </row>
    <row r="529" spans="1:11">
      <c r="A529">
        <v>44249</v>
      </c>
      <c r="B529">
        <v>815322217189</v>
      </c>
      <c r="C529">
        <v>44245</v>
      </c>
      <c r="D529" t="s">
        <v>655</v>
      </c>
      <c r="E529" t="s">
        <v>656</v>
      </c>
      <c r="F529"/>
      <c r="G529"/>
      <c r="H529"/>
      <c r="I529"/>
      <c r="J529"/>
      <c r="K529" t="s">
        <v>633</v>
      </c>
    </row>
    <row r="530" spans="1:11">
      <c r="A530">
        <v>44253</v>
      </c>
      <c r="B530" t="s">
        <v>658</v>
      </c>
      <c r="C530">
        <v>44252</v>
      </c>
      <c r="D530" t="s">
        <v>659</v>
      </c>
      <c r="E530" t="s">
        <v>660</v>
      </c>
      <c r="F530" t="s">
        <v>264</v>
      </c>
      <c r="G530" t="s">
        <v>661</v>
      </c>
      <c r="H530"/>
      <c r="I530"/>
      <c r="J530"/>
      <c r="K530" t="s">
        <v>312</v>
      </c>
    </row>
    <row r="531" spans="1:11">
      <c r="A531">
        <v>44253</v>
      </c>
      <c r="B531" t="s">
        <v>658</v>
      </c>
      <c r="C531">
        <v>44252</v>
      </c>
      <c r="D531" t="s">
        <v>659</v>
      </c>
      <c r="E531" t="s">
        <v>662</v>
      </c>
      <c r="F531" t="s">
        <v>264</v>
      </c>
      <c r="G531" t="s">
        <v>661</v>
      </c>
      <c r="H531"/>
      <c r="I531"/>
      <c r="J531"/>
      <c r="K531" t="s">
        <v>306</v>
      </c>
    </row>
    <row r="532" spans="1:11">
      <c r="A532">
        <v>44253</v>
      </c>
      <c r="B532" t="s">
        <v>658</v>
      </c>
      <c r="C532">
        <v>44252</v>
      </c>
      <c r="D532" t="s">
        <v>659</v>
      </c>
      <c r="E532" t="s">
        <v>663</v>
      </c>
      <c r="F532" t="s">
        <v>264</v>
      </c>
      <c r="G532" t="s">
        <v>661</v>
      </c>
      <c r="H532"/>
      <c r="I532"/>
      <c r="J532"/>
      <c r="K532" t="s">
        <v>306</v>
      </c>
    </row>
    <row r="533" spans="1:11">
      <c r="A533">
        <v>44253</v>
      </c>
      <c r="B533" t="s">
        <v>658</v>
      </c>
      <c r="C533">
        <v>44252</v>
      </c>
      <c r="D533" t="s">
        <v>659</v>
      </c>
      <c r="E533" t="s">
        <v>664</v>
      </c>
      <c r="F533" t="s">
        <v>264</v>
      </c>
      <c r="G533" t="s">
        <v>661</v>
      </c>
      <c r="H533"/>
      <c r="I533"/>
      <c r="J533"/>
      <c r="K533" t="s">
        <v>276</v>
      </c>
    </row>
    <row r="534" spans="1:11">
      <c r="A534">
        <v>44253</v>
      </c>
      <c r="B534" t="s">
        <v>658</v>
      </c>
      <c r="C534">
        <v>44252</v>
      </c>
      <c r="D534" t="s">
        <v>659</v>
      </c>
      <c r="E534" t="s">
        <v>665</v>
      </c>
      <c r="F534" t="s">
        <v>264</v>
      </c>
      <c r="G534" t="s">
        <v>661</v>
      </c>
      <c r="H534"/>
      <c r="I534"/>
      <c r="J534"/>
      <c r="K534" t="s">
        <v>276</v>
      </c>
    </row>
    <row r="535" spans="1:11">
      <c r="A535">
        <v>44253</v>
      </c>
      <c r="B535" t="s">
        <v>658</v>
      </c>
      <c r="C535">
        <v>44252</v>
      </c>
      <c r="D535" t="s">
        <v>659</v>
      </c>
      <c r="E535" t="s">
        <v>666</v>
      </c>
      <c r="F535" t="s">
        <v>264</v>
      </c>
      <c r="G535" t="s">
        <v>661</v>
      </c>
      <c r="H535"/>
      <c r="I535"/>
      <c r="J535"/>
      <c r="K535" t="s">
        <v>300</v>
      </c>
    </row>
    <row r="536" spans="1:11">
      <c r="A536">
        <v>44253</v>
      </c>
      <c r="B536" t="s">
        <v>658</v>
      </c>
      <c r="C536">
        <v>44252</v>
      </c>
      <c r="D536" t="s">
        <v>659</v>
      </c>
      <c r="E536" t="s">
        <v>667</v>
      </c>
      <c r="F536" t="s">
        <v>264</v>
      </c>
      <c r="G536" t="s">
        <v>661</v>
      </c>
      <c r="H536"/>
      <c r="I536"/>
      <c r="J536"/>
      <c r="K536" t="s">
        <v>342</v>
      </c>
    </row>
    <row r="537" spans="1:11">
      <c r="A537">
        <v>44253</v>
      </c>
      <c r="B537" t="s">
        <v>658</v>
      </c>
      <c r="C537">
        <v>44252</v>
      </c>
      <c r="D537" t="s">
        <v>659</v>
      </c>
      <c r="E537" t="s">
        <v>668</v>
      </c>
      <c r="F537" t="s">
        <v>264</v>
      </c>
      <c r="G537" t="s">
        <v>661</v>
      </c>
      <c r="H537"/>
      <c r="I537"/>
      <c r="J537"/>
      <c r="K537" t="s">
        <v>288</v>
      </c>
    </row>
    <row r="538" spans="1:11">
      <c r="A538">
        <v>44253</v>
      </c>
      <c r="B538" t="s">
        <v>658</v>
      </c>
      <c r="C538">
        <v>44252</v>
      </c>
      <c r="D538" t="s">
        <v>659</v>
      </c>
      <c r="E538" t="s">
        <v>669</v>
      </c>
      <c r="F538" t="s">
        <v>264</v>
      </c>
      <c r="G538" t="s">
        <v>661</v>
      </c>
      <c r="H538"/>
      <c r="I538"/>
      <c r="J538"/>
      <c r="K538" t="s">
        <v>288</v>
      </c>
    </row>
    <row r="539" spans="1:11">
      <c r="A539">
        <v>44253</v>
      </c>
      <c r="B539" t="s">
        <v>658</v>
      </c>
      <c r="C539">
        <v>44252</v>
      </c>
      <c r="D539" t="s">
        <v>659</v>
      </c>
      <c r="E539" t="s">
        <v>670</v>
      </c>
      <c r="F539" t="s">
        <v>264</v>
      </c>
      <c r="G539" t="s">
        <v>661</v>
      </c>
      <c r="H539"/>
      <c r="I539"/>
      <c r="J539"/>
      <c r="K539" t="s">
        <v>291</v>
      </c>
    </row>
    <row r="540" spans="1:11">
      <c r="A540">
        <v>44253</v>
      </c>
      <c r="B540" t="s">
        <v>658</v>
      </c>
      <c r="C540">
        <v>44252</v>
      </c>
      <c r="D540" t="s">
        <v>659</v>
      </c>
      <c r="E540" t="s">
        <v>671</v>
      </c>
      <c r="F540" t="s">
        <v>264</v>
      </c>
      <c r="G540" t="s">
        <v>661</v>
      </c>
      <c r="H540"/>
      <c r="I540"/>
      <c r="J540"/>
      <c r="K540" t="s">
        <v>300</v>
      </c>
    </row>
    <row r="541" spans="1:11">
      <c r="A541">
        <v>44253</v>
      </c>
      <c r="B541" t="s">
        <v>658</v>
      </c>
      <c r="C541">
        <v>44252</v>
      </c>
      <c r="D541" t="s">
        <v>659</v>
      </c>
      <c r="E541" t="s">
        <v>672</v>
      </c>
      <c r="F541" t="s">
        <v>264</v>
      </c>
      <c r="G541" t="s">
        <v>661</v>
      </c>
      <c r="H541"/>
      <c r="I541"/>
      <c r="J541"/>
      <c r="K541" t="s">
        <v>312</v>
      </c>
    </row>
    <row r="542" spans="1:11">
      <c r="A542">
        <v>44253</v>
      </c>
      <c r="B542" t="s">
        <v>658</v>
      </c>
      <c r="C542">
        <v>44252</v>
      </c>
      <c r="D542" t="s">
        <v>659</v>
      </c>
      <c r="E542" t="s">
        <v>673</v>
      </c>
      <c r="F542" t="s">
        <v>264</v>
      </c>
      <c r="G542" t="s">
        <v>661</v>
      </c>
      <c r="H542"/>
      <c r="I542"/>
      <c r="J542"/>
      <c r="K542" t="s">
        <v>274</v>
      </c>
    </row>
    <row r="543" spans="1:11">
      <c r="A543">
        <v>44253</v>
      </c>
      <c r="B543" t="s">
        <v>658</v>
      </c>
      <c r="C543">
        <v>44252</v>
      </c>
      <c r="D543" t="s">
        <v>659</v>
      </c>
      <c r="E543" t="s">
        <v>674</v>
      </c>
      <c r="F543" t="s">
        <v>264</v>
      </c>
      <c r="G543" t="s">
        <v>661</v>
      </c>
      <c r="H543"/>
      <c r="I543"/>
      <c r="J543"/>
      <c r="K543" t="s">
        <v>274</v>
      </c>
    </row>
    <row r="544" spans="1:11">
      <c r="A544">
        <v>44253</v>
      </c>
      <c r="B544" t="s">
        <v>658</v>
      </c>
      <c r="C544">
        <v>44252</v>
      </c>
      <c r="D544" t="s">
        <v>659</v>
      </c>
      <c r="E544" t="s">
        <v>675</v>
      </c>
      <c r="F544" t="s">
        <v>264</v>
      </c>
      <c r="G544" t="s">
        <v>661</v>
      </c>
      <c r="H544"/>
      <c r="I544"/>
      <c r="J544"/>
      <c r="K544" t="s">
        <v>266</v>
      </c>
    </row>
    <row r="545" spans="1:11">
      <c r="A545">
        <v>44253</v>
      </c>
      <c r="B545" t="s">
        <v>658</v>
      </c>
      <c r="C545">
        <v>44252</v>
      </c>
      <c r="D545" t="s">
        <v>659</v>
      </c>
      <c r="E545" t="s">
        <v>676</v>
      </c>
      <c r="F545" t="s">
        <v>264</v>
      </c>
      <c r="G545" t="s">
        <v>661</v>
      </c>
      <c r="H545"/>
      <c r="I545"/>
      <c r="J545"/>
      <c r="K545" t="s">
        <v>266</v>
      </c>
    </row>
    <row r="546" spans="1:11">
      <c r="A546">
        <v>44253</v>
      </c>
      <c r="B546" t="s">
        <v>658</v>
      </c>
      <c r="C546">
        <v>44252</v>
      </c>
      <c r="D546" t="s">
        <v>659</v>
      </c>
      <c r="E546" t="s">
        <v>677</v>
      </c>
      <c r="F546" t="s">
        <v>264</v>
      </c>
      <c r="G546" t="s">
        <v>661</v>
      </c>
      <c r="H546"/>
      <c r="I546"/>
      <c r="J546"/>
      <c r="K546" t="s">
        <v>342</v>
      </c>
    </row>
    <row r="547" spans="1:11">
      <c r="A547">
        <v>44253</v>
      </c>
      <c r="B547" t="s">
        <v>658</v>
      </c>
      <c r="C547">
        <v>44252</v>
      </c>
      <c r="D547" t="s">
        <v>659</v>
      </c>
      <c r="E547" t="s">
        <v>678</v>
      </c>
      <c r="F547" t="s">
        <v>264</v>
      </c>
      <c r="G547" t="s">
        <v>661</v>
      </c>
      <c r="H547"/>
      <c r="I547"/>
      <c r="J547"/>
      <c r="K547" t="s">
        <v>302</v>
      </c>
    </row>
    <row r="548" spans="1:11">
      <c r="A548">
        <v>44253</v>
      </c>
      <c r="B548" t="s">
        <v>658</v>
      </c>
      <c r="C548">
        <v>44252</v>
      </c>
      <c r="D548" t="s">
        <v>659</v>
      </c>
      <c r="E548" t="s">
        <v>679</v>
      </c>
      <c r="F548" t="s">
        <v>264</v>
      </c>
      <c r="G548" t="s">
        <v>661</v>
      </c>
      <c r="H548"/>
      <c r="I548"/>
      <c r="J548"/>
      <c r="K548" t="s">
        <v>302</v>
      </c>
    </row>
    <row r="549" spans="1:11">
      <c r="A549">
        <v>44253</v>
      </c>
      <c r="B549" t="s">
        <v>658</v>
      </c>
      <c r="C549">
        <v>44252</v>
      </c>
      <c r="D549" t="s">
        <v>659</v>
      </c>
      <c r="E549" t="s">
        <v>680</v>
      </c>
      <c r="F549" t="s">
        <v>264</v>
      </c>
      <c r="G549" t="s">
        <v>661</v>
      </c>
      <c r="H549"/>
      <c r="I549"/>
      <c r="J549"/>
      <c r="K549" t="s">
        <v>291</v>
      </c>
    </row>
    <row r="550" spans="1:11">
      <c r="A550">
        <v>44253</v>
      </c>
      <c r="B550" t="s">
        <v>658</v>
      </c>
      <c r="C550">
        <v>44252</v>
      </c>
      <c r="D550" t="s">
        <v>659</v>
      </c>
      <c r="E550" t="s">
        <v>681</v>
      </c>
      <c r="F550" t="s">
        <v>264</v>
      </c>
      <c r="G550" t="s">
        <v>661</v>
      </c>
      <c r="H550"/>
      <c r="I550"/>
      <c r="J550"/>
      <c r="K550" t="s">
        <v>268</v>
      </c>
    </row>
    <row r="551" spans="1:11">
      <c r="A551">
        <v>44253</v>
      </c>
      <c r="B551" t="s">
        <v>658</v>
      </c>
      <c r="C551">
        <v>44252</v>
      </c>
      <c r="D551" t="s">
        <v>659</v>
      </c>
      <c r="E551" t="s">
        <v>682</v>
      </c>
      <c r="F551" t="s">
        <v>264</v>
      </c>
      <c r="G551" t="s">
        <v>661</v>
      </c>
      <c r="H551"/>
      <c r="I551"/>
      <c r="J551"/>
      <c r="K551" t="s">
        <v>308</v>
      </c>
    </row>
    <row r="552" spans="1:11">
      <c r="A552">
        <v>44253</v>
      </c>
      <c r="B552" t="s">
        <v>658</v>
      </c>
      <c r="C552">
        <v>44252</v>
      </c>
      <c r="D552" t="s">
        <v>659</v>
      </c>
      <c r="E552" t="s">
        <v>683</v>
      </c>
      <c r="F552" t="s">
        <v>264</v>
      </c>
      <c r="G552" t="s">
        <v>661</v>
      </c>
      <c r="H552"/>
      <c r="I552"/>
      <c r="J552"/>
      <c r="K552" t="s">
        <v>268</v>
      </c>
    </row>
    <row r="553" spans="1:11">
      <c r="A553">
        <v>44253</v>
      </c>
      <c r="B553" t="s">
        <v>658</v>
      </c>
      <c r="C553">
        <v>44252</v>
      </c>
      <c r="D553" t="s">
        <v>659</v>
      </c>
      <c r="E553" t="s">
        <v>684</v>
      </c>
      <c r="F553" t="s">
        <v>264</v>
      </c>
      <c r="G553" t="s">
        <v>661</v>
      </c>
      <c r="H553"/>
      <c r="I553"/>
      <c r="J553"/>
      <c r="K553" t="s">
        <v>310</v>
      </c>
    </row>
    <row r="554" spans="1:11">
      <c r="A554">
        <v>44253</v>
      </c>
      <c r="B554" t="s">
        <v>658</v>
      </c>
      <c r="C554">
        <v>44252</v>
      </c>
      <c r="D554" t="s">
        <v>659</v>
      </c>
      <c r="E554" t="s">
        <v>685</v>
      </c>
      <c r="F554" t="s">
        <v>264</v>
      </c>
      <c r="G554" t="s">
        <v>661</v>
      </c>
      <c r="H554"/>
      <c r="I554"/>
      <c r="J554"/>
      <c r="K554" t="s">
        <v>304</v>
      </c>
    </row>
    <row r="555" spans="1:11">
      <c r="A555">
        <v>44253</v>
      </c>
      <c r="B555" t="s">
        <v>658</v>
      </c>
      <c r="C555">
        <v>44252</v>
      </c>
      <c r="D555" t="s">
        <v>659</v>
      </c>
      <c r="E555" t="s">
        <v>686</v>
      </c>
      <c r="F555" t="s">
        <v>264</v>
      </c>
      <c r="G555" t="s">
        <v>661</v>
      </c>
      <c r="H555"/>
      <c r="I555"/>
      <c r="J555"/>
      <c r="K555" t="s">
        <v>314</v>
      </c>
    </row>
    <row r="556" spans="1:11">
      <c r="A556">
        <v>44253</v>
      </c>
      <c r="B556" t="s">
        <v>658</v>
      </c>
      <c r="C556">
        <v>44252</v>
      </c>
      <c r="D556" t="s">
        <v>659</v>
      </c>
      <c r="E556" t="s">
        <v>687</v>
      </c>
      <c r="F556" t="s">
        <v>264</v>
      </c>
      <c r="G556" t="s">
        <v>661</v>
      </c>
      <c r="H556"/>
      <c r="I556"/>
      <c r="J556"/>
      <c r="K556" t="s">
        <v>272</v>
      </c>
    </row>
    <row r="557" spans="1:11">
      <c r="A557">
        <v>44253</v>
      </c>
      <c r="B557" t="s">
        <v>658</v>
      </c>
      <c r="C557">
        <v>44252</v>
      </c>
      <c r="D557" t="s">
        <v>659</v>
      </c>
      <c r="E557" t="s">
        <v>688</v>
      </c>
      <c r="F557" t="s">
        <v>264</v>
      </c>
      <c r="G557" t="s">
        <v>661</v>
      </c>
      <c r="H557"/>
      <c r="I557"/>
      <c r="J557"/>
      <c r="K557" t="s">
        <v>272</v>
      </c>
    </row>
    <row r="558" spans="1:11">
      <c r="A558">
        <v>44253</v>
      </c>
      <c r="B558" t="s">
        <v>658</v>
      </c>
      <c r="C558">
        <v>44252</v>
      </c>
      <c r="D558" t="s">
        <v>659</v>
      </c>
      <c r="E558" t="s">
        <v>689</v>
      </c>
      <c r="F558" t="s">
        <v>264</v>
      </c>
      <c r="G558" t="s">
        <v>661</v>
      </c>
      <c r="H558"/>
      <c r="I558"/>
      <c r="J558"/>
      <c r="K558" t="s">
        <v>304</v>
      </c>
    </row>
    <row r="559" spans="1:11">
      <c r="A559">
        <v>44253</v>
      </c>
      <c r="B559" t="s">
        <v>658</v>
      </c>
      <c r="C559">
        <v>44252</v>
      </c>
      <c r="D559" t="s">
        <v>659</v>
      </c>
      <c r="E559" t="s">
        <v>690</v>
      </c>
      <c r="F559" t="s">
        <v>264</v>
      </c>
      <c r="G559" t="s">
        <v>661</v>
      </c>
      <c r="H559"/>
      <c r="I559"/>
      <c r="J559"/>
      <c r="K559" t="s">
        <v>314</v>
      </c>
    </row>
    <row r="560" spans="1:11">
      <c r="A560">
        <v>44253</v>
      </c>
      <c r="B560" t="s">
        <v>658</v>
      </c>
      <c r="C560">
        <v>44252</v>
      </c>
      <c r="D560" t="s">
        <v>659</v>
      </c>
      <c r="E560" t="s">
        <v>691</v>
      </c>
      <c r="F560" t="s">
        <v>264</v>
      </c>
      <c r="G560" t="s">
        <v>661</v>
      </c>
      <c r="H560"/>
      <c r="I560"/>
      <c r="J560"/>
      <c r="K560" t="s">
        <v>317</v>
      </c>
    </row>
    <row r="561" spans="1:11">
      <c r="A561">
        <v>44253</v>
      </c>
      <c r="B561" t="s">
        <v>658</v>
      </c>
      <c r="C561">
        <v>44252</v>
      </c>
      <c r="D561" t="s">
        <v>659</v>
      </c>
      <c r="E561" t="s">
        <v>692</v>
      </c>
      <c r="F561" t="s">
        <v>264</v>
      </c>
      <c r="G561" t="s">
        <v>661</v>
      </c>
      <c r="H561"/>
      <c r="I561"/>
      <c r="J561"/>
      <c r="K561" t="s">
        <v>270</v>
      </c>
    </row>
    <row r="562" spans="1:11">
      <c r="A562">
        <v>44253</v>
      </c>
      <c r="B562" t="s">
        <v>658</v>
      </c>
      <c r="C562">
        <v>44252</v>
      </c>
      <c r="D562" t="s">
        <v>659</v>
      </c>
      <c r="E562" t="s">
        <v>693</v>
      </c>
      <c r="F562" t="s">
        <v>264</v>
      </c>
      <c r="G562" t="s">
        <v>661</v>
      </c>
      <c r="H562"/>
      <c r="I562"/>
      <c r="J562"/>
      <c r="K562" t="s">
        <v>281</v>
      </c>
    </row>
    <row r="563" spans="1:11">
      <c r="A563">
        <v>44253</v>
      </c>
      <c r="B563" t="s">
        <v>658</v>
      </c>
      <c r="C563">
        <v>44252</v>
      </c>
      <c r="D563" t="s">
        <v>659</v>
      </c>
      <c r="E563" t="s">
        <v>694</v>
      </c>
      <c r="F563" t="s">
        <v>264</v>
      </c>
      <c r="G563" t="s">
        <v>661</v>
      </c>
      <c r="H563"/>
      <c r="I563"/>
      <c r="J563"/>
      <c r="K563" t="s">
        <v>278</v>
      </c>
    </row>
    <row r="564" spans="1:11">
      <c r="A564">
        <v>44253</v>
      </c>
      <c r="B564" t="s">
        <v>658</v>
      </c>
      <c r="C564">
        <v>44252</v>
      </c>
      <c r="D564" t="s">
        <v>659</v>
      </c>
      <c r="E564" t="s">
        <v>695</v>
      </c>
      <c r="F564" t="s">
        <v>264</v>
      </c>
      <c r="G564" t="s">
        <v>661</v>
      </c>
      <c r="H564"/>
      <c r="I564"/>
      <c r="J564"/>
      <c r="K564" t="s">
        <v>310</v>
      </c>
    </row>
    <row r="565" spans="1:11">
      <c r="A565">
        <v>44253</v>
      </c>
      <c r="B565" t="s">
        <v>658</v>
      </c>
      <c r="C565">
        <v>44252</v>
      </c>
      <c r="D565" t="s">
        <v>659</v>
      </c>
      <c r="E565" t="s">
        <v>696</v>
      </c>
      <c r="F565" t="s">
        <v>264</v>
      </c>
      <c r="G565" t="s">
        <v>661</v>
      </c>
      <c r="H565"/>
      <c r="I565"/>
      <c r="J565"/>
      <c r="K565" t="s">
        <v>317</v>
      </c>
    </row>
    <row r="566" spans="1:11">
      <c r="A566">
        <v>44253</v>
      </c>
      <c r="B566" t="s">
        <v>658</v>
      </c>
      <c r="C566">
        <v>44252</v>
      </c>
      <c r="D566" t="s">
        <v>659</v>
      </c>
      <c r="E566" t="s">
        <v>697</v>
      </c>
      <c r="F566" t="s">
        <v>264</v>
      </c>
      <c r="G566" t="s">
        <v>661</v>
      </c>
      <c r="H566"/>
      <c r="I566"/>
      <c r="J566"/>
      <c r="K566" t="s">
        <v>308</v>
      </c>
    </row>
    <row r="567" spans="1:11">
      <c r="A567">
        <v>44253</v>
      </c>
      <c r="B567" t="s">
        <v>658</v>
      </c>
      <c r="C567">
        <v>44252</v>
      </c>
      <c r="D567" t="s">
        <v>659</v>
      </c>
      <c r="E567" t="s">
        <v>698</v>
      </c>
      <c r="F567" t="s">
        <v>264</v>
      </c>
      <c r="G567" t="s">
        <v>661</v>
      </c>
      <c r="H567"/>
      <c r="I567"/>
      <c r="J567"/>
      <c r="K567" t="s">
        <v>270</v>
      </c>
    </row>
    <row r="568" spans="1:11">
      <c r="A568">
        <v>44253</v>
      </c>
      <c r="B568" t="s">
        <v>658</v>
      </c>
      <c r="C568">
        <v>44252</v>
      </c>
      <c r="D568" t="s">
        <v>659</v>
      </c>
      <c r="E568" t="s">
        <v>699</v>
      </c>
      <c r="F568" t="s">
        <v>264</v>
      </c>
      <c r="G568" t="s">
        <v>661</v>
      </c>
      <c r="H568"/>
      <c r="I568"/>
      <c r="J568"/>
      <c r="K568" t="s">
        <v>281</v>
      </c>
    </row>
    <row r="569" spans="1:11">
      <c r="A569">
        <v>44253</v>
      </c>
      <c r="B569" t="s">
        <v>658</v>
      </c>
      <c r="C569">
        <v>44252</v>
      </c>
      <c r="D569" t="s">
        <v>659</v>
      </c>
      <c r="E569" t="s">
        <v>700</v>
      </c>
      <c r="F569" t="s">
        <v>264</v>
      </c>
      <c r="G569" t="s">
        <v>661</v>
      </c>
      <c r="H569"/>
      <c r="I569"/>
      <c r="J569"/>
      <c r="K569" t="s">
        <v>278</v>
      </c>
    </row>
    <row r="570" spans="1:11">
      <c r="A570">
        <v>44242</v>
      </c>
      <c r="B570">
        <v>947658667343</v>
      </c>
      <c r="C570">
        <v>44238</v>
      </c>
      <c r="D570" t="s">
        <v>701</v>
      </c>
      <c r="E570" t="s">
        <v>702</v>
      </c>
      <c r="F570" t="s">
        <v>113</v>
      </c>
      <c r="G570">
        <v>2102733</v>
      </c>
      <c r="H570"/>
      <c r="I570"/>
      <c r="J570"/>
      <c r="K570" t="s">
        <v>703</v>
      </c>
    </row>
    <row r="571" spans="1:11">
      <c r="A571">
        <v>44242</v>
      </c>
      <c r="B571">
        <v>947658667343</v>
      </c>
      <c r="C571">
        <v>44238</v>
      </c>
      <c r="D571" t="s">
        <v>701</v>
      </c>
      <c r="E571" t="s">
        <v>704</v>
      </c>
      <c r="F571" t="s">
        <v>113</v>
      </c>
      <c r="G571">
        <v>2102733</v>
      </c>
      <c r="H571"/>
      <c r="I571"/>
      <c r="J571"/>
      <c r="K571" t="s">
        <v>703</v>
      </c>
    </row>
    <row r="572" spans="1:11">
      <c r="A572">
        <v>44246</v>
      </c>
      <c r="B572">
        <v>23104902326</v>
      </c>
      <c r="C572">
        <v>44245</v>
      </c>
      <c r="D572" t="s">
        <v>705</v>
      </c>
      <c r="E572" t="s">
        <v>706</v>
      </c>
      <c r="F572" t="s">
        <v>264</v>
      </c>
      <c r="G572" t="s">
        <v>707</v>
      </c>
      <c r="H572"/>
      <c r="I572"/>
      <c r="J572"/>
      <c r="K572" t="s">
        <v>703</v>
      </c>
    </row>
    <row r="573" spans="1:11">
      <c r="A573">
        <v>44246</v>
      </c>
      <c r="B573">
        <v>23104902326</v>
      </c>
      <c r="C573">
        <v>44245</v>
      </c>
      <c r="D573" t="s">
        <v>708</v>
      </c>
      <c r="E573" t="s">
        <v>709</v>
      </c>
      <c r="F573" t="s">
        <v>264</v>
      </c>
      <c r="G573" t="s">
        <v>707</v>
      </c>
      <c r="H573"/>
      <c r="I573"/>
      <c r="J573"/>
      <c r="K573" t="s">
        <v>703</v>
      </c>
    </row>
    <row r="574" spans="1:11">
      <c r="A574">
        <v>44249</v>
      </c>
      <c r="B574" t="s">
        <v>223</v>
      </c>
      <c r="C574">
        <v>44246</v>
      </c>
      <c r="D574" t="s">
        <v>710</v>
      </c>
      <c r="E574" t="s">
        <v>711</v>
      </c>
      <c r="F574" t="s">
        <v>712</v>
      </c>
      <c r="G574">
        <v>931183024</v>
      </c>
      <c r="H574"/>
      <c r="I574"/>
      <c r="J574"/>
      <c r="K574" t="s">
        <v>703</v>
      </c>
    </row>
    <row r="575" spans="1:11">
      <c r="A575">
        <v>44249</v>
      </c>
      <c r="B575" t="s">
        <v>223</v>
      </c>
      <c r="C575">
        <v>44246</v>
      </c>
      <c r="D575" t="s">
        <v>710</v>
      </c>
      <c r="E575" t="s">
        <v>713</v>
      </c>
      <c r="F575" t="s">
        <v>712</v>
      </c>
      <c r="G575">
        <v>931183024</v>
      </c>
      <c r="H575"/>
      <c r="I575"/>
      <c r="J575"/>
      <c r="K575" t="s">
        <v>703</v>
      </c>
    </row>
    <row r="576" spans="1:11">
      <c r="A576">
        <v>44249</v>
      </c>
      <c r="B576" t="s">
        <v>223</v>
      </c>
      <c r="C576">
        <v>44246</v>
      </c>
      <c r="D576" t="s">
        <v>714</v>
      </c>
      <c r="E576" t="s">
        <v>715</v>
      </c>
      <c r="F576" t="s">
        <v>712</v>
      </c>
      <c r="G576">
        <v>931183025</v>
      </c>
      <c r="H576"/>
      <c r="I576"/>
      <c r="J576"/>
      <c r="K576" t="s">
        <v>703</v>
      </c>
    </row>
    <row r="577" spans="1:11">
      <c r="A577"/>
      <c r="B577"/>
      <c r="C577"/>
      <c r="D577" t="s">
        <v>716</v>
      </c>
      <c r="E577" t="s">
        <v>717</v>
      </c>
      <c r="F577"/>
      <c r="G577"/>
      <c r="H577"/>
      <c r="I577"/>
      <c r="J577"/>
      <c r="K577" t="s">
        <v>703</v>
      </c>
    </row>
    <row r="578" spans="1:11">
      <c r="A578"/>
      <c r="B578"/>
      <c r="C578"/>
      <c r="D578" t="s">
        <v>650</v>
      </c>
      <c r="E578" t="s">
        <v>718</v>
      </c>
      <c r="F578"/>
      <c r="G578"/>
      <c r="H578"/>
      <c r="I578"/>
      <c r="J578"/>
      <c r="K578" t="s">
        <v>703</v>
      </c>
    </row>
    <row r="579" spans="1:11">
      <c r="A579"/>
      <c r="B579"/>
      <c r="C579"/>
      <c r="D579" t="s">
        <v>650</v>
      </c>
      <c r="E579" t="s">
        <v>719</v>
      </c>
      <c r="F579"/>
      <c r="G579"/>
      <c r="H579"/>
      <c r="I579"/>
      <c r="J579"/>
      <c r="K579" t="s">
        <v>703</v>
      </c>
    </row>
    <row r="580" spans="1:11">
      <c r="A580"/>
      <c r="B580"/>
      <c r="C580"/>
      <c r="D580" t="s">
        <v>655</v>
      </c>
      <c r="E580" t="s">
        <v>720</v>
      </c>
      <c r="F580"/>
      <c r="G580"/>
      <c r="H580"/>
      <c r="I580"/>
      <c r="J580"/>
      <c r="K580" t="s">
        <v>703</v>
      </c>
    </row>
    <row r="581" spans="1:11">
      <c r="A581"/>
      <c r="B581"/>
      <c r="C581"/>
      <c r="D581" t="s">
        <v>721</v>
      </c>
      <c r="E581" t="s">
        <v>722</v>
      </c>
      <c r="F581"/>
      <c r="G581"/>
      <c r="H581"/>
      <c r="I581"/>
      <c r="J581"/>
      <c r="K581" t="s">
        <v>703</v>
      </c>
    </row>
    <row r="582" spans="1:11">
      <c r="A582">
        <v>44246</v>
      </c>
      <c r="B582">
        <v>23104902326</v>
      </c>
      <c r="C582">
        <v>44245</v>
      </c>
      <c r="D582" t="s">
        <v>705</v>
      </c>
      <c r="E582" t="s">
        <v>724</v>
      </c>
      <c r="F582" t="s">
        <v>264</v>
      </c>
      <c r="G582" t="s">
        <v>707</v>
      </c>
      <c r="H582"/>
      <c r="I582"/>
      <c r="J582"/>
      <c r="K582" t="s">
        <v>723</v>
      </c>
    </row>
    <row r="583" spans="1:11">
      <c r="A583">
        <v>44246</v>
      </c>
      <c r="B583">
        <v>23104902326</v>
      </c>
      <c r="C583">
        <v>44245</v>
      </c>
      <c r="D583" t="s">
        <v>708</v>
      </c>
      <c r="E583" t="s">
        <v>725</v>
      </c>
      <c r="F583" t="s">
        <v>264</v>
      </c>
      <c r="G583" t="s">
        <v>707</v>
      </c>
      <c r="H583"/>
      <c r="I583"/>
      <c r="J583"/>
      <c r="K583" t="s">
        <v>723</v>
      </c>
    </row>
    <row r="584" spans="1:11">
      <c r="A584">
        <v>44249</v>
      </c>
      <c r="B584" t="s">
        <v>223</v>
      </c>
      <c r="C584">
        <v>44246</v>
      </c>
      <c r="D584" t="s">
        <v>710</v>
      </c>
      <c r="E584" t="s">
        <v>726</v>
      </c>
      <c r="F584" t="s">
        <v>712</v>
      </c>
      <c r="G584">
        <v>931183024</v>
      </c>
      <c r="H584"/>
      <c r="I584"/>
      <c r="J584"/>
      <c r="K584" t="s">
        <v>723</v>
      </c>
    </row>
    <row r="585" spans="1:11">
      <c r="A585">
        <v>44249</v>
      </c>
      <c r="B585" t="s">
        <v>223</v>
      </c>
      <c r="C585">
        <v>44246</v>
      </c>
      <c r="D585" t="s">
        <v>710</v>
      </c>
      <c r="E585" t="s">
        <v>727</v>
      </c>
      <c r="F585" t="s">
        <v>712</v>
      </c>
      <c r="G585">
        <v>931183024</v>
      </c>
      <c r="H585"/>
      <c r="I585"/>
      <c r="J585"/>
      <c r="K585" t="s">
        <v>723</v>
      </c>
    </row>
    <row r="586" spans="1:11">
      <c r="A586">
        <v>44249</v>
      </c>
      <c r="B586" t="s">
        <v>223</v>
      </c>
      <c r="C586">
        <v>44246</v>
      </c>
      <c r="D586" t="s">
        <v>714</v>
      </c>
      <c r="E586" t="s">
        <v>728</v>
      </c>
      <c r="F586" t="s">
        <v>712</v>
      </c>
      <c r="G586">
        <v>931183025</v>
      </c>
      <c r="H586"/>
      <c r="I586"/>
      <c r="J586"/>
      <c r="K586" t="s">
        <v>723</v>
      </c>
    </row>
    <row r="587" spans="1:11">
      <c r="A587">
        <v>44250</v>
      </c>
      <c r="B587">
        <v>947658711126</v>
      </c>
      <c r="C587">
        <v>44246</v>
      </c>
      <c r="D587" t="s">
        <v>701</v>
      </c>
      <c r="E587" t="s">
        <v>729</v>
      </c>
      <c r="F587" t="s">
        <v>113</v>
      </c>
      <c r="G587">
        <v>2103365</v>
      </c>
      <c r="H587"/>
      <c r="I587"/>
      <c r="J587"/>
      <c r="K587" t="s">
        <v>723</v>
      </c>
    </row>
    <row r="588" spans="1:11">
      <c r="A588">
        <v>44250</v>
      </c>
      <c r="B588">
        <v>947658711126</v>
      </c>
      <c r="C588">
        <v>44246</v>
      </c>
      <c r="D588" t="s">
        <v>701</v>
      </c>
      <c r="E588" t="s">
        <v>730</v>
      </c>
      <c r="F588" t="s">
        <v>113</v>
      </c>
      <c r="G588">
        <v>2103365</v>
      </c>
      <c r="H588"/>
      <c r="I588"/>
      <c r="J588"/>
      <c r="K588" t="s">
        <v>723</v>
      </c>
    </row>
    <row r="589" spans="1:11">
      <c r="A589"/>
      <c r="B589"/>
      <c r="C589"/>
      <c r="D589" t="s">
        <v>716</v>
      </c>
      <c r="E589" t="s">
        <v>731</v>
      </c>
      <c r="F589"/>
      <c r="G589"/>
      <c r="H589"/>
      <c r="I589"/>
      <c r="J589"/>
      <c r="K589" t="s">
        <v>723</v>
      </c>
    </row>
    <row r="590" spans="1:11">
      <c r="A590"/>
      <c r="B590"/>
      <c r="C590"/>
      <c r="D590" t="s">
        <v>650</v>
      </c>
      <c r="E590" t="s">
        <v>733</v>
      </c>
      <c r="F590"/>
      <c r="G590"/>
      <c r="H590"/>
      <c r="I590"/>
      <c r="J590"/>
      <c r="K590" t="s">
        <v>723</v>
      </c>
    </row>
    <row r="591" spans="1:11">
      <c r="A591"/>
      <c r="B591"/>
      <c r="C591"/>
      <c r="D591" t="s">
        <v>650</v>
      </c>
      <c r="E591" t="s">
        <v>734</v>
      </c>
      <c r="F591"/>
      <c r="G591"/>
      <c r="H591"/>
      <c r="I591"/>
      <c r="J591"/>
      <c r="K591" t="s">
        <v>723</v>
      </c>
    </row>
    <row r="592" spans="1:11">
      <c r="A592"/>
      <c r="B592"/>
      <c r="C592"/>
      <c r="D592" t="s">
        <v>655</v>
      </c>
      <c r="E592" t="s">
        <v>735</v>
      </c>
      <c r="F592"/>
      <c r="G592"/>
      <c r="H592"/>
      <c r="I592"/>
      <c r="J592"/>
      <c r="K592" t="s">
        <v>723</v>
      </c>
    </row>
    <row r="593" spans="1:11">
      <c r="A593"/>
      <c r="B593"/>
      <c r="C593"/>
      <c r="D593" t="s">
        <v>721</v>
      </c>
      <c r="E593" t="s">
        <v>732</v>
      </c>
      <c r="F593"/>
      <c r="G593"/>
      <c r="H593"/>
      <c r="I593"/>
      <c r="J593"/>
      <c r="K593" t="s">
        <v>723</v>
      </c>
    </row>
    <row r="594" spans="1:11">
      <c r="A594">
        <v>44242</v>
      </c>
      <c r="B594" t="s">
        <v>737</v>
      </c>
      <c r="C594">
        <v>44239</v>
      </c>
      <c r="D594" t="s">
        <v>738</v>
      </c>
      <c r="E594" t="s">
        <v>739</v>
      </c>
      <c r="F594" t="s">
        <v>202</v>
      </c>
      <c r="G594" t="s">
        <v>740</v>
      </c>
      <c r="H594"/>
      <c r="I594"/>
      <c r="J594"/>
      <c r="K594" t="s">
        <v>736</v>
      </c>
    </row>
    <row r="595" spans="1:11">
      <c r="A595">
        <v>44242</v>
      </c>
      <c r="B595" t="s">
        <v>737</v>
      </c>
      <c r="C595">
        <v>44239</v>
      </c>
      <c r="D595" t="s">
        <v>738</v>
      </c>
      <c r="E595" t="s">
        <v>741</v>
      </c>
      <c r="F595" t="s">
        <v>202</v>
      </c>
      <c r="G595" t="s">
        <v>740</v>
      </c>
      <c r="H595"/>
      <c r="I595"/>
      <c r="J595"/>
      <c r="K595" t="s">
        <v>736</v>
      </c>
    </row>
    <row r="596" spans="1:11">
      <c r="A596">
        <v>44242</v>
      </c>
      <c r="B596" t="s">
        <v>737</v>
      </c>
      <c r="C596">
        <v>44239</v>
      </c>
      <c r="D596" t="s">
        <v>738</v>
      </c>
      <c r="E596" t="s">
        <v>742</v>
      </c>
      <c r="F596" t="s">
        <v>202</v>
      </c>
      <c r="G596" t="s">
        <v>740</v>
      </c>
      <c r="H596"/>
      <c r="I596"/>
      <c r="J596"/>
      <c r="K596" t="s">
        <v>736</v>
      </c>
    </row>
    <row r="597" spans="1:11">
      <c r="A597">
        <v>44242</v>
      </c>
      <c r="B597" t="s">
        <v>737</v>
      </c>
      <c r="C597">
        <v>44239</v>
      </c>
      <c r="D597" t="s">
        <v>738</v>
      </c>
      <c r="E597" t="s">
        <v>743</v>
      </c>
      <c r="F597" t="s">
        <v>202</v>
      </c>
      <c r="G597" t="s">
        <v>740</v>
      </c>
      <c r="H597"/>
      <c r="I597"/>
      <c r="J597"/>
      <c r="K597" t="s">
        <v>736</v>
      </c>
    </row>
    <row r="598" spans="1:11">
      <c r="A598">
        <v>44242</v>
      </c>
      <c r="B598" t="s">
        <v>737</v>
      </c>
      <c r="C598">
        <v>44239</v>
      </c>
      <c r="D598" t="s">
        <v>738</v>
      </c>
      <c r="E598" t="s">
        <v>744</v>
      </c>
      <c r="F598" t="s">
        <v>202</v>
      </c>
      <c r="G598" t="s">
        <v>740</v>
      </c>
      <c r="H598"/>
      <c r="I598"/>
      <c r="J598"/>
      <c r="K598" t="s">
        <v>736</v>
      </c>
    </row>
    <row r="599" spans="1:11">
      <c r="A599">
        <v>44242</v>
      </c>
      <c r="B599" t="s">
        <v>737</v>
      </c>
      <c r="C599">
        <v>44239</v>
      </c>
      <c r="D599" t="s">
        <v>738</v>
      </c>
      <c r="E599" t="s">
        <v>745</v>
      </c>
      <c r="F599" t="s">
        <v>202</v>
      </c>
      <c r="G599" t="s">
        <v>740</v>
      </c>
      <c r="H599"/>
      <c r="I599"/>
      <c r="J599"/>
      <c r="K599" t="s">
        <v>736</v>
      </c>
    </row>
    <row r="600" spans="1:11">
      <c r="A600">
        <v>44244</v>
      </c>
      <c r="B600" t="s">
        <v>746</v>
      </c>
      <c r="C600">
        <v>44242</v>
      </c>
      <c r="D600" t="s">
        <v>747</v>
      </c>
      <c r="E600" t="s">
        <v>748</v>
      </c>
      <c r="F600" t="s">
        <v>749</v>
      </c>
      <c r="G600" t="s">
        <v>750</v>
      </c>
      <c r="H600"/>
      <c r="I600"/>
      <c r="J600"/>
      <c r="K600" t="s">
        <v>736</v>
      </c>
    </row>
    <row r="601" spans="1:11">
      <c r="A601">
        <v>44246</v>
      </c>
      <c r="B601">
        <v>10811720195</v>
      </c>
      <c r="C601"/>
      <c r="D601" t="s">
        <v>751</v>
      </c>
      <c r="E601" t="s">
        <v>752</v>
      </c>
      <c r="F601" t="s">
        <v>753</v>
      </c>
      <c r="G601"/>
      <c r="H601"/>
      <c r="I601"/>
      <c r="J601"/>
      <c r="K601" t="s">
        <v>736</v>
      </c>
    </row>
    <row r="602" spans="1:11">
      <c r="A602">
        <v>44246</v>
      </c>
      <c r="B602">
        <v>10811720702</v>
      </c>
      <c r="C602">
        <v>44245</v>
      </c>
      <c r="D602" t="s">
        <v>754</v>
      </c>
      <c r="E602" t="s">
        <v>755</v>
      </c>
      <c r="F602" t="s">
        <v>753</v>
      </c>
      <c r="G602">
        <v>40008673</v>
      </c>
      <c r="H602"/>
      <c r="I602"/>
      <c r="J602"/>
      <c r="K602" t="s">
        <v>736</v>
      </c>
    </row>
    <row r="603" spans="1:11">
      <c r="A603">
        <v>44246</v>
      </c>
      <c r="B603">
        <v>10811720702</v>
      </c>
      <c r="C603">
        <v>44245</v>
      </c>
      <c r="D603" t="s">
        <v>756</v>
      </c>
      <c r="E603" t="s">
        <v>757</v>
      </c>
      <c r="F603" t="s">
        <v>753</v>
      </c>
      <c r="G603">
        <v>40008673</v>
      </c>
      <c r="H603"/>
      <c r="I603"/>
      <c r="J603"/>
      <c r="K603" t="s">
        <v>736</v>
      </c>
    </row>
    <row r="604" spans="1:11">
      <c r="A604">
        <v>44264</v>
      </c>
      <c r="B604">
        <v>773063360194</v>
      </c>
      <c r="C604">
        <v>44259</v>
      </c>
      <c r="D604" t="s">
        <v>758</v>
      </c>
      <c r="E604" t="s">
        <v>759</v>
      </c>
      <c r="F604" t="s">
        <v>210</v>
      </c>
      <c r="G604">
        <v>931193261</v>
      </c>
      <c r="H604"/>
      <c r="I604"/>
      <c r="J604"/>
      <c r="K604" t="s">
        <v>736</v>
      </c>
    </row>
    <row r="605" spans="1:11">
      <c r="A605"/>
      <c r="B605"/>
      <c r="C605"/>
      <c r="D605" t="s">
        <v>768</v>
      </c>
      <c r="E605" t="s">
        <v>760</v>
      </c>
      <c r="F605"/>
      <c r="G605"/>
      <c r="H605"/>
      <c r="I605"/>
      <c r="J605"/>
      <c r="K605" t="s">
        <v>736</v>
      </c>
    </row>
    <row r="606" spans="1:11">
      <c r="A606"/>
      <c r="B606"/>
      <c r="C606"/>
      <c r="D606" t="s">
        <v>582</v>
      </c>
      <c r="E606" t="s">
        <v>761</v>
      </c>
      <c r="F606"/>
      <c r="G606"/>
      <c r="H606"/>
      <c r="I606"/>
      <c r="J606"/>
      <c r="K606" t="s">
        <v>736</v>
      </c>
    </row>
    <row r="607" spans="1:11">
      <c r="A607"/>
      <c r="B607"/>
      <c r="C607"/>
      <c r="D607" t="s">
        <v>582</v>
      </c>
      <c r="E607" t="s">
        <v>762</v>
      </c>
      <c r="F607"/>
      <c r="G607"/>
      <c r="H607"/>
      <c r="I607"/>
      <c r="J607"/>
      <c r="K607" t="s">
        <v>736</v>
      </c>
    </row>
    <row r="608" spans="1:11">
      <c r="A608"/>
      <c r="B608"/>
      <c r="C608"/>
      <c r="D608" t="s">
        <v>772</v>
      </c>
      <c r="E608" t="s">
        <v>763</v>
      </c>
      <c r="F608"/>
      <c r="G608"/>
      <c r="H608"/>
      <c r="I608"/>
      <c r="J608"/>
      <c r="K608" t="s">
        <v>736</v>
      </c>
    </row>
    <row r="609" spans="1:11">
      <c r="A609"/>
      <c r="B609"/>
      <c r="C609"/>
      <c r="D609" t="s">
        <v>767</v>
      </c>
      <c r="E609" t="s">
        <v>764</v>
      </c>
      <c r="F609"/>
      <c r="G609"/>
      <c r="H609"/>
      <c r="I609"/>
      <c r="J609"/>
      <c r="K609" t="s">
        <v>736</v>
      </c>
    </row>
    <row r="610" spans="1:11">
      <c r="A610"/>
      <c r="B610"/>
      <c r="C610"/>
      <c r="D610" t="s">
        <v>773</v>
      </c>
      <c r="E610" t="s">
        <v>765</v>
      </c>
      <c r="F610"/>
      <c r="G610"/>
      <c r="H610"/>
      <c r="I610"/>
      <c r="J610"/>
      <c r="K610" t="s">
        <v>736</v>
      </c>
    </row>
    <row r="611" spans="1:11">
      <c r="A611"/>
      <c r="B611"/>
      <c r="C611"/>
      <c r="D611" t="s">
        <v>293</v>
      </c>
      <c r="E611" t="s">
        <v>766</v>
      </c>
      <c r="F611"/>
      <c r="G611"/>
      <c r="H611"/>
      <c r="I611"/>
      <c r="J611"/>
      <c r="K611" t="s">
        <v>736</v>
      </c>
    </row>
    <row r="612" spans="1:11">
      <c r="A612">
        <v>44230</v>
      </c>
      <c r="B612" t="s">
        <v>769</v>
      </c>
      <c r="C612"/>
      <c r="D612" t="s">
        <v>770</v>
      </c>
      <c r="E612" t="s">
        <v>771</v>
      </c>
      <c r="F612" t="s">
        <v>202</v>
      </c>
      <c r="G612"/>
      <c r="H612"/>
      <c r="I612"/>
      <c r="J612"/>
      <c r="K612" t="s">
        <v>736</v>
      </c>
    </row>
    <row r="613" spans="1:11">
      <c r="A613">
        <v>44246</v>
      </c>
      <c r="B613">
        <v>10811720702</v>
      </c>
      <c r="C613">
        <v>44245</v>
      </c>
      <c r="D613" t="s">
        <v>756</v>
      </c>
      <c r="E613" t="s">
        <v>774</v>
      </c>
      <c r="F613" t="s">
        <v>753</v>
      </c>
      <c r="G613">
        <v>40008673</v>
      </c>
      <c r="H613"/>
      <c r="I613"/>
      <c r="J613"/>
      <c r="K613" t="s">
        <v>775</v>
      </c>
    </row>
    <row r="614" spans="1:11">
      <c r="A614">
        <v>44253</v>
      </c>
      <c r="B614" t="s">
        <v>658</v>
      </c>
      <c r="C614">
        <v>44252</v>
      </c>
      <c r="D614" t="s">
        <v>705</v>
      </c>
      <c r="E614" t="s">
        <v>776</v>
      </c>
      <c r="F614" t="s">
        <v>264</v>
      </c>
      <c r="G614" t="s">
        <v>661</v>
      </c>
      <c r="H614"/>
      <c r="I614"/>
      <c r="J614"/>
      <c r="K614" t="s">
        <v>775</v>
      </c>
    </row>
    <row r="615" spans="1:11">
      <c r="A615">
        <v>44256</v>
      </c>
      <c r="B615" t="s">
        <v>223</v>
      </c>
      <c r="C615">
        <v>44253</v>
      </c>
      <c r="D615" t="s">
        <v>777</v>
      </c>
      <c r="E615" t="s">
        <v>778</v>
      </c>
      <c r="F615" t="s">
        <v>712</v>
      </c>
      <c r="G615">
        <v>931188884</v>
      </c>
      <c r="H615"/>
      <c r="I615"/>
      <c r="J615"/>
      <c r="K615" t="s">
        <v>775</v>
      </c>
    </row>
    <row r="616" spans="1:11">
      <c r="A616"/>
      <c r="B616"/>
      <c r="C616"/>
      <c r="D616" t="s">
        <v>779</v>
      </c>
      <c r="E616" t="s">
        <v>780</v>
      </c>
      <c r="F616"/>
      <c r="G616"/>
      <c r="H616"/>
      <c r="I616"/>
      <c r="J616"/>
      <c r="K616" t="s">
        <v>775</v>
      </c>
    </row>
    <row r="617" spans="1:11">
      <c r="A617"/>
      <c r="B617"/>
      <c r="C617"/>
      <c r="D617" t="s">
        <v>779</v>
      </c>
      <c r="E617" t="s">
        <v>781</v>
      </c>
      <c r="F617"/>
      <c r="G617"/>
      <c r="H617"/>
      <c r="I617"/>
      <c r="J617"/>
      <c r="K617" t="s">
        <v>775</v>
      </c>
    </row>
    <row r="618" spans="1:11">
      <c r="A618"/>
      <c r="B618"/>
      <c r="C618"/>
      <c r="D618" t="s">
        <v>782</v>
      </c>
      <c r="E618" t="s">
        <v>783</v>
      </c>
      <c r="F618"/>
      <c r="G618"/>
      <c r="H618"/>
      <c r="I618"/>
      <c r="J618"/>
      <c r="K618" t="s">
        <v>775</v>
      </c>
    </row>
    <row r="619" spans="1:11">
      <c r="A619">
        <v>44256</v>
      </c>
      <c r="B619" t="s">
        <v>223</v>
      </c>
      <c r="C619">
        <v>44253</v>
      </c>
      <c r="D619" t="s">
        <v>784</v>
      </c>
      <c r="E619" t="s">
        <v>785</v>
      </c>
      <c r="F619" t="s">
        <v>712</v>
      </c>
      <c r="G619">
        <v>931188884</v>
      </c>
      <c r="H619"/>
      <c r="I619"/>
      <c r="J619"/>
      <c r="K619" t="s">
        <v>775</v>
      </c>
    </row>
    <row r="620" spans="1:11">
      <c r="A620">
        <v>44256</v>
      </c>
      <c r="B620" t="s">
        <v>223</v>
      </c>
      <c r="C620">
        <v>44253</v>
      </c>
      <c r="D620" t="s">
        <v>786</v>
      </c>
      <c r="E620" t="s">
        <v>787</v>
      </c>
      <c r="F620" t="s">
        <v>712</v>
      </c>
      <c r="G620">
        <v>931188884</v>
      </c>
      <c r="H620"/>
      <c r="I620"/>
      <c r="J620"/>
      <c r="K620" t="s">
        <v>775</v>
      </c>
    </row>
    <row r="621" spans="1:11">
      <c r="A621">
        <v>44256</v>
      </c>
      <c r="B621" t="s">
        <v>223</v>
      </c>
      <c r="C621">
        <v>44253</v>
      </c>
      <c r="D621" t="s">
        <v>786</v>
      </c>
      <c r="E621" t="s">
        <v>788</v>
      </c>
      <c r="F621" t="s">
        <v>712</v>
      </c>
      <c r="G621">
        <v>931188884</v>
      </c>
      <c r="H621"/>
      <c r="I621"/>
      <c r="J621"/>
      <c r="K621" t="s">
        <v>775</v>
      </c>
    </row>
    <row r="622" spans="1:11">
      <c r="A622"/>
      <c r="B622"/>
      <c r="C622"/>
      <c r="D622" t="s">
        <v>789</v>
      </c>
      <c r="E622" t="s">
        <v>790</v>
      </c>
      <c r="F622"/>
      <c r="G622"/>
      <c r="H622"/>
      <c r="I622"/>
      <c r="J622"/>
      <c r="K622" t="s">
        <v>775</v>
      </c>
    </row>
    <row r="623" spans="1:11">
      <c r="A623"/>
      <c r="B623"/>
      <c r="C623"/>
      <c r="D623" t="s">
        <v>803</v>
      </c>
      <c r="E623" t="s">
        <v>791</v>
      </c>
      <c r="F623"/>
      <c r="G623"/>
      <c r="H623"/>
      <c r="I623"/>
      <c r="J623"/>
      <c r="K623" t="s">
        <v>775</v>
      </c>
    </row>
    <row r="624" spans="1:11">
      <c r="A624">
        <v>44270</v>
      </c>
      <c r="B624" t="s">
        <v>792</v>
      </c>
      <c r="C624">
        <v>44267</v>
      </c>
      <c r="D624" t="s">
        <v>793</v>
      </c>
      <c r="E624" t="s">
        <v>794</v>
      </c>
      <c r="F624" t="s">
        <v>202</v>
      </c>
      <c r="G624" t="s">
        <v>795</v>
      </c>
      <c r="H624"/>
      <c r="I624"/>
      <c r="J624"/>
      <c r="K624" t="s">
        <v>775</v>
      </c>
    </row>
    <row r="625" spans="1:11">
      <c r="A625">
        <v>44270</v>
      </c>
      <c r="B625" t="s">
        <v>792</v>
      </c>
      <c r="C625">
        <v>44267</v>
      </c>
      <c r="D625" t="s">
        <v>793</v>
      </c>
      <c r="E625" t="s">
        <v>796</v>
      </c>
      <c r="F625" t="s">
        <v>202</v>
      </c>
      <c r="G625" t="s">
        <v>795</v>
      </c>
      <c r="H625"/>
      <c r="I625"/>
      <c r="J625"/>
      <c r="K625" t="s">
        <v>775</v>
      </c>
    </row>
    <row r="626" spans="1:11">
      <c r="A626">
        <v>44270</v>
      </c>
      <c r="B626" t="s">
        <v>792</v>
      </c>
      <c r="C626">
        <v>44267</v>
      </c>
      <c r="D626" t="s">
        <v>793</v>
      </c>
      <c r="E626" t="s">
        <v>797</v>
      </c>
      <c r="F626" t="s">
        <v>202</v>
      </c>
      <c r="G626" t="s">
        <v>795</v>
      </c>
      <c r="H626"/>
      <c r="I626"/>
      <c r="J626"/>
      <c r="K626" t="s">
        <v>775</v>
      </c>
    </row>
    <row r="627" spans="1:11">
      <c r="A627">
        <v>44270</v>
      </c>
      <c r="B627" t="s">
        <v>792</v>
      </c>
      <c r="C627">
        <v>44267</v>
      </c>
      <c r="D627" t="s">
        <v>793</v>
      </c>
      <c r="E627" t="s">
        <v>798</v>
      </c>
      <c r="F627" t="s">
        <v>202</v>
      </c>
      <c r="G627" t="s">
        <v>795</v>
      </c>
      <c r="H627"/>
      <c r="I627"/>
      <c r="J627"/>
      <c r="K627" t="s">
        <v>775</v>
      </c>
    </row>
    <row r="628" spans="1:11">
      <c r="A628">
        <v>44270</v>
      </c>
      <c r="B628" t="s">
        <v>792</v>
      </c>
      <c r="C628">
        <v>44267</v>
      </c>
      <c r="D628" t="s">
        <v>793</v>
      </c>
      <c r="E628" t="s">
        <v>799</v>
      </c>
      <c r="F628" t="s">
        <v>202</v>
      </c>
      <c r="G628" t="s">
        <v>795</v>
      </c>
      <c r="H628"/>
      <c r="I628"/>
      <c r="J628"/>
      <c r="K628" t="s">
        <v>775</v>
      </c>
    </row>
    <row r="629" spans="1:11">
      <c r="A629">
        <v>44270</v>
      </c>
      <c r="B629" t="s">
        <v>792</v>
      </c>
      <c r="C629">
        <v>44267</v>
      </c>
      <c r="D629" t="s">
        <v>793</v>
      </c>
      <c r="E629" t="s">
        <v>800</v>
      </c>
      <c r="F629" t="s">
        <v>202</v>
      </c>
      <c r="G629" t="s">
        <v>795</v>
      </c>
      <c r="H629"/>
      <c r="I629"/>
      <c r="J629"/>
      <c r="K629" t="s">
        <v>775</v>
      </c>
    </row>
    <row r="630" spans="1:11">
      <c r="A630">
        <v>44270</v>
      </c>
      <c r="B630" t="s">
        <v>792</v>
      </c>
      <c r="C630">
        <v>44267</v>
      </c>
      <c r="D630" t="s">
        <v>793</v>
      </c>
      <c r="E630" t="s">
        <v>801</v>
      </c>
      <c r="F630" t="s">
        <v>202</v>
      </c>
      <c r="G630" t="s">
        <v>795</v>
      </c>
      <c r="H630"/>
      <c r="I630"/>
      <c r="J630"/>
      <c r="K630" t="s">
        <v>775</v>
      </c>
    </row>
    <row r="631" spans="1:11">
      <c r="A631">
        <v>44270</v>
      </c>
      <c r="B631" t="s">
        <v>792</v>
      </c>
      <c r="C631">
        <v>44267</v>
      </c>
      <c r="D631" t="s">
        <v>793</v>
      </c>
      <c r="E631" t="s">
        <v>802</v>
      </c>
      <c r="F631" t="s">
        <v>202</v>
      </c>
      <c r="G631" t="s">
        <v>795</v>
      </c>
      <c r="H631"/>
      <c r="I631"/>
      <c r="J631"/>
      <c r="K631" t="s">
        <v>775</v>
      </c>
    </row>
    <row r="632" spans="1:11">
      <c r="A632">
        <v>44242</v>
      </c>
      <c r="B632">
        <v>947658667343</v>
      </c>
      <c r="C632">
        <v>44238</v>
      </c>
      <c r="D632" t="s">
        <v>804</v>
      </c>
      <c r="E632" t="s">
        <v>805</v>
      </c>
      <c r="F632" t="s">
        <v>113</v>
      </c>
      <c r="G632">
        <v>2102733</v>
      </c>
      <c r="H632"/>
      <c r="I632"/>
      <c r="J632"/>
      <c r="K632" t="s">
        <v>806</v>
      </c>
    </row>
    <row r="633" spans="1:11">
      <c r="A633">
        <v>44242</v>
      </c>
      <c r="B633">
        <v>947658667343</v>
      </c>
      <c r="C633">
        <v>44238</v>
      </c>
      <c r="D633" t="s">
        <v>804</v>
      </c>
      <c r="E633" t="s">
        <v>807</v>
      </c>
      <c r="F633" t="s">
        <v>113</v>
      </c>
      <c r="G633">
        <v>2102733</v>
      </c>
      <c r="H633"/>
      <c r="I633"/>
      <c r="J633"/>
      <c r="K633" t="s">
        <v>806</v>
      </c>
    </row>
    <row r="634" spans="1:11">
      <c r="A634">
        <v>44242</v>
      </c>
      <c r="B634">
        <v>947658667343</v>
      </c>
      <c r="C634">
        <v>44238</v>
      </c>
      <c r="D634" t="s">
        <v>804</v>
      </c>
      <c r="E634" t="s">
        <v>808</v>
      </c>
      <c r="F634" t="s">
        <v>113</v>
      </c>
      <c r="G634">
        <v>2102733</v>
      </c>
      <c r="H634"/>
      <c r="I634"/>
      <c r="J634"/>
      <c r="K634" t="s">
        <v>806</v>
      </c>
    </row>
    <row r="635" spans="1:11">
      <c r="A635">
        <v>44242</v>
      </c>
      <c r="B635">
        <v>947658667343</v>
      </c>
      <c r="C635">
        <v>44238</v>
      </c>
      <c r="D635" t="s">
        <v>804</v>
      </c>
      <c r="E635" t="s">
        <v>809</v>
      </c>
      <c r="F635" t="s">
        <v>113</v>
      </c>
      <c r="G635">
        <v>2102733</v>
      </c>
      <c r="H635"/>
      <c r="I635"/>
      <c r="J635"/>
      <c r="K635" t="s">
        <v>806</v>
      </c>
    </row>
    <row r="636" spans="1:11">
      <c r="A636">
        <v>44242</v>
      </c>
      <c r="B636">
        <v>947658667343</v>
      </c>
      <c r="C636">
        <v>44238</v>
      </c>
      <c r="D636" t="s">
        <v>804</v>
      </c>
      <c r="E636" t="s">
        <v>810</v>
      </c>
      <c r="F636" t="s">
        <v>113</v>
      </c>
      <c r="G636">
        <v>2102733</v>
      </c>
      <c r="H636"/>
      <c r="I636"/>
      <c r="J636"/>
      <c r="K636" t="s">
        <v>806</v>
      </c>
    </row>
    <row r="637" spans="1:11">
      <c r="A637">
        <v>44242</v>
      </c>
      <c r="B637">
        <v>947658667343</v>
      </c>
      <c r="C637">
        <v>44238</v>
      </c>
      <c r="D637" t="s">
        <v>804</v>
      </c>
      <c r="E637" t="s">
        <v>811</v>
      </c>
      <c r="F637" t="s">
        <v>113</v>
      </c>
      <c r="G637">
        <v>2102733</v>
      </c>
      <c r="H637"/>
      <c r="I637"/>
      <c r="J637"/>
      <c r="K637" t="s">
        <v>806</v>
      </c>
    </row>
    <row r="638" spans="1:11">
      <c r="A638">
        <v>44242</v>
      </c>
      <c r="B638">
        <v>947658667343</v>
      </c>
      <c r="C638">
        <v>44238</v>
      </c>
      <c r="D638" t="s">
        <v>804</v>
      </c>
      <c r="E638" t="s">
        <v>812</v>
      </c>
      <c r="F638" t="s">
        <v>113</v>
      </c>
      <c r="G638">
        <v>2102733</v>
      </c>
      <c r="H638"/>
      <c r="I638"/>
      <c r="J638"/>
      <c r="K638" t="s">
        <v>806</v>
      </c>
    </row>
    <row r="639" spans="1:11">
      <c r="A639">
        <v>44242</v>
      </c>
      <c r="B639">
        <v>947658667343</v>
      </c>
      <c r="C639">
        <v>44238</v>
      </c>
      <c r="D639" t="s">
        <v>804</v>
      </c>
      <c r="E639" t="s">
        <v>813</v>
      </c>
      <c r="F639" t="s">
        <v>113</v>
      </c>
      <c r="G639">
        <v>2102733</v>
      </c>
      <c r="H639"/>
      <c r="I639"/>
      <c r="J639"/>
      <c r="K639" t="s">
        <v>806</v>
      </c>
    </row>
    <row r="640" spans="1:11">
      <c r="A640">
        <v>44250</v>
      </c>
      <c r="B640">
        <v>947658711126</v>
      </c>
      <c r="C640">
        <v>44246</v>
      </c>
      <c r="D640" t="s">
        <v>701</v>
      </c>
      <c r="E640" t="s">
        <v>814</v>
      </c>
      <c r="F640" t="s">
        <v>113</v>
      </c>
      <c r="G640">
        <v>2103365</v>
      </c>
      <c r="H640"/>
      <c r="I640"/>
      <c r="J640"/>
      <c r="K640" t="s">
        <v>806</v>
      </c>
    </row>
    <row r="641" spans="1:11">
      <c r="A641">
        <v>44250</v>
      </c>
      <c r="B641">
        <v>947658711126</v>
      </c>
      <c r="C641">
        <v>44246</v>
      </c>
      <c r="D641" t="s">
        <v>701</v>
      </c>
      <c r="E641" t="s">
        <v>815</v>
      </c>
      <c r="F641" t="s">
        <v>113</v>
      </c>
      <c r="G641">
        <v>2103365</v>
      </c>
      <c r="H641"/>
      <c r="I641"/>
      <c r="J641"/>
      <c r="K641" t="s">
        <v>806</v>
      </c>
    </row>
    <row r="642" spans="1:11">
      <c r="A642">
        <v>44253</v>
      </c>
      <c r="B642" t="s">
        <v>816</v>
      </c>
      <c r="C642"/>
      <c r="D642" t="s">
        <v>829</v>
      </c>
      <c r="E642" t="s">
        <v>817</v>
      </c>
      <c r="F642" t="s">
        <v>818</v>
      </c>
      <c r="G642"/>
      <c r="H642"/>
      <c r="I642"/>
      <c r="J642"/>
      <c r="K642" t="s">
        <v>806</v>
      </c>
    </row>
    <row r="643" spans="1:11">
      <c r="A643">
        <v>44260</v>
      </c>
      <c r="B643">
        <v>21753299389</v>
      </c>
      <c r="C643"/>
      <c r="D643" t="s">
        <v>819</v>
      </c>
      <c r="E643" t="s">
        <v>820</v>
      </c>
      <c r="F643" t="s">
        <v>821</v>
      </c>
      <c r="G643">
        <v>105133409</v>
      </c>
      <c r="H643"/>
      <c r="I643"/>
      <c r="J643"/>
      <c r="K643" t="s">
        <v>806</v>
      </c>
    </row>
    <row r="644" spans="1:11">
      <c r="A644"/>
      <c r="B644"/>
      <c r="C644"/>
      <c r="D644" t="s">
        <v>650</v>
      </c>
      <c r="E644" t="s">
        <v>822</v>
      </c>
      <c r="F644"/>
      <c r="G644"/>
      <c r="H644"/>
      <c r="I644"/>
      <c r="J644"/>
      <c r="K644" t="s">
        <v>806</v>
      </c>
    </row>
    <row r="645" spans="1:11">
      <c r="A645"/>
      <c r="B645"/>
      <c r="C645"/>
      <c r="D645" t="s">
        <v>650</v>
      </c>
      <c r="E645" t="s">
        <v>823</v>
      </c>
      <c r="F645"/>
      <c r="G645"/>
      <c r="H645"/>
      <c r="I645"/>
      <c r="J645"/>
      <c r="K645" t="s">
        <v>806</v>
      </c>
    </row>
    <row r="646" spans="1:11">
      <c r="A646"/>
      <c r="B646"/>
      <c r="C646"/>
      <c r="D646" t="s">
        <v>824</v>
      </c>
      <c r="E646" t="s">
        <v>828</v>
      </c>
      <c r="F646" t="s">
        <v>825</v>
      </c>
      <c r="G646" t="s">
        <v>825</v>
      </c>
      <c r="H646"/>
      <c r="I646"/>
      <c r="J646"/>
      <c r="K646" t="s">
        <v>806</v>
      </c>
    </row>
    <row r="647" spans="1:11">
      <c r="A647"/>
      <c r="B647"/>
      <c r="C647"/>
      <c r="D647" t="s">
        <v>655</v>
      </c>
      <c r="E647" t="s">
        <v>825</v>
      </c>
      <c r="F647"/>
      <c r="G647"/>
      <c r="H647"/>
      <c r="I647"/>
      <c r="J647"/>
      <c r="K647" t="s">
        <v>806</v>
      </c>
    </row>
    <row r="648" spans="1:11">
      <c r="A648">
        <v>44260</v>
      </c>
      <c r="B648">
        <v>10811755418</v>
      </c>
      <c r="C648"/>
      <c r="D648" t="s">
        <v>826</v>
      </c>
      <c r="E648" t="s">
        <v>827</v>
      </c>
      <c r="F648" t="s">
        <v>753</v>
      </c>
      <c r="G648">
        <v>40017645</v>
      </c>
      <c r="H648"/>
      <c r="I648"/>
      <c r="J648"/>
      <c r="K648" t="s">
        <v>806</v>
      </c>
    </row>
    <row r="649" spans="1:11">
      <c r="A649">
        <v>44263</v>
      </c>
      <c r="B649">
        <v>23105000107</v>
      </c>
      <c r="C649">
        <v>44260</v>
      </c>
      <c r="D649" t="s">
        <v>830</v>
      </c>
      <c r="E649" t="s">
        <v>831</v>
      </c>
      <c r="F649" t="s">
        <v>264</v>
      </c>
      <c r="G649" t="s">
        <v>832</v>
      </c>
      <c r="H649"/>
      <c r="I649"/>
      <c r="J649"/>
      <c r="K649" t="s">
        <v>806</v>
      </c>
    </row>
    <row r="650" spans="1:11">
      <c r="A650">
        <v>44263</v>
      </c>
      <c r="B650">
        <v>23105000107</v>
      </c>
      <c r="C650">
        <v>44260</v>
      </c>
      <c r="D650" t="s">
        <v>830</v>
      </c>
      <c r="E650" t="s">
        <v>833</v>
      </c>
      <c r="F650" t="s">
        <v>264</v>
      </c>
      <c r="G650" t="s">
        <v>832</v>
      </c>
      <c r="H650"/>
      <c r="I650"/>
      <c r="J650"/>
      <c r="K650" t="s">
        <v>806</v>
      </c>
    </row>
    <row r="651" spans="1:11">
      <c r="A651">
        <v>44263</v>
      </c>
      <c r="B651">
        <v>23105000107</v>
      </c>
      <c r="C651">
        <v>44260</v>
      </c>
      <c r="D651" t="s">
        <v>830</v>
      </c>
      <c r="E651" t="s">
        <v>834</v>
      </c>
      <c r="F651" t="s">
        <v>264</v>
      </c>
      <c r="G651" t="s">
        <v>832</v>
      </c>
      <c r="H651"/>
      <c r="I651"/>
      <c r="J651"/>
      <c r="K651" t="s">
        <v>806</v>
      </c>
    </row>
    <row r="652" spans="1:11">
      <c r="A652">
        <v>44270</v>
      </c>
      <c r="B652" t="s">
        <v>223</v>
      </c>
      <c r="C652">
        <v>44267</v>
      </c>
      <c r="D652" t="s">
        <v>835</v>
      </c>
      <c r="E652" t="s">
        <v>836</v>
      </c>
      <c r="F652" t="s">
        <v>210</v>
      </c>
      <c r="G652">
        <v>931199933</v>
      </c>
      <c r="H652"/>
      <c r="I652"/>
      <c r="J652"/>
      <c r="K652" t="s">
        <v>853</v>
      </c>
    </row>
    <row r="653" spans="1:11">
      <c r="A653"/>
      <c r="B653"/>
      <c r="C653"/>
      <c r="D653" t="s">
        <v>898</v>
      </c>
      <c r="E653" t="s">
        <v>837</v>
      </c>
      <c r="F653"/>
      <c r="G653"/>
      <c r="H653"/>
      <c r="I653"/>
      <c r="J653"/>
      <c r="K653" t="s">
        <v>853</v>
      </c>
    </row>
    <row r="654" spans="1:11">
      <c r="A654"/>
      <c r="B654"/>
      <c r="C654"/>
      <c r="D654" t="s">
        <v>900</v>
      </c>
      <c r="E654" t="s">
        <v>838</v>
      </c>
      <c r="F654"/>
      <c r="G654"/>
      <c r="H654"/>
      <c r="I654"/>
      <c r="J654"/>
      <c r="K654" t="s">
        <v>853</v>
      </c>
    </row>
    <row r="655" spans="1:11">
      <c r="A655"/>
      <c r="B655"/>
      <c r="C655"/>
      <c r="D655" t="s">
        <v>895</v>
      </c>
      <c r="E655" t="s">
        <v>839</v>
      </c>
      <c r="F655"/>
      <c r="G655"/>
      <c r="H655"/>
      <c r="I655"/>
      <c r="J655"/>
      <c r="K655" t="s">
        <v>853</v>
      </c>
    </row>
    <row r="656" spans="1:11">
      <c r="A656"/>
      <c r="B656"/>
      <c r="C656"/>
      <c r="D656" t="s">
        <v>895</v>
      </c>
      <c r="E656" t="s">
        <v>840</v>
      </c>
      <c r="F656"/>
      <c r="G656"/>
      <c r="H656"/>
      <c r="I656"/>
      <c r="J656"/>
      <c r="K656" t="s">
        <v>853</v>
      </c>
    </row>
    <row r="657" spans="1:11">
      <c r="A657"/>
      <c r="B657"/>
      <c r="C657"/>
      <c r="D657" t="s">
        <v>897</v>
      </c>
      <c r="E657" t="s">
        <v>841</v>
      </c>
      <c r="F657"/>
      <c r="G657"/>
      <c r="H657"/>
      <c r="I657"/>
      <c r="J657"/>
      <c r="K657" t="s">
        <v>853</v>
      </c>
    </row>
    <row r="658" spans="1:11">
      <c r="A658"/>
      <c r="B658"/>
      <c r="C658"/>
      <c r="D658" t="s">
        <v>896</v>
      </c>
      <c r="E658" t="s">
        <v>842</v>
      </c>
      <c r="F658"/>
      <c r="G658"/>
      <c r="H658"/>
      <c r="I658"/>
      <c r="J658"/>
      <c r="K658" t="s">
        <v>853</v>
      </c>
    </row>
    <row r="659" spans="1:11">
      <c r="A659"/>
      <c r="B659"/>
      <c r="C659"/>
      <c r="D659" t="s">
        <v>899</v>
      </c>
      <c r="E659" t="s">
        <v>843</v>
      </c>
      <c r="F659"/>
      <c r="G659"/>
      <c r="H659"/>
      <c r="I659"/>
      <c r="J659"/>
      <c r="K659" t="s">
        <v>853</v>
      </c>
    </row>
    <row r="660" spans="1:11">
      <c r="A660">
        <v>44270</v>
      </c>
      <c r="B660" t="s">
        <v>223</v>
      </c>
      <c r="C660">
        <v>44267</v>
      </c>
      <c r="D660" t="s">
        <v>835</v>
      </c>
      <c r="E660" t="s">
        <v>844</v>
      </c>
      <c r="F660" t="s">
        <v>210</v>
      </c>
      <c r="G660">
        <v>931199933</v>
      </c>
      <c r="H660"/>
      <c r="I660"/>
      <c r="J660"/>
      <c r="K660" t="s">
        <v>866</v>
      </c>
    </row>
    <row r="661" spans="1:11">
      <c r="A661"/>
      <c r="B661"/>
      <c r="C661"/>
      <c r="D661" t="s">
        <v>898</v>
      </c>
      <c r="E661" t="s">
        <v>845</v>
      </c>
      <c r="F661"/>
      <c r="G661"/>
      <c r="H661"/>
      <c r="I661"/>
      <c r="J661"/>
      <c r="K661" t="s">
        <v>866</v>
      </c>
    </row>
    <row r="662" spans="1:11">
      <c r="A662"/>
      <c r="B662"/>
      <c r="C662"/>
      <c r="D662" t="s">
        <v>900</v>
      </c>
      <c r="E662" t="s">
        <v>846</v>
      </c>
      <c r="F662"/>
      <c r="G662"/>
      <c r="H662"/>
      <c r="I662"/>
      <c r="J662"/>
      <c r="K662" t="s">
        <v>866</v>
      </c>
    </row>
    <row r="663" spans="1:11">
      <c r="A663"/>
      <c r="B663"/>
      <c r="C663"/>
      <c r="D663" t="s">
        <v>895</v>
      </c>
      <c r="E663" t="s">
        <v>847</v>
      </c>
      <c r="F663"/>
      <c r="G663"/>
      <c r="H663"/>
      <c r="I663"/>
      <c r="J663"/>
      <c r="K663" t="s">
        <v>866</v>
      </c>
    </row>
    <row r="664" spans="1:11">
      <c r="A664"/>
      <c r="B664"/>
      <c r="C664"/>
      <c r="D664" t="s">
        <v>895</v>
      </c>
      <c r="E664" t="s">
        <v>848</v>
      </c>
      <c r="F664"/>
      <c r="G664"/>
      <c r="H664"/>
      <c r="I664"/>
      <c r="J664"/>
      <c r="K664" t="s">
        <v>866</v>
      </c>
    </row>
    <row r="665" spans="1:11">
      <c r="A665"/>
      <c r="B665"/>
      <c r="C665"/>
      <c r="D665" t="s">
        <v>897</v>
      </c>
      <c r="E665" t="s">
        <v>849</v>
      </c>
      <c r="F665"/>
      <c r="G665"/>
      <c r="H665"/>
      <c r="I665"/>
      <c r="J665"/>
      <c r="K665" t="s">
        <v>866</v>
      </c>
    </row>
    <row r="666" spans="1:11">
      <c r="A666"/>
      <c r="B666"/>
      <c r="C666"/>
      <c r="D666" t="s">
        <v>896</v>
      </c>
      <c r="E666" t="s">
        <v>850</v>
      </c>
      <c r="F666"/>
      <c r="G666"/>
      <c r="H666"/>
      <c r="I666"/>
      <c r="J666"/>
      <c r="K666" t="s">
        <v>866</v>
      </c>
    </row>
    <row r="667" spans="1:11">
      <c r="A667"/>
      <c r="B667"/>
      <c r="C667"/>
      <c r="D667" t="s">
        <v>899</v>
      </c>
      <c r="E667" t="s">
        <v>851</v>
      </c>
      <c r="F667"/>
      <c r="G667"/>
      <c r="H667"/>
      <c r="I667"/>
      <c r="J667"/>
      <c r="K667" t="s">
        <v>866</v>
      </c>
    </row>
    <row r="668" spans="1:11">
      <c r="A668">
        <v>44270</v>
      </c>
      <c r="B668" t="s">
        <v>223</v>
      </c>
      <c r="C668">
        <v>44267</v>
      </c>
      <c r="D668" t="s">
        <v>786</v>
      </c>
      <c r="E668" t="s">
        <v>852</v>
      </c>
      <c r="F668" t="s">
        <v>210</v>
      </c>
      <c r="G668">
        <v>931199927</v>
      </c>
      <c r="H668"/>
      <c r="I668"/>
      <c r="J668"/>
      <c r="K668" t="s">
        <v>853</v>
      </c>
    </row>
    <row r="669" spans="1:11">
      <c r="A669">
        <v>44270</v>
      </c>
      <c r="B669" t="s">
        <v>223</v>
      </c>
      <c r="C669">
        <v>44267</v>
      </c>
      <c r="D669" t="s">
        <v>786</v>
      </c>
      <c r="E669" t="s">
        <v>854</v>
      </c>
      <c r="F669" t="s">
        <v>210</v>
      </c>
      <c r="G669">
        <v>931199927</v>
      </c>
      <c r="H669"/>
      <c r="I669"/>
      <c r="J669"/>
      <c r="K669" t="s">
        <v>853</v>
      </c>
    </row>
    <row r="670" spans="1:11">
      <c r="A670">
        <v>44270</v>
      </c>
      <c r="B670" t="s">
        <v>223</v>
      </c>
      <c r="C670">
        <v>44267</v>
      </c>
      <c r="D670" t="s">
        <v>786</v>
      </c>
      <c r="E670" t="s">
        <v>855</v>
      </c>
      <c r="F670" t="s">
        <v>210</v>
      </c>
      <c r="G670">
        <v>931199927</v>
      </c>
      <c r="H670"/>
      <c r="I670"/>
      <c r="J670"/>
      <c r="K670" t="s">
        <v>853</v>
      </c>
    </row>
    <row r="671" spans="1:11">
      <c r="A671">
        <v>44270</v>
      </c>
      <c r="B671" t="s">
        <v>223</v>
      </c>
      <c r="C671">
        <v>44267</v>
      </c>
      <c r="D671" t="s">
        <v>786</v>
      </c>
      <c r="E671" t="s">
        <v>856</v>
      </c>
      <c r="F671" t="s">
        <v>210</v>
      </c>
      <c r="G671">
        <v>931199927</v>
      </c>
      <c r="H671"/>
      <c r="I671"/>
      <c r="J671"/>
      <c r="K671" t="s">
        <v>853</v>
      </c>
    </row>
    <row r="672" spans="1:11">
      <c r="A672">
        <v>44270</v>
      </c>
      <c r="B672" t="s">
        <v>223</v>
      </c>
      <c r="C672">
        <v>44267</v>
      </c>
      <c r="D672" t="s">
        <v>786</v>
      </c>
      <c r="E672" t="s">
        <v>857</v>
      </c>
      <c r="F672" t="s">
        <v>210</v>
      </c>
      <c r="G672">
        <v>931199927</v>
      </c>
      <c r="H672"/>
      <c r="I672"/>
      <c r="J672"/>
      <c r="K672" t="s">
        <v>853</v>
      </c>
    </row>
    <row r="673" spans="1:11">
      <c r="A673">
        <v>44270</v>
      </c>
      <c r="B673" t="s">
        <v>223</v>
      </c>
      <c r="C673">
        <v>44267</v>
      </c>
      <c r="D673" t="s">
        <v>786</v>
      </c>
      <c r="E673" t="s">
        <v>858</v>
      </c>
      <c r="F673" t="s">
        <v>210</v>
      </c>
      <c r="G673">
        <v>931199927</v>
      </c>
      <c r="H673"/>
      <c r="I673"/>
      <c r="J673"/>
      <c r="K673" t="s">
        <v>853</v>
      </c>
    </row>
    <row r="674" spans="1:11">
      <c r="A674">
        <v>44270</v>
      </c>
      <c r="B674" t="s">
        <v>223</v>
      </c>
      <c r="C674">
        <v>44267</v>
      </c>
      <c r="D674" t="s">
        <v>786</v>
      </c>
      <c r="E674" t="s">
        <v>859</v>
      </c>
      <c r="F674" t="s">
        <v>210</v>
      </c>
      <c r="G674">
        <v>931199927</v>
      </c>
      <c r="H674"/>
      <c r="I674"/>
      <c r="J674"/>
      <c r="K674" t="s">
        <v>853</v>
      </c>
    </row>
    <row r="675" spans="1:11">
      <c r="A675">
        <v>44270</v>
      </c>
      <c r="B675" t="s">
        <v>223</v>
      </c>
      <c r="C675">
        <v>44267</v>
      </c>
      <c r="D675" t="s">
        <v>786</v>
      </c>
      <c r="E675" t="s">
        <v>860</v>
      </c>
      <c r="F675" t="s">
        <v>210</v>
      </c>
      <c r="G675">
        <v>931199927</v>
      </c>
      <c r="H675"/>
      <c r="I675"/>
      <c r="J675"/>
      <c r="K675" t="s">
        <v>853</v>
      </c>
    </row>
    <row r="676" spans="1:11">
      <c r="A676">
        <v>44270</v>
      </c>
      <c r="B676" t="s">
        <v>223</v>
      </c>
      <c r="C676">
        <v>44267</v>
      </c>
      <c r="D676" t="s">
        <v>786</v>
      </c>
      <c r="E676" t="s">
        <v>861</v>
      </c>
      <c r="F676" t="s">
        <v>210</v>
      </c>
      <c r="G676">
        <v>931199927</v>
      </c>
      <c r="H676"/>
      <c r="I676"/>
      <c r="J676"/>
      <c r="K676" t="s">
        <v>853</v>
      </c>
    </row>
    <row r="677" spans="1:11">
      <c r="A677">
        <v>44270</v>
      </c>
      <c r="B677" t="s">
        <v>223</v>
      </c>
      <c r="C677">
        <v>44267</v>
      </c>
      <c r="D677" t="s">
        <v>786</v>
      </c>
      <c r="E677" t="s">
        <v>862</v>
      </c>
      <c r="F677" t="s">
        <v>210</v>
      </c>
      <c r="G677">
        <v>931199927</v>
      </c>
      <c r="H677"/>
      <c r="I677"/>
      <c r="J677"/>
      <c r="K677" t="s">
        <v>853</v>
      </c>
    </row>
    <row r="678" spans="1:11">
      <c r="A678">
        <v>44270</v>
      </c>
      <c r="B678" t="s">
        <v>223</v>
      </c>
      <c r="C678">
        <v>44267</v>
      </c>
      <c r="D678" t="s">
        <v>786</v>
      </c>
      <c r="E678" t="s">
        <v>863</v>
      </c>
      <c r="F678" t="s">
        <v>210</v>
      </c>
      <c r="G678">
        <v>931199927</v>
      </c>
      <c r="H678"/>
      <c r="I678"/>
      <c r="J678"/>
      <c r="K678" t="s">
        <v>853</v>
      </c>
    </row>
    <row r="679" spans="1:11">
      <c r="A679">
        <v>44270</v>
      </c>
      <c r="B679" t="s">
        <v>223</v>
      </c>
      <c r="C679">
        <v>44267</v>
      </c>
      <c r="D679" t="s">
        <v>786</v>
      </c>
      <c r="E679" t="s">
        <v>864</v>
      </c>
      <c r="F679" t="s">
        <v>210</v>
      </c>
      <c r="G679">
        <v>931199927</v>
      </c>
      <c r="H679"/>
      <c r="I679"/>
      <c r="J679"/>
      <c r="K679" t="s">
        <v>853</v>
      </c>
    </row>
    <row r="680" spans="1:11">
      <c r="A680">
        <v>44270</v>
      </c>
      <c r="B680" t="s">
        <v>223</v>
      </c>
      <c r="C680">
        <v>44267</v>
      </c>
      <c r="D680" t="s">
        <v>786</v>
      </c>
      <c r="E680" t="s">
        <v>865</v>
      </c>
      <c r="F680" t="s">
        <v>210</v>
      </c>
      <c r="G680">
        <v>931199927</v>
      </c>
      <c r="H680"/>
      <c r="I680"/>
      <c r="J680"/>
      <c r="K680" t="s">
        <v>866</v>
      </c>
    </row>
    <row r="681" spans="1:11">
      <c r="A681">
        <v>44270</v>
      </c>
      <c r="B681" t="s">
        <v>223</v>
      </c>
      <c r="C681">
        <v>44267</v>
      </c>
      <c r="D681" t="s">
        <v>786</v>
      </c>
      <c r="E681" t="s">
        <v>867</v>
      </c>
      <c r="F681" t="s">
        <v>210</v>
      </c>
      <c r="G681">
        <v>931199927</v>
      </c>
      <c r="H681"/>
      <c r="I681"/>
      <c r="J681"/>
      <c r="K681" t="s">
        <v>866</v>
      </c>
    </row>
    <row r="682" spans="1:11">
      <c r="A682">
        <v>44270</v>
      </c>
      <c r="B682" t="s">
        <v>223</v>
      </c>
      <c r="C682">
        <v>44267</v>
      </c>
      <c r="D682" t="s">
        <v>786</v>
      </c>
      <c r="E682" t="s">
        <v>868</v>
      </c>
      <c r="F682" t="s">
        <v>210</v>
      </c>
      <c r="G682">
        <v>931199927</v>
      </c>
      <c r="H682"/>
      <c r="I682"/>
      <c r="J682"/>
      <c r="K682" t="s">
        <v>866</v>
      </c>
    </row>
    <row r="683" spans="1:11">
      <c r="A683">
        <v>44270</v>
      </c>
      <c r="B683" t="s">
        <v>223</v>
      </c>
      <c r="C683">
        <v>44267</v>
      </c>
      <c r="D683" t="s">
        <v>786</v>
      </c>
      <c r="E683" t="s">
        <v>869</v>
      </c>
      <c r="F683" t="s">
        <v>210</v>
      </c>
      <c r="G683">
        <v>931199927</v>
      </c>
      <c r="H683"/>
      <c r="I683"/>
      <c r="J683"/>
      <c r="K683" t="s">
        <v>866</v>
      </c>
    </row>
    <row r="684" spans="1:11">
      <c r="A684">
        <v>44270</v>
      </c>
      <c r="B684" t="s">
        <v>223</v>
      </c>
      <c r="C684">
        <v>44267</v>
      </c>
      <c r="D684" t="s">
        <v>786</v>
      </c>
      <c r="E684" t="s">
        <v>870</v>
      </c>
      <c r="F684" t="s">
        <v>210</v>
      </c>
      <c r="G684">
        <v>931199927</v>
      </c>
      <c r="H684"/>
      <c r="I684"/>
      <c r="J684"/>
      <c r="K684" t="s">
        <v>866</v>
      </c>
    </row>
    <row r="685" spans="1:11">
      <c r="A685">
        <v>44270</v>
      </c>
      <c r="B685" t="s">
        <v>223</v>
      </c>
      <c r="C685">
        <v>44267</v>
      </c>
      <c r="D685" t="s">
        <v>786</v>
      </c>
      <c r="E685" t="s">
        <v>871</v>
      </c>
      <c r="F685" t="s">
        <v>210</v>
      </c>
      <c r="G685">
        <v>931199927</v>
      </c>
      <c r="H685"/>
      <c r="I685"/>
      <c r="J685"/>
      <c r="K685" t="s">
        <v>866</v>
      </c>
    </row>
    <row r="686" spans="1:11">
      <c r="A686">
        <v>44270</v>
      </c>
      <c r="B686" t="s">
        <v>223</v>
      </c>
      <c r="C686">
        <v>44267</v>
      </c>
      <c r="D686" t="s">
        <v>786</v>
      </c>
      <c r="E686" t="s">
        <v>872</v>
      </c>
      <c r="F686" t="s">
        <v>210</v>
      </c>
      <c r="G686">
        <v>931199927</v>
      </c>
      <c r="H686"/>
      <c r="I686"/>
      <c r="J686"/>
      <c r="K686" t="s">
        <v>866</v>
      </c>
    </row>
    <row r="687" spans="1:11">
      <c r="A687">
        <v>44270</v>
      </c>
      <c r="B687" t="s">
        <v>223</v>
      </c>
      <c r="C687">
        <v>44267</v>
      </c>
      <c r="D687" t="s">
        <v>786</v>
      </c>
      <c r="E687" t="s">
        <v>873</v>
      </c>
      <c r="F687" t="s">
        <v>210</v>
      </c>
      <c r="G687">
        <v>931199927</v>
      </c>
      <c r="H687"/>
      <c r="I687"/>
      <c r="J687"/>
      <c r="K687" t="s">
        <v>866</v>
      </c>
    </row>
    <row r="688" spans="1:11">
      <c r="A688">
        <v>44270</v>
      </c>
      <c r="B688" t="s">
        <v>223</v>
      </c>
      <c r="C688">
        <v>44267</v>
      </c>
      <c r="D688" t="s">
        <v>786</v>
      </c>
      <c r="E688" t="s">
        <v>874</v>
      </c>
      <c r="F688" t="s">
        <v>210</v>
      </c>
      <c r="G688">
        <v>931199927</v>
      </c>
      <c r="H688"/>
      <c r="I688"/>
      <c r="J688"/>
      <c r="K688" t="s">
        <v>866</v>
      </c>
    </row>
    <row r="689" spans="1:11">
      <c r="A689">
        <v>44270</v>
      </c>
      <c r="B689" t="s">
        <v>223</v>
      </c>
      <c r="C689">
        <v>44267</v>
      </c>
      <c r="D689" t="s">
        <v>786</v>
      </c>
      <c r="E689" t="s">
        <v>875</v>
      </c>
      <c r="F689" t="s">
        <v>210</v>
      </c>
      <c r="G689">
        <v>931199927</v>
      </c>
      <c r="H689"/>
      <c r="I689"/>
      <c r="J689"/>
      <c r="K689" t="s">
        <v>866</v>
      </c>
    </row>
    <row r="690" spans="1:11">
      <c r="A690">
        <v>44270</v>
      </c>
      <c r="B690" t="s">
        <v>223</v>
      </c>
      <c r="C690">
        <v>44267</v>
      </c>
      <c r="D690" t="s">
        <v>786</v>
      </c>
      <c r="E690" t="s">
        <v>876</v>
      </c>
      <c r="F690" t="s">
        <v>210</v>
      </c>
      <c r="G690">
        <v>931199927</v>
      </c>
      <c r="H690"/>
      <c r="I690"/>
      <c r="J690"/>
      <c r="K690" t="s">
        <v>866</v>
      </c>
    </row>
    <row r="691" spans="1:11">
      <c r="A691">
        <v>44270</v>
      </c>
      <c r="B691" t="s">
        <v>223</v>
      </c>
      <c r="C691">
        <v>44267</v>
      </c>
      <c r="D691" t="s">
        <v>786</v>
      </c>
      <c r="E691" t="s">
        <v>877</v>
      </c>
      <c r="F691" t="s">
        <v>210</v>
      </c>
      <c r="G691">
        <v>931199927</v>
      </c>
      <c r="H691"/>
      <c r="I691"/>
      <c r="J691"/>
      <c r="K691" t="s">
        <v>866</v>
      </c>
    </row>
    <row r="692" spans="1:11">
      <c r="A692">
        <v>44270</v>
      </c>
      <c r="B692" t="s">
        <v>878</v>
      </c>
      <c r="C692">
        <v>44267</v>
      </c>
      <c r="D692" t="s">
        <v>879</v>
      </c>
      <c r="E692" t="s">
        <v>880</v>
      </c>
      <c r="F692" t="s">
        <v>881</v>
      </c>
      <c r="G692">
        <v>105146547</v>
      </c>
      <c r="H692"/>
      <c r="I692"/>
      <c r="J692"/>
      <c r="K692" t="s">
        <v>853</v>
      </c>
    </row>
    <row r="693" spans="1:11">
      <c r="A693">
        <v>44270</v>
      </c>
      <c r="B693" t="s">
        <v>878</v>
      </c>
      <c r="C693">
        <v>44267</v>
      </c>
      <c r="D693" t="s">
        <v>879</v>
      </c>
      <c r="E693" t="s">
        <v>882</v>
      </c>
      <c r="F693" t="s">
        <v>881</v>
      </c>
      <c r="G693">
        <v>105146547</v>
      </c>
      <c r="H693"/>
      <c r="I693"/>
      <c r="J693"/>
      <c r="K693" t="s">
        <v>853</v>
      </c>
    </row>
    <row r="694" spans="1:11">
      <c r="A694">
        <v>44270</v>
      </c>
      <c r="B694" t="s">
        <v>878</v>
      </c>
      <c r="C694">
        <v>44267</v>
      </c>
      <c r="D694" t="s">
        <v>879</v>
      </c>
      <c r="E694" t="s">
        <v>883</v>
      </c>
      <c r="F694" t="s">
        <v>881</v>
      </c>
      <c r="G694">
        <v>105146547</v>
      </c>
      <c r="H694"/>
      <c r="I694"/>
      <c r="J694"/>
      <c r="K694" t="s">
        <v>853</v>
      </c>
    </row>
    <row r="695" spans="1:11">
      <c r="A695">
        <v>44270</v>
      </c>
      <c r="B695" t="s">
        <v>878</v>
      </c>
      <c r="C695">
        <v>44267</v>
      </c>
      <c r="D695" t="s">
        <v>879</v>
      </c>
      <c r="E695" t="s">
        <v>884</v>
      </c>
      <c r="F695" t="s">
        <v>881</v>
      </c>
      <c r="G695">
        <v>105146547</v>
      </c>
      <c r="H695"/>
      <c r="I695"/>
      <c r="J695"/>
      <c r="K695" t="s">
        <v>853</v>
      </c>
    </row>
    <row r="696" spans="1:11">
      <c r="A696">
        <v>44270</v>
      </c>
      <c r="B696" t="s">
        <v>878</v>
      </c>
      <c r="C696">
        <v>44267</v>
      </c>
      <c r="D696" t="s">
        <v>879</v>
      </c>
      <c r="E696" t="s">
        <v>885</v>
      </c>
      <c r="F696" t="s">
        <v>881</v>
      </c>
      <c r="G696">
        <v>105146547</v>
      </c>
      <c r="H696"/>
      <c r="I696"/>
      <c r="J696"/>
      <c r="K696" t="s">
        <v>853</v>
      </c>
    </row>
    <row r="697" spans="1:11">
      <c r="A697">
        <v>44270</v>
      </c>
      <c r="B697" t="s">
        <v>878</v>
      </c>
      <c r="C697">
        <v>44267</v>
      </c>
      <c r="D697" t="s">
        <v>879</v>
      </c>
      <c r="E697" t="s">
        <v>886</v>
      </c>
      <c r="F697" t="s">
        <v>881</v>
      </c>
      <c r="G697">
        <v>105146547</v>
      </c>
      <c r="H697"/>
      <c r="I697"/>
      <c r="J697"/>
      <c r="K697" t="s">
        <v>853</v>
      </c>
    </row>
    <row r="698" spans="1:11">
      <c r="A698">
        <v>44270</v>
      </c>
      <c r="B698" t="s">
        <v>878</v>
      </c>
      <c r="C698">
        <v>44267</v>
      </c>
      <c r="D698" t="s">
        <v>879</v>
      </c>
      <c r="E698" t="s">
        <v>887</v>
      </c>
      <c r="F698" t="s">
        <v>881</v>
      </c>
      <c r="G698">
        <v>105146547</v>
      </c>
      <c r="H698"/>
      <c r="I698"/>
      <c r="J698"/>
      <c r="K698" t="s">
        <v>853</v>
      </c>
    </row>
    <row r="699" spans="1:11">
      <c r="A699">
        <v>44270</v>
      </c>
      <c r="B699" t="s">
        <v>878</v>
      </c>
      <c r="C699">
        <v>44267</v>
      </c>
      <c r="D699" t="s">
        <v>879</v>
      </c>
      <c r="E699" t="s">
        <v>888</v>
      </c>
      <c r="F699" t="s">
        <v>881</v>
      </c>
      <c r="G699">
        <v>105146547</v>
      </c>
      <c r="H699"/>
      <c r="I699"/>
      <c r="J699"/>
      <c r="K699" t="s">
        <v>853</v>
      </c>
    </row>
    <row r="700" spans="1:11">
      <c r="A700">
        <v>44271</v>
      </c>
      <c r="B700">
        <v>23105063544</v>
      </c>
      <c r="C700">
        <v>44270</v>
      </c>
      <c r="D700" t="s">
        <v>889</v>
      </c>
      <c r="E700" t="s">
        <v>890</v>
      </c>
      <c r="F700" t="s">
        <v>264</v>
      </c>
      <c r="G700" t="s">
        <v>891</v>
      </c>
      <c r="H700"/>
      <c r="I700"/>
      <c r="J700"/>
      <c r="K700" t="s">
        <v>853</v>
      </c>
    </row>
    <row r="701" spans="1:11">
      <c r="A701">
        <v>44271</v>
      </c>
      <c r="B701">
        <v>23105063544</v>
      </c>
      <c r="C701">
        <v>44270</v>
      </c>
      <c r="D701" t="s">
        <v>889</v>
      </c>
      <c r="E701" t="s">
        <v>892</v>
      </c>
      <c r="F701" t="s">
        <v>264</v>
      </c>
      <c r="G701" t="s">
        <v>891</v>
      </c>
      <c r="H701"/>
      <c r="I701"/>
      <c r="J701"/>
      <c r="K701" t="s">
        <v>853</v>
      </c>
    </row>
    <row r="702" spans="1:11">
      <c r="A702">
        <v>44271</v>
      </c>
      <c r="B702">
        <v>23105063544</v>
      </c>
      <c r="C702">
        <v>44270</v>
      </c>
      <c r="D702" t="s">
        <v>889</v>
      </c>
      <c r="E702" t="s">
        <v>893</v>
      </c>
      <c r="F702" t="s">
        <v>264</v>
      </c>
      <c r="G702" t="s">
        <v>891</v>
      </c>
      <c r="H702"/>
      <c r="I702"/>
      <c r="J702"/>
      <c r="K702" t="s">
        <v>866</v>
      </c>
    </row>
    <row r="703" spans="1:11">
      <c r="A703">
        <v>44271</v>
      </c>
      <c r="B703">
        <v>23105063544</v>
      </c>
      <c r="C703">
        <v>44270</v>
      </c>
      <c r="D703" t="s">
        <v>889</v>
      </c>
      <c r="E703" t="s">
        <v>894</v>
      </c>
      <c r="F703" t="s">
        <v>264</v>
      </c>
      <c r="G703" t="s">
        <v>891</v>
      </c>
      <c r="H703"/>
      <c r="I703"/>
      <c r="J703"/>
      <c r="K703" t="s">
        <v>866</v>
      </c>
    </row>
    <row r="704" spans="1:11">
      <c r="A704">
        <v>44266</v>
      </c>
      <c r="B704" t="s">
        <v>902</v>
      </c>
      <c r="C704">
        <v>44264</v>
      </c>
      <c r="D704" t="s">
        <v>903</v>
      </c>
      <c r="E704" t="s">
        <v>904</v>
      </c>
      <c r="F704" t="s">
        <v>905</v>
      </c>
      <c r="G704">
        <v>131023156</v>
      </c>
      <c r="H704"/>
      <c r="I704"/>
      <c r="J704"/>
      <c r="K704" t="s">
        <v>901</v>
      </c>
    </row>
    <row r="705" spans="1:11">
      <c r="A705">
        <v>44266</v>
      </c>
      <c r="B705" t="s">
        <v>902</v>
      </c>
      <c r="C705">
        <v>44264</v>
      </c>
      <c r="D705" t="s">
        <v>903</v>
      </c>
      <c r="E705" t="s">
        <v>906</v>
      </c>
      <c r="F705" t="s">
        <v>905</v>
      </c>
      <c r="G705">
        <v>131023156</v>
      </c>
      <c r="H705"/>
      <c r="I705"/>
      <c r="J705"/>
      <c r="K705" t="s">
        <v>901</v>
      </c>
    </row>
    <row r="706" spans="1:11">
      <c r="A706">
        <v>44266</v>
      </c>
      <c r="B706" t="s">
        <v>902</v>
      </c>
      <c r="C706">
        <v>44264</v>
      </c>
      <c r="D706" t="s">
        <v>903</v>
      </c>
      <c r="E706" t="s">
        <v>907</v>
      </c>
      <c r="F706" t="s">
        <v>905</v>
      </c>
      <c r="G706">
        <v>131023156</v>
      </c>
      <c r="H706"/>
      <c r="I706"/>
      <c r="J706"/>
      <c r="K706" t="s">
        <v>901</v>
      </c>
    </row>
    <row r="707" spans="1:11">
      <c r="A707">
        <v>44266</v>
      </c>
      <c r="B707" t="s">
        <v>902</v>
      </c>
      <c r="C707">
        <v>44264</v>
      </c>
      <c r="D707" t="s">
        <v>903</v>
      </c>
      <c r="E707" t="s">
        <v>908</v>
      </c>
      <c r="F707" t="s">
        <v>905</v>
      </c>
      <c r="G707">
        <v>131023156</v>
      </c>
      <c r="H707"/>
      <c r="I707"/>
      <c r="J707"/>
      <c r="K707" t="s">
        <v>901</v>
      </c>
    </row>
    <row r="708" spans="1:11">
      <c r="A708">
        <v>44266</v>
      </c>
      <c r="B708">
        <v>23105032994</v>
      </c>
      <c r="C708">
        <v>44265</v>
      </c>
      <c r="D708" t="s">
        <v>909</v>
      </c>
      <c r="E708" t="s">
        <v>910</v>
      </c>
      <c r="F708" t="s">
        <v>264</v>
      </c>
      <c r="G708" t="s">
        <v>911</v>
      </c>
      <c r="H708"/>
      <c r="I708"/>
      <c r="J708"/>
      <c r="K708" t="s">
        <v>901</v>
      </c>
    </row>
    <row r="709" spans="1:11">
      <c r="A709">
        <v>44266</v>
      </c>
      <c r="B709">
        <v>23105032994</v>
      </c>
      <c r="C709">
        <v>44265</v>
      </c>
      <c r="D709" t="s">
        <v>909</v>
      </c>
      <c r="E709" t="s">
        <v>912</v>
      </c>
      <c r="F709" t="s">
        <v>264</v>
      </c>
      <c r="G709" t="s">
        <v>911</v>
      </c>
      <c r="H709">
        <v>44272</v>
      </c>
      <c r="I709">
        <v>44272</v>
      </c>
      <c r="J709" t="s">
        <v>913</v>
      </c>
      <c r="K709" t="s">
        <v>901</v>
      </c>
    </row>
    <row r="710" spans="1:11">
      <c r="A710">
        <v>44270</v>
      </c>
      <c r="B710" t="s">
        <v>223</v>
      </c>
      <c r="C710">
        <v>44267</v>
      </c>
      <c r="D710" t="s">
        <v>914</v>
      </c>
      <c r="E710" t="s">
        <v>915</v>
      </c>
      <c r="F710" t="s">
        <v>210</v>
      </c>
      <c r="G710">
        <v>931199931</v>
      </c>
      <c r="H710"/>
      <c r="I710"/>
      <c r="J710"/>
      <c r="K710" t="s">
        <v>901</v>
      </c>
    </row>
    <row r="711" spans="1:11">
      <c r="A711">
        <v>44270</v>
      </c>
      <c r="B711" t="s">
        <v>223</v>
      </c>
      <c r="C711">
        <v>44267</v>
      </c>
      <c r="D711" t="s">
        <v>916</v>
      </c>
      <c r="E711" t="s">
        <v>917</v>
      </c>
      <c r="F711" t="s">
        <v>210</v>
      </c>
      <c r="G711">
        <v>931199931</v>
      </c>
      <c r="H711"/>
      <c r="I711"/>
      <c r="J711"/>
      <c r="K711" t="s">
        <v>901</v>
      </c>
    </row>
    <row r="712" spans="1:11">
      <c r="A712"/>
      <c r="B712"/>
      <c r="C712"/>
      <c r="D712" t="s">
        <v>918</v>
      </c>
      <c r="E712" t="s">
        <v>919</v>
      </c>
      <c r="F712"/>
      <c r="G712"/>
      <c r="H712"/>
      <c r="I712"/>
      <c r="J712"/>
      <c r="K712" t="s">
        <v>901</v>
      </c>
    </row>
    <row r="713" spans="1:11">
      <c r="A713"/>
      <c r="B713"/>
      <c r="C713"/>
      <c r="D713" t="s">
        <v>918</v>
      </c>
      <c r="E713" t="s">
        <v>920</v>
      </c>
      <c r="F713"/>
      <c r="G713"/>
      <c r="H713"/>
      <c r="I713"/>
      <c r="J713"/>
      <c r="K713" t="s">
        <v>901</v>
      </c>
    </row>
    <row r="714" spans="1:11">
      <c r="A714"/>
      <c r="B714"/>
      <c r="C714"/>
      <c r="D714" t="s">
        <v>921</v>
      </c>
      <c r="E714" t="s">
        <v>922</v>
      </c>
      <c r="F714"/>
      <c r="G714"/>
      <c r="H714"/>
      <c r="I714"/>
      <c r="J714"/>
      <c r="K714" t="s">
        <v>901</v>
      </c>
    </row>
    <row r="715" spans="1:11">
      <c r="A715">
        <v>44273</v>
      </c>
      <c r="B715" t="s">
        <v>923</v>
      </c>
      <c r="C715">
        <v>44271</v>
      </c>
      <c r="D715" t="s">
        <v>637</v>
      </c>
      <c r="E715" t="s">
        <v>924</v>
      </c>
      <c r="F715" t="s">
        <v>631</v>
      </c>
      <c r="G715" t="s">
        <v>925</v>
      </c>
      <c r="H715"/>
      <c r="I715"/>
      <c r="J715"/>
      <c r="K715" t="s">
        <v>901</v>
      </c>
    </row>
    <row r="716" spans="1:11">
      <c r="A716">
        <v>44273</v>
      </c>
      <c r="B716">
        <v>10811784915</v>
      </c>
      <c r="C716">
        <v>44272</v>
      </c>
      <c r="D716" t="s">
        <v>926</v>
      </c>
      <c r="E716" t="s">
        <v>927</v>
      </c>
      <c r="F716" t="s">
        <v>753</v>
      </c>
      <c r="G716">
        <v>40023499</v>
      </c>
      <c r="H716"/>
      <c r="I716"/>
      <c r="J716"/>
      <c r="K716" t="s">
        <v>901</v>
      </c>
    </row>
    <row r="717" spans="1:11">
      <c r="A717">
        <v>44245</v>
      </c>
      <c r="B717" t="s">
        <v>953</v>
      </c>
      <c r="C717">
        <v>44243</v>
      </c>
      <c r="D717" t="s">
        <v>362</v>
      </c>
      <c r="E717" t="s">
        <v>928</v>
      </c>
      <c r="F717" t="s">
        <v>202</v>
      </c>
      <c r="G717" t="s">
        <v>929</v>
      </c>
      <c r="H717"/>
      <c r="I717"/>
      <c r="J717"/>
      <c r="K717" t="s">
        <v>930</v>
      </c>
    </row>
    <row r="718" spans="1:11">
      <c r="A718">
        <v>44259</v>
      </c>
      <c r="B718">
        <v>23104984264</v>
      </c>
      <c r="C718">
        <v>44258</v>
      </c>
      <c r="D718" t="s">
        <v>705</v>
      </c>
      <c r="E718" t="s">
        <v>931</v>
      </c>
      <c r="F718" t="s">
        <v>264</v>
      </c>
      <c r="G718" t="s">
        <v>932</v>
      </c>
      <c r="H718"/>
      <c r="I718"/>
      <c r="J718"/>
      <c r="K718" t="s">
        <v>930</v>
      </c>
    </row>
    <row r="719" spans="1:11">
      <c r="A719">
        <v>44259</v>
      </c>
      <c r="B719">
        <v>23104984264</v>
      </c>
      <c r="C719">
        <v>44258</v>
      </c>
      <c r="D719" t="s">
        <v>705</v>
      </c>
      <c r="E719" t="s">
        <v>933</v>
      </c>
      <c r="F719" t="s">
        <v>264</v>
      </c>
      <c r="G719" t="s">
        <v>932</v>
      </c>
      <c r="H719"/>
      <c r="I719"/>
      <c r="J719"/>
      <c r="K719" t="s">
        <v>930</v>
      </c>
    </row>
    <row r="720" spans="1:11">
      <c r="A720">
        <v>44270</v>
      </c>
      <c r="B720" t="s">
        <v>223</v>
      </c>
      <c r="C720">
        <v>44267</v>
      </c>
      <c r="D720" t="s">
        <v>934</v>
      </c>
      <c r="E720" t="s">
        <v>935</v>
      </c>
      <c r="F720" t="s">
        <v>210</v>
      </c>
      <c r="G720">
        <v>931199925</v>
      </c>
      <c r="H720"/>
      <c r="I720"/>
      <c r="J720"/>
      <c r="K720" t="s">
        <v>930</v>
      </c>
    </row>
    <row r="721" spans="1:11">
      <c r="A721">
        <v>44270</v>
      </c>
      <c r="B721" t="s">
        <v>223</v>
      </c>
      <c r="C721">
        <v>44267</v>
      </c>
      <c r="D721" t="s">
        <v>786</v>
      </c>
      <c r="E721" t="s">
        <v>936</v>
      </c>
      <c r="F721" t="s">
        <v>210</v>
      </c>
      <c r="G721">
        <v>931199925</v>
      </c>
      <c r="H721"/>
      <c r="I721"/>
      <c r="J721"/>
      <c r="K721" t="s">
        <v>930</v>
      </c>
    </row>
    <row r="722" spans="1:11">
      <c r="A722">
        <v>44270</v>
      </c>
      <c r="B722" t="s">
        <v>223</v>
      </c>
      <c r="C722">
        <v>44267</v>
      </c>
      <c r="D722" t="s">
        <v>786</v>
      </c>
      <c r="E722" t="s">
        <v>937</v>
      </c>
      <c r="F722" t="s">
        <v>210</v>
      </c>
      <c r="G722">
        <v>931199925</v>
      </c>
      <c r="H722"/>
      <c r="I722"/>
      <c r="J722"/>
      <c r="K722" t="s">
        <v>930</v>
      </c>
    </row>
    <row r="723" spans="1:11">
      <c r="A723">
        <v>44270</v>
      </c>
      <c r="B723" t="s">
        <v>223</v>
      </c>
      <c r="C723">
        <v>44267</v>
      </c>
      <c r="D723" t="s">
        <v>786</v>
      </c>
      <c r="E723" t="s">
        <v>938</v>
      </c>
      <c r="F723" t="s">
        <v>210</v>
      </c>
      <c r="G723">
        <v>931199925</v>
      </c>
      <c r="H723"/>
      <c r="I723"/>
      <c r="J723"/>
      <c r="K723" t="s">
        <v>930</v>
      </c>
    </row>
    <row r="724" spans="1:11">
      <c r="A724">
        <v>44270</v>
      </c>
      <c r="B724" t="s">
        <v>223</v>
      </c>
      <c r="C724">
        <v>44267</v>
      </c>
      <c r="D724" t="s">
        <v>786</v>
      </c>
      <c r="E724" t="s">
        <v>939</v>
      </c>
      <c r="F724" t="s">
        <v>210</v>
      </c>
      <c r="G724">
        <v>931199925</v>
      </c>
      <c r="H724"/>
      <c r="I724"/>
      <c r="J724"/>
      <c r="K724" t="s">
        <v>930</v>
      </c>
    </row>
    <row r="725" spans="1:11">
      <c r="A725">
        <v>44270</v>
      </c>
      <c r="B725" t="s">
        <v>223</v>
      </c>
      <c r="C725">
        <v>44267</v>
      </c>
      <c r="D725" t="s">
        <v>786</v>
      </c>
      <c r="E725" t="s">
        <v>940</v>
      </c>
      <c r="F725" t="s">
        <v>210</v>
      </c>
      <c r="G725">
        <v>931199925</v>
      </c>
      <c r="H725"/>
      <c r="I725"/>
      <c r="J725"/>
      <c r="K725" t="s">
        <v>930</v>
      </c>
    </row>
    <row r="726" spans="1:11">
      <c r="A726">
        <v>44270</v>
      </c>
      <c r="B726" t="s">
        <v>223</v>
      </c>
      <c r="C726">
        <v>44267</v>
      </c>
      <c r="D726" t="s">
        <v>786</v>
      </c>
      <c r="E726" t="s">
        <v>941</v>
      </c>
      <c r="F726" t="s">
        <v>210</v>
      </c>
      <c r="G726">
        <v>931199925</v>
      </c>
      <c r="H726"/>
      <c r="I726"/>
      <c r="J726"/>
      <c r="K726" t="s">
        <v>930</v>
      </c>
    </row>
    <row r="727" spans="1:11">
      <c r="A727">
        <v>44284</v>
      </c>
      <c r="B727" t="s">
        <v>954</v>
      </c>
      <c r="C727">
        <v>44281</v>
      </c>
      <c r="D727" t="s">
        <v>942</v>
      </c>
      <c r="E727" t="s">
        <v>943</v>
      </c>
      <c r="F727" t="s">
        <v>210</v>
      </c>
      <c r="G727"/>
      <c r="H727"/>
      <c r="I727"/>
      <c r="J727"/>
      <c r="K727" t="s">
        <v>930</v>
      </c>
    </row>
    <row r="728" spans="1:11">
      <c r="A728"/>
      <c r="B728"/>
      <c r="C728"/>
      <c r="D728" t="s">
        <v>944</v>
      </c>
      <c r="E728" t="s">
        <v>945</v>
      </c>
      <c r="F728"/>
      <c r="G728"/>
      <c r="H728"/>
      <c r="I728"/>
      <c r="J728"/>
      <c r="K728" t="s">
        <v>930</v>
      </c>
    </row>
    <row r="729" spans="1:11">
      <c r="A729"/>
      <c r="B729"/>
      <c r="C729"/>
      <c r="D729" t="s">
        <v>946</v>
      </c>
      <c r="E729" t="s">
        <v>947</v>
      </c>
      <c r="F729"/>
      <c r="G729"/>
      <c r="H729"/>
      <c r="I729"/>
      <c r="J729"/>
      <c r="K729" t="s">
        <v>930</v>
      </c>
    </row>
    <row r="730" spans="1:11">
      <c r="A730"/>
      <c r="B730"/>
      <c r="C730"/>
      <c r="D730" t="s">
        <v>581</v>
      </c>
      <c r="E730" t="s">
        <v>948</v>
      </c>
      <c r="F730"/>
      <c r="G730"/>
      <c r="H730"/>
      <c r="I730"/>
      <c r="J730"/>
      <c r="K730" t="s">
        <v>930</v>
      </c>
    </row>
    <row r="731" spans="1:11">
      <c r="A731"/>
      <c r="B731"/>
      <c r="C731"/>
      <c r="D731" t="s">
        <v>949</v>
      </c>
      <c r="E731" t="s">
        <v>950</v>
      </c>
      <c r="F731"/>
      <c r="G731"/>
      <c r="H731"/>
      <c r="I731"/>
      <c r="J731"/>
      <c r="K731" t="s">
        <v>930</v>
      </c>
    </row>
    <row r="732" spans="1:11">
      <c r="A732"/>
      <c r="B732"/>
      <c r="C732"/>
      <c r="D732" t="s">
        <v>773</v>
      </c>
      <c r="E732" t="s">
        <v>951</v>
      </c>
      <c r="F732"/>
      <c r="G732"/>
      <c r="H732"/>
      <c r="I732"/>
      <c r="J732"/>
      <c r="K732" t="s">
        <v>930</v>
      </c>
    </row>
    <row r="733" spans="1:11">
      <c r="A733"/>
      <c r="B733"/>
      <c r="C733"/>
      <c r="D733" t="s">
        <v>293</v>
      </c>
      <c r="E733" t="s">
        <v>952</v>
      </c>
      <c r="F733"/>
      <c r="G733"/>
      <c r="H733"/>
      <c r="I733"/>
      <c r="J733"/>
      <c r="K733" t="s">
        <v>930</v>
      </c>
    </row>
    <row r="734" spans="1:11">
      <c r="A734">
        <v>44250</v>
      </c>
      <c r="B734" t="s">
        <v>955</v>
      </c>
      <c r="C734">
        <v>44246</v>
      </c>
      <c r="D734" t="s">
        <v>956</v>
      </c>
      <c r="E734" t="s">
        <v>957</v>
      </c>
      <c r="F734" t="s">
        <v>905</v>
      </c>
      <c r="G734">
        <v>131002186</v>
      </c>
      <c r="H734"/>
      <c r="I734"/>
      <c r="J734"/>
      <c r="K734" t="s">
        <v>958</v>
      </c>
    </row>
    <row r="735" spans="1:11">
      <c r="A735">
        <v>44250</v>
      </c>
      <c r="B735" t="s">
        <v>955</v>
      </c>
      <c r="C735">
        <v>44246</v>
      </c>
      <c r="D735" t="s">
        <v>956</v>
      </c>
      <c r="E735" t="s">
        <v>959</v>
      </c>
      <c r="F735" t="s">
        <v>905</v>
      </c>
      <c r="G735">
        <v>131002186</v>
      </c>
      <c r="H735"/>
      <c r="I735"/>
      <c r="J735"/>
      <c r="K735" t="s">
        <v>958</v>
      </c>
    </row>
    <row r="736" spans="1:11">
      <c r="A736">
        <v>44271</v>
      </c>
      <c r="B736" t="s">
        <v>960</v>
      </c>
      <c r="C736">
        <v>44267</v>
      </c>
      <c r="D736" t="s">
        <v>701</v>
      </c>
      <c r="E736" t="s">
        <v>961</v>
      </c>
      <c r="F736" t="s">
        <v>905</v>
      </c>
      <c r="G736">
        <v>131028207</v>
      </c>
      <c r="H736"/>
      <c r="I736"/>
      <c r="J736"/>
      <c r="K736" t="s">
        <v>958</v>
      </c>
    </row>
    <row r="737" spans="1:11">
      <c r="A737">
        <v>44281</v>
      </c>
      <c r="B737">
        <v>23105147727</v>
      </c>
      <c r="C737">
        <v>44280</v>
      </c>
      <c r="D737" t="s">
        <v>962</v>
      </c>
      <c r="E737" t="s">
        <v>963</v>
      </c>
      <c r="F737" t="s">
        <v>264</v>
      </c>
      <c r="G737" t="s">
        <v>964</v>
      </c>
      <c r="H737"/>
      <c r="I737"/>
      <c r="J737"/>
      <c r="K737" t="s">
        <v>958</v>
      </c>
    </row>
    <row r="738" spans="1:11">
      <c r="A738">
        <v>44292</v>
      </c>
      <c r="B738" t="s">
        <v>954</v>
      </c>
      <c r="C738">
        <v>44287</v>
      </c>
      <c r="D738" t="s">
        <v>965</v>
      </c>
      <c r="E738" t="s">
        <v>966</v>
      </c>
      <c r="F738" t="s">
        <v>210</v>
      </c>
      <c r="G738"/>
      <c r="H738"/>
      <c r="I738"/>
      <c r="J738"/>
      <c r="K738" t="s">
        <v>958</v>
      </c>
    </row>
    <row r="739" spans="1:11">
      <c r="A739"/>
      <c r="B739"/>
      <c r="C739"/>
      <c r="D739" t="s">
        <v>967</v>
      </c>
      <c r="E739" t="s">
        <v>968</v>
      </c>
      <c r="F739"/>
      <c r="G739"/>
      <c r="H739"/>
      <c r="I739"/>
      <c r="J739"/>
      <c r="K739" t="s">
        <v>958</v>
      </c>
    </row>
    <row r="740" spans="1:11">
      <c r="A740"/>
      <c r="B740"/>
      <c r="C740"/>
      <c r="D740" t="s">
        <v>969</v>
      </c>
      <c r="E740" t="s">
        <v>970</v>
      </c>
      <c r="F740"/>
      <c r="G740"/>
      <c r="H740"/>
      <c r="I740"/>
      <c r="J740"/>
      <c r="K740" t="s">
        <v>958</v>
      </c>
    </row>
    <row r="741" spans="1:11">
      <c r="A741"/>
      <c r="B741"/>
      <c r="C741"/>
      <c r="D741" t="s">
        <v>971</v>
      </c>
      <c r="E741" t="s">
        <v>972</v>
      </c>
      <c r="F741"/>
      <c r="G741"/>
      <c r="H741"/>
      <c r="I741"/>
      <c r="J741"/>
      <c r="K741" t="s">
        <v>958</v>
      </c>
    </row>
    <row r="742" spans="1:11">
      <c r="A742"/>
      <c r="B742"/>
      <c r="C742"/>
      <c r="D742" t="s">
        <v>975</v>
      </c>
      <c r="E742" t="s">
        <v>973</v>
      </c>
      <c r="F742"/>
      <c r="G742"/>
      <c r="H742"/>
      <c r="I742"/>
      <c r="J742"/>
      <c r="K742" t="s">
        <v>958</v>
      </c>
    </row>
    <row r="743" spans="1:11">
      <c r="A743"/>
      <c r="B743"/>
      <c r="C743"/>
      <c r="D743" t="s">
        <v>17</v>
      </c>
      <c r="E743" t="s">
        <v>974</v>
      </c>
      <c r="F743"/>
      <c r="G743"/>
      <c r="H743"/>
      <c r="I743"/>
      <c r="J743"/>
      <c r="K743" t="s">
        <v>958</v>
      </c>
    </row>
    <row r="744" spans="1:11">
      <c r="A744"/>
      <c r="B744"/>
      <c r="C744"/>
      <c r="D744" t="s">
        <v>976</v>
      </c>
      <c r="E744" t="s">
        <v>977</v>
      </c>
      <c r="F744"/>
      <c r="G744"/>
      <c r="H744"/>
      <c r="I744"/>
      <c r="J744"/>
      <c r="K744" t="s">
        <v>958</v>
      </c>
    </row>
    <row r="745" spans="1:11">
      <c r="A745">
        <v>44203</v>
      </c>
      <c r="B745">
        <v>785072248</v>
      </c>
      <c r="C745"/>
      <c r="D745" t="s">
        <v>978</v>
      </c>
      <c r="E745" t="s">
        <v>979</v>
      </c>
      <c r="F745" t="s">
        <v>607</v>
      </c>
      <c r="G745"/>
      <c r="H745"/>
      <c r="I745"/>
      <c r="J745"/>
      <c r="K745" t="s">
        <v>1189</v>
      </c>
    </row>
    <row r="746" spans="1:11">
      <c r="A746">
        <v>44264</v>
      </c>
      <c r="B746">
        <v>192437150</v>
      </c>
      <c r="C746"/>
      <c r="D746" t="s">
        <v>980</v>
      </c>
      <c r="E746" t="s">
        <v>981</v>
      </c>
      <c r="F746" t="s">
        <v>982</v>
      </c>
      <c r="G746"/>
      <c r="H746"/>
      <c r="I746"/>
      <c r="J746"/>
      <c r="K746" t="s">
        <v>1190</v>
      </c>
    </row>
    <row r="747" spans="1:11">
      <c r="A747">
        <v>44264</v>
      </c>
      <c r="B747">
        <v>192437150</v>
      </c>
      <c r="C747"/>
      <c r="D747" t="s">
        <v>980</v>
      </c>
      <c r="E747" t="s">
        <v>983</v>
      </c>
      <c r="F747" t="s">
        <v>982</v>
      </c>
      <c r="G747"/>
      <c r="H747"/>
      <c r="I747"/>
      <c r="J747"/>
      <c r="K747" t="s">
        <v>1191</v>
      </c>
    </row>
    <row r="748" spans="1:11">
      <c r="A748">
        <v>44264</v>
      </c>
      <c r="B748">
        <v>192437150</v>
      </c>
      <c r="C748"/>
      <c r="D748" t="s">
        <v>980</v>
      </c>
      <c r="E748" t="s">
        <v>984</v>
      </c>
      <c r="F748" t="s">
        <v>982</v>
      </c>
      <c r="G748"/>
      <c r="H748"/>
      <c r="I748"/>
      <c r="J748"/>
      <c r="K748" t="s">
        <v>1192</v>
      </c>
    </row>
    <row r="749" spans="1:11">
      <c r="A749">
        <v>44264</v>
      </c>
      <c r="B749">
        <v>192437150</v>
      </c>
      <c r="C749"/>
      <c r="D749" t="s">
        <v>980</v>
      </c>
      <c r="E749" t="s">
        <v>985</v>
      </c>
      <c r="F749" t="s">
        <v>982</v>
      </c>
      <c r="G749"/>
      <c r="H749"/>
      <c r="I749"/>
      <c r="J749"/>
      <c r="K749" t="s">
        <v>1193</v>
      </c>
    </row>
    <row r="750" spans="1:11">
      <c r="A750">
        <v>44264</v>
      </c>
      <c r="B750">
        <v>192437150</v>
      </c>
      <c r="C750"/>
      <c r="D750" t="s">
        <v>980</v>
      </c>
      <c r="E750" t="s">
        <v>986</v>
      </c>
      <c r="F750" t="s">
        <v>982</v>
      </c>
      <c r="G750"/>
      <c r="H750"/>
      <c r="I750"/>
      <c r="J750"/>
      <c r="K750" t="s">
        <v>1194</v>
      </c>
    </row>
    <row r="751" spans="1:11">
      <c r="A751">
        <v>44264</v>
      </c>
      <c r="B751">
        <v>192437150</v>
      </c>
      <c r="C751"/>
      <c r="D751" t="s">
        <v>980</v>
      </c>
      <c r="E751" t="s">
        <v>987</v>
      </c>
      <c r="F751" t="s">
        <v>982</v>
      </c>
      <c r="G751"/>
      <c r="H751"/>
      <c r="I751"/>
      <c r="J751"/>
      <c r="K751" t="s">
        <v>1195</v>
      </c>
    </row>
    <row r="752" spans="1:11">
      <c r="A752">
        <v>44264</v>
      </c>
      <c r="B752">
        <v>192437150</v>
      </c>
      <c r="C752"/>
      <c r="D752" t="s">
        <v>980</v>
      </c>
      <c r="E752" t="s">
        <v>988</v>
      </c>
      <c r="F752" t="s">
        <v>982</v>
      </c>
      <c r="G752"/>
      <c r="H752"/>
      <c r="I752"/>
      <c r="J752"/>
      <c r="K752" t="s">
        <v>1196</v>
      </c>
    </row>
    <row r="753" spans="1:11">
      <c r="A753">
        <v>44264</v>
      </c>
      <c r="B753">
        <v>192437150</v>
      </c>
      <c r="C753"/>
      <c r="D753" t="s">
        <v>980</v>
      </c>
      <c r="E753" t="s">
        <v>989</v>
      </c>
      <c r="F753" t="s">
        <v>982</v>
      </c>
      <c r="G753"/>
      <c r="H753"/>
      <c r="I753"/>
      <c r="J753"/>
      <c r="K753" t="s">
        <v>1197</v>
      </c>
    </row>
    <row r="754" spans="1:11">
      <c r="A754">
        <v>44281</v>
      </c>
      <c r="B754" t="s">
        <v>990</v>
      </c>
      <c r="C754">
        <v>44280</v>
      </c>
      <c r="D754" t="s">
        <v>991</v>
      </c>
      <c r="E754" t="s">
        <v>992</v>
      </c>
      <c r="F754" t="s">
        <v>202</v>
      </c>
      <c r="G754" t="s">
        <v>993</v>
      </c>
      <c r="H754"/>
      <c r="I754"/>
      <c r="J754"/>
      <c r="K754" t="s">
        <v>1189</v>
      </c>
    </row>
    <row r="755" spans="1:11">
      <c r="A755">
        <v>44281</v>
      </c>
      <c r="B755" t="s">
        <v>990</v>
      </c>
      <c r="C755">
        <v>44280</v>
      </c>
      <c r="D755" t="s">
        <v>991</v>
      </c>
      <c r="E755" t="s">
        <v>994</v>
      </c>
      <c r="F755" t="s">
        <v>202</v>
      </c>
      <c r="G755" t="s">
        <v>993</v>
      </c>
      <c r="H755"/>
      <c r="I755"/>
      <c r="J755"/>
      <c r="K755" t="s">
        <v>1189</v>
      </c>
    </row>
    <row r="756" spans="1:11">
      <c r="A756">
        <v>44281</v>
      </c>
      <c r="B756" t="s">
        <v>990</v>
      </c>
      <c r="C756">
        <v>44280</v>
      </c>
      <c r="D756" t="s">
        <v>991</v>
      </c>
      <c r="E756" t="s">
        <v>995</v>
      </c>
      <c r="F756" t="s">
        <v>202</v>
      </c>
      <c r="G756" t="s">
        <v>993</v>
      </c>
      <c r="H756"/>
      <c r="I756"/>
      <c r="J756"/>
      <c r="K756" t="s">
        <v>1189</v>
      </c>
    </row>
    <row r="757" spans="1:11">
      <c r="A757">
        <v>44281</v>
      </c>
      <c r="B757" t="s">
        <v>990</v>
      </c>
      <c r="C757">
        <v>44280</v>
      </c>
      <c r="D757" t="s">
        <v>991</v>
      </c>
      <c r="E757" t="s">
        <v>996</v>
      </c>
      <c r="F757" t="s">
        <v>202</v>
      </c>
      <c r="G757" t="s">
        <v>993</v>
      </c>
      <c r="H757"/>
      <c r="I757"/>
      <c r="J757"/>
      <c r="K757" t="s">
        <v>1189</v>
      </c>
    </row>
    <row r="758" spans="1:11">
      <c r="A758">
        <v>44281</v>
      </c>
      <c r="B758" t="s">
        <v>990</v>
      </c>
      <c r="C758">
        <v>44280</v>
      </c>
      <c r="D758" t="s">
        <v>991</v>
      </c>
      <c r="E758" t="s">
        <v>997</v>
      </c>
      <c r="F758" t="s">
        <v>202</v>
      </c>
      <c r="G758" t="s">
        <v>993</v>
      </c>
      <c r="H758"/>
      <c r="I758"/>
      <c r="J758"/>
      <c r="K758" t="s">
        <v>1189</v>
      </c>
    </row>
    <row r="759" spans="1:11">
      <c r="A759">
        <v>44281</v>
      </c>
      <c r="B759" t="s">
        <v>990</v>
      </c>
      <c r="C759">
        <v>44280</v>
      </c>
      <c r="D759" t="s">
        <v>991</v>
      </c>
      <c r="E759" t="s">
        <v>998</v>
      </c>
      <c r="F759" t="s">
        <v>202</v>
      </c>
      <c r="G759" t="s">
        <v>993</v>
      </c>
      <c r="H759"/>
      <c r="I759"/>
      <c r="J759"/>
      <c r="K759" t="s">
        <v>1189</v>
      </c>
    </row>
    <row r="760" spans="1:11">
      <c r="A760">
        <v>44281</v>
      </c>
      <c r="B760" t="s">
        <v>990</v>
      </c>
      <c r="C760">
        <v>44280</v>
      </c>
      <c r="D760" t="s">
        <v>991</v>
      </c>
      <c r="E760" t="s">
        <v>999</v>
      </c>
      <c r="F760" t="s">
        <v>202</v>
      </c>
      <c r="G760" t="s">
        <v>993</v>
      </c>
      <c r="H760"/>
      <c r="I760"/>
      <c r="J760"/>
      <c r="K760" t="s">
        <v>1189</v>
      </c>
    </row>
    <row r="761" spans="1:11">
      <c r="A761">
        <v>44281</v>
      </c>
      <c r="B761" t="s">
        <v>990</v>
      </c>
      <c r="C761">
        <v>44280</v>
      </c>
      <c r="D761" t="s">
        <v>991</v>
      </c>
      <c r="E761" t="s">
        <v>1000</v>
      </c>
      <c r="F761" t="s">
        <v>202</v>
      </c>
      <c r="G761" t="s">
        <v>993</v>
      </c>
      <c r="H761"/>
      <c r="I761"/>
      <c r="J761"/>
      <c r="K761" t="s">
        <v>1189</v>
      </c>
    </row>
    <row r="762" spans="1:11">
      <c r="A762">
        <v>44281</v>
      </c>
      <c r="B762" t="s">
        <v>990</v>
      </c>
      <c r="C762">
        <v>44280</v>
      </c>
      <c r="D762" t="s">
        <v>991</v>
      </c>
      <c r="E762" t="s">
        <v>1001</v>
      </c>
      <c r="F762" t="s">
        <v>202</v>
      </c>
      <c r="G762" t="s">
        <v>993</v>
      </c>
      <c r="H762"/>
      <c r="I762"/>
      <c r="J762"/>
      <c r="K762" t="s">
        <v>1189</v>
      </c>
    </row>
    <row r="763" spans="1:11">
      <c r="A763">
        <v>44281</v>
      </c>
      <c r="B763" t="s">
        <v>990</v>
      </c>
      <c r="C763">
        <v>44280</v>
      </c>
      <c r="D763" t="s">
        <v>991</v>
      </c>
      <c r="E763" t="s">
        <v>1002</v>
      </c>
      <c r="F763" t="s">
        <v>202</v>
      </c>
      <c r="G763" t="s">
        <v>993</v>
      </c>
      <c r="H763"/>
      <c r="I763"/>
      <c r="J763"/>
      <c r="K763" t="s">
        <v>1189</v>
      </c>
    </row>
    <row r="764" spans="1:11">
      <c r="A764">
        <v>44285</v>
      </c>
      <c r="B764">
        <v>10811807680</v>
      </c>
      <c r="C764">
        <v>44284</v>
      </c>
      <c r="D764" t="s">
        <v>751</v>
      </c>
      <c r="E764" t="s">
        <v>1003</v>
      </c>
      <c r="F764" t="s">
        <v>753</v>
      </c>
      <c r="G764">
        <v>40029049</v>
      </c>
      <c r="H764"/>
      <c r="I764"/>
      <c r="J764"/>
      <c r="K764" t="s">
        <v>1189</v>
      </c>
    </row>
    <row r="765" spans="1:11">
      <c r="A765">
        <v>44298</v>
      </c>
      <c r="B765" t="s">
        <v>954</v>
      </c>
      <c r="C765">
        <v>44295</v>
      </c>
      <c r="D765" t="s">
        <v>1004</v>
      </c>
      <c r="E765" t="s">
        <v>1005</v>
      </c>
      <c r="F765" t="s">
        <v>210</v>
      </c>
      <c r="G765"/>
      <c r="H765"/>
      <c r="I765"/>
      <c r="J765"/>
      <c r="K765" t="s">
        <v>1192</v>
      </c>
    </row>
    <row r="766" spans="1:11">
      <c r="A766"/>
      <c r="B766"/>
      <c r="C766"/>
      <c r="D766" t="s">
        <v>1006</v>
      </c>
      <c r="E766" t="s">
        <v>1007</v>
      </c>
      <c r="F766"/>
      <c r="G766"/>
      <c r="H766"/>
      <c r="I766"/>
      <c r="J766"/>
      <c r="K766" t="s">
        <v>1192</v>
      </c>
    </row>
    <row r="767" spans="1:11">
      <c r="A767"/>
      <c r="B767"/>
      <c r="C767"/>
      <c r="D767" t="s">
        <v>1008</v>
      </c>
      <c r="E767" t="s">
        <v>1009</v>
      </c>
      <c r="F767"/>
      <c r="G767"/>
      <c r="H767"/>
      <c r="I767"/>
      <c r="J767"/>
      <c r="K767" t="s">
        <v>1192</v>
      </c>
    </row>
    <row r="768" spans="1:11">
      <c r="A768"/>
      <c r="B768"/>
      <c r="C768"/>
      <c r="D768" t="s">
        <v>1008</v>
      </c>
      <c r="E768" t="s">
        <v>1010</v>
      </c>
      <c r="F768"/>
      <c r="G768"/>
      <c r="H768"/>
      <c r="I768"/>
      <c r="J768"/>
      <c r="K768" t="s">
        <v>1192</v>
      </c>
    </row>
    <row r="769" spans="1:11">
      <c r="A769"/>
      <c r="B769"/>
      <c r="C769"/>
      <c r="D769" t="s">
        <v>1011</v>
      </c>
      <c r="E769" t="s">
        <v>1012</v>
      </c>
      <c r="F769"/>
      <c r="G769"/>
      <c r="H769"/>
      <c r="I769"/>
      <c r="J769"/>
      <c r="K769" t="s">
        <v>1192</v>
      </c>
    </row>
    <row r="770" spans="1:11">
      <c r="A770"/>
      <c r="B770"/>
      <c r="C770"/>
      <c r="D770" t="s">
        <v>1013</v>
      </c>
      <c r="E770" t="s">
        <v>1014</v>
      </c>
      <c r="F770"/>
      <c r="G770"/>
      <c r="H770"/>
      <c r="I770"/>
      <c r="J770"/>
      <c r="K770" t="s">
        <v>1192</v>
      </c>
    </row>
    <row r="771" spans="1:11">
      <c r="A771"/>
      <c r="B771"/>
      <c r="C771"/>
      <c r="D771" t="s">
        <v>1015</v>
      </c>
      <c r="E771" t="s">
        <v>1016</v>
      </c>
      <c r="F771"/>
      <c r="G771"/>
      <c r="H771"/>
      <c r="I771"/>
      <c r="J771"/>
      <c r="K771" t="s">
        <v>1192</v>
      </c>
    </row>
    <row r="772" spans="1:11">
      <c r="A772"/>
      <c r="B772"/>
      <c r="C772"/>
      <c r="D772" t="s">
        <v>293</v>
      </c>
      <c r="E772" t="s">
        <v>1017</v>
      </c>
      <c r="F772"/>
      <c r="G772"/>
      <c r="H772"/>
      <c r="I772"/>
      <c r="J772"/>
      <c r="K772" t="s">
        <v>1192</v>
      </c>
    </row>
    <row r="773" spans="1:11">
      <c r="A773"/>
      <c r="B773"/>
      <c r="C773"/>
      <c r="D773" t="s">
        <v>1018</v>
      </c>
      <c r="E773" t="s">
        <v>1019</v>
      </c>
      <c r="F773"/>
      <c r="G773"/>
      <c r="H773"/>
      <c r="I773"/>
      <c r="J773"/>
      <c r="K773" t="s">
        <v>1192</v>
      </c>
    </row>
    <row r="774" spans="1:11">
      <c r="A774"/>
      <c r="B774"/>
      <c r="C774"/>
      <c r="D774" t="s">
        <v>980</v>
      </c>
      <c r="E774" t="s">
        <v>1020</v>
      </c>
      <c r="F774"/>
      <c r="G774"/>
      <c r="H774"/>
      <c r="I774"/>
      <c r="J774"/>
      <c r="K774" t="s">
        <v>1192</v>
      </c>
    </row>
    <row r="775" spans="1:11">
      <c r="A775"/>
      <c r="B775"/>
      <c r="C775"/>
      <c r="D775" t="s">
        <v>1155</v>
      </c>
      <c r="E775" t="s">
        <v>1021</v>
      </c>
      <c r="F775"/>
      <c r="G775"/>
      <c r="H775"/>
      <c r="I775"/>
      <c r="J775"/>
      <c r="K775" t="s">
        <v>1192</v>
      </c>
    </row>
    <row r="776" spans="1:11">
      <c r="A776"/>
      <c r="B776"/>
      <c r="C776"/>
      <c r="D776" t="s">
        <v>1155</v>
      </c>
      <c r="E776" t="s">
        <v>1022</v>
      </c>
      <c r="F776"/>
      <c r="G776"/>
      <c r="H776"/>
      <c r="I776"/>
      <c r="J776"/>
      <c r="K776" t="s">
        <v>1192</v>
      </c>
    </row>
    <row r="777" spans="1:11">
      <c r="A777"/>
      <c r="B777"/>
      <c r="C777"/>
      <c r="D777" t="s">
        <v>1155</v>
      </c>
      <c r="E777" t="s">
        <v>1023</v>
      </c>
      <c r="F777"/>
      <c r="G777"/>
      <c r="H777"/>
      <c r="I777"/>
      <c r="J777"/>
      <c r="K777" t="s">
        <v>1192</v>
      </c>
    </row>
    <row r="778" spans="1:11">
      <c r="A778"/>
      <c r="B778"/>
      <c r="C778"/>
      <c r="D778" t="s">
        <v>1155</v>
      </c>
      <c r="E778" t="s">
        <v>1024</v>
      </c>
      <c r="F778"/>
      <c r="G778"/>
      <c r="H778"/>
      <c r="I778"/>
      <c r="J778"/>
      <c r="K778" t="s">
        <v>1192</v>
      </c>
    </row>
    <row r="779" spans="1:11">
      <c r="A779"/>
      <c r="B779"/>
      <c r="C779"/>
      <c r="D779" t="s">
        <v>1188</v>
      </c>
      <c r="E779" t="s">
        <v>1025</v>
      </c>
      <c r="F779"/>
      <c r="G779"/>
      <c r="H779"/>
      <c r="I779"/>
      <c r="J779"/>
      <c r="K779" t="s">
        <v>1192</v>
      </c>
    </row>
    <row r="780" spans="1:11">
      <c r="A780"/>
      <c r="B780"/>
      <c r="C780"/>
      <c r="D780" t="s">
        <v>1188</v>
      </c>
      <c r="E780" t="s">
        <v>1026</v>
      </c>
      <c r="F780"/>
      <c r="G780"/>
      <c r="H780"/>
      <c r="I780"/>
      <c r="J780"/>
      <c r="K780" t="s">
        <v>1192</v>
      </c>
    </row>
    <row r="781" spans="1:11">
      <c r="A781">
        <v>44298</v>
      </c>
      <c r="B781" t="s">
        <v>954</v>
      </c>
      <c r="C781">
        <v>44295</v>
      </c>
      <c r="D781" t="s">
        <v>1004</v>
      </c>
      <c r="E781" t="s">
        <v>1027</v>
      </c>
      <c r="F781" t="s">
        <v>210</v>
      </c>
      <c r="G781"/>
      <c r="H781"/>
      <c r="I781"/>
      <c r="J781"/>
      <c r="K781" t="s">
        <v>1191</v>
      </c>
    </row>
    <row r="782" spans="1:11">
      <c r="A782"/>
      <c r="B782"/>
      <c r="C782"/>
      <c r="D782" t="s">
        <v>1006</v>
      </c>
      <c r="E782" t="s">
        <v>1028</v>
      </c>
      <c r="F782"/>
      <c r="G782"/>
      <c r="H782"/>
      <c r="I782"/>
      <c r="J782"/>
      <c r="K782" t="s">
        <v>1191</v>
      </c>
    </row>
    <row r="783" spans="1:11">
      <c r="A783"/>
      <c r="B783"/>
      <c r="C783"/>
      <c r="D783" t="s">
        <v>1008</v>
      </c>
      <c r="E783" t="s">
        <v>1029</v>
      </c>
      <c r="F783"/>
      <c r="G783"/>
      <c r="H783"/>
      <c r="I783"/>
      <c r="J783"/>
      <c r="K783" t="s">
        <v>1191</v>
      </c>
    </row>
    <row r="784" spans="1:11">
      <c r="A784"/>
      <c r="B784"/>
      <c r="C784"/>
      <c r="D784" t="s">
        <v>1008</v>
      </c>
      <c r="E784" t="s">
        <v>1030</v>
      </c>
      <c r="F784"/>
      <c r="G784"/>
      <c r="H784"/>
      <c r="I784"/>
      <c r="J784"/>
      <c r="K784" t="s">
        <v>1191</v>
      </c>
    </row>
    <row r="785" spans="1:11">
      <c r="A785"/>
      <c r="B785"/>
      <c r="C785"/>
      <c r="D785" t="s">
        <v>1011</v>
      </c>
      <c r="E785" t="s">
        <v>1031</v>
      </c>
      <c r="F785"/>
      <c r="G785"/>
      <c r="H785"/>
      <c r="I785"/>
      <c r="J785"/>
      <c r="K785" t="s">
        <v>1191</v>
      </c>
    </row>
    <row r="786" spans="1:11">
      <c r="A786"/>
      <c r="B786"/>
      <c r="C786"/>
      <c r="D786" t="s">
        <v>1013</v>
      </c>
      <c r="E786" t="s">
        <v>1032</v>
      </c>
      <c r="F786"/>
      <c r="G786"/>
      <c r="H786"/>
      <c r="I786"/>
      <c r="J786"/>
      <c r="K786" t="s">
        <v>1191</v>
      </c>
    </row>
    <row r="787" spans="1:11">
      <c r="A787"/>
      <c r="B787"/>
      <c r="C787"/>
      <c r="D787" t="s">
        <v>1015</v>
      </c>
      <c r="E787" t="s">
        <v>1033</v>
      </c>
      <c r="F787"/>
      <c r="G787"/>
      <c r="H787"/>
      <c r="I787"/>
      <c r="J787"/>
      <c r="K787" t="s">
        <v>1191</v>
      </c>
    </row>
    <row r="788" spans="1:11">
      <c r="A788"/>
      <c r="B788"/>
      <c r="C788"/>
      <c r="D788" t="s">
        <v>293</v>
      </c>
      <c r="E788" t="s">
        <v>1034</v>
      </c>
      <c r="F788"/>
      <c r="G788"/>
      <c r="H788"/>
      <c r="I788"/>
      <c r="J788"/>
      <c r="K788" t="s">
        <v>1191</v>
      </c>
    </row>
    <row r="789" spans="1:11">
      <c r="A789"/>
      <c r="B789"/>
      <c r="C789"/>
      <c r="D789" t="s">
        <v>1018</v>
      </c>
      <c r="E789" t="s">
        <v>1035</v>
      </c>
      <c r="F789"/>
      <c r="G789"/>
      <c r="H789"/>
      <c r="I789"/>
      <c r="J789"/>
      <c r="K789" t="s">
        <v>1191</v>
      </c>
    </row>
    <row r="790" spans="1:11">
      <c r="A790"/>
      <c r="B790"/>
      <c r="C790"/>
      <c r="D790" t="s">
        <v>980</v>
      </c>
      <c r="E790" t="s">
        <v>1036</v>
      </c>
      <c r="F790"/>
      <c r="G790"/>
      <c r="H790"/>
      <c r="I790"/>
      <c r="J790"/>
      <c r="K790" t="s">
        <v>1191</v>
      </c>
    </row>
    <row r="791" spans="1:11">
      <c r="A791"/>
      <c r="B791"/>
      <c r="C791"/>
      <c r="D791" t="s">
        <v>1155</v>
      </c>
      <c r="E791" t="s">
        <v>1037</v>
      </c>
      <c r="F791"/>
      <c r="G791"/>
      <c r="H791"/>
      <c r="I791"/>
      <c r="J791"/>
      <c r="K791" t="s">
        <v>1191</v>
      </c>
    </row>
    <row r="792" spans="1:11">
      <c r="A792"/>
      <c r="B792"/>
      <c r="C792"/>
      <c r="D792" t="s">
        <v>1155</v>
      </c>
      <c r="E792" t="s">
        <v>1038</v>
      </c>
      <c r="F792"/>
      <c r="G792"/>
      <c r="H792"/>
      <c r="I792"/>
      <c r="J792"/>
      <c r="K792" t="s">
        <v>1191</v>
      </c>
    </row>
    <row r="793" spans="1:11">
      <c r="A793"/>
      <c r="B793"/>
      <c r="C793"/>
      <c r="D793" t="s">
        <v>1155</v>
      </c>
      <c r="E793" t="s">
        <v>1039</v>
      </c>
      <c r="F793"/>
      <c r="G793"/>
      <c r="H793"/>
      <c r="I793"/>
      <c r="J793"/>
      <c r="K793" t="s">
        <v>1191</v>
      </c>
    </row>
    <row r="794" spans="1:11">
      <c r="A794"/>
      <c r="B794"/>
      <c r="C794"/>
      <c r="D794" t="s">
        <v>1155</v>
      </c>
      <c r="E794" t="s">
        <v>1040</v>
      </c>
      <c r="F794"/>
      <c r="G794"/>
      <c r="H794"/>
      <c r="I794"/>
      <c r="J794"/>
      <c r="K794" t="s">
        <v>1191</v>
      </c>
    </row>
    <row r="795" spans="1:11">
      <c r="A795"/>
      <c r="B795"/>
      <c r="C795"/>
      <c r="D795" t="s">
        <v>1188</v>
      </c>
      <c r="E795" t="s">
        <v>1041</v>
      </c>
      <c r="F795"/>
      <c r="G795"/>
      <c r="H795"/>
      <c r="I795"/>
      <c r="J795"/>
      <c r="K795" t="s">
        <v>1191</v>
      </c>
    </row>
    <row r="796" spans="1:11">
      <c r="A796"/>
      <c r="B796"/>
      <c r="C796"/>
      <c r="D796" t="s">
        <v>1188</v>
      </c>
      <c r="E796" t="s">
        <v>1042</v>
      </c>
      <c r="F796"/>
      <c r="G796"/>
      <c r="H796"/>
      <c r="I796"/>
      <c r="J796"/>
      <c r="K796" t="s">
        <v>1191</v>
      </c>
    </row>
    <row r="797" spans="1:11">
      <c r="A797">
        <v>44298</v>
      </c>
      <c r="B797" t="s">
        <v>954</v>
      </c>
      <c r="C797">
        <v>44295</v>
      </c>
      <c r="D797" t="s">
        <v>1004</v>
      </c>
      <c r="E797" t="s">
        <v>1043</v>
      </c>
      <c r="F797" t="s">
        <v>210</v>
      </c>
      <c r="G797"/>
      <c r="H797"/>
      <c r="I797"/>
      <c r="J797"/>
      <c r="K797" t="s">
        <v>1190</v>
      </c>
    </row>
    <row r="798" spans="1:11">
      <c r="A798"/>
      <c r="B798"/>
      <c r="C798"/>
      <c r="D798" t="s">
        <v>1006</v>
      </c>
      <c r="E798" t="s">
        <v>1044</v>
      </c>
      <c r="F798"/>
      <c r="G798"/>
      <c r="H798"/>
      <c r="I798"/>
      <c r="J798"/>
      <c r="K798" t="s">
        <v>1190</v>
      </c>
    </row>
    <row r="799" spans="1:11">
      <c r="A799"/>
      <c r="B799"/>
      <c r="C799"/>
      <c r="D799" t="s">
        <v>1008</v>
      </c>
      <c r="E799" t="s">
        <v>1045</v>
      </c>
      <c r="F799"/>
      <c r="G799"/>
      <c r="H799"/>
      <c r="I799"/>
      <c r="J799"/>
      <c r="K799" t="s">
        <v>1190</v>
      </c>
    </row>
    <row r="800" spans="1:11">
      <c r="A800"/>
      <c r="B800"/>
      <c r="C800"/>
      <c r="D800" t="s">
        <v>1008</v>
      </c>
      <c r="E800" t="s">
        <v>1046</v>
      </c>
      <c r="F800"/>
      <c r="G800"/>
      <c r="H800"/>
      <c r="I800"/>
      <c r="J800"/>
      <c r="K800" t="s">
        <v>1190</v>
      </c>
    </row>
    <row r="801" spans="1:11">
      <c r="A801"/>
      <c r="B801"/>
      <c r="C801"/>
      <c r="D801" t="s">
        <v>1011</v>
      </c>
      <c r="E801" t="s">
        <v>1047</v>
      </c>
      <c r="F801"/>
      <c r="G801"/>
      <c r="H801"/>
      <c r="I801"/>
      <c r="J801"/>
      <c r="K801" t="s">
        <v>1190</v>
      </c>
    </row>
    <row r="802" spans="1:11">
      <c r="A802"/>
      <c r="B802"/>
      <c r="C802"/>
      <c r="D802" t="s">
        <v>1013</v>
      </c>
      <c r="E802" t="s">
        <v>1048</v>
      </c>
      <c r="F802"/>
      <c r="G802"/>
      <c r="H802"/>
      <c r="I802"/>
      <c r="J802"/>
      <c r="K802" t="s">
        <v>1190</v>
      </c>
    </row>
    <row r="803" spans="1:11">
      <c r="A803"/>
      <c r="B803"/>
      <c r="C803"/>
      <c r="D803" t="s">
        <v>1015</v>
      </c>
      <c r="E803" t="s">
        <v>1049</v>
      </c>
      <c r="F803"/>
      <c r="G803"/>
      <c r="H803"/>
      <c r="I803"/>
      <c r="J803"/>
      <c r="K803" t="s">
        <v>1190</v>
      </c>
    </row>
    <row r="804" spans="1:11">
      <c r="A804"/>
      <c r="B804"/>
      <c r="C804"/>
      <c r="D804" t="s">
        <v>293</v>
      </c>
      <c r="E804" t="s">
        <v>1050</v>
      </c>
      <c r="F804"/>
      <c r="G804"/>
      <c r="H804"/>
      <c r="I804"/>
      <c r="J804"/>
      <c r="K804" t="s">
        <v>1190</v>
      </c>
    </row>
    <row r="805" spans="1:11">
      <c r="A805"/>
      <c r="B805"/>
      <c r="C805"/>
      <c r="D805" t="s">
        <v>1018</v>
      </c>
      <c r="E805" t="s">
        <v>1051</v>
      </c>
      <c r="F805"/>
      <c r="G805"/>
      <c r="H805"/>
      <c r="I805"/>
      <c r="J805"/>
      <c r="K805" t="s">
        <v>1190</v>
      </c>
    </row>
    <row r="806" spans="1:11">
      <c r="A806"/>
      <c r="B806"/>
      <c r="C806"/>
      <c r="D806" t="s">
        <v>980</v>
      </c>
      <c r="E806" t="s">
        <v>1052</v>
      </c>
      <c r="F806"/>
      <c r="G806"/>
      <c r="H806"/>
      <c r="I806"/>
      <c r="J806"/>
      <c r="K806" t="s">
        <v>1190</v>
      </c>
    </row>
    <row r="807" spans="1:11">
      <c r="A807"/>
      <c r="B807"/>
      <c r="C807"/>
      <c r="D807" t="s">
        <v>1155</v>
      </c>
      <c r="E807" t="s">
        <v>1053</v>
      </c>
      <c r="F807"/>
      <c r="G807"/>
      <c r="H807"/>
      <c r="I807"/>
      <c r="J807"/>
      <c r="K807"/>
    </row>
    <row r="808" spans="1:11">
      <c r="B808" s="1"/>
      <c r="D808" s="1" t="s">
        <v>1155</v>
      </c>
      <c r="E808" s="1" t="s">
        <v>1054</v>
      </c>
    </row>
    <row r="809" spans="1:11">
      <c r="A809"/>
      <c r="B809"/>
      <c r="C809"/>
      <c r="D809" t="s">
        <v>1155</v>
      </c>
      <c r="E809" t="s">
        <v>1055</v>
      </c>
      <c r="F809"/>
      <c r="G809"/>
      <c r="H809"/>
      <c r="I809"/>
      <c r="J809"/>
      <c r="K809"/>
    </row>
    <row r="810" spans="1:11">
      <c r="A810"/>
      <c r="B810"/>
      <c r="C810"/>
      <c r="D810" t="s">
        <v>1155</v>
      </c>
      <c r="E810" t="s">
        <v>1056</v>
      </c>
      <c r="F810"/>
      <c r="G810"/>
      <c r="H810"/>
      <c r="I810"/>
      <c r="J810"/>
      <c r="K810"/>
    </row>
    <row r="811" spans="1:11">
      <c r="A811"/>
      <c r="B811"/>
      <c r="C811"/>
      <c r="D811" t="s">
        <v>1188</v>
      </c>
      <c r="E811" t="s">
        <v>1057</v>
      </c>
      <c r="F811"/>
      <c r="G811"/>
      <c r="H811"/>
      <c r="I811"/>
      <c r="J811"/>
      <c r="K811" t="s">
        <v>1190</v>
      </c>
    </row>
    <row r="812" spans="1:11">
      <c r="A812"/>
      <c r="B812"/>
      <c r="C812"/>
      <c r="D812" t="s">
        <v>1188</v>
      </c>
      <c r="E812" t="s">
        <v>1058</v>
      </c>
      <c r="F812"/>
      <c r="G812"/>
      <c r="H812"/>
      <c r="I812"/>
      <c r="J812"/>
      <c r="K812" t="s">
        <v>1190</v>
      </c>
    </row>
    <row r="813" spans="1:11">
      <c r="A813">
        <v>44298</v>
      </c>
      <c r="B813" t="s">
        <v>954</v>
      </c>
      <c r="C813">
        <v>44295</v>
      </c>
      <c r="D813" t="s">
        <v>1004</v>
      </c>
      <c r="E813" t="s">
        <v>1059</v>
      </c>
      <c r="F813" t="s">
        <v>210</v>
      </c>
      <c r="G813"/>
      <c r="H813"/>
      <c r="I813"/>
      <c r="J813"/>
      <c r="K813" t="s">
        <v>1194</v>
      </c>
    </row>
    <row r="814" spans="1:11">
      <c r="A814"/>
      <c r="B814"/>
      <c r="C814"/>
      <c r="D814" t="s">
        <v>1006</v>
      </c>
      <c r="E814" t="s">
        <v>1060</v>
      </c>
      <c r="F814"/>
      <c r="G814"/>
      <c r="H814"/>
      <c r="I814"/>
      <c r="J814"/>
      <c r="K814" t="s">
        <v>1194</v>
      </c>
    </row>
    <row r="815" spans="1:11">
      <c r="A815"/>
      <c r="B815"/>
      <c r="C815"/>
      <c r="D815" t="s">
        <v>1008</v>
      </c>
      <c r="E815" t="s">
        <v>1061</v>
      </c>
      <c r="F815"/>
      <c r="G815"/>
      <c r="H815"/>
      <c r="I815"/>
      <c r="J815"/>
      <c r="K815" t="s">
        <v>1194</v>
      </c>
    </row>
    <row r="816" spans="1:11">
      <c r="A816"/>
      <c r="B816"/>
      <c r="C816"/>
      <c r="D816" t="s">
        <v>1008</v>
      </c>
      <c r="E816" t="s">
        <v>1062</v>
      </c>
      <c r="F816"/>
      <c r="G816"/>
      <c r="H816"/>
      <c r="I816"/>
      <c r="J816"/>
      <c r="K816" t="s">
        <v>1194</v>
      </c>
    </row>
    <row r="817" spans="1:11">
      <c r="A817"/>
      <c r="B817"/>
      <c r="C817"/>
      <c r="D817" t="s">
        <v>1011</v>
      </c>
      <c r="E817" t="s">
        <v>1063</v>
      </c>
      <c r="F817"/>
      <c r="G817"/>
      <c r="H817"/>
      <c r="I817"/>
      <c r="J817"/>
      <c r="K817" t="s">
        <v>1194</v>
      </c>
    </row>
    <row r="818" spans="1:11">
      <c r="A818"/>
      <c r="B818"/>
      <c r="C818"/>
      <c r="D818" t="s">
        <v>1013</v>
      </c>
      <c r="E818" t="s">
        <v>1064</v>
      </c>
      <c r="F818"/>
      <c r="G818"/>
      <c r="H818"/>
      <c r="I818"/>
      <c r="J818"/>
      <c r="K818" t="s">
        <v>1194</v>
      </c>
    </row>
    <row r="819" spans="1:11">
      <c r="A819"/>
      <c r="B819"/>
      <c r="C819"/>
      <c r="D819" t="s">
        <v>1015</v>
      </c>
      <c r="E819" t="s">
        <v>1065</v>
      </c>
      <c r="F819"/>
      <c r="G819"/>
      <c r="H819"/>
      <c r="I819"/>
      <c r="J819"/>
      <c r="K819" t="s">
        <v>1194</v>
      </c>
    </row>
    <row r="820" spans="1:11">
      <c r="A820"/>
      <c r="B820"/>
      <c r="C820"/>
      <c r="D820" t="s">
        <v>1018</v>
      </c>
      <c r="E820" t="s">
        <v>1066</v>
      </c>
      <c r="F820"/>
      <c r="G820"/>
      <c r="H820"/>
      <c r="I820"/>
      <c r="J820"/>
      <c r="K820" t="s">
        <v>1194</v>
      </c>
    </row>
    <row r="821" spans="1:11">
      <c r="A821"/>
      <c r="B821"/>
      <c r="C821"/>
      <c r="D821" t="s">
        <v>293</v>
      </c>
      <c r="E821" t="s">
        <v>1067</v>
      </c>
      <c r="F821"/>
      <c r="G821"/>
      <c r="H821"/>
      <c r="I821"/>
      <c r="J821"/>
      <c r="K821" t="s">
        <v>1194</v>
      </c>
    </row>
    <row r="822" spans="1:11">
      <c r="A822"/>
      <c r="B822"/>
      <c r="C822"/>
      <c r="D822" t="s">
        <v>980</v>
      </c>
      <c r="E822" t="s">
        <v>1068</v>
      </c>
      <c r="F822"/>
      <c r="G822"/>
      <c r="H822"/>
      <c r="I822"/>
      <c r="J822"/>
      <c r="K822" t="s">
        <v>1194</v>
      </c>
    </row>
    <row r="823" spans="1:11">
      <c r="A823"/>
      <c r="B823"/>
      <c r="C823"/>
      <c r="D823" t="s">
        <v>1155</v>
      </c>
      <c r="E823" t="s">
        <v>1069</v>
      </c>
      <c r="F823"/>
      <c r="G823"/>
      <c r="H823"/>
      <c r="I823"/>
      <c r="J823"/>
      <c r="K823" t="s">
        <v>1194</v>
      </c>
    </row>
    <row r="824" spans="1:11">
      <c r="A824"/>
      <c r="B824"/>
      <c r="C824"/>
      <c r="D824" t="s">
        <v>1155</v>
      </c>
      <c r="E824" t="s">
        <v>1070</v>
      </c>
      <c r="F824"/>
      <c r="G824"/>
      <c r="H824"/>
      <c r="I824"/>
      <c r="J824"/>
      <c r="K824" t="s">
        <v>1194</v>
      </c>
    </row>
    <row r="825" spans="1:11">
      <c r="A825"/>
      <c r="B825"/>
      <c r="C825"/>
      <c r="D825" t="s">
        <v>1155</v>
      </c>
      <c r="E825" t="s">
        <v>1071</v>
      </c>
      <c r="F825"/>
      <c r="G825"/>
      <c r="H825"/>
      <c r="I825"/>
      <c r="J825"/>
      <c r="K825" t="s">
        <v>1194</v>
      </c>
    </row>
    <row r="826" spans="1:11">
      <c r="A826"/>
      <c r="B826"/>
      <c r="C826"/>
      <c r="D826" t="s">
        <v>1155</v>
      </c>
      <c r="E826" t="s">
        <v>1072</v>
      </c>
      <c r="F826"/>
      <c r="G826"/>
      <c r="H826"/>
      <c r="I826"/>
      <c r="J826"/>
      <c r="K826" t="s">
        <v>1194</v>
      </c>
    </row>
    <row r="827" spans="1:11">
      <c r="A827"/>
      <c r="B827"/>
      <c r="C827"/>
      <c r="D827" t="s">
        <v>1188</v>
      </c>
      <c r="E827" t="s">
        <v>1073</v>
      </c>
      <c r="F827"/>
      <c r="G827"/>
      <c r="H827"/>
      <c r="I827"/>
      <c r="J827"/>
      <c r="K827" t="s">
        <v>1194</v>
      </c>
    </row>
    <row r="828" spans="1:11">
      <c r="A828"/>
      <c r="B828"/>
      <c r="C828"/>
      <c r="D828" t="s">
        <v>1188</v>
      </c>
      <c r="E828" t="s">
        <v>1074</v>
      </c>
      <c r="F828"/>
      <c r="G828"/>
      <c r="H828"/>
      <c r="I828"/>
      <c r="J828"/>
      <c r="K828" t="s">
        <v>1194</v>
      </c>
    </row>
    <row r="829" spans="1:11">
      <c r="A829">
        <v>44298</v>
      </c>
      <c r="B829" t="s">
        <v>954</v>
      </c>
      <c r="C829">
        <v>44295</v>
      </c>
      <c r="D829" t="s">
        <v>1004</v>
      </c>
      <c r="E829" t="s">
        <v>1075</v>
      </c>
      <c r="F829" t="s">
        <v>210</v>
      </c>
      <c r="G829"/>
      <c r="H829"/>
      <c r="I829"/>
      <c r="J829"/>
      <c r="K829" t="s">
        <v>1195</v>
      </c>
    </row>
    <row r="830" spans="1:11">
      <c r="A830"/>
      <c r="B830"/>
      <c r="C830"/>
      <c r="D830" t="s">
        <v>1006</v>
      </c>
      <c r="E830" t="s">
        <v>1076</v>
      </c>
      <c r="F830"/>
      <c r="G830"/>
      <c r="H830"/>
      <c r="I830"/>
      <c r="J830"/>
      <c r="K830" t="s">
        <v>1195</v>
      </c>
    </row>
    <row r="831" spans="1:11">
      <c r="A831"/>
      <c r="B831"/>
      <c r="C831"/>
      <c r="D831" t="s">
        <v>1008</v>
      </c>
      <c r="E831" t="s">
        <v>1077</v>
      </c>
      <c r="F831"/>
      <c r="G831"/>
      <c r="H831"/>
      <c r="I831"/>
      <c r="J831"/>
      <c r="K831" t="s">
        <v>1195</v>
      </c>
    </row>
    <row r="832" spans="1:11">
      <c r="A832"/>
      <c r="B832"/>
      <c r="C832"/>
      <c r="D832" t="s">
        <v>1008</v>
      </c>
      <c r="E832" t="s">
        <v>1078</v>
      </c>
      <c r="F832"/>
      <c r="G832"/>
      <c r="H832"/>
      <c r="I832"/>
      <c r="J832"/>
      <c r="K832" t="s">
        <v>1195</v>
      </c>
    </row>
    <row r="833" spans="1:11">
      <c r="A833"/>
      <c r="B833"/>
      <c r="C833"/>
      <c r="D833" t="s">
        <v>1011</v>
      </c>
      <c r="E833" t="s">
        <v>1079</v>
      </c>
      <c r="F833"/>
      <c r="G833"/>
      <c r="H833"/>
      <c r="I833"/>
      <c r="J833"/>
      <c r="K833" t="s">
        <v>1195</v>
      </c>
    </row>
    <row r="834" spans="1:11">
      <c r="A834"/>
      <c r="B834"/>
      <c r="C834"/>
      <c r="D834" t="s">
        <v>1013</v>
      </c>
      <c r="E834" t="s">
        <v>1080</v>
      </c>
      <c r="F834"/>
      <c r="G834"/>
      <c r="H834"/>
      <c r="I834"/>
      <c r="J834"/>
      <c r="K834" t="s">
        <v>1195</v>
      </c>
    </row>
    <row r="835" spans="1:11">
      <c r="A835"/>
      <c r="B835"/>
      <c r="C835"/>
      <c r="D835" t="s">
        <v>1015</v>
      </c>
      <c r="E835" t="s">
        <v>1081</v>
      </c>
      <c r="F835"/>
      <c r="G835"/>
      <c r="H835"/>
      <c r="I835"/>
      <c r="J835"/>
      <c r="K835" t="s">
        <v>1195</v>
      </c>
    </row>
    <row r="836" spans="1:11">
      <c r="A836"/>
      <c r="B836"/>
      <c r="C836"/>
      <c r="D836" t="s">
        <v>293</v>
      </c>
      <c r="E836" t="s">
        <v>1082</v>
      </c>
      <c r="F836"/>
      <c r="G836"/>
      <c r="H836"/>
      <c r="I836"/>
      <c r="J836"/>
      <c r="K836" t="s">
        <v>1195</v>
      </c>
    </row>
    <row r="837" spans="1:11">
      <c r="A837"/>
      <c r="B837"/>
      <c r="C837"/>
      <c r="D837" t="s">
        <v>1018</v>
      </c>
      <c r="E837" t="s">
        <v>1083</v>
      </c>
      <c r="F837"/>
      <c r="G837"/>
      <c r="H837"/>
      <c r="I837"/>
      <c r="J837"/>
      <c r="K837" t="s">
        <v>1195</v>
      </c>
    </row>
    <row r="838" spans="1:11">
      <c r="A838"/>
      <c r="B838"/>
      <c r="C838"/>
      <c r="D838" t="s">
        <v>980</v>
      </c>
      <c r="E838" t="s">
        <v>1084</v>
      </c>
      <c r="F838"/>
      <c r="G838"/>
      <c r="H838"/>
      <c r="I838"/>
      <c r="J838"/>
      <c r="K838" t="s">
        <v>1195</v>
      </c>
    </row>
    <row r="839" spans="1:11">
      <c r="A839"/>
      <c r="B839"/>
      <c r="C839"/>
      <c r="D839" t="s">
        <v>1155</v>
      </c>
      <c r="E839" t="s">
        <v>1085</v>
      </c>
      <c r="F839"/>
      <c r="G839"/>
      <c r="H839"/>
      <c r="I839"/>
      <c r="J839"/>
      <c r="K839" t="s">
        <v>1195</v>
      </c>
    </row>
    <row r="840" spans="1:11">
      <c r="A840"/>
      <c r="B840"/>
      <c r="C840"/>
      <c r="D840" t="s">
        <v>1155</v>
      </c>
      <c r="E840" t="s">
        <v>1086</v>
      </c>
      <c r="F840"/>
      <c r="G840"/>
      <c r="H840"/>
      <c r="I840"/>
      <c r="J840"/>
      <c r="K840" t="s">
        <v>1195</v>
      </c>
    </row>
    <row r="841" spans="1:11">
      <c r="A841"/>
      <c r="B841"/>
      <c r="C841"/>
      <c r="D841" t="s">
        <v>1155</v>
      </c>
      <c r="E841" t="s">
        <v>1087</v>
      </c>
      <c r="F841"/>
      <c r="G841"/>
      <c r="H841"/>
      <c r="I841"/>
      <c r="J841"/>
      <c r="K841" t="s">
        <v>1195</v>
      </c>
    </row>
    <row r="842" spans="1:11">
      <c r="A842"/>
      <c r="B842"/>
      <c r="C842"/>
      <c r="D842" t="s">
        <v>1155</v>
      </c>
      <c r="E842" t="s">
        <v>1088</v>
      </c>
      <c r="F842"/>
      <c r="G842"/>
      <c r="H842"/>
      <c r="I842"/>
      <c r="J842"/>
      <c r="K842" t="s">
        <v>1195</v>
      </c>
    </row>
    <row r="843" spans="1:11">
      <c r="A843"/>
      <c r="B843"/>
      <c r="C843"/>
      <c r="D843" t="s">
        <v>1188</v>
      </c>
      <c r="E843" t="s">
        <v>1089</v>
      </c>
      <c r="F843"/>
      <c r="G843"/>
      <c r="H843"/>
      <c r="I843"/>
      <c r="J843"/>
      <c r="K843" t="s">
        <v>1195</v>
      </c>
    </row>
    <row r="844" spans="1:11">
      <c r="A844"/>
      <c r="B844"/>
      <c r="C844"/>
      <c r="D844" t="s">
        <v>1188</v>
      </c>
      <c r="E844" t="s">
        <v>1090</v>
      </c>
      <c r="F844"/>
      <c r="G844"/>
      <c r="H844"/>
      <c r="I844"/>
      <c r="J844"/>
      <c r="K844" t="s">
        <v>1195</v>
      </c>
    </row>
    <row r="845" spans="1:11">
      <c r="A845">
        <v>44298</v>
      </c>
      <c r="B845" t="s">
        <v>954</v>
      </c>
      <c r="C845">
        <v>44295</v>
      </c>
      <c r="D845" t="s">
        <v>1004</v>
      </c>
      <c r="E845" t="s">
        <v>1091</v>
      </c>
      <c r="F845" t="s">
        <v>210</v>
      </c>
      <c r="G845"/>
      <c r="H845"/>
      <c r="I845"/>
      <c r="J845"/>
      <c r="K845" t="s">
        <v>1196</v>
      </c>
    </row>
    <row r="846" spans="1:11">
      <c r="A846"/>
      <c r="B846"/>
      <c r="C846"/>
      <c r="D846" t="s">
        <v>1006</v>
      </c>
      <c r="E846" t="s">
        <v>1092</v>
      </c>
      <c r="F846"/>
      <c r="G846"/>
      <c r="H846"/>
      <c r="I846"/>
      <c r="J846"/>
      <c r="K846" t="s">
        <v>1196</v>
      </c>
    </row>
    <row r="847" spans="1:11">
      <c r="A847"/>
      <c r="B847"/>
      <c r="C847"/>
      <c r="D847" t="s">
        <v>1008</v>
      </c>
      <c r="E847" t="s">
        <v>1093</v>
      </c>
      <c r="F847"/>
      <c r="G847"/>
      <c r="H847"/>
      <c r="I847"/>
      <c r="J847"/>
      <c r="K847" t="s">
        <v>1196</v>
      </c>
    </row>
    <row r="848" spans="1:11">
      <c r="A848"/>
      <c r="B848"/>
      <c r="C848"/>
      <c r="D848" t="s">
        <v>1008</v>
      </c>
      <c r="E848" t="s">
        <v>1094</v>
      </c>
      <c r="F848"/>
      <c r="G848"/>
      <c r="H848"/>
      <c r="I848"/>
      <c r="J848"/>
      <c r="K848" t="s">
        <v>1196</v>
      </c>
    </row>
    <row r="849" spans="1:11">
      <c r="A849"/>
      <c r="B849"/>
      <c r="C849"/>
      <c r="D849" t="s">
        <v>1011</v>
      </c>
      <c r="E849" t="s">
        <v>1095</v>
      </c>
      <c r="F849"/>
      <c r="G849"/>
      <c r="H849"/>
      <c r="I849"/>
      <c r="J849"/>
      <c r="K849" t="s">
        <v>1196</v>
      </c>
    </row>
    <row r="850" spans="1:11">
      <c r="A850"/>
      <c r="B850"/>
      <c r="C850"/>
      <c r="D850" t="s">
        <v>1013</v>
      </c>
      <c r="E850" t="s">
        <v>1096</v>
      </c>
      <c r="F850"/>
      <c r="G850"/>
      <c r="H850"/>
      <c r="I850"/>
      <c r="J850"/>
      <c r="K850" t="s">
        <v>1196</v>
      </c>
    </row>
    <row r="851" spans="1:11">
      <c r="A851"/>
      <c r="B851"/>
      <c r="C851"/>
      <c r="D851" t="s">
        <v>1015</v>
      </c>
      <c r="E851" t="s">
        <v>1097</v>
      </c>
      <c r="F851"/>
      <c r="G851"/>
      <c r="H851"/>
      <c r="I851"/>
      <c r="J851"/>
      <c r="K851" t="s">
        <v>1196</v>
      </c>
    </row>
    <row r="852" spans="1:11">
      <c r="A852"/>
      <c r="B852"/>
      <c r="C852"/>
      <c r="D852" t="s">
        <v>293</v>
      </c>
      <c r="E852" t="s">
        <v>1098</v>
      </c>
      <c r="F852"/>
      <c r="G852"/>
      <c r="H852"/>
      <c r="I852"/>
      <c r="J852"/>
      <c r="K852" t="s">
        <v>1196</v>
      </c>
    </row>
    <row r="853" spans="1:11">
      <c r="A853"/>
      <c r="B853"/>
      <c r="C853"/>
      <c r="D853" t="s">
        <v>1018</v>
      </c>
      <c r="E853" t="s">
        <v>1099</v>
      </c>
      <c r="F853"/>
      <c r="G853"/>
      <c r="H853"/>
      <c r="I853"/>
      <c r="J853"/>
      <c r="K853" t="s">
        <v>1196</v>
      </c>
    </row>
    <row r="854" spans="1:11">
      <c r="A854"/>
      <c r="B854"/>
      <c r="C854"/>
      <c r="D854" t="s">
        <v>980</v>
      </c>
      <c r="E854" t="s">
        <v>1100</v>
      </c>
      <c r="F854"/>
      <c r="G854"/>
      <c r="H854"/>
      <c r="I854"/>
      <c r="J854"/>
      <c r="K854" t="s">
        <v>1196</v>
      </c>
    </row>
    <row r="855" spans="1:11">
      <c r="A855"/>
      <c r="B855"/>
      <c r="C855"/>
      <c r="D855" t="s">
        <v>1155</v>
      </c>
      <c r="E855" t="s">
        <v>1101</v>
      </c>
      <c r="F855"/>
      <c r="G855"/>
      <c r="H855"/>
      <c r="I855"/>
      <c r="J855"/>
      <c r="K855" t="s">
        <v>1196</v>
      </c>
    </row>
    <row r="856" spans="1:11">
      <c r="A856"/>
      <c r="B856"/>
      <c r="C856"/>
      <c r="D856" t="s">
        <v>1155</v>
      </c>
      <c r="E856" t="s">
        <v>1102</v>
      </c>
      <c r="F856"/>
      <c r="G856"/>
      <c r="H856"/>
      <c r="I856"/>
      <c r="J856"/>
      <c r="K856" t="s">
        <v>1196</v>
      </c>
    </row>
    <row r="857" spans="1:11">
      <c r="A857"/>
      <c r="B857"/>
      <c r="C857"/>
      <c r="D857" t="s">
        <v>1155</v>
      </c>
      <c r="E857" t="s">
        <v>1103</v>
      </c>
      <c r="F857"/>
      <c r="G857"/>
      <c r="H857"/>
      <c r="I857"/>
      <c r="J857"/>
      <c r="K857" t="s">
        <v>1196</v>
      </c>
    </row>
    <row r="858" spans="1:11">
      <c r="A858"/>
      <c r="B858"/>
      <c r="C858"/>
      <c r="D858" t="s">
        <v>1155</v>
      </c>
      <c r="E858" t="s">
        <v>1104</v>
      </c>
      <c r="F858"/>
      <c r="G858"/>
      <c r="H858"/>
      <c r="I858"/>
      <c r="J858"/>
      <c r="K858" t="s">
        <v>1196</v>
      </c>
    </row>
    <row r="859" spans="1:11">
      <c r="A859"/>
      <c r="B859"/>
      <c r="C859"/>
      <c r="D859" t="s">
        <v>1188</v>
      </c>
      <c r="E859" t="s">
        <v>1105</v>
      </c>
      <c r="F859"/>
      <c r="G859"/>
      <c r="H859"/>
      <c r="I859"/>
      <c r="J859"/>
      <c r="K859" t="s">
        <v>1196</v>
      </c>
    </row>
    <row r="860" spans="1:11">
      <c r="A860"/>
      <c r="B860"/>
      <c r="C860"/>
      <c r="D860" t="s">
        <v>1188</v>
      </c>
      <c r="E860" t="s">
        <v>1106</v>
      </c>
      <c r="F860"/>
      <c r="G860"/>
      <c r="H860"/>
      <c r="I860"/>
      <c r="J860"/>
      <c r="K860" t="s">
        <v>1196</v>
      </c>
    </row>
    <row r="861" spans="1:11">
      <c r="A861">
        <v>44298</v>
      </c>
      <c r="B861" t="s">
        <v>954</v>
      </c>
      <c r="C861">
        <v>44295</v>
      </c>
      <c r="D861" t="s">
        <v>1004</v>
      </c>
      <c r="E861" t="s">
        <v>1107</v>
      </c>
      <c r="F861" t="s">
        <v>210</v>
      </c>
      <c r="G861"/>
      <c r="H861"/>
      <c r="I861"/>
      <c r="J861"/>
      <c r="K861" t="s">
        <v>1197</v>
      </c>
    </row>
    <row r="862" spans="1:11">
      <c r="A862"/>
      <c r="B862"/>
      <c r="C862"/>
      <c r="D862" t="s">
        <v>1006</v>
      </c>
      <c r="E862" t="s">
        <v>1108</v>
      </c>
      <c r="F862"/>
      <c r="G862"/>
      <c r="H862"/>
      <c r="I862"/>
      <c r="J862"/>
      <c r="K862" t="s">
        <v>1197</v>
      </c>
    </row>
    <row r="863" spans="1:11">
      <c r="A863"/>
      <c r="B863"/>
      <c r="C863"/>
      <c r="D863" t="s">
        <v>1008</v>
      </c>
      <c r="E863" t="s">
        <v>1109</v>
      </c>
      <c r="F863"/>
      <c r="G863"/>
      <c r="H863"/>
      <c r="I863"/>
      <c r="J863"/>
      <c r="K863" t="s">
        <v>1197</v>
      </c>
    </row>
    <row r="864" spans="1:11">
      <c r="A864"/>
      <c r="B864"/>
      <c r="C864"/>
      <c r="D864" t="s">
        <v>1008</v>
      </c>
      <c r="E864" t="s">
        <v>1110</v>
      </c>
      <c r="F864"/>
      <c r="G864"/>
      <c r="H864"/>
      <c r="I864"/>
      <c r="J864"/>
      <c r="K864" t="s">
        <v>1197</v>
      </c>
    </row>
    <row r="865" spans="1:11">
      <c r="A865"/>
      <c r="B865"/>
      <c r="C865"/>
      <c r="D865" t="s">
        <v>1011</v>
      </c>
      <c r="E865" t="s">
        <v>1111</v>
      </c>
      <c r="F865"/>
      <c r="G865"/>
      <c r="H865"/>
      <c r="I865"/>
      <c r="J865"/>
      <c r="K865" t="s">
        <v>1197</v>
      </c>
    </row>
    <row r="866" spans="1:11">
      <c r="A866"/>
      <c r="B866"/>
      <c r="C866"/>
      <c r="D866" t="s">
        <v>1013</v>
      </c>
      <c r="E866" t="s">
        <v>1112</v>
      </c>
      <c r="F866"/>
      <c r="G866"/>
      <c r="H866"/>
      <c r="I866"/>
      <c r="J866"/>
      <c r="K866" t="s">
        <v>1197</v>
      </c>
    </row>
    <row r="867" spans="1:11">
      <c r="A867"/>
      <c r="B867"/>
      <c r="C867"/>
      <c r="D867" t="s">
        <v>1015</v>
      </c>
      <c r="E867" t="s">
        <v>1113</v>
      </c>
      <c r="F867"/>
      <c r="G867"/>
      <c r="H867"/>
      <c r="I867"/>
      <c r="J867"/>
      <c r="K867" t="s">
        <v>1197</v>
      </c>
    </row>
    <row r="868" spans="1:11">
      <c r="A868"/>
      <c r="B868"/>
      <c r="C868"/>
      <c r="D868" t="s">
        <v>1018</v>
      </c>
      <c r="E868" t="s">
        <v>1114</v>
      </c>
      <c r="F868"/>
      <c r="G868"/>
      <c r="H868"/>
      <c r="I868"/>
      <c r="J868"/>
      <c r="K868" t="s">
        <v>1197</v>
      </c>
    </row>
    <row r="869" spans="1:11">
      <c r="A869"/>
      <c r="B869"/>
      <c r="C869"/>
      <c r="D869" t="s">
        <v>293</v>
      </c>
      <c r="E869" t="s">
        <v>1115</v>
      </c>
      <c r="F869"/>
      <c r="G869"/>
      <c r="H869"/>
      <c r="I869"/>
      <c r="J869"/>
      <c r="K869" t="s">
        <v>1197</v>
      </c>
    </row>
    <row r="870" spans="1:11">
      <c r="A870"/>
      <c r="B870"/>
      <c r="C870"/>
      <c r="D870" t="s">
        <v>980</v>
      </c>
      <c r="E870" t="s">
        <v>1116</v>
      </c>
      <c r="F870"/>
      <c r="G870"/>
      <c r="H870"/>
      <c r="I870"/>
      <c r="J870"/>
      <c r="K870" t="s">
        <v>1197</v>
      </c>
    </row>
    <row r="871" spans="1:11">
      <c r="A871"/>
      <c r="B871"/>
      <c r="C871"/>
      <c r="D871" t="s">
        <v>1155</v>
      </c>
      <c r="E871" t="s">
        <v>1117</v>
      </c>
      <c r="F871"/>
      <c r="G871"/>
      <c r="H871"/>
      <c r="I871"/>
      <c r="J871"/>
      <c r="K871" t="s">
        <v>1197</v>
      </c>
    </row>
    <row r="872" spans="1:11">
      <c r="A872"/>
      <c r="B872"/>
      <c r="C872"/>
      <c r="D872" t="s">
        <v>1155</v>
      </c>
      <c r="E872" t="s">
        <v>1118</v>
      </c>
      <c r="F872"/>
      <c r="G872"/>
      <c r="H872"/>
      <c r="I872"/>
      <c r="J872"/>
      <c r="K872" t="s">
        <v>1197</v>
      </c>
    </row>
    <row r="873" spans="1:11">
      <c r="A873"/>
      <c r="B873"/>
      <c r="C873"/>
      <c r="D873" t="s">
        <v>1155</v>
      </c>
      <c r="E873" t="s">
        <v>1119</v>
      </c>
      <c r="F873"/>
      <c r="G873"/>
      <c r="H873"/>
      <c r="I873"/>
      <c r="J873"/>
      <c r="K873" t="s">
        <v>1197</v>
      </c>
    </row>
    <row r="874" spans="1:11">
      <c r="A874"/>
      <c r="B874"/>
      <c r="C874"/>
      <c r="D874" t="s">
        <v>1155</v>
      </c>
      <c r="E874" t="s">
        <v>1120</v>
      </c>
      <c r="F874"/>
      <c r="G874"/>
      <c r="H874"/>
      <c r="I874"/>
      <c r="J874"/>
      <c r="K874" t="s">
        <v>1197</v>
      </c>
    </row>
    <row r="875" spans="1:11">
      <c r="A875"/>
      <c r="B875"/>
      <c r="C875"/>
      <c r="D875" t="s">
        <v>1188</v>
      </c>
      <c r="E875" t="s">
        <v>1121</v>
      </c>
      <c r="F875"/>
      <c r="G875"/>
      <c r="H875"/>
      <c r="I875"/>
      <c r="J875"/>
      <c r="K875" t="s">
        <v>1197</v>
      </c>
    </row>
    <row r="876" spans="1:11">
      <c r="A876"/>
      <c r="B876"/>
      <c r="C876"/>
      <c r="D876" t="s">
        <v>1188</v>
      </c>
      <c r="E876" t="s">
        <v>1122</v>
      </c>
      <c r="F876"/>
      <c r="G876"/>
      <c r="H876"/>
      <c r="I876"/>
      <c r="J876"/>
      <c r="K876" t="s">
        <v>1197</v>
      </c>
    </row>
    <row r="877" spans="1:11">
      <c r="A877">
        <v>44298</v>
      </c>
      <c r="B877" t="s">
        <v>954</v>
      </c>
      <c r="C877">
        <v>44295</v>
      </c>
      <c r="D877" t="s">
        <v>1004</v>
      </c>
      <c r="E877" t="s">
        <v>1123</v>
      </c>
      <c r="F877" t="s">
        <v>210</v>
      </c>
      <c r="G877"/>
      <c r="H877"/>
      <c r="I877"/>
      <c r="J877"/>
      <c r="K877" t="s">
        <v>1193</v>
      </c>
    </row>
    <row r="878" spans="1:11">
      <c r="A878"/>
      <c r="B878"/>
      <c r="C878"/>
      <c r="D878" t="s">
        <v>1006</v>
      </c>
      <c r="E878" t="s">
        <v>1124</v>
      </c>
      <c r="F878"/>
      <c r="G878"/>
      <c r="H878"/>
      <c r="I878"/>
      <c r="J878"/>
      <c r="K878" t="s">
        <v>1193</v>
      </c>
    </row>
    <row r="879" spans="1:11">
      <c r="A879"/>
      <c r="B879"/>
      <c r="C879"/>
      <c r="D879" t="s">
        <v>1008</v>
      </c>
      <c r="E879" t="s">
        <v>1125</v>
      </c>
      <c r="F879"/>
      <c r="G879"/>
      <c r="H879"/>
      <c r="I879"/>
      <c r="J879"/>
      <c r="K879" t="s">
        <v>1193</v>
      </c>
    </row>
    <row r="880" spans="1:11">
      <c r="A880"/>
      <c r="B880"/>
      <c r="C880"/>
      <c r="D880" t="s">
        <v>1008</v>
      </c>
      <c r="E880" t="s">
        <v>1126</v>
      </c>
      <c r="F880"/>
      <c r="G880"/>
      <c r="H880"/>
      <c r="I880"/>
      <c r="J880"/>
      <c r="K880" t="s">
        <v>1193</v>
      </c>
    </row>
    <row r="881" spans="1:11">
      <c r="A881"/>
      <c r="B881"/>
      <c r="C881"/>
      <c r="D881" t="s">
        <v>1011</v>
      </c>
      <c r="E881" t="s">
        <v>1127</v>
      </c>
      <c r="F881"/>
      <c r="G881"/>
      <c r="H881"/>
      <c r="I881"/>
      <c r="J881"/>
      <c r="K881" t="s">
        <v>1193</v>
      </c>
    </row>
    <row r="882" spans="1:11">
      <c r="A882"/>
      <c r="B882"/>
      <c r="C882"/>
      <c r="D882" t="s">
        <v>1013</v>
      </c>
      <c r="E882" t="s">
        <v>1128</v>
      </c>
      <c r="F882"/>
      <c r="G882"/>
      <c r="H882"/>
      <c r="I882"/>
      <c r="J882"/>
      <c r="K882" t="s">
        <v>1193</v>
      </c>
    </row>
    <row r="883" spans="1:11">
      <c r="A883"/>
      <c r="B883"/>
      <c r="C883"/>
      <c r="D883" t="s">
        <v>1015</v>
      </c>
      <c r="E883" t="s">
        <v>1129</v>
      </c>
      <c r="F883"/>
      <c r="G883"/>
      <c r="H883"/>
      <c r="I883"/>
      <c r="J883"/>
      <c r="K883" t="s">
        <v>1193</v>
      </c>
    </row>
    <row r="884" spans="1:11">
      <c r="A884"/>
      <c r="B884"/>
      <c r="C884"/>
      <c r="D884" t="s">
        <v>293</v>
      </c>
      <c r="E884" t="s">
        <v>1130</v>
      </c>
      <c r="F884"/>
      <c r="G884"/>
      <c r="H884"/>
      <c r="I884"/>
      <c r="J884"/>
      <c r="K884" t="s">
        <v>1193</v>
      </c>
    </row>
    <row r="885" spans="1:11">
      <c r="A885"/>
      <c r="B885"/>
      <c r="C885"/>
      <c r="D885" t="s">
        <v>1018</v>
      </c>
      <c r="E885" t="s">
        <v>1131</v>
      </c>
      <c r="F885"/>
      <c r="G885"/>
      <c r="H885"/>
      <c r="I885"/>
      <c r="J885"/>
      <c r="K885" t="s">
        <v>1193</v>
      </c>
    </row>
    <row r="886" spans="1:11">
      <c r="A886"/>
      <c r="B886"/>
      <c r="C886"/>
      <c r="D886" t="s">
        <v>980</v>
      </c>
      <c r="E886" t="s">
        <v>1132</v>
      </c>
      <c r="F886"/>
      <c r="G886"/>
      <c r="H886"/>
      <c r="I886"/>
      <c r="J886"/>
      <c r="K886" t="s">
        <v>1193</v>
      </c>
    </row>
    <row r="887" spans="1:11">
      <c r="A887"/>
      <c r="B887"/>
      <c r="C887"/>
      <c r="D887" t="s">
        <v>1155</v>
      </c>
      <c r="E887" t="s">
        <v>1133</v>
      </c>
      <c r="F887"/>
      <c r="G887"/>
      <c r="H887"/>
      <c r="I887"/>
      <c r="J887"/>
      <c r="K887" t="s">
        <v>1193</v>
      </c>
    </row>
    <row r="888" spans="1:11">
      <c r="A888"/>
      <c r="B888"/>
      <c r="C888"/>
      <c r="D888" t="s">
        <v>1155</v>
      </c>
      <c r="E888" t="s">
        <v>1134</v>
      </c>
      <c r="F888"/>
      <c r="G888"/>
      <c r="H888"/>
      <c r="I888"/>
      <c r="J888"/>
      <c r="K888" t="s">
        <v>1193</v>
      </c>
    </row>
    <row r="889" spans="1:11">
      <c r="A889"/>
      <c r="B889"/>
      <c r="C889"/>
      <c r="D889" t="s">
        <v>1155</v>
      </c>
      <c r="E889" t="s">
        <v>1135</v>
      </c>
      <c r="F889"/>
      <c r="G889"/>
      <c r="H889"/>
      <c r="I889"/>
      <c r="J889"/>
      <c r="K889" t="s">
        <v>1193</v>
      </c>
    </row>
    <row r="890" spans="1:11">
      <c r="A890"/>
      <c r="B890"/>
      <c r="C890"/>
      <c r="D890" t="s">
        <v>1155</v>
      </c>
      <c r="E890" t="s">
        <v>1136</v>
      </c>
      <c r="F890"/>
      <c r="G890"/>
      <c r="H890"/>
      <c r="I890"/>
      <c r="J890"/>
      <c r="K890" t="s">
        <v>1193</v>
      </c>
    </row>
    <row r="891" spans="1:11">
      <c r="A891"/>
      <c r="B891"/>
      <c r="C891"/>
      <c r="D891" t="s">
        <v>1188</v>
      </c>
      <c r="E891" t="s">
        <v>1137</v>
      </c>
      <c r="F891"/>
      <c r="G891"/>
      <c r="H891"/>
      <c r="I891"/>
      <c r="J891"/>
      <c r="K891" t="s">
        <v>1193</v>
      </c>
    </row>
    <row r="892" spans="1:11">
      <c r="A892"/>
      <c r="B892"/>
      <c r="C892"/>
      <c r="D892" t="s">
        <v>1188</v>
      </c>
      <c r="E892" t="s">
        <v>1138</v>
      </c>
      <c r="F892"/>
      <c r="G892"/>
      <c r="H892"/>
      <c r="I892"/>
      <c r="J892"/>
      <c r="K892" t="s">
        <v>1193</v>
      </c>
    </row>
    <row r="893" spans="1:11">
      <c r="A893">
        <v>44298</v>
      </c>
      <c r="B893" t="s">
        <v>954</v>
      </c>
      <c r="C893">
        <v>44295</v>
      </c>
      <c r="D893" t="s">
        <v>1004</v>
      </c>
      <c r="E893" t="s">
        <v>1139</v>
      </c>
      <c r="F893" t="s">
        <v>210</v>
      </c>
      <c r="G893"/>
      <c r="H893"/>
      <c r="I893"/>
      <c r="J893"/>
      <c r="K893" t="s">
        <v>1189</v>
      </c>
    </row>
    <row r="894" spans="1:11">
      <c r="A894"/>
      <c r="B894"/>
      <c r="C894"/>
      <c r="D894" t="s">
        <v>1006</v>
      </c>
      <c r="E894" t="s">
        <v>1140</v>
      </c>
      <c r="F894"/>
      <c r="G894"/>
      <c r="H894"/>
      <c r="I894"/>
      <c r="J894"/>
      <c r="K894" t="s">
        <v>1189</v>
      </c>
    </row>
    <row r="895" spans="1:11">
      <c r="A895"/>
      <c r="B895"/>
      <c r="C895"/>
      <c r="D895" t="s">
        <v>1008</v>
      </c>
      <c r="E895" t="s">
        <v>1141</v>
      </c>
      <c r="F895"/>
      <c r="G895"/>
      <c r="H895"/>
      <c r="I895"/>
      <c r="J895"/>
      <c r="K895" t="s">
        <v>1189</v>
      </c>
    </row>
    <row r="896" spans="1:11">
      <c r="A896"/>
      <c r="B896"/>
      <c r="C896"/>
      <c r="D896" t="s">
        <v>1008</v>
      </c>
      <c r="E896" t="s">
        <v>1142</v>
      </c>
      <c r="F896"/>
      <c r="G896"/>
      <c r="H896"/>
      <c r="I896"/>
      <c r="J896"/>
      <c r="K896" t="s">
        <v>1189</v>
      </c>
    </row>
    <row r="897" spans="1:11">
      <c r="A897"/>
      <c r="B897"/>
      <c r="C897"/>
      <c r="D897" t="s">
        <v>1011</v>
      </c>
      <c r="E897" t="s">
        <v>1143</v>
      </c>
      <c r="F897"/>
      <c r="G897"/>
      <c r="H897"/>
      <c r="I897"/>
      <c r="J897"/>
      <c r="K897" t="s">
        <v>1189</v>
      </c>
    </row>
    <row r="898" spans="1:11">
      <c r="A898"/>
      <c r="B898"/>
      <c r="C898"/>
      <c r="D898" t="s">
        <v>1013</v>
      </c>
      <c r="E898" t="s">
        <v>1144</v>
      </c>
      <c r="F898"/>
      <c r="G898"/>
      <c r="H898"/>
      <c r="I898"/>
      <c r="J898"/>
      <c r="K898" t="s">
        <v>1189</v>
      </c>
    </row>
    <row r="899" spans="1:11">
      <c r="A899"/>
      <c r="B899"/>
      <c r="C899"/>
      <c r="D899" t="s">
        <v>1015</v>
      </c>
      <c r="E899" t="s">
        <v>1145</v>
      </c>
      <c r="F899"/>
      <c r="G899"/>
      <c r="H899"/>
      <c r="I899"/>
      <c r="J899"/>
      <c r="K899" t="s">
        <v>1189</v>
      </c>
    </row>
    <row r="900" spans="1:11">
      <c r="A900"/>
      <c r="B900"/>
      <c r="C900"/>
      <c r="D900" t="s">
        <v>293</v>
      </c>
      <c r="E900" t="s">
        <v>1146</v>
      </c>
      <c r="F900"/>
      <c r="G900"/>
      <c r="H900"/>
      <c r="I900"/>
      <c r="J900"/>
      <c r="K900" t="s">
        <v>1189</v>
      </c>
    </row>
    <row r="901" spans="1:11">
      <c r="A901"/>
      <c r="B901"/>
      <c r="C901"/>
      <c r="D901" t="s">
        <v>1018</v>
      </c>
      <c r="E901" t="s">
        <v>1147</v>
      </c>
      <c r="F901"/>
      <c r="G901"/>
      <c r="H901"/>
      <c r="I901"/>
      <c r="J901"/>
      <c r="K901" t="s">
        <v>1189</v>
      </c>
    </row>
    <row r="902" spans="1:11">
      <c r="A902"/>
      <c r="B902"/>
      <c r="C902"/>
      <c r="D902" t="s">
        <v>980</v>
      </c>
      <c r="E902" t="s">
        <v>1148</v>
      </c>
      <c r="F902"/>
      <c r="G902"/>
      <c r="H902"/>
      <c r="I902"/>
      <c r="J902"/>
      <c r="K902" t="s">
        <v>1189</v>
      </c>
    </row>
    <row r="903" spans="1:11">
      <c r="A903"/>
      <c r="B903"/>
      <c r="C903"/>
      <c r="D903" t="s">
        <v>1155</v>
      </c>
      <c r="E903" t="s">
        <v>1149</v>
      </c>
      <c r="F903"/>
      <c r="G903"/>
      <c r="H903"/>
      <c r="I903"/>
      <c r="J903"/>
      <c r="K903" t="s">
        <v>1189</v>
      </c>
    </row>
    <row r="904" spans="1:11">
      <c r="A904"/>
      <c r="B904"/>
      <c r="C904"/>
      <c r="D904" t="s">
        <v>1155</v>
      </c>
      <c r="E904" t="s">
        <v>1150</v>
      </c>
      <c r="F904"/>
      <c r="G904"/>
      <c r="H904"/>
      <c r="I904"/>
      <c r="J904"/>
      <c r="K904" t="s">
        <v>1189</v>
      </c>
    </row>
    <row r="905" spans="1:11">
      <c r="A905"/>
      <c r="B905"/>
      <c r="C905"/>
      <c r="D905" t="s">
        <v>1155</v>
      </c>
      <c r="E905" t="s">
        <v>1151</v>
      </c>
      <c r="F905"/>
      <c r="G905"/>
      <c r="H905"/>
      <c r="I905"/>
      <c r="J905"/>
      <c r="K905" t="s">
        <v>1189</v>
      </c>
    </row>
    <row r="906" spans="1:11">
      <c r="A906"/>
      <c r="B906"/>
      <c r="C906"/>
      <c r="D906" t="s">
        <v>1155</v>
      </c>
      <c r="E906" t="s">
        <v>1152</v>
      </c>
      <c r="F906"/>
      <c r="G906"/>
      <c r="H906"/>
      <c r="I906"/>
      <c r="J906"/>
      <c r="K906" t="s">
        <v>1189</v>
      </c>
    </row>
    <row r="907" spans="1:11">
      <c r="A907"/>
      <c r="B907"/>
      <c r="C907"/>
      <c r="D907" t="s">
        <v>1188</v>
      </c>
      <c r="E907" t="s">
        <v>1153</v>
      </c>
      <c r="F907"/>
      <c r="G907"/>
      <c r="H907"/>
      <c r="I907"/>
      <c r="J907"/>
      <c r="K907" t="s">
        <v>1189</v>
      </c>
    </row>
    <row r="908" spans="1:11">
      <c r="A908"/>
      <c r="B908"/>
      <c r="C908"/>
      <c r="D908" t="s">
        <v>1188</v>
      </c>
      <c r="E908" t="s">
        <v>1154</v>
      </c>
      <c r="F908"/>
      <c r="G908"/>
      <c r="H908"/>
      <c r="I908"/>
      <c r="J908"/>
      <c r="K908" t="s">
        <v>1189</v>
      </c>
    </row>
    <row r="909" spans="1:11">
      <c r="A909">
        <v>44298</v>
      </c>
      <c r="B909" t="s">
        <v>954</v>
      </c>
      <c r="C909">
        <v>44295</v>
      </c>
      <c r="D909" t="s">
        <v>1155</v>
      </c>
      <c r="E909" t="s">
        <v>1156</v>
      </c>
      <c r="F909" t="s">
        <v>210</v>
      </c>
      <c r="G909"/>
      <c r="H909"/>
      <c r="I909"/>
      <c r="J909"/>
      <c r="K909" t="s">
        <v>1195</v>
      </c>
    </row>
    <row r="910" spans="1:11">
      <c r="A910">
        <v>44298</v>
      </c>
      <c r="B910" t="s">
        <v>954</v>
      </c>
      <c r="C910">
        <v>44295</v>
      </c>
      <c r="D910" t="s">
        <v>1155</v>
      </c>
      <c r="E910" t="s">
        <v>1157</v>
      </c>
      <c r="F910" t="s">
        <v>210</v>
      </c>
      <c r="G910"/>
      <c r="H910"/>
      <c r="I910"/>
      <c r="J910"/>
      <c r="K910" t="s">
        <v>1195</v>
      </c>
    </row>
    <row r="911" spans="1:11">
      <c r="A911">
        <v>44298</v>
      </c>
      <c r="B911" t="s">
        <v>954</v>
      </c>
      <c r="C911">
        <v>44295</v>
      </c>
      <c r="D911" t="s">
        <v>1155</v>
      </c>
      <c r="E911" t="s">
        <v>1158</v>
      </c>
      <c r="F911" t="s">
        <v>210</v>
      </c>
      <c r="G911"/>
      <c r="H911"/>
      <c r="I911"/>
      <c r="J911"/>
      <c r="K911" t="s">
        <v>1194</v>
      </c>
    </row>
    <row r="912" spans="1:11">
      <c r="A912">
        <v>44298</v>
      </c>
      <c r="B912" t="s">
        <v>954</v>
      </c>
      <c r="C912">
        <v>44295</v>
      </c>
      <c r="D912" t="s">
        <v>1155</v>
      </c>
      <c r="E912" t="s">
        <v>1159</v>
      </c>
      <c r="F912" t="s">
        <v>210</v>
      </c>
      <c r="G912"/>
      <c r="H912"/>
      <c r="I912"/>
      <c r="J912"/>
      <c r="K912" t="s">
        <v>1194</v>
      </c>
    </row>
    <row r="913" spans="1:11">
      <c r="A913">
        <v>44298</v>
      </c>
      <c r="B913" t="s">
        <v>954</v>
      </c>
      <c r="C913">
        <v>44295</v>
      </c>
      <c r="D913" t="s">
        <v>1155</v>
      </c>
      <c r="E913" t="s">
        <v>1160</v>
      </c>
      <c r="F913" t="s">
        <v>210</v>
      </c>
      <c r="G913"/>
      <c r="H913"/>
      <c r="I913"/>
      <c r="J913"/>
      <c r="K913" t="s">
        <v>1194</v>
      </c>
    </row>
    <row r="914" spans="1:11">
      <c r="A914">
        <v>44298</v>
      </c>
      <c r="B914" t="s">
        <v>954</v>
      </c>
      <c r="C914">
        <v>44295</v>
      </c>
      <c r="D914" t="s">
        <v>1155</v>
      </c>
      <c r="E914" t="s">
        <v>1161</v>
      </c>
      <c r="F914" t="s">
        <v>210</v>
      </c>
      <c r="G914"/>
      <c r="H914"/>
      <c r="I914"/>
      <c r="J914"/>
      <c r="K914" t="s">
        <v>1194</v>
      </c>
    </row>
    <row r="915" spans="1:11">
      <c r="A915">
        <v>44298</v>
      </c>
      <c r="B915" t="s">
        <v>954</v>
      </c>
      <c r="C915">
        <v>44295</v>
      </c>
      <c r="D915" t="s">
        <v>1155</v>
      </c>
      <c r="E915" t="s">
        <v>1162</v>
      </c>
      <c r="F915" t="s">
        <v>210</v>
      </c>
      <c r="G915"/>
      <c r="H915"/>
      <c r="I915"/>
      <c r="J915"/>
      <c r="K915"/>
    </row>
    <row r="916" spans="1:11">
      <c r="A916">
        <v>44298</v>
      </c>
      <c r="B916" t="s">
        <v>954</v>
      </c>
      <c r="C916">
        <v>44295</v>
      </c>
      <c r="D916" t="s">
        <v>1155</v>
      </c>
      <c r="E916" t="s">
        <v>1163</v>
      </c>
      <c r="F916" t="s">
        <v>210</v>
      </c>
      <c r="G916"/>
      <c r="H916"/>
      <c r="I916"/>
      <c r="J916"/>
      <c r="K916"/>
    </row>
    <row r="917" spans="1:11">
      <c r="A917">
        <v>44298</v>
      </c>
      <c r="B917" t="s">
        <v>954</v>
      </c>
      <c r="C917">
        <v>44295</v>
      </c>
      <c r="D917" t="s">
        <v>1155</v>
      </c>
      <c r="E917" t="s">
        <v>1164</v>
      </c>
      <c r="F917" t="s">
        <v>210</v>
      </c>
      <c r="G917"/>
      <c r="H917"/>
      <c r="I917"/>
      <c r="J917"/>
      <c r="K917"/>
    </row>
    <row r="918" spans="1:11">
      <c r="A918">
        <v>44298</v>
      </c>
      <c r="B918" t="s">
        <v>954</v>
      </c>
      <c r="C918">
        <v>44295</v>
      </c>
      <c r="D918" t="s">
        <v>1155</v>
      </c>
      <c r="E918" t="s">
        <v>1165</v>
      </c>
      <c r="F918" t="s">
        <v>210</v>
      </c>
      <c r="G918"/>
      <c r="H918"/>
      <c r="I918"/>
      <c r="J918"/>
      <c r="K918"/>
    </row>
    <row r="919" spans="1:11">
      <c r="A919">
        <v>44298</v>
      </c>
      <c r="B919" t="s">
        <v>954</v>
      </c>
      <c r="C919">
        <v>44295</v>
      </c>
      <c r="D919" t="s">
        <v>1155</v>
      </c>
      <c r="E919" t="s">
        <v>1166</v>
      </c>
      <c r="F919" t="s">
        <v>210</v>
      </c>
      <c r="G919"/>
      <c r="H919"/>
      <c r="I919"/>
      <c r="J919"/>
      <c r="K919" t="s">
        <v>1191</v>
      </c>
    </row>
    <row r="920" spans="1:11">
      <c r="A920">
        <v>44298</v>
      </c>
      <c r="B920" t="s">
        <v>954</v>
      </c>
      <c r="C920">
        <v>44295</v>
      </c>
      <c r="D920" t="s">
        <v>1155</v>
      </c>
      <c r="E920" t="s">
        <v>1167</v>
      </c>
      <c r="F920" t="s">
        <v>210</v>
      </c>
      <c r="G920"/>
      <c r="H920"/>
      <c r="I920"/>
      <c r="J920"/>
      <c r="K920" t="s">
        <v>1193</v>
      </c>
    </row>
    <row r="921" spans="1:11">
      <c r="A921">
        <v>44298</v>
      </c>
      <c r="B921" t="s">
        <v>954</v>
      </c>
      <c r="C921">
        <v>44295</v>
      </c>
      <c r="D921" t="s">
        <v>1155</v>
      </c>
      <c r="E921" t="s">
        <v>1168</v>
      </c>
      <c r="F921" t="s">
        <v>210</v>
      </c>
      <c r="G921"/>
      <c r="H921"/>
      <c r="I921"/>
      <c r="J921"/>
      <c r="K921" t="s">
        <v>1193</v>
      </c>
    </row>
    <row r="922" spans="1:11">
      <c r="A922">
        <v>44298</v>
      </c>
      <c r="B922" t="s">
        <v>954</v>
      </c>
      <c r="C922">
        <v>44295</v>
      </c>
      <c r="D922" t="s">
        <v>1155</v>
      </c>
      <c r="E922" t="s">
        <v>1169</v>
      </c>
      <c r="F922" t="s">
        <v>210</v>
      </c>
      <c r="G922"/>
      <c r="H922"/>
      <c r="I922"/>
      <c r="J922"/>
      <c r="K922" t="s">
        <v>1193</v>
      </c>
    </row>
    <row r="923" spans="1:11">
      <c r="A923">
        <v>44298</v>
      </c>
      <c r="B923" t="s">
        <v>954</v>
      </c>
      <c r="C923">
        <v>44295</v>
      </c>
      <c r="D923" t="s">
        <v>1155</v>
      </c>
      <c r="E923" t="s">
        <v>1170</v>
      </c>
      <c r="F923" t="s">
        <v>210</v>
      </c>
      <c r="G923"/>
      <c r="H923"/>
      <c r="I923"/>
      <c r="J923"/>
      <c r="K923" t="s">
        <v>1193</v>
      </c>
    </row>
    <row r="924" spans="1:11">
      <c r="A924">
        <v>44298</v>
      </c>
      <c r="B924" t="s">
        <v>954</v>
      </c>
      <c r="C924">
        <v>44295</v>
      </c>
      <c r="D924" t="s">
        <v>1155</v>
      </c>
      <c r="E924" t="s">
        <v>1171</v>
      </c>
      <c r="F924" t="s">
        <v>210</v>
      </c>
      <c r="G924"/>
      <c r="H924"/>
      <c r="I924"/>
      <c r="J924"/>
      <c r="K924" t="s">
        <v>1192</v>
      </c>
    </row>
    <row r="925" spans="1:11">
      <c r="A925">
        <v>44298</v>
      </c>
      <c r="B925" t="s">
        <v>954</v>
      </c>
      <c r="C925">
        <v>44295</v>
      </c>
      <c r="D925" t="s">
        <v>1155</v>
      </c>
      <c r="E925" t="s">
        <v>1172</v>
      </c>
      <c r="F925" t="s">
        <v>210</v>
      </c>
      <c r="G925"/>
      <c r="H925"/>
      <c r="I925"/>
      <c r="J925"/>
      <c r="K925" t="s">
        <v>1192</v>
      </c>
    </row>
    <row r="926" spans="1:11">
      <c r="A926">
        <v>44298</v>
      </c>
      <c r="B926" t="s">
        <v>954</v>
      </c>
      <c r="C926">
        <v>44295</v>
      </c>
      <c r="D926" t="s">
        <v>1155</v>
      </c>
      <c r="E926" t="s">
        <v>1173</v>
      </c>
      <c r="F926" t="s">
        <v>210</v>
      </c>
      <c r="G926"/>
      <c r="H926"/>
      <c r="I926"/>
      <c r="J926"/>
      <c r="K926" t="s">
        <v>1192</v>
      </c>
    </row>
    <row r="927" spans="1:11">
      <c r="A927">
        <v>44298</v>
      </c>
      <c r="B927" t="s">
        <v>954</v>
      </c>
      <c r="C927">
        <v>44295</v>
      </c>
      <c r="D927" t="s">
        <v>1155</v>
      </c>
      <c r="E927" t="s">
        <v>1174</v>
      </c>
      <c r="F927" t="s">
        <v>210</v>
      </c>
      <c r="G927"/>
      <c r="H927"/>
      <c r="I927"/>
      <c r="J927"/>
      <c r="K927" t="s">
        <v>1192</v>
      </c>
    </row>
    <row r="928" spans="1:11">
      <c r="A928">
        <v>44298</v>
      </c>
      <c r="B928" t="s">
        <v>954</v>
      </c>
      <c r="C928">
        <v>44295</v>
      </c>
      <c r="D928" t="s">
        <v>1155</v>
      </c>
      <c r="E928" t="s">
        <v>1175</v>
      </c>
      <c r="F928" t="s">
        <v>210</v>
      </c>
      <c r="G928"/>
      <c r="H928"/>
      <c r="I928"/>
      <c r="J928"/>
      <c r="K928" t="s">
        <v>1191</v>
      </c>
    </row>
    <row r="929" spans="1:11">
      <c r="A929">
        <v>44298</v>
      </c>
      <c r="B929" t="s">
        <v>954</v>
      </c>
      <c r="C929">
        <v>44295</v>
      </c>
      <c r="D929" t="s">
        <v>1155</v>
      </c>
      <c r="E929" t="s">
        <v>1176</v>
      </c>
      <c r="F929" t="s">
        <v>210</v>
      </c>
      <c r="G929"/>
      <c r="H929"/>
      <c r="I929"/>
      <c r="J929"/>
      <c r="K929" t="s">
        <v>1191</v>
      </c>
    </row>
    <row r="930" spans="1:11">
      <c r="A930">
        <v>44298</v>
      </c>
      <c r="B930" t="s">
        <v>954</v>
      </c>
      <c r="C930">
        <v>44295</v>
      </c>
      <c r="D930" t="s">
        <v>1155</v>
      </c>
      <c r="E930" t="s">
        <v>1177</v>
      </c>
      <c r="F930" t="s">
        <v>210</v>
      </c>
      <c r="G930"/>
      <c r="H930"/>
      <c r="I930"/>
      <c r="J930"/>
      <c r="K930" t="s">
        <v>1191</v>
      </c>
    </row>
    <row r="931" spans="1:11">
      <c r="A931">
        <v>44298</v>
      </c>
      <c r="B931" t="s">
        <v>954</v>
      </c>
      <c r="C931">
        <v>44295</v>
      </c>
      <c r="D931" t="s">
        <v>1155</v>
      </c>
      <c r="E931" t="s">
        <v>1178</v>
      </c>
      <c r="F931" t="s">
        <v>210</v>
      </c>
      <c r="G931"/>
      <c r="H931"/>
      <c r="I931"/>
      <c r="J931"/>
      <c r="K931" t="s">
        <v>1197</v>
      </c>
    </row>
    <row r="932" spans="1:11">
      <c r="A932">
        <v>44298</v>
      </c>
      <c r="B932" t="s">
        <v>954</v>
      </c>
      <c r="C932">
        <v>44295</v>
      </c>
      <c r="D932" t="s">
        <v>1155</v>
      </c>
      <c r="E932" t="s">
        <v>1179</v>
      </c>
      <c r="F932" t="s">
        <v>210</v>
      </c>
      <c r="G932"/>
      <c r="H932"/>
      <c r="I932"/>
      <c r="J932"/>
      <c r="K932" t="s">
        <v>1197</v>
      </c>
    </row>
    <row r="933" spans="1:11">
      <c r="A933">
        <v>44298</v>
      </c>
      <c r="B933" t="s">
        <v>954</v>
      </c>
      <c r="C933">
        <v>44295</v>
      </c>
      <c r="D933" t="s">
        <v>1155</v>
      </c>
      <c r="E933" t="s">
        <v>1180</v>
      </c>
      <c r="F933" t="s">
        <v>210</v>
      </c>
      <c r="G933"/>
      <c r="H933"/>
      <c r="I933"/>
      <c r="J933"/>
      <c r="K933" t="s">
        <v>1197</v>
      </c>
    </row>
    <row r="934" spans="1:11">
      <c r="A934">
        <v>44298</v>
      </c>
      <c r="B934" t="s">
        <v>954</v>
      </c>
      <c r="C934">
        <v>44295</v>
      </c>
      <c r="D934" t="s">
        <v>1155</v>
      </c>
      <c r="E934" t="s">
        <v>1181</v>
      </c>
      <c r="F934" t="s">
        <v>210</v>
      </c>
      <c r="G934"/>
      <c r="H934"/>
      <c r="I934"/>
      <c r="J934"/>
      <c r="K934" t="s">
        <v>1197</v>
      </c>
    </row>
    <row r="935" spans="1:11">
      <c r="A935">
        <v>44298</v>
      </c>
      <c r="B935" t="s">
        <v>954</v>
      </c>
      <c r="C935">
        <v>44295</v>
      </c>
      <c r="D935" t="s">
        <v>1155</v>
      </c>
      <c r="E935" t="s">
        <v>1182</v>
      </c>
      <c r="F935" t="s">
        <v>210</v>
      </c>
      <c r="G935"/>
      <c r="H935"/>
      <c r="I935"/>
      <c r="J935"/>
      <c r="K935" t="s">
        <v>1196</v>
      </c>
    </row>
    <row r="936" spans="1:11">
      <c r="A936">
        <v>44298</v>
      </c>
      <c r="B936" t="s">
        <v>954</v>
      </c>
      <c r="C936">
        <v>44295</v>
      </c>
      <c r="D936" t="s">
        <v>1155</v>
      </c>
      <c r="E936" t="s">
        <v>1183</v>
      </c>
      <c r="F936" t="s">
        <v>210</v>
      </c>
      <c r="G936"/>
      <c r="H936"/>
      <c r="I936"/>
      <c r="J936"/>
      <c r="K936" t="s">
        <v>1196</v>
      </c>
    </row>
    <row r="937" spans="1:11">
      <c r="A937">
        <v>44298</v>
      </c>
      <c r="B937" t="s">
        <v>954</v>
      </c>
      <c r="C937">
        <v>44295</v>
      </c>
      <c r="D937" t="s">
        <v>1155</v>
      </c>
      <c r="E937" t="s">
        <v>1184</v>
      </c>
      <c r="F937" t="s">
        <v>210</v>
      </c>
      <c r="G937"/>
      <c r="H937"/>
      <c r="I937"/>
      <c r="J937"/>
      <c r="K937" t="s">
        <v>1196</v>
      </c>
    </row>
    <row r="938" spans="1:11">
      <c r="A938">
        <v>44298</v>
      </c>
      <c r="B938" t="s">
        <v>954</v>
      </c>
      <c r="C938">
        <v>44295</v>
      </c>
      <c r="D938" t="s">
        <v>1155</v>
      </c>
      <c r="E938" t="s">
        <v>1185</v>
      </c>
      <c r="F938" t="s">
        <v>210</v>
      </c>
      <c r="G938"/>
      <c r="H938"/>
      <c r="I938"/>
      <c r="J938"/>
      <c r="K938" t="s">
        <v>1196</v>
      </c>
    </row>
    <row r="939" spans="1:11">
      <c r="A939">
        <v>44298</v>
      </c>
      <c r="B939" t="s">
        <v>954</v>
      </c>
      <c r="C939">
        <v>44295</v>
      </c>
      <c r="D939" t="s">
        <v>1155</v>
      </c>
      <c r="E939" t="s">
        <v>1186</v>
      </c>
      <c r="F939" t="s">
        <v>210</v>
      </c>
      <c r="G939"/>
      <c r="H939"/>
      <c r="I939"/>
      <c r="J939"/>
      <c r="K939" t="s">
        <v>1195</v>
      </c>
    </row>
    <row r="940" spans="1:11">
      <c r="A940">
        <v>44298</v>
      </c>
      <c r="B940" t="s">
        <v>954</v>
      </c>
      <c r="C940">
        <v>44295</v>
      </c>
      <c r="D940" t="s">
        <v>1155</v>
      </c>
      <c r="E940" t="s">
        <v>1187</v>
      </c>
      <c r="F940" t="s">
        <v>210</v>
      </c>
      <c r="G940"/>
      <c r="H940"/>
      <c r="I940"/>
      <c r="J940"/>
      <c r="K940" t="s">
        <v>1195</v>
      </c>
    </row>
    <row r="941" spans="1:11">
      <c r="A941"/>
      <c r="B941"/>
      <c r="C941"/>
      <c r="D941" t="s">
        <v>1484</v>
      </c>
      <c r="E941" t="s">
        <v>1199</v>
      </c>
      <c r="F941"/>
      <c r="G941"/>
      <c r="H941"/>
      <c r="I941"/>
      <c r="J941"/>
      <c r="K941" t="s">
        <v>1458</v>
      </c>
    </row>
    <row r="942" spans="1:11">
      <c r="A942">
        <v>44298</v>
      </c>
      <c r="B942" t="s">
        <v>954</v>
      </c>
      <c r="C942">
        <v>44295</v>
      </c>
      <c r="D942" t="s">
        <v>1155</v>
      </c>
      <c r="E942" t="s">
        <v>1200</v>
      </c>
      <c r="F942" t="s">
        <v>210</v>
      </c>
      <c r="G942"/>
      <c r="H942"/>
      <c r="I942"/>
      <c r="J942"/>
      <c r="K942" t="s">
        <v>1201</v>
      </c>
    </row>
    <row r="943" spans="1:11">
      <c r="A943">
        <v>44298</v>
      </c>
      <c r="B943" t="s">
        <v>954</v>
      </c>
      <c r="C943">
        <v>44295</v>
      </c>
      <c r="D943" t="s">
        <v>1155</v>
      </c>
      <c r="E943" t="s">
        <v>1202</v>
      </c>
      <c r="F943" t="s">
        <v>210</v>
      </c>
      <c r="G943"/>
      <c r="H943"/>
      <c r="I943"/>
      <c r="J943"/>
      <c r="K943" t="s">
        <v>1201</v>
      </c>
    </row>
    <row r="944" spans="1:11">
      <c r="A944">
        <v>44298</v>
      </c>
      <c r="B944" t="s">
        <v>954</v>
      </c>
      <c r="C944">
        <v>44295</v>
      </c>
      <c r="D944" t="s">
        <v>1155</v>
      </c>
      <c r="E944" t="s">
        <v>1203</v>
      </c>
      <c r="F944" t="s">
        <v>210</v>
      </c>
      <c r="G944"/>
      <c r="H944"/>
      <c r="I944"/>
      <c r="J944"/>
      <c r="K944" t="s">
        <v>1201</v>
      </c>
    </row>
    <row r="945" spans="1:11">
      <c r="A945">
        <v>44298</v>
      </c>
      <c r="B945" t="s">
        <v>954</v>
      </c>
      <c r="C945">
        <v>44295</v>
      </c>
      <c r="D945" t="s">
        <v>1155</v>
      </c>
      <c r="E945" t="s">
        <v>1204</v>
      </c>
      <c r="F945" t="s">
        <v>210</v>
      </c>
      <c r="G945"/>
      <c r="H945"/>
      <c r="I945"/>
      <c r="J945"/>
      <c r="K945" t="s">
        <v>1201</v>
      </c>
    </row>
    <row r="946" spans="1:11">
      <c r="A946">
        <v>44298</v>
      </c>
      <c r="B946" t="s">
        <v>1205</v>
      </c>
      <c r="C946">
        <v>44294</v>
      </c>
      <c r="D946" t="s">
        <v>747</v>
      </c>
      <c r="E946" t="s">
        <v>1206</v>
      </c>
      <c r="F946" t="s">
        <v>1207</v>
      </c>
      <c r="G946" t="s">
        <v>1208</v>
      </c>
      <c r="H946"/>
      <c r="I946"/>
      <c r="J946"/>
      <c r="K946" t="s">
        <v>1201</v>
      </c>
    </row>
    <row r="947" spans="1:11">
      <c r="A947">
        <v>44307</v>
      </c>
      <c r="B947" t="s">
        <v>1209</v>
      </c>
      <c r="C947">
        <v>44306</v>
      </c>
      <c r="D947" t="s">
        <v>1210</v>
      </c>
      <c r="E947" t="s">
        <v>1211</v>
      </c>
      <c r="F947" t="s">
        <v>202</v>
      </c>
      <c r="G947" t="s">
        <v>1212</v>
      </c>
      <c r="H947"/>
      <c r="I947"/>
      <c r="J947"/>
      <c r="K947" t="s">
        <v>1201</v>
      </c>
    </row>
    <row r="948" spans="1:11">
      <c r="A948">
        <v>44307</v>
      </c>
      <c r="B948" t="s">
        <v>1209</v>
      </c>
      <c r="C948">
        <v>44306</v>
      </c>
      <c r="D948" t="s">
        <v>1210</v>
      </c>
      <c r="E948" t="s">
        <v>1213</v>
      </c>
      <c r="F948" t="s">
        <v>202</v>
      </c>
      <c r="G948" t="s">
        <v>1212</v>
      </c>
      <c r="H948"/>
      <c r="I948"/>
      <c r="J948"/>
      <c r="K948" t="s">
        <v>1201</v>
      </c>
    </row>
    <row r="949" spans="1:11">
      <c r="A949">
        <v>44307</v>
      </c>
      <c r="B949" t="s">
        <v>1209</v>
      </c>
      <c r="C949">
        <v>44306</v>
      </c>
      <c r="D949" t="s">
        <v>1210</v>
      </c>
      <c r="E949" t="s">
        <v>1214</v>
      </c>
      <c r="F949" t="s">
        <v>202</v>
      </c>
      <c r="G949" t="s">
        <v>1212</v>
      </c>
      <c r="H949"/>
      <c r="I949"/>
      <c r="J949"/>
      <c r="K949" t="s">
        <v>1201</v>
      </c>
    </row>
    <row r="950" spans="1:11">
      <c r="A950">
        <v>44307</v>
      </c>
      <c r="B950" t="s">
        <v>1209</v>
      </c>
      <c r="C950">
        <v>44306</v>
      </c>
      <c r="D950" t="s">
        <v>1210</v>
      </c>
      <c r="E950" t="s">
        <v>1215</v>
      </c>
      <c r="F950" t="s">
        <v>202</v>
      </c>
      <c r="G950" t="s">
        <v>1212</v>
      </c>
      <c r="H950"/>
      <c r="I950"/>
      <c r="J950"/>
      <c r="K950" t="s">
        <v>1201</v>
      </c>
    </row>
    <row r="951" spans="1:11">
      <c r="A951">
        <v>44307</v>
      </c>
      <c r="B951" t="s">
        <v>1209</v>
      </c>
      <c r="C951">
        <v>44306</v>
      </c>
      <c r="D951" t="s">
        <v>1210</v>
      </c>
      <c r="E951" t="s">
        <v>1216</v>
      </c>
      <c r="F951" t="s">
        <v>202</v>
      </c>
      <c r="G951" t="s">
        <v>1212</v>
      </c>
      <c r="H951"/>
      <c r="I951"/>
      <c r="J951"/>
      <c r="K951" t="s">
        <v>1201</v>
      </c>
    </row>
    <row r="952" spans="1:11">
      <c r="A952">
        <v>44307</v>
      </c>
      <c r="B952" t="s">
        <v>1209</v>
      </c>
      <c r="C952">
        <v>44306</v>
      </c>
      <c r="D952" t="s">
        <v>1210</v>
      </c>
      <c r="E952" t="s">
        <v>1217</v>
      </c>
      <c r="F952" t="s">
        <v>202</v>
      </c>
      <c r="G952" t="s">
        <v>1212</v>
      </c>
      <c r="H952"/>
      <c r="I952"/>
      <c r="J952"/>
      <c r="K952" t="s">
        <v>1201</v>
      </c>
    </row>
    <row r="953" spans="1:11">
      <c r="A953">
        <v>44307</v>
      </c>
      <c r="B953" t="s">
        <v>1209</v>
      </c>
      <c r="C953">
        <v>44306</v>
      </c>
      <c r="D953" t="s">
        <v>1210</v>
      </c>
      <c r="E953" t="s">
        <v>1218</v>
      </c>
      <c r="F953" t="s">
        <v>202</v>
      </c>
      <c r="G953" t="s">
        <v>1212</v>
      </c>
      <c r="H953"/>
      <c r="I953"/>
      <c r="J953"/>
      <c r="K953" t="s">
        <v>1201</v>
      </c>
    </row>
    <row r="954" spans="1:11">
      <c r="A954">
        <v>44307</v>
      </c>
      <c r="B954" t="s">
        <v>1209</v>
      </c>
      <c r="C954">
        <v>44306</v>
      </c>
      <c r="D954" t="s">
        <v>1210</v>
      </c>
      <c r="E954" t="s">
        <v>1219</v>
      </c>
      <c r="F954" t="s">
        <v>202</v>
      </c>
      <c r="G954" t="s">
        <v>1212</v>
      </c>
      <c r="H954"/>
      <c r="I954"/>
      <c r="J954"/>
      <c r="K954" t="s">
        <v>1201</v>
      </c>
    </row>
    <row r="955" spans="1:11">
      <c r="A955">
        <v>44307</v>
      </c>
      <c r="B955" t="s">
        <v>1209</v>
      </c>
      <c r="C955">
        <v>44306</v>
      </c>
      <c r="D955" t="s">
        <v>1210</v>
      </c>
      <c r="E955" t="s">
        <v>1220</v>
      </c>
      <c r="F955" t="s">
        <v>202</v>
      </c>
      <c r="G955" t="s">
        <v>1212</v>
      </c>
      <c r="H955"/>
      <c r="I955"/>
      <c r="J955"/>
      <c r="K955" t="s">
        <v>1201</v>
      </c>
    </row>
    <row r="956" spans="1:11">
      <c r="A956">
        <v>44307</v>
      </c>
      <c r="B956" t="s">
        <v>1209</v>
      </c>
      <c r="C956">
        <v>44306</v>
      </c>
      <c r="D956" t="s">
        <v>1210</v>
      </c>
      <c r="E956" t="s">
        <v>1221</v>
      </c>
      <c r="F956" t="s">
        <v>202</v>
      </c>
      <c r="G956" t="s">
        <v>1212</v>
      </c>
      <c r="H956"/>
      <c r="I956"/>
      <c r="J956"/>
      <c r="K956" t="s">
        <v>1201</v>
      </c>
    </row>
    <row r="957" spans="1:11">
      <c r="A957">
        <v>44307</v>
      </c>
      <c r="B957" t="s">
        <v>1209</v>
      </c>
      <c r="C957">
        <v>44306</v>
      </c>
      <c r="D957" t="s">
        <v>1210</v>
      </c>
      <c r="E957" t="s">
        <v>1222</v>
      </c>
      <c r="F957" t="s">
        <v>202</v>
      </c>
      <c r="G957" t="s">
        <v>1212</v>
      </c>
      <c r="H957"/>
      <c r="I957"/>
      <c r="J957"/>
      <c r="K957" t="s">
        <v>1201</v>
      </c>
    </row>
    <row r="958" spans="1:11">
      <c r="A958">
        <v>44307</v>
      </c>
      <c r="B958" t="s">
        <v>1209</v>
      </c>
      <c r="C958">
        <v>44306</v>
      </c>
      <c r="D958" t="s">
        <v>1210</v>
      </c>
      <c r="E958" t="s">
        <v>1223</v>
      </c>
      <c r="F958" t="s">
        <v>202</v>
      </c>
      <c r="G958" t="s">
        <v>1212</v>
      </c>
      <c r="H958"/>
      <c r="I958"/>
      <c r="J958"/>
      <c r="K958" t="s">
        <v>1201</v>
      </c>
    </row>
    <row r="959" spans="1:11">
      <c r="A959">
        <v>44307</v>
      </c>
      <c r="B959" t="s">
        <v>1209</v>
      </c>
      <c r="C959">
        <v>44306</v>
      </c>
      <c r="D959" t="s">
        <v>1210</v>
      </c>
      <c r="E959" t="s">
        <v>1224</v>
      </c>
      <c r="F959" t="s">
        <v>202</v>
      </c>
      <c r="G959" t="s">
        <v>1212</v>
      </c>
      <c r="H959"/>
      <c r="I959"/>
      <c r="J959"/>
      <c r="K959" t="s">
        <v>1201</v>
      </c>
    </row>
    <row r="960" spans="1:11">
      <c r="A960">
        <v>44307</v>
      </c>
      <c r="B960" t="s">
        <v>1209</v>
      </c>
      <c r="C960">
        <v>44306</v>
      </c>
      <c r="D960" t="s">
        <v>1210</v>
      </c>
      <c r="E960" t="s">
        <v>1225</v>
      </c>
      <c r="F960" t="s">
        <v>202</v>
      </c>
      <c r="G960" t="s">
        <v>1212</v>
      </c>
      <c r="H960"/>
      <c r="I960"/>
      <c r="J960"/>
      <c r="K960" t="s">
        <v>1201</v>
      </c>
    </row>
    <row r="961" spans="1:11">
      <c r="A961">
        <v>44307</v>
      </c>
      <c r="B961" t="s">
        <v>1209</v>
      </c>
      <c r="C961">
        <v>44306</v>
      </c>
      <c r="D961" t="s">
        <v>1210</v>
      </c>
      <c r="E961" t="s">
        <v>1226</v>
      </c>
      <c r="F961" t="s">
        <v>202</v>
      </c>
      <c r="G961" t="s">
        <v>1212</v>
      </c>
      <c r="H961"/>
      <c r="I961"/>
      <c r="J961"/>
      <c r="K961" t="s">
        <v>1201</v>
      </c>
    </row>
    <row r="962" spans="1:11">
      <c r="A962">
        <v>44307</v>
      </c>
      <c r="B962" t="s">
        <v>1209</v>
      </c>
      <c r="C962">
        <v>44306</v>
      </c>
      <c r="D962" t="s">
        <v>1210</v>
      </c>
      <c r="E962" t="s">
        <v>1227</v>
      </c>
      <c r="F962" t="s">
        <v>202</v>
      </c>
      <c r="G962" t="s">
        <v>1212</v>
      </c>
      <c r="H962"/>
      <c r="I962"/>
      <c r="J962"/>
      <c r="K962" t="s">
        <v>1201</v>
      </c>
    </row>
    <row r="963" spans="1:11">
      <c r="A963">
        <v>44307</v>
      </c>
      <c r="B963" t="s">
        <v>1209</v>
      </c>
      <c r="C963">
        <v>44306</v>
      </c>
      <c r="D963" t="s">
        <v>1210</v>
      </c>
      <c r="E963" t="s">
        <v>1228</v>
      </c>
      <c r="F963" t="s">
        <v>202</v>
      </c>
      <c r="G963" t="s">
        <v>1212</v>
      </c>
      <c r="H963"/>
      <c r="I963"/>
      <c r="J963"/>
      <c r="K963" t="s">
        <v>1201</v>
      </c>
    </row>
    <row r="964" spans="1:11">
      <c r="A964">
        <v>44307</v>
      </c>
      <c r="B964" t="s">
        <v>1209</v>
      </c>
      <c r="C964">
        <v>44306</v>
      </c>
      <c r="D964" t="s">
        <v>1210</v>
      </c>
      <c r="E964" t="s">
        <v>1229</v>
      </c>
      <c r="F964" t="s">
        <v>202</v>
      </c>
      <c r="G964" t="s">
        <v>1212</v>
      </c>
      <c r="H964"/>
      <c r="I964"/>
      <c r="J964"/>
      <c r="K964" t="s">
        <v>1201</v>
      </c>
    </row>
    <row r="965" spans="1:11">
      <c r="A965">
        <v>44307</v>
      </c>
      <c r="B965" t="s">
        <v>1209</v>
      </c>
      <c r="C965">
        <v>44306</v>
      </c>
      <c r="D965" t="s">
        <v>1210</v>
      </c>
      <c r="E965" t="s">
        <v>1230</v>
      </c>
      <c r="F965" t="s">
        <v>202</v>
      </c>
      <c r="G965" t="s">
        <v>1212</v>
      </c>
      <c r="H965"/>
      <c r="I965"/>
      <c r="J965"/>
      <c r="K965" t="s">
        <v>1201</v>
      </c>
    </row>
    <row r="966" spans="1:11">
      <c r="A966">
        <v>44307</v>
      </c>
      <c r="B966" t="s">
        <v>1209</v>
      </c>
      <c r="C966">
        <v>44306</v>
      </c>
      <c r="D966" t="s">
        <v>1210</v>
      </c>
      <c r="E966" t="s">
        <v>1231</v>
      </c>
      <c r="F966" t="s">
        <v>202</v>
      </c>
      <c r="G966" t="s">
        <v>1212</v>
      </c>
      <c r="H966"/>
      <c r="I966"/>
      <c r="J966"/>
      <c r="K966" t="s">
        <v>1201</v>
      </c>
    </row>
    <row r="967" spans="1:11">
      <c r="A967">
        <v>44307</v>
      </c>
      <c r="B967" t="s">
        <v>1209</v>
      </c>
      <c r="C967">
        <v>44306</v>
      </c>
      <c r="D967" t="s">
        <v>1210</v>
      </c>
      <c r="E967" t="s">
        <v>1232</v>
      </c>
      <c r="F967" t="s">
        <v>202</v>
      </c>
      <c r="G967" t="s">
        <v>1212</v>
      </c>
      <c r="H967"/>
      <c r="I967"/>
      <c r="J967"/>
      <c r="K967" t="s">
        <v>1201</v>
      </c>
    </row>
    <row r="968" spans="1:11">
      <c r="A968">
        <v>44307</v>
      </c>
      <c r="B968" t="s">
        <v>1209</v>
      </c>
      <c r="C968">
        <v>44306</v>
      </c>
      <c r="D968" t="s">
        <v>1210</v>
      </c>
      <c r="E968" t="s">
        <v>1233</v>
      </c>
      <c r="F968" t="s">
        <v>202</v>
      </c>
      <c r="G968" t="s">
        <v>1212</v>
      </c>
      <c r="H968"/>
      <c r="I968"/>
      <c r="J968"/>
      <c r="K968" t="s">
        <v>1201</v>
      </c>
    </row>
    <row r="969" spans="1:11">
      <c r="A969">
        <v>44307</v>
      </c>
      <c r="B969" t="s">
        <v>1209</v>
      </c>
      <c r="C969">
        <v>44306</v>
      </c>
      <c r="D969" t="s">
        <v>1210</v>
      </c>
      <c r="E969" t="s">
        <v>1234</v>
      </c>
      <c r="F969" t="s">
        <v>202</v>
      </c>
      <c r="G969" t="s">
        <v>1212</v>
      </c>
      <c r="H969"/>
      <c r="I969"/>
      <c r="J969"/>
      <c r="K969" t="s">
        <v>1201</v>
      </c>
    </row>
    <row r="970" spans="1:11">
      <c r="A970">
        <v>44307</v>
      </c>
      <c r="B970" t="s">
        <v>1209</v>
      </c>
      <c r="C970">
        <v>44306</v>
      </c>
      <c r="D970" t="s">
        <v>1210</v>
      </c>
      <c r="E970" t="s">
        <v>1235</v>
      </c>
      <c r="F970" t="s">
        <v>202</v>
      </c>
      <c r="G970" t="s">
        <v>1212</v>
      </c>
      <c r="H970"/>
      <c r="I970"/>
      <c r="J970"/>
      <c r="K970" t="s">
        <v>1201</v>
      </c>
    </row>
    <row r="971" spans="1:11">
      <c r="A971">
        <v>44307</v>
      </c>
      <c r="B971" t="s">
        <v>1209</v>
      </c>
      <c r="C971">
        <v>44306</v>
      </c>
      <c r="D971" t="s">
        <v>1210</v>
      </c>
      <c r="E971" t="s">
        <v>1236</v>
      </c>
      <c r="F971" t="s">
        <v>202</v>
      </c>
      <c r="G971" t="s">
        <v>1212</v>
      </c>
      <c r="H971"/>
      <c r="I971"/>
      <c r="J971"/>
      <c r="K971" t="s">
        <v>1201</v>
      </c>
    </row>
    <row r="972" spans="1:11">
      <c r="A972">
        <v>44307</v>
      </c>
      <c r="B972" t="s">
        <v>1209</v>
      </c>
      <c r="C972">
        <v>44306</v>
      </c>
      <c r="D972" t="s">
        <v>1210</v>
      </c>
      <c r="E972" t="s">
        <v>1237</v>
      </c>
      <c r="F972" t="s">
        <v>202</v>
      </c>
      <c r="G972" t="s">
        <v>1212</v>
      </c>
      <c r="H972"/>
      <c r="I972"/>
      <c r="J972"/>
      <c r="K972" t="s">
        <v>1201</v>
      </c>
    </row>
    <row r="973" spans="1:11">
      <c r="A973">
        <v>44307</v>
      </c>
      <c r="B973" t="s">
        <v>1209</v>
      </c>
      <c r="C973">
        <v>44306</v>
      </c>
      <c r="D973" t="s">
        <v>1210</v>
      </c>
      <c r="E973" t="s">
        <v>1238</v>
      </c>
      <c r="F973" t="s">
        <v>202</v>
      </c>
      <c r="G973" t="s">
        <v>1212</v>
      </c>
      <c r="H973"/>
      <c r="I973"/>
      <c r="J973"/>
      <c r="K973" t="s">
        <v>1201</v>
      </c>
    </row>
    <row r="974" spans="1:11">
      <c r="A974">
        <v>44307</v>
      </c>
      <c r="B974" t="s">
        <v>1209</v>
      </c>
      <c r="C974">
        <v>44306</v>
      </c>
      <c r="D974" t="s">
        <v>1210</v>
      </c>
      <c r="E974" t="s">
        <v>1239</v>
      </c>
      <c r="F974" t="s">
        <v>202</v>
      </c>
      <c r="G974" t="s">
        <v>1212</v>
      </c>
      <c r="H974"/>
      <c r="I974"/>
      <c r="J974"/>
      <c r="K974" t="s">
        <v>1201</v>
      </c>
    </row>
    <row r="975" spans="1:11">
      <c r="A975">
        <v>44307</v>
      </c>
      <c r="B975" t="s">
        <v>1209</v>
      </c>
      <c r="C975">
        <v>44306</v>
      </c>
      <c r="D975" t="s">
        <v>1210</v>
      </c>
      <c r="E975" t="s">
        <v>1240</v>
      </c>
      <c r="F975" t="s">
        <v>202</v>
      </c>
      <c r="G975" t="s">
        <v>1212</v>
      </c>
      <c r="H975"/>
      <c r="I975"/>
      <c r="J975"/>
      <c r="K975" t="s">
        <v>1201</v>
      </c>
    </row>
    <row r="976" spans="1:11">
      <c r="A976">
        <v>44307</v>
      </c>
      <c r="B976" t="s">
        <v>1209</v>
      </c>
      <c r="C976">
        <v>44306</v>
      </c>
      <c r="D976" t="s">
        <v>1210</v>
      </c>
      <c r="E976" t="s">
        <v>1241</v>
      </c>
      <c r="F976" t="s">
        <v>202</v>
      </c>
      <c r="G976" t="s">
        <v>1212</v>
      </c>
      <c r="H976"/>
      <c r="I976"/>
      <c r="J976"/>
      <c r="K976" t="s">
        <v>1201</v>
      </c>
    </row>
    <row r="977" spans="1:11">
      <c r="A977">
        <v>44307</v>
      </c>
      <c r="B977" t="s">
        <v>1209</v>
      </c>
      <c r="C977">
        <v>44306</v>
      </c>
      <c r="D977" t="s">
        <v>1210</v>
      </c>
      <c r="E977" t="s">
        <v>1242</v>
      </c>
      <c r="F977" t="s">
        <v>202</v>
      </c>
      <c r="G977" t="s">
        <v>1212</v>
      </c>
      <c r="H977"/>
      <c r="I977"/>
      <c r="J977"/>
      <c r="K977" t="s">
        <v>1201</v>
      </c>
    </row>
    <row r="978" spans="1:11">
      <c r="A978">
        <v>44307</v>
      </c>
      <c r="B978" t="s">
        <v>1209</v>
      </c>
      <c r="C978">
        <v>44306</v>
      </c>
      <c r="D978" t="s">
        <v>1210</v>
      </c>
      <c r="E978" t="s">
        <v>1243</v>
      </c>
      <c r="F978" t="s">
        <v>202</v>
      </c>
      <c r="G978" t="s">
        <v>1212</v>
      </c>
      <c r="H978"/>
      <c r="I978"/>
      <c r="J978"/>
      <c r="K978" t="s">
        <v>1201</v>
      </c>
    </row>
    <row r="979" spans="1:11">
      <c r="A979"/>
      <c r="B979"/>
      <c r="C979"/>
      <c r="D979" t="s">
        <v>1244</v>
      </c>
      <c r="E979" t="s">
        <v>1245</v>
      </c>
      <c r="F979"/>
      <c r="G979"/>
      <c r="H979"/>
      <c r="I979"/>
      <c r="J979"/>
      <c r="K979" t="s">
        <v>1201</v>
      </c>
    </row>
    <row r="980" spans="1:11">
      <c r="A980"/>
      <c r="B980"/>
      <c r="C980"/>
      <c r="D980" t="s">
        <v>1246</v>
      </c>
      <c r="E980" t="s">
        <v>1247</v>
      </c>
      <c r="F980"/>
      <c r="G980"/>
      <c r="H980"/>
      <c r="I980"/>
      <c r="J980"/>
      <c r="K980" t="s">
        <v>1201</v>
      </c>
    </row>
    <row r="981" spans="1:11">
      <c r="A981"/>
      <c r="B981"/>
      <c r="C981"/>
      <c r="D981" t="s">
        <v>895</v>
      </c>
      <c r="E981" t="s">
        <v>1248</v>
      </c>
      <c r="F981"/>
      <c r="G981"/>
      <c r="H981"/>
      <c r="I981"/>
      <c r="J981"/>
      <c r="K981" t="s">
        <v>1201</v>
      </c>
    </row>
    <row r="982" spans="1:11">
      <c r="A982"/>
      <c r="B982"/>
      <c r="C982"/>
      <c r="D982" t="s">
        <v>895</v>
      </c>
      <c r="E982" t="s">
        <v>1249</v>
      </c>
      <c r="F982"/>
      <c r="G982"/>
      <c r="H982"/>
      <c r="I982"/>
      <c r="J982"/>
      <c r="K982" t="s">
        <v>1201</v>
      </c>
    </row>
    <row r="983" spans="1:11">
      <c r="A983"/>
      <c r="B983"/>
      <c r="C983"/>
      <c r="D983" t="s">
        <v>1250</v>
      </c>
      <c r="E983" t="s">
        <v>1251</v>
      </c>
      <c r="F983"/>
      <c r="G983"/>
      <c r="H983"/>
      <c r="I983"/>
      <c r="J983"/>
      <c r="K983" t="s">
        <v>1201</v>
      </c>
    </row>
    <row r="984" spans="1:11">
      <c r="A984"/>
      <c r="B984"/>
      <c r="C984"/>
      <c r="D984" t="s">
        <v>1252</v>
      </c>
      <c r="E984" t="s">
        <v>1253</v>
      </c>
      <c r="F984"/>
      <c r="G984"/>
      <c r="H984"/>
      <c r="I984"/>
      <c r="J984"/>
      <c r="K984" t="s">
        <v>1201</v>
      </c>
    </row>
    <row r="985" spans="1:11">
      <c r="A985"/>
      <c r="B985"/>
      <c r="C985"/>
      <c r="D985" t="s">
        <v>1254</v>
      </c>
      <c r="E985" t="s">
        <v>1255</v>
      </c>
      <c r="F985"/>
      <c r="G985"/>
      <c r="H985"/>
      <c r="I985"/>
      <c r="J985"/>
      <c r="K985" t="s">
        <v>1201</v>
      </c>
    </row>
    <row r="986" spans="1:11">
      <c r="A986"/>
      <c r="B986"/>
      <c r="C986"/>
      <c r="D986" t="s">
        <v>896</v>
      </c>
      <c r="E986" t="s">
        <v>1256</v>
      </c>
      <c r="F986"/>
      <c r="G986"/>
      <c r="H986"/>
      <c r="I986"/>
      <c r="J986"/>
      <c r="K986" t="s">
        <v>1201</v>
      </c>
    </row>
    <row r="987" spans="1:11">
      <c r="A987">
        <v>44312</v>
      </c>
      <c r="B987" t="s">
        <v>1257</v>
      </c>
      <c r="C987">
        <v>44307</v>
      </c>
      <c r="D987" t="s">
        <v>956</v>
      </c>
      <c r="E987" t="s">
        <v>1258</v>
      </c>
      <c r="F987" t="s">
        <v>1259</v>
      </c>
      <c r="G987"/>
      <c r="H987"/>
      <c r="I987"/>
      <c r="J987"/>
      <c r="K987" t="s">
        <v>1260</v>
      </c>
    </row>
    <row r="988" spans="1:11">
      <c r="A988">
        <v>44312</v>
      </c>
      <c r="B988" t="s">
        <v>1257</v>
      </c>
      <c r="C988">
        <v>44307</v>
      </c>
      <c r="D988" t="s">
        <v>956</v>
      </c>
      <c r="E988" t="s">
        <v>1261</v>
      </c>
      <c r="F988" t="s">
        <v>1259</v>
      </c>
      <c r="G988"/>
      <c r="H988"/>
      <c r="I988"/>
      <c r="J988"/>
      <c r="K988" t="s">
        <v>1260</v>
      </c>
    </row>
    <row r="989" spans="1:11">
      <c r="A989">
        <v>44315</v>
      </c>
      <c r="B989" t="s">
        <v>1262</v>
      </c>
      <c r="C989">
        <v>44313</v>
      </c>
      <c r="D989" t="s">
        <v>701</v>
      </c>
      <c r="E989" t="s">
        <v>1263</v>
      </c>
      <c r="F989" t="s">
        <v>1264</v>
      </c>
      <c r="G989"/>
      <c r="H989"/>
      <c r="I989"/>
      <c r="J989"/>
      <c r="K989" t="s">
        <v>1260</v>
      </c>
    </row>
    <row r="990" spans="1:11">
      <c r="A990"/>
      <c r="B990"/>
      <c r="C990"/>
      <c r="D990" t="s">
        <v>965</v>
      </c>
      <c r="E990" t="s">
        <v>1265</v>
      </c>
      <c r="F990"/>
      <c r="G990"/>
      <c r="H990"/>
      <c r="I990"/>
      <c r="J990"/>
      <c r="K990" t="s">
        <v>1260</v>
      </c>
    </row>
    <row r="991" spans="1:11">
      <c r="A991"/>
      <c r="B991"/>
      <c r="C991"/>
      <c r="D991" t="s">
        <v>967</v>
      </c>
      <c r="E991" t="s">
        <v>1266</v>
      </c>
      <c r="F991"/>
      <c r="G991"/>
      <c r="H991"/>
      <c r="I991"/>
      <c r="J991"/>
      <c r="K991" t="s">
        <v>1260</v>
      </c>
    </row>
    <row r="992" spans="1:11">
      <c r="A992"/>
      <c r="B992"/>
      <c r="C992"/>
      <c r="D992" t="s">
        <v>969</v>
      </c>
      <c r="E992" t="s">
        <v>1267</v>
      </c>
      <c r="F992"/>
      <c r="G992"/>
      <c r="H992"/>
      <c r="I992"/>
      <c r="J992"/>
      <c r="K992" t="s">
        <v>1260</v>
      </c>
    </row>
    <row r="993" spans="1:11">
      <c r="A993"/>
      <c r="B993"/>
      <c r="C993"/>
      <c r="D993" t="s">
        <v>971</v>
      </c>
      <c r="E993" t="s">
        <v>1268</v>
      </c>
      <c r="F993"/>
      <c r="G993"/>
      <c r="H993"/>
      <c r="I993"/>
      <c r="J993"/>
      <c r="K993" t="s">
        <v>1260</v>
      </c>
    </row>
    <row r="994" spans="1:11">
      <c r="A994"/>
      <c r="B994"/>
      <c r="C994"/>
      <c r="D994" t="s">
        <v>975</v>
      </c>
      <c r="E994" t="s">
        <v>1269</v>
      </c>
      <c r="F994"/>
      <c r="G994"/>
      <c r="H994"/>
      <c r="I994"/>
      <c r="J994"/>
      <c r="K994" t="s">
        <v>1260</v>
      </c>
    </row>
    <row r="995" spans="1:11">
      <c r="A995"/>
      <c r="B995"/>
      <c r="C995"/>
      <c r="D995" t="s">
        <v>17</v>
      </c>
      <c r="E995" t="s">
        <v>1270</v>
      </c>
      <c r="F995"/>
      <c r="G995"/>
      <c r="H995"/>
      <c r="I995"/>
      <c r="J995"/>
      <c r="K995" t="s">
        <v>1260</v>
      </c>
    </row>
    <row r="996" spans="1:11">
      <c r="A996">
        <v>44323</v>
      </c>
      <c r="B996">
        <v>23105412058</v>
      </c>
      <c r="C996">
        <v>44322</v>
      </c>
      <c r="D996" t="s">
        <v>1271</v>
      </c>
      <c r="E996" t="s">
        <v>1272</v>
      </c>
      <c r="F996" t="s">
        <v>264</v>
      </c>
      <c r="G996" t="s">
        <v>1273</v>
      </c>
      <c r="H996"/>
      <c r="I996"/>
      <c r="J996"/>
      <c r="K996" t="s">
        <v>1260</v>
      </c>
    </row>
    <row r="997" spans="1:11">
      <c r="A997"/>
      <c r="B997"/>
      <c r="C997"/>
      <c r="D997" t="s">
        <v>976</v>
      </c>
      <c r="E997" t="s">
        <v>1274</v>
      </c>
      <c r="F997"/>
      <c r="G997"/>
      <c r="H997"/>
      <c r="I997"/>
      <c r="J997"/>
      <c r="K997" t="s">
        <v>1260</v>
      </c>
    </row>
    <row r="998" spans="1:11">
      <c r="A998">
        <v>44302</v>
      </c>
      <c r="B998">
        <v>2669673457</v>
      </c>
      <c r="C998">
        <v>44301</v>
      </c>
      <c r="D998" t="s">
        <v>531</v>
      </c>
      <c r="E998" t="s">
        <v>1275</v>
      </c>
      <c r="F998" t="s">
        <v>202</v>
      </c>
      <c r="G998" t="s">
        <v>1276</v>
      </c>
      <c r="H998"/>
      <c r="I998"/>
      <c r="J998"/>
      <c r="K998" t="s">
        <v>1277</v>
      </c>
    </row>
    <row r="999" spans="1:11">
      <c r="A999">
        <v>44302</v>
      </c>
      <c r="B999">
        <v>2669673457</v>
      </c>
      <c r="C999">
        <v>44301</v>
      </c>
      <c r="D999" t="s">
        <v>531</v>
      </c>
      <c r="E999" t="s">
        <v>1278</v>
      </c>
      <c r="F999" t="s">
        <v>202</v>
      </c>
      <c r="G999" t="s">
        <v>1276</v>
      </c>
      <c r="H999"/>
      <c r="I999"/>
      <c r="J999"/>
      <c r="K999" t="s">
        <v>1277</v>
      </c>
    </row>
    <row r="1000" spans="1:11">
      <c r="A1000">
        <v>44302</v>
      </c>
      <c r="B1000">
        <v>2669673457</v>
      </c>
      <c r="C1000">
        <v>44301</v>
      </c>
      <c r="D1000" t="s">
        <v>531</v>
      </c>
      <c r="E1000" t="s">
        <v>1279</v>
      </c>
      <c r="F1000" t="s">
        <v>202</v>
      </c>
      <c r="G1000" t="s">
        <v>1276</v>
      </c>
      <c r="H1000"/>
      <c r="I1000"/>
      <c r="J1000"/>
      <c r="K1000" t="s">
        <v>1277</v>
      </c>
    </row>
    <row r="1001" spans="1:11">
      <c r="A1001">
        <v>44302</v>
      </c>
      <c r="B1001">
        <v>2669673457</v>
      </c>
      <c r="C1001">
        <v>44301</v>
      </c>
      <c r="D1001" t="s">
        <v>531</v>
      </c>
      <c r="E1001" t="s">
        <v>1280</v>
      </c>
      <c r="F1001" t="s">
        <v>202</v>
      </c>
      <c r="G1001" t="s">
        <v>1276</v>
      </c>
      <c r="H1001"/>
      <c r="I1001"/>
      <c r="J1001"/>
      <c r="K1001" t="s">
        <v>1277</v>
      </c>
    </row>
    <row r="1002" spans="1:11">
      <c r="A1002">
        <v>44302</v>
      </c>
      <c r="B1002">
        <v>2669673457</v>
      </c>
      <c r="C1002">
        <v>44301</v>
      </c>
      <c r="D1002" t="s">
        <v>531</v>
      </c>
      <c r="E1002" t="s">
        <v>1281</v>
      </c>
      <c r="F1002" t="s">
        <v>202</v>
      </c>
      <c r="G1002" t="s">
        <v>1276</v>
      </c>
      <c r="H1002"/>
      <c r="I1002"/>
      <c r="J1002"/>
      <c r="K1002" t="s">
        <v>1282</v>
      </c>
    </row>
    <row r="1003" spans="1:11">
      <c r="A1003">
        <v>44302</v>
      </c>
      <c r="B1003">
        <v>2669673457</v>
      </c>
      <c r="C1003">
        <v>44301</v>
      </c>
      <c r="D1003" t="s">
        <v>531</v>
      </c>
      <c r="E1003" t="s">
        <v>1283</v>
      </c>
      <c r="F1003" t="s">
        <v>202</v>
      </c>
      <c r="G1003" t="s">
        <v>1276</v>
      </c>
      <c r="H1003"/>
      <c r="I1003"/>
      <c r="J1003"/>
      <c r="K1003" t="s">
        <v>1282</v>
      </c>
    </row>
    <row r="1004" spans="1:11">
      <c r="A1004">
        <v>44302</v>
      </c>
      <c r="B1004">
        <v>2669673457</v>
      </c>
      <c r="C1004">
        <v>44301</v>
      </c>
      <c r="D1004" t="s">
        <v>531</v>
      </c>
      <c r="E1004" t="s">
        <v>1284</v>
      </c>
      <c r="F1004" t="s">
        <v>202</v>
      </c>
      <c r="G1004" t="s">
        <v>1276</v>
      </c>
      <c r="H1004"/>
      <c r="I1004"/>
      <c r="J1004"/>
      <c r="K1004" t="s">
        <v>1282</v>
      </c>
    </row>
    <row r="1005" spans="1:11">
      <c r="A1005">
        <v>44302</v>
      </c>
      <c r="B1005">
        <v>2669673457</v>
      </c>
      <c r="C1005">
        <v>44301</v>
      </c>
      <c r="D1005" t="s">
        <v>531</v>
      </c>
      <c r="E1005" t="s">
        <v>1285</v>
      </c>
      <c r="F1005" t="s">
        <v>202</v>
      </c>
      <c r="G1005" t="s">
        <v>1276</v>
      </c>
      <c r="H1005"/>
      <c r="I1005"/>
      <c r="J1005"/>
      <c r="K1005" t="s">
        <v>1282</v>
      </c>
    </row>
    <row r="1006" spans="1:11">
      <c r="A1006">
        <v>44302</v>
      </c>
      <c r="B1006">
        <v>2669673457</v>
      </c>
      <c r="C1006">
        <v>44301</v>
      </c>
      <c r="D1006" t="s">
        <v>531</v>
      </c>
      <c r="E1006" t="s">
        <v>1286</v>
      </c>
      <c r="F1006" t="s">
        <v>202</v>
      </c>
      <c r="G1006" t="s">
        <v>1276</v>
      </c>
      <c r="H1006"/>
      <c r="I1006"/>
      <c r="J1006"/>
      <c r="K1006" t="s">
        <v>1287</v>
      </c>
    </row>
    <row r="1007" spans="1:11">
      <c r="A1007">
        <v>44302</v>
      </c>
      <c r="B1007">
        <v>2669673457</v>
      </c>
      <c r="C1007">
        <v>44301</v>
      </c>
      <c r="D1007" t="s">
        <v>531</v>
      </c>
      <c r="E1007" t="s">
        <v>1288</v>
      </c>
      <c r="F1007" t="s">
        <v>202</v>
      </c>
      <c r="G1007" t="s">
        <v>1276</v>
      </c>
      <c r="H1007"/>
      <c r="I1007"/>
      <c r="J1007"/>
      <c r="K1007" t="s">
        <v>1287</v>
      </c>
    </row>
    <row r="1008" spans="1:11">
      <c r="A1008">
        <v>44302</v>
      </c>
      <c r="B1008">
        <v>2669673457</v>
      </c>
      <c r="C1008">
        <v>44301</v>
      </c>
      <c r="D1008" t="s">
        <v>531</v>
      </c>
      <c r="E1008" t="s">
        <v>1289</v>
      </c>
      <c r="F1008" t="s">
        <v>202</v>
      </c>
      <c r="G1008" t="s">
        <v>1276</v>
      </c>
      <c r="H1008"/>
      <c r="I1008"/>
      <c r="J1008"/>
      <c r="K1008" t="s">
        <v>1287</v>
      </c>
    </row>
    <row r="1009" spans="1:11">
      <c r="A1009">
        <v>44302</v>
      </c>
      <c r="B1009">
        <v>2669673457</v>
      </c>
      <c r="C1009">
        <v>44301</v>
      </c>
      <c r="D1009" t="s">
        <v>531</v>
      </c>
      <c r="E1009" t="s">
        <v>1290</v>
      </c>
      <c r="F1009" t="s">
        <v>202</v>
      </c>
      <c r="G1009" t="s">
        <v>1276</v>
      </c>
      <c r="H1009"/>
      <c r="I1009"/>
      <c r="J1009"/>
      <c r="K1009" t="s">
        <v>1287</v>
      </c>
    </row>
    <row r="1010" spans="1:11">
      <c r="A1010">
        <v>44302</v>
      </c>
      <c r="B1010">
        <v>2669673457</v>
      </c>
      <c r="C1010">
        <v>44301</v>
      </c>
      <c r="D1010" t="s">
        <v>531</v>
      </c>
      <c r="E1010" t="s">
        <v>1291</v>
      </c>
      <c r="F1010" t="s">
        <v>202</v>
      </c>
      <c r="G1010" t="s">
        <v>1276</v>
      </c>
      <c r="H1010"/>
      <c r="I1010"/>
      <c r="J1010"/>
      <c r="K1010" t="s">
        <v>1292</v>
      </c>
    </row>
    <row r="1011" spans="1:11">
      <c r="A1011">
        <v>44302</v>
      </c>
      <c r="B1011">
        <v>2669673457</v>
      </c>
      <c r="C1011">
        <v>44301</v>
      </c>
      <c r="D1011" t="s">
        <v>531</v>
      </c>
      <c r="E1011" t="s">
        <v>1293</v>
      </c>
      <c r="F1011" t="s">
        <v>202</v>
      </c>
      <c r="G1011" t="s">
        <v>1276</v>
      </c>
      <c r="H1011"/>
      <c r="I1011"/>
      <c r="J1011"/>
      <c r="K1011" t="s">
        <v>1292</v>
      </c>
    </row>
    <row r="1012" spans="1:11">
      <c r="A1012">
        <v>44302</v>
      </c>
      <c r="B1012">
        <v>2669673457</v>
      </c>
      <c r="C1012">
        <v>44301</v>
      </c>
      <c r="D1012" t="s">
        <v>531</v>
      </c>
      <c r="E1012" t="s">
        <v>1294</v>
      </c>
      <c r="F1012" t="s">
        <v>202</v>
      </c>
      <c r="G1012" t="s">
        <v>1276</v>
      </c>
      <c r="H1012"/>
      <c r="I1012"/>
      <c r="J1012"/>
      <c r="K1012" t="s">
        <v>1295</v>
      </c>
    </row>
    <row r="1013" spans="1:11">
      <c r="A1013">
        <v>44302</v>
      </c>
      <c r="B1013">
        <v>2669673457</v>
      </c>
      <c r="C1013">
        <v>44301</v>
      </c>
      <c r="D1013" t="s">
        <v>531</v>
      </c>
      <c r="E1013" t="s">
        <v>1296</v>
      </c>
      <c r="F1013" t="s">
        <v>202</v>
      </c>
      <c r="G1013" t="s">
        <v>1276</v>
      </c>
      <c r="H1013"/>
      <c r="I1013"/>
      <c r="J1013"/>
      <c r="K1013" t="s">
        <v>1295</v>
      </c>
    </row>
    <row r="1014" spans="1:11">
      <c r="A1014">
        <v>44302</v>
      </c>
      <c r="B1014">
        <v>2669673457</v>
      </c>
      <c r="C1014">
        <v>44301</v>
      </c>
      <c r="D1014" t="s">
        <v>531</v>
      </c>
      <c r="E1014" t="s">
        <v>1297</v>
      </c>
      <c r="F1014" t="s">
        <v>202</v>
      </c>
      <c r="G1014" t="s">
        <v>1276</v>
      </c>
      <c r="H1014"/>
      <c r="I1014"/>
      <c r="J1014"/>
      <c r="K1014" t="s">
        <v>1298</v>
      </c>
    </row>
    <row r="1015" spans="1:11">
      <c r="A1015">
        <v>44302</v>
      </c>
      <c r="B1015">
        <v>2669673457</v>
      </c>
      <c r="C1015">
        <v>44301</v>
      </c>
      <c r="D1015" t="s">
        <v>531</v>
      </c>
      <c r="E1015" t="s">
        <v>1299</v>
      </c>
      <c r="F1015" t="s">
        <v>202</v>
      </c>
      <c r="G1015" t="s">
        <v>1276</v>
      </c>
      <c r="H1015"/>
      <c r="I1015"/>
      <c r="J1015"/>
      <c r="K1015" t="s">
        <v>1298</v>
      </c>
    </row>
    <row r="1016" spans="1:11">
      <c r="A1016">
        <v>44302</v>
      </c>
      <c r="B1016">
        <v>2669673457</v>
      </c>
      <c r="C1016">
        <v>44301</v>
      </c>
      <c r="D1016" t="s">
        <v>531</v>
      </c>
      <c r="E1016" t="s">
        <v>1300</v>
      </c>
      <c r="F1016" t="s">
        <v>202</v>
      </c>
      <c r="G1016" t="s">
        <v>1276</v>
      </c>
      <c r="H1016"/>
      <c r="I1016"/>
      <c r="J1016"/>
      <c r="K1016" t="s">
        <v>1301</v>
      </c>
    </row>
    <row r="1017" spans="1:11">
      <c r="A1017"/>
      <c r="B1017"/>
      <c r="C1017"/>
      <c r="D1017" t="s">
        <v>340</v>
      </c>
      <c r="E1017" t="s">
        <v>1302</v>
      </c>
      <c r="F1017"/>
      <c r="G1017"/>
      <c r="H1017"/>
      <c r="I1017"/>
      <c r="J1017"/>
      <c r="K1017" t="s">
        <v>1287</v>
      </c>
    </row>
    <row r="1018" spans="1:11">
      <c r="A1018"/>
      <c r="B1018"/>
      <c r="C1018"/>
      <c r="D1018" t="s">
        <v>582</v>
      </c>
      <c r="E1018" t="s">
        <v>1303</v>
      </c>
      <c r="F1018"/>
      <c r="G1018"/>
      <c r="H1018"/>
      <c r="I1018"/>
      <c r="J1018"/>
      <c r="K1018" t="s">
        <v>1287</v>
      </c>
    </row>
    <row r="1019" spans="1:11">
      <c r="A1019"/>
      <c r="B1019"/>
      <c r="C1019"/>
      <c r="D1019" t="s">
        <v>582</v>
      </c>
      <c r="E1019" t="s">
        <v>1304</v>
      </c>
      <c r="F1019"/>
      <c r="G1019"/>
      <c r="H1019"/>
      <c r="I1019"/>
      <c r="J1019"/>
      <c r="K1019" t="s">
        <v>1287</v>
      </c>
    </row>
    <row r="1020" spans="1:11">
      <c r="A1020"/>
      <c r="B1020"/>
      <c r="C1020"/>
      <c r="D1020" t="s">
        <v>581</v>
      </c>
      <c r="E1020" t="s">
        <v>1305</v>
      </c>
      <c r="F1020"/>
      <c r="G1020"/>
      <c r="H1020"/>
      <c r="I1020"/>
      <c r="J1020"/>
      <c r="K1020" t="s">
        <v>1287</v>
      </c>
    </row>
    <row r="1021" spans="1:11">
      <c r="A1021"/>
      <c r="B1021"/>
      <c r="C1021"/>
      <c r="D1021" t="s">
        <v>340</v>
      </c>
      <c r="E1021" t="s">
        <v>1306</v>
      </c>
      <c r="F1021"/>
      <c r="G1021"/>
      <c r="H1021"/>
      <c r="I1021"/>
      <c r="J1021"/>
      <c r="K1021" t="s">
        <v>1292</v>
      </c>
    </row>
    <row r="1022" spans="1:11">
      <c r="A1022"/>
      <c r="B1022"/>
      <c r="C1022"/>
      <c r="D1022" t="s">
        <v>582</v>
      </c>
      <c r="E1022" t="s">
        <v>1307</v>
      </c>
      <c r="F1022"/>
      <c r="G1022"/>
      <c r="H1022"/>
      <c r="I1022"/>
      <c r="J1022"/>
      <c r="K1022" t="s">
        <v>1292</v>
      </c>
    </row>
    <row r="1023" spans="1:11">
      <c r="A1023"/>
      <c r="B1023"/>
      <c r="C1023"/>
      <c r="D1023" t="s">
        <v>582</v>
      </c>
      <c r="E1023" t="s">
        <v>1308</v>
      </c>
      <c r="F1023"/>
      <c r="G1023"/>
      <c r="H1023"/>
      <c r="I1023"/>
      <c r="J1023"/>
      <c r="K1023" t="s">
        <v>1292</v>
      </c>
    </row>
    <row r="1024" spans="1:11">
      <c r="A1024"/>
      <c r="B1024"/>
      <c r="C1024"/>
      <c r="D1024" t="s">
        <v>581</v>
      </c>
      <c r="E1024" t="s">
        <v>1309</v>
      </c>
      <c r="F1024"/>
      <c r="G1024"/>
      <c r="H1024"/>
      <c r="I1024"/>
      <c r="J1024"/>
      <c r="K1024" t="s">
        <v>1292</v>
      </c>
    </row>
    <row r="1025" spans="1:11">
      <c r="A1025"/>
      <c r="B1025"/>
      <c r="C1025"/>
      <c r="D1025" t="s">
        <v>340</v>
      </c>
      <c r="E1025" t="s">
        <v>1310</v>
      </c>
      <c r="F1025"/>
      <c r="G1025"/>
      <c r="H1025"/>
      <c r="I1025"/>
      <c r="J1025"/>
      <c r="K1025" t="s">
        <v>1295</v>
      </c>
    </row>
    <row r="1026" spans="1:11">
      <c r="A1026"/>
      <c r="B1026"/>
      <c r="C1026"/>
      <c r="D1026" t="s">
        <v>582</v>
      </c>
      <c r="E1026" t="s">
        <v>1311</v>
      </c>
      <c r="F1026"/>
      <c r="G1026"/>
      <c r="H1026"/>
      <c r="I1026"/>
      <c r="J1026"/>
      <c r="K1026" t="s">
        <v>1295</v>
      </c>
    </row>
    <row r="1027" spans="1:11">
      <c r="A1027"/>
      <c r="B1027"/>
      <c r="C1027"/>
      <c r="D1027" t="s">
        <v>582</v>
      </c>
      <c r="E1027" t="s">
        <v>1312</v>
      </c>
      <c r="F1027"/>
      <c r="G1027"/>
      <c r="H1027"/>
      <c r="I1027"/>
      <c r="J1027"/>
      <c r="K1027" t="s">
        <v>1295</v>
      </c>
    </row>
    <row r="1028" spans="1:11">
      <c r="A1028"/>
      <c r="B1028"/>
      <c r="C1028"/>
      <c r="D1028" t="s">
        <v>581</v>
      </c>
      <c r="E1028" t="s">
        <v>1313</v>
      </c>
      <c r="F1028"/>
      <c r="G1028"/>
      <c r="H1028"/>
      <c r="I1028"/>
      <c r="J1028"/>
      <c r="K1028" t="s">
        <v>1295</v>
      </c>
    </row>
    <row r="1029" spans="1:11">
      <c r="A1029"/>
      <c r="B1029"/>
      <c r="C1029"/>
      <c r="D1029" t="s">
        <v>340</v>
      </c>
      <c r="E1029" t="s">
        <v>1314</v>
      </c>
      <c r="F1029"/>
      <c r="G1029"/>
      <c r="H1029"/>
      <c r="I1029"/>
      <c r="J1029"/>
      <c r="K1029" t="s">
        <v>1298</v>
      </c>
    </row>
    <row r="1030" spans="1:11">
      <c r="A1030"/>
      <c r="B1030"/>
      <c r="C1030"/>
      <c r="D1030" t="s">
        <v>582</v>
      </c>
      <c r="E1030" t="s">
        <v>1315</v>
      </c>
      <c r="F1030"/>
      <c r="G1030"/>
      <c r="H1030"/>
      <c r="I1030"/>
      <c r="J1030"/>
      <c r="K1030" t="s">
        <v>1298</v>
      </c>
    </row>
    <row r="1031" spans="1:11">
      <c r="A1031"/>
      <c r="B1031"/>
      <c r="C1031"/>
      <c r="D1031" t="s">
        <v>582</v>
      </c>
      <c r="E1031" t="s">
        <v>1316</v>
      </c>
      <c r="F1031"/>
      <c r="G1031"/>
      <c r="H1031"/>
      <c r="I1031"/>
      <c r="J1031"/>
      <c r="K1031" t="s">
        <v>1298</v>
      </c>
    </row>
    <row r="1032" spans="1:11">
      <c r="A1032"/>
      <c r="B1032"/>
      <c r="C1032"/>
      <c r="D1032" t="s">
        <v>581</v>
      </c>
      <c r="E1032" t="s">
        <v>1317</v>
      </c>
      <c r="F1032"/>
      <c r="G1032"/>
      <c r="H1032"/>
      <c r="I1032"/>
      <c r="J1032"/>
      <c r="K1032" t="s">
        <v>1298</v>
      </c>
    </row>
    <row r="1033" spans="1:11">
      <c r="A1033"/>
      <c r="B1033"/>
      <c r="C1033"/>
      <c r="D1033" t="s">
        <v>340</v>
      </c>
      <c r="E1033" t="s">
        <v>1318</v>
      </c>
      <c r="F1033"/>
      <c r="G1033"/>
      <c r="H1033"/>
      <c r="I1033"/>
      <c r="J1033"/>
      <c r="K1033" t="s">
        <v>1319</v>
      </c>
    </row>
    <row r="1034" spans="1:11">
      <c r="A1034"/>
      <c r="B1034"/>
      <c r="C1034"/>
      <c r="D1034" t="s">
        <v>582</v>
      </c>
      <c r="E1034" t="s">
        <v>1320</v>
      </c>
      <c r="F1034"/>
      <c r="G1034"/>
      <c r="H1034"/>
      <c r="I1034"/>
      <c r="J1034"/>
      <c r="K1034" t="s">
        <v>1319</v>
      </c>
    </row>
    <row r="1035" spans="1:11">
      <c r="A1035"/>
      <c r="B1035"/>
      <c r="C1035"/>
      <c r="D1035" t="s">
        <v>582</v>
      </c>
      <c r="E1035" t="s">
        <v>1321</v>
      </c>
      <c r="F1035"/>
      <c r="G1035"/>
      <c r="H1035"/>
      <c r="I1035"/>
      <c r="J1035"/>
      <c r="K1035" t="s">
        <v>1319</v>
      </c>
    </row>
    <row r="1036" spans="1:11">
      <c r="A1036"/>
      <c r="B1036"/>
      <c r="C1036"/>
      <c r="D1036" t="s">
        <v>581</v>
      </c>
      <c r="E1036" t="s">
        <v>1322</v>
      </c>
      <c r="F1036"/>
      <c r="G1036"/>
      <c r="H1036"/>
      <c r="I1036"/>
      <c r="J1036"/>
      <c r="K1036" t="s">
        <v>1319</v>
      </c>
    </row>
    <row r="1037" spans="1:11">
      <c r="A1037"/>
      <c r="B1037"/>
      <c r="C1037"/>
      <c r="D1037" t="s">
        <v>340</v>
      </c>
      <c r="E1037" t="s">
        <v>1323</v>
      </c>
      <c r="F1037"/>
      <c r="G1037"/>
      <c r="H1037"/>
      <c r="I1037"/>
      <c r="J1037"/>
      <c r="K1037" t="s">
        <v>1301</v>
      </c>
    </row>
    <row r="1038" spans="1:11">
      <c r="A1038"/>
      <c r="B1038"/>
      <c r="C1038"/>
      <c r="D1038" t="s">
        <v>582</v>
      </c>
      <c r="E1038" t="s">
        <v>1324</v>
      </c>
      <c r="F1038"/>
      <c r="G1038"/>
      <c r="H1038"/>
      <c r="I1038"/>
      <c r="J1038"/>
      <c r="K1038" t="s">
        <v>1301</v>
      </c>
    </row>
    <row r="1039" spans="1:11">
      <c r="A1039"/>
      <c r="B1039"/>
      <c r="C1039"/>
      <c r="D1039" t="s">
        <v>582</v>
      </c>
      <c r="E1039" t="s">
        <v>1325</v>
      </c>
      <c r="F1039"/>
      <c r="G1039"/>
      <c r="H1039"/>
      <c r="I1039"/>
      <c r="J1039"/>
      <c r="K1039" t="s">
        <v>1301</v>
      </c>
    </row>
    <row r="1040" spans="1:11">
      <c r="A1040"/>
      <c r="B1040"/>
      <c r="C1040"/>
      <c r="D1040" t="s">
        <v>581</v>
      </c>
      <c r="E1040" t="s">
        <v>1326</v>
      </c>
      <c r="F1040"/>
      <c r="G1040"/>
      <c r="H1040"/>
      <c r="I1040"/>
      <c r="J1040"/>
      <c r="K1040" t="s">
        <v>1301</v>
      </c>
    </row>
    <row r="1041" spans="1:11">
      <c r="A1041"/>
      <c r="B1041"/>
      <c r="C1041"/>
      <c r="D1041" t="s">
        <v>340</v>
      </c>
      <c r="E1041" t="s">
        <v>1327</v>
      </c>
      <c r="F1041"/>
      <c r="G1041"/>
      <c r="H1041"/>
      <c r="I1041"/>
      <c r="J1041"/>
      <c r="K1041" t="s">
        <v>1282</v>
      </c>
    </row>
    <row r="1042" spans="1:11">
      <c r="A1042"/>
      <c r="B1042"/>
      <c r="C1042"/>
      <c r="D1042" t="s">
        <v>582</v>
      </c>
      <c r="E1042" t="s">
        <v>1328</v>
      </c>
      <c r="F1042"/>
      <c r="G1042"/>
      <c r="H1042"/>
      <c r="I1042"/>
      <c r="J1042"/>
      <c r="K1042" t="s">
        <v>1282</v>
      </c>
    </row>
    <row r="1043" spans="1:11">
      <c r="A1043"/>
      <c r="B1043"/>
      <c r="C1043"/>
      <c r="D1043" t="s">
        <v>582</v>
      </c>
      <c r="E1043" t="s">
        <v>1329</v>
      </c>
      <c r="F1043"/>
      <c r="G1043"/>
      <c r="H1043"/>
      <c r="I1043"/>
      <c r="J1043"/>
      <c r="K1043" t="s">
        <v>1282</v>
      </c>
    </row>
    <row r="1044" spans="1:11">
      <c r="A1044"/>
      <c r="B1044"/>
      <c r="C1044"/>
      <c r="D1044" t="s">
        <v>581</v>
      </c>
      <c r="E1044" t="s">
        <v>1330</v>
      </c>
      <c r="F1044"/>
      <c r="G1044"/>
      <c r="H1044"/>
      <c r="I1044"/>
      <c r="J1044"/>
      <c r="K1044" t="s">
        <v>1282</v>
      </c>
    </row>
    <row r="1045" spans="1:11">
      <c r="A1045"/>
      <c r="B1045"/>
      <c r="C1045"/>
      <c r="D1045" t="s">
        <v>1331</v>
      </c>
      <c r="E1045" t="s">
        <v>1332</v>
      </c>
      <c r="F1045"/>
      <c r="G1045"/>
      <c r="H1045"/>
      <c r="I1045"/>
      <c r="J1045"/>
      <c r="K1045" t="s">
        <v>1333</v>
      </c>
    </row>
    <row r="1046" spans="1:11">
      <c r="A1046"/>
      <c r="B1046"/>
      <c r="C1046"/>
      <c r="D1046" t="s">
        <v>1331</v>
      </c>
      <c r="E1046" t="s">
        <v>1334</v>
      </c>
      <c r="F1046"/>
      <c r="G1046"/>
      <c r="H1046"/>
      <c r="I1046"/>
      <c r="J1046"/>
      <c r="K1046" t="s">
        <v>1277</v>
      </c>
    </row>
    <row r="1047" spans="1:11">
      <c r="A1047"/>
      <c r="B1047"/>
      <c r="C1047"/>
      <c r="D1047" t="s">
        <v>1331</v>
      </c>
      <c r="E1047" t="s">
        <v>1335</v>
      </c>
      <c r="F1047"/>
      <c r="G1047"/>
      <c r="H1047"/>
      <c r="I1047"/>
      <c r="J1047"/>
      <c r="K1047" t="s">
        <v>1282</v>
      </c>
    </row>
    <row r="1048" spans="1:11">
      <c r="A1048"/>
      <c r="B1048"/>
      <c r="C1048"/>
      <c r="D1048" t="s">
        <v>1331</v>
      </c>
      <c r="E1048" t="s">
        <v>1336</v>
      </c>
      <c r="F1048"/>
      <c r="G1048"/>
      <c r="H1048"/>
      <c r="I1048"/>
      <c r="J1048"/>
      <c r="K1048" t="s">
        <v>1287</v>
      </c>
    </row>
    <row r="1049" spans="1:11">
      <c r="A1049"/>
      <c r="B1049"/>
      <c r="C1049"/>
      <c r="D1049" t="s">
        <v>1331</v>
      </c>
      <c r="E1049" t="s">
        <v>1337</v>
      </c>
      <c r="F1049"/>
      <c r="G1049"/>
      <c r="H1049"/>
      <c r="I1049"/>
      <c r="J1049"/>
      <c r="K1049" t="s">
        <v>1292</v>
      </c>
    </row>
    <row r="1050" spans="1:11">
      <c r="A1050"/>
      <c r="B1050"/>
      <c r="C1050"/>
      <c r="D1050" t="s">
        <v>1331</v>
      </c>
      <c r="E1050" t="s">
        <v>1338</v>
      </c>
      <c r="F1050"/>
      <c r="G1050"/>
      <c r="H1050"/>
      <c r="I1050"/>
      <c r="J1050"/>
      <c r="K1050" t="s">
        <v>1295</v>
      </c>
    </row>
    <row r="1051" spans="1:11">
      <c r="A1051"/>
      <c r="B1051"/>
      <c r="C1051"/>
      <c r="D1051" t="s">
        <v>1331</v>
      </c>
      <c r="E1051" t="s">
        <v>1339</v>
      </c>
      <c r="F1051"/>
      <c r="G1051"/>
      <c r="H1051"/>
      <c r="I1051"/>
      <c r="J1051"/>
      <c r="K1051" t="s">
        <v>1298</v>
      </c>
    </row>
    <row r="1052" spans="1:11">
      <c r="A1052"/>
      <c r="B1052"/>
      <c r="C1052"/>
      <c r="D1052" t="s">
        <v>1331</v>
      </c>
      <c r="E1052" t="s">
        <v>1340</v>
      </c>
      <c r="F1052"/>
      <c r="G1052"/>
      <c r="H1052"/>
      <c r="I1052"/>
      <c r="J1052"/>
      <c r="K1052" t="s">
        <v>1319</v>
      </c>
    </row>
    <row r="1053" spans="1:11">
      <c r="A1053"/>
      <c r="B1053"/>
      <c r="C1053"/>
      <c r="D1053" t="s">
        <v>1331</v>
      </c>
      <c r="E1053" t="s">
        <v>1341</v>
      </c>
      <c r="F1053"/>
      <c r="G1053"/>
      <c r="H1053"/>
      <c r="I1053"/>
      <c r="J1053"/>
      <c r="K1053" t="s">
        <v>1301</v>
      </c>
    </row>
    <row r="1054" spans="1:11">
      <c r="A1054"/>
      <c r="B1054"/>
      <c r="C1054"/>
      <c r="D1054" t="s">
        <v>1342</v>
      </c>
      <c r="E1054" t="s">
        <v>1343</v>
      </c>
      <c r="F1054"/>
      <c r="G1054"/>
      <c r="H1054"/>
      <c r="I1054"/>
      <c r="J1054"/>
      <c r="K1054" t="s">
        <v>1301</v>
      </c>
    </row>
    <row r="1055" spans="1:11">
      <c r="A1055"/>
      <c r="B1055"/>
      <c r="C1055"/>
      <c r="D1055" t="s">
        <v>1342</v>
      </c>
      <c r="E1055" t="s">
        <v>1344</v>
      </c>
      <c r="F1055"/>
      <c r="G1055"/>
      <c r="H1055"/>
      <c r="I1055"/>
      <c r="J1055"/>
      <c r="K1055" t="s">
        <v>1319</v>
      </c>
    </row>
    <row r="1056" spans="1:11">
      <c r="A1056"/>
      <c r="B1056"/>
      <c r="C1056"/>
      <c r="D1056" t="s">
        <v>1342</v>
      </c>
      <c r="E1056" t="s">
        <v>1345</v>
      </c>
      <c r="F1056"/>
      <c r="G1056"/>
      <c r="H1056"/>
      <c r="I1056"/>
      <c r="J1056"/>
      <c r="K1056" t="s">
        <v>1298</v>
      </c>
    </row>
    <row r="1057" spans="1:11">
      <c r="A1057"/>
      <c r="B1057"/>
      <c r="C1057"/>
      <c r="D1057" t="s">
        <v>1342</v>
      </c>
      <c r="E1057" t="s">
        <v>1346</v>
      </c>
      <c r="F1057"/>
      <c r="G1057"/>
      <c r="H1057"/>
      <c r="I1057"/>
      <c r="J1057"/>
      <c r="K1057" t="s">
        <v>1333</v>
      </c>
    </row>
    <row r="1058" spans="1:11">
      <c r="A1058"/>
      <c r="B1058"/>
      <c r="C1058"/>
      <c r="D1058" t="s">
        <v>1342</v>
      </c>
      <c r="E1058" t="s">
        <v>1347</v>
      </c>
      <c r="F1058"/>
      <c r="G1058"/>
      <c r="H1058"/>
      <c r="I1058"/>
      <c r="J1058"/>
      <c r="K1058" t="s">
        <v>1277</v>
      </c>
    </row>
    <row r="1059" spans="1:11">
      <c r="A1059"/>
      <c r="B1059"/>
      <c r="C1059"/>
      <c r="D1059" t="s">
        <v>1342</v>
      </c>
      <c r="E1059" t="s">
        <v>1348</v>
      </c>
      <c r="F1059"/>
      <c r="G1059"/>
      <c r="H1059"/>
      <c r="I1059"/>
      <c r="J1059"/>
      <c r="K1059" t="s">
        <v>1282</v>
      </c>
    </row>
    <row r="1060" spans="1:11">
      <c r="A1060"/>
      <c r="B1060"/>
      <c r="C1060"/>
      <c r="D1060" t="s">
        <v>1342</v>
      </c>
      <c r="E1060" t="s">
        <v>1349</v>
      </c>
      <c r="F1060"/>
      <c r="G1060"/>
      <c r="H1060"/>
      <c r="I1060"/>
      <c r="J1060"/>
      <c r="K1060" t="s">
        <v>1287</v>
      </c>
    </row>
    <row r="1061" spans="1:11">
      <c r="A1061"/>
      <c r="B1061"/>
      <c r="C1061"/>
      <c r="D1061" t="s">
        <v>1342</v>
      </c>
      <c r="E1061" t="s">
        <v>1350</v>
      </c>
      <c r="F1061"/>
      <c r="G1061"/>
      <c r="H1061"/>
      <c r="I1061"/>
      <c r="J1061"/>
      <c r="K1061" t="s">
        <v>1292</v>
      </c>
    </row>
    <row r="1062" spans="1:11">
      <c r="A1062"/>
      <c r="B1062"/>
      <c r="C1062"/>
      <c r="D1062" t="s">
        <v>1342</v>
      </c>
      <c r="E1062" t="s">
        <v>1351</v>
      </c>
      <c r="F1062"/>
      <c r="G1062"/>
      <c r="H1062"/>
      <c r="I1062"/>
      <c r="J1062"/>
      <c r="K1062" t="s">
        <v>1295</v>
      </c>
    </row>
    <row r="1063" spans="1:11">
      <c r="A1063"/>
      <c r="B1063"/>
      <c r="C1063"/>
      <c r="D1063" t="s">
        <v>773</v>
      </c>
      <c r="E1063" t="s">
        <v>1352</v>
      </c>
      <c r="F1063"/>
      <c r="G1063"/>
      <c r="H1063"/>
      <c r="I1063"/>
      <c r="J1063"/>
      <c r="K1063" t="s">
        <v>1287</v>
      </c>
    </row>
    <row r="1064" spans="1:11">
      <c r="A1064"/>
      <c r="B1064"/>
      <c r="C1064"/>
      <c r="D1064" t="s">
        <v>773</v>
      </c>
      <c r="E1064" t="s">
        <v>1353</v>
      </c>
      <c r="F1064"/>
      <c r="G1064"/>
      <c r="H1064"/>
      <c r="I1064"/>
      <c r="J1064"/>
      <c r="K1064" t="s">
        <v>1292</v>
      </c>
    </row>
    <row r="1065" spans="1:11">
      <c r="A1065"/>
      <c r="B1065"/>
      <c r="C1065"/>
      <c r="D1065" t="s">
        <v>773</v>
      </c>
      <c r="E1065" t="s">
        <v>1354</v>
      </c>
      <c r="F1065"/>
      <c r="G1065"/>
      <c r="H1065"/>
      <c r="I1065"/>
      <c r="J1065"/>
      <c r="K1065" t="s">
        <v>1277</v>
      </c>
    </row>
    <row r="1066" spans="1:11">
      <c r="A1066"/>
      <c r="B1066"/>
      <c r="C1066"/>
      <c r="D1066" t="s">
        <v>773</v>
      </c>
      <c r="E1066" t="s">
        <v>1355</v>
      </c>
      <c r="F1066"/>
      <c r="G1066"/>
      <c r="H1066"/>
      <c r="I1066"/>
      <c r="J1066"/>
      <c r="K1066" t="s">
        <v>1282</v>
      </c>
    </row>
    <row r="1067" spans="1:11">
      <c r="A1067"/>
      <c r="B1067"/>
      <c r="C1067"/>
      <c r="D1067" t="s">
        <v>773</v>
      </c>
      <c r="E1067" t="s">
        <v>1356</v>
      </c>
      <c r="F1067"/>
      <c r="G1067"/>
      <c r="H1067"/>
      <c r="I1067"/>
      <c r="J1067"/>
      <c r="K1067" t="s">
        <v>1333</v>
      </c>
    </row>
    <row r="1068" spans="1:11">
      <c r="A1068"/>
      <c r="B1068"/>
      <c r="C1068"/>
      <c r="D1068" t="s">
        <v>773</v>
      </c>
      <c r="E1068" t="s">
        <v>1357</v>
      </c>
      <c r="F1068"/>
      <c r="G1068"/>
      <c r="H1068"/>
      <c r="I1068"/>
      <c r="J1068"/>
      <c r="K1068" t="s">
        <v>1301</v>
      </c>
    </row>
    <row r="1069" spans="1:11">
      <c r="A1069"/>
      <c r="B1069"/>
      <c r="C1069"/>
      <c r="D1069" t="s">
        <v>773</v>
      </c>
      <c r="E1069" t="s">
        <v>1358</v>
      </c>
      <c r="F1069"/>
      <c r="G1069"/>
      <c r="H1069"/>
      <c r="I1069"/>
      <c r="J1069"/>
      <c r="K1069" t="s">
        <v>1298</v>
      </c>
    </row>
    <row r="1070" spans="1:11">
      <c r="A1070"/>
      <c r="B1070"/>
      <c r="C1070"/>
      <c r="D1070" t="s">
        <v>773</v>
      </c>
      <c r="E1070" t="s">
        <v>1359</v>
      </c>
      <c r="F1070"/>
      <c r="G1070"/>
      <c r="H1070"/>
      <c r="I1070"/>
      <c r="J1070"/>
      <c r="K1070" t="s">
        <v>1295</v>
      </c>
    </row>
    <row r="1071" spans="1:11">
      <c r="A1071"/>
      <c r="B1071"/>
      <c r="C1071"/>
      <c r="D1071" t="s">
        <v>773</v>
      </c>
      <c r="E1071" t="s">
        <v>1360</v>
      </c>
      <c r="F1071"/>
      <c r="G1071"/>
      <c r="H1071"/>
      <c r="I1071"/>
      <c r="J1071"/>
      <c r="K1071" t="s">
        <v>1319</v>
      </c>
    </row>
    <row r="1072" spans="1:11">
      <c r="A1072"/>
      <c r="B1072"/>
      <c r="C1072"/>
      <c r="D1072" t="s">
        <v>293</v>
      </c>
      <c r="E1072" t="s">
        <v>1361</v>
      </c>
      <c r="F1072"/>
      <c r="G1072"/>
      <c r="H1072"/>
      <c r="I1072"/>
      <c r="J1072"/>
      <c r="K1072" t="s">
        <v>1292</v>
      </c>
    </row>
    <row r="1073" spans="1:11">
      <c r="A1073"/>
      <c r="B1073"/>
      <c r="C1073"/>
      <c r="D1073" t="s">
        <v>293</v>
      </c>
      <c r="E1073" t="s">
        <v>1362</v>
      </c>
      <c r="F1073"/>
      <c r="G1073"/>
      <c r="H1073"/>
      <c r="I1073"/>
      <c r="J1073"/>
      <c r="K1073" t="s">
        <v>1287</v>
      </c>
    </row>
    <row r="1074" spans="1:11">
      <c r="A1074"/>
      <c r="B1074"/>
      <c r="C1074"/>
      <c r="D1074" t="s">
        <v>293</v>
      </c>
      <c r="E1074" t="s">
        <v>1363</v>
      </c>
      <c r="F1074"/>
      <c r="G1074"/>
      <c r="H1074"/>
      <c r="I1074"/>
      <c r="J1074"/>
      <c r="K1074" t="s">
        <v>1277</v>
      </c>
    </row>
    <row r="1075" spans="1:11">
      <c r="A1075"/>
      <c r="B1075"/>
      <c r="C1075"/>
      <c r="D1075" t="s">
        <v>293</v>
      </c>
      <c r="E1075" t="s">
        <v>1364</v>
      </c>
      <c r="F1075"/>
      <c r="G1075"/>
      <c r="H1075"/>
      <c r="I1075"/>
      <c r="J1075"/>
      <c r="K1075" t="s">
        <v>1301</v>
      </c>
    </row>
    <row r="1076" spans="1:11">
      <c r="A1076"/>
      <c r="B1076"/>
      <c r="C1076"/>
      <c r="D1076" t="s">
        <v>293</v>
      </c>
      <c r="E1076" t="s">
        <v>1365</v>
      </c>
      <c r="F1076"/>
      <c r="G1076"/>
      <c r="H1076"/>
      <c r="I1076"/>
      <c r="J1076"/>
      <c r="K1076" t="s">
        <v>1282</v>
      </c>
    </row>
    <row r="1077" spans="1:11">
      <c r="A1077"/>
      <c r="B1077"/>
      <c r="C1077"/>
      <c r="D1077" t="s">
        <v>293</v>
      </c>
      <c r="E1077" t="s">
        <v>1366</v>
      </c>
      <c r="F1077"/>
      <c r="G1077"/>
      <c r="H1077"/>
      <c r="I1077"/>
      <c r="J1077"/>
      <c r="K1077" t="s">
        <v>1319</v>
      </c>
    </row>
    <row r="1078" spans="1:11">
      <c r="A1078"/>
      <c r="B1078"/>
      <c r="C1078"/>
      <c r="D1078" t="s">
        <v>293</v>
      </c>
      <c r="E1078" t="s">
        <v>1367</v>
      </c>
      <c r="F1078"/>
      <c r="G1078"/>
      <c r="H1078"/>
      <c r="I1078"/>
      <c r="J1078"/>
      <c r="K1078" t="s">
        <v>1295</v>
      </c>
    </row>
    <row r="1079" spans="1:11">
      <c r="A1079"/>
      <c r="B1079"/>
      <c r="C1079"/>
      <c r="D1079" t="s">
        <v>293</v>
      </c>
      <c r="E1079" t="s">
        <v>1368</v>
      </c>
      <c r="F1079"/>
      <c r="G1079"/>
      <c r="H1079"/>
      <c r="I1079"/>
      <c r="J1079"/>
      <c r="K1079" t="s">
        <v>1333</v>
      </c>
    </row>
    <row r="1080" spans="1:11">
      <c r="A1080"/>
      <c r="B1080"/>
      <c r="C1080"/>
      <c r="D1080" t="s">
        <v>293</v>
      </c>
      <c r="E1080" t="s">
        <v>1369</v>
      </c>
      <c r="F1080"/>
      <c r="G1080"/>
      <c r="H1080"/>
      <c r="I1080"/>
      <c r="J1080"/>
      <c r="K1080" t="s">
        <v>1298</v>
      </c>
    </row>
    <row r="1081" spans="1:11">
      <c r="A1081">
        <v>44306</v>
      </c>
      <c r="B1081">
        <v>980145937116</v>
      </c>
      <c r="C1081">
        <v>44302</v>
      </c>
      <c r="D1081" t="s">
        <v>1370</v>
      </c>
      <c r="E1081" t="s">
        <v>1371</v>
      </c>
      <c r="F1081" t="s">
        <v>1372</v>
      </c>
      <c r="G1081"/>
      <c r="H1081"/>
      <c r="I1081"/>
      <c r="J1081"/>
      <c r="K1081" t="s">
        <v>1301</v>
      </c>
    </row>
    <row r="1082" spans="1:11">
      <c r="A1082">
        <v>44306</v>
      </c>
      <c r="B1082">
        <v>980145937116</v>
      </c>
      <c r="C1082">
        <v>44302</v>
      </c>
      <c r="D1082" t="s">
        <v>1370</v>
      </c>
      <c r="E1082" t="s">
        <v>1373</v>
      </c>
      <c r="F1082" t="s">
        <v>1372</v>
      </c>
      <c r="G1082"/>
      <c r="H1082"/>
      <c r="I1082"/>
      <c r="J1082"/>
      <c r="K1082" t="s">
        <v>1301</v>
      </c>
    </row>
    <row r="1083" spans="1:11">
      <c r="A1083">
        <v>44306</v>
      </c>
      <c r="B1083">
        <v>980145937116</v>
      </c>
      <c r="C1083">
        <v>44302</v>
      </c>
      <c r="D1083" t="s">
        <v>1370</v>
      </c>
      <c r="E1083" t="s">
        <v>1374</v>
      </c>
      <c r="F1083" t="s">
        <v>1372</v>
      </c>
      <c r="G1083"/>
      <c r="H1083"/>
      <c r="I1083"/>
      <c r="J1083"/>
      <c r="K1083" t="s">
        <v>1319</v>
      </c>
    </row>
    <row r="1084" spans="1:11">
      <c r="A1084">
        <v>44306</v>
      </c>
      <c r="B1084">
        <v>980145937116</v>
      </c>
      <c r="C1084">
        <v>44302</v>
      </c>
      <c r="D1084" t="s">
        <v>1370</v>
      </c>
      <c r="E1084" t="s">
        <v>1375</v>
      </c>
      <c r="F1084" t="s">
        <v>1372</v>
      </c>
      <c r="G1084"/>
      <c r="H1084"/>
      <c r="I1084"/>
      <c r="J1084"/>
      <c r="K1084" t="s">
        <v>1319</v>
      </c>
    </row>
    <row r="1085" spans="1:11">
      <c r="A1085">
        <v>44306</v>
      </c>
      <c r="B1085">
        <v>980145937116</v>
      </c>
      <c r="C1085">
        <v>44302</v>
      </c>
      <c r="D1085" t="s">
        <v>1370</v>
      </c>
      <c r="E1085" t="s">
        <v>1376</v>
      </c>
      <c r="F1085" t="s">
        <v>1372</v>
      </c>
      <c r="G1085"/>
      <c r="H1085"/>
      <c r="I1085"/>
      <c r="J1085"/>
      <c r="K1085" t="s">
        <v>1298</v>
      </c>
    </row>
    <row r="1086" spans="1:11">
      <c r="A1086">
        <v>44306</v>
      </c>
      <c r="B1086">
        <v>980145937116</v>
      </c>
      <c r="C1086">
        <v>44302</v>
      </c>
      <c r="D1086" t="s">
        <v>1370</v>
      </c>
      <c r="E1086" t="s">
        <v>1377</v>
      </c>
      <c r="F1086" t="s">
        <v>1372</v>
      </c>
      <c r="G1086"/>
      <c r="H1086"/>
      <c r="I1086"/>
      <c r="J1086"/>
      <c r="K1086" t="s">
        <v>1298</v>
      </c>
    </row>
    <row r="1087" spans="1:11">
      <c r="A1087">
        <v>44306</v>
      </c>
      <c r="B1087">
        <v>980145937116</v>
      </c>
      <c r="C1087">
        <v>44302</v>
      </c>
      <c r="D1087" t="s">
        <v>1370</v>
      </c>
      <c r="E1087" t="s">
        <v>1378</v>
      </c>
      <c r="F1087" t="s">
        <v>1372</v>
      </c>
      <c r="G1087"/>
      <c r="H1087"/>
      <c r="I1087"/>
      <c r="J1087"/>
      <c r="K1087" t="s">
        <v>1295</v>
      </c>
    </row>
    <row r="1088" spans="1:11">
      <c r="A1088">
        <v>44306</v>
      </c>
      <c r="B1088">
        <v>980145937116</v>
      </c>
      <c r="C1088">
        <v>44302</v>
      </c>
      <c r="D1088" t="s">
        <v>1370</v>
      </c>
      <c r="E1088" t="s">
        <v>1379</v>
      </c>
      <c r="F1088" t="s">
        <v>1372</v>
      </c>
      <c r="G1088"/>
      <c r="H1088"/>
      <c r="I1088"/>
      <c r="J1088"/>
      <c r="K1088" t="s">
        <v>1295</v>
      </c>
    </row>
    <row r="1089" spans="1:11">
      <c r="A1089">
        <v>44306</v>
      </c>
      <c r="B1089">
        <v>980145937116</v>
      </c>
      <c r="C1089">
        <v>44302</v>
      </c>
      <c r="D1089" t="s">
        <v>1370</v>
      </c>
      <c r="E1089" t="s">
        <v>1380</v>
      </c>
      <c r="F1089" t="s">
        <v>1372</v>
      </c>
      <c r="G1089"/>
      <c r="H1089"/>
      <c r="I1089"/>
      <c r="J1089"/>
      <c r="K1089" t="s">
        <v>1292</v>
      </c>
    </row>
    <row r="1090" spans="1:11">
      <c r="A1090">
        <v>44306</v>
      </c>
      <c r="B1090">
        <v>980145937116</v>
      </c>
      <c r="C1090">
        <v>44302</v>
      </c>
      <c r="D1090" t="s">
        <v>1370</v>
      </c>
      <c r="E1090" t="s">
        <v>1381</v>
      </c>
      <c r="F1090" t="s">
        <v>1372</v>
      </c>
      <c r="G1090"/>
      <c r="H1090"/>
      <c r="I1090"/>
      <c r="J1090"/>
      <c r="K1090" t="s">
        <v>1292</v>
      </c>
    </row>
    <row r="1091" spans="1:11">
      <c r="A1091">
        <v>44306</v>
      </c>
      <c r="B1091">
        <v>980145937116</v>
      </c>
      <c r="C1091">
        <v>44302</v>
      </c>
      <c r="D1091" t="s">
        <v>1370</v>
      </c>
      <c r="E1091" t="s">
        <v>1382</v>
      </c>
      <c r="F1091" t="s">
        <v>1372</v>
      </c>
      <c r="G1091"/>
      <c r="H1091"/>
      <c r="I1091"/>
      <c r="J1091"/>
      <c r="K1091" t="s">
        <v>1287</v>
      </c>
    </row>
    <row r="1092" spans="1:11">
      <c r="A1092">
        <v>44306</v>
      </c>
      <c r="B1092">
        <v>980145937116</v>
      </c>
      <c r="C1092">
        <v>44302</v>
      </c>
      <c r="D1092" t="s">
        <v>1370</v>
      </c>
      <c r="E1092" t="s">
        <v>1383</v>
      </c>
      <c r="F1092" t="s">
        <v>1372</v>
      </c>
      <c r="G1092"/>
      <c r="H1092"/>
      <c r="I1092"/>
      <c r="J1092"/>
      <c r="K1092" t="s">
        <v>1287</v>
      </c>
    </row>
    <row r="1093" spans="1:11">
      <c r="A1093">
        <v>44306</v>
      </c>
      <c r="B1093">
        <v>980145937116</v>
      </c>
      <c r="C1093">
        <v>44302</v>
      </c>
      <c r="D1093" t="s">
        <v>1370</v>
      </c>
      <c r="E1093" t="s">
        <v>1384</v>
      </c>
      <c r="F1093" t="s">
        <v>1372</v>
      </c>
      <c r="G1093"/>
      <c r="H1093"/>
      <c r="I1093"/>
      <c r="J1093"/>
      <c r="K1093" t="s">
        <v>1282</v>
      </c>
    </row>
    <row r="1094" spans="1:11">
      <c r="A1094">
        <v>44306</v>
      </c>
      <c r="B1094">
        <v>980145937116</v>
      </c>
      <c r="C1094">
        <v>44302</v>
      </c>
      <c r="D1094" t="s">
        <v>1370</v>
      </c>
      <c r="E1094" t="s">
        <v>1385</v>
      </c>
      <c r="F1094" t="s">
        <v>1372</v>
      </c>
      <c r="G1094"/>
      <c r="H1094"/>
      <c r="I1094"/>
      <c r="J1094"/>
      <c r="K1094" t="s">
        <v>1282</v>
      </c>
    </row>
    <row r="1095" spans="1:11">
      <c r="A1095">
        <v>44306</v>
      </c>
      <c r="B1095">
        <v>980145937116</v>
      </c>
      <c r="C1095">
        <v>44302</v>
      </c>
      <c r="D1095" t="s">
        <v>1370</v>
      </c>
      <c r="E1095" t="s">
        <v>1386</v>
      </c>
      <c r="F1095" t="s">
        <v>1372</v>
      </c>
      <c r="G1095"/>
      <c r="H1095"/>
      <c r="I1095"/>
      <c r="J1095"/>
      <c r="K1095" t="s">
        <v>1277</v>
      </c>
    </row>
    <row r="1096" spans="1:11">
      <c r="A1096">
        <v>44306</v>
      </c>
      <c r="B1096">
        <v>980145937116</v>
      </c>
      <c r="C1096">
        <v>44302</v>
      </c>
      <c r="D1096" t="s">
        <v>1370</v>
      </c>
      <c r="E1096" t="s">
        <v>1387</v>
      </c>
      <c r="F1096" t="s">
        <v>1372</v>
      </c>
      <c r="G1096"/>
      <c r="H1096"/>
      <c r="I1096"/>
      <c r="J1096"/>
      <c r="K1096" t="s">
        <v>1277</v>
      </c>
    </row>
    <row r="1097" spans="1:11">
      <c r="A1097">
        <v>44306</v>
      </c>
      <c r="B1097">
        <v>980145937116</v>
      </c>
      <c r="C1097">
        <v>44302</v>
      </c>
      <c r="D1097" t="s">
        <v>1370</v>
      </c>
      <c r="E1097" t="s">
        <v>1388</v>
      </c>
      <c r="F1097" t="s">
        <v>1372</v>
      </c>
      <c r="G1097"/>
      <c r="H1097"/>
      <c r="I1097"/>
      <c r="J1097"/>
      <c r="K1097" t="s">
        <v>1333</v>
      </c>
    </row>
    <row r="1098" spans="1:11">
      <c r="A1098">
        <v>44306</v>
      </c>
      <c r="B1098">
        <v>980145937116</v>
      </c>
      <c r="C1098">
        <v>44302</v>
      </c>
      <c r="D1098" t="s">
        <v>1370</v>
      </c>
      <c r="E1098" t="s">
        <v>1389</v>
      </c>
      <c r="F1098" t="s">
        <v>1372</v>
      </c>
      <c r="G1098"/>
      <c r="H1098"/>
      <c r="I1098"/>
      <c r="J1098"/>
      <c r="K1098" t="s">
        <v>1333</v>
      </c>
    </row>
    <row r="1099" spans="1:11">
      <c r="A1099">
        <v>44308</v>
      </c>
      <c r="B1099" t="s">
        <v>1390</v>
      </c>
      <c r="C1099">
        <v>44307</v>
      </c>
      <c r="D1099" t="s">
        <v>531</v>
      </c>
      <c r="E1099" t="s">
        <v>1391</v>
      </c>
      <c r="F1099" t="s">
        <v>202</v>
      </c>
      <c r="G1099" t="s">
        <v>1392</v>
      </c>
      <c r="H1099"/>
      <c r="I1099"/>
      <c r="J1099"/>
      <c r="K1099" t="s">
        <v>1333</v>
      </c>
    </row>
    <row r="1100" spans="1:11">
      <c r="A1100">
        <v>44308</v>
      </c>
      <c r="B1100" t="s">
        <v>1390</v>
      </c>
      <c r="C1100">
        <v>44307</v>
      </c>
      <c r="D1100" t="s">
        <v>531</v>
      </c>
      <c r="E1100" t="s">
        <v>1393</v>
      </c>
      <c r="F1100" t="s">
        <v>202</v>
      </c>
      <c r="G1100" t="s">
        <v>1392</v>
      </c>
      <c r="H1100"/>
      <c r="I1100"/>
      <c r="J1100"/>
      <c r="K1100" t="s">
        <v>1333</v>
      </c>
    </row>
    <row r="1101" spans="1:11">
      <c r="A1101">
        <v>44308</v>
      </c>
      <c r="B1101" t="s">
        <v>1390</v>
      </c>
      <c r="C1101">
        <v>44307</v>
      </c>
      <c r="D1101" t="s">
        <v>531</v>
      </c>
      <c r="E1101" t="s">
        <v>1394</v>
      </c>
      <c r="F1101" t="s">
        <v>202</v>
      </c>
      <c r="G1101" t="s">
        <v>1392</v>
      </c>
      <c r="H1101"/>
      <c r="I1101"/>
      <c r="J1101"/>
      <c r="K1101" t="s">
        <v>1333</v>
      </c>
    </row>
    <row r="1102" spans="1:11">
      <c r="A1102">
        <v>44308</v>
      </c>
      <c r="B1102" t="s">
        <v>1390</v>
      </c>
      <c r="C1102">
        <v>44307</v>
      </c>
      <c r="D1102" t="s">
        <v>531</v>
      </c>
      <c r="E1102" t="s">
        <v>1395</v>
      </c>
      <c r="F1102" t="s">
        <v>202</v>
      </c>
      <c r="G1102" t="s">
        <v>1392</v>
      </c>
      <c r="H1102"/>
      <c r="I1102"/>
      <c r="J1102"/>
      <c r="K1102" t="s">
        <v>1333</v>
      </c>
    </row>
    <row r="1103" spans="1:11">
      <c r="A1103">
        <v>44309</v>
      </c>
      <c r="B1103">
        <v>903423312769</v>
      </c>
      <c r="C1103">
        <v>44307</v>
      </c>
      <c r="D1103" t="s">
        <v>1396</v>
      </c>
      <c r="E1103" t="s">
        <v>1397</v>
      </c>
      <c r="F1103" t="s">
        <v>1398</v>
      </c>
      <c r="G1103" t="s">
        <v>1399</v>
      </c>
      <c r="H1103"/>
      <c r="I1103"/>
      <c r="J1103"/>
      <c r="K1103" t="s">
        <v>1333</v>
      </c>
    </row>
    <row r="1104" spans="1:11">
      <c r="A1104">
        <v>44309</v>
      </c>
      <c r="B1104">
        <v>903423312769</v>
      </c>
      <c r="C1104">
        <v>44307</v>
      </c>
      <c r="D1104" t="s">
        <v>1396</v>
      </c>
      <c r="E1104" t="s">
        <v>1400</v>
      </c>
      <c r="F1104" t="s">
        <v>1398</v>
      </c>
      <c r="G1104" t="s">
        <v>1399</v>
      </c>
      <c r="H1104"/>
      <c r="I1104"/>
      <c r="J1104"/>
      <c r="K1104" t="s">
        <v>1277</v>
      </c>
    </row>
    <row r="1105" spans="1:11">
      <c r="A1105">
        <v>44309</v>
      </c>
      <c r="B1105">
        <v>903423312769</v>
      </c>
      <c r="C1105">
        <v>44307</v>
      </c>
      <c r="D1105" t="s">
        <v>1396</v>
      </c>
      <c r="E1105" t="s">
        <v>1401</v>
      </c>
      <c r="F1105" t="s">
        <v>1398</v>
      </c>
      <c r="G1105" t="s">
        <v>1399</v>
      </c>
      <c r="H1105"/>
      <c r="I1105"/>
      <c r="J1105"/>
      <c r="K1105" t="s">
        <v>1282</v>
      </c>
    </row>
    <row r="1106" spans="1:11">
      <c r="A1106">
        <v>44309</v>
      </c>
      <c r="B1106">
        <v>903423312769</v>
      </c>
      <c r="C1106">
        <v>44307</v>
      </c>
      <c r="D1106" t="s">
        <v>1396</v>
      </c>
      <c r="E1106" t="s">
        <v>1402</v>
      </c>
      <c r="F1106" t="s">
        <v>1398</v>
      </c>
      <c r="G1106" t="s">
        <v>1399</v>
      </c>
      <c r="H1106"/>
      <c r="I1106"/>
      <c r="J1106"/>
      <c r="K1106" t="s">
        <v>1292</v>
      </c>
    </row>
    <row r="1107" spans="1:11">
      <c r="A1107">
        <v>44309</v>
      </c>
      <c r="B1107">
        <v>903423312769</v>
      </c>
      <c r="C1107">
        <v>44307</v>
      </c>
      <c r="D1107" t="s">
        <v>1396</v>
      </c>
      <c r="E1107" t="s">
        <v>1403</v>
      </c>
      <c r="F1107" t="s">
        <v>1398</v>
      </c>
      <c r="G1107" t="s">
        <v>1399</v>
      </c>
      <c r="H1107"/>
      <c r="I1107"/>
      <c r="J1107"/>
      <c r="K1107" t="s">
        <v>1287</v>
      </c>
    </row>
    <row r="1108" spans="1:11">
      <c r="A1108">
        <v>44309</v>
      </c>
      <c r="B1108">
        <v>903423312769</v>
      </c>
      <c r="C1108">
        <v>44307</v>
      </c>
      <c r="D1108" t="s">
        <v>1396</v>
      </c>
      <c r="E1108" t="s">
        <v>1404</v>
      </c>
      <c r="F1108" t="s">
        <v>1398</v>
      </c>
      <c r="G1108" t="s">
        <v>1399</v>
      </c>
      <c r="H1108"/>
      <c r="I1108"/>
      <c r="J1108"/>
      <c r="K1108" t="s">
        <v>1295</v>
      </c>
    </row>
    <row r="1109" spans="1:11">
      <c r="A1109">
        <v>44309</v>
      </c>
      <c r="B1109">
        <v>903423312769</v>
      </c>
      <c r="C1109">
        <v>44307</v>
      </c>
      <c r="D1109" t="s">
        <v>1396</v>
      </c>
      <c r="E1109" t="s">
        <v>1405</v>
      </c>
      <c r="F1109" t="s">
        <v>1398</v>
      </c>
      <c r="G1109" t="s">
        <v>1399</v>
      </c>
      <c r="H1109"/>
      <c r="I1109"/>
      <c r="J1109"/>
      <c r="K1109" t="s">
        <v>1298</v>
      </c>
    </row>
    <row r="1110" spans="1:11">
      <c r="A1110">
        <v>44309</v>
      </c>
      <c r="B1110">
        <v>903423312769</v>
      </c>
      <c r="C1110">
        <v>44307</v>
      </c>
      <c r="D1110" t="s">
        <v>1396</v>
      </c>
      <c r="E1110" t="s">
        <v>1406</v>
      </c>
      <c r="F1110" t="s">
        <v>1398</v>
      </c>
      <c r="G1110" t="s">
        <v>1399</v>
      </c>
      <c r="H1110"/>
      <c r="I1110"/>
      <c r="J1110"/>
      <c r="K1110" t="s">
        <v>1319</v>
      </c>
    </row>
    <row r="1111" spans="1:11">
      <c r="A1111">
        <v>44309</v>
      </c>
      <c r="B1111">
        <v>903423312769</v>
      </c>
      <c r="C1111">
        <v>44307</v>
      </c>
      <c r="D1111" t="s">
        <v>1396</v>
      </c>
      <c r="E1111" t="s">
        <v>1407</v>
      </c>
      <c r="F1111" t="s">
        <v>1398</v>
      </c>
      <c r="G1111" t="s">
        <v>1399</v>
      </c>
      <c r="H1111"/>
      <c r="I1111"/>
      <c r="J1111"/>
      <c r="K1111" t="s">
        <v>1301</v>
      </c>
    </row>
    <row r="1112" spans="1:11">
      <c r="A1112">
        <v>44312</v>
      </c>
      <c r="B1112" t="s">
        <v>207</v>
      </c>
      <c r="C1112">
        <v>44309</v>
      </c>
      <c r="D1112" t="s">
        <v>340</v>
      </c>
      <c r="E1112" t="s">
        <v>1408</v>
      </c>
      <c r="F1112" t="s">
        <v>210</v>
      </c>
      <c r="G1112"/>
      <c r="H1112"/>
      <c r="I1112"/>
      <c r="J1112"/>
      <c r="K1112" t="s">
        <v>1277</v>
      </c>
    </row>
    <row r="1113" spans="1:11">
      <c r="A1113"/>
      <c r="B1113"/>
      <c r="C1113"/>
      <c r="D1113" t="s">
        <v>582</v>
      </c>
      <c r="E1113" t="s">
        <v>1409</v>
      </c>
      <c r="F1113"/>
      <c r="G1113"/>
      <c r="H1113"/>
      <c r="I1113"/>
      <c r="J1113"/>
      <c r="K1113" t="s">
        <v>1277</v>
      </c>
    </row>
    <row r="1114" spans="1:11">
      <c r="A1114"/>
      <c r="B1114"/>
      <c r="C1114"/>
      <c r="D1114" t="s">
        <v>582</v>
      </c>
      <c r="E1114" t="s">
        <v>1410</v>
      </c>
      <c r="F1114"/>
      <c r="G1114"/>
      <c r="H1114"/>
      <c r="I1114"/>
      <c r="J1114"/>
      <c r="K1114" t="s">
        <v>1277</v>
      </c>
    </row>
    <row r="1115" spans="1:11">
      <c r="A1115"/>
      <c r="B1115"/>
      <c r="C1115"/>
      <c r="D1115" t="s">
        <v>581</v>
      </c>
      <c r="E1115" t="s">
        <v>1411</v>
      </c>
      <c r="F1115"/>
      <c r="G1115"/>
      <c r="H1115"/>
      <c r="I1115"/>
      <c r="J1115"/>
      <c r="K1115" t="s">
        <v>1277</v>
      </c>
    </row>
    <row r="1116" spans="1:11">
      <c r="A1116">
        <v>44312</v>
      </c>
      <c r="B1116" t="s">
        <v>207</v>
      </c>
      <c r="C1116">
        <v>44309</v>
      </c>
      <c r="D1116" t="s">
        <v>340</v>
      </c>
      <c r="E1116" t="s">
        <v>1412</v>
      </c>
      <c r="F1116" t="s">
        <v>210</v>
      </c>
      <c r="G1116"/>
      <c r="H1116"/>
      <c r="I1116"/>
      <c r="J1116"/>
      <c r="K1116" t="s">
        <v>1333</v>
      </c>
    </row>
    <row r="1117" spans="1:11">
      <c r="A1117"/>
      <c r="B1117"/>
      <c r="C1117"/>
      <c r="D1117" t="s">
        <v>582</v>
      </c>
      <c r="E1117" t="s">
        <v>1413</v>
      </c>
      <c r="F1117"/>
      <c r="G1117"/>
      <c r="H1117"/>
      <c r="I1117"/>
      <c r="J1117"/>
      <c r="K1117" t="s">
        <v>1333</v>
      </c>
    </row>
    <row r="1118" spans="1:11">
      <c r="A1118"/>
      <c r="B1118"/>
      <c r="C1118"/>
      <c r="D1118" t="s">
        <v>582</v>
      </c>
      <c r="E1118" t="s">
        <v>1414</v>
      </c>
      <c r="F1118"/>
      <c r="G1118"/>
      <c r="H1118"/>
      <c r="I1118"/>
      <c r="J1118"/>
      <c r="K1118" t="s">
        <v>1333</v>
      </c>
    </row>
    <row r="1119" spans="1:11">
      <c r="A1119"/>
      <c r="B1119"/>
      <c r="C1119"/>
      <c r="D1119" t="s">
        <v>581</v>
      </c>
      <c r="E1119" t="s">
        <v>1415</v>
      </c>
      <c r="F1119"/>
      <c r="G1119"/>
      <c r="H1119"/>
      <c r="I1119"/>
      <c r="J1119"/>
      <c r="K1119" t="s">
        <v>1333</v>
      </c>
    </row>
    <row r="1120" spans="1:11">
      <c r="A1120">
        <v>44312</v>
      </c>
      <c r="B1120" t="s">
        <v>1416</v>
      </c>
      <c r="C1120">
        <v>44309</v>
      </c>
      <c r="D1120" t="s">
        <v>531</v>
      </c>
      <c r="E1120" t="s">
        <v>1417</v>
      </c>
      <c r="F1120" t="s">
        <v>818</v>
      </c>
      <c r="G1120"/>
      <c r="H1120"/>
      <c r="I1120"/>
      <c r="J1120"/>
      <c r="K1120" t="s">
        <v>1301</v>
      </c>
    </row>
    <row r="1121" spans="1:11">
      <c r="A1121">
        <v>44312</v>
      </c>
      <c r="B1121" t="s">
        <v>1416</v>
      </c>
      <c r="C1121">
        <v>44309</v>
      </c>
      <c r="D1121" t="s">
        <v>531</v>
      </c>
      <c r="E1121" t="s">
        <v>1418</v>
      </c>
      <c r="F1121" t="s">
        <v>818</v>
      </c>
      <c r="G1121"/>
      <c r="H1121"/>
      <c r="I1121"/>
      <c r="J1121"/>
      <c r="K1121" t="s">
        <v>1319</v>
      </c>
    </row>
    <row r="1122" spans="1:11">
      <c r="A1122">
        <v>44312</v>
      </c>
      <c r="B1122" t="s">
        <v>1416</v>
      </c>
      <c r="C1122">
        <v>44309</v>
      </c>
      <c r="D1122" t="s">
        <v>531</v>
      </c>
      <c r="E1122" t="s">
        <v>1419</v>
      </c>
      <c r="F1122" t="s">
        <v>818</v>
      </c>
      <c r="G1122"/>
      <c r="H1122"/>
      <c r="I1122"/>
      <c r="J1122"/>
      <c r="K1122" t="s">
        <v>1319</v>
      </c>
    </row>
    <row r="1123" spans="1:11">
      <c r="A1123">
        <v>44320</v>
      </c>
      <c r="B1123">
        <v>23105380248</v>
      </c>
      <c r="C1123">
        <v>44316</v>
      </c>
      <c r="D1123" t="s">
        <v>1430</v>
      </c>
      <c r="E1123" t="s">
        <v>1420</v>
      </c>
      <c r="F1123" t="s">
        <v>264</v>
      </c>
      <c r="G1123" t="s">
        <v>1421</v>
      </c>
      <c r="H1123"/>
      <c r="I1123"/>
      <c r="J1123"/>
      <c r="K1123" t="s">
        <v>1292</v>
      </c>
    </row>
    <row r="1124" spans="1:11">
      <c r="A1124">
        <v>44320</v>
      </c>
      <c r="B1124">
        <v>23105380248</v>
      </c>
      <c r="C1124">
        <v>44316</v>
      </c>
      <c r="D1124" t="s">
        <v>1430</v>
      </c>
      <c r="E1124" t="s">
        <v>1422</v>
      </c>
      <c r="F1124" t="s">
        <v>264</v>
      </c>
      <c r="G1124" t="s">
        <v>1421</v>
      </c>
      <c r="H1124"/>
      <c r="I1124"/>
      <c r="J1124"/>
      <c r="K1124" t="s">
        <v>1333</v>
      </c>
    </row>
    <row r="1125" spans="1:11">
      <c r="A1125">
        <v>44320</v>
      </c>
      <c r="B1125">
        <v>23105380248</v>
      </c>
      <c r="C1125">
        <v>44316</v>
      </c>
      <c r="D1125" t="s">
        <v>1430</v>
      </c>
      <c r="E1125" t="s">
        <v>1423</v>
      </c>
      <c r="F1125" t="s">
        <v>264</v>
      </c>
      <c r="G1125" t="s">
        <v>1421</v>
      </c>
      <c r="H1125"/>
      <c r="I1125"/>
      <c r="J1125"/>
      <c r="K1125" t="s">
        <v>1277</v>
      </c>
    </row>
    <row r="1126" spans="1:11">
      <c r="A1126">
        <v>44320</v>
      </c>
      <c r="B1126">
        <v>23105380248</v>
      </c>
      <c r="C1126">
        <v>44316</v>
      </c>
      <c r="D1126" t="s">
        <v>1430</v>
      </c>
      <c r="E1126" t="s">
        <v>1424</v>
      </c>
      <c r="F1126" t="s">
        <v>264</v>
      </c>
      <c r="G1126" t="s">
        <v>1421</v>
      </c>
      <c r="H1126"/>
      <c r="I1126"/>
      <c r="J1126"/>
      <c r="K1126" t="s">
        <v>1282</v>
      </c>
    </row>
    <row r="1127" spans="1:11">
      <c r="A1127">
        <v>44320</v>
      </c>
      <c r="B1127">
        <v>23105380248</v>
      </c>
      <c r="C1127">
        <v>44316</v>
      </c>
      <c r="D1127" t="s">
        <v>1430</v>
      </c>
      <c r="E1127" t="s">
        <v>1425</v>
      </c>
      <c r="F1127" t="s">
        <v>264</v>
      </c>
      <c r="G1127" t="s">
        <v>1421</v>
      </c>
      <c r="H1127"/>
      <c r="I1127"/>
      <c r="J1127"/>
      <c r="K1127" t="s">
        <v>1287</v>
      </c>
    </row>
    <row r="1128" spans="1:11">
      <c r="A1128">
        <v>44320</v>
      </c>
      <c r="B1128">
        <v>23105380248</v>
      </c>
      <c r="C1128">
        <v>44316</v>
      </c>
      <c r="D1128" t="s">
        <v>1430</v>
      </c>
      <c r="E1128" t="s">
        <v>1426</v>
      </c>
      <c r="F1128" t="s">
        <v>264</v>
      </c>
      <c r="G1128" t="s">
        <v>1421</v>
      </c>
      <c r="H1128"/>
      <c r="I1128"/>
      <c r="J1128"/>
      <c r="K1128" t="s">
        <v>1295</v>
      </c>
    </row>
    <row r="1129" spans="1:11">
      <c r="A1129">
        <v>44320</v>
      </c>
      <c r="B1129">
        <v>23105380248</v>
      </c>
      <c r="C1129">
        <v>44316</v>
      </c>
      <c r="D1129" t="s">
        <v>1430</v>
      </c>
      <c r="E1129" t="s">
        <v>1427</v>
      </c>
      <c r="F1129" t="s">
        <v>264</v>
      </c>
      <c r="G1129" t="s">
        <v>1421</v>
      </c>
      <c r="H1129"/>
      <c r="I1129"/>
      <c r="J1129"/>
      <c r="K1129" t="s">
        <v>1298</v>
      </c>
    </row>
    <row r="1130" spans="1:11">
      <c r="A1130">
        <v>44320</v>
      </c>
      <c r="B1130">
        <v>23105380248</v>
      </c>
      <c r="C1130">
        <v>44316</v>
      </c>
      <c r="D1130" t="s">
        <v>1430</v>
      </c>
      <c r="E1130" t="s">
        <v>1428</v>
      </c>
      <c r="F1130" t="s">
        <v>264</v>
      </c>
      <c r="G1130" t="s">
        <v>1421</v>
      </c>
      <c r="H1130"/>
      <c r="I1130"/>
      <c r="J1130"/>
      <c r="K1130" t="s">
        <v>1319</v>
      </c>
    </row>
    <row r="1131" spans="1:11">
      <c r="A1131">
        <v>44320</v>
      </c>
      <c r="B1131">
        <v>23105380248</v>
      </c>
      <c r="C1131">
        <v>44316</v>
      </c>
      <c r="D1131" t="s">
        <v>1430</v>
      </c>
      <c r="E1131" t="s">
        <v>1429</v>
      </c>
      <c r="F1131" t="s">
        <v>264</v>
      </c>
      <c r="G1131" t="s">
        <v>1421</v>
      </c>
      <c r="H1131"/>
      <c r="I1131"/>
      <c r="J1131"/>
      <c r="K1131" t="s">
        <v>1301</v>
      </c>
    </row>
    <row r="1132" spans="1:11">
      <c r="A1132">
        <v>44231</v>
      </c>
      <c r="B1132">
        <v>23104803551</v>
      </c>
      <c r="C1132">
        <v>44230</v>
      </c>
      <c r="D1132" t="s">
        <v>1431</v>
      </c>
      <c r="E1132" t="s">
        <v>1432</v>
      </c>
      <c r="F1132" t="s">
        <v>264</v>
      </c>
      <c r="G1132" t="s">
        <v>1433</v>
      </c>
      <c r="H1132"/>
      <c r="I1132"/>
      <c r="J1132"/>
      <c r="K1132" t="s">
        <v>1434</v>
      </c>
    </row>
    <row r="1133" spans="1:11">
      <c r="A1133">
        <v>44313</v>
      </c>
      <c r="B1133" t="s">
        <v>1435</v>
      </c>
      <c r="C1133">
        <v>44308</v>
      </c>
      <c r="D1133" t="s">
        <v>956</v>
      </c>
      <c r="E1133" t="s">
        <v>1436</v>
      </c>
      <c r="F1133" t="s">
        <v>1259</v>
      </c>
      <c r="G1133"/>
      <c r="H1133"/>
      <c r="I1133"/>
      <c r="J1133"/>
      <c r="K1133" t="s">
        <v>1434</v>
      </c>
    </row>
    <row r="1134" spans="1:11">
      <c r="A1134">
        <v>44313</v>
      </c>
      <c r="B1134" t="s">
        <v>1435</v>
      </c>
      <c r="C1134">
        <v>44308</v>
      </c>
      <c r="D1134" t="s">
        <v>956</v>
      </c>
      <c r="E1134" t="s">
        <v>1437</v>
      </c>
      <c r="F1134" t="s">
        <v>1259</v>
      </c>
      <c r="G1134"/>
      <c r="H1134"/>
      <c r="I1134"/>
      <c r="J1134"/>
      <c r="K1134" t="s">
        <v>1434</v>
      </c>
    </row>
    <row r="1135" spans="1:11">
      <c r="A1135"/>
      <c r="B1135"/>
      <c r="C1135"/>
      <c r="D1135" t="s">
        <v>1438</v>
      </c>
      <c r="E1135" t="s">
        <v>1439</v>
      </c>
      <c r="F1135"/>
      <c r="G1135"/>
      <c r="H1135"/>
      <c r="I1135"/>
      <c r="J1135"/>
      <c r="K1135" t="s">
        <v>1434</v>
      </c>
    </row>
    <row r="1136" spans="1:11">
      <c r="A1136"/>
      <c r="B1136"/>
      <c r="C1136"/>
      <c r="D1136" t="s">
        <v>1440</v>
      </c>
      <c r="E1136" t="s">
        <v>1441</v>
      </c>
      <c r="F1136"/>
      <c r="G1136"/>
      <c r="H1136"/>
      <c r="I1136"/>
      <c r="J1136"/>
      <c r="K1136" t="s">
        <v>1434</v>
      </c>
    </row>
    <row r="1137" spans="1:11">
      <c r="A1137"/>
      <c r="B1137"/>
      <c r="C1137"/>
      <c r="D1137" t="s">
        <v>1442</v>
      </c>
      <c r="E1137" t="s">
        <v>1443</v>
      </c>
      <c r="F1137"/>
      <c r="G1137"/>
      <c r="H1137"/>
      <c r="I1137"/>
      <c r="J1137"/>
      <c r="K1137" t="s">
        <v>1434</v>
      </c>
    </row>
    <row r="1138" spans="1:11">
      <c r="A1138"/>
      <c r="B1138"/>
      <c r="C1138"/>
      <c r="D1138" t="s">
        <v>1444</v>
      </c>
      <c r="E1138" t="s">
        <v>1445</v>
      </c>
      <c r="F1138"/>
      <c r="G1138"/>
      <c r="H1138"/>
      <c r="I1138"/>
      <c r="J1138"/>
      <c r="K1138" t="s">
        <v>1434</v>
      </c>
    </row>
    <row r="1139" spans="1:11">
      <c r="A1139"/>
      <c r="B1139"/>
      <c r="C1139"/>
      <c r="D1139" t="s">
        <v>581</v>
      </c>
      <c r="E1139" t="s">
        <v>1446</v>
      </c>
      <c r="F1139"/>
      <c r="G1139"/>
      <c r="H1139"/>
      <c r="I1139"/>
      <c r="J1139"/>
      <c r="K1139" t="s">
        <v>1434</v>
      </c>
    </row>
    <row r="1140" spans="1:11">
      <c r="A1140"/>
      <c r="B1140"/>
      <c r="C1140"/>
      <c r="D1140" t="s">
        <v>17</v>
      </c>
      <c r="E1140" t="s">
        <v>1447</v>
      </c>
      <c r="F1140"/>
      <c r="G1140"/>
      <c r="H1140"/>
      <c r="I1140"/>
      <c r="J1140"/>
      <c r="K1140" t="s">
        <v>1434</v>
      </c>
    </row>
    <row r="1141" spans="1:11">
      <c r="A1141">
        <v>44298</v>
      </c>
      <c r="B1141" t="s">
        <v>954</v>
      </c>
      <c r="C1141">
        <v>44295</v>
      </c>
      <c r="D1141" t="s">
        <v>1155</v>
      </c>
      <c r="E1141" t="s">
        <v>1448</v>
      </c>
      <c r="F1141" t="s">
        <v>210</v>
      </c>
      <c r="G1141"/>
      <c r="H1141"/>
      <c r="I1141"/>
      <c r="J1141"/>
      <c r="K1141" t="s">
        <v>1190</v>
      </c>
    </row>
    <row r="1142" spans="1:11">
      <c r="A1142">
        <v>44298</v>
      </c>
      <c r="B1142" t="s">
        <v>954</v>
      </c>
      <c r="C1142">
        <v>44295</v>
      </c>
      <c r="D1142" t="s">
        <v>1155</v>
      </c>
      <c r="E1142" t="s">
        <v>1449</v>
      </c>
      <c r="F1142" t="s">
        <v>210</v>
      </c>
      <c r="G1142"/>
      <c r="H1142"/>
      <c r="I1142"/>
      <c r="J1142"/>
      <c r="K1142" t="s">
        <v>1190</v>
      </c>
    </row>
    <row r="1143" spans="1:11">
      <c r="A1143">
        <v>44298</v>
      </c>
      <c r="B1143" t="s">
        <v>954</v>
      </c>
      <c r="C1143">
        <v>44295</v>
      </c>
      <c r="D1143" t="s">
        <v>1155</v>
      </c>
      <c r="E1143" t="s">
        <v>1450</v>
      </c>
      <c r="F1143" t="s">
        <v>210</v>
      </c>
      <c r="G1143"/>
      <c r="H1143"/>
      <c r="I1143"/>
      <c r="J1143"/>
      <c r="K1143" t="s">
        <v>1190</v>
      </c>
    </row>
    <row r="1144" spans="1:11">
      <c r="A1144">
        <v>44298</v>
      </c>
      <c r="B1144" t="s">
        <v>954</v>
      </c>
      <c r="C1144">
        <v>44295</v>
      </c>
      <c r="D1144" t="s">
        <v>1155</v>
      </c>
      <c r="E1144" t="s">
        <v>1451</v>
      </c>
      <c r="F1144" t="s">
        <v>210</v>
      </c>
      <c r="G1144"/>
      <c r="H1144"/>
      <c r="I1144"/>
      <c r="J1144"/>
      <c r="K1144" t="s">
        <v>1190</v>
      </c>
    </row>
    <row r="1145" spans="1:11">
      <c r="A1145">
        <v>44298</v>
      </c>
      <c r="B1145" t="s">
        <v>954</v>
      </c>
      <c r="C1145">
        <v>44295</v>
      </c>
      <c r="D1145" t="s">
        <v>1155</v>
      </c>
      <c r="E1145" t="s">
        <v>1452</v>
      </c>
      <c r="F1145" t="s">
        <v>210</v>
      </c>
      <c r="G1145"/>
      <c r="H1145"/>
      <c r="I1145"/>
      <c r="J1145"/>
      <c r="K1145" t="s">
        <v>1190</v>
      </c>
    </row>
    <row r="1146" spans="1:11">
      <c r="A1146">
        <v>44298</v>
      </c>
      <c r="B1146" t="s">
        <v>954</v>
      </c>
      <c r="C1146">
        <v>44295</v>
      </c>
      <c r="D1146" t="s">
        <v>1155</v>
      </c>
      <c r="E1146" t="s">
        <v>1453</v>
      </c>
      <c r="F1146" t="s">
        <v>210</v>
      </c>
      <c r="G1146"/>
      <c r="H1146"/>
      <c r="I1146"/>
      <c r="J1146"/>
      <c r="K1146" t="s">
        <v>1190</v>
      </c>
    </row>
    <row r="1147" spans="1:11">
      <c r="A1147">
        <v>44298</v>
      </c>
      <c r="B1147" t="s">
        <v>954</v>
      </c>
      <c r="C1147">
        <v>44295</v>
      </c>
      <c r="D1147" t="s">
        <v>1155</v>
      </c>
      <c r="E1147" t="s">
        <v>1454</v>
      </c>
      <c r="F1147" t="s">
        <v>210</v>
      </c>
      <c r="G1147"/>
      <c r="H1147"/>
      <c r="I1147"/>
      <c r="J1147"/>
      <c r="K1147" t="s">
        <v>1190</v>
      </c>
    </row>
    <row r="1148" spans="1:11">
      <c r="A1148">
        <v>44298</v>
      </c>
      <c r="B1148" t="s">
        <v>954</v>
      </c>
      <c r="C1148">
        <v>44295</v>
      </c>
      <c r="D1148" t="s">
        <v>1155</v>
      </c>
      <c r="E1148" t="s">
        <v>1455</v>
      </c>
      <c r="F1148" t="s">
        <v>210</v>
      </c>
      <c r="G1148"/>
      <c r="H1148"/>
      <c r="I1148"/>
      <c r="J1148"/>
      <c r="K1148" t="s">
        <v>1190</v>
      </c>
    </row>
    <row r="1149" spans="1:11">
      <c r="A1149">
        <v>44287</v>
      </c>
      <c r="B1149">
        <v>10811814661</v>
      </c>
      <c r="C1149">
        <v>44286</v>
      </c>
      <c r="D1149" t="s">
        <v>1456</v>
      </c>
      <c r="E1149" t="s">
        <v>1457</v>
      </c>
      <c r="F1149" t="s">
        <v>753</v>
      </c>
      <c r="G1149">
        <v>40030935</v>
      </c>
      <c r="H1149"/>
      <c r="I1149"/>
      <c r="J1149"/>
      <c r="K1149" t="s">
        <v>1458</v>
      </c>
    </row>
    <row r="1150" spans="1:11">
      <c r="A1150">
        <v>44287</v>
      </c>
      <c r="B1150">
        <v>10811814661</v>
      </c>
      <c r="C1150">
        <v>44286</v>
      </c>
      <c r="D1150" t="s">
        <v>1456</v>
      </c>
      <c r="E1150" t="s">
        <v>1459</v>
      </c>
      <c r="F1150" t="s">
        <v>753</v>
      </c>
      <c r="G1150">
        <v>40030935</v>
      </c>
      <c r="H1150"/>
      <c r="I1150"/>
      <c r="J1150"/>
      <c r="K1150" t="s">
        <v>1458</v>
      </c>
    </row>
    <row r="1151" spans="1:11">
      <c r="A1151">
        <v>44287</v>
      </c>
      <c r="B1151">
        <v>10811814661</v>
      </c>
      <c r="C1151">
        <v>44286</v>
      </c>
      <c r="D1151" t="s">
        <v>1456</v>
      </c>
      <c r="E1151" t="s">
        <v>1460</v>
      </c>
      <c r="F1151" t="s">
        <v>753</v>
      </c>
      <c r="G1151">
        <v>40030935</v>
      </c>
      <c r="H1151"/>
      <c r="I1151"/>
      <c r="J1151"/>
      <c r="K1151" t="s">
        <v>1458</v>
      </c>
    </row>
    <row r="1152" spans="1:11">
      <c r="A1152">
        <v>44287</v>
      </c>
      <c r="B1152">
        <v>10811814661</v>
      </c>
      <c r="C1152">
        <v>44286</v>
      </c>
      <c r="D1152" t="s">
        <v>1456</v>
      </c>
      <c r="E1152" t="s">
        <v>1461</v>
      </c>
      <c r="F1152" t="s">
        <v>753</v>
      </c>
      <c r="G1152">
        <v>40030935</v>
      </c>
      <c r="H1152"/>
      <c r="I1152"/>
      <c r="J1152"/>
      <c r="K1152" t="s">
        <v>1458</v>
      </c>
    </row>
    <row r="1153" spans="1:11" s="17" customFormat="1">
      <c r="A1153">
        <v>44292</v>
      </c>
      <c r="B1153" t="s">
        <v>954</v>
      </c>
      <c r="C1153">
        <v>44287</v>
      </c>
      <c r="D1153" t="s">
        <v>1462</v>
      </c>
      <c r="E1153" t="s">
        <v>1463</v>
      </c>
      <c r="F1153" t="s">
        <v>210</v>
      </c>
      <c r="G1153">
        <v>931215445</v>
      </c>
      <c r="H1153"/>
      <c r="I1153"/>
      <c r="J1153"/>
      <c r="K1153" t="s">
        <v>1458</v>
      </c>
    </row>
    <row r="1154" spans="1:11" s="17" customFormat="1">
      <c r="A1154"/>
      <c r="B1154"/>
      <c r="C1154"/>
      <c r="D1154" t="s">
        <v>1464</v>
      </c>
      <c r="E1154" t="s">
        <v>1465</v>
      </c>
      <c r="F1154"/>
      <c r="G1154"/>
      <c r="H1154"/>
      <c r="I1154"/>
      <c r="J1154"/>
      <c r="K1154" t="s">
        <v>1458</v>
      </c>
    </row>
    <row r="1155" spans="1:11" s="17" customFormat="1">
      <c r="A1155"/>
      <c r="B1155"/>
      <c r="C1155"/>
      <c r="D1155" t="s">
        <v>1466</v>
      </c>
      <c r="E1155" t="s">
        <v>1467</v>
      </c>
      <c r="F1155"/>
      <c r="G1155"/>
      <c r="H1155"/>
      <c r="I1155"/>
      <c r="J1155"/>
      <c r="K1155" t="s">
        <v>1458</v>
      </c>
    </row>
    <row r="1156" spans="1:11" s="17" customFormat="1">
      <c r="A1156">
        <v>44293</v>
      </c>
      <c r="B1156" t="s">
        <v>1468</v>
      </c>
      <c r="C1156">
        <v>44287</v>
      </c>
      <c r="D1156" t="s">
        <v>1483</v>
      </c>
      <c r="E1156" t="s">
        <v>1469</v>
      </c>
      <c r="F1156" t="s">
        <v>905</v>
      </c>
      <c r="G1156">
        <v>131050879</v>
      </c>
      <c r="H1156"/>
      <c r="I1156"/>
      <c r="J1156"/>
      <c r="K1156" t="s">
        <v>1458</v>
      </c>
    </row>
    <row r="1157" spans="1:11" s="17" customFormat="1">
      <c r="A1157">
        <v>44298</v>
      </c>
      <c r="B1157" t="s">
        <v>1470</v>
      </c>
      <c r="C1157">
        <v>44295</v>
      </c>
      <c r="D1157" t="s">
        <v>200</v>
      </c>
      <c r="E1157" t="s">
        <v>1471</v>
      </c>
      <c r="F1157" t="s">
        <v>599</v>
      </c>
      <c r="G1157" t="s">
        <v>1472</v>
      </c>
      <c r="H1157"/>
      <c r="I1157"/>
      <c r="J1157"/>
      <c r="K1157" t="s">
        <v>1458</v>
      </c>
    </row>
    <row r="1158" spans="1:11" s="17" customFormat="1">
      <c r="A1158">
        <v>44298</v>
      </c>
      <c r="B1158" t="s">
        <v>1470</v>
      </c>
      <c r="C1158">
        <v>44295</v>
      </c>
      <c r="D1158" t="s">
        <v>200</v>
      </c>
      <c r="E1158" t="s">
        <v>1473</v>
      </c>
      <c r="F1158" t="s">
        <v>599</v>
      </c>
      <c r="G1158" t="s">
        <v>1472</v>
      </c>
      <c r="H1158"/>
      <c r="I1158"/>
      <c r="J1158"/>
      <c r="K1158" t="s">
        <v>1458</v>
      </c>
    </row>
    <row r="1159" spans="1:11" s="17" customFormat="1">
      <c r="A1159">
        <v>44298</v>
      </c>
      <c r="B1159" t="s">
        <v>1470</v>
      </c>
      <c r="C1159">
        <v>44295</v>
      </c>
      <c r="D1159" t="s">
        <v>200</v>
      </c>
      <c r="E1159" t="s">
        <v>1474</v>
      </c>
      <c r="F1159" t="s">
        <v>599</v>
      </c>
      <c r="G1159" t="s">
        <v>1472</v>
      </c>
      <c r="H1159"/>
      <c r="I1159"/>
      <c r="J1159"/>
      <c r="K1159" t="s">
        <v>1458</v>
      </c>
    </row>
    <row r="1160" spans="1:11" s="17" customFormat="1">
      <c r="A1160">
        <v>44298</v>
      </c>
      <c r="B1160" t="s">
        <v>1470</v>
      </c>
      <c r="C1160">
        <v>44295</v>
      </c>
      <c r="D1160" t="s">
        <v>200</v>
      </c>
      <c r="E1160" t="s">
        <v>1475</v>
      </c>
      <c r="F1160" t="s">
        <v>599</v>
      </c>
      <c r="G1160" t="s">
        <v>1472</v>
      </c>
      <c r="H1160"/>
      <c r="I1160"/>
      <c r="J1160"/>
      <c r="K1160" t="s">
        <v>1458</v>
      </c>
    </row>
    <row r="1161" spans="1:11" s="17" customFormat="1">
      <c r="A1161">
        <v>44302</v>
      </c>
      <c r="B1161">
        <v>2669673457</v>
      </c>
      <c r="C1161">
        <v>44301</v>
      </c>
      <c r="D1161" t="s">
        <v>1476</v>
      </c>
      <c r="E1161" t="s">
        <v>1477</v>
      </c>
      <c r="F1161" t="s">
        <v>202</v>
      </c>
      <c r="G1161" t="s">
        <v>1276</v>
      </c>
      <c r="H1161"/>
      <c r="I1161"/>
      <c r="J1161"/>
      <c r="K1161" t="s">
        <v>1458</v>
      </c>
    </row>
    <row r="1162" spans="1:11" s="17" customFormat="1">
      <c r="A1162"/>
      <c r="B1162"/>
      <c r="C1162"/>
      <c r="D1162" t="s">
        <v>1478</v>
      </c>
      <c r="E1162" t="s">
        <v>1479</v>
      </c>
      <c r="F1162"/>
      <c r="G1162"/>
      <c r="H1162"/>
      <c r="I1162"/>
      <c r="J1162"/>
      <c r="K1162" t="s">
        <v>1458</v>
      </c>
    </row>
    <row r="1163" spans="1:11">
      <c r="A1163">
        <v>44309</v>
      </c>
      <c r="B1163">
        <v>903423312769</v>
      </c>
      <c r="C1163">
        <v>44307</v>
      </c>
      <c r="D1163" t="s">
        <v>1396</v>
      </c>
      <c r="E1163" t="s">
        <v>1480</v>
      </c>
      <c r="F1163" t="s">
        <v>1398</v>
      </c>
      <c r="G1163" t="s">
        <v>1399</v>
      </c>
      <c r="H1163"/>
      <c r="I1163"/>
      <c r="J1163"/>
      <c r="K1163" t="s">
        <v>1458</v>
      </c>
    </row>
    <row r="1164" spans="1:11">
      <c r="A1164"/>
      <c r="B1164"/>
      <c r="C1164"/>
      <c r="D1164" t="s">
        <v>1481</v>
      </c>
      <c r="E1164" t="s">
        <v>1482</v>
      </c>
      <c r="F1164"/>
      <c r="G1164"/>
      <c r="H1164"/>
      <c r="I1164"/>
      <c r="J1164"/>
      <c r="K1164" t="s">
        <v>1458</v>
      </c>
    </row>
    <row r="1165" spans="1:11">
      <c r="A1165"/>
      <c r="B1165"/>
      <c r="C1165"/>
      <c r="D1165" t="s">
        <v>1485</v>
      </c>
      <c r="E1165" t="s">
        <v>1487</v>
      </c>
      <c r="F1165"/>
      <c r="G1165"/>
      <c r="H1165"/>
      <c r="I1165"/>
      <c r="J1165"/>
      <c r="K1165" t="s">
        <v>1495</v>
      </c>
    </row>
    <row r="1166" spans="1:11">
      <c r="A1166"/>
      <c r="B1166"/>
      <c r="C1166"/>
      <c r="D1166" t="s">
        <v>1486</v>
      </c>
      <c r="E1166" t="s">
        <v>1488</v>
      </c>
      <c r="F1166"/>
      <c r="G1166"/>
      <c r="H1166"/>
      <c r="I1166"/>
      <c r="J1166"/>
      <c r="K1166" t="s">
        <v>1495</v>
      </c>
    </row>
    <row r="1167" spans="1:11">
      <c r="A1167"/>
      <c r="B1167"/>
      <c r="C1167"/>
      <c r="D1167" t="s">
        <v>1486</v>
      </c>
      <c r="E1167" t="s">
        <v>1489</v>
      </c>
      <c r="F1167"/>
      <c r="G1167"/>
      <c r="H1167"/>
      <c r="I1167"/>
      <c r="J1167"/>
      <c r="K1167" t="s">
        <v>1495</v>
      </c>
    </row>
    <row r="1168" spans="1:11">
      <c r="A1168"/>
      <c r="B1168"/>
      <c r="C1168"/>
      <c r="D1168" t="s">
        <v>1486</v>
      </c>
      <c r="E1168" t="s">
        <v>1490</v>
      </c>
      <c r="F1168"/>
      <c r="G1168"/>
      <c r="H1168"/>
      <c r="I1168"/>
      <c r="J1168"/>
      <c r="K1168" t="s">
        <v>1495</v>
      </c>
    </row>
    <row r="1169" spans="1:11">
      <c r="A1169"/>
      <c r="B1169"/>
      <c r="C1169"/>
      <c r="D1169" t="s">
        <v>1486</v>
      </c>
      <c r="E1169" t="s">
        <v>1491</v>
      </c>
      <c r="F1169"/>
      <c r="G1169"/>
      <c r="H1169"/>
      <c r="I1169"/>
      <c r="J1169"/>
      <c r="K1169" t="s">
        <v>1495</v>
      </c>
    </row>
    <row r="1170" spans="1:11">
      <c r="A1170"/>
      <c r="B1170"/>
      <c r="C1170"/>
      <c r="D1170" t="s">
        <v>1486</v>
      </c>
      <c r="E1170" t="s">
        <v>1492</v>
      </c>
      <c r="F1170"/>
      <c r="G1170"/>
      <c r="H1170"/>
      <c r="I1170"/>
      <c r="J1170"/>
      <c r="K1170" t="s">
        <v>1495</v>
      </c>
    </row>
    <row r="1171" spans="1:11">
      <c r="A1171">
        <v>44281</v>
      </c>
      <c r="B1171">
        <v>23105147727</v>
      </c>
      <c r="C1171">
        <v>44280</v>
      </c>
      <c r="D1171" t="s">
        <v>1493</v>
      </c>
      <c r="E1171" t="s">
        <v>1494</v>
      </c>
      <c r="F1171" t="s">
        <v>264</v>
      </c>
      <c r="G1171" t="s">
        <v>964</v>
      </c>
      <c r="H1171"/>
      <c r="I1171"/>
      <c r="J1171"/>
      <c r="K1171" t="s">
        <v>1495</v>
      </c>
    </row>
    <row r="1172" spans="1:11">
      <c r="A1172">
        <v>44281</v>
      </c>
      <c r="B1172">
        <v>23105147727</v>
      </c>
      <c r="C1172">
        <v>44280</v>
      </c>
      <c r="D1172" t="s">
        <v>1493</v>
      </c>
      <c r="E1172" t="s">
        <v>1496</v>
      </c>
      <c r="F1172" t="s">
        <v>264</v>
      </c>
      <c r="G1172" t="s">
        <v>964</v>
      </c>
      <c r="H1172"/>
      <c r="I1172"/>
      <c r="J1172"/>
      <c r="K1172" t="s">
        <v>1495</v>
      </c>
    </row>
    <row r="1173" spans="1:11">
      <c r="A1173">
        <v>44281</v>
      </c>
      <c r="B1173">
        <v>23105147727</v>
      </c>
      <c r="C1173">
        <v>44280</v>
      </c>
      <c r="D1173" t="s">
        <v>1493</v>
      </c>
      <c r="E1173" t="s">
        <v>1497</v>
      </c>
      <c r="F1173" t="s">
        <v>264</v>
      </c>
      <c r="G1173" t="s">
        <v>964</v>
      </c>
      <c r="H1173"/>
      <c r="I1173"/>
      <c r="J1173"/>
      <c r="K1173" t="s">
        <v>1495</v>
      </c>
    </row>
    <row r="1174" spans="1:11">
      <c r="A1174">
        <v>44281</v>
      </c>
      <c r="B1174">
        <v>23105147727</v>
      </c>
      <c r="C1174">
        <v>44280</v>
      </c>
      <c r="D1174" t="s">
        <v>1493</v>
      </c>
      <c r="E1174" t="s">
        <v>1498</v>
      </c>
      <c r="F1174" t="s">
        <v>264</v>
      </c>
      <c r="G1174" t="s">
        <v>964</v>
      </c>
      <c r="H1174"/>
      <c r="I1174"/>
      <c r="J1174"/>
      <c r="K1174" t="s">
        <v>1495</v>
      </c>
    </row>
    <row r="1175" spans="1:11">
      <c r="A1175">
        <v>44298</v>
      </c>
      <c r="B1175" t="s">
        <v>954</v>
      </c>
      <c r="C1175">
        <v>44295</v>
      </c>
      <c r="D1175" t="s">
        <v>1522</v>
      </c>
      <c r="E1175" t="s">
        <v>1499</v>
      </c>
      <c r="F1175" t="s">
        <v>210</v>
      </c>
      <c r="G1175"/>
      <c r="H1175"/>
      <c r="I1175"/>
      <c r="J1175"/>
      <c r="K1175" t="s">
        <v>1495</v>
      </c>
    </row>
    <row r="1176" spans="1:11">
      <c r="A1176">
        <v>44298</v>
      </c>
      <c r="B1176" t="s">
        <v>954</v>
      </c>
      <c r="C1176">
        <v>44295</v>
      </c>
      <c r="D1176" t="s">
        <v>1522</v>
      </c>
      <c r="E1176" t="s">
        <v>1500</v>
      </c>
      <c r="F1176" t="s">
        <v>210</v>
      </c>
      <c r="G1176"/>
      <c r="H1176"/>
      <c r="I1176"/>
      <c r="J1176"/>
      <c r="K1176" t="s">
        <v>1495</v>
      </c>
    </row>
    <row r="1177" spans="1:11">
      <c r="A1177">
        <v>44298</v>
      </c>
      <c r="B1177" t="s">
        <v>1205</v>
      </c>
      <c r="C1177">
        <v>44294</v>
      </c>
      <c r="D1177" t="s">
        <v>1501</v>
      </c>
      <c r="E1177" t="s">
        <v>1502</v>
      </c>
      <c r="F1177" t="s">
        <v>1207</v>
      </c>
      <c r="G1177" t="s">
        <v>1208</v>
      </c>
      <c r="H1177"/>
      <c r="I1177"/>
      <c r="J1177"/>
      <c r="K1177" t="s">
        <v>1495</v>
      </c>
    </row>
    <row r="1178" spans="1:11">
      <c r="A1178">
        <v>44298</v>
      </c>
      <c r="B1178" t="s">
        <v>1205</v>
      </c>
      <c r="C1178">
        <v>44294</v>
      </c>
      <c r="D1178" t="s">
        <v>1501</v>
      </c>
      <c r="E1178" t="s">
        <v>1503</v>
      </c>
      <c r="F1178" t="s">
        <v>1207</v>
      </c>
      <c r="G1178" t="s">
        <v>1208</v>
      </c>
      <c r="H1178"/>
      <c r="I1178"/>
      <c r="J1178"/>
      <c r="K1178" t="s">
        <v>1495</v>
      </c>
    </row>
    <row r="1179" spans="1:11">
      <c r="A1179">
        <v>44305</v>
      </c>
      <c r="B1179" t="s">
        <v>1504</v>
      </c>
      <c r="C1179">
        <v>44300</v>
      </c>
      <c r="D1179" t="s">
        <v>705</v>
      </c>
      <c r="E1179" t="s">
        <v>1505</v>
      </c>
      <c r="F1179"/>
      <c r="G1179"/>
      <c r="H1179"/>
      <c r="I1179"/>
      <c r="J1179"/>
      <c r="K1179" t="s">
        <v>1495</v>
      </c>
    </row>
    <row r="1180" spans="1:11">
      <c r="A1180">
        <v>44313</v>
      </c>
      <c r="B1180" t="s">
        <v>1506</v>
      </c>
      <c r="C1180">
        <v>44312</v>
      </c>
      <c r="D1180" t="s">
        <v>1507</v>
      </c>
      <c r="E1180" t="s">
        <v>1508</v>
      </c>
      <c r="F1180" t="s">
        <v>222</v>
      </c>
      <c r="G1180">
        <v>40042553</v>
      </c>
      <c r="H1180"/>
      <c r="I1180"/>
      <c r="J1180"/>
      <c r="K1180" t="s">
        <v>1495</v>
      </c>
    </row>
    <row r="1181" spans="1:11">
      <c r="A1181">
        <v>44320</v>
      </c>
      <c r="B1181" t="s">
        <v>207</v>
      </c>
      <c r="C1181">
        <v>44316</v>
      </c>
      <c r="D1181" t="s">
        <v>1509</v>
      </c>
      <c r="E1181" t="s">
        <v>1510</v>
      </c>
      <c r="F1181" t="s">
        <v>210</v>
      </c>
      <c r="G1181">
        <v>931234547</v>
      </c>
      <c r="H1181"/>
      <c r="I1181"/>
      <c r="J1181"/>
      <c r="K1181" t="s">
        <v>1495</v>
      </c>
    </row>
    <row r="1182" spans="1:11">
      <c r="A1182"/>
      <c r="B1182"/>
      <c r="C1182"/>
      <c r="D1182" t="s">
        <v>1511</v>
      </c>
      <c r="E1182" t="s">
        <v>1512</v>
      </c>
      <c r="F1182"/>
      <c r="G1182"/>
      <c r="H1182"/>
      <c r="I1182"/>
      <c r="J1182"/>
      <c r="K1182" t="s">
        <v>1495</v>
      </c>
    </row>
    <row r="1183" spans="1:11">
      <c r="A1183"/>
      <c r="B1183"/>
      <c r="C1183"/>
      <c r="D1183" t="s">
        <v>895</v>
      </c>
      <c r="E1183" t="s">
        <v>1513</v>
      </c>
      <c r="F1183"/>
      <c r="G1183"/>
      <c r="H1183"/>
      <c r="I1183"/>
      <c r="J1183"/>
      <c r="K1183" t="s">
        <v>1495</v>
      </c>
    </row>
    <row r="1184" spans="1:11">
      <c r="A1184"/>
      <c r="B1184"/>
      <c r="C1184"/>
      <c r="D1184" t="s">
        <v>895</v>
      </c>
      <c r="E1184" t="s">
        <v>1514</v>
      </c>
      <c r="F1184"/>
      <c r="G1184"/>
      <c r="H1184"/>
      <c r="I1184"/>
      <c r="J1184"/>
      <c r="K1184" t="s">
        <v>1495</v>
      </c>
    </row>
    <row r="1185" spans="1:11">
      <c r="A1185"/>
      <c r="B1185"/>
      <c r="C1185"/>
      <c r="D1185" t="s">
        <v>1515</v>
      </c>
      <c r="E1185" t="s">
        <v>1516</v>
      </c>
      <c r="F1185"/>
      <c r="G1185"/>
      <c r="H1185"/>
      <c r="I1185"/>
      <c r="J1185"/>
      <c r="K1185" t="s">
        <v>1495</v>
      </c>
    </row>
    <row r="1186" spans="1:11">
      <c r="A1186"/>
      <c r="B1186"/>
      <c r="C1186"/>
      <c r="D1186" t="s">
        <v>1011</v>
      </c>
      <c r="E1186" t="s">
        <v>1517</v>
      </c>
      <c r="F1186"/>
      <c r="G1186"/>
      <c r="H1186"/>
      <c r="I1186"/>
      <c r="J1186"/>
      <c r="K1186" t="s">
        <v>1495</v>
      </c>
    </row>
    <row r="1187" spans="1:11">
      <c r="A1187"/>
      <c r="B1187"/>
      <c r="C1187"/>
      <c r="D1187" t="s">
        <v>1518</v>
      </c>
      <c r="E1187" t="s">
        <v>1519</v>
      </c>
      <c r="F1187"/>
      <c r="G1187"/>
      <c r="H1187"/>
      <c r="I1187"/>
      <c r="J1187"/>
      <c r="K1187" t="s">
        <v>1495</v>
      </c>
    </row>
    <row r="1188" spans="1:11">
      <c r="A1188"/>
      <c r="B1188"/>
      <c r="C1188"/>
      <c r="D1188" t="s">
        <v>1520</v>
      </c>
      <c r="E1188" t="s">
        <v>1521</v>
      </c>
      <c r="F1188"/>
      <c r="G1188"/>
      <c r="H1188"/>
      <c r="I1188"/>
      <c r="J1188"/>
      <c r="K1188" t="s">
        <v>1495</v>
      </c>
    </row>
    <row r="1189" spans="1:11" s="18" customFormat="1">
      <c r="A1189">
        <v>44274</v>
      </c>
      <c r="B1189">
        <v>23384414032</v>
      </c>
      <c r="C1189">
        <v>44245</v>
      </c>
      <c r="D1189" t="s">
        <v>1523</v>
      </c>
      <c r="E1189" t="s">
        <v>1524</v>
      </c>
      <c r="F1189" t="s">
        <v>818</v>
      </c>
      <c r="G1189" t="s">
        <v>1525</v>
      </c>
      <c r="H1189">
        <v>44336</v>
      </c>
      <c r="I1189">
        <v>44336</v>
      </c>
      <c r="J1189" t="s">
        <v>1198</v>
      </c>
      <c r="K1189" t="s">
        <v>1526</v>
      </c>
    </row>
    <row r="1190" spans="1:11" s="18" customFormat="1">
      <c r="A1190">
        <v>44274</v>
      </c>
      <c r="B1190">
        <v>23384414032</v>
      </c>
      <c r="C1190">
        <v>44245</v>
      </c>
      <c r="D1190" t="s">
        <v>1523</v>
      </c>
      <c r="E1190" t="s">
        <v>1527</v>
      </c>
      <c r="F1190" t="s">
        <v>818</v>
      </c>
      <c r="G1190" t="s">
        <v>1525</v>
      </c>
      <c r="H1190">
        <v>44336</v>
      </c>
      <c r="I1190">
        <v>44336</v>
      </c>
      <c r="J1190" t="s">
        <v>1198</v>
      </c>
      <c r="K1190" t="s">
        <v>1526</v>
      </c>
    </row>
    <row r="1191" spans="1:11" s="18" customFormat="1">
      <c r="A1191"/>
      <c r="B1191"/>
      <c r="C1191"/>
      <c r="D1191" t="s">
        <v>17</v>
      </c>
      <c r="E1191" t="s">
        <v>1528</v>
      </c>
      <c r="F1191"/>
      <c r="G1191"/>
      <c r="H1191">
        <v>44336</v>
      </c>
      <c r="I1191">
        <v>44336</v>
      </c>
      <c r="J1191" t="s">
        <v>1198</v>
      </c>
      <c r="K1191" t="s">
        <v>1526</v>
      </c>
    </row>
    <row r="1192" spans="1:11" s="18" customFormat="1">
      <c r="A1192">
        <v>44312</v>
      </c>
      <c r="B1192" t="s">
        <v>207</v>
      </c>
      <c r="C1192">
        <v>44309</v>
      </c>
      <c r="D1192" t="s">
        <v>1529</v>
      </c>
      <c r="E1192" t="s">
        <v>1530</v>
      </c>
      <c r="F1192" t="s">
        <v>210</v>
      </c>
      <c r="G1192">
        <v>931229897</v>
      </c>
      <c r="H1192">
        <v>44336</v>
      </c>
      <c r="I1192">
        <v>44336</v>
      </c>
      <c r="J1192" t="s">
        <v>1198</v>
      </c>
      <c r="K1192" t="s">
        <v>1526</v>
      </c>
    </row>
    <row r="1193" spans="1:11" s="18" customFormat="1">
      <c r="A1193">
        <v>44315</v>
      </c>
      <c r="B1193" t="s">
        <v>1531</v>
      </c>
      <c r="C1193">
        <v>44314</v>
      </c>
      <c r="D1193" t="s">
        <v>1539</v>
      </c>
      <c r="E1193" t="s">
        <v>1532</v>
      </c>
      <c r="F1193" t="s">
        <v>264</v>
      </c>
      <c r="G1193" t="s">
        <v>1533</v>
      </c>
      <c r="H1193">
        <v>44336</v>
      </c>
      <c r="I1193">
        <v>44336</v>
      </c>
      <c r="J1193" t="s">
        <v>1198</v>
      </c>
      <c r="K1193" t="s">
        <v>1526</v>
      </c>
    </row>
    <row r="1194" spans="1:11" s="18" customFormat="1">
      <c r="A1194">
        <v>44333</v>
      </c>
      <c r="B1194" t="s">
        <v>223</v>
      </c>
      <c r="C1194">
        <v>44330</v>
      </c>
      <c r="D1194" t="s">
        <v>1440</v>
      </c>
      <c r="E1194" t="s">
        <v>1534</v>
      </c>
      <c r="F1194" t="s">
        <v>210</v>
      </c>
      <c r="G1194">
        <v>931244417</v>
      </c>
      <c r="H1194">
        <v>44336</v>
      </c>
      <c r="I1194">
        <v>44336</v>
      </c>
      <c r="J1194" t="s">
        <v>1198</v>
      </c>
      <c r="K1194" t="s">
        <v>1526</v>
      </c>
    </row>
    <row r="1195" spans="1:11" s="18" customFormat="1">
      <c r="A1195"/>
      <c r="B1195"/>
      <c r="C1195"/>
      <c r="D1195" t="s">
        <v>1442</v>
      </c>
      <c r="E1195" t="s">
        <v>1535</v>
      </c>
      <c r="F1195"/>
      <c r="G1195"/>
      <c r="H1195"/>
      <c r="I1195"/>
      <c r="J1195"/>
      <c r="K1195" t="s">
        <v>1526</v>
      </c>
    </row>
    <row r="1196" spans="1:11" s="18" customFormat="1">
      <c r="A1196"/>
      <c r="B1196"/>
      <c r="C1196"/>
      <c r="D1196" t="s">
        <v>581</v>
      </c>
      <c r="E1196" t="s">
        <v>1536</v>
      </c>
      <c r="F1196"/>
      <c r="G1196"/>
      <c r="H1196"/>
      <c r="I1196"/>
      <c r="J1196"/>
      <c r="K1196" t="s">
        <v>1526</v>
      </c>
    </row>
    <row r="1197" spans="1:11" s="18" customFormat="1">
      <c r="A1197">
        <v>44335</v>
      </c>
      <c r="B1197">
        <v>23105485597</v>
      </c>
      <c r="C1197">
        <v>44334</v>
      </c>
      <c r="D1197" t="s">
        <v>909</v>
      </c>
      <c r="E1197" t="s">
        <v>1537</v>
      </c>
      <c r="F1197" t="s">
        <v>264</v>
      </c>
      <c r="G1197" t="s">
        <v>1538</v>
      </c>
      <c r="H1197">
        <v>44336</v>
      </c>
      <c r="I1197">
        <v>44336</v>
      </c>
      <c r="J1197" t="s">
        <v>1198</v>
      </c>
      <c r="K1197" t="s">
        <v>1526</v>
      </c>
    </row>
    <row r="1198" spans="1:11">
      <c r="A1198">
        <v>44313</v>
      </c>
      <c r="B1198" t="s">
        <v>1540</v>
      </c>
      <c r="C1198">
        <v>44309</v>
      </c>
      <c r="D1198" t="s">
        <v>200</v>
      </c>
      <c r="E1198" t="s">
        <v>1541</v>
      </c>
      <c r="F1198" t="s">
        <v>905</v>
      </c>
      <c r="G1198">
        <v>131073970</v>
      </c>
      <c r="H1198"/>
      <c r="I1198"/>
      <c r="J1198"/>
      <c r="K1198" t="s">
        <v>1542</v>
      </c>
    </row>
    <row r="1199" spans="1:11">
      <c r="A1199">
        <v>44313</v>
      </c>
      <c r="B1199" t="s">
        <v>1540</v>
      </c>
      <c r="C1199">
        <v>44309</v>
      </c>
      <c r="D1199" t="s">
        <v>200</v>
      </c>
      <c r="E1199" t="s">
        <v>1543</v>
      </c>
      <c r="F1199" t="s">
        <v>905</v>
      </c>
      <c r="G1199">
        <v>131073970</v>
      </c>
      <c r="H1199"/>
      <c r="I1199"/>
      <c r="J1199"/>
      <c r="K1199" t="s">
        <v>1542</v>
      </c>
    </row>
    <row r="1200" spans="1:11">
      <c r="A1200">
        <v>44330</v>
      </c>
      <c r="B1200" t="s">
        <v>1544</v>
      </c>
      <c r="C1200">
        <v>44329</v>
      </c>
      <c r="D1200" t="s">
        <v>1565</v>
      </c>
      <c r="E1200" t="s">
        <v>1545</v>
      </c>
      <c r="F1200" t="s">
        <v>202</v>
      </c>
      <c r="G1200" t="s">
        <v>1546</v>
      </c>
      <c r="H1200"/>
      <c r="I1200"/>
      <c r="J1200"/>
      <c r="K1200" t="s">
        <v>1542</v>
      </c>
    </row>
    <row r="1201" spans="1:11">
      <c r="A1201">
        <v>44330</v>
      </c>
      <c r="B1201" t="s">
        <v>1544</v>
      </c>
      <c r="C1201">
        <v>44329</v>
      </c>
      <c r="D1201" t="s">
        <v>1547</v>
      </c>
      <c r="E1201" t="s">
        <v>1548</v>
      </c>
      <c r="F1201" t="s">
        <v>202</v>
      </c>
      <c r="G1201" t="s">
        <v>1546</v>
      </c>
      <c r="H1201"/>
      <c r="I1201"/>
      <c r="J1201"/>
      <c r="K1201" t="s">
        <v>1542</v>
      </c>
    </row>
    <row r="1202" spans="1:11">
      <c r="A1202">
        <v>44330</v>
      </c>
      <c r="B1202" t="s">
        <v>1544</v>
      </c>
      <c r="C1202">
        <v>44329</v>
      </c>
      <c r="D1202" t="s">
        <v>1549</v>
      </c>
      <c r="E1202" t="s">
        <v>1550</v>
      </c>
      <c r="F1202" t="s">
        <v>202</v>
      </c>
      <c r="G1202" t="s">
        <v>1546</v>
      </c>
      <c r="H1202"/>
      <c r="I1202"/>
      <c r="J1202"/>
      <c r="K1202" t="s">
        <v>1542</v>
      </c>
    </row>
    <row r="1203" spans="1:11">
      <c r="A1203">
        <v>44334</v>
      </c>
      <c r="B1203" t="s">
        <v>1551</v>
      </c>
      <c r="C1203">
        <v>44330</v>
      </c>
      <c r="D1203" t="s">
        <v>1552</v>
      </c>
      <c r="E1203" t="s">
        <v>1553</v>
      </c>
      <c r="F1203" t="s">
        <v>905</v>
      </c>
      <c r="G1203">
        <v>1321096092</v>
      </c>
      <c r="H1203"/>
      <c r="I1203"/>
      <c r="J1203"/>
      <c r="K1203" t="s">
        <v>1542</v>
      </c>
    </row>
    <row r="1204" spans="1:11">
      <c r="A1204">
        <v>44334</v>
      </c>
      <c r="B1204" t="s">
        <v>1551</v>
      </c>
      <c r="C1204">
        <v>44330</v>
      </c>
      <c r="D1204" t="s">
        <v>1552</v>
      </c>
      <c r="E1204" t="s">
        <v>1554</v>
      </c>
      <c r="F1204" t="s">
        <v>905</v>
      </c>
      <c r="G1204">
        <v>1321096092</v>
      </c>
      <c r="H1204"/>
      <c r="I1204"/>
      <c r="J1204"/>
      <c r="K1204" t="s">
        <v>1542</v>
      </c>
    </row>
    <row r="1205" spans="1:11">
      <c r="A1205">
        <v>44340</v>
      </c>
      <c r="B1205" t="s">
        <v>207</v>
      </c>
      <c r="C1205">
        <v>44337</v>
      </c>
      <c r="D1205" t="s">
        <v>1555</v>
      </c>
      <c r="E1205" t="s">
        <v>1556</v>
      </c>
      <c r="F1205" t="s">
        <v>210</v>
      </c>
      <c r="G1205"/>
      <c r="H1205"/>
      <c r="I1205"/>
      <c r="J1205"/>
      <c r="K1205" t="s">
        <v>1542</v>
      </c>
    </row>
    <row r="1206" spans="1:11">
      <c r="A1206"/>
      <c r="B1206"/>
      <c r="C1206"/>
      <c r="D1206" t="s">
        <v>1557</v>
      </c>
      <c r="E1206" t="s">
        <v>1558</v>
      </c>
      <c r="F1206"/>
      <c r="G1206"/>
      <c r="H1206"/>
      <c r="I1206"/>
      <c r="J1206"/>
      <c r="K1206" t="s">
        <v>1542</v>
      </c>
    </row>
    <row r="1207" spans="1:11">
      <c r="A1207"/>
      <c r="B1207"/>
      <c r="C1207"/>
      <c r="D1207" t="s">
        <v>1559</v>
      </c>
      <c r="E1207" t="s">
        <v>1560</v>
      </c>
      <c r="F1207"/>
      <c r="G1207"/>
      <c r="H1207"/>
      <c r="I1207"/>
      <c r="J1207"/>
      <c r="K1207" t="s">
        <v>1542</v>
      </c>
    </row>
    <row r="1208" spans="1:11">
      <c r="A1208"/>
      <c r="B1208"/>
      <c r="C1208"/>
      <c r="D1208" t="s">
        <v>1561</v>
      </c>
      <c r="E1208" t="s">
        <v>1562</v>
      </c>
      <c r="F1208"/>
      <c r="G1208"/>
      <c r="H1208"/>
      <c r="I1208"/>
      <c r="J1208"/>
      <c r="K1208" t="s">
        <v>1542</v>
      </c>
    </row>
    <row r="1209" spans="1:11">
      <c r="A1209"/>
      <c r="B1209"/>
      <c r="C1209"/>
      <c r="D1209" t="s">
        <v>1563</v>
      </c>
      <c r="E1209" t="s">
        <v>1564</v>
      </c>
      <c r="F1209"/>
      <c r="G1209"/>
      <c r="H1209"/>
      <c r="I1209"/>
      <c r="J1209"/>
      <c r="K1209" t="s">
        <v>1542</v>
      </c>
    </row>
    <row r="1210" spans="1:11">
      <c r="A1210">
        <v>44313</v>
      </c>
      <c r="B1210" t="s">
        <v>1435</v>
      </c>
      <c r="C1210">
        <v>44308</v>
      </c>
      <c r="D1210" t="s">
        <v>956</v>
      </c>
      <c r="E1210" t="s">
        <v>1566</v>
      </c>
      <c r="F1210" t="s">
        <v>1259</v>
      </c>
      <c r="G1210">
        <v>2787655</v>
      </c>
      <c r="H1210"/>
      <c r="I1210"/>
      <c r="J1210"/>
      <c r="K1210" t="s">
        <v>1567</v>
      </c>
    </row>
    <row r="1211" spans="1:11">
      <c r="A1211">
        <v>44313</v>
      </c>
      <c r="B1211" t="s">
        <v>1435</v>
      </c>
      <c r="C1211">
        <v>44308</v>
      </c>
      <c r="D1211" t="s">
        <v>956</v>
      </c>
      <c r="E1211" t="s">
        <v>1568</v>
      </c>
      <c r="F1211" t="s">
        <v>1259</v>
      </c>
      <c r="G1211">
        <v>2787655</v>
      </c>
      <c r="H1211"/>
      <c r="I1211"/>
      <c r="J1211"/>
      <c r="K1211" t="s">
        <v>1567</v>
      </c>
    </row>
    <row r="1212" spans="1:11">
      <c r="A1212">
        <v>44335</v>
      </c>
      <c r="B1212">
        <v>23105485597</v>
      </c>
      <c r="C1212">
        <v>44334</v>
      </c>
      <c r="D1212" t="s">
        <v>909</v>
      </c>
      <c r="E1212" t="s">
        <v>1569</v>
      </c>
      <c r="F1212" t="s">
        <v>264</v>
      </c>
      <c r="G1212" t="s">
        <v>1538</v>
      </c>
      <c r="H1212"/>
      <c r="I1212"/>
      <c r="J1212"/>
      <c r="K1212" t="s">
        <v>1567</v>
      </c>
    </row>
    <row r="1213" spans="1:11">
      <c r="A1213">
        <v>44342</v>
      </c>
      <c r="B1213" t="s">
        <v>1570</v>
      </c>
      <c r="C1213">
        <v>44341</v>
      </c>
      <c r="D1213" t="s">
        <v>1571</v>
      </c>
      <c r="E1213" t="s">
        <v>1572</v>
      </c>
      <c r="F1213" t="s">
        <v>264</v>
      </c>
      <c r="G1213" t="s">
        <v>1573</v>
      </c>
      <c r="H1213"/>
      <c r="I1213"/>
      <c r="J1213"/>
      <c r="K1213" t="s">
        <v>1567</v>
      </c>
    </row>
    <row r="1214" spans="1:11">
      <c r="A1214">
        <v>44354</v>
      </c>
      <c r="B1214" t="s">
        <v>1574</v>
      </c>
      <c r="C1214">
        <v>44351</v>
      </c>
      <c r="D1214" t="s">
        <v>965</v>
      </c>
      <c r="E1214" t="s">
        <v>1575</v>
      </c>
      <c r="F1214" t="s">
        <v>210</v>
      </c>
      <c r="G1214">
        <v>931259306</v>
      </c>
      <c r="H1214"/>
      <c r="I1214"/>
      <c r="J1214"/>
      <c r="K1214" t="s">
        <v>1567</v>
      </c>
    </row>
    <row r="1215" spans="1:11">
      <c r="A1215"/>
      <c r="B1215"/>
      <c r="C1215"/>
      <c r="D1215" t="s">
        <v>967</v>
      </c>
      <c r="E1215" t="s">
        <v>1576</v>
      </c>
      <c r="F1215"/>
      <c r="G1215"/>
      <c r="H1215"/>
      <c r="I1215"/>
      <c r="J1215"/>
      <c r="K1215" t="s">
        <v>1567</v>
      </c>
    </row>
    <row r="1216" spans="1:11">
      <c r="A1216"/>
      <c r="B1216"/>
      <c r="C1216"/>
      <c r="D1216" t="s">
        <v>969</v>
      </c>
      <c r="E1216" t="s">
        <v>1577</v>
      </c>
      <c r="F1216"/>
      <c r="G1216"/>
      <c r="H1216"/>
      <c r="I1216"/>
      <c r="J1216"/>
      <c r="K1216" t="s">
        <v>1567</v>
      </c>
    </row>
    <row r="1217" spans="1:11">
      <c r="A1217"/>
      <c r="B1217"/>
      <c r="C1217"/>
      <c r="D1217" t="s">
        <v>971</v>
      </c>
      <c r="E1217" t="s">
        <v>1578</v>
      </c>
      <c r="F1217"/>
      <c r="G1217"/>
      <c r="H1217"/>
      <c r="I1217"/>
      <c r="J1217"/>
      <c r="K1217" t="s">
        <v>1567</v>
      </c>
    </row>
    <row r="1218" spans="1:11">
      <c r="A1218"/>
      <c r="B1218"/>
      <c r="C1218"/>
      <c r="D1218" t="s">
        <v>975</v>
      </c>
      <c r="E1218" t="s">
        <v>1579</v>
      </c>
      <c r="F1218"/>
      <c r="G1218"/>
      <c r="H1218"/>
      <c r="I1218"/>
      <c r="J1218"/>
      <c r="K1218" t="s">
        <v>1567</v>
      </c>
    </row>
    <row r="1219" spans="1:11">
      <c r="A1219"/>
      <c r="B1219"/>
      <c r="C1219"/>
      <c r="D1219" t="s">
        <v>17</v>
      </c>
      <c r="E1219" t="s">
        <v>1580</v>
      </c>
      <c r="F1219"/>
      <c r="G1219"/>
      <c r="H1219"/>
      <c r="I1219"/>
      <c r="J1219"/>
      <c r="K1219" t="s">
        <v>1567</v>
      </c>
    </row>
    <row r="1220" spans="1:11">
      <c r="A1220"/>
      <c r="B1220"/>
      <c r="C1220"/>
      <c r="D1220" t="s">
        <v>976</v>
      </c>
      <c r="E1220" t="s">
        <v>1581</v>
      </c>
      <c r="F1220"/>
      <c r="G1220"/>
      <c r="H1220"/>
      <c r="I1220"/>
      <c r="J1220"/>
      <c r="K1220" t="s">
        <v>1567</v>
      </c>
    </row>
    <row r="1221" spans="1:11">
      <c r="A1221">
        <v>44320</v>
      </c>
      <c r="B1221">
        <v>6111115903569</v>
      </c>
      <c r="C1221">
        <v>44346</v>
      </c>
      <c r="D1221" t="s">
        <v>756</v>
      </c>
      <c r="E1221" t="s">
        <v>1582</v>
      </c>
      <c r="F1221" t="s">
        <v>1583</v>
      </c>
      <c r="G1221">
        <v>40046679</v>
      </c>
      <c r="H1221"/>
      <c r="I1221"/>
      <c r="J1221"/>
      <c r="K1221" t="s">
        <v>1584</v>
      </c>
    </row>
    <row r="1222" spans="1:11">
      <c r="A1222">
        <v>44320</v>
      </c>
      <c r="B1222">
        <v>6111115904139</v>
      </c>
      <c r="C1222">
        <v>44346</v>
      </c>
      <c r="D1222" t="s">
        <v>1651</v>
      </c>
      <c r="E1222" t="s">
        <v>1585</v>
      </c>
      <c r="F1222" t="s">
        <v>1583</v>
      </c>
      <c r="G1222">
        <v>40046666</v>
      </c>
      <c r="H1222"/>
      <c r="I1222"/>
      <c r="J1222"/>
      <c r="K1222" t="s">
        <v>1584</v>
      </c>
    </row>
    <row r="1223" spans="1:11">
      <c r="A1223">
        <v>44320</v>
      </c>
      <c r="B1223">
        <v>6111115903569</v>
      </c>
      <c r="C1223">
        <v>44346</v>
      </c>
      <c r="D1223" t="s">
        <v>1586</v>
      </c>
      <c r="E1223" t="s">
        <v>1587</v>
      </c>
      <c r="F1223" t="s">
        <v>1583</v>
      </c>
      <c r="G1223">
        <v>40046669</v>
      </c>
      <c r="H1223"/>
      <c r="I1223"/>
      <c r="J1223"/>
      <c r="K1223" t="s">
        <v>1584</v>
      </c>
    </row>
    <row r="1224" spans="1:11">
      <c r="A1224">
        <v>44323</v>
      </c>
      <c r="B1224">
        <v>980145954943</v>
      </c>
      <c r="C1224">
        <v>44321</v>
      </c>
      <c r="D1224" t="s">
        <v>1588</v>
      </c>
      <c r="E1224" t="s">
        <v>1589</v>
      </c>
      <c r="F1224" t="s">
        <v>1590</v>
      </c>
      <c r="G1224">
        <v>2108404</v>
      </c>
      <c r="H1224"/>
      <c r="I1224"/>
      <c r="J1224"/>
      <c r="K1224" t="s">
        <v>1584</v>
      </c>
    </row>
    <row r="1225" spans="1:11">
      <c r="A1225">
        <v>44323</v>
      </c>
      <c r="B1225">
        <v>980145954943</v>
      </c>
      <c r="C1225">
        <v>44321</v>
      </c>
      <c r="D1225" t="s">
        <v>1588</v>
      </c>
      <c r="E1225" t="s">
        <v>1591</v>
      </c>
      <c r="F1225" t="s">
        <v>1590</v>
      </c>
      <c r="G1225">
        <v>2108404</v>
      </c>
      <c r="H1225"/>
      <c r="I1225"/>
      <c r="J1225"/>
      <c r="K1225" t="s">
        <v>1584</v>
      </c>
    </row>
    <row r="1226" spans="1:11">
      <c r="A1226">
        <v>44323</v>
      </c>
      <c r="B1226">
        <v>980145954943</v>
      </c>
      <c r="C1226">
        <v>44321</v>
      </c>
      <c r="D1226" t="s">
        <v>1588</v>
      </c>
      <c r="E1226" t="s">
        <v>1592</v>
      </c>
      <c r="F1226" t="s">
        <v>1590</v>
      </c>
      <c r="G1226">
        <v>2108404</v>
      </c>
      <c r="H1226"/>
      <c r="I1226"/>
      <c r="J1226"/>
      <c r="K1226" t="s">
        <v>1584</v>
      </c>
    </row>
    <row r="1227" spans="1:11">
      <c r="A1227">
        <v>44323</v>
      </c>
      <c r="B1227">
        <v>980145954943</v>
      </c>
      <c r="C1227">
        <v>44321</v>
      </c>
      <c r="D1227" t="s">
        <v>1588</v>
      </c>
      <c r="E1227" t="s">
        <v>1593</v>
      </c>
      <c r="F1227" t="s">
        <v>1590</v>
      </c>
      <c r="G1227">
        <v>2108404</v>
      </c>
      <c r="H1227"/>
      <c r="I1227"/>
      <c r="J1227"/>
      <c r="K1227" t="s">
        <v>1584</v>
      </c>
    </row>
    <row r="1228" spans="1:11">
      <c r="A1228">
        <v>44323</v>
      </c>
      <c r="B1228">
        <v>980145954943</v>
      </c>
      <c r="C1228">
        <v>44321</v>
      </c>
      <c r="D1228" t="s">
        <v>1588</v>
      </c>
      <c r="E1228" t="s">
        <v>1594</v>
      </c>
      <c r="F1228" t="s">
        <v>1590</v>
      </c>
      <c r="G1228">
        <v>2108404</v>
      </c>
      <c r="H1228"/>
      <c r="I1228"/>
      <c r="J1228"/>
      <c r="K1228" t="s">
        <v>1584</v>
      </c>
    </row>
    <row r="1229" spans="1:11">
      <c r="A1229">
        <v>44323</v>
      </c>
      <c r="B1229">
        <v>980145954943</v>
      </c>
      <c r="C1229">
        <v>44321</v>
      </c>
      <c r="D1229" t="s">
        <v>1588</v>
      </c>
      <c r="E1229" t="s">
        <v>1595</v>
      </c>
      <c r="F1229" t="s">
        <v>1590</v>
      </c>
      <c r="G1229">
        <v>2108404</v>
      </c>
      <c r="H1229"/>
      <c r="I1229"/>
      <c r="J1229"/>
      <c r="K1229" t="s">
        <v>1584</v>
      </c>
    </row>
    <row r="1230" spans="1:11">
      <c r="A1230">
        <v>44323</v>
      </c>
      <c r="B1230">
        <v>980145954943</v>
      </c>
      <c r="C1230">
        <v>44321</v>
      </c>
      <c r="D1230" t="s">
        <v>1588</v>
      </c>
      <c r="E1230" t="s">
        <v>1596</v>
      </c>
      <c r="F1230" t="s">
        <v>1590</v>
      </c>
      <c r="G1230">
        <v>2108404</v>
      </c>
      <c r="H1230"/>
      <c r="I1230"/>
      <c r="J1230"/>
      <c r="K1230" t="s">
        <v>1584</v>
      </c>
    </row>
    <row r="1231" spans="1:11">
      <c r="A1231">
        <v>44323</v>
      </c>
      <c r="B1231">
        <v>980145954943</v>
      </c>
      <c r="C1231">
        <v>44321</v>
      </c>
      <c r="D1231" t="s">
        <v>1588</v>
      </c>
      <c r="E1231" t="s">
        <v>1597</v>
      </c>
      <c r="F1231" t="s">
        <v>1590</v>
      </c>
      <c r="G1231">
        <v>2108404</v>
      </c>
      <c r="H1231"/>
      <c r="I1231"/>
      <c r="J1231"/>
      <c r="K1231" t="s">
        <v>1584</v>
      </c>
    </row>
    <row r="1232" spans="1:11">
      <c r="A1232">
        <v>44326</v>
      </c>
      <c r="B1232" t="s">
        <v>1598</v>
      </c>
      <c r="C1232">
        <v>44322</v>
      </c>
      <c r="D1232" t="s">
        <v>1599</v>
      </c>
      <c r="E1232" t="s">
        <v>1600</v>
      </c>
      <c r="F1232" t="s">
        <v>1601</v>
      </c>
      <c r="G1232" t="s">
        <v>1602</v>
      </c>
      <c r="H1232"/>
      <c r="I1232"/>
      <c r="J1232"/>
      <c r="K1232" t="s">
        <v>1584</v>
      </c>
    </row>
    <row r="1233" spans="1:11">
      <c r="A1233">
        <v>44347</v>
      </c>
      <c r="B1233" t="s">
        <v>1603</v>
      </c>
      <c r="C1233">
        <v>44344</v>
      </c>
      <c r="D1233" t="s">
        <v>1210</v>
      </c>
      <c r="E1233" t="s">
        <v>1604</v>
      </c>
      <c r="F1233" t="s">
        <v>1605</v>
      </c>
      <c r="G1233" t="s">
        <v>1606</v>
      </c>
      <c r="H1233"/>
      <c r="I1233"/>
      <c r="J1233"/>
      <c r="K1233" t="s">
        <v>1584</v>
      </c>
    </row>
    <row r="1234" spans="1:11">
      <c r="A1234">
        <v>44347</v>
      </c>
      <c r="B1234" t="s">
        <v>1603</v>
      </c>
      <c r="C1234">
        <v>44344</v>
      </c>
      <c r="D1234" t="s">
        <v>1210</v>
      </c>
      <c r="E1234" t="s">
        <v>1607</v>
      </c>
      <c r="F1234" t="s">
        <v>1605</v>
      </c>
      <c r="G1234" t="s">
        <v>1606</v>
      </c>
      <c r="H1234"/>
      <c r="I1234"/>
      <c r="J1234"/>
      <c r="K1234" t="s">
        <v>1584</v>
      </c>
    </row>
    <row r="1235" spans="1:11">
      <c r="A1235">
        <v>44347</v>
      </c>
      <c r="B1235" t="s">
        <v>1603</v>
      </c>
      <c r="C1235">
        <v>44344</v>
      </c>
      <c r="D1235" t="s">
        <v>1210</v>
      </c>
      <c r="E1235" t="s">
        <v>1608</v>
      </c>
      <c r="F1235" t="s">
        <v>1605</v>
      </c>
      <c r="G1235" t="s">
        <v>1606</v>
      </c>
      <c r="H1235"/>
      <c r="I1235"/>
      <c r="J1235"/>
      <c r="K1235" t="s">
        <v>1584</v>
      </c>
    </row>
    <row r="1236" spans="1:11">
      <c r="A1236">
        <v>44347</v>
      </c>
      <c r="B1236" t="s">
        <v>1603</v>
      </c>
      <c r="C1236">
        <v>44344</v>
      </c>
      <c r="D1236" t="s">
        <v>1210</v>
      </c>
      <c r="E1236" t="s">
        <v>1609</v>
      </c>
      <c r="F1236" t="s">
        <v>1605</v>
      </c>
      <c r="G1236" t="s">
        <v>1606</v>
      </c>
      <c r="H1236"/>
      <c r="I1236"/>
      <c r="J1236"/>
      <c r="K1236" t="s">
        <v>1584</v>
      </c>
    </row>
    <row r="1237" spans="1:11">
      <c r="A1237">
        <v>44347</v>
      </c>
      <c r="B1237" t="s">
        <v>1603</v>
      </c>
      <c r="C1237">
        <v>44344</v>
      </c>
      <c r="D1237" t="s">
        <v>1210</v>
      </c>
      <c r="E1237" t="s">
        <v>1610</v>
      </c>
      <c r="F1237" t="s">
        <v>1605</v>
      </c>
      <c r="G1237" t="s">
        <v>1606</v>
      </c>
      <c r="H1237"/>
      <c r="I1237"/>
      <c r="J1237"/>
      <c r="K1237" t="s">
        <v>1584</v>
      </c>
    </row>
    <row r="1238" spans="1:11">
      <c r="A1238">
        <v>44347</v>
      </c>
      <c r="B1238" t="s">
        <v>1603</v>
      </c>
      <c r="C1238">
        <v>44344</v>
      </c>
      <c r="D1238" t="s">
        <v>1210</v>
      </c>
      <c r="E1238" t="s">
        <v>1611</v>
      </c>
      <c r="F1238" t="s">
        <v>1605</v>
      </c>
      <c r="G1238" t="s">
        <v>1606</v>
      </c>
      <c r="H1238"/>
      <c r="I1238"/>
      <c r="J1238"/>
      <c r="K1238" t="s">
        <v>1584</v>
      </c>
    </row>
    <row r="1239" spans="1:11">
      <c r="A1239">
        <v>44347</v>
      </c>
      <c r="B1239" t="s">
        <v>1603</v>
      </c>
      <c r="C1239">
        <v>44344</v>
      </c>
      <c r="D1239" t="s">
        <v>1210</v>
      </c>
      <c r="E1239" t="s">
        <v>1612</v>
      </c>
      <c r="F1239" t="s">
        <v>1605</v>
      </c>
      <c r="G1239" t="s">
        <v>1606</v>
      </c>
      <c r="H1239"/>
      <c r="I1239"/>
      <c r="J1239"/>
      <c r="K1239" t="s">
        <v>1584</v>
      </c>
    </row>
    <row r="1240" spans="1:11">
      <c r="A1240">
        <v>44347</v>
      </c>
      <c r="B1240" t="s">
        <v>1603</v>
      </c>
      <c r="C1240">
        <v>44344</v>
      </c>
      <c r="D1240" t="s">
        <v>1210</v>
      </c>
      <c r="E1240" t="s">
        <v>1613</v>
      </c>
      <c r="F1240" t="s">
        <v>1605</v>
      </c>
      <c r="G1240" t="s">
        <v>1606</v>
      </c>
      <c r="H1240"/>
      <c r="I1240"/>
      <c r="J1240"/>
      <c r="K1240" t="s">
        <v>1584</v>
      </c>
    </row>
    <row r="1241" spans="1:11">
      <c r="A1241">
        <v>44347</v>
      </c>
      <c r="B1241" t="s">
        <v>1603</v>
      </c>
      <c r="C1241">
        <v>44344</v>
      </c>
      <c r="D1241" t="s">
        <v>1210</v>
      </c>
      <c r="E1241" t="s">
        <v>1614</v>
      </c>
      <c r="F1241" t="s">
        <v>1605</v>
      </c>
      <c r="G1241" t="s">
        <v>1606</v>
      </c>
      <c r="H1241"/>
      <c r="I1241"/>
      <c r="J1241"/>
      <c r="K1241" t="s">
        <v>1584</v>
      </c>
    </row>
    <row r="1242" spans="1:11">
      <c r="A1242">
        <v>44347</v>
      </c>
      <c r="B1242" t="s">
        <v>1603</v>
      </c>
      <c r="C1242">
        <v>44344</v>
      </c>
      <c r="D1242" t="s">
        <v>1210</v>
      </c>
      <c r="E1242" t="s">
        <v>1615</v>
      </c>
      <c r="F1242" t="s">
        <v>1605</v>
      </c>
      <c r="G1242" t="s">
        <v>1606</v>
      </c>
      <c r="H1242"/>
      <c r="I1242"/>
      <c r="J1242"/>
      <c r="K1242" t="s">
        <v>1584</v>
      </c>
    </row>
    <row r="1243" spans="1:11">
      <c r="A1243">
        <v>44347</v>
      </c>
      <c r="B1243" t="s">
        <v>1603</v>
      </c>
      <c r="C1243">
        <v>44344</v>
      </c>
      <c r="D1243" t="s">
        <v>1210</v>
      </c>
      <c r="E1243" t="s">
        <v>1616</v>
      </c>
      <c r="F1243" t="s">
        <v>1605</v>
      </c>
      <c r="G1243" t="s">
        <v>1606</v>
      </c>
      <c r="H1243"/>
      <c r="I1243"/>
      <c r="J1243"/>
      <c r="K1243" t="s">
        <v>1584</v>
      </c>
    </row>
    <row r="1244" spans="1:11">
      <c r="A1244">
        <v>44347</v>
      </c>
      <c r="B1244" t="s">
        <v>1603</v>
      </c>
      <c r="C1244">
        <v>44344</v>
      </c>
      <c r="D1244" t="s">
        <v>1210</v>
      </c>
      <c r="E1244" t="s">
        <v>1617</v>
      </c>
      <c r="F1244" t="s">
        <v>1605</v>
      </c>
      <c r="G1244" t="s">
        <v>1606</v>
      </c>
      <c r="H1244"/>
      <c r="I1244"/>
      <c r="J1244"/>
      <c r="K1244" t="s">
        <v>1584</v>
      </c>
    </row>
    <row r="1245" spans="1:11">
      <c r="A1245">
        <v>44351</v>
      </c>
      <c r="B1245" t="s">
        <v>1618</v>
      </c>
      <c r="C1245">
        <v>44348</v>
      </c>
      <c r="D1245" t="s">
        <v>1210</v>
      </c>
      <c r="E1245" t="s">
        <v>1619</v>
      </c>
      <c r="F1245" t="s">
        <v>1605</v>
      </c>
      <c r="G1245" t="s">
        <v>1620</v>
      </c>
      <c r="H1245"/>
      <c r="I1245"/>
      <c r="J1245"/>
      <c r="K1245" t="s">
        <v>1584</v>
      </c>
    </row>
    <row r="1246" spans="1:11">
      <c r="A1246">
        <v>44351</v>
      </c>
      <c r="B1246" t="s">
        <v>1618</v>
      </c>
      <c r="C1246">
        <v>44348</v>
      </c>
      <c r="D1246" t="s">
        <v>1210</v>
      </c>
      <c r="E1246" t="s">
        <v>1621</v>
      </c>
      <c r="F1246" t="s">
        <v>1605</v>
      </c>
      <c r="G1246" t="s">
        <v>1620</v>
      </c>
      <c r="H1246"/>
      <c r="I1246"/>
      <c r="J1246"/>
      <c r="K1246" t="s">
        <v>1584</v>
      </c>
    </row>
    <row r="1247" spans="1:11">
      <c r="A1247">
        <v>44351</v>
      </c>
      <c r="B1247" t="s">
        <v>1618</v>
      </c>
      <c r="C1247">
        <v>44348</v>
      </c>
      <c r="D1247" t="s">
        <v>1210</v>
      </c>
      <c r="E1247" t="s">
        <v>1622</v>
      </c>
      <c r="F1247" t="s">
        <v>1605</v>
      </c>
      <c r="G1247" t="s">
        <v>1620</v>
      </c>
      <c r="H1247"/>
      <c r="I1247"/>
      <c r="J1247"/>
      <c r="K1247" t="s">
        <v>1584</v>
      </c>
    </row>
    <row r="1248" spans="1:11">
      <c r="A1248">
        <v>44351</v>
      </c>
      <c r="B1248" t="s">
        <v>1618</v>
      </c>
      <c r="C1248">
        <v>44348</v>
      </c>
      <c r="D1248" t="s">
        <v>1210</v>
      </c>
      <c r="E1248" t="s">
        <v>1623</v>
      </c>
      <c r="F1248" t="s">
        <v>1605</v>
      </c>
      <c r="G1248" t="s">
        <v>1620</v>
      </c>
      <c r="H1248"/>
      <c r="I1248"/>
      <c r="J1248"/>
      <c r="K1248" t="s">
        <v>1584</v>
      </c>
    </row>
    <row r="1249" spans="1:11">
      <c r="A1249">
        <v>44351</v>
      </c>
      <c r="B1249" t="s">
        <v>1618</v>
      </c>
      <c r="C1249">
        <v>44348</v>
      </c>
      <c r="D1249" t="s">
        <v>1210</v>
      </c>
      <c r="E1249" t="s">
        <v>1624</v>
      </c>
      <c r="F1249" t="s">
        <v>1605</v>
      </c>
      <c r="G1249" t="s">
        <v>1620</v>
      </c>
      <c r="H1249"/>
      <c r="I1249"/>
      <c r="J1249"/>
      <c r="K1249" t="s">
        <v>1584</v>
      </c>
    </row>
    <row r="1250" spans="1:11">
      <c r="A1250">
        <v>44351</v>
      </c>
      <c r="B1250" t="s">
        <v>1618</v>
      </c>
      <c r="C1250">
        <v>44348</v>
      </c>
      <c r="D1250" t="s">
        <v>1210</v>
      </c>
      <c r="E1250" t="s">
        <v>1625</v>
      </c>
      <c r="F1250" t="s">
        <v>1605</v>
      </c>
      <c r="G1250" t="s">
        <v>1620</v>
      </c>
      <c r="H1250"/>
      <c r="I1250"/>
      <c r="J1250"/>
      <c r="K1250" t="s">
        <v>1584</v>
      </c>
    </row>
    <row r="1251" spans="1:11">
      <c r="A1251">
        <v>44351</v>
      </c>
      <c r="B1251" t="s">
        <v>1618</v>
      </c>
      <c r="C1251">
        <v>44348</v>
      </c>
      <c r="D1251" t="s">
        <v>1210</v>
      </c>
      <c r="E1251" t="s">
        <v>1626</v>
      </c>
      <c r="F1251" t="s">
        <v>1605</v>
      </c>
      <c r="G1251" t="s">
        <v>1620</v>
      </c>
      <c r="H1251"/>
      <c r="I1251"/>
      <c r="J1251"/>
      <c r="K1251" t="s">
        <v>1584</v>
      </c>
    </row>
    <row r="1252" spans="1:11">
      <c r="A1252">
        <v>44351</v>
      </c>
      <c r="B1252" t="s">
        <v>1618</v>
      </c>
      <c r="C1252">
        <v>44348</v>
      </c>
      <c r="D1252" t="s">
        <v>1210</v>
      </c>
      <c r="E1252" t="s">
        <v>1627</v>
      </c>
      <c r="F1252" t="s">
        <v>1605</v>
      </c>
      <c r="G1252" t="s">
        <v>1620</v>
      </c>
      <c r="H1252"/>
      <c r="I1252"/>
      <c r="J1252"/>
      <c r="K1252" t="s">
        <v>1584</v>
      </c>
    </row>
    <row r="1253" spans="1:11">
      <c r="A1253">
        <v>44351</v>
      </c>
      <c r="B1253" t="s">
        <v>1618</v>
      </c>
      <c r="C1253">
        <v>44348</v>
      </c>
      <c r="D1253" t="s">
        <v>1210</v>
      </c>
      <c r="E1253" t="s">
        <v>1628</v>
      </c>
      <c r="F1253" t="s">
        <v>1605</v>
      </c>
      <c r="G1253" t="s">
        <v>1620</v>
      </c>
      <c r="H1253"/>
      <c r="I1253"/>
      <c r="J1253"/>
      <c r="K1253" t="s">
        <v>1584</v>
      </c>
    </row>
    <row r="1254" spans="1:11">
      <c r="A1254">
        <v>44351</v>
      </c>
      <c r="B1254" t="s">
        <v>1618</v>
      </c>
      <c r="C1254">
        <v>44348</v>
      </c>
      <c r="D1254" t="s">
        <v>1210</v>
      </c>
      <c r="E1254" t="s">
        <v>1629</v>
      </c>
      <c r="F1254" t="s">
        <v>1605</v>
      </c>
      <c r="G1254" t="s">
        <v>1620</v>
      </c>
      <c r="H1254"/>
      <c r="I1254"/>
      <c r="J1254"/>
      <c r="K1254" t="s">
        <v>1584</v>
      </c>
    </row>
    <row r="1255" spans="1:11">
      <c r="A1255">
        <v>44351</v>
      </c>
      <c r="B1255" t="s">
        <v>1618</v>
      </c>
      <c r="C1255">
        <v>44348</v>
      </c>
      <c r="D1255" t="s">
        <v>1210</v>
      </c>
      <c r="E1255" t="s">
        <v>1630</v>
      </c>
      <c r="F1255" t="s">
        <v>1605</v>
      </c>
      <c r="G1255" t="s">
        <v>1620</v>
      </c>
      <c r="H1255"/>
      <c r="I1255"/>
      <c r="J1255"/>
      <c r="K1255" t="s">
        <v>1584</v>
      </c>
    </row>
    <row r="1256" spans="1:11">
      <c r="A1256">
        <v>44351</v>
      </c>
      <c r="B1256" t="s">
        <v>1618</v>
      </c>
      <c r="C1256">
        <v>44348</v>
      </c>
      <c r="D1256" t="s">
        <v>1210</v>
      </c>
      <c r="E1256" t="s">
        <v>1631</v>
      </c>
      <c r="F1256" t="s">
        <v>1605</v>
      </c>
      <c r="G1256" t="s">
        <v>1620</v>
      </c>
      <c r="H1256"/>
      <c r="I1256"/>
      <c r="J1256"/>
      <c r="K1256" t="s">
        <v>1584</v>
      </c>
    </row>
    <row r="1257" spans="1:11">
      <c r="A1257">
        <v>44351</v>
      </c>
      <c r="B1257" t="s">
        <v>1618</v>
      </c>
      <c r="C1257">
        <v>44348</v>
      </c>
      <c r="D1257" t="s">
        <v>1210</v>
      </c>
      <c r="E1257" t="s">
        <v>1632</v>
      </c>
      <c r="F1257" t="s">
        <v>1605</v>
      </c>
      <c r="G1257" t="s">
        <v>1620</v>
      </c>
      <c r="H1257"/>
      <c r="I1257"/>
      <c r="J1257"/>
      <c r="K1257" t="s">
        <v>1584</v>
      </c>
    </row>
    <row r="1258" spans="1:11">
      <c r="A1258">
        <v>44351</v>
      </c>
      <c r="B1258" t="s">
        <v>1618</v>
      </c>
      <c r="C1258">
        <v>44348</v>
      </c>
      <c r="D1258" t="s">
        <v>1210</v>
      </c>
      <c r="E1258" t="s">
        <v>1633</v>
      </c>
      <c r="F1258" t="s">
        <v>1605</v>
      </c>
      <c r="G1258" t="s">
        <v>1620</v>
      </c>
      <c r="H1258"/>
      <c r="I1258"/>
      <c r="J1258"/>
      <c r="K1258" t="s">
        <v>1584</v>
      </c>
    </row>
    <row r="1259" spans="1:11">
      <c r="A1259">
        <v>44351</v>
      </c>
      <c r="B1259" t="s">
        <v>1618</v>
      </c>
      <c r="C1259">
        <v>44348</v>
      </c>
      <c r="D1259" t="s">
        <v>1210</v>
      </c>
      <c r="E1259" t="s">
        <v>1634</v>
      </c>
      <c r="F1259" t="s">
        <v>1605</v>
      </c>
      <c r="G1259" t="s">
        <v>1620</v>
      </c>
      <c r="H1259"/>
      <c r="I1259"/>
      <c r="J1259"/>
      <c r="K1259" t="s">
        <v>1584</v>
      </c>
    </row>
    <row r="1260" spans="1:11">
      <c r="A1260">
        <v>44351</v>
      </c>
      <c r="B1260" t="s">
        <v>1618</v>
      </c>
      <c r="C1260">
        <v>44348</v>
      </c>
      <c r="D1260" t="s">
        <v>1210</v>
      </c>
      <c r="E1260" t="s">
        <v>1635</v>
      </c>
      <c r="F1260" t="s">
        <v>1605</v>
      </c>
      <c r="G1260" t="s">
        <v>1620</v>
      </c>
      <c r="H1260"/>
      <c r="I1260"/>
      <c r="J1260"/>
      <c r="K1260" t="s">
        <v>1584</v>
      </c>
    </row>
    <row r="1261" spans="1:11">
      <c r="A1261">
        <v>44351</v>
      </c>
      <c r="B1261" t="s">
        <v>1618</v>
      </c>
      <c r="C1261">
        <v>44348</v>
      </c>
      <c r="D1261" t="s">
        <v>1210</v>
      </c>
      <c r="E1261" t="s">
        <v>1636</v>
      </c>
      <c r="F1261" t="s">
        <v>1605</v>
      </c>
      <c r="G1261" t="s">
        <v>1620</v>
      </c>
      <c r="H1261"/>
      <c r="I1261"/>
      <c r="J1261"/>
      <c r="K1261" t="s">
        <v>1584</v>
      </c>
    </row>
    <row r="1262" spans="1:11">
      <c r="A1262">
        <v>44351</v>
      </c>
      <c r="B1262" t="s">
        <v>1618</v>
      </c>
      <c r="C1262">
        <v>44348</v>
      </c>
      <c r="D1262" t="s">
        <v>1210</v>
      </c>
      <c r="E1262" t="s">
        <v>1637</v>
      </c>
      <c r="F1262" t="s">
        <v>1605</v>
      </c>
      <c r="G1262" t="s">
        <v>1620</v>
      </c>
      <c r="H1262"/>
      <c r="I1262"/>
      <c r="J1262"/>
      <c r="K1262" t="s">
        <v>1584</v>
      </c>
    </row>
    <row r="1263" spans="1:11">
      <c r="A1263">
        <v>44351</v>
      </c>
      <c r="B1263" t="s">
        <v>1618</v>
      </c>
      <c r="C1263">
        <v>44348</v>
      </c>
      <c r="D1263" t="s">
        <v>1210</v>
      </c>
      <c r="E1263" t="s">
        <v>1638</v>
      </c>
      <c r="F1263" t="s">
        <v>1605</v>
      </c>
      <c r="G1263" t="s">
        <v>1620</v>
      </c>
      <c r="H1263"/>
      <c r="I1263"/>
      <c r="J1263"/>
      <c r="K1263" t="s">
        <v>1584</v>
      </c>
    </row>
    <row r="1264" spans="1:11">
      <c r="A1264">
        <v>44351</v>
      </c>
      <c r="B1264" t="s">
        <v>1618</v>
      </c>
      <c r="C1264">
        <v>44348</v>
      </c>
      <c r="D1264" t="s">
        <v>1210</v>
      </c>
      <c r="E1264" t="s">
        <v>1639</v>
      </c>
      <c r="F1264" t="s">
        <v>1605</v>
      </c>
      <c r="G1264" t="s">
        <v>1620</v>
      </c>
      <c r="H1264"/>
      <c r="I1264"/>
      <c r="J1264"/>
      <c r="K1264" t="s">
        <v>1584</v>
      </c>
    </row>
    <row r="1265" spans="1:11">
      <c r="A1265">
        <v>44354</v>
      </c>
      <c r="B1265" t="s">
        <v>1640</v>
      </c>
      <c r="C1265">
        <v>44351</v>
      </c>
      <c r="D1265" t="s">
        <v>1244</v>
      </c>
      <c r="E1265" t="s">
        <v>1641</v>
      </c>
      <c r="F1265" t="s">
        <v>1642</v>
      </c>
      <c r="G1265">
        <v>931259312</v>
      </c>
      <c r="H1265"/>
      <c r="I1265"/>
      <c r="J1265"/>
      <c r="K1265" t="s">
        <v>1584</v>
      </c>
    </row>
    <row r="1266" spans="1:11">
      <c r="A1266"/>
      <c r="B1266"/>
      <c r="C1266"/>
      <c r="D1266" t="s">
        <v>1246</v>
      </c>
      <c r="E1266" t="s">
        <v>1643</v>
      </c>
      <c r="F1266"/>
      <c r="G1266"/>
      <c r="H1266"/>
      <c r="I1266"/>
      <c r="J1266"/>
      <c r="K1266" t="s">
        <v>1584</v>
      </c>
    </row>
    <row r="1267" spans="1:11">
      <c r="A1267"/>
      <c r="B1267"/>
      <c r="C1267"/>
      <c r="D1267" t="s">
        <v>895</v>
      </c>
      <c r="E1267" t="s">
        <v>1644</v>
      </c>
      <c r="F1267"/>
      <c r="G1267"/>
      <c r="H1267"/>
      <c r="I1267"/>
      <c r="J1267"/>
      <c r="K1267" t="s">
        <v>1584</v>
      </c>
    </row>
    <row r="1268" spans="1:11">
      <c r="A1268"/>
      <c r="B1268"/>
      <c r="C1268"/>
      <c r="D1268" t="s">
        <v>895</v>
      </c>
      <c r="E1268" t="s">
        <v>1645</v>
      </c>
      <c r="F1268"/>
      <c r="G1268"/>
      <c r="H1268"/>
      <c r="I1268"/>
      <c r="J1268"/>
      <c r="K1268" t="s">
        <v>1584</v>
      </c>
    </row>
    <row r="1269" spans="1:11">
      <c r="A1269"/>
      <c r="B1269"/>
      <c r="C1269"/>
      <c r="D1269" t="s">
        <v>1646</v>
      </c>
      <c r="E1269" t="s">
        <v>1647</v>
      </c>
      <c r="F1269"/>
      <c r="G1269"/>
      <c r="H1269"/>
      <c r="I1269"/>
      <c r="J1269"/>
      <c r="K1269" t="s">
        <v>1584</v>
      </c>
    </row>
    <row r="1270" spans="1:11">
      <c r="A1270"/>
      <c r="B1270"/>
      <c r="C1270"/>
      <c r="D1270" t="s">
        <v>1252</v>
      </c>
      <c r="E1270" t="s">
        <v>1648</v>
      </c>
      <c r="F1270"/>
      <c r="G1270"/>
      <c r="H1270"/>
      <c r="I1270"/>
      <c r="J1270"/>
      <c r="K1270" t="s">
        <v>1584</v>
      </c>
    </row>
    <row r="1271" spans="1:11">
      <c r="A1271"/>
      <c r="B1271"/>
      <c r="C1271"/>
      <c r="D1271" t="s">
        <v>1254</v>
      </c>
      <c r="E1271" t="s">
        <v>1649</v>
      </c>
      <c r="F1271"/>
      <c r="G1271"/>
      <c r="H1271"/>
      <c r="I1271"/>
      <c r="J1271"/>
      <c r="K1271" t="s">
        <v>1584</v>
      </c>
    </row>
    <row r="1272" spans="1:11">
      <c r="A1272"/>
      <c r="B1272"/>
      <c r="C1272"/>
      <c r="D1272" t="s">
        <v>896</v>
      </c>
      <c r="E1272" t="s">
        <v>1650</v>
      </c>
      <c r="F1272"/>
      <c r="G1272"/>
      <c r="H1272"/>
      <c r="I1272"/>
      <c r="J1272"/>
      <c r="K1272" t="s">
        <v>1584</v>
      </c>
    </row>
    <row r="1273" spans="1:11">
      <c r="A1273">
        <v>44312</v>
      </c>
      <c r="B1273" t="s">
        <v>1640</v>
      </c>
      <c r="C1273">
        <v>44309</v>
      </c>
      <c r="D1273" t="s">
        <v>1652</v>
      </c>
      <c r="E1273" t="s">
        <v>1653</v>
      </c>
      <c r="F1273" t="s">
        <v>1654</v>
      </c>
      <c r="G1273">
        <v>931229914</v>
      </c>
      <c r="H1273"/>
      <c r="I1273"/>
      <c r="J1273"/>
      <c r="K1273" t="s">
        <v>1655</v>
      </c>
    </row>
    <row r="1274" spans="1:11">
      <c r="A1274">
        <v>44312</v>
      </c>
      <c r="B1274" t="s">
        <v>1640</v>
      </c>
      <c r="C1274">
        <v>44309</v>
      </c>
      <c r="D1274" t="s">
        <v>1652</v>
      </c>
      <c r="E1274" t="s">
        <v>1656</v>
      </c>
      <c r="F1274" t="s">
        <v>1654</v>
      </c>
      <c r="G1274">
        <v>931229913</v>
      </c>
      <c r="H1274"/>
      <c r="I1274"/>
      <c r="J1274"/>
      <c r="K1274" t="s">
        <v>1657</v>
      </c>
    </row>
    <row r="1275" spans="1:11">
      <c r="A1275">
        <v>44315</v>
      </c>
      <c r="B1275" t="s">
        <v>1658</v>
      </c>
      <c r="C1275">
        <v>44314</v>
      </c>
      <c r="D1275" t="s">
        <v>1659</v>
      </c>
      <c r="E1275" t="s">
        <v>1660</v>
      </c>
      <c r="F1275" t="s">
        <v>264</v>
      </c>
      <c r="G1275" t="s">
        <v>1661</v>
      </c>
      <c r="H1275"/>
      <c r="I1275"/>
      <c r="J1275"/>
      <c r="K1275" t="s">
        <v>1657</v>
      </c>
    </row>
    <row r="1276" spans="1:11">
      <c r="A1276">
        <v>44315</v>
      </c>
      <c r="B1276" t="s">
        <v>1658</v>
      </c>
      <c r="C1276">
        <v>44314</v>
      </c>
      <c r="D1276" t="s">
        <v>1659</v>
      </c>
      <c r="E1276" t="s">
        <v>1662</v>
      </c>
      <c r="F1276" t="s">
        <v>264</v>
      </c>
      <c r="G1276" t="s">
        <v>1661</v>
      </c>
      <c r="H1276"/>
      <c r="I1276"/>
      <c r="J1276"/>
      <c r="K1276" t="s">
        <v>1657</v>
      </c>
    </row>
    <row r="1277" spans="1:11">
      <c r="A1277">
        <v>44315</v>
      </c>
      <c r="B1277" t="s">
        <v>1658</v>
      </c>
      <c r="C1277">
        <v>44314</v>
      </c>
      <c r="D1277" t="s">
        <v>1659</v>
      </c>
      <c r="E1277" t="s">
        <v>1663</v>
      </c>
      <c r="F1277" t="s">
        <v>264</v>
      </c>
      <c r="G1277" t="s">
        <v>1661</v>
      </c>
      <c r="H1277"/>
      <c r="I1277"/>
      <c r="J1277"/>
      <c r="K1277" t="s">
        <v>1655</v>
      </c>
    </row>
    <row r="1278" spans="1:11">
      <c r="A1278">
        <v>44315</v>
      </c>
      <c r="B1278" t="s">
        <v>1658</v>
      </c>
      <c r="C1278">
        <v>44314</v>
      </c>
      <c r="D1278" t="s">
        <v>1659</v>
      </c>
      <c r="E1278" t="s">
        <v>1664</v>
      </c>
      <c r="F1278" t="s">
        <v>264</v>
      </c>
      <c r="G1278" t="s">
        <v>1661</v>
      </c>
      <c r="H1278"/>
      <c r="I1278"/>
      <c r="J1278"/>
      <c r="K1278" t="s">
        <v>1655</v>
      </c>
    </row>
    <row r="1279" spans="1:11">
      <c r="A1279">
        <v>44320</v>
      </c>
      <c r="B1279" t="s">
        <v>1665</v>
      </c>
      <c r="C1279">
        <v>44316</v>
      </c>
      <c r="D1279" t="s">
        <v>770</v>
      </c>
      <c r="E1279" t="s">
        <v>1666</v>
      </c>
      <c r="F1279" t="s">
        <v>1605</v>
      </c>
      <c r="G1279" t="s">
        <v>1667</v>
      </c>
      <c r="H1279"/>
      <c r="I1279"/>
      <c r="J1279"/>
      <c r="K1279" t="s">
        <v>1657</v>
      </c>
    </row>
    <row r="1280" spans="1:11">
      <c r="A1280">
        <v>44320</v>
      </c>
      <c r="B1280" t="s">
        <v>1665</v>
      </c>
      <c r="C1280">
        <v>44316</v>
      </c>
      <c r="D1280" t="s">
        <v>770</v>
      </c>
      <c r="E1280" t="s">
        <v>1668</v>
      </c>
      <c r="F1280" t="s">
        <v>1605</v>
      </c>
      <c r="G1280" t="s">
        <v>1667</v>
      </c>
      <c r="H1280"/>
      <c r="I1280"/>
      <c r="J1280"/>
      <c r="K1280" t="s">
        <v>1655</v>
      </c>
    </row>
    <row r="1281" spans="1:11">
      <c r="A1281">
        <v>44320</v>
      </c>
      <c r="B1281">
        <v>6111115903569</v>
      </c>
      <c r="C1281">
        <v>44346</v>
      </c>
      <c r="D1281" t="s">
        <v>1708</v>
      </c>
      <c r="E1281" t="s">
        <v>1669</v>
      </c>
      <c r="F1281" t="s">
        <v>1583</v>
      </c>
      <c r="G1281">
        <v>40046669</v>
      </c>
      <c r="H1281"/>
      <c r="I1281"/>
      <c r="J1281"/>
      <c r="K1281" t="s">
        <v>1657</v>
      </c>
    </row>
    <row r="1282" spans="1:11">
      <c r="A1282">
        <v>44320</v>
      </c>
      <c r="B1282">
        <v>6111115903569</v>
      </c>
      <c r="C1282">
        <v>44346</v>
      </c>
      <c r="D1282" t="s">
        <v>1708</v>
      </c>
      <c r="E1282" t="s">
        <v>1670</v>
      </c>
      <c r="F1282" t="s">
        <v>1583</v>
      </c>
      <c r="G1282">
        <v>40046669</v>
      </c>
      <c r="H1282"/>
      <c r="I1282"/>
      <c r="J1282"/>
      <c r="K1282" t="s">
        <v>1655</v>
      </c>
    </row>
    <row r="1283" spans="1:11">
      <c r="A1283">
        <v>44326</v>
      </c>
      <c r="B1283">
        <v>980145955343</v>
      </c>
      <c r="C1283">
        <v>44322</v>
      </c>
      <c r="D1283" t="s">
        <v>1671</v>
      </c>
      <c r="E1283" t="s">
        <v>1672</v>
      </c>
      <c r="F1283" t="s">
        <v>1590</v>
      </c>
      <c r="G1283">
        <v>2108509</v>
      </c>
      <c r="H1283"/>
      <c r="I1283"/>
      <c r="J1283"/>
      <c r="K1283" t="s">
        <v>1657</v>
      </c>
    </row>
    <row r="1284" spans="1:11">
      <c r="A1284">
        <v>44326</v>
      </c>
      <c r="B1284">
        <v>980145955343</v>
      </c>
      <c r="C1284">
        <v>44322</v>
      </c>
      <c r="D1284" t="s">
        <v>1671</v>
      </c>
      <c r="E1284" t="s">
        <v>1673</v>
      </c>
      <c r="F1284" t="s">
        <v>1590</v>
      </c>
      <c r="G1284">
        <v>2108509</v>
      </c>
      <c r="H1284"/>
      <c r="I1284"/>
      <c r="J1284"/>
      <c r="K1284" t="s">
        <v>1657</v>
      </c>
    </row>
    <row r="1285" spans="1:11">
      <c r="A1285">
        <v>44326</v>
      </c>
      <c r="B1285">
        <v>980145955343</v>
      </c>
      <c r="C1285">
        <v>44322</v>
      </c>
      <c r="D1285" t="s">
        <v>1671</v>
      </c>
      <c r="E1285" t="s">
        <v>1674</v>
      </c>
      <c r="F1285" t="s">
        <v>1590</v>
      </c>
      <c r="G1285">
        <v>2108509</v>
      </c>
      <c r="H1285"/>
      <c r="I1285"/>
      <c r="J1285"/>
      <c r="K1285" t="s">
        <v>1657</v>
      </c>
    </row>
    <row r="1286" spans="1:11">
      <c r="A1286">
        <v>44326</v>
      </c>
      <c r="B1286">
        <v>980145955343</v>
      </c>
      <c r="C1286">
        <v>44322</v>
      </c>
      <c r="D1286" t="s">
        <v>1671</v>
      </c>
      <c r="E1286" t="s">
        <v>1675</v>
      </c>
      <c r="F1286" t="s">
        <v>1590</v>
      </c>
      <c r="G1286">
        <v>2108509</v>
      </c>
      <c r="H1286"/>
      <c r="I1286"/>
      <c r="J1286"/>
      <c r="K1286" t="s">
        <v>1657</v>
      </c>
    </row>
    <row r="1287" spans="1:11">
      <c r="A1287">
        <v>44326</v>
      </c>
      <c r="B1287">
        <v>980145955343</v>
      </c>
      <c r="C1287">
        <v>44322</v>
      </c>
      <c r="D1287" t="s">
        <v>1671</v>
      </c>
      <c r="E1287" t="s">
        <v>1676</v>
      </c>
      <c r="F1287" t="s">
        <v>1590</v>
      </c>
      <c r="G1287">
        <v>2108509</v>
      </c>
      <c r="H1287"/>
      <c r="I1287"/>
      <c r="J1287"/>
      <c r="K1287" t="s">
        <v>1657</v>
      </c>
    </row>
    <row r="1288" spans="1:11">
      <c r="A1288">
        <v>44326</v>
      </c>
      <c r="B1288">
        <v>980145955343</v>
      </c>
      <c r="C1288">
        <v>44322</v>
      </c>
      <c r="D1288" t="s">
        <v>1671</v>
      </c>
      <c r="E1288" t="s">
        <v>1677</v>
      </c>
      <c r="F1288" t="s">
        <v>1590</v>
      </c>
      <c r="G1288">
        <v>2108509</v>
      </c>
      <c r="H1288"/>
      <c r="I1288"/>
      <c r="J1288"/>
      <c r="K1288" t="s">
        <v>1657</v>
      </c>
    </row>
    <row r="1289" spans="1:11">
      <c r="A1289">
        <v>44326</v>
      </c>
      <c r="B1289">
        <v>980145955343</v>
      </c>
      <c r="C1289">
        <v>44322</v>
      </c>
      <c r="D1289" t="s">
        <v>1671</v>
      </c>
      <c r="E1289" t="s">
        <v>1678</v>
      </c>
      <c r="F1289" t="s">
        <v>1590</v>
      </c>
      <c r="G1289">
        <v>2108509</v>
      </c>
      <c r="H1289"/>
      <c r="I1289"/>
      <c r="J1289"/>
      <c r="K1289" t="s">
        <v>1657</v>
      </c>
    </row>
    <row r="1290" spans="1:11">
      <c r="A1290">
        <v>44326</v>
      </c>
      <c r="B1290">
        <v>980145955343</v>
      </c>
      <c r="C1290">
        <v>44322</v>
      </c>
      <c r="D1290" t="s">
        <v>1671</v>
      </c>
      <c r="E1290" t="s">
        <v>1679</v>
      </c>
      <c r="F1290" t="s">
        <v>1590</v>
      </c>
      <c r="G1290">
        <v>2108509</v>
      </c>
      <c r="H1290"/>
      <c r="I1290"/>
      <c r="J1290"/>
      <c r="K1290" t="s">
        <v>1657</v>
      </c>
    </row>
    <row r="1291" spans="1:11">
      <c r="A1291">
        <v>44326</v>
      </c>
      <c r="B1291">
        <v>980145955343</v>
      </c>
      <c r="C1291">
        <v>44322</v>
      </c>
      <c r="D1291" t="s">
        <v>1671</v>
      </c>
      <c r="E1291" t="s">
        <v>1680</v>
      </c>
      <c r="F1291" t="s">
        <v>1590</v>
      </c>
      <c r="G1291">
        <v>2108509</v>
      </c>
      <c r="H1291"/>
      <c r="I1291"/>
      <c r="J1291"/>
      <c r="K1291" t="s">
        <v>1655</v>
      </c>
    </row>
    <row r="1292" spans="1:11">
      <c r="A1292">
        <v>44326</v>
      </c>
      <c r="B1292">
        <v>980145955343</v>
      </c>
      <c r="C1292">
        <v>44322</v>
      </c>
      <c r="D1292" t="s">
        <v>1671</v>
      </c>
      <c r="E1292" t="s">
        <v>1681</v>
      </c>
      <c r="F1292" t="s">
        <v>1590</v>
      </c>
      <c r="G1292">
        <v>2108509</v>
      </c>
      <c r="H1292"/>
      <c r="I1292"/>
      <c r="J1292"/>
      <c r="K1292" t="s">
        <v>1655</v>
      </c>
    </row>
    <row r="1293" spans="1:11">
      <c r="A1293">
        <v>44326</v>
      </c>
      <c r="B1293">
        <v>980145955343</v>
      </c>
      <c r="C1293">
        <v>44322</v>
      </c>
      <c r="D1293" t="s">
        <v>1671</v>
      </c>
      <c r="E1293" t="s">
        <v>1682</v>
      </c>
      <c r="F1293" t="s">
        <v>1590</v>
      </c>
      <c r="G1293">
        <v>2108509</v>
      </c>
      <c r="H1293"/>
      <c r="I1293"/>
      <c r="J1293"/>
      <c r="K1293" t="s">
        <v>1655</v>
      </c>
    </row>
    <row r="1294" spans="1:11">
      <c r="A1294">
        <v>44326</v>
      </c>
      <c r="B1294">
        <v>980145955343</v>
      </c>
      <c r="C1294">
        <v>44322</v>
      </c>
      <c r="D1294" t="s">
        <v>1671</v>
      </c>
      <c r="E1294" t="s">
        <v>1683</v>
      </c>
      <c r="F1294" t="s">
        <v>1590</v>
      </c>
      <c r="G1294">
        <v>2108509</v>
      </c>
      <c r="H1294"/>
      <c r="I1294"/>
      <c r="J1294"/>
      <c r="K1294" t="s">
        <v>1655</v>
      </c>
    </row>
    <row r="1295" spans="1:11">
      <c r="A1295">
        <v>44326</v>
      </c>
      <c r="B1295">
        <v>980145955343</v>
      </c>
      <c r="C1295">
        <v>44322</v>
      </c>
      <c r="D1295" t="s">
        <v>1671</v>
      </c>
      <c r="E1295" t="s">
        <v>1684</v>
      </c>
      <c r="F1295" t="s">
        <v>1590</v>
      </c>
      <c r="G1295">
        <v>2108509</v>
      </c>
      <c r="H1295"/>
      <c r="I1295"/>
      <c r="J1295"/>
      <c r="K1295" t="s">
        <v>1655</v>
      </c>
    </row>
    <row r="1296" spans="1:11">
      <c r="A1296">
        <v>44326</v>
      </c>
      <c r="B1296">
        <v>980145955343</v>
      </c>
      <c r="C1296">
        <v>44322</v>
      </c>
      <c r="D1296" t="s">
        <v>1671</v>
      </c>
      <c r="E1296" t="s">
        <v>1685</v>
      </c>
      <c r="F1296" t="s">
        <v>1590</v>
      </c>
      <c r="G1296">
        <v>2108509</v>
      </c>
      <c r="H1296"/>
      <c r="I1296"/>
      <c r="J1296"/>
      <c r="K1296" t="s">
        <v>1655</v>
      </c>
    </row>
    <row r="1297" spans="1:11">
      <c r="A1297">
        <v>44326</v>
      </c>
      <c r="B1297">
        <v>980145955343</v>
      </c>
      <c r="C1297">
        <v>44322</v>
      </c>
      <c r="D1297" t="s">
        <v>1671</v>
      </c>
      <c r="E1297" t="s">
        <v>1686</v>
      </c>
      <c r="F1297" t="s">
        <v>1590</v>
      </c>
      <c r="G1297">
        <v>2108509</v>
      </c>
      <c r="H1297"/>
      <c r="I1297"/>
      <c r="J1297"/>
      <c r="K1297" t="s">
        <v>1655</v>
      </c>
    </row>
    <row r="1298" spans="1:11">
      <c r="A1298">
        <v>44326</v>
      </c>
      <c r="B1298">
        <v>980145955343</v>
      </c>
      <c r="C1298">
        <v>44322</v>
      </c>
      <c r="D1298" t="s">
        <v>1671</v>
      </c>
      <c r="E1298" t="s">
        <v>1687</v>
      </c>
      <c r="F1298" t="s">
        <v>1590</v>
      </c>
      <c r="G1298">
        <v>2108509</v>
      </c>
      <c r="H1298"/>
      <c r="I1298"/>
      <c r="J1298"/>
      <c r="K1298" t="s">
        <v>1655</v>
      </c>
    </row>
    <row r="1299" spans="1:11">
      <c r="A1299">
        <v>44351</v>
      </c>
      <c r="B1299" t="s">
        <v>1688</v>
      </c>
      <c r="C1299">
        <v>44348</v>
      </c>
      <c r="D1299" t="s">
        <v>1689</v>
      </c>
      <c r="E1299" t="s">
        <v>1690</v>
      </c>
      <c r="F1299" t="s">
        <v>1691</v>
      </c>
      <c r="G1299">
        <v>483022878</v>
      </c>
      <c r="H1299"/>
      <c r="I1299"/>
      <c r="J1299"/>
      <c r="K1299" t="s">
        <v>1655</v>
      </c>
    </row>
    <row r="1300" spans="1:11">
      <c r="A1300">
        <v>44351</v>
      </c>
      <c r="B1300" t="s">
        <v>1688</v>
      </c>
      <c r="C1300">
        <v>44348</v>
      </c>
      <c r="D1300" t="s">
        <v>1689</v>
      </c>
      <c r="E1300" t="s">
        <v>1692</v>
      </c>
      <c r="F1300" t="s">
        <v>1691</v>
      </c>
      <c r="G1300">
        <v>483022878</v>
      </c>
      <c r="H1300"/>
      <c r="I1300"/>
      <c r="J1300"/>
      <c r="K1300" t="s">
        <v>1657</v>
      </c>
    </row>
    <row r="1301" spans="1:11">
      <c r="A1301">
        <v>44351</v>
      </c>
      <c r="B1301" t="s">
        <v>1688</v>
      </c>
      <c r="C1301">
        <v>44348</v>
      </c>
      <c r="D1301" t="s">
        <v>1689</v>
      </c>
      <c r="E1301" t="s">
        <v>1693</v>
      </c>
      <c r="F1301" t="s">
        <v>1691</v>
      </c>
      <c r="G1301">
        <v>483022878</v>
      </c>
      <c r="H1301"/>
      <c r="I1301"/>
      <c r="J1301"/>
      <c r="K1301" t="s">
        <v>1655</v>
      </c>
    </row>
    <row r="1302" spans="1:11">
      <c r="A1302">
        <v>44351</v>
      </c>
      <c r="B1302" t="s">
        <v>1688</v>
      </c>
      <c r="C1302">
        <v>44348</v>
      </c>
      <c r="D1302" t="s">
        <v>1689</v>
      </c>
      <c r="E1302" t="s">
        <v>1694</v>
      </c>
      <c r="F1302" t="s">
        <v>1691</v>
      </c>
      <c r="G1302">
        <v>483022878</v>
      </c>
      <c r="H1302"/>
      <c r="I1302"/>
      <c r="J1302"/>
      <c r="K1302" t="s">
        <v>1657</v>
      </c>
    </row>
    <row r="1303" spans="1:11">
      <c r="A1303">
        <v>44361</v>
      </c>
      <c r="B1303" t="s">
        <v>223</v>
      </c>
      <c r="C1303">
        <v>44358</v>
      </c>
      <c r="D1303" t="s">
        <v>777</v>
      </c>
      <c r="E1303" t="s">
        <v>1695</v>
      </c>
      <c r="F1303" t="s">
        <v>210</v>
      </c>
      <c r="G1303">
        <v>931264212</v>
      </c>
      <c r="H1303"/>
      <c r="I1303"/>
      <c r="J1303"/>
      <c r="K1303" t="s">
        <v>1657</v>
      </c>
    </row>
    <row r="1304" spans="1:11">
      <c r="A1304"/>
      <c r="B1304"/>
      <c r="C1304"/>
      <c r="D1304" t="s">
        <v>779</v>
      </c>
      <c r="E1304" t="s">
        <v>1696</v>
      </c>
      <c r="F1304"/>
      <c r="G1304"/>
      <c r="H1304"/>
      <c r="I1304"/>
      <c r="J1304"/>
      <c r="K1304" t="s">
        <v>1657</v>
      </c>
    </row>
    <row r="1305" spans="1:11">
      <c r="A1305"/>
      <c r="B1305"/>
      <c r="C1305"/>
      <c r="D1305" t="s">
        <v>779</v>
      </c>
      <c r="E1305" t="s">
        <v>1697</v>
      </c>
      <c r="F1305"/>
      <c r="G1305"/>
      <c r="H1305"/>
      <c r="I1305"/>
      <c r="J1305"/>
      <c r="K1305" t="s">
        <v>1657</v>
      </c>
    </row>
    <row r="1306" spans="1:11">
      <c r="A1306"/>
      <c r="B1306"/>
      <c r="C1306"/>
      <c r="D1306" t="s">
        <v>782</v>
      </c>
      <c r="E1306" t="s">
        <v>1698</v>
      </c>
      <c r="F1306"/>
      <c r="G1306"/>
      <c r="H1306"/>
      <c r="I1306"/>
      <c r="J1306"/>
      <c r="K1306" t="s">
        <v>1657</v>
      </c>
    </row>
    <row r="1307" spans="1:11">
      <c r="A1307" s="1">
        <v>44361</v>
      </c>
      <c r="B1307" s="1" t="s">
        <v>223</v>
      </c>
      <c r="C1307" s="1">
        <v>44358</v>
      </c>
      <c r="D1307" t="s">
        <v>777</v>
      </c>
      <c r="E1307" t="s">
        <v>1699</v>
      </c>
      <c r="F1307" s="1" t="s">
        <v>210</v>
      </c>
      <c r="G1307">
        <v>931264212</v>
      </c>
      <c r="H1307"/>
      <c r="I1307"/>
      <c r="J1307"/>
      <c r="K1307" t="s">
        <v>1655</v>
      </c>
    </row>
    <row r="1308" spans="1:11">
      <c r="A1308"/>
      <c r="B1308"/>
      <c r="C1308"/>
      <c r="D1308" t="s">
        <v>779</v>
      </c>
      <c r="E1308" t="s">
        <v>1700</v>
      </c>
      <c r="F1308"/>
      <c r="G1308"/>
      <c r="H1308"/>
      <c r="I1308"/>
      <c r="J1308"/>
      <c r="K1308" t="s">
        <v>1655</v>
      </c>
    </row>
    <row r="1309" spans="1:11">
      <c r="A1309"/>
      <c r="B1309"/>
      <c r="C1309"/>
      <c r="D1309" t="s">
        <v>779</v>
      </c>
      <c r="E1309" t="s">
        <v>1701</v>
      </c>
      <c r="F1309"/>
      <c r="G1309"/>
      <c r="H1309"/>
      <c r="I1309"/>
      <c r="J1309"/>
      <c r="K1309" t="s">
        <v>1655</v>
      </c>
    </row>
    <row r="1310" spans="1:11">
      <c r="A1310"/>
      <c r="B1310"/>
      <c r="C1310"/>
      <c r="D1310" t="s">
        <v>782</v>
      </c>
      <c r="E1310" t="s">
        <v>1702</v>
      </c>
      <c r="F1310"/>
      <c r="G1310"/>
      <c r="H1310"/>
      <c r="I1310"/>
      <c r="J1310"/>
      <c r="K1310" t="s">
        <v>1655</v>
      </c>
    </row>
    <row r="1311" spans="1:11">
      <c r="A1311">
        <v>44364</v>
      </c>
      <c r="B1311">
        <v>10811968688</v>
      </c>
      <c r="C1311">
        <v>44363</v>
      </c>
      <c r="D1311" t="s">
        <v>1703</v>
      </c>
      <c r="E1311" t="s">
        <v>1704</v>
      </c>
      <c r="F1311" t="s">
        <v>753</v>
      </c>
      <c r="G1311">
        <v>40066598</v>
      </c>
      <c r="H1311"/>
      <c r="I1311"/>
      <c r="J1311"/>
      <c r="K1311" t="s">
        <v>1655</v>
      </c>
    </row>
    <row r="1312" spans="1:11">
      <c r="A1312" s="1">
        <v>44364</v>
      </c>
      <c r="B1312" s="1">
        <v>10811968688</v>
      </c>
      <c r="C1312" s="1">
        <v>44363</v>
      </c>
      <c r="D1312" s="1" t="s">
        <v>1703</v>
      </c>
      <c r="E1312" s="1" t="s">
        <v>1705</v>
      </c>
      <c r="F1312" s="1" t="s">
        <v>753</v>
      </c>
      <c r="G1312" s="1">
        <v>40066598</v>
      </c>
      <c r="K1312" s="1" t="s">
        <v>1655</v>
      </c>
    </row>
    <row r="1313" spans="1:11">
      <c r="A1313">
        <v>44364</v>
      </c>
      <c r="B1313">
        <v>10811968688</v>
      </c>
      <c r="C1313">
        <v>44363</v>
      </c>
      <c r="D1313" t="s">
        <v>1703</v>
      </c>
      <c r="E1313" t="s">
        <v>1706</v>
      </c>
      <c r="F1313" t="s">
        <v>753</v>
      </c>
      <c r="G1313">
        <v>40066598</v>
      </c>
      <c r="H1313"/>
      <c r="I1313"/>
      <c r="J1313"/>
      <c r="K1313" t="s">
        <v>1657</v>
      </c>
    </row>
    <row r="1314" spans="1:11">
      <c r="A1314">
        <v>44364</v>
      </c>
      <c r="B1314">
        <v>10811968688</v>
      </c>
      <c r="C1314">
        <v>44363</v>
      </c>
      <c r="D1314" t="s">
        <v>1703</v>
      </c>
      <c r="E1314" t="s">
        <v>1707</v>
      </c>
      <c r="F1314" t="s">
        <v>753</v>
      </c>
      <c r="G1314">
        <v>40066598</v>
      </c>
      <c r="H1314"/>
      <c r="I1314"/>
      <c r="J1314"/>
      <c r="K1314" t="s">
        <v>1657</v>
      </c>
    </row>
    <row r="1315" spans="1:11">
      <c r="A1315" s="1">
        <v>44285</v>
      </c>
      <c r="B1315" s="1" t="s">
        <v>1709</v>
      </c>
      <c r="C1315" s="1">
        <v>44284</v>
      </c>
      <c r="D1315" s="1" t="s">
        <v>1710</v>
      </c>
      <c r="E1315" s="1" t="s">
        <v>1711</v>
      </c>
      <c r="F1315" s="1" t="s">
        <v>1605</v>
      </c>
      <c r="G1315" s="1" t="s">
        <v>1712</v>
      </c>
      <c r="K1315" s="1" t="s">
        <v>1713</v>
      </c>
    </row>
    <row r="1316" spans="1:11">
      <c r="A1316">
        <v>44361</v>
      </c>
      <c r="B1316" t="s">
        <v>1714</v>
      </c>
      <c r="C1316">
        <v>44357</v>
      </c>
      <c r="D1316" t="s">
        <v>1715</v>
      </c>
      <c r="E1316" t="s">
        <v>1716</v>
      </c>
      <c r="F1316" t="s">
        <v>631</v>
      </c>
      <c r="G1316" t="s">
        <v>1717</v>
      </c>
      <c r="H1316"/>
      <c r="I1316"/>
      <c r="J1316"/>
      <c r="K1316" t="s">
        <v>1713</v>
      </c>
    </row>
    <row r="1317" spans="1:11">
      <c r="A1317" s="1">
        <v>44361</v>
      </c>
      <c r="B1317" s="1" t="s">
        <v>223</v>
      </c>
      <c r="C1317" s="1">
        <v>44358</v>
      </c>
      <c r="D1317" s="1" t="s">
        <v>1718</v>
      </c>
      <c r="E1317" s="1" t="s">
        <v>1719</v>
      </c>
      <c r="F1317" s="1" t="s">
        <v>210</v>
      </c>
      <c r="G1317" s="1">
        <v>931264218</v>
      </c>
      <c r="K1317" s="1" t="s">
        <v>1713</v>
      </c>
    </row>
    <row r="1318" spans="1:11">
      <c r="A1318">
        <v>44361</v>
      </c>
      <c r="B1318" t="s">
        <v>223</v>
      </c>
      <c r="C1318">
        <v>44358</v>
      </c>
      <c r="D1318" t="s">
        <v>1720</v>
      </c>
      <c r="E1318" t="s">
        <v>1721</v>
      </c>
      <c r="F1318"/>
      <c r="G1318">
        <v>931264218</v>
      </c>
      <c r="H1318"/>
      <c r="I1318"/>
      <c r="J1318"/>
      <c r="K1318" t="s">
        <v>1713</v>
      </c>
    </row>
    <row r="1319" spans="1:11">
      <c r="B1319" s="1"/>
      <c r="D1319" s="1" t="s">
        <v>1722</v>
      </c>
      <c r="E1319" s="1" t="s">
        <v>1723</v>
      </c>
      <c r="K1319" s="1" t="s">
        <v>1713</v>
      </c>
    </row>
    <row r="1320" spans="1:11">
      <c r="A1320"/>
      <c r="B1320"/>
      <c r="C1320"/>
      <c r="D1320" t="s">
        <v>1722</v>
      </c>
      <c r="E1320" t="s">
        <v>1724</v>
      </c>
      <c r="F1320"/>
      <c r="G1320"/>
      <c r="H1320"/>
      <c r="I1320"/>
      <c r="J1320"/>
      <c r="K1320" t="s">
        <v>1713</v>
      </c>
    </row>
    <row r="1321" spans="1:11">
      <c r="B1321" s="1"/>
      <c r="D1321" s="1" t="s">
        <v>1725</v>
      </c>
      <c r="E1321" s="1" t="s">
        <v>1726</v>
      </c>
      <c r="K1321" s="1" t="s">
        <v>1713</v>
      </c>
    </row>
    <row r="1322" spans="1:11">
      <c r="A1322">
        <v>44361</v>
      </c>
      <c r="B1322">
        <v>332274843663</v>
      </c>
      <c r="C1322">
        <v>44358</v>
      </c>
      <c r="D1322" t="s">
        <v>1727</v>
      </c>
      <c r="E1322" t="s">
        <v>1728</v>
      </c>
      <c r="F1322" t="s">
        <v>905</v>
      </c>
      <c r="G1322">
        <v>131121428</v>
      </c>
      <c r="H1322"/>
      <c r="I1322"/>
      <c r="J1322"/>
      <c r="K1322" t="s">
        <v>1713</v>
      </c>
    </row>
    <row r="1323" spans="1:11">
      <c r="A1323" s="1">
        <v>44361</v>
      </c>
      <c r="B1323" s="1">
        <v>332274843663</v>
      </c>
      <c r="C1323" s="1">
        <v>44358</v>
      </c>
      <c r="D1323" s="1" t="s">
        <v>1729</v>
      </c>
      <c r="E1323" s="1" t="s">
        <v>1730</v>
      </c>
      <c r="F1323" s="1" t="s">
        <v>905</v>
      </c>
      <c r="G1323" s="1">
        <v>131121428</v>
      </c>
      <c r="K1323" s="1" t="s">
        <v>1713</v>
      </c>
    </row>
    <row r="1324" spans="1:11">
      <c r="A1324">
        <v>44361</v>
      </c>
      <c r="B1324">
        <v>332274843663</v>
      </c>
      <c r="C1324">
        <v>44358</v>
      </c>
      <c r="D1324" t="s">
        <v>1731</v>
      </c>
      <c r="E1324" t="s">
        <v>1732</v>
      </c>
      <c r="F1324" t="s">
        <v>905</v>
      </c>
      <c r="G1324">
        <v>131121428</v>
      </c>
      <c r="H1324"/>
      <c r="I1324"/>
      <c r="J1324"/>
      <c r="K1324" t="s">
        <v>1713</v>
      </c>
    </row>
    <row r="1325" spans="1:11">
      <c r="A1325" s="1">
        <v>44362</v>
      </c>
      <c r="B1325" s="1">
        <v>980145978274</v>
      </c>
      <c r="C1325" s="1">
        <v>44358</v>
      </c>
      <c r="D1325" s="1" t="s">
        <v>1733</v>
      </c>
      <c r="E1325" s="1" t="s">
        <v>1734</v>
      </c>
      <c r="F1325" s="1" t="s">
        <v>113</v>
      </c>
      <c r="G1325" s="1">
        <v>2110592</v>
      </c>
      <c r="K1325" s="1" t="s">
        <v>1713</v>
      </c>
    </row>
    <row r="1326" spans="1:11">
      <c r="A1326">
        <v>44362</v>
      </c>
      <c r="B1326">
        <v>980145978274</v>
      </c>
      <c r="C1326">
        <v>44358</v>
      </c>
      <c r="D1326" t="s">
        <v>1733</v>
      </c>
      <c r="E1326" t="s">
        <v>1735</v>
      </c>
      <c r="F1326" t="s">
        <v>113</v>
      </c>
      <c r="G1326">
        <v>2110592</v>
      </c>
      <c r="H1326"/>
      <c r="I1326"/>
      <c r="J1326"/>
      <c r="K1326" t="s">
        <v>1713</v>
      </c>
    </row>
    <row r="1327" spans="1:11">
      <c r="A1327">
        <v>44362</v>
      </c>
      <c r="B1327">
        <v>980145978274</v>
      </c>
      <c r="C1327">
        <v>44358</v>
      </c>
      <c r="D1327" t="s">
        <v>1733</v>
      </c>
      <c r="E1327" t="s">
        <v>1736</v>
      </c>
      <c r="F1327" t="s">
        <v>113</v>
      </c>
      <c r="G1327">
        <v>2110592</v>
      </c>
      <c r="H1327"/>
      <c r="I1327"/>
      <c r="J1327"/>
      <c r="K1327" t="s">
        <v>1713</v>
      </c>
    </row>
    <row r="1328" spans="1:11">
      <c r="A1328">
        <v>44362</v>
      </c>
      <c r="B1328">
        <v>980145978274</v>
      </c>
      <c r="C1328">
        <v>44358</v>
      </c>
      <c r="D1328" t="s">
        <v>1733</v>
      </c>
      <c r="E1328" t="s">
        <v>1737</v>
      </c>
      <c r="F1328" t="s">
        <v>113</v>
      </c>
      <c r="G1328">
        <v>2110592</v>
      </c>
      <c r="H1328"/>
      <c r="I1328"/>
      <c r="J1328"/>
      <c r="K1328" t="s">
        <v>1713</v>
      </c>
    </row>
    <row r="1329" spans="1:11">
      <c r="A1329"/>
      <c r="B1329"/>
      <c r="C1329"/>
      <c r="D1329" t="s">
        <v>1738</v>
      </c>
      <c r="E1329" t="s">
        <v>1739</v>
      </c>
      <c r="F1329"/>
      <c r="G1329"/>
      <c r="H1329"/>
      <c r="I1329"/>
      <c r="J1329"/>
      <c r="K1329" t="s">
        <v>1713</v>
      </c>
    </row>
    <row r="1330" spans="1:11">
      <c r="A1330">
        <v>44316</v>
      </c>
      <c r="B1330" t="s">
        <v>1740</v>
      </c>
      <c r="C1330">
        <v>44315</v>
      </c>
      <c r="D1330" t="s">
        <v>1741</v>
      </c>
      <c r="E1330" t="s">
        <v>1742</v>
      </c>
      <c r="F1330" t="s">
        <v>1743</v>
      </c>
      <c r="G1330">
        <v>2505254</v>
      </c>
      <c r="H1330"/>
      <c r="I1330"/>
      <c r="J1330"/>
      <c r="K1330" t="s">
        <v>1744</v>
      </c>
    </row>
    <row r="1331" spans="1:11">
      <c r="A1331">
        <v>44316</v>
      </c>
      <c r="B1331" t="s">
        <v>1740</v>
      </c>
      <c r="C1331">
        <v>44315</v>
      </c>
      <c r="D1331" t="s">
        <v>1741</v>
      </c>
      <c r="E1331" t="s">
        <v>1745</v>
      </c>
      <c r="F1331" t="s">
        <v>1743</v>
      </c>
      <c r="G1331">
        <v>2505254</v>
      </c>
      <c r="H1331"/>
      <c r="I1331"/>
      <c r="J1331"/>
      <c r="K1331" t="s">
        <v>1744</v>
      </c>
    </row>
    <row r="1332" spans="1:11">
      <c r="A1332">
        <v>44364</v>
      </c>
      <c r="B1332">
        <v>23105659922</v>
      </c>
      <c r="C1332">
        <v>44363</v>
      </c>
      <c r="D1332" t="s">
        <v>909</v>
      </c>
      <c r="E1332" t="s">
        <v>1746</v>
      </c>
      <c r="F1332" t="s">
        <v>264</v>
      </c>
      <c r="G1332" t="s">
        <v>1747</v>
      </c>
      <c r="H1332"/>
      <c r="I1332"/>
      <c r="J1332"/>
      <c r="K1332" t="s">
        <v>1744</v>
      </c>
    </row>
    <row r="1333" spans="1:11">
      <c r="A1333" s="1">
        <v>44364</v>
      </c>
      <c r="B1333" s="1">
        <v>23105659922</v>
      </c>
      <c r="C1333" s="1">
        <v>44363</v>
      </c>
      <c r="D1333" s="1" t="s">
        <v>909</v>
      </c>
      <c r="E1333" s="1" t="s">
        <v>1748</v>
      </c>
      <c r="F1333" s="1" t="s">
        <v>264</v>
      </c>
      <c r="G1333" s="1" t="s">
        <v>1747</v>
      </c>
      <c r="K1333" s="1" t="s">
        <v>1744</v>
      </c>
    </row>
    <row r="1334" spans="1:11">
      <c r="A1334" s="1">
        <v>44379</v>
      </c>
      <c r="B1334" s="1" t="s">
        <v>1749</v>
      </c>
      <c r="C1334" s="1">
        <v>44378</v>
      </c>
      <c r="D1334" t="s">
        <v>1761</v>
      </c>
      <c r="E1334" t="s">
        <v>1750</v>
      </c>
      <c r="F1334" s="1" t="s">
        <v>202</v>
      </c>
      <c r="G1334" t="s">
        <v>1751</v>
      </c>
      <c r="H1334"/>
      <c r="I1334"/>
      <c r="J1334"/>
      <c r="K1334" t="s">
        <v>1744</v>
      </c>
    </row>
    <row r="1335" spans="1:11">
      <c r="A1335">
        <v>44379</v>
      </c>
      <c r="B1335">
        <v>522132143745</v>
      </c>
      <c r="C1335">
        <v>44377</v>
      </c>
      <c r="D1335" t="s">
        <v>897</v>
      </c>
      <c r="E1335" t="s">
        <v>1752</v>
      </c>
      <c r="F1335" t="s">
        <v>113</v>
      </c>
      <c r="G1335">
        <v>2111478</v>
      </c>
      <c r="H1335"/>
      <c r="I1335"/>
      <c r="J1335"/>
      <c r="K1335" t="s">
        <v>1744</v>
      </c>
    </row>
    <row r="1336" spans="1:11">
      <c r="A1336"/>
      <c r="B1336"/>
      <c r="C1336"/>
      <c r="D1336" t="s">
        <v>1753</v>
      </c>
      <c r="E1336" t="s">
        <v>1754</v>
      </c>
      <c r="F1336"/>
      <c r="G1336"/>
      <c r="H1336"/>
      <c r="I1336"/>
      <c r="J1336"/>
      <c r="K1336" t="s">
        <v>1744</v>
      </c>
    </row>
    <row r="1337" spans="1:11">
      <c r="A1337"/>
      <c r="B1337"/>
      <c r="C1337"/>
      <c r="D1337" t="s">
        <v>895</v>
      </c>
      <c r="E1337" t="s">
        <v>1755</v>
      </c>
      <c r="F1337"/>
      <c r="G1337"/>
      <c r="H1337"/>
      <c r="I1337"/>
      <c r="J1337"/>
      <c r="K1337" t="s">
        <v>1744</v>
      </c>
    </row>
    <row r="1338" spans="1:11">
      <c r="A1338"/>
      <c r="B1338"/>
      <c r="C1338"/>
      <c r="D1338" t="s">
        <v>895</v>
      </c>
      <c r="E1338" t="s">
        <v>1756</v>
      </c>
      <c r="F1338"/>
      <c r="G1338"/>
      <c r="H1338"/>
      <c r="I1338"/>
      <c r="J1338"/>
      <c r="K1338" t="s">
        <v>1744</v>
      </c>
    </row>
    <row r="1339" spans="1:11">
      <c r="B1339" s="1"/>
      <c r="D1339" s="1" t="s">
        <v>1254</v>
      </c>
      <c r="E1339" s="1" t="s">
        <v>1757</v>
      </c>
      <c r="K1339" s="1" t="s">
        <v>1744</v>
      </c>
    </row>
    <row r="1340" spans="1:11">
      <c r="B1340" s="1"/>
      <c r="D1340" t="s">
        <v>899</v>
      </c>
      <c r="E1340" t="s">
        <v>1758</v>
      </c>
      <c r="G1340"/>
      <c r="H1340"/>
      <c r="I1340"/>
      <c r="J1340"/>
      <c r="K1340" t="s">
        <v>1744</v>
      </c>
    </row>
    <row r="1341" spans="1:11">
      <c r="A1341"/>
      <c r="B1341"/>
      <c r="C1341"/>
      <c r="D1341" t="s">
        <v>1759</v>
      </c>
      <c r="E1341" t="s">
        <v>1760</v>
      </c>
      <c r="F1341"/>
      <c r="G1341"/>
      <c r="H1341"/>
      <c r="I1341"/>
      <c r="J1341"/>
      <c r="K1341" t="s">
        <v>1744</v>
      </c>
    </row>
    <row r="1342" spans="1:11">
      <c r="A1342">
        <v>44225</v>
      </c>
      <c r="B1342" t="s">
        <v>199</v>
      </c>
      <c r="C1342">
        <v>44224</v>
      </c>
      <c r="D1342" t="s">
        <v>362</v>
      </c>
      <c r="E1342" t="s">
        <v>1762</v>
      </c>
      <c r="F1342" t="s">
        <v>599</v>
      </c>
      <c r="G1342" t="s">
        <v>203</v>
      </c>
      <c r="H1342"/>
      <c r="I1342"/>
      <c r="J1342"/>
      <c r="K1342" t="s">
        <v>1763</v>
      </c>
    </row>
    <row r="1343" spans="1:11">
      <c r="A1343">
        <v>44277</v>
      </c>
      <c r="B1343">
        <v>2.669516094001E+16</v>
      </c>
      <c r="C1343">
        <v>44274</v>
      </c>
      <c r="D1343" t="s">
        <v>362</v>
      </c>
      <c r="E1343" t="s">
        <v>1764</v>
      </c>
      <c r="F1343" t="s">
        <v>599</v>
      </c>
      <c r="G1343" t="s">
        <v>1765</v>
      </c>
      <c r="H1343"/>
      <c r="I1343"/>
      <c r="J1343"/>
      <c r="K1343" t="s">
        <v>1766</v>
      </c>
    </row>
    <row r="1344" spans="1:11">
      <c r="A1344">
        <v>44277</v>
      </c>
      <c r="B1344">
        <v>2.669516094001E+16</v>
      </c>
      <c r="C1344">
        <v>44274</v>
      </c>
      <c r="D1344" t="s">
        <v>362</v>
      </c>
      <c r="E1344" t="s">
        <v>1767</v>
      </c>
      <c r="F1344" t="s">
        <v>599</v>
      </c>
      <c r="G1344" t="s">
        <v>1765</v>
      </c>
      <c r="H1344"/>
      <c r="I1344"/>
      <c r="J1344"/>
      <c r="K1344" t="s">
        <v>1768</v>
      </c>
    </row>
    <row r="1345" spans="1:11">
      <c r="A1345">
        <v>44277</v>
      </c>
      <c r="B1345">
        <v>2.669516094001E+16</v>
      </c>
      <c r="C1345">
        <v>44274</v>
      </c>
      <c r="D1345" t="s">
        <v>362</v>
      </c>
      <c r="E1345" t="s">
        <v>1769</v>
      </c>
      <c r="F1345" t="s">
        <v>599</v>
      </c>
      <c r="G1345" t="s">
        <v>1765</v>
      </c>
      <c r="H1345"/>
      <c r="I1345"/>
      <c r="J1345"/>
      <c r="K1345" t="s">
        <v>1770</v>
      </c>
    </row>
    <row r="1346" spans="1:11">
      <c r="A1346">
        <v>44277</v>
      </c>
      <c r="B1346">
        <v>2.669516094001E+16</v>
      </c>
      <c r="C1346">
        <v>44274</v>
      </c>
      <c r="D1346" t="s">
        <v>362</v>
      </c>
      <c r="E1346" t="s">
        <v>1771</v>
      </c>
      <c r="F1346" t="s">
        <v>599</v>
      </c>
      <c r="G1346" t="s">
        <v>1765</v>
      </c>
      <c r="H1346"/>
      <c r="I1346"/>
      <c r="J1346"/>
      <c r="K1346" t="s">
        <v>1772</v>
      </c>
    </row>
    <row r="1347" spans="1:11">
      <c r="A1347">
        <v>44312</v>
      </c>
      <c r="B1347" t="s">
        <v>9</v>
      </c>
      <c r="C1347">
        <v>44309</v>
      </c>
      <c r="D1347" t="s">
        <v>279</v>
      </c>
      <c r="E1347" t="s">
        <v>1773</v>
      </c>
      <c r="F1347" t="s">
        <v>12</v>
      </c>
      <c r="G1347">
        <v>931229909</v>
      </c>
      <c r="H1347"/>
      <c r="I1347"/>
      <c r="J1347"/>
      <c r="K1347" t="s">
        <v>1774</v>
      </c>
    </row>
    <row r="1348" spans="1:11">
      <c r="A1348">
        <v>44312</v>
      </c>
      <c r="B1348" t="s">
        <v>9</v>
      </c>
      <c r="C1348">
        <v>44309</v>
      </c>
      <c r="D1348" t="s">
        <v>279</v>
      </c>
      <c r="E1348" t="s">
        <v>1775</v>
      </c>
      <c r="F1348" t="s">
        <v>12</v>
      </c>
      <c r="G1348">
        <v>931229909</v>
      </c>
      <c r="H1348"/>
      <c r="I1348"/>
      <c r="J1348"/>
      <c r="K1348" t="s">
        <v>1776</v>
      </c>
    </row>
    <row r="1349" spans="1:11">
      <c r="A1349">
        <v>44312</v>
      </c>
      <c r="B1349" t="s">
        <v>9</v>
      </c>
      <c r="C1349">
        <v>44309</v>
      </c>
      <c r="D1349" t="s">
        <v>279</v>
      </c>
      <c r="E1349" t="s">
        <v>1777</v>
      </c>
      <c r="F1349" t="s">
        <v>12</v>
      </c>
      <c r="G1349">
        <v>931229909</v>
      </c>
      <c r="H1349"/>
      <c r="I1349"/>
      <c r="J1349"/>
      <c r="K1349" t="s">
        <v>1778</v>
      </c>
    </row>
    <row r="1350" spans="1:11">
      <c r="A1350">
        <v>44312</v>
      </c>
      <c r="B1350" t="s">
        <v>9</v>
      </c>
      <c r="C1350">
        <v>44309</v>
      </c>
      <c r="D1350" t="s">
        <v>279</v>
      </c>
      <c r="E1350" t="s">
        <v>1779</v>
      </c>
      <c r="F1350" t="s">
        <v>12</v>
      </c>
      <c r="G1350">
        <v>931229909</v>
      </c>
      <c r="H1350"/>
      <c r="I1350"/>
      <c r="J1350"/>
      <c r="K1350" t="s">
        <v>1770</v>
      </c>
    </row>
    <row r="1351" spans="1:11">
      <c r="A1351" s="1">
        <v>44312</v>
      </c>
      <c r="B1351" s="1" t="s">
        <v>9</v>
      </c>
      <c r="C1351" s="1">
        <v>44309</v>
      </c>
      <c r="D1351" s="1" t="s">
        <v>279</v>
      </c>
      <c r="E1351" s="1" t="s">
        <v>1780</v>
      </c>
      <c r="F1351" s="1" t="s">
        <v>12</v>
      </c>
      <c r="G1351" s="1">
        <v>931229909</v>
      </c>
      <c r="K1351" s="1" t="s">
        <v>1781</v>
      </c>
    </row>
    <row r="1352" spans="1:11">
      <c r="A1352" s="1">
        <v>44312</v>
      </c>
      <c r="B1352" s="1" t="s">
        <v>9</v>
      </c>
      <c r="C1352" s="1">
        <v>44309</v>
      </c>
      <c r="D1352" t="s">
        <v>279</v>
      </c>
      <c r="E1352" t="s">
        <v>1782</v>
      </c>
      <c r="F1352" s="1" t="s">
        <v>12</v>
      </c>
      <c r="G1352">
        <v>931229909</v>
      </c>
      <c r="H1352"/>
      <c r="I1352"/>
      <c r="J1352"/>
      <c r="K1352" t="s">
        <v>1783</v>
      </c>
    </row>
    <row r="1353" spans="1:11">
      <c r="A1353">
        <v>44312</v>
      </c>
      <c r="B1353" t="s">
        <v>9</v>
      </c>
      <c r="C1353">
        <v>44309</v>
      </c>
      <c r="D1353" t="s">
        <v>279</v>
      </c>
      <c r="E1353" t="s">
        <v>1784</v>
      </c>
      <c r="F1353" t="s">
        <v>12</v>
      </c>
      <c r="G1353">
        <v>931229909</v>
      </c>
      <c r="H1353"/>
      <c r="I1353"/>
      <c r="J1353"/>
      <c r="K1353" t="s">
        <v>1785</v>
      </c>
    </row>
    <row r="1354" spans="1:11">
      <c r="A1354">
        <v>44312</v>
      </c>
      <c r="B1354" t="s">
        <v>9</v>
      </c>
      <c r="C1354">
        <v>44309</v>
      </c>
      <c r="D1354" t="s">
        <v>279</v>
      </c>
      <c r="E1354" t="s">
        <v>1786</v>
      </c>
      <c r="F1354" t="s">
        <v>12</v>
      </c>
      <c r="G1354">
        <v>931229909</v>
      </c>
      <c r="H1354"/>
      <c r="I1354"/>
      <c r="J1354"/>
      <c r="K1354" t="s">
        <v>1766</v>
      </c>
    </row>
    <row r="1355" spans="1:11">
      <c r="A1355">
        <v>44312</v>
      </c>
      <c r="B1355" t="s">
        <v>9</v>
      </c>
      <c r="C1355">
        <v>44309</v>
      </c>
      <c r="D1355" t="s">
        <v>279</v>
      </c>
      <c r="E1355" t="s">
        <v>1787</v>
      </c>
      <c r="F1355" t="s">
        <v>12</v>
      </c>
      <c r="G1355">
        <v>931229909</v>
      </c>
      <c r="H1355"/>
      <c r="I1355"/>
      <c r="J1355"/>
      <c r="K1355" t="s">
        <v>1772</v>
      </c>
    </row>
    <row r="1356" spans="1:11">
      <c r="A1356" s="1">
        <v>44312</v>
      </c>
      <c r="B1356" s="1" t="s">
        <v>9</v>
      </c>
      <c r="C1356" s="1">
        <v>44309</v>
      </c>
      <c r="D1356" s="1" t="s">
        <v>279</v>
      </c>
      <c r="E1356" s="1" t="s">
        <v>1788</v>
      </c>
      <c r="F1356" s="1" t="s">
        <v>12</v>
      </c>
      <c r="G1356" s="1">
        <v>931229909</v>
      </c>
      <c r="K1356" s="1" t="s">
        <v>1789</v>
      </c>
    </row>
    <row r="1357" spans="1:11">
      <c r="A1357">
        <v>44312</v>
      </c>
      <c r="B1357" t="s">
        <v>9</v>
      </c>
      <c r="C1357">
        <v>44309</v>
      </c>
      <c r="D1357" t="s">
        <v>279</v>
      </c>
      <c r="E1357" t="s">
        <v>1790</v>
      </c>
      <c r="F1357" t="s">
        <v>12</v>
      </c>
      <c r="G1357">
        <v>931229909</v>
      </c>
      <c r="H1357"/>
      <c r="I1357"/>
      <c r="J1357"/>
      <c r="K1357" t="s">
        <v>1768</v>
      </c>
    </row>
    <row r="1358" spans="1:11">
      <c r="A1358">
        <v>44312</v>
      </c>
      <c r="B1358" t="s">
        <v>9</v>
      </c>
      <c r="C1358">
        <v>44309</v>
      </c>
      <c r="D1358" t="s">
        <v>279</v>
      </c>
      <c r="E1358" t="s">
        <v>1791</v>
      </c>
      <c r="F1358" t="s">
        <v>12</v>
      </c>
      <c r="G1358">
        <v>931229909</v>
      </c>
      <c r="H1358"/>
      <c r="I1358"/>
      <c r="J1358"/>
      <c r="K1358" t="s">
        <v>1763</v>
      </c>
    </row>
    <row r="1359" spans="1:11">
      <c r="A1359">
        <v>44312</v>
      </c>
      <c r="B1359" t="s">
        <v>9</v>
      </c>
      <c r="C1359">
        <v>44309</v>
      </c>
      <c r="D1359" t="s">
        <v>279</v>
      </c>
      <c r="E1359" t="s">
        <v>1792</v>
      </c>
      <c r="F1359" t="s">
        <v>12</v>
      </c>
      <c r="G1359">
        <v>931229909</v>
      </c>
      <c r="H1359"/>
      <c r="I1359"/>
      <c r="J1359"/>
      <c r="K1359" t="s">
        <v>1793</v>
      </c>
    </row>
    <row r="1360" spans="1:11">
      <c r="A1360">
        <v>44363</v>
      </c>
      <c r="B1360">
        <v>23105649982</v>
      </c>
      <c r="C1360">
        <v>44362</v>
      </c>
      <c r="D1360" t="s">
        <v>262</v>
      </c>
      <c r="E1360" t="s">
        <v>1794</v>
      </c>
      <c r="F1360" t="s">
        <v>264</v>
      </c>
      <c r="G1360" t="s">
        <v>1795</v>
      </c>
      <c r="H1360"/>
      <c r="I1360"/>
      <c r="J1360"/>
      <c r="K1360" t="s">
        <v>1778</v>
      </c>
    </row>
    <row r="1361" spans="1:11">
      <c r="A1361">
        <v>44363</v>
      </c>
      <c r="B1361">
        <v>23105649982</v>
      </c>
      <c r="C1361">
        <v>44362</v>
      </c>
      <c r="D1361" t="s">
        <v>262</v>
      </c>
      <c r="E1361" t="s">
        <v>1796</v>
      </c>
      <c r="F1361" t="s">
        <v>264</v>
      </c>
      <c r="G1361" t="s">
        <v>1795</v>
      </c>
      <c r="H1361"/>
      <c r="I1361"/>
      <c r="J1361"/>
      <c r="K1361" t="s">
        <v>1774</v>
      </c>
    </row>
    <row r="1362" spans="1:11">
      <c r="A1362">
        <v>44363</v>
      </c>
      <c r="B1362">
        <v>23105649982</v>
      </c>
      <c r="C1362">
        <v>44362</v>
      </c>
      <c r="D1362" t="s">
        <v>262</v>
      </c>
      <c r="E1362" t="s">
        <v>1797</v>
      </c>
      <c r="F1362" t="s">
        <v>264</v>
      </c>
      <c r="G1362" t="s">
        <v>1795</v>
      </c>
      <c r="H1362"/>
      <c r="I1362"/>
      <c r="J1362"/>
      <c r="K1362" t="s">
        <v>1776</v>
      </c>
    </row>
    <row r="1363" spans="1:11">
      <c r="A1363">
        <v>44363</v>
      </c>
      <c r="B1363">
        <v>23105649982</v>
      </c>
      <c r="C1363">
        <v>44362</v>
      </c>
      <c r="D1363" t="s">
        <v>262</v>
      </c>
      <c r="E1363" t="s">
        <v>1798</v>
      </c>
      <c r="F1363" t="s">
        <v>264</v>
      </c>
      <c r="G1363" t="s">
        <v>1795</v>
      </c>
      <c r="H1363"/>
      <c r="I1363"/>
      <c r="J1363"/>
      <c r="K1363" t="s">
        <v>1785</v>
      </c>
    </row>
    <row r="1364" spans="1:11">
      <c r="A1364">
        <v>44363</v>
      </c>
      <c r="B1364">
        <v>23105649982</v>
      </c>
      <c r="C1364">
        <v>44362</v>
      </c>
      <c r="D1364" t="s">
        <v>262</v>
      </c>
      <c r="E1364" t="s">
        <v>1799</v>
      </c>
      <c r="F1364" t="s">
        <v>264</v>
      </c>
      <c r="G1364" t="s">
        <v>1795</v>
      </c>
      <c r="H1364"/>
      <c r="I1364"/>
      <c r="J1364"/>
      <c r="K1364" t="s">
        <v>1772</v>
      </c>
    </row>
    <row r="1365" spans="1:11">
      <c r="A1365">
        <v>44363</v>
      </c>
      <c r="B1365">
        <v>23105649982</v>
      </c>
      <c r="C1365">
        <v>44362</v>
      </c>
      <c r="D1365" t="s">
        <v>262</v>
      </c>
      <c r="E1365" t="s">
        <v>1800</v>
      </c>
      <c r="F1365" t="s">
        <v>264</v>
      </c>
      <c r="G1365" t="s">
        <v>1795</v>
      </c>
      <c r="H1365"/>
      <c r="I1365"/>
      <c r="J1365"/>
      <c r="K1365" t="s">
        <v>1766</v>
      </c>
    </row>
    <row r="1366" spans="1:11">
      <c r="A1366">
        <v>44363</v>
      </c>
      <c r="B1366">
        <v>23105649982</v>
      </c>
      <c r="C1366">
        <v>44362</v>
      </c>
      <c r="D1366" t="s">
        <v>262</v>
      </c>
      <c r="E1366" t="s">
        <v>1801</v>
      </c>
      <c r="F1366" t="s">
        <v>264</v>
      </c>
      <c r="G1366" t="s">
        <v>1795</v>
      </c>
      <c r="H1366"/>
      <c r="I1366"/>
      <c r="J1366"/>
      <c r="K1366" t="s">
        <v>1770</v>
      </c>
    </row>
    <row r="1367" spans="1:11">
      <c r="A1367">
        <v>44363</v>
      </c>
      <c r="B1367">
        <v>23105649982</v>
      </c>
      <c r="C1367">
        <v>44362</v>
      </c>
      <c r="D1367" t="s">
        <v>262</v>
      </c>
      <c r="E1367" t="s">
        <v>1802</v>
      </c>
      <c r="F1367" t="s">
        <v>264</v>
      </c>
      <c r="G1367" t="s">
        <v>1795</v>
      </c>
      <c r="H1367"/>
      <c r="I1367"/>
      <c r="J1367"/>
      <c r="K1367" t="s">
        <v>1768</v>
      </c>
    </row>
    <row r="1368" spans="1:11">
      <c r="A1368">
        <v>44363</v>
      </c>
      <c r="B1368">
        <v>23105649982</v>
      </c>
      <c r="C1368">
        <v>44362</v>
      </c>
      <c r="D1368" t="s">
        <v>262</v>
      </c>
      <c r="E1368" t="s">
        <v>1803</v>
      </c>
      <c r="F1368" t="s">
        <v>264</v>
      </c>
      <c r="G1368" t="s">
        <v>1795</v>
      </c>
      <c r="H1368"/>
      <c r="I1368"/>
      <c r="J1368"/>
      <c r="K1368" t="s">
        <v>1781</v>
      </c>
    </row>
    <row r="1369" spans="1:11">
      <c r="A1369">
        <v>44363</v>
      </c>
      <c r="B1369">
        <v>23105649982</v>
      </c>
      <c r="C1369">
        <v>44362</v>
      </c>
      <c r="D1369" t="s">
        <v>262</v>
      </c>
      <c r="E1369" t="s">
        <v>1804</v>
      </c>
      <c r="F1369" t="s">
        <v>264</v>
      </c>
      <c r="G1369" t="s">
        <v>1795</v>
      </c>
      <c r="H1369"/>
      <c r="I1369"/>
      <c r="J1369"/>
      <c r="K1369" t="s">
        <v>1783</v>
      </c>
    </row>
    <row r="1370" spans="1:11">
      <c r="A1370">
        <v>44363</v>
      </c>
      <c r="B1370">
        <v>23105649982</v>
      </c>
      <c r="C1370">
        <v>44362</v>
      </c>
      <c r="D1370" t="s">
        <v>262</v>
      </c>
      <c r="E1370" t="s">
        <v>1805</v>
      </c>
      <c r="F1370" t="s">
        <v>264</v>
      </c>
      <c r="G1370" t="s">
        <v>1795</v>
      </c>
      <c r="H1370"/>
      <c r="I1370"/>
      <c r="J1370"/>
      <c r="K1370" t="s">
        <v>1789</v>
      </c>
    </row>
    <row r="1371" spans="1:11">
      <c r="A1371">
        <v>44363</v>
      </c>
      <c r="B1371">
        <v>23105649982</v>
      </c>
      <c r="C1371">
        <v>44362</v>
      </c>
      <c r="D1371" t="s">
        <v>262</v>
      </c>
      <c r="E1371" t="s">
        <v>1806</v>
      </c>
      <c r="F1371" t="s">
        <v>264</v>
      </c>
      <c r="G1371" t="s">
        <v>1795</v>
      </c>
      <c r="H1371"/>
      <c r="I1371"/>
      <c r="J1371"/>
      <c r="K1371" t="s">
        <v>1763</v>
      </c>
    </row>
    <row r="1372" spans="1:11">
      <c r="A1372">
        <v>44363</v>
      </c>
      <c r="B1372">
        <v>23105649982</v>
      </c>
      <c r="C1372">
        <v>44362</v>
      </c>
      <c r="D1372" t="s">
        <v>262</v>
      </c>
      <c r="E1372" t="s">
        <v>1807</v>
      </c>
      <c r="F1372" t="s">
        <v>264</v>
      </c>
      <c r="G1372" t="s">
        <v>1795</v>
      </c>
      <c r="H1372"/>
      <c r="I1372"/>
      <c r="J1372"/>
      <c r="K1372" t="s">
        <v>1793</v>
      </c>
    </row>
    <row r="1373" spans="1:11">
      <c r="A1373">
        <v>44375</v>
      </c>
      <c r="B1373" t="s">
        <v>207</v>
      </c>
      <c r="C1373">
        <v>44372</v>
      </c>
      <c r="D1373" t="s">
        <v>340</v>
      </c>
      <c r="E1373" t="s">
        <v>1808</v>
      </c>
      <c r="F1373" t="s">
        <v>210</v>
      </c>
      <c r="G1373">
        <v>931273713</v>
      </c>
      <c r="H1373"/>
      <c r="I1373"/>
      <c r="J1373"/>
      <c r="K1373" t="s">
        <v>1778</v>
      </c>
    </row>
    <row r="1374" spans="1:11">
      <c r="A1374"/>
      <c r="B1374"/>
      <c r="C1374"/>
      <c r="D1374" t="s">
        <v>582</v>
      </c>
      <c r="E1374" t="s">
        <v>1809</v>
      </c>
      <c r="F1374"/>
      <c r="G1374"/>
      <c r="H1374"/>
      <c r="I1374"/>
      <c r="J1374"/>
      <c r="K1374" t="s">
        <v>1778</v>
      </c>
    </row>
    <row r="1375" spans="1:11">
      <c r="A1375"/>
      <c r="B1375"/>
      <c r="C1375"/>
      <c r="D1375" t="s">
        <v>582</v>
      </c>
      <c r="E1375" t="s">
        <v>1810</v>
      </c>
      <c r="F1375"/>
      <c r="G1375"/>
      <c r="H1375"/>
      <c r="I1375"/>
      <c r="J1375"/>
      <c r="K1375" t="s">
        <v>1778</v>
      </c>
    </row>
    <row r="1376" spans="1:11">
      <c r="A1376"/>
      <c r="B1376"/>
      <c r="C1376"/>
      <c r="D1376" t="s">
        <v>581</v>
      </c>
      <c r="E1376" t="s">
        <v>1811</v>
      </c>
      <c r="F1376"/>
      <c r="G1376"/>
      <c r="H1376"/>
      <c r="I1376"/>
      <c r="J1376"/>
      <c r="K1376" t="s">
        <v>1778</v>
      </c>
    </row>
    <row r="1377" spans="1:11">
      <c r="A1377" s="1">
        <v>44375</v>
      </c>
      <c r="B1377" s="1" t="s">
        <v>207</v>
      </c>
      <c r="C1377" s="1">
        <v>44372</v>
      </c>
      <c r="D1377" s="1" t="s">
        <v>340</v>
      </c>
      <c r="E1377" s="1" t="s">
        <v>1812</v>
      </c>
      <c r="F1377" s="1" t="s">
        <v>210</v>
      </c>
      <c r="G1377" s="1">
        <v>931273713</v>
      </c>
      <c r="K1377" t="s">
        <v>1776</v>
      </c>
    </row>
    <row r="1378" spans="1:11">
      <c r="A1378"/>
      <c r="B1378"/>
      <c r="C1378"/>
      <c r="D1378" t="s">
        <v>582</v>
      </c>
      <c r="E1378" t="s">
        <v>1813</v>
      </c>
      <c r="F1378"/>
      <c r="G1378"/>
      <c r="H1378"/>
      <c r="I1378"/>
      <c r="J1378"/>
      <c r="K1378" t="s">
        <v>1776</v>
      </c>
    </row>
    <row r="1379" spans="1:11">
      <c r="A1379"/>
      <c r="B1379"/>
      <c r="C1379"/>
      <c r="D1379" t="s">
        <v>582</v>
      </c>
      <c r="E1379" t="s">
        <v>1814</v>
      </c>
      <c r="F1379"/>
      <c r="G1379"/>
      <c r="H1379"/>
      <c r="I1379"/>
      <c r="J1379"/>
      <c r="K1379" t="s">
        <v>1776</v>
      </c>
    </row>
    <row r="1380" spans="1:11">
      <c r="A1380"/>
      <c r="B1380"/>
      <c r="C1380"/>
      <c r="D1380" t="s">
        <v>581</v>
      </c>
      <c r="E1380" t="s">
        <v>1815</v>
      </c>
      <c r="F1380"/>
      <c r="G1380"/>
      <c r="H1380"/>
      <c r="I1380"/>
      <c r="J1380"/>
      <c r="K1380" t="s">
        <v>1776</v>
      </c>
    </row>
    <row r="1381" spans="1:11">
      <c r="A1381" s="1">
        <v>44375</v>
      </c>
      <c r="B1381" s="1" t="s">
        <v>207</v>
      </c>
      <c r="C1381" s="1">
        <v>44372</v>
      </c>
      <c r="D1381" s="1" t="s">
        <v>340</v>
      </c>
      <c r="E1381" s="1" t="s">
        <v>1816</v>
      </c>
      <c r="F1381" s="1" t="s">
        <v>210</v>
      </c>
      <c r="G1381" s="1">
        <v>931273713</v>
      </c>
      <c r="K1381" s="1" t="s">
        <v>1772</v>
      </c>
    </row>
    <row r="1382" spans="1:11">
      <c r="A1382"/>
      <c r="B1382"/>
      <c r="C1382"/>
      <c r="D1382" t="s">
        <v>582</v>
      </c>
      <c r="E1382" t="s">
        <v>1817</v>
      </c>
      <c r="F1382"/>
      <c r="G1382"/>
      <c r="H1382"/>
      <c r="I1382"/>
      <c r="J1382"/>
      <c r="K1382" t="s">
        <v>1772</v>
      </c>
    </row>
    <row r="1383" spans="1:11">
      <c r="A1383"/>
      <c r="B1383"/>
      <c r="C1383"/>
      <c r="D1383" t="s">
        <v>582</v>
      </c>
      <c r="E1383" t="s">
        <v>1818</v>
      </c>
      <c r="F1383"/>
      <c r="G1383"/>
      <c r="H1383"/>
      <c r="I1383"/>
      <c r="J1383"/>
      <c r="K1383" t="s">
        <v>1772</v>
      </c>
    </row>
    <row r="1384" spans="1:11">
      <c r="A1384"/>
      <c r="B1384"/>
      <c r="C1384"/>
      <c r="D1384" t="s">
        <v>581</v>
      </c>
      <c r="E1384" t="s">
        <v>1819</v>
      </c>
      <c r="F1384"/>
      <c r="G1384"/>
      <c r="H1384"/>
      <c r="I1384"/>
      <c r="J1384"/>
      <c r="K1384" t="s">
        <v>1772</v>
      </c>
    </row>
    <row r="1385" spans="1:11">
      <c r="A1385">
        <v>44375</v>
      </c>
      <c r="B1385" t="s">
        <v>207</v>
      </c>
      <c r="C1385">
        <v>44372</v>
      </c>
      <c r="D1385" t="s">
        <v>340</v>
      </c>
      <c r="E1385" t="s">
        <v>1820</v>
      </c>
      <c r="F1385" t="s">
        <v>210</v>
      </c>
      <c r="G1385">
        <v>931273713</v>
      </c>
      <c r="H1385"/>
      <c r="I1385"/>
      <c r="J1385"/>
      <c r="K1385" t="s">
        <v>1766</v>
      </c>
    </row>
    <row r="1386" spans="1:11">
      <c r="A1386"/>
      <c r="B1386"/>
      <c r="C1386"/>
      <c r="D1386" t="s">
        <v>582</v>
      </c>
      <c r="E1386" t="s">
        <v>1821</v>
      </c>
      <c r="F1386"/>
      <c r="G1386"/>
      <c r="H1386"/>
      <c r="I1386"/>
      <c r="J1386"/>
      <c r="K1386" t="s">
        <v>1766</v>
      </c>
    </row>
    <row r="1387" spans="1:11">
      <c r="A1387"/>
      <c r="B1387"/>
      <c r="C1387"/>
      <c r="D1387" t="s">
        <v>582</v>
      </c>
      <c r="E1387" t="s">
        <v>1822</v>
      </c>
      <c r="F1387"/>
      <c r="G1387"/>
      <c r="H1387"/>
      <c r="I1387"/>
      <c r="J1387"/>
      <c r="K1387" t="s">
        <v>1766</v>
      </c>
    </row>
    <row r="1388" spans="1:11">
      <c r="A1388"/>
      <c r="B1388"/>
      <c r="C1388"/>
      <c r="D1388" t="s">
        <v>581</v>
      </c>
      <c r="E1388" t="s">
        <v>1823</v>
      </c>
      <c r="F1388"/>
      <c r="G1388"/>
      <c r="H1388"/>
      <c r="I1388"/>
      <c r="J1388"/>
      <c r="K1388" t="s">
        <v>1766</v>
      </c>
    </row>
    <row r="1389" spans="1:11">
      <c r="A1389">
        <v>44375</v>
      </c>
      <c r="B1389" t="s">
        <v>207</v>
      </c>
      <c r="C1389">
        <v>44372</v>
      </c>
      <c r="D1389" t="s">
        <v>340</v>
      </c>
      <c r="E1389" t="s">
        <v>1824</v>
      </c>
      <c r="F1389" t="s">
        <v>210</v>
      </c>
      <c r="G1389">
        <v>931273713</v>
      </c>
      <c r="H1389"/>
      <c r="I1389"/>
      <c r="J1389"/>
      <c r="K1389" t="s">
        <v>1781</v>
      </c>
    </row>
    <row r="1390" spans="1:11">
      <c r="A1390"/>
      <c r="B1390"/>
      <c r="C1390"/>
      <c r="D1390" t="s">
        <v>582</v>
      </c>
      <c r="E1390" t="s">
        <v>1825</v>
      </c>
      <c r="F1390"/>
      <c r="G1390"/>
      <c r="H1390"/>
      <c r="I1390"/>
      <c r="J1390"/>
      <c r="K1390" t="s">
        <v>1781</v>
      </c>
    </row>
    <row r="1391" spans="1:11">
      <c r="A1391"/>
      <c r="B1391"/>
      <c r="C1391"/>
      <c r="D1391" t="s">
        <v>582</v>
      </c>
      <c r="E1391" t="s">
        <v>1826</v>
      </c>
      <c r="F1391"/>
      <c r="G1391"/>
      <c r="H1391"/>
      <c r="I1391"/>
      <c r="J1391"/>
      <c r="K1391" t="s">
        <v>1781</v>
      </c>
    </row>
    <row r="1392" spans="1:11">
      <c r="B1392" s="1"/>
      <c r="D1392" t="s">
        <v>581</v>
      </c>
      <c r="E1392" t="s">
        <v>1827</v>
      </c>
      <c r="G1392"/>
      <c r="H1392"/>
      <c r="I1392"/>
      <c r="J1392"/>
      <c r="K1392" t="s">
        <v>1781</v>
      </c>
    </row>
    <row r="1393" spans="1:11">
      <c r="A1393">
        <v>44375</v>
      </c>
      <c r="B1393" t="s">
        <v>207</v>
      </c>
      <c r="C1393">
        <v>44372</v>
      </c>
      <c r="D1393" t="s">
        <v>340</v>
      </c>
      <c r="E1393" t="s">
        <v>1828</v>
      </c>
      <c r="F1393" t="s">
        <v>210</v>
      </c>
      <c r="G1393">
        <v>931273713</v>
      </c>
      <c r="H1393"/>
      <c r="I1393"/>
      <c r="J1393"/>
      <c r="K1393" t="s">
        <v>1783</v>
      </c>
    </row>
    <row r="1394" spans="1:11">
      <c r="A1394"/>
      <c r="B1394"/>
      <c r="C1394"/>
      <c r="D1394" t="s">
        <v>582</v>
      </c>
      <c r="E1394" t="s">
        <v>1829</v>
      </c>
      <c r="F1394"/>
      <c r="G1394"/>
      <c r="H1394"/>
      <c r="I1394"/>
      <c r="J1394"/>
      <c r="K1394" t="s">
        <v>1783</v>
      </c>
    </row>
    <row r="1395" spans="1:11">
      <c r="A1395"/>
      <c r="B1395"/>
      <c r="C1395"/>
      <c r="D1395" t="s">
        <v>582</v>
      </c>
      <c r="E1395" t="s">
        <v>1830</v>
      </c>
      <c r="F1395"/>
      <c r="G1395"/>
      <c r="H1395"/>
      <c r="I1395"/>
      <c r="J1395"/>
      <c r="K1395" t="s">
        <v>1783</v>
      </c>
    </row>
    <row r="1396" spans="1:11">
      <c r="B1396" s="1"/>
      <c r="D1396" s="1" t="s">
        <v>581</v>
      </c>
      <c r="E1396" s="1" t="s">
        <v>1831</v>
      </c>
      <c r="K1396" s="1" t="s">
        <v>1783</v>
      </c>
    </row>
    <row r="1397" spans="1:11">
      <c r="A1397">
        <v>44375</v>
      </c>
      <c r="B1397" t="s">
        <v>207</v>
      </c>
      <c r="C1397">
        <v>44372</v>
      </c>
      <c r="D1397" t="s">
        <v>340</v>
      </c>
      <c r="E1397" t="s">
        <v>1832</v>
      </c>
      <c r="F1397" t="s">
        <v>210</v>
      </c>
      <c r="G1397">
        <v>931273713</v>
      </c>
      <c r="H1397"/>
      <c r="I1397"/>
      <c r="J1397"/>
      <c r="K1397" t="s">
        <v>1763</v>
      </c>
    </row>
    <row r="1398" spans="1:11">
      <c r="A1398"/>
      <c r="B1398"/>
      <c r="C1398"/>
      <c r="D1398" t="s">
        <v>582</v>
      </c>
      <c r="E1398" t="s">
        <v>1833</v>
      </c>
      <c r="F1398"/>
      <c r="G1398"/>
      <c r="H1398"/>
      <c r="I1398"/>
      <c r="J1398"/>
      <c r="K1398" t="s">
        <v>1763</v>
      </c>
    </row>
    <row r="1399" spans="1:11">
      <c r="A1399"/>
      <c r="B1399"/>
      <c r="C1399"/>
      <c r="D1399" t="s">
        <v>582</v>
      </c>
      <c r="E1399" t="s">
        <v>1834</v>
      </c>
      <c r="F1399"/>
      <c r="G1399"/>
      <c r="H1399"/>
      <c r="I1399"/>
      <c r="J1399"/>
      <c r="K1399" t="s">
        <v>1763</v>
      </c>
    </row>
    <row r="1400" spans="1:11">
      <c r="A1400"/>
      <c r="B1400"/>
      <c r="C1400"/>
      <c r="D1400" t="s">
        <v>581</v>
      </c>
      <c r="E1400" t="s">
        <v>1835</v>
      </c>
      <c r="F1400"/>
      <c r="G1400"/>
      <c r="H1400"/>
      <c r="I1400"/>
      <c r="J1400"/>
      <c r="K1400" t="s">
        <v>1763</v>
      </c>
    </row>
    <row r="1401" spans="1:11">
      <c r="A1401">
        <v>44375</v>
      </c>
      <c r="B1401" t="s">
        <v>207</v>
      </c>
      <c r="C1401">
        <v>44372</v>
      </c>
      <c r="D1401" t="s">
        <v>340</v>
      </c>
      <c r="E1401" t="s">
        <v>1836</v>
      </c>
      <c r="F1401" t="s">
        <v>210</v>
      </c>
      <c r="G1401">
        <v>931273713</v>
      </c>
      <c r="H1401"/>
      <c r="I1401"/>
      <c r="J1401"/>
      <c r="K1401" t="s">
        <v>1774</v>
      </c>
    </row>
    <row r="1402" spans="1:11">
      <c r="A1402"/>
      <c r="B1402"/>
      <c r="C1402"/>
      <c r="D1402" t="s">
        <v>582</v>
      </c>
      <c r="E1402" t="s">
        <v>1837</v>
      </c>
      <c r="F1402"/>
      <c r="G1402"/>
      <c r="H1402"/>
      <c r="I1402"/>
      <c r="J1402"/>
      <c r="K1402" t="s">
        <v>1774</v>
      </c>
    </row>
    <row r="1403" spans="1:11">
      <c r="A1403"/>
      <c r="B1403"/>
      <c r="C1403"/>
      <c r="D1403" t="s">
        <v>582</v>
      </c>
      <c r="E1403" t="s">
        <v>1838</v>
      </c>
      <c r="F1403"/>
      <c r="G1403"/>
      <c r="H1403"/>
      <c r="I1403"/>
      <c r="J1403"/>
      <c r="K1403" t="s">
        <v>1774</v>
      </c>
    </row>
    <row r="1404" spans="1:11">
      <c r="A1404"/>
      <c r="B1404"/>
      <c r="C1404"/>
      <c r="D1404" t="s">
        <v>581</v>
      </c>
      <c r="E1404" t="s">
        <v>1839</v>
      </c>
      <c r="F1404"/>
      <c r="G1404"/>
      <c r="H1404"/>
      <c r="I1404"/>
      <c r="J1404"/>
      <c r="K1404" t="s">
        <v>1774</v>
      </c>
    </row>
    <row r="1405" spans="1:11">
      <c r="A1405" s="1">
        <v>44375</v>
      </c>
      <c r="B1405" s="1" t="s">
        <v>207</v>
      </c>
      <c r="C1405" s="1">
        <v>44372</v>
      </c>
      <c r="D1405" s="1" t="s">
        <v>340</v>
      </c>
      <c r="E1405" s="1" t="s">
        <v>1840</v>
      </c>
      <c r="F1405" s="1" t="s">
        <v>210</v>
      </c>
      <c r="G1405" s="1">
        <v>931273713</v>
      </c>
      <c r="K1405" s="1" t="s">
        <v>1785</v>
      </c>
    </row>
    <row r="1406" spans="1:11">
      <c r="B1406" s="1"/>
      <c r="D1406" s="1" t="s">
        <v>582</v>
      </c>
      <c r="E1406" s="1" t="s">
        <v>1841</v>
      </c>
      <c r="G1406"/>
      <c r="K1406" s="1" t="s">
        <v>1785</v>
      </c>
    </row>
    <row r="1407" spans="1:11">
      <c r="A1407"/>
      <c r="B1407"/>
      <c r="C1407"/>
      <c r="D1407" t="s">
        <v>582</v>
      </c>
      <c r="E1407" t="s">
        <v>1842</v>
      </c>
      <c r="F1407"/>
      <c r="G1407"/>
      <c r="H1407"/>
      <c r="I1407"/>
      <c r="J1407"/>
      <c r="K1407" t="s">
        <v>1785</v>
      </c>
    </row>
    <row r="1408" spans="1:11">
      <c r="A1408"/>
      <c r="B1408"/>
      <c r="C1408"/>
      <c r="D1408" t="s">
        <v>581</v>
      </c>
      <c r="E1408" t="s">
        <v>1843</v>
      </c>
      <c r="F1408"/>
      <c r="G1408"/>
      <c r="H1408"/>
      <c r="I1408"/>
      <c r="J1408"/>
      <c r="K1408" t="s">
        <v>1785</v>
      </c>
    </row>
    <row r="1409" spans="1:11">
      <c r="A1409">
        <v>44375</v>
      </c>
      <c r="B1409" t="s">
        <v>207</v>
      </c>
      <c r="C1409">
        <v>44372</v>
      </c>
      <c r="D1409" t="s">
        <v>340</v>
      </c>
      <c r="E1409" t="s">
        <v>1844</v>
      </c>
      <c r="F1409" t="s">
        <v>210</v>
      </c>
      <c r="G1409">
        <v>931273713</v>
      </c>
      <c r="H1409"/>
      <c r="I1409"/>
      <c r="J1409"/>
      <c r="K1409" t="s">
        <v>1770</v>
      </c>
    </row>
    <row r="1410" spans="1:11">
      <c r="B1410" s="1"/>
      <c r="D1410" s="1" t="s">
        <v>582</v>
      </c>
      <c r="E1410" s="1" t="s">
        <v>1845</v>
      </c>
      <c r="K1410" s="1" t="s">
        <v>1770</v>
      </c>
    </row>
    <row r="1411" spans="1:11">
      <c r="A1411"/>
      <c r="B1411"/>
      <c r="C1411"/>
      <c r="D1411" t="s">
        <v>582</v>
      </c>
      <c r="E1411" t="s">
        <v>1846</v>
      </c>
      <c r="F1411"/>
      <c r="G1411"/>
      <c r="H1411"/>
      <c r="I1411"/>
      <c r="J1411"/>
      <c r="K1411" t="s">
        <v>1770</v>
      </c>
    </row>
    <row r="1412" spans="1:11">
      <c r="A1412"/>
      <c r="B1412"/>
      <c r="C1412"/>
      <c r="D1412" t="s">
        <v>581</v>
      </c>
      <c r="E1412" t="s">
        <v>1847</v>
      </c>
      <c r="F1412"/>
      <c r="G1412"/>
      <c r="H1412"/>
      <c r="I1412"/>
      <c r="J1412"/>
      <c r="K1412" t="s">
        <v>1770</v>
      </c>
    </row>
    <row r="1413" spans="1:11">
      <c r="A1413">
        <v>44375</v>
      </c>
      <c r="B1413" t="s">
        <v>207</v>
      </c>
      <c r="C1413">
        <v>44372</v>
      </c>
      <c r="D1413" t="s">
        <v>340</v>
      </c>
      <c r="E1413" t="s">
        <v>1848</v>
      </c>
      <c r="F1413" t="s">
        <v>210</v>
      </c>
      <c r="G1413">
        <v>931273713</v>
      </c>
      <c r="H1413"/>
      <c r="I1413"/>
      <c r="J1413"/>
      <c r="K1413" t="s">
        <v>1768</v>
      </c>
    </row>
    <row r="1414" spans="1:11">
      <c r="A1414"/>
      <c r="B1414"/>
      <c r="C1414"/>
      <c r="D1414" t="s">
        <v>582</v>
      </c>
      <c r="E1414" t="s">
        <v>1849</v>
      </c>
      <c r="F1414"/>
      <c r="G1414"/>
      <c r="H1414"/>
      <c r="I1414"/>
      <c r="J1414"/>
      <c r="K1414" t="s">
        <v>1768</v>
      </c>
    </row>
    <row r="1415" spans="1:11">
      <c r="A1415"/>
      <c r="B1415"/>
      <c r="C1415"/>
      <c r="D1415" t="s">
        <v>582</v>
      </c>
      <c r="E1415" t="s">
        <v>1850</v>
      </c>
      <c r="F1415"/>
      <c r="G1415"/>
      <c r="H1415"/>
      <c r="I1415"/>
      <c r="J1415"/>
      <c r="K1415" t="s">
        <v>1768</v>
      </c>
    </row>
    <row r="1416" spans="1:11">
      <c r="A1416"/>
      <c r="B1416"/>
      <c r="C1416"/>
      <c r="D1416" t="s">
        <v>581</v>
      </c>
      <c r="E1416" t="s">
        <v>1851</v>
      </c>
      <c r="F1416"/>
      <c r="G1416"/>
      <c r="H1416"/>
      <c r="I1416"/>
      <c r="J1416"/>
      <c r="K1416" t="s">
        <v>1768</v>
      </c>
    </row>
    <row r="1417" spans="1:11">
      <c r="A1417">
        <v>44375</v>
      </c>
      <c r="B1417" t="s">
        <v>207</v>
      </c>
      <c r="C1417" s="1">
        <v>44372</v>
      </c>
      <c r="D1417" s="1" t="s">
        <v>340</v>
      </c>
      <c r="E1417" s="1" t="s">
        <v>1852</v>
      </c>
      <c r="F1417" s="1" t="s">
        <v>210</v>
      </c>
      <c r="G1417" s="1">
        <v>931273713</v>
      </c>
      <c r="K1417" s="1" t="s">
        <v>1789</v>
      </c>
    </row>
    <row r="1418" spans="1:11">
      <c r="A1418"/>
      <c r="B1418"/>
      <c r="C1418"/>
      <c r="D1418" t="s">
        <v>582</v>
      </c>
      <c r="E1418" t="s">
        <v>1853</v>
      </c>
      <c r="F1418"/>
      <c r="G1418"/>
      <c r="H1418"/>
      <c r="I1418"/>
      <c r="J1418"/>
      <c r="K1418" t="s">
        <v>1789</v>
      </c>
    </row>
    <row r="1419" spans="1:11">
      <c r="A1419"/>
      <c r="B1419"/>
      <c r="C1419"/>
      <c r="D1419" t="s">
        <v>582</v>
      </c>
      <c r="E1419" t="s">
        <v>1854</v>
      </c>
      <c r="F1419"/>
      <c r="G1419"/>
      <c r="H1419"/>
      <c r="I1419"/>
      <c r="J1419"/>
      <c r="K1419" t="s">
        <v>1789</v>
      </c>
    </row>
    <row r="1420" spans="1:11">
      <c r="B1420" s="1"/>
      <c r="D1420" t="s">
        <v>581</v>
      </c>
      <c r="E1420" t="s">
        <v>1855</v>
      </c>
      <c r="G1420"/>
      <c r="H1420"/>
      <c r="I1420"/>
      <c r="J1420"/>
      <c r="K1420" t="s">
        <v>1789</v>
      </c>
    </row>
    <row r="1421" spans="1:11">
      <c r="A1421">
        <v>44375</v>
      </c>
      <c r="B1421" t="s">
        <v>207</v>
      </c>
      <c r="C1421">
        <v>44372</v>
      </c>
      <c r="D1421" t="s">
        <v>340</v>
      </c>
      <c r="E1421" t="s">
        <v>1856</v>
      </c>
      <c r="F1421" t="s">
        <v>210</v>
      </c>
      <c r="G1421">
        <v>931273713</v>
      </c>
      <c r="H1421"/>
      <c r="I1421"/>
      <c r="J1421"/>
      <c r="K1421" t="s">
        <v>1793</v>
      </c>
    </row>
    <row r="1422" spans="1:11">
      <c r="A1422"/>
      <c r="B1422"/>
      <c r="C1422"/>
      <c r="D1422" t="s">
        <v>582</v>
      </c>
      <c r="E1422" t="s">
        <v>1857</v>
      </c>
      <c r="F1422"/>
      <c r="G1422"/>
      <c r="H1422"/>
      <c r="I1422"/>
      <c r="J1422"/>
      <c r="K1422" t="s">
        <v>1793</v>
      </c>
    </row>
    <row r="1423" spans="1:11">
      <c r="A1423"/>
      <c r="B1423"/>
      <c r="C1423"/>
      <c r="D1423" t="s">
        <v>582</v>
      </c>
      <c r="E1423" t="s">
        <v>1858</v>
      </c>
      <c r="F1423"/>
      <c r="G1423"/>
      <c r="H1423"/>
      <c r="I1423"/>
      <c r="J1423"/>
      <c r="K1423" t="s">
        <v>1793</v>
      </c>
    </row>
    <row r="1424" spans="1:11">
      <c r="A1424"/>
      <c r="B1424"/>
      <c r="C1424"/>
      <c r="D1424" t="s">
        <v>581</v>
      </c>
      <c r="E1424" t="s">
        <v>1859</v>
      </c>
      <c r="F1424"/>
      <c r="G1424"/>
      <c r="H1424"/>
      <c r="I1424"/>
      <c r="J1424"/>
      <c r="K1424" t="s">
        <v>1793</v>
      </c>
    </row>
    <row r="1425" spans="1:11">
      <c r="A1425">
        <v>44375</v>
      </c>
      <c r="B1425" t="s">
        <v>207</v>
      </c>
      <c r="C1425">
        <v>44372</v>
      </c>
      <c r="D1425" t="s">
        <v>293</v>
      </c>
      <c r="E1425" t="s">
        <v>1860</v>
      </c>
      <c r="F1425" t="s">
        <v>210</v>
      </c>
      <c r="G1425">
        <v>931273713</v>
      </c>
      <c r="H1425"/>
      <c r="I1425"/>
      <c r="J1425"/>
      <c r="K1425" t="s">
        <v>1783</v>
      </c>
    </row>
    <row r="1426" spans="1:11">
      <c r="A1426">
        <v>44375</v>
      </c>
      <c r="B1426" t="s">
        <v>207</v>
      </c>
      <c r="C1426">
        <v>44372</v>
      </c>
      <c r="D1426" t="s">
        <v>293</v>
      </c>
      <c r="E1426" t="s">
        <v>1861</v>
      </c>
      <c r="F1426" t="s">
        <v>210</v>
      </c>
      <c r="G1426">
        <v>931273713</v>
      </c>
      <c r="H1426"/>
      <c r="I1426"/>
      <c r="J1426"/>
      <c r="K1426" t="s">
        <v>1785</v>
      </c>
    </row>
    <row r="1427" spans="1:11">
      <c r="A1427">
        <v>44375</v>
      </c>
      <c r="B1427" t="s">
        <v>207</v>
      </c>
      <c r="C1427">
        <v>44372</v>
      </c>
      <c r="D1427" t="s">
        <v>293</v>
      </c>
      <c r="E1427" t="s">
        <v>1862</v>
      </c>
      <c r="F1427" t="s">
        <v>210</v>
      </c>
      <c r="G1427">
        <v>931273713</v>
      </c>
      <c r="H1427"/>
      <c r="I1427"/>
      <c r="J1427"/>
      <c r="K1427" t="s">
        <v>1776</v>
      </c>
    </row>
    <row r="1428" spans="1:11">
      <c r="A1428">
        <v>44375</v>
      </c>
      <c r="B1428" t="s">
        <v>207</v>
      </c>
      <c r="C1428">
        <v>44372</v>
      </c>
      <c r="D1428" t="s">
        <v>293</v>
      </c>
      <c r="E1428" t="s">
        <v>1863</v>
      </c>
      <c r="F1428" t="s">
        <v>210</v>
      </c>
      <c r="G1428">
        <v>931273713</v>
      </c>
      <c r="H1428"/>
      <c r="I1428"/>
      <c r="J1428"/>
      <c r="K1428" t="s">
        <v>1774</v>
      </c>
    </row>
    <row r="1429" spans="1:11">
      <c r="A1429">
        <v>44375</v>
      </c>
      <c r="B1429" t="s">
        <v>207</v>
      </c>
      <c r="C1429">
        <v>44372</v>
      </c>
      <c r="D1429" t="s">
        <v>293</v>
      </c>
      <c r="E1429" t="s">
        <v>1864</v>
      </c>
      <c r="F1429" t="s">
        <v>210</v>
      </c>
      <c r="G1429">
        <v>931273713</v>
      </c>
      <c r="H1429"/>
      <c r="I1429"/>
      <c r="J1429"/>
      <c r="K1429" t="s">
        <v>1793</v>
      </c>
    </row>
    <row r="1430" spans="1:11">
      <c r="A1430">
        <v>44375</v>
      </c>
      <c r="B1430" t="s">
        <v>207</v>
      </c>
      <c r="C1430">
        <v>44372</v>
      </c>
      <c r="D1430" t="s">
        <v>293</v>
      </c>
      <c r="E1430" t="s">
        <v>1865</v>
      </c>
      <c r="F1430" t="s">
        <v>210</v>
      </c>
      <c r="G1430">
        <v>931273713</v>
      </c>
      <c r="H1430"/>
      <c r="I1430"/>
      <c r="J1430"/>
      <c r="K1430" t="s">
        <v>1770</v>
      </c>
    </row>
    <row r="1431" spans="1:11">
      <c r="A1431">
        <v>44375</v>
      </c>
      <c r="B1431" t="s">
        <v>207</v>
      </c>
      <c r="C1431">
        <v>44372</v>
      </c>
      <c r="D1431" t="s">
        <v>293</v>
      </c>
      <c r="E1431" t="s">
        <v>1866</v>
      </c>
      <c r="F1431" t="s">
        <v>210</v>
      </c>
      <c r="G1431">
        <v>931273713</v>
      </c>
      <c r="H1431"/>
      <c r="I1431"/>
      <c r="J1431"/>
      <c r="K1431" t="s">
        <v>1768</v>
      </c>
    </row>
    <row r="1432" spans="1:11">
      <c r="A1432">
        <v>44375</v>
      </c>
      <c r="B1432" t="s">
        <v>207</v>
      </c>
      <c r="C1432">
        <v>44372</v>
      </c>
      <c r="D1432" t="s">
        <v>293</v>
      </c>
      <c r="E1432" t="s">
        <v>1867</v>
      </c>
      <c r="F1432" t="s">
        <v>210</v>
      </c>
      <c r="G1432">
        <v>931273713</v>
      </c>
      <c r="H1432"/>
      <c r="I1432"/>
      <c r="J1432"/>
      <c r="K1432" t="s">
        <v>1781</v>
      </c>
    </row>
    <row r="1433" spans="1:11">
      <c r="A1433">
        <v>44375</v>
      </c>
      <c r="B1433" t="s">
        <v>207</v>
      </c>
      <c r="C1433">
        <v>44372</v>
      </c>
      <c r="D1433" t="s">
        <v>293</v>
      </c>
      <c r="E1433" t="s">
        <v>1868</v>
      </c>
      <c r="F1433" t="s">
        <v>210</v>
      </c>
      <c r="G1433">
        <v>931273713</v>
      </c>
      <c r="H1433"/>
      <c r="I1433"/>
      <c r="J1433"/>
      <c r="K1433" t="s">
        <v>1763</v>
      </c>
    </row>
    <row r="1434" spans="1:11">
      <c r="A1434">
        <v>44375</v>
      </c>
      <c r="B1434" t="s">
        <v>207</v>
      </c>
      <c r="C1434">
        <v>44372</v>
      </c>
      <c r="D1434" t="s">
        <v>293</v>
      </c>
      <c r="E1434" t="s">
        <v>1869</v>
      </c>
      <c r="F1434" t="s">
        <v>210</v>
      </c>
      <c r="G1434">
        <v>931273713</v>
      </c>
      <c r="H1434"/>
      <c r="I1434"/>
      <c r="J1434"/>
      <c r="K1434" t="s">
        <v>1766</v>
      </c>
    </row>
    <row r="1435" spans="1:11">
      <c r="A1435">
        <v>44375</v>
      </c>
      <c r="B1435" t="s">
        <v>207</v>
      </c>
      <c r="C1435">
        <v>44372</v>
      </c>
      <c r="D1435" t="s">
        <v>293</v>
      </c>
      <c r="E1435" t="s">
        <v>1870</v>
      </c>
      <c r="F1435" t="s">
        <v>210</v>
      </c>
      <c r="G1435">
        <v>931273713</v>
      </c>
      <c r="H1435"/>
      <c r="I1435"/>
      <c r="J1435"/>
      <c r="K1435" t="s">
        <v>1772</v>
      </c>
    </row>
    <row r="1436" spans="1:11">
      <c r="A1436">
        <v>44375</v>
      </c>
      <c r="B1436" t="s">
        <v>207</v>
      </c>
      <c r="C1436">
        <v>44372</v>
      </c>
      <c r="D1436" t="s">
        <v>293</v>
      </c>
      <c r="E1436" t="s">
        <v>1871</v>
      </c>
      <c r="F1436" t="s">
        <v>210</v>
      </c>
      <c r="G1436">
        <v>931273713</v>
      </c>
      <c r="H1436"/>
      <c r="I1436"/>
      <c r="J1436"/>
      <c r="K1436" t="s">
        <v>1789</v>
      </c>
    </row>
    <row r="1437" spans="1:11">
      <c r="A1437">
        <v>44375</v>
      </c>
      <c r="B1437" t="s">
        <v>207</v>
      </c>
      <c r="C1437">
        <v>44372</v>
      </c>
      <c r="D1437" t="s">
        <v>293</v>
      </c>
      <c r="E1437" t="s">
        <v>1872</v>
      </c>
      <c r="F1437" t="s">
        <v>210</v>
      </c>
      <c r="G1437">
        <v>931273713</v>
      </c>
      <c r="H1437"/>
      <c r="I1437"/>
      <c r="J1437"/>
      <c r="K1437" t="s">
        <v>1778</v>
      </c>
    </row>
    <row r="1438" spans="1:11">
      <c r="A1438">
        <v>44375</v>
      </c>
      <c r="B1438" t="s">
        <v>207</v>
      </c>
      <c r="C1438">
        <v>44372</v>
      </c>
      <c r="D1438" t="s">
        <v>321</v>
      </c>
      <c r="E1438" t="s">
        <v>1873</v>
      </c>
      <c r="F1438" t="s">
        <v>210</v>
      </c>
      <c r="G1438">
        <v>931273713</v>
      </c>
      <c r="H1438"/>
      <c r="I1438"/>
      <c r="J1438"/>
      <c r="K1438" t="s">
        <v>1793</v>
      </c>
    </row>
    <row r="1439" spans="1:11">
      <c r="A1439">
        <v>44375</v>
      </c>
      <c r="B1439" t="s">
        <v>207</v>
      </c>
      <c r="C1439">
        <v>44372</v>
      </c>
      <c r="D1439" t="s">
        <v>321</v>
      </c>
      <c r="E1439" t="s">
        <v>1874</v>
      </c>
      <c r="F1439" t="s">
        <v>210</v>
      </c>
      <c r="G1439">
        <v>931273713</v>
      </c>
      <c r="H1439"/>
      <c r="I1439"/>
      <c r="J1439"/>
      <c r="K1439" t="s">
        <v>1770</v>
      </c>
    </row>
    <row r="1440" spans="1:11">
      <c r="A1440">
        <v>44375</v>
      </c>
      <c r="B1440" t="s">
        <v>207</v>
      </c>
      <c r="C1440">
        <v>44372</v>
      </c>
      <c r="D1440" t="s">
        <v>321</v>
      </c>
      <c r="E1440" t="s">
        <v>1875</v>
      </c>
      <c r="F1440" t="s">
        <v>210</v>
      </c>
      <c r="G1440">
        <v>931273713</v>
      </c>
      <c r="H1440"/>
      <c r="I1440"/>
      <c r="J1440"/>
      <c r="K1440" t="s">
        <v>1781</v>
      </c>
    </row>
    <row r="1441" spans="1:11">
      <c r="A1441">
        <v>44375</v>
      </c>
      <c r="B1441" t="s">
        <v>207</v>
      </c>
      <c r="C1441">
        <v>44372</v>
      </c>
      <c r="D1441" t="s">
        <v>321</v>
      </c>
      <c r="E1441" t="s">
        <v>1876</v>
      </c>
      <c r="F1441" t="s">
        <v>210</v>
      </c>
      <c r="G1441">
        <v>931273713</v>
      </c>
      <c r="H1441"/>
      <c r="I1441"/>
      <c r="J1441"/>
      <c r="K1441" t="s">
        <v>1772</v>
      </c>
    </row>
    <row r="1442" spans="1:11">
      <c r="A1442">
        <v>44375</v>
      </c>
      <c r="B1442" t="s">
        <v>207</v>
      </c>
      <c r="C1442">
        <v>44372</v>
      </c>
      <c r="D1442" t="s">
        <v>321</v>
      </c>
      <c r="E1442" t="s">
        <v>1877</v>
      </c>
      <c r="F1442" t="s">
        <v>210</v>
      </c>
      <c r="G1442">
        <v>931273713</v>
      </c>
      <c r="H1442"/>
      <c r="I1442"/>
      <c r="J1442"/>
      <c r="K1442" t="s">
        <v>1768</v>
      </c>
    </row>
    <row r="1443" spans="1:11">
      <c r="A1443">
        <v>44375</v>
      </c>
      <c r="B1443" t="s">
        <v>207</v>
      </c>
      <c r="C1443">
        <v>44372</v>
      </c>
      <c r="D1443" t="s">
        <v>321</v>
      </c>
      <c r="E1443" t="s">
        <v>1878</v>
      </c>
      <c r="F1443" t="s">
        <v>210</v>
      </c>
      <c r="G1443">
        <v>931273713</v>
      </c>
      <c r="H1443"/>
      <c r="I1443"/>
      <c r="J1443"/>
      <c r="K1443" t="s">
        <v>1783</v>
      </c>
    </row>
    <row r="1444" spans="1:11">
      <c r="A1444">
        <v>44375</v>
      </c>
      <c r="B1444" t="s">
        <v>207</v>
      </c>
      <c r="C1444">
        <v>44372</v>
      </c>
      <c r="D1444" t="s">
        <v>321</v>
      </c>
      <c r="E1444" t="s">
        <v>1879</v>
      </c>
      <c r="F1444" t="s">
        <v>210</v>
      </c>
      <c r="G1444">
        <v>931273713</v>
      </c>
      <c r="H1444"/>
      <c r="I1444"/>
      <c r="J1444"/>
      <c r="K1444" t="s">
        <v>1778</v>
      </c>
    </row>
    <row r="1445" spans="1:11">
      <c r="A1445">
        <v>44375</v>
      </c>
      <c r="B1445" t="s">
        <v>207</v>
      </c>
      <c r="C1445">
        <v>44372</v>
      </c>
      <c r="D1445" t="s">
        <v>321</v>
      </c>
      <c r="E1445" t="s">
        <v>1880</v>
      </c>
      <c r="F1445" t="s">
        <v>210</v>
      </c>
      <c r="G1445">
        <v>931273713</v>
      </c>
      <c r="H1445"/>
      <c r="I1445"/>
      <c r="J1445"/>
      <c r="K1445" t="s">
        <v>1785</v>
      </c>
    </row>
    <row r="1446" spans="1:11">
      <c r="A1446">
        <v>44375</v>
      </c>
      <c r="B1446" t="s">
        <v>207</v>
      </c>
      <c r="C1446">
        <v>44372</v>
      </c>
      <c r="D1446" t="s">
        <v>321</v>
      </c>
      <c r="E1446" t="s">
        <v>1881</v>
      </c>
      <c r="F1446" t="s">
        <v>210</v>
      </c>
      <c r="G1446">
        <v>931273713</v>
      </c>
      <c r="H1446"/>
      <c r="I1446"/>
      <c r="J1446"/>
      <c r="K1446" t="s">
        <v>1789</v>
      </c>
    </row>
    <row r="1447" spans="1:11">
      <c r="A1447">
        <v>44375</v>
      </c>
      <c r="B1447" t="s">
        <v>207</v>
      </c>
      <c r="C1447">
        <v>44372</v>
      </c>
      <c r="D1447" t="s">
        <v>321</v>
      </c>
      <c r="E1447" t="s">
        <v>1882</v>
      </c>
      <c r="F1447" t="s">
        <v>210</v>
      </c>
      <c r="G1447">
        <v>931273713</v>
      </c>
      <c r="H1447"/>
      <c r="I1447"/>
      <c r="J1447"/>
      <c r="K1447" t="s">
        <v>1763</v>
      </c>
    </row>
    <row r="1448" spans="1:11">
      <c r="A1448" s="1">
        <v>44375</v>
      </c>
      <c r="B1448" s="1" t="s">
        <v>207</v>
      </c>
      <c r="C1448" s="1">
        <v>44372</v>
      </c>
      <c r="D1448" s="1" t="s">
        <v>321</v>
      </c>
      <c r="E1448" s="1" t="s">
        <v>1883</v>
      </c>
      <c r="F1448" s="1" t="s">
        <v>210</v>
      </c>
      <c r="G1448" s="1">
        <v>931273713</v>
      </c>
      <c r="K1448" s="1" t="s">
        <v>1776</v>
      </c>
    </row>
    <row r="1449" spans="1:11">
      <c r="A1449">
        <v>44375</v>
      </c>
      <c r="B1449" t="s">
        <v>207</v>
      </c>
      <c r="C1449">
        <v>44372</v>
      </c>
      <c r="D1449" t="s">
        <v>321</v>
      </c>
      <c r="E1449" t="s">
        <v>1884</v>
      </c>
      <c r="F1449" t="s">
        <v>210</v>
      </c>
      <c r="G1449">
        <v>931273713</v>
      </c>
      <c r="H1449"/>
      <c r="I1449"/>
      <c r="J1449"/>
      <c r="K1449" t="s">
        <v>1774</v>
      </c>
    </row>
    <row r="1450" spans="1:11">
      <c r="A1450">
        <v>44375</v>
      </c>
      <c r="B1450" t="s">
        <v>207</v>
      </c>
      <c r="C1450">
        <v>44372</v>
      </c>
      <c r="D1450" t="s">
        <v>321</v>
      </c>
      <c r="E1450" t="s">
        <v>1885</v>
      </c>
      <c r="F1450" t="s">
        <v>210</v>
      </c>
      <c r="G1450">
        <v>931273713</v>
      </c>
      <c r="H1450"/>
      <c r="I1450"/>
      <c r="J1450"/>
      <c r="K1450" t="s">
        <v>1766</v>
      </c>
    </row>
    <row r="1451" spans="1:11">
      <c r="A1451">
        <v>44375</v>
      </c>
      <c r="B1451">
        <v>192447610</v>
      </c>
      <c r="C1451"/>
      <c r="D1451" t="s">
        <v>362</v>
      </c>
      <c r="E1451" t="s">
        <v>1886</v>
      </c>
      <c r="F1451" t="s">
        <v>982</v>
      </c>
      <c r="G1451"/>
      <c r="H1451"/>
      <c r="I1451"/>
      <c r="J1451"/>
      <c r="K1451" t="s">
        <v>1793</v>
      </c>
    </row>
    <row r="1452" spans="1:11">
      <c r="A1452" s="1">
        <v>44375</v>
      </c>
      <c r="B1452" s="1">
        <v>192447610</v>
      </c>
      <c r="D1452" s="1" t="s">
        <v>362</v>
      </c>
      <c r="E1452" s="1" t="s">
        <v>1887</v>
      </c>
      <c r="F1452" s="1" t="s">
        <v>982</v>
      </c>
      <c r="G1452"/>
      <c r="K1452" s="1" t="s">
        <v>1776</v>
      </c>
    </row>
    <row r="1453" spans="1:11">
      <c r="A1453">
        <v>44375</v>
      </c>
      <c r="B1453">
        <v>192447610</v>
      </c>
      <c r="C1453"/>
      <c r="D1453" t="s">
        <v>362</v>
      </c>
      <c r="E1453" t="s">
        <v>1888</v>
      </c>
      <c r="F1453" t="s">
        <v>982</v>
      </c>
      <c r="G1453"/>
      <c r="H1453"/>
      <c r="I1453"/>
      <c r="J1453"/>
      <c r="K1453" t="s">
        <v>1778</v>
      </c>
    </row>
    <row r="1454" spans="1:11">
      <c r="A1454" s="1">
        <v>44375</v>
      </c>
      <c r="B1454" s="1">
        <v>192447610</v>
      </c>
      <c r="D1454" s="1" t="s">
        <v>362</v>
      </c>
      <c r="E1454" s="1" t="s">
        <v>1889</v>
      </c>
      <c r="F1454" s="1" t="s">
        <v>982</v>
      </c>
      <c r="K1454" s="1" t="s">
        <v>1785</v>
      </c>
    </row>
    <row r="1455" spans="1:11">
      <c r="A1455">
        <v>44375</v>
      </c>
      <c r="B1455">
        <v>192447610</v>
      </c>
      <c r="C1455"/>
      <c r="D1455" t="s">
        <v>362</v>
      </c>
      <c r="E1455" t="s">
        <v>1890</v>
      </c>
      <c r="F1455" t="s">
        <v>982</v>
      </c>
      <c r="G1455"/>
      <c r="H1455"/>
      <c r="I1455"/>
      <c r="J1455"/>
      <c r="K1455" t="s">
        <v>1774</v>
      </c>
    </row>
    <row r="1456" spans="1:11">
      <c r="A1456">
        <v>44375</v>
      </c>
      <c r="B1456">
        <v>332274921514</v>
      </c>
      <c r="C1456">
        <v>44371</v>
      </c>
      <c r="D1456" t="s">
        <v>1891</v>
      </c>
      <c r="E1456" t="s">
        <v>1892</v>
      </c>
      <c r="F1456" t="s">
        <v>905</v>
      </c>
      <c r="G1456">
        <v>131136675</v>
      </c>
      <c r="H1456"/>
      <c r="I1456"/>
      <c r="J1456"/>
      <c r="K1456" t="s">
        <v>1774</v>
      </c>
    </row>
    <row r="1457" spans="1:11">
      <c r="A1457">
        <v>44375</v>
      </c>
      <c r="B1457">
        <v>332274921514</v>
      </c>
      <c r="C1457">
        <v>44371</v>
      </c>
      <c r="D1457" t="s">
        <v>1891</v>
      </c>
      <c r="E1457" t="s">
        <v>1893</v>
      </c>
      <c r="F1457" t="s">
        <v>905</v>
      </c>
      <c r="G1457">
        <v>131136675</v>
      </c>
      <c r="H1457"/>
      <c r="I1457"/>
      <c r="J1457"/>
      <c r="K1457" t="s">
        <v>1776</v>
      </c>
    </row>
    <row r="1458" spans="1:11">
      <c r="A1458">
        <v>44375</v>
      </c>
      <c r="B1458">
        <v>332274921514</v>
      </c>
      <c r="C1458">
        <v>44371</v>
      </c>
      <c r="D1458" t="s">
        <v>1891</v>
      </c>
      <c r="E1458" t="s">
        <v>1894</v>
      </c>
      <c r="F1458" t="s">
        <v>905</v>
      </c>
      <c r="G1458">
        <v>131136675</v>
      </c>
      <c r="H1458"/>
      <c r="I1458"/>
      <c r="J1458"/>
      <c r="K1458" t="s">
        <v>1772</v>
      </c>
    </row>
    <row r="1459" spans="1:11">
      <c r="A1459">
        <v>44375</v>
      </c>
      <c r="B1459">
        <v>332274921514</v>
      </c>
      <c r="C1459">
        <v>44371</v>
      </c>
      <c r="D1459" t="s">
        <v>1891</v>
      </c>
      <c r="E1459" t="s">
        <v>1895</v>
      </c>
      <c r="F1459" t="s">
        <v>905</v>
      </c>
      <c r="G1459">
        <v>131136675</v>
      </c>
      <c r="H1459"/>
      <c r="I1459"/>
      <c r="J1459"/>
      <c r="K1459" t="s">
        <v>1766</v>
      </c>
    </row>
    <row r="1460" spans="1:11">
      <c r="A1460">
        <v>44375</v>
      </c>
      <c r="B1460">
        <v>332274921514</v>
      </c>
      <c r="C1460">
        <v>44371</v>
      </c>
      <c r="D1460" t="s">
        <v>1891</v>
      </c>
      <c r="E1460" t="s">
        <v>1896</v>
      </c>
      <c r="F1460" t="s">
        <v>905</v>
      </c>
      <c r="G1460">
        <v>131136675</v>
      </c>
      <c r="H1460"/>
      <c r="I1460"/>
      <c r="J1460"/>
      <c r="K1460" t="s">
        <v>1766</v>
      </c>
    </row>
    <row r="1461" spans="1:11">
      <c r="A1461">
        <v>44375</v>
      </c>
      <c r="B1461">
        <v>332274921514</v>
      </c>
      <c r="C1461">
        <v>44371</v>
      </c>
      <c r="D1461" t="s">
        <v>1891</v>
      </c>
      <c r="E1461" t="s">
        <v>1897</v>
      </c>
      <c r="F1461" t="s">
        <v>905</v>
      </c>
      <c r="G1461">
        <v>131136675</v>
      </c>
      <c r="H1461"/>
      <c r="I1461"/>
      <c r="J1461"/>
      <c r="K1461" t="s">
        <v>1774</v>
      </c>
    </row>
    <row r="1462" spans="1:11">
      <c r="A1462">
        <v>44375</v>
      </c>
      <c r="B1462">
        <v>332274921514</v>
      </c>
      <c r="C1462">
        <v>44371</v>
      </c>
      <c r="D1462" t="s">
        <v>1891</v>
      </c>
      <c r="E1462" t="s">
        <v>1898</v>
      </c>
      <c r="F1462" t="s">
        <v>905</v>
      </c>
      <c r="G1462">
        <v>131136675</v>
      </c>
      <c r="H1462"/>
      <c r="I1462"/>
      <c r="J1462"/>
      <c r="K1462" t="s">
        <v>1776</v>
      </c>
    </row>
    <row r="1463" spans="1:11">
      <c r="A1463" s="1">
        <v>44375</v>
      </c>
      <c r="B1463" s="1">
        <v>332274921514</v>
      </c>
      <c r="C1463" s="1">
        <v>44371</v>
      </c>
      <c r="D1463" s="1" t="s">
        <v>1891</v>
      </c>
      <c r="E1463" s="1" t="s">
        <v>1899</v>
      </c>
      <c r="F1463" s="1" t="s">
        <v>905</v>
      </c>
      <c r="G1463">
        <v>131136675</v>
      </c>
      <c r="K1463" s="1" t="s">
        <v>1785</v>
      </c>
    </row>
    <row r="1464" spans="1:11">
      <c r="A1464">
        <v>44375</v>
      </c>
      <c r="B1464">
        <v>332274921514</v>
      </c>
      <c r="C1464">
        <v>44371</v>
      </c>
      <c r="D1464" t="s">
        <v>1891</v>
      </c>
      <c r="E1464" t="s">
        <v>1900</v>
      </c>
      <c r="F1464" t="s">
        <v>905</v>
      </c>
      <c r="G1464">
        <v>131136675</v>
      </c>
      <c r="H1464"/>
      <c r="I1464"/>
      <c r="J1464"/>
      <c r="K1464" t="s">
        <v>1785</v>
      </c>
    </row>
    <row r="1465" spans="1:11">
      <c r="A1465">
        <v>44375</v>
      </c>
      <c r="B1465">
        <v>332274921514</v>
      </c>
      <c r="C1465">
        <v>44371</v>
      </c>
      <c r="D1465" t="s">
        <v>1891</v>
      </c>
      <c r="E1465" t="s">
        <v>1901</v>
      </c>
      <c r="F1465" t="s">
        <v>905</v>
      </c>
      <c r="G1465">
        <v>131136675</v>
      </c>
      <c r="H1465"/>
      <c r="I1465"/>
      <c r="J1465"/>
      <c r="K1465" t="s">
        <v>1772</v>
      </c>
    </row>
    <row r="1466" spans="1:11">
      <c r="A1466">
        <v>44375</v>
      </c>
      <c r="B1466">
        <v>332274921514</v>
      </c>
      <c r="C1466">
        <v>44371</v>
      </c>
      <c r="D1466" t="s">
        <v>1891</v>
      </c>
      <c r="E1466" t="s">
        <v>1902</v>
      </c>
      <c r="F1466" t="s">
        <v>905</v>
      </c>
      <c r="G1466">
        <v>131136675</v>
      </c>
      <c r="H1466"/>
      <c r="I1466"/>
      <c r="J1466"/>
      <c r="K1466" t="s">
        <v>1778</v>
      </c>
    </row>
    <row r="1467" spans="1:11">
      <c r="A1467">
        <v>44375</v>
      </c>
      <c r="B1467">
        <v>332274921514</v>
      </c>
      <c r="C1467">
        <v>44371</v>
      </c>
      <c r="D1467" t="s">
        <v>1891</v>
      </c>
      <c r="E1467" t="s">
        <v>1903</v>
      </c>
      <c r="F1467" t="s">
        <v>905</v>
      </c>
      <c r="G1467">
        <v>131136675</v>
      </c>
      <c r="H1467"/>
      <c r="I1467"/>
      <c r="J1467"/>
      <c r="K1467" t="s">
        <v>1778</v>
      </c>
    </row>
    <row r="1468" spans="1:11">
      <c r="A1468" s="1">
        <v>44378</v>
      </c>
      <c r="B1468" s="1">
        <v>774111904262</v>
      </c>
      <c r="C1468" s="1">
        <v>44372</v>
      </c>
      <c r="D1468" t="s">
        <v>438</v>
      </c>
      <c r="E1468" t="s">
        <v>1904</v>
      </c>
      <c r="F1468" s="1" t="s">
        <v>440</v>
      </c>
      <c r="G1468">
        <v>25735</v>
      </c>
      <c r="H1468"/>
      <c r="I1468"/>
      <c r="J1468"/>
      <c r="K1468" t="s">
        <v>1770</v>
      </c>
    </row>
    <row r="1469" spans="1:11">
      <c r="A1469">
        <v>44378</v>
      </c>
      <c r="B1469">
        <v>774111904262</v>
      </c>
      <c r="C1469">
        <v>44372</v>
      </c>
      <c r="D1469" t="s">
        <v>438</v>
      </c>
      <c r="E1469" t="s">
        <v>1905</v>
      </c>
      <c r="F1469" t="s">
        <v>440</v>
      </c>
      <c r="G1469">
        <v>25735</v>
      </c>
      <c r="H1469"/>
      <c r="I1469"/>
      <c r="J1469"/>
      <c r="K1469" t="s">
        <v>1770</v>
      </c>
    </row>
    <row r="1470" spans="1:11">
      <c r="A1470">
        <v>44378</v>
      </c>
      <c r="B1470">
        <v>774111904262</v>
      </c>
      <c r="C1470">
        <v>44372</v>
      </c>
      <c r="D1470" t="s">
        <v>438</v>
      </c>
      <c r="E1470" t="s">
        <v>1906</v>
      </c>
      <c r="F1470" t="s">
        <v>440</v>
      </c>
      <c r="G1470">
        <v>25735</v>
      </c>
      <c r="H1470"/>
      <c r="I1470"/>
      <c r="J1470"/>
      <c r="K1470" t="s">
        <v>1770</v>
      </c>
    </row>
    <row r="1471" spans="1:11">
      <c r="A1471">
        <v>44378</v>
      </c>
      <c r="B1471">
        <v>774111904262</v>
      </c>
      <c r="C1471">
        <v>44372</v>
      </c>
      <c r="D1471" t="s">
        <v>438</v>
      </c>
      <c r="E1471" t="s">
        <v>1907</v>
      </c>
      <c r="F1471" t="s">
        <v>440</v>
      </c>
      <c r="G1471">
        <v>25735</v>
      </c>
      <c r="H1471"/>
      <c r="I1471"/>
      <c r="J1471"/>
      <c r="K1471" t="s">
        <v>1770</v>
      </c>
    </row>
    <row r="1472" spans="1:11">
      <c r="A1472">
        <v>44378</v>
      </c>
      <c r="B1472">
        <v>774111904262</v>
      </c>
      <c r="C1472">
        <v>44372</v>
      </c>
      <c r="D1472" t="s">
        <v>438</v>
      </c>
      <c r="E1472" t="s">
        <v>1908</v>
      </c>
      <c r="F1472" t="s">
        <v>440</v>
      </c>
      <c r="G1472">
        <v>25735</v>
      </c>
      <c r="H1472"/>
      <c r="I1472"/>
      <c r="J1472"/>
      <c r="K1472" t="s">
        <v>1768</v>
      </c>
    </row>
    <row r="1473" spans="1:11">
      <c r="A1473" s="1">
        <v>44378</v>
      </c>
      <c r="B1473" s="1">
        <v>774111904262</v>
      </c>
      <c r="C1473" s="1">
        <v>44372</v>
      </c>
      <c r="D1473" s="1" t="s">
        <v>438</v>
      </c>
      <c r="E1473" s="1" t="s">
        <v>1909</v>
      </c>
      <c r="F1473" s="1" t="s">
        <v>440</v>
      </c>
      <c r="G1473" s="1">
        <v>25735</v>
      </c>
      <c r="K1473" s="1" t="s">
        <v>1768</v>
      </c>
    </row>
    <row r="1474" spans="1:11">
      <c r="A1474">
        <v>44378</v>
      </c>
      <c r="B1474">
        <v>774111904262</v>
      </c>
      <c r="C1474">
        <v>44372</v>
      </c>
      <c r="D1474" t="s">
        <v>438</v>
      </c>
      <c r="E1474" t="s">
        <v>1910</v>
      </c>
      <c r="F1474" t="s">
        <v>440</v>
      </c>
      <c r="G1474">
        <v>25735</v>
      </c>
      <c r="H1474"/>
      <c r="I1474"/>
      <c r="J1474"/>
      <c r="K1474" t="s">
        <v>1768</v>
      </c>
    </row>
    <row r="1475" spans="1:11">
      <c r="A1475">
        <v>44378</v>
      </c>
      <c r="B1475">
        <v>774111904262</v>
      </c>
      <c r="C1475">
        <v>44372</v>
      </c>
      <c r="D1475" t="s">
        <v>438</v>
      </c>
      <c r="E1475" t="s">
        <v>1911</v>
      </c>
      <c r="F1475" t="s">
        <v>440</v>
      </c>
      <c r="G1475">
        <v>25735</v>
      </c>
      <c r="H1475"/>
      <c r="I1475"/>
      <c r="J1475"/>
      <c r="K1475" t="s">
        <v>1768</v>
      </c>
    </row>
    <row r="1476" spans="1:11">
      <c r="A1476">
        <v>44378</v>
      </c>
      <c r="B1476">
        <v>774111904262</v>
      </c>
      <c r="C1476">
        <v>44372</v>
      </c>
      <c r="D1476" t="s">
        <v>438</v>
      </c>
      <c r="E1476" t="s">
        <v>1912</v>
      </c>
      <c r="F1476" t="s">
        <v>440</v>
      </c>
      <c r="G1476">
        <v>25735</v>
      </c>
      <c r="H1476"/>
      <c r="I1476"/>
      <c r="J1476"/>
      <c r="K1476" t="s">
        <v>1781</v>
      </c>
    </row>
    <row r="1477" spans="1:11">
      <c r="A1477">
        <v>44378</v>
      </c>
      <c r="B1477">
        <v>774111904262</v>
      </c>
      <c r="C1477">
        <v>44372</v>
      </c>
      <c r="D1477" t="s">
        <v>438</v>
      </c>
      <c r="E1477" t="s">
        <v>1913</v>
      </c>
      <c r="F1477" t="s">
        <v>440</v>
      </c>
      <c r="G1477">
        <v>25735</v>
      </c>
      <c r="H1477"/>
      <c r="I1477"/>
      <c r="J1477"/>
      <c r="K1477" t="s">
        <v>1781</v>
      </c>
    </row>
    <row r="1478" spans="1:11">
      <c r="A1478" s="1">
        <v>44378</v>
      </c>
      <c r="B1478" s="1">
        <v>774111904262</v>
      </c>
      <c r="C1478" s="1">
        <v>44372</v>
      </c>
      <c r="D1478" s="1" t="s">
        <v>438</v>
      </c>
      <c r="E1478" s="1" t="s">
        <v>1914</v>
      </c>
      <c r="F1478" s="1" t="s">
        <v>440</v>
      </c>
      <c r="G1478" s="1">
        <v>25735</v>
      </c>
      <c r="K1478" s="1" t="s">
        <v>1781</v>
      </c>
    </row>
    <row r="1479" spans="1:11">
      <c r="A1479">
        <v>44378</v>
      </c>
      <c r="B1479">
        <v>774111904262</v>
      </c>
      <c r="C1479">
        <v>44372</v>
      </c>
      <c r="D1479" t="s">
        <v>438</v>
      </c>
      <c r="E1479" t="s">
        <v>1915</v>
      </c>
      <c r="F1479" t="s">
        <v>440</v>
      </c>
      <c r="G1479">
        <v>25735</v>
      </c>
      <c r="H1479"/>
      <c r="I1479"/>
      <c r="J1479"/>
      <c r="K1479" t="s">
        <v>1781</v>
      </c>
    </row>
    <row r="1480" spans="1:11">
      <c r="A1480">
        <v>44378</v>
      </c>
      <c r="B1480">
        <v>774111904262</v>
      </c>
      <c r="C1480">
        <v>44372</v>
      </c>
      <c r="D1480" t="s">
        <v>438</v>
      </c>
      <c r="E1480" t="s">
        <v>1916</v>
      </c>
      <c r="F1480" t="s">
        <v>440</v>
      </c>
      <c r="G1480">
        <v>25735</v>
      </c>
      <c r="H1480"/>
      <c r="I1480"/>
      <c r="J1480"/>
      <c r="K1480" t="s">
        <v>1783</v>
      </c>
    </row>
    <row r="1481" spans="1:11">
      <c r="A1481">
        <v>44378</v>
      </c>
      <c r="B1481">
        <v>774111904262</v>
      </c>
      <c r="C1481">
        <v>44372</v>
      </c>
      <c r="D1481" t="s">
        <v>438</v>
      </c>
      <c r="E1481" t="s">
        <v>1917</v>
      </c>
      <c r="F1481" t="s">
        <v>440</v>
      </c>
      <c r="G1481">
        <v>25735</v>
      </c>
      <c r="H1481"/>
      <c r="I1481"/>
      <c r="J1481"/>
      <c r="K1481" t="s">
        <v>1783</v>
      </c>
    </row>
    <row r="1482" spans="1:11">
      <c r="A1482" s="1">
        <v>44378</v>
      </c>
      <c r="B1482" s="1">
        <v>774111904262</v>
      </c>
      <c r="C1482" s="1">
        <v>44372</v>
      </c>
      <c r="D1482" t="s">
        <v>438</v>
      </c>
      <c r="E1482" t="s">
        <v>1918</v>
      </c>
      <c r="F1482" s="1" t="s">
        <v>440</v>
      </c>
      <c r="G1482">
        <v>25735</v>
      </c>
      <c r="H1482"/>
      <c r="I1482"/>
      <c r="J1482"/>
      <c r="K1482" t="s">
        <v>1783</v>
      </c>
    </row>
    <row r="1483" spans="1:11">
      <c r="A1483">
        <v>44378</v>
      </c>
      <c r="B1483">
        <v>774111904262</v>
      </c>
      <c r="C1483">
        <v>44372</v>
      </c>
      <c r="D1483" t="s">
        <v>438</v>
      </c>
      <c r="E1483" t="s">
        <v>1919</v>
      </c>
      <c r="F1483" t="s">
        <v>440</v>
      </c>
      <c r="G1483">
        <v>25735</v>
      </c>
      <c r="H1483"/>
      <c r="I1483"/>
      <c r="J1483"/>
      <c r="K1483" t="s">
        <v>1783</v>
      </c>
    </row>
    <row r="1484" spans="1:11">
      <c r="A1484">
        <v>44378</v>
      </c>
      <c r="B1484">
        <v>774111904262</v>
      </c>
      <c r="C1484">
        <v>44372</v>
      </c>
      <c r="D1484" t="s">
        <v>438</v>
      </c>
      <c r="E1484" t="s">
        <v>1920</v>
      </c>
      <c r="F1484" t="s">
        <v>440</v>
      </c>
      <c r="G1484">
        <v>25735</v>
      </c>
      <c r="H1484"/>
      <c r="I1484"/>
      <c r="J1484"/>
      <c r="K1484" t="s">
        <v>1789</v>
      </c>
    </row>
    <row r="1485" spans="1:11">
      <c r="A1485">
        <v>44378</v>
      </c>
      <c r="B1485">
        <v>774111904262</v>
      </c>
      <c r="C1485">
        <v>44372</v>
      </c>
      <c r="D1485" t="s">
        <v>438</v>
      </c>
      <c r="E1485" t="s">
        <v>1921</v>
      </c>
      <c r="F1485" t="s">
        <v>440</v>
      </c>
      <c r="G1485">
        <v>25735</v>
      </c>
      <c r="H1485"/>
      <c r="I1485"/>
      <c r="J1485"/>
      <c r="K1485" t="s">
        <v>1789</v>
      </c>
    </row>
    <row r="1486" spans="1:11">
      <c r="A1486" s="1">
        <v>44378</v>
      </c>
      <c r="B1486" s="1">
        <v>774111904262</v>
      </c>
      <c r="C1486" s="1">
        <v>44372</v>
      </c>
      <c r="D1486" s="1" t="s">
        <v>438</v>
      </c>
      <c r="E1486" s="1" t="s">
        <v>1922</v>
      </c>
      <c r="F1486" s="1" t="s">
        <v>440</v>
      </c>
      <c r="G1486" s="1">
        <v>25735</v>
      </c>
      <c r="K1486" s="1" t="s">
        <v>1789</v>
      </c>
    </row>
    <row r="1487" spans="1:11">
      <c r="A1487">
        <v>44378</v>
      </c>
      <c r="B1487">
        <v>774111904262</v>
      </c>
      <c r="C1487">
        <v>44372</v>
      </c>
      <c r="D1487" t="s">
        <v>438</v>
      </c>
      <c r="E1487" t="s">
        <v>1923</v>
      </c>
      <c r="F1487" t="s">
        <v>440</v>
      </c>
      <c r="G1487">
        <v>25735</v>
      </c>
      <c r="H1487"/>
      <c r="I1487"/>
      <c r="J1487"/>
      <c r="K1487" t="s">
        <v>1789</v>
      </c>
    </row>
    <row r="1488" spans="1:11">
      <c r="A1488">
        <v>44378</v>
      </c>
      <c r="B1488">
        <v>774111904262</v>
      </c>
      <c r="C1488">
        <v>44372</v>
      </c>
      <c r="D1488" t="s">
        <v>438</v>
      </c>
      <c r="E1488" t="s">
        <v>1924</v>
      </c>
      <c r="F1488" t="s">
        <v>440</v>
      </c>
      <c r="G1488">
        <v>25735</v>
      </c>
      <c r="H1488"/>
      <c r="I1488"/>
      <c r="J1488"/>
      <c r="K1488" t="s">
        <v>1763</v>
      </c>
    </row>
    <row r="1489" spans="1:11">
      <c r="A1489">
        <v>44378</v>
      </c>
      <c r="B1489">
        <v>774111904262</v>
      </c>
      <c r="C1489">
        <v>44372</v>
      </c>
      <c r="D1489" t="s">
        <v>438</v>
      </c>
      <c r="E1489" t="s">
        <v>1925</v>
      </c>
      <c r="F1489" t="s">
        <v>440</v>
      </c>
      <c r="G1489">
        <v>25735</v>
      </c>
      <c r="H1489"/>
      <c r="I1489"/>
      <c r="J1489"/>
      <c r="K1489" t="s">
        <v>1763</v>
      </c>
    </row>
    <row r="1490" spans="1:11">
      <c r="A1490">
        <v>44378</v>
      </c>
      <c r="B1490">
        <v>774111904262</v>
      </c>
      <c r="C1490">
        <v>44372</v>
      </c>
      <c r="D1490" t="s">
        <v>438</v>
      </c>
      <c r="E1490" t="s">
        <v>1926</v>
      </c>
      <c r="F1490" t="s">
        <v>440</v>
      </c>
      <c r="G1490">
        <v>25735</v>
      </c>
      <c r="H1490"/>
      <c r="I1490"/>
      <c r="J1490"/>
      <c r="K1490" t="s">
        <v>1763</v>
      </c>
    </row>
    <row r="1491" spans="1:11">
      <c r="A1491">
        <v>44378</v>
      </c>
      <c r="B1491">
        <v>774111904262</v>
      </c>
      <c r="C1491">
        <v>44372</v>
      </c>
      <c r="D1491" t="s">
        <v>438</v>
      </c>
      <c r="E1491" t="s">
        <v>1927</v>
      </c>
      <c r="F1491" t="s">
        <v>440</v>
      </c>
      <c r="G1491">
        <v>25735</v>
      </c>
      <c r="H1491"/>
      <c r="I1491"/>
      <c r="J1491"/>
      <c r="K1491" t="s">
        <v>1763</v>
      </c>
    </row>
    <row r="1492" spans="1:11">
      <c r="A1492">
        <v>44378</v>
      </c>
      <c r="B1492">
        <v>774111904262</v>
      </c>
      <c r="C1492">
        <v>44372</v>
      </c>
      <c r="D1492" t="s">
        <v>438</v>
      </c>
      <c r="E1492" t="s">
        <v>1928</v>
      </c>
      <c r="F1492" t="s">
        <v>440</v>
      </c>
      <c r="G1492">
        <v>25735</v>
      </c>
      <c r="H1492"/>
      <c r="I1492"/>
      <c r="J1492"/>
      <c r="K1492" t="s">
        <v>1793</v>
      </c>
    </row>
    <row r="1493" spans="1:11">
      <c r="A1493">
        <v>44378</v>
      </c>
      <c r="B1493">
        <v>774111904262</v>
      </c>
      <c r="C1493">
        <v>44372</v>
      </c>
      <c r="D1493" t="s">
        <v>438</v>
      </c>
      <c r="E1493" t="s">
        <v>1929</v>
      </c>
      <c r="F1493" t="s">
        <v>440</v>
      </c>
      <c r="G1493">
        <v>25735</v>
      </c>
      <c r="H1493"/>
      <c r="I1493"/>
      <c r="J1493"/>
      <c r="K1493" t="s">
        <v>1793</v>
      </c>
    </row>
    <row r="1494" spans="1:11">
      <c r="A1494">
        <v>44378</v>
      </c>
      <c r="B1494">
        <v>774111904262</v>
      </c>
      <c r="C1494">
        <v>44372</v>
      </c>
      <c r="D1494" t="s">
        <v>438</v>
      </c>
      <c r="E1494" t="s">
        <v>1930</v>
      </c>
      <c r="F1494" t="s">
        <v>440</v>
      </c>
      <c r="G1494">
        <v>25735</v>
      </c>
      <c r="H1494"/>
      <c r="I1494"/>
      <c r="J1494"/>
      <c r="K1494" t="s">
        <v>1793</v>
      </c>
    </row>
    <row r="1495" spans="1:11">
      <c r="A1495">
        <v>44378</v>
      </c>
      <c r="B1495">
        <v>774111904262</v>
      </c>
      <c r="C1495">
        <v>44372</v>
      </c>
      <c r="D1495" t="s">
        <v>438</v>
      </c>
      <c r="E1495" t="s">
        <v>1931</v>
      </c>
      <c r="F1495" t="s">
        <v>440</v>
      </c>
      <c r="G1495">
        <v>25735</v>
      </c>
      <c r="H1495"/>
      <c r="I1495"/>
      <c r="J1495"/>
      <c r="K1495" t="s">
        <v>1793</v>
      </c>
    </row>
    <row r="1496" spans="1:11">
      <c r="A1496">
        <v>44378</v>
      </c>
      <c r="B1496">
        <v>774111904262</v>
      </c>
      <c r="C1496">
        <v>44372</v>
      </c>
      <c r="D1496" t="s">
        <v>1932</v>
      </c>
      <c r="E1496" t="s">
        <v>1933</v>
      </c>
      <c r="F1496" t="s">
        <v>440</v>
      </c>
      <c r="G1496">
        <v>25735</v>
      </c>
      <c r="H1496"/>
      <c r="I1496"/>
      <c r="J1496"/>
      <c r="K1496" t="s">
        <v>1778</v>
      </c>
    </row>
    <row r="1497" spans="1:11">
      <c r="A1497">
        <v>44378</v>
      </c>
      <c r="B1497">
        <v>774111904262</v>
      </c>
      <c r="C1497">
        <v>44372</v>
      </c>
      <c r="D1497" t="s">
        <v>1932</v>
      </c>
      <c r="E1497" t="s">
        <v>1934</v>
      </c>
      <c r="F1497" t="s">
        <v>440</v>
      </c>
      <c r="G1497">
        <v>25735</v>
      </c>
      <c r="H1497"/>
      <c r="I1497"/>
      <c r="J1497"/>
      <c r="K1497" t="s">
        <v>1778</v>
      </c>
    </row>
    <row r="1498" spans="1:11">
      <c r="A1498">
        <v>44378</v>
      </c>
      <c r="B1498">
        <v>774111904262</v>
      </c>
      <c r="C1498">
        <v>44372</v>
      </c>
      <c r="D1498" t="s">
        <v>1932</v>
      </c>
      <c r="E1498" t="s">
        <v>1935</v>
      </c>
      <c r="F1498" t="s">
        <v>440</v>
      </c>
      <c r="G1498">
        <v>25735</v>
      </c>
      <c r="H1498"/>
      <c r="I1498"/>
      <c r="J1498"/>
      <c r="K1498" t="s">
        <v>1778</v>
      </c>
    </row>
    <row r="1499" spans="1:11">
      <c r="A1499">
        <v>44378</v>
      </c>
      <c r="B1499">
        <v>774111904262</v>
      </c>
      <c r="C1499">
        <v>44372</v>
      </c>
      <c r="D1499" t="s">
        <v>1932</v>
      </c>
      <c r="E1499" t="s">
        <v>1936</v>
      </c>
      <c r="F1499" t="s">
        <v>440</v>
      </c>
      <c r="G1499">
        <v>25735</v>
      </c>
      <c r="H1499"/>
      <c r="I1499"/>
      <c r="J1499"/>
      <c r="K1499" t="s">
        <v>1778</v>
      </c>
    </row>
    <row r="1500" spans="1:11">
      <c r="A1500">
        <v>44378</v>
      </c>
      <c r="B1500">
        <v>774111904262</v>
      </c>
      <c r="C1500">
        <v>44372</v>
      </c>
      <c r="D1500" t="s">
        <v>1932</v>
      </c>
      <c r="E1500" t="s">
        <v>1937</v>
      </c>
      <c r="F1500" t="s">
        <v>440</v>
      </c>
      <c r="G1500">
        <v>25735</v>
      </c>
      <c r="H1500"/>
      <c r="I1500"/>
      <c r="J1500"/>
      <c r="K1500" t="s">
        <v>1774</v>
      </c>
    </row>
    <row r="1501" spans="1:11">
      <c r="A1501">
        <v>44378</v>
      </c>
      <c r="B1501">
        <v>774111904262</v>
      </c>
      <c r="C1501">
        <v>44372</v>
      </c>
      <c r="D1501" t="s">
        <v>1932</v>
      </c>
      <c r="E1501" t="s">
        <v>1938</v>
      </c>
      <c r="F1501" t="s">
        <v>440</v>
      </c>
      <c r="G1501">
        <v>25735</v>
      </c>
      <c r="H1501"/>
      <c r="I1501"/>
      <c r="J1501"/>
      <c r="K1501" t="s">
        <v>1774</v>
      </c>
    </row>
    <row r="1502" spans="1:11">
      <c r="A1502">
        <v>44378</v>
      </c>
      <c r="B1502">
        <v>774111904262</v>
      </c>
      <c r="C1502">
        <v>44372</v>
      </c>
      <c r="D1502" t="s">
        <v>1932</v>
      </c>
      <c r="E1502" t="s">
        <v>1939</v>
      </c>
      <c r="F1502" t="s">
        <v>440</v>
      </c>
      <c r="G1502">
        <v>25735</v>
      </c>
      <c r="H1502"/>
      <c r="I1502"/>
      <c r="J1502"/>
      <c r="K1502" t="s">
        <v>1774</v>
      </c>
    </row>
    <row r="1503" spans="1:11">
      <c r="A1503">
        <v>44378</v>
      </c>
      <c r="B1503">
        <v>774111904262</v>
      </c>
      <c r="C1503">
        <v>44372</v>
      </c>
      <c r="D1503" t="s">
        <v>1932</v>
      </c>
      <c r="E1503" t="s">
        <v>1940</v>
      </c>
      <c r="F1503" t="s">
        <v>440</v>
      </c>
      <c r="G1503">
        <v>25735</v>
      </c>
      <c r="H1503"/>
      <c r="I1503"/>
      <c r="J1503"/>
      <c r="K1503" t="s">
        <v>1774</v>
      </c>
    </row>
    <row r="1504" spans="1:11">
      <c r="A1504">
        <v>44378</v>
      </c>
      <c r="B1504">
        <v>774111904262</v>
      </c>
      <c r="C1504">
        <v>44372</v>
      </c>
      <c r="D1504" t="s">
        <v>1932</v>
      </c>
      <c r="E1504" t="s">
        <v>1941</v>
      </c>
      <c r="F1504" t="s">
        <v>440</v>
      </c>
      <c r="G1504">
        <v>25735</v>
      </c>
      <c r="H1504"/>
      <c r="I1504"/>
      <c r="J1504"/>
      <c r="K1504" t="s">
        <v>1776</v>
      </c>
    </row>
    <row r="1505" spans="1:11">
      <c r="A1505">
        <v>44378</v>
      </c>
      <c r="B1505">
        <v>774111904262</v>
      </c>
      <c r="C1505">
        <v>44372</v>
      </c>
      <c r="D1505" t="s">
        <v>1932</v>
      </c>
      <c r="E1505" t="s">
        <v>1942</v>
      </c>
      <c r="F1505" t="s">
        <v>440</v>
      </c>
      <c r="G1505">
        <v>25735</v>
      </c>
      <c r="H1505"/>
      <c r="I1505"/>
      <c r="J1505"/>
      <c r="K1505" t="s">
        <v>1776</v>
      </c>
    </row>
    <row r="1506" spans="1:11">
      <c r="A1506" s="1">
        <v>44378</v>
      </c>
      <c r="B1506" s="1">
        <v>774111904262</v>
      </c>
      <c r="C1506" s="1">
        <v>44372</v>
      </c>
      <c r="D1506" s="1" t="s">
        <v>1932</v>
      </c>
      <c r="E1506" s="1" t="s">
        <v>1943</v>
      </c>
      <c r="F1506" s="1" t="s">
        <v>440</v>
      </c>
      <c r="G1506" s="1">
        <v>25735</v>
      </c>
      <c r="K1506" s="1" t="s">
        <v>1776</v>
      </c>
    </row>
    <row r="1507" spans="1:11">
      <c r="A1507" s="1">
        <v>44378</v>
      </c>
      <c r="B1507" s="1">
        <v>774111904262</v>
      </c>
      <c r="C1507" s="1">
        <v>44372</v>
      </c>
      <c r="D1507" s="1" t="s">
        <v>1932</v>
      </c>
      <c r="E1507" s="1" t="s">
        <v>1944</v>
      </c>
      <c r="F1507" s="1" t="s">
        <v>440</v>
      </c>
      <c r="G1507" s="1">
        <v>25735</v>
      </c>
      <c r="K1507" s="1" t="s">
        <v>1776</v>
      </c>
    </row>
    <row r="1508" spans="1:11">
      <c r="A1508">
        <v>44378</v>
      </c>
      <c r="B1508">
        <v>774111904262</v>
      </c>
      <c r="C1508">
        <v>44372</v>
      </c>
      <c r="D1508" t="s">
        <v>1932</v>
      </c>
      <c r="E1508" t="s">
        <v>1945</v>
      </c>
      <c r="F1508" t="s">
        <v>440</v>
      </c>
      <c r="G1508">
        <v>25735</v>
      </c>
      <c r="H1508"/>
      <c r="I1508"/>
      <c r="J1508"/>
      <c r="K1508" t="s">
        <v>1785</v>
      </c>
    </row>
    <row r="1509" spans="1:11">
      <c r="A1509">
        <v>44378</v>
      </c>
      <c r="B1509">
        <v>774111904262</v>
      </c>
      <c r="C1509">
        <v>44372</v>
      </c>
      <c r="D1509" t="s">
        <v>1932</v>
      </c>
      <c r="E1509" t="s">
        <v>1946</v>
      </c>
      <c r="F1509" t="s">
        <v>440</v>
      </c>
      <c r="G1509">
        <v>25735</v>
      </c>
      <c r="H1509"/>
      <c r="I1509"/>
      <c r="J1509"/>
      <c r="K1509" t="s">
        <v>1785</v>
      </c>
    </row>
    <row r="1510" spans="1:11">
      <c r="A1510">
        <v>44378</v>
      </c>
      <c r="B1510">
        <v>774111904262</v>
      </c>
      <c r="C1510">
        <v>44372</v>
      </c>
      <c r="D1510" t="s">
        <v>1932</v>
      </c>
      <c r="E1510" t="s">
        <v>1947</v>
      </c>
      <c r="F1510" t="s">
        <v>440</v>
      </c>
      <c r="G1510">
        <v>25735</v>
      </c>
      <c r="H1510"/>
      <c r="I1510"/>
      <c r="J1510"/>
      <c r="K1510" t="s">
        <v>1785</v>
      </c>
    </row>
    <row r="1511" spans="1:11">
      <c r="A1511" s="1">
        <v>44378</v>
      </c>
      <c r="B1511" s="1">
        <v>774111904262</v>
      </c>
      <c r="C1511" s="1">
        <v>44372</v>
      </c>
      <c r="D1511" s="1" t="s">
        <v>1932</v>
      </c>
      <c r="E1511" s="1" t="s">
        <v>1948</v>
      </c>
      <c r="F1511" s="1" t="s">
        <v>440</v>
      </c>
      <c r="G1511" s="1">
        <v>25735</v>
      </c>
      <c r="K1511" s="1" t="s">
        <v>1785</v>
      </c>
    </row>
    <row r="1512" spans="1:11">
      <c r="A1512">
        <v>44378</v>
      </c>
      <c r="B1512">
        <v>774111904262</v>
      </c>
      <c r="C1512">
        <v>44372</v>
      </c>
      <c r="D1512" t="s">
        <v>1932</v>
      </c>
      <c r="E1512" t="s">
        <v>1949</v>
      </c>
      <c r="F1512" t="s">
        <v>440</v>
      </c>
      <c r="G1512">
        <v>25735</v>
      </c>
      <c r="H1512"/>
      <c r="I1512"/>
      <c r="J1512"/>
      <c r="K1512" t="s">
        <v>1772</v>
      </c>
    </row>
    <row r="1513" spans="1:11">
      <c r="A1513">
        <v>44378</v>
      </c>
      <c r="B1513">
        <v>774111904262</v>
      </c>
      <c r="C1513">
        <v>44372</v>
      </c>
      <c r="D1513" t="s">
        <v>1932</v>
      </c>
      <c r="E1513" t="s">
        <v>1950</v>
      </c>
      <c r="F1513" t="s">
        <v>440</v>
      </c>
      <c r="G1513">
        <v>25735</v>
      </c>
      <c r="H1513"/>
      <c r="I1513"/>
      <c r="J1513"/>
      <c r="K1513" t="s">
        <v>1772</v>
      </c>
    </row>
    <row r="1514" spans="1:11">
      <c r="A1514">
        <v>44378</v>
      </c>
      <c r="B1514">
        <v>774111904262</v>
      </c>
      <c r="C1514">
        <v>44372</v>
      </c>
      <c r="D1514" t="s">
        <v>1932</v>
      </c>
      <c r="E1514" t="s">
        <v>1951</v>
      </c>
      <c r="F1514" t="s">
        <v>440</v>
      </c>
      <c r="G1514">
        <v>25735</v>
      </c>
      <c r="H1514"/>
      <c r="I1514"/>
      <c r="J1514"/>
      <c r="K1514" t="s">
        <v>1772</v>
      </c>
    </row>
    <row r="1515" spans="1:11">
      <c r="A1515">
        <v>44378</v>
      </c>
      <c r="B1515">
        <v>774111904262</v>
      </c>
      <c r="C1515">
        <v>44372</v>
      </c>
      <c r="D1515" t="s">
        <v>1932</v>
      </c>
      <c r="E1515" t="s">
        <v>1952</v>
      </c>
      <c r="F1515" t="s">
        <v>440</v>
      </c>
      <c r="G1515">
        <v>25735</v>
      </c>
      <c r="H1515"/>
      <c r="I1515"/>
      <c r="J1515"/>
      <c r="K1515" t="s">
        <v>1772</v>
      </c>
    </row>
    <row r="1516" spans="1:11">
      <c r="A1516">
        <v>44378</v>
      </c>
      <c r="B1516">
        <v>774111904262</v>
      </c>
      <c r="C1516">
        <v>44372</v>
      </c>
      <c r="D1516" t="s">
        <v>1932</v>
      </c>
      <c r="E1516" t="s">
        <v>1953</v>
      </c>
      <c r="F1516" t="s">
        <v>440</v>
      </c>
      <c r="G1516">
        <v>25735</v>
      </c>
      <c r="H1516"/>
      <c r="I1516"/>
      <c r="J1516"/>
      <c r="K1516" t="s">
        <v>1766</v>
      </c>
    </row>
    <row r="1517" spans="1:11">
      <c r="A1517">
        <v>44378</v>
      </c>
      <c r="B1517">
        <v>774111904262</v>
      </c>
      <c r="C1517">
        <v>44372</v>
      </c>
      <c r="D1517" t="s">
        <v>1932</v>
      </c>
      <c r="E1517" t="s">
        <v>1954</v>
      </c>
      <c r="F1517" t="s">
        <v>440</v>
      </c>
      <c r="G1517">
        <v>25735</v>
      </c>
      <c r="H1517"/>
      <c r="I1517"/>
      <c r="J1517"/>
      <c r="K1517" t="s">
        <v>1766</v>
      </c>
    </row>
    <row r="1518" spans="1:11">
      <c r="A1518">
        <v>44378</v>
      </c>
      <c r="B1518">
        <v>774111904262</v>
      </c>
      <c r="C1518">
        <v>44372</v>
      </c>
      <c r="D1518" t="s">
        <v>1932</v>
      </c>
      <c r="E1518" t="s">
        <v>1955</v>
      </c>
      <c r="F1518" t="s">
        <v>440</v>
      </c>
      <c r="G1518">
        <v>25735</v>
      </c>
      <c r="H1518"/>
      <c r="I1518"/>
      <c r="J1518"/>
      <c r="K1518" t="s">
        <v>1766</v>
      </c>
    </row>
    <row r="1519" spans="1:11">
      <c r="A1519">
        <v>44378</v>
      </c>
      <c r="B1519">
        <v>774111904262</v>
      </c>
      <c r="C1519">
        <v>44372</v>
      </c>
      <c r="D1519" t="s">
        <v>1932</v>
      </c>
      <c r="E1519" t="s">
        <v>1956</v>
      </c>
      <c r="F1519" t="s">
        <v>440</v>
      </c>
      <c r="G1519">
        <v>25735</v>
      </c>
      <c r="H1519"/>
      <c r="I1519"/>
      <c r="J1519"/>
      <c r="K1519" t="s">
        <v>1766</v>
      </c>
    </row>
    <row r="1520" spans="1:11">
      <c r="A1520">
        <v>44386</v>
      </c>
      <c r="B1520">
        <v>23972273729</v>
      </c>
      <c r="C1520">
        <v>44385</v>
      </c>
      <c r="D1520" t="s">
        <v>1957</v>
      </c>
      <c r="E1520" t="s">
        <v>1958</v>
      </c>
      <c r="F1520" t="s">
        <v>881</v>
      </c>
      <c r="G1520">
        <v>105304209</v>
      </c>
      <c r="H1520"/>
      <c r="I1520"/>
      <c r="J1520"/>
      <c r="K1520" t="s">
        <v>1793</v>
      </c>
    </row>
    <row r="1521" spans="1:11">
      <c r="A1521">
        <v>44386</v>
      </c>
      <c r="B1521">
        <v>23972273729</v>
      </c>
      <c r="C1521">
        <v>44385</v>
      </c>
      <c r="D1521" t="s">
        <v>1957</v>
      </c>
      <c r="E1521" t="s">
        <v>1959</v>
      </c>
      <c r="F1521" t="s">
        <v>881</v>
      </c>
      <c r="G1521">
        <v>105304209</v>
      </c>
      <c r="H1521"/>
      <c r="I1521"/>
      <c r="J1521"/>
      <c r="K1521" t="s">
        <v>1793</v>
      </c>
    </row>
    <row r="1522" spans="1:11">
      <c r="A1522">
        <v>44386</v>
      </c>
      <c r="B1522">
        <v>23972273729</v>
      </c>
      <c r="C1522">
        <v>44385</v>
      </c>
      <c r="D1522" t="s">
        <v>1957</v>
      </c>
      <c r="E1522" t="s">
        <v>1960</v>
      </c>
      <c r="F1522" t="s">
        <v>881</v>
      </c>
      <c r="G1522">
        <v>105304209</v>
      </c>
      <c r="H1522"/>
      <c r="I1522"/>
      <c r="J1522"/>
      <c r="K1522" t="s">
        <v>1763</v>
      </c>
    </row>
    <row r="1523" spans="1:11">
      <c r="A1523">
        <v>44386</v>
      </c>
      <c r="B1523">
        <v>23972273729</v>
      </c>
      <c r="C1523">
        <v>44385</v>
      </c>
      <c r="D1523" t="s">
        <v>1957</v>
      </c>
      <c r="E1523" t="s">
        <v>1961</v>
      </c>
      <c r="F1523" t="s">
        <v>881</v>
      </c>
      <c r="G1523">
        <v>105304209</v>
      </c>
      <c r="H1523"/>
      <c r="I1523"/>
      <c r="J1523"/>
      <c r="K1523" t="s">
        <v>1763</v>
      </c>
    </row>
    <row r="1524" spans="1:11">
      <c r="A1524">
        <v>44386</v>
      </c>
      <c r="B1524">
        <v>23972273729</v>
      </c>
      <c r="C1524">
        <v>44385</v>
      </c>
      <c r="D1524" t="s">
        <v>1957</v>
      </c>
      <c r="E1524" t="s">
        <v>1962</v>
      </c>
      <c r="F1524" t="s">
        <v>881</v>
      </c>
      <c r="G1524">
        <v>105304209</v>
      </c>
      <c r="H1524"/>
      <c r="I1524"/>
      <c r="J1524"/>
      <c r="K1524" t="s">
        <v>1789</v>
      </c>
    </row>
    <row r="1525" spans="1:11">
      <c r="A1525">
        <v>44386</v>
      </c>
      <c r="B1525">
        <v>23972273729</v>
      </c>
      <c r="C1525">
        <v>44385</v>
      </c>
      <c r="D1525" t="s">
        <v>1957</v>
      </c>
      <c r="E1525" t="s">
        <v>1963</v>
      </c>
      <c r="F1525" t="s">
        <v>881</v>
      </c>
      <c r="G1525">
        <v>105304209</v>
      </c>
      <c r="H1525"/>
      <c r="I1525"/>
      <c r="J1525"/>
      <c r="K1525" t="s">
        <v>1789</v>
      </c>
    </row>
    <row r="1526" spans="1:11">
      <c r="A1526">
        <v>44386</v>
      </c>
      <c r="B1526">
        <v>23972273729</v>
      </c>
      <c r="C1526">
        <v>44385</v>
      </c>
      <c r="D1526" t="s">
        <v>1957</v>
      </c>
      <c r="E1526" t="s">
        <v>1964</v>
      </c>
      <c r="F1526" t="s">
        <v>881</v>
      </c>
      <c r="G1526">
        <v>105304209</v>
      </c>
      <c r="H1526"/>
      <c r="I1526"/>
      <c r="J1526"/>
      <c r="K1526" t="s">
        <v>1783</v>
      </c>
    </row>
    <row r="1527" spans="1:11">
      <c r="A1527">
        <v>44386</v>
      </c>
      <c r="B1527">
        <v>23972273729</v>
      </c>
      <c r="C1527">
        <v>44385</v>
      </c>
      <c r="D1527" t="s">
        <v>1957</v>
      </c>
      <c r="E1527" t="s">
        <v>1965</v>
      </c>
      <c r="F1527" t="s">
        <v>881</v>
      </c>
      <c r="G1527">
        <v>105304209</v>
      </c>
      <c r="H1527"/>
      <c r="I1527"/>
      <c r="J1527"/>
      <c r="K1527" t="s">
        <v>1783</v>
      </c>
    </row>
    <row r="1528" spans="1:11">
      <c r="A1528">
        <v>44386</v>
      </c>
      <c r="B1528">
        <v>23972273729</v>
      </c>
      <c r="C1528">
        <v>44385</v>
      </c>
      <c r="D1528" t="s">
        <v>1957</v>
      </c>
      <c r="E1528" t="s">
        <v>1966</v>
      </c>
      <c r="F1528" t="s">
        <v>881</v>
      </c>
      <c r="G1528">
        <v>105304209</v>
      </c>
      <c r="H1528"/>
      <c r="I1528"/>
      <c r="J1528"/>
      <c r="K1528" t="s">
        <v>1781</v>
      </c>
    </row>
    <row r="1529" spans="1:11">
      <c r="A1529">
        <v>44386</v>
      </c>
      <c r="B1529">
        <v>23972273729</v>
      </c>
      <c r="C1529">
        <v>44385</v>
      </c>
      <c r="D1529" t="s">
        <v>1957</v>
      </c>
      <c r="E1529" t="s">
        <v>1967</v>
      </c>
      <c r="F1529" t="s">
        <v>881</v>
      </c>
      <c r="G1529">
        <v>105304209</v>
      </c>
      <c r="H1529"/>
      <c r="I1529"/>
      <c r="J1529"/>
      <c r="K1529" t="s">
        <v>1781</v>
      </c>
    </row>
    <row r="1530" spans="1:11">
      <c r="A1530">
        <v>44386</v>
      </c>
      <c r="B1530">
        <v>23972273729</v>
      </c>
      <c r="C1530">
        <v>44385</v>
      </c>
      <c r="D1530" t="s">
        <v>1957</v>
      </c>
      <c r="E1530" t="s">
        <v>1968</v>
      </c>
      <c r="F1530" t="s">
        <v>881</v>
      </c>
      <c r="G1530">
        <v>105304209</v>
      </c>
      <c r="H1530"/>
      <c r="I1530"/>
      <c r="J1530"/>
      <c r="K1530" t="s">
        <v>1768</v>
      </c>
    </row>
    <row r="1531" spans="1:11">
      <c r="A1531">
        <v>44386</v>
      </c>
      <c r="B1531">
        <v>23972273729</v>
      </c>
      <c r="C1531">
        <v>44385</v>
      </c>
      <c r="D1531" t="s">
        <v>1957</v>
      </c>
      <c r="E1531" t="s">
        <v>1969</v>
      </c>
      <c r="F1531" t="s">
        <v>881</v>
      </c>
      <c r="G1531">
        <v>105304209</v>
      </c>
      <c r="H1531"/>
      <c r="I1531"/>
      <c r="J1531"/>
      <c r="K1531" t="s">
        <v>1768</v>
      </c>
    </row>
    <row r="1532" spans="1:11">
      <c r="A1532">
        <v>44386</v>
      </c>
      <c r="B1532">
        <v>23972273729</v>
      </c>
      <c r="C1532">
        <v>44385</v>
      </c>
      <c r="D1532" t="s">
        <v>1957</v>
      </c>
      <c r="E1532" t="s">
        <v>1970</v>
      </c>
      <c r="F1532" t="s">
        <v>881</v>
      </c>
      <c r="G1532">
        <v>105304209</v>
      </c>
      <c r="H1532"/>
      <c r="I1532"/>
      <c r="J1532"/>
      <c r="K1532" t="s">
        <v>1770</v>
      </c>
    </row>
    <row r="1533" spans="1:11">
      <c r="A1533" s="1">
        <v>44386</v>
      </c>
      <c r="B1533" s="1">
        <v>23972273729</v>
      </c>
      <c r="C1533" s="1">
        <v>44385</v>
      </c>
      <c r="D1533" s="1" t="s">
        <v>1957</v>
      </c>
      <c r="E1533" s="1" t="s">
        <v>1971</v>
      </c>
      <c r="F1533" s="1" t="s">
        <v>881</v>
      </c>
      <c r="G1533" s="1">
        <v>105304209</v>
      </c>
      <c r="K1533" s="1" t="s">
        <v>1770</v>
      </c>
    </row>
    <row r="1534" spans="1:11">
      <c r="A1534">
        <v>44386</v>
      </c>
      <c r="B1534">
        <v>23972273729</v>
      </c>
      <c r="C1534">
        <v>44385</v>
      </c>
      <c r="D1534" t="s">
        <v>1957</v>
      </c>
      <c r="E1534" t="s">
        <v>1972</v>
      </c>
      <c r="F1534" t="s">
        <v>881</v>
      </c>
      <c r="G1534">
        <v>105304209</v>
      </c>
      <c r="H1534"/>
      <c r="I1534"/>
      <c r="J1534"/>
      <c r="K1534" t="s">
        <v>1766</v>
      </c>
    </row>
    <row r="1535" spans="1:11">
      <c r="A1535">
        <v>44386</v>
      </c>
      <c r="B1535">
        <v>23972273729</v>
      </c>
      <c r="C1535">
        <v>44385</v>
      </c>
      <c r="D1535" t="s">
        <v>1957</v>
      </c>
      <c r="E1535" t="s">
        <v>1973</v>
      </c>
      <c r="F1535" t="s">
        <v>881</v>
      </c>
      <c r="G1535">
        <v>105304209</v>
      </c>
      <c r="H1535"/>
      <c r="I1535"/>
      <c r="J1535"/>
      <c r="K1535" t="s">
        <v>1766</v>
      </c>
    </row>
    <row r="1536" spans="1:11">
      <c r="A1536">
        <v>44386</v>
      </c>
      <c r="B1536">
        <v>23972273729</v>
      </c>
      <c r="C1536">
        <v>44385</v>
      </c>
      <c r="D1536" t="s">
        <v>1957</v>
      </c>
      <c r="E1536" t="s">
        <v>1974</v>
      </c>
      <c r="F1536" t="s">
        <v>881</v>
      </c>
      <c r="G1536">
        <v>105304209</v>
      </c>
      <c r="H1536"/>
      <c r="I1536"/>
      <c r="J1536"/>
      <c r="K1536" t="s">
        <v>1772</v>
      </c>
    </row>
    <row r="1537" spans="1:11">
      <c r="A1537">
        <v>44386</v>
      </c>
      <c r="B1537">
        <v>23972273729</v>
      </c>
      <c r="C1537">
        <v>44385</v>
      </c>
      <c r="D1537" t="s">
        <v>1957</v>
      </c>
      <c r="E1537" t="s">
        <v>1975</v>
      </c>
      <c r="F1537" t="s">
        <v>881</v>
      </c>
      <c r="G1537">
        <v>105304209</v>
      </c>
      <c r="H1537"/>
      <c r="I1537"/>
      <c r="J1537"/>
      <c r="K1537" t="s">
        <v>1772</v>
      </c>
    </row>
    <row r="1538" spans="1:11">
      <c r="A1538" s="1">
        <v>44386</v>
      </c>
      <c r="B1538" s="1">
        <v>23972273729</v>
      </c>
      <c r="C1538" s="1">
        <v>44385</v>
      </c>
      <c r="D1538" s="1" t="s">
        <v>1957</v>
      </c>
      <c r="E1538" s="1" t="s">
        <v>1976</v>
      </c>
      <c r="F1538" s="1" t="s">
        <v>881</v>
      </c>
      <c r="G1538" s="1">
        <v>105304209</v>
      </c>
      <c r="K1538" s="1" t="s">
        <v>1785</v>
      </c>
    </row>
    <row r="1539" spans="1:11">
      <c r="A1539">
        <v>44386</v>
      </c>
      <c r="B1539">
        <v>23972273729</v>
      </c>
      <c r="C1539">
        <v>44385</v>
      </c>
      <c r="D1539" t="s">
        <v>1957</v>
      </c>
      <c r="E1539" t="s">
        <v>1977</v>
      </c>
      <c r="F1539" t="s">
        <v>881</v>
      </c>
      <c r="G1539">
        <v>105304209</v>
      </c>
      <c r="H1539"/>
      <c r="I1539"/>
      <c r="J1539"/>
      <c r="K1539" t="s">
        <v>1785</v>
      </c>
    </row>
    <row r="1540" spans="1:11">
      <c r="A1540">
        <v>44386</v>
      </c>
      <c r="B1540">
        <v>23972273729</v>
      </c>
      <c r="C1540">
        <v>44385</v>
      </c>
      <c r="D1540" t="s">
        <v>1957</v>
      </c>
      <c r="E1540" t="s">
        <v>1978</v>
      </c>
      <c r="F1540" t="s">
        <v>881</v>
      </c>
      <c r="G1540">
        <v>105304209</v>
      </c>
      <c r="H1540"/>
      <c r="I1540"/>
      <c r="J1540"/>
      <c r="K1540" t="s">
        <v>1776</v>
      </c>
    </row>
    <row r="1541" spans="1:11">
      <c r="A1541">
        <v>44386</v>
      </c>
      <c r="B1541">
        <v>23972273729</v>
      </c>
      <c r="C1541">
        <v>44385</v>
      </c>
      <c r="D1541" t="s">
        <v>1957</v>
      </c>
      <c r="E1541" t="s">
        <v>1979</v>
      </c>
      <c r="F1541" t="s">
        <v>881</v>
      </c>
      <c r="G1541">
        <v>105304209</v>
      </c>
      <c r="H1541"/>
      <c r="I1541"/>
      <c r="J1541"/>
      <c r="K1541" t="s">
        <v>1774</v>
      </c>
    </row>
    <row r="1542" spans="1:11">
      <c r="A1542">
        <v>44386</v>
      </c>
      <c r="B1542">
        <v>23972273729</v>
      </c>
      <c r="C1542">
        <v>44385</v>
      </c>
      <c r="D1542" t="s">
        <v>1957</v>
      </c>
      <c r="E1542" t="s">
        <v>1980</v>
      </c>
      <c r="F1542" t="s">
        <v>881</v>
      </c>
      <c r="G1542">
        <v>105304209</v>
      </c>
      <c r="H1542"/>
      <c r="I1542"/>
      <c r="J1542"/>
      <c r="K1542" t="s">
        <v>1776</v>
      </c>
    </row>
    <row r="1543" spans="1:11">
      <c r="A1543">
        <v>44386</v>
      </c>
      <c r="B1543">
        <v>23972273729</v>
      </c>
      <c r="C1543">
        <v>44385</v>
      </c>
      <c r="D1543" t="s">
        <v>1957</v>
      </c>
      <c r="E1543" t="s">
        <v>1981</v>
      </c>
      <c r="F1543" t="s">
        <v>881</v>
      </c>
      <c r="G1543">
        <v>105304209</v>
      </c>
      <c r="H1543"/>
      <c r="I1543"/>
      <c r="J1543"/>
      <c r="K1543" t="s">
        <v>1778</v>
      </c>
    </row>
    <row r="1544" spans="1:11">
      <c r="A1544">
        <v>44386</v>
      </c>
      <c r="B1544">
        <v>23972273729</v>
      </c>
      <c r="C1544">
        <v>44385</v>
      </c>
      <c r="D1544" t="s">
        <v>1957</v>
      </c>
      <c r="E1544" t="s">
        <v>1982</v>
      </c>
      <c r="F1544" t="s">
        <v>881</v>
      </c>
      <c r="G1544">
        <v>105304209</v>
      </c>
      <c r="H1544"/>
      <c r="I1544"/>
      <c r="J1544"/>
      <c r="K1544" t="s">
        <v>1774</v>
      </c>
    </row>
    <row r="1545" spans="1:11">
      <c r="A1545">
        <v>44386</v>
      </c>
      <c r="B1545">
        <v>23972273729</v>
      </c>
      <c r="C1545">
        <v>44385</v>
      </c>
      <c r="D1545" t="s">
        <v>1957</v>
      </c>
      <c r="E1545" t="s">
        <v>1983</v>
      </c>
      <c r="F1545" t="s">
        <v>881</v>
      </c>
      <c r="G1545">
        <v>105304209</v>
      </c>
      <c r="H1545"/>
      <c r="I1545"/>
      <c r="J1545"/>
      <c r="K1545" t="s">
        <v>1778</v>
      </c>
    </row>
    <row r="1546" spans="1:11">
      <c r="A1546">
        <v>44398</v>
      </c>
      <c r="B1546" t="s">
        <v>1984</v>
      </c>
      <c r="C1546">
        <v>44397</v>
      </c>
      <c r="D1546" t="s">
        <v>362</v>
      </c>
      <c r="E1546" t="s">
        <v>1985</v>
      </c>
      <c r="F1546" t="s">
        <v>202</v>
      </c>
      <c r="G1546" t="s">
        <v>1986</v>
      </c>
      <c r="H1546"/>
      <c r="I1546"/>
      <c r="J1546"/>
      <c r="K1546" t="s">
        <v>1783</v>
      </c>
    </row>
    <row r="1547" spans="1:11">
      <c r="A1547">
        <v>44398</v>
      </c>
      <c r="B1547" t="s">
        <v>1984</v>
      </c>
      <c r="C1547">
        <v>44397</v>
      </c>
      <c r="D1547" t="s">
        <v>362</v>
      </c>
      <c r="E1547" t="s">
        <v>1987</v>
      </c>
      <c r="F1547" t="s">
        <v>202</v>
      </c>
      <c r="G1547" t="s">
        <v>1986</v>
      </c>
      <c r="H1547"/>
      <c r="I1547"/>
      <c r="J1547"/>
      <c r="K1547" t="s">
        <v>1789</v>
      </c>
    </row>
    <row r="1548" spans="1:11">
      <c r="A1548">
        <v>44398</v>
      </c>
      <c r="B1548" t="s">
        <v>1984</v>
      </c>
      <c r="C1548">
        <v>44397</v>
      </c>
      <c r="D1548" t="s">
        <v>362</v>
      </c>
      <c r="E1548" t="s">
        <v>1988</v>
      </c>
      <c r="F1548" t="s">
        <v>202</v>
      </c>
      <c r="G1548" t="s">
        <v>1986</v>
      </c>
      <c r="H1548"/>
      <c r="I1548"/>
      <c r="J1548"/>
      <c r="K1548" t="s">
        <v>1781</v>
      </c>
    </row>
    <row r="1549" spans="1:11">
      <c r="A1549">
        <v>44355</v>
      </c>
      <c r="B1549">
        <v>2.669942050001E+16</v>
      </c>
      <c r="C1549">
        <v>44354</v>
      </c>
      <c r="D1549" t="s">
        <v>1989</v>
      </c>
      <c r="E1549" t="s">
        <v>1990</v>
      </c>
      <c r="F1549" t="s">
        <v>599</v>
      </c>
      <c r="G1549" t="s">
        <v>1991</v>
      </c>
      <c r="H1549"/>
      <c r="I1549"/>
      <c r="J1549"/>
      <c r="K1549" t="s">
        <v>1992</v>
      </c>
    </row>
    <row r="1550" spans="1:11">
      <c r="A1550">
        <v>44355</v>
      </c>
      <c r="B1550">
        <v>2.669942050001E+16</v>
      </c>
      <c r="C1550">
        <v>44354</v>
      </c>
      <c r="D1550" t="s">
        <v>1989</v>
      </c>
      <c r="E1550" t="s">
        <v>1993</v>
      </c>
      <c r="F1550" t="s">
        <v>599</v>
      </c>
      <c r="G1550" t="s">
        <v>1991</v>
      </c>
      <c r="H1550"/>
      <c r="I1550"/>
      <c r="J1550"/>
      <c r="K1550" t="s">
        <v>1992</v>
      </c>
    </row>
    <row r="1551" spans="1:11">
      <c r="A1551">
        <v>44389</v>
      </c>
      <c r="B1551" t="s">
        <v>1994</v>
      </c>
      <c r="C1551"/>
      <c r="D1551" t="s">
        <v>2014</v>
      </c>
      <c r="E1551" t="s">
        <v>1995</v>
      </c>
      <c r="F1551" t="s">
        <v>1996</v>
      </c>
      <c r="G1551">
        <v>40078493</v>
      </c>
      <c r="H1551"/>
      <c r="I1551"/>
      <c r="J1551"/>
      <c r="K1551" t="s">
        <v>1992</v>
      </c>
    </row>
    <row r="1552" spans="1:11">
      <c r="A1552"/>
      <c r="B1552"/>
      <c r="C1552"/>
      <c r="D1552" t="s">
        <v>1997</v>
      </c>
      <c r="E1552" t="s">
        <v>2015</v>
      </c>
      <c r="F1552"/>
      <c r="G1552"/>
      <c r="H1552"/>
      <c r="I1552"/>
      <c r="J1552"/>
      <c r="K1552" t="s">
        <v>1992</v>
      </c>
    </row>
    <row r="1553" spans="1:11">
      <c r="A1553"/>
      <c r="B1553"/>
      <c r="C1553"/>
      <c r="D1553" t="s">
        <v>1006</v>
      </c>
      <c r="E1553" t="s">
        <v>1998</v>
      </c>
      <c r="F1553"/>
      <c r="G1553"/>
      <c r="H1553"/>
      <c r="I1553"/>
      <c r="J1553"/>
      <c r="K1553" t="s">
        <v>1992</v>
      </c>
    </row>
    <row r="1554" spans="1:11">
      <c r="A1554"/>
      <c r="B1554"/>
      <c r="C1554"/>
      <c r="D1554" t="s">
        <v>1008</v>
      </c>
      <c r="E1554" t="s">
        <v>1999</v>
      </c>
      <c r="F1554"/>
      <c r="G1554"/>
      <c r="H1554"/>
      <c r="I1554"/>
      <c r="J1554"/>
      <c r="K1554" t="s">
        <v>1992</v>
      </c>
    </row>
    <row r="1555" spans="1:11">
      <c r="A1555"/>
      <c r="B1555"/>
      <c r="C1555"/>
      <c r="D1555" t="s">
        <v>1008</v>
      </c>
      <c r="E1555" t="s">
        <v>2000</v>
      </c>
      <c r="F1555"/>
      <c r="G1555"/>
      <c r="H1555"/>
      <c r="I1555"/>
      <c r="J1555"/>
      <c r="K1555" t="s">
        <v>1992</v>
      </c>
    </row>
    <row r="1556" spans="1:11">
      <c r="A1556"/>
      <c r="B1556"/>
      <c r="C1556"/>
      <c r="D1556" t="s">
        <v>1011</v>
      </c>
      <c r="E1556" t="s">
        <v>2001</v>
      </c>
      <c r="F1556"/>
      <c r="G1556"/>
      <c r="H1556"/>
      <c r="I1556"/>
      <c r="J1556"/>
      <c r="K1556" t="s">
        <v>1992</v>
      </c>
    </row>
    <row r="1557" spans="1:11">
      <c r="A1557"/>
      <c r="B1557"/>
      <c r="C1557"/>
      <c r="D1557" t="s">
        <v>1013</v>
      </c>
      <c r="E1557" t="s">
        <v>2002</v>
      </c>
      <c r="F1557"/>
      <c r="G1557"/>
      <c r="H1557"/>
      <c r="I1557"/>
      <c r="J1557"/>
      <c r="K1557" t="s">
        <v>1992</v>
      </c>
    </row>
    <row r="1558" spans="1:11">
      <c r="A1558"/>
      <c r="B1558"/>
      <c r="C1558"/>
      <c r="D1558" t="s">
        <v>1015</v>
      </c>
      <c r="E1558" t="s">
        <v>2003</v>
      </c>
      <c r="F1558"/>
      <c r="G1558"/>
      <c r="H1558"/>
      <c r="I1558"/>
      <c r="J1558"/>
      <c r="K1558" t="s">
        <v>1992</v>
      </c>
    </row>
    <row r="1559" spans="1:11">
      <c r="A1559"/>
      <c r="B1559"/>
      <c r="C1559"/>
      <c r="D1559" t="s">
        <v>293</v>
      </c>
      <c r="E1559" t="s">
        <v>2004</v>
      </c>
      <c r="F1559"/>
      <c r="G1559"/>
      <c r="H1559"/>
      <c r="I1559"/>
      <c r="J1559"/>
      <c r="K1559" t="s">
        <v>1992</v>
      </c>
    </row>
    <row r="1560" spans="1:11">
      <c r="A1560"/>
      <c r="B1560"/>
      <c r="C1560"/>
      <c r="D1560" t="s">
        <v>1018</v>
      </c>
      <c r="E1560" t="s">
        <v>2005</v>
      </c>
      <c r="F1560"/>
      <c r="G1560"/>
      <c r="H1560"/>
      <c r="I1560"/>
      <c r="J1560"/>
      <c r="K1560" t="s">
        <v>1992</v>
      </c>
    </row>
    <row r="1561" spans="1:11">
      <c r="A1561"/>
      <c r="B1561"/>
      <c r="C1561"/>
      <c r="D1561" t="s">
        <v>980</v>
      </c>
      <c r="E1561" t="s">
        <v>2006</v>
      </c>
      <c r="F1561"/>
      <c r="G1561"/>
      <c r="H1561"/>
      <c r="I1561"/>
      <c r="J1561"/>
      <c r="K1561" t="s">
        <v>1992</v>
      </c>
    </row>
    <row r="1562" spans="1:11">
      <c r="A1562"/>
      <c r="B1562"/>
      <c r="C1562"/>
      <c r="D1562" t="s">
        <v>980</v>
      </c>
      <c r="E1562" t="s">
        <v>2007</v>
      </c>
      <c r="F1562"/>
      <c r="G1562"/>
      <c r="H1562"/>
      <c r="I1562"/>
      <c r="J1562"/>
      <c r="K1562" t="s">
        <v>1992</v>
      </c>
    </row>
    <row r="1563" spans="1:11">
      <c r="A1563"/>
      <c r="B1563"/>
      <c r="C1563"/>
      <c r="D1563" t="s">
        <v>2031</v>
      </c>
      <c r="E1563" t="s">
        <v>2008</v>
      </c>
      <c r="F1563"/>
      <c r="G1563"/>
      <c r="H1563"/>
      <c r="I1563"/>
      <c r="J1563"/>
      <c r="K1563" t="s">
        <v>1992</v>
      </c>
    </row>
    <row r="1564" spans="1:11">
      <c r="A1564"/>
      <c r="B1564"/>
      <c r="C1564"/>
      <c r="D1564" t="s">
        <v>2031</v>
      </c>
      <c r="E1564" t="s">
        <v>2009</v>
      </c>
      <c r="F1564"/>
      <c r="G1564"/>
      <c r="H1564"/>
      <c r="I1564"/>
      <c r="J1564"/>
      <c r="K1564" t="s">
        <v>1992</v>
      </c>
    </row>
    <row r="1565" spans="1:11">
      <c r="A1565"/>
      <c r="B1565"/>
      <c r="C1565"/>
      <c r="D1565" t="s">
        <v>2031</v>
      </c>
      <c r="E1565" t="s">
        <v>2010</v>
      </c>
      <c r="F1565"/>
      <c r="G1565"/>
      <c r="H1565"/>
      <c r="I1565"/>
      <c r="J1565"/>
      <c r="K1565" t="s">
        <v>1992</v>
      </c>
    </row>
    <row r="1566" spans="1:11">
      <c r="A1566"/>
      <c r="B1566"/>
      <c r="C1566"/>
      <c r="D1566" t="s">
        <v>2031</v>
      </c>
      <c r="E1566" t="s">
        <v>2011</v>
      </c>
      <c r="F1566"/>
      <c r="G1566"/>
      <c r="H1566"/>
      <c r="I1566"/>
      <c r="J1566"/>
      <c r="K1566" t="s">
        <v>1992</v>
      </c>
    </row>
    <row r="1567" spans="1:11">
      <c r="A1567"/>
      <c r="B1567"/>
      <c r="C1567"/>
      <c r="D1567" t="s">
        <v>2032</v>
      </c>
      <c r="E1567" t="s">
        <v>2012</v>
      </c>
      <c r="F1567"/>
      <c r="G1567"/>
      <c r="H1567"/>
      <c r="I1567"/>
      <c r="J1567"/>
      <c r="K1567" t="s">
        <v>1992</v>
      </c>
    </row>
    <row r="1568" spans="1:11">
      <c r="A1568"/>
      <c r="B1568"/>
      <c r="C1568"/>
      <c r="D1568" t="s">
        <v>2032</v>
      </c>
      <c r="E1568" t="s">
        <v>2013</v>
      </c>
      <c r="F1568"/>
      <c r="G1568"/>
      <c r="H1568"/>
      <c r="I1568"/>
      <c r="J1568"/>
      <c r="K1568" t="s">
        <v>1992</v>
      </c>
    </row>
    <row r="1569" spans="1:11">
      <c r="A1569">
        <v>44392</v>
      </c>
      <c r="B1569">
        <v>90342335580</v>
      </c>
      <c r="C1569">
        <v>44390</v>
      </c>
      <c r="D1569" t="s">
        <v>909</v>
      </c>
      <c r="E1569" t="s">
        <v>2016</v>
      </c>
      <c r="F1569" t="s">
        <v>1398</v>
      </c>
      <c r="G1569" t="s">
        <v>2017</v>
      </c>
      <c r="H1569"/>
      <c r="I1569"/>
      <c r="J1569"/>
      <c r="K1569" t="s">
        <v>2018</v>
      </c>
    </row>
    <row r="1570" spans="1:11">
      <c r="A1570">
        <v>44392</v>
      </c>
      <c r="B1570">
        <v>90342335580</v>
      </c>
      <c r="C1570">
        <v>44390</v>
      </c>
      <c r="D1570" t="s">
        <v>956</v>
      </c>
      <c r="E1570" t="s">
        <v>2019</v>
      </c>
      <c r="F1570" t="s">
        <v>1398</v>
      </c>
      <c r="G1570" t="s">
        <v>2017</v>
      </c>
      <c r="H1570"/>
      <c r="I1570"/>
      <c r="J1570"/>
      <c r="K1570" t="s">
        <v>2018</v>
      </c>
    </row>
    <row r="1571" spans="1:11">
      <c r="A1571" s="1">
        <v>44392</v>
      </c>
      <c r="B1571" s="1">
        <v>90342335580</v>
      </c>
      <c r="C1571" s="1">
        <v>44390</v>
      </c>
      <c r="D1571" s="1" t="s">
        <v>956</v>
      </c>
      <c r="E1571" s="1" t="s">
        <v>2020</v>
      </c>
      <c r="F1571" s="1" t="s">
        <v>1398</v>
      </c>
      <c r="G1571" s="1" t="s">
        <v>2017</v>
      </c>
      <c r="K1571" s="1" t="s">
        <v>2018</v>
      </c>
    </row>
    <row r="1572" spans="1:11">
      <c r="A1572">
        <v>44396</v>
      </c>
      <c r="B1572" t="s">
        <v>2021</v>
      </c>
      <c r="C1572">
        <v>44393</v>
      </c>
      <c r="D1572" t="s">
        <v>965</v>
      </c>
      <c r="E1572" t="s">
        <v>2022</v>
      </c>
      <c r="F1572" t="s">
        <v>210</v>
      </c>
      <c r="G1572">
        <v>931286679</v>
      </c>
      <c r="H1572"/>
      <c r="I1572"/>
      <c r="J1572"/>
      <c r="K1572" t="s">
        <v>2018</v>
      </c>
    </row>
    <row r="1573" spans="1:11">
      <c r="A1573"/>
      <c r="B1573"/>
      <c r="C1573"/>
      <c r="D1573" t="s">
        <v>967</v>
      </c>
      <c r="E1573" t="s">
        <v>2023</v>
      </c>
      <c r="F1573"/>
      <c r="G1573"/>
      <c r="H1573"/>
      <c r="I1573"/>
      <c r="J1573"/>
      <c r="K1573" t="s">
        <v>2018</v>
      </c>
    </row>
    <row r="1574" spans="1:11">
      <c r="B1574" s="1"/>
      <c r="D1574" s="1" t="s">
        <v>969</v>
      </c>
      <c r="E1574" s="1" t="s">
        <v>2024</v>
      </c>
      <c r="K1574" s="1" t="s">
        <v>2018</v>
      </c>
    </row>
    <row r="1575" spans="1:11">
      <c r="A1575"/>
      <c r="B1575"/>
      <c r="C1575"/>
      <c r="D1575" t="s">
        <v>975</v>
      </c>
      <c r="E1575" t="s">
        <v>2025</v>
      </c>
      <c r="F1575"/>
      <c r="G1575"/>
      <c r="H1575"/>
      <c r="I1575"/>
      <c r="J1575"/>
      <c r="K1575" t="s">
        <v>2018</v>
      </c>
    </row>
    <row r="1576" spans="1:11">
      <c r="A1576"/>
      <c r="B1576"/>
      <c r="C1576"/>
      <c r="D1576" t="s">
        <v>971</v>
      </c>
      <c r="E1576" t="s">
        <v>2026</v>
      </c>
      <c r="F1576"/>
      <c r="G1576"/>
      <c r="H1576"/>
      <c r="I1576"/>
      <c r="J1576"/>
      <c r="K1576" t="s">
        <v>2018</v>
      </c>
    </row>
    <row r="1577" spans="1:11">
      <c r="A1577"/>
      <c r="B1577"/>
      <c r="C1577"/>
      <c r="D1577" t="s">
        <v>17</v>
      </c>
      <c r="E1577" t="s">
        <v>2027</v>
      </c>
      <c r="F1577"/>
      <c r="G1577"/>
      <c r="H1577"/>
      <c r="I1577"/>
      <c r="J1577"/>
      <c r="K1577" t="s">
        <v>2018</v>
      </c>
    </row>
    <row r="1578" spans="1:11">
      <c r="A1578">
        <v>44407</v>
      </c>
      <c r="B1578">
        <v>23105898309</v>
      </c>
      <c r="C1578">
        <v>44406</v>
      </c>
      <c r="D1578" t="s">
        <v>1271</v>
      </c>
      <c r="E1578" t="s">
        <v>2028</v>
      </c>
      <c r="F1578" t="s">
        <v>264</v>
      </c>
      <c r="G1578" t="s">
        <v>2029</v>
      </c>
      <c r="H1578"/>
      <c r="I1578"/>
      <c r="J1578"/>
      <c r="K1578" t="s">
        <v>2018</v>
      </c>
    </row>
    <row r="1579" spans="1:11">
      <c r="A1579"/>
      <c r="B1579"/>
      <c r="C1579"/>
      <c r="D1579" t="s">
        <v>976</v>
      </c>
      <c r="E1579" t="s">
        <v>2030</v>
      </c>
      <c r="F1579"/>
      <c r="G1579"/>
      <c r="H1579"/>
      <c r="I1579"/>
      <c r="J1579"/>
      <c r="K1579" t="s">
        <v>2018</v>
      </c>
    </row>
    <row r="1580" spans="1:11">
      <c r="A1580"/>
      <c r="B1580"/>
      <c r="C1580"/>
      <c r="D1580" t="s">
        <v>976</v>
      </c>
      <c r="E1580" t="s">
        <v>2033</v>
      </c>
      <c r="F1580"/>
      <c r="G1580"/>
      <c r="H1580"/>
      <c r="I1580"/>
      <c r="J1580"/>
      <c r="K1580" t="s">
        <v>2034</v>
      </c>
    </row>
    <row r="1581" spans="1:11">
      <c r="B1581" s="1"/>
      <c r="D1581" s="1" t="s">
        <v>976</v>
      </c>
      <c r="E1581" s="1" t="s">
        <v>2035</v>
      </c>
      <c r="K1581" t="s">
        <v>2036</v>
      </c>
    </row>
    <row r="1582" spans="1:11">
      <c r="A1582"/>
      <c r="B1582"/>
      <c r="C1582"/>
      <c r="D1582" t="s">
        <v>976</v>
      </c>
      <c r="E1582" t="s">
        <v>2037</v>
      </c>
      <c r="F1582"/>
      <c r="G1582"/>
      <c r="H1582"/>
      <c r="I1582"/>
      <c r="J1582"/>
      <c r="K1582" t="s">
        <v>2038</v>
      </c>
    </row>
    <row r="1583" spans="1:11">
      <c r="A1583"/>
      <c r="B1583"/>
      <c r="C1583"/>
      <c r="D1583" t="s">
        <v>976</v>
      </c>
      <c r="E1583" t="s">
        <v>2040</v>
      </c>
      <c r="F1583"/>
      <c r="G1583"/>
      <c r="H1583"/>
      <c r="I1583"/>
      <c r="J1583"/>
      <c r="K1583" t="s">
        <v>2039</v>
      </c>
    </row>
    <row r="1584" spans="1:11">
      <c r="A1584">
        <v>44400</v>
      </c>
      <c r="B1584">
        <v>903423360043</v>
      </c>
      <c r="C1584">
        <v>44397</v>
      </c>
      <c r="D1584" t="s">
        <v>909</v>
      </c>
      <c r="E1584" t="s">
        <v>2041</v>
      </c>
      <c r="F1584" t="s">
        <v>1398</v>
      </c>
      <c r="G1584" t="s">
        <v>2042</v>
      </c>
      <c r="H1584"/>
      <c r="I1584"/>
      <c r="J1584"/>
      <c r="K1584" t="s">
        <v>2034</v>
      </c>
    </row>
    <row r="1585" spans="1:11">
      <c r="A1585">
        <v>44400</v>
      </c>
      <c r="B1585">
        <v>903423360043</v>
      </c>
      <c r="C1585">
        <v>44397</v>
      </c>
      <c r="D1585" t="s">
        <v>909</v>
      </c>
      <c r="E1585" t="s">
        <v>2043</v>
      </c>
      <c r="F1585" t="s">
        <v>1398</v>
      </c>
      <c r="G1585" t="s">
        <v>2042</v>
      </c>
      <c r="H1585"/>
      <c r="I1585"/>
      <c r="J1585"/>
      <c r="K1585" t="s">
        <v>2036</v>
      </c>
    </row>
    <row r="1586" spans="1:11">
      <c r="A1586">
        <v>44400</v>
      </c>
      <c r="B1586">
        <v>903423360043</v>
      </c>
      <c r="C1586">
        <v>44397</v>
      </c>
      <c r="D1586" t="s">
        <v>909</v>
      </c>
      <c r="E1586" t="s">
        <v>2044</v>
      </c>
      <c r="F1586" t="s">
        <v>1398</v>
      </c>
      <c r="G1586" t="s">
        <v>2042</v>
      </c>
      <c r="H1586"/>
      <c r="I1586"/>
      <c r="J1586"/>
      <c r="K1586" t="s">
        <v>2038</v>
      </c>
    </row>
    <row r="1587" spans="1:11">
      <c r="A1587">
        <v>44400</v>
      </c>
      <c r="B1587">
        <v>903423360043</v>
      </c>
      <c r="C1587">
        <v>44397</v>
      </c>
      <c r="D1587" t="s">
        <v>909</v>
      </c>
      <c r="E1587" t="s">
        <v>2045</v>
      </c>
      <c r="F1587" t="s">
        <v>1398</v>
      </c>
      <c r="G1587" t="s">
        <v>2042</v>
      </c>
      <c r="H1587"/>
      <c r="I1587"/>
      <c r="J1587"/>
      <c r="K1587" t="s">
        <v>2039</v>
      </c>
    </row>
    <row r="1588" spans="1:11">
      <c r="A1588">
        <v>44412</v>
      </c>
      <c r="B1588">
        <v>522132182536</v>
      </c>
      <c r="C1588">
        <v>44410</v>
      </c>
      <c r="D1588" t="s">
        <v>956</v>
      </c>
      <c r="E1588" t="s">
        <v>2046</v>
      </c>
      <c r="F1588" t="s">
        <v>1372</v>
      </c>
      <c r="G1588">
        <v>2113164</v>
      </c>
      <c r="H1588"/>
      <c r="I1588"/>
      <c r="J1588"/>
      <c r="K1588" t="s">
        <v>2034</v>
      </c>
    </row>
    <row r="1589" spans="1:11">
      <c r="A1589">
        <v>44412</v>
      </c>
      <c r="B1589">
        <v>522132182536</v>
      </c>
      <c r="C1589">
        <v>44410</v>
      </c>
      <c r="D1589" t="s">
        <v>956</v>
      </c>
      <c r="E1589" t="s">
        <v>2047</v>
      </c>
      <c r="F1589" t="s">
        <v>1372</v>
      </c>
      <c r="G1589">
        <v>2113164</v>
      </c>
      <c r="H1589"/>
      <c r="I1589"/>
      <c r="J1589"/>
      <c r="K1589" t="s">
        <v>2034</v>
      </c>
    </row>
    <row r="1590" spans="1:11">
      <c r="A1590">
        <v>44412</v>
      </c>
      <c r="B1590">
        <v>522132182536</v>
      </c>
      <c r="C1590">
        <v>44410</v>
      </c>
      <c r="D1590" t="s">
        <v>956</v>
      </c>
      <c r="E1590" t="s">
        <v>2048</v>
      </c>
      <c r="F1590" t="s">
        <v>1372</v>
      </c>
      <c r="G1590">
        <v>2113164</v>
      </c>
      <c r="H1590"/>
      <c r="I1590"/>
      <c r="J1590"/>
      <c r="K1590" t="s">
        <v>2036</v>
      </c>
    </row>
    <row r="1591" spans="1:11">
      <c r="A1591" s="1">
        <v>44412</v>
      </c>
      <c r="B1591" s="1">
        <v>522132182536</v>
      </c>
      <c r="C1591" s="1">
        <v>44410</v>
      </c>
      <c r="D1591" s="1" t="s">
        <v>956</v>
      </c>
      <c r="E1591" s="1" t="s">
        <v>2049</v>
      </c>
      <c r="F1591" s="1" t="s">
        <v>1372</v>
      </c>
      <c r="G1591" s="1">
        <v>2113164</v>
      </c>
      <c r="K1591" t="s">
        <v>2036</v>
      </c>
    </row>
    <row r="1592" spans="1:11">
      <c r="A1592">
        <v>44412</v>
      </c>
      <c r="B1592">
        <v>522132182536</v>
      </c>
      <c r="C1592">
        <v>44410</v>
      </c>
      <c r="D1592" t="s">
        <v>956</v>
      </c>
      <c r="E1592" t="s">
        <v>2050</v>
      </c>
      <c r="F1592" t="s">
        <v>1372</v>
      </c>
      <c r="G1592">
        <v>2113164</v>
      </c>
      <c r="H1592"/>
      <c r="I1592"/>
      <c r="J1592"/>
      <c r="K1592" t="s">
        <v>2038</v>
      </c>
    </row>
    <row r="1593" spans="1:11">
      <c r="A1593">
        <v>44412</v>
      </c>
      <c r="B1593">
        <v>522132182536</v>
      </c>
      <c r="C1593">
        <v>44410</v>
      </c>
      <c r="D1593" t="s">
        <v>956</v>
      </c>
      <c r="E1593" t="s">
        <v>2051</v>
      </c>
      <c r="F1593" t="s">
        <v>1372</v>
      </c>
      <c r="G1593">
        <v>2113164</v>
      </c>
      <c r="H1593"/>
      <c r="I1593"/>
      <c r="J1593"/>
      <c r="K1593" t="s">
        <v>2038</v>
      </c>
    </row>
    <row r="1594" spans="1:11">
      <c r="A1594">
        <v>44412</v>
      </c>
      <c r="B1594">
        <v>522132182536</v>
      </c>
      <c r="C1594">
        <v>44410</v>
      </c>
      <c r="D1594" t="s">
        <v>956</v>
      </c>
      <c r="E1594" t="s">
        <v>2052</v>
      </c>
      <c r="F1594" t="s">
        <v>1372</v>
      </c>
      <c r="G1594">
        <v>2113164</v>
      </c>
      <c r="H1594"/>
      <c r="I1594"/>
      <c r="J1594"/>
      <c r="K1594" t="s">
        <v>2039</v>
      </c>
    </row>
    <row r="1595" spans="1:11">
      <c r="A1595">
        <v>44412</v>
      </c>
      <c r="B1595">
        <v>522132182536</v>
      </c>
      <c r="C1595">
        <v>44410</v>
      </c>
      <c r="D1595" t="s">
        <v>956</v>
      </c>
      <c r="E1595" t="s">
        <v>2053</v>
      </c>
      <c r="F1595" t="s">
        <v>1372</v>
      </c>
      <c r="G1595">
        <v>2113164</v>
      </c>
      <c r="H1595"/>
      <c r="I1595"/>
      <c r="J1595"/>
      <c r="K1595" t="s">
        <v>2039</v>
      </c>
    </row>
    <row r="1596" spans="1:11">
      <c r="A1596">
        <v>44431</v>
      </c>
      <c r="B1596">
        <v>23106024187</v>
      </c>
      <c r="C1596">
        <v>44428</v>
      </c>
      <c r="D1596" t="s">
        <v>1271</v>
      </c>
      <c r="E1596" t="s">
        <v>2054</v>
      </c>
      <c r="F1596" t="s">
        <v>264</v>
      </c>
      <c r="G1596" t="s">
        <v>2055</v>
      </c>
      <c r="H1596"/>
      <c r="I1596"/>
      <c r="J1596"/>
      <c r="K1596" t="s">
        <v>2034</v>
      </c>
    </row>
    <row r="1597" spans="1:11">
      <c r="A1597">
        <v>44431</v>
      </c>
      <c r="B1597">
        <v>23106024187</v>
      </c>
      <c r="C1597">
        <v>44428</v>
      </c>
      <c r="D1597" t="s">
        <v>1271</v>
      </c>
      <c r="E1597" t="s">
        <v>2056</v>
      </c>
      <c r="F1597" t="s">
        <v>264</v>
      </c>
      <c r="G1597" t="s">
        <v>2055</v>
      </c>
      <c r="H1597"/>
      <c r="I1597"/>
      <c r="J1597"/>
      <c r="K1597" t="s">
        <v>2036</v>
      </c>
    </row>
    <row r="1598" spans="1:11">
      <c r="A1598">
        <v>44431</v>
      </c>
      <c r="B1598">
        <v>23106024187</v>
      </c>
      <c r="C1598">
        <v>44428</v>
      </c>
      <c r="D1598" t="s">
        <v>1271</v>
      </c>
      <c r="E1598" t="s">
        <v>2057</v>
      </c>
      <c r="F1598" t="s">
        <v>264</v>
      </c>
      <c r="G1598" t="s">
        <v>2055</v>
      </c>
      <c r="H1598"/>
      <c r="I1598"/>
      <c r="J1598"/>
      <c r="K1598" t="s">
        <v>2038</v>
      </c>
    </row>
    <row r="1599" spans="1:11">
      <c r="A1599" s="1">
        <v>44431</v>
      </c>
      <c r="B1599" s="1">
        <v>23106024187</v>
      </c>
      <c r="C1599" s="1">
        <v>44428</v>
      </c>
      <c r="D1599" s="1" t="s">
        <v>1271</v>
      </c>
      <c r="E1599" s="1" t="s">
        <v>2058</v>
      </c>
      <c r="F1599" s="1" t="s">
        <v>264</v>
      </c>
      <c r="G1599" s="1" t="s">
        <v>2055</v>
      </c>
      <c r="K1599" s="1" t="s">
        <v>2039</v>
      </c>
    </row>
    <row r="1600" spans="1:11">
      <c r="A1600">
        <v>44438</v>
      </c>
      <c r="B1600" t="s">
        <v>223</v>
      </c>
      <c r="C1600">
        <v>44435</v>
      </c>
      <c r="D1600" t="s">
        <v>965</v>
      </c>
      <c r="E1600" t="s">
        <v>2059</v>
      </c>
      <c r="F1600" t="s">
        <v>210</v>
      </c>
      <c r="G1600">
        <v>931313607</v>
      </c>
      <c r="H1600"/>
      <c r="I1600"/>
      <c r="J1600"/>
      <c r="K1600" t="s">
        <v>2038</v>
      </c>
    </row>
    <row r="1601" spans="1:11">
      <c r="A1601"/>
      <c r="B1601"/>
      <c r="C1601"/>
      <c r="D1601" t="s">
        <v>967</v>
      </c>
      <c r="E1601" t="s">
        <v>2060</v>
      </c>
      <c r="F1601"/>
      <c r="G1601"/>
      <c r="H1601"/>
      <c r="I1601"/>
      <c r="J1601"/>
      <c r="K1601" t="s">
        <v>2038</v>
      </c>
    </row>
    <row r="1602" spans="1:11">
      <c r="A1602"/>
      <c r="B1602"/>
      <c r="C1602"/>
      <c r="D1602" t="s">
        <v>971</v>
      </c>
      <c r="E1602" t="s">
        <v>2061</v>
      </c>
      <c r="F1602"/>
      <c r="G1602"/>
      <c r="H1602"/>
      <c r="I1602"/>
      <c r="J1602"/>
      <c r="K1602" t="s">
        <v>2038</v>
      </c>
    </row>
    <row r="1603" spans="1:11">
      <c r="A1603"/>
      <c r="B1603"/>
      <c r="C1603"/>
      <c r="D1603" t="s">
        <v>17</v>
      </c>
      <c r="E1603" t="s">
        <v>2062</v>
      </c>
      <c r="F1603"/>
      <c r="G1603"/>
      <c r="H1603"/>
      <c r="I1603"/>
      <c r="J1603"/>
      <c r="K1603" t="s">
        <v>2038</v>
      </c>
    </row>
    <row r="1604" spans="1:11">
      <c r="A1604"/>
      <c r="B1604"/>
      <c r="C1604"/>
      <c r="D1604" t="s">
        <v>969</v>
      </c>
      <c r="E1604" t="s">
        <v>2063</v>
      </c>
      <c r="F1604"/>
      <c r="G1604"/>
      <c r="H1604"/>
      <c r="I1604"/>
      <c r="J1604"/>
      <c r="K1604" t="s">
        <v>2038</v>
      </c>
    </row>
    <row r="1605" spans="1:11">
      <c r="A1605"/>
      <c r="B1605"/>
      <c r="C1605"/>
      <c r="D1605" t="s">
        <v>975</v>
      </c>
      <c r="E1605" t="s">
        <v>2064</v>
      </c>
      <c r="F1605"/>
      <c r="G1605"/>
      <c r="H1605"/>
      <c r="I1605"/>
      <c r="J1605"/>
      <c r="K1605" t="s">
        <v>2038</v>
      </c>
    </row>
    <row r="1606" spans="1:11">
      <c r="A1606">
        <v>44438</v>
      </c>
      <c r="B1606" t="s">
        <v>223</v>
      </c>
      <c r="C1606">
        <v>44435</v>
      </c>
      <c r="D1606" t="s">
        <v>965</v>
      </c>
      <c r="E1606" t="s">
        <v>2065</v>
      </c>
      <c r="F1606" t="s">
        <v>210</v>
      </c>
      <c r="G1606">
        <v>931313607</v>
      </c>
      <c r="H1606"/>
      <c r="I1606"/>
      <c r="J1606"/>
      <c r="K1606" t="s">
        <v>2034</v>
      </c>
    </row>
    <row r="1607" spans="1:11">
      <c r="A1607"/>
      <c r="B1607"/>
      <c r="C1607"/>
      <c r="D1607" t="s">
        <v>967</v>
      </c>
      <c r="E1607" t="s">
        <v>2066</v>
      </c>
      <c r="F1607"/>
      <c r="G1607"/>
      <c r="H1607"/>
      <c r="I1607"/>
      <c r="J1607"/>
      <c r="K1607" t="s">
        <v>2034</v>
      </c>
    </row>
    <row r="1608" spans="1:11">
      <c r="A1608"/>
      <c r="B1608"/>
      <c r="C1608"/>
      <c r="D1608" t="s">
        <v>971</v>
      </c>
      <c r="E1608" t="s">
        <v>2067</v>
      </c>
      <c r="F1608"/>
      <c r="G1608"/>
      <c r="H1608"/>
      <c r="I1608"/>
      <c r="J1608"/>
      <c r="K1608" t="s">
        <v>2034</v>
      </c>
    </row>
    <row r="1609" spans="1:11">
      <c r="A1609"/>
      <c r="B1609"/>
      <c r="C1609"/>
      <c r="D1609" t="s">
        <v>17</v>
      </c>
      <c r="E1609" t="s">
        <v>2068</v>
      </c>
      <c r="F1609"/>
      <c r="G1609"/>
      <c r="H1609"/>
      <c r="I1609"/>
      <c r="J1609"/>
      <c r="K1609" t="s">
        <v>2034</v>
      </c>
    </row>
    <row r="1610" spans="1:11">
      <c r="A1610"/>
      <c r="B1610"/>
      <c r="C1610"/>
      <c r="D1610" t="s">
        <v>969</v>
      </c>
      <c r="E1610" t="s">
        <v>2069</v>
      </c>
      <c r="F1610"/>
      <c r="G1610"/>
      <c r="H1610"/>
      <c r="I1610"/>
      <c r="J1610"/>
      <c r="K1610" t="s">
        <v>2034</v>
      </c>
    </row>
    <row r="1611" spans="1:11">
      <c r="B1611" s="1"/>
      <c r="D1611" s="1" t="s">
        <v>975</v>
      </c>
      <c r="E1611" s="1" t="s">
        <v>2070</v>
      </c>
      <c r="K1611" t="s">
        <v>2034</v>
      </c>
    </row>
    <row r="1612" spans="1:11">
      <c r="A1612">
        <v>44438</v>
      </c>
      <c r="B1612" t="s">
        <v>223</v>
      </c>
      <c r="C1612">
        <v>44435</v>
      </c>
      <c r="D1612" t="s">
        <v>965</v>
      </c>
      <c r="E1612" t="s">
        <v>2071</v>
      </c>
      <c r="F1612" t="s">
        <v>210</v>
      </c>
      <c r="G1612">
        <v>931313607</v>
      </c>
      <c r="H1612"/>
      <c r="I1612"/>
      <c r="J1612"/>
      <c r="K1612" t="s">
        <v>2039</v>
      </c>
    </row>
    <row r="1613" spans="1:11">
      <c r="A1613"/>
      <c r="B1613"/>
      <c r="C1613"/>
      <c r="D1613" t="s">
        <v>967</v>
      </c>
      <c r="E1613" t="s">
        <v>2072</v>
      </c>
      <c r="F1613"/>
      <c r="G1613"/>
      <c r="H1613"/>
      <c r="I1613"/>
      <c r="J1613"/>
      <c r="K1613" t="s">
        <v>2039</v>
      </c>
    </row>
    <row r="1614" spans="1:11">
      <c r="B1614" s="1"/>
      <c r="D1614" s="1" t="s">
        <v>971</v>
      </c>
      <c r="E1614" s="1" t="s">
        <v>2073</v>
      </c>
      <c r="K1614" s="1" t="s">
        <v>2039</v>
      </c>
    </row>
    <row r="1615" spans="1:11">
      <c r="A1615"/>
      <c r="B1615"/>
      <c r="C1615"/>
      <c r="D1615" t="s">
        <v>17</v>
      </c>
      <c r="E1615" t="s">
        <v>2074</v>
      </c>
      <c r="F1615"/>
      <c r="G1615"/>
      <c r="H1615"/>
      <c r="I1615"/>
      <c r="J1615"/>
      <c r="K1615" t="s">
        <v>2039</v>
      </c>
    </row>
    <row r="1616" spans="1:11">
      <c r="A1616"/>
      <c r="B1616"/>
      <c r="C1616"/>
      <c r="D1616" t="s">
        <v>969</v>
      </c>
      <c r="E1616" t="s">
        <v>2075</v>
      </c>
      <c r="F1616"/>
      <c r="G1616"/>
      <c r="H1616"/>
      <c r="I1616"/>
      <c r="J1616"/>
      <c r="K1616" t="s">
        <v>2039</v>
      </c>
    </row>
    <row r="1617" spans="1:11">
      <c r="A1617"/>
      <c r="B1617"/>
      <c r="C1617"/>
      <c r="D1617" t="s">
        <v>975</v>
      </c>
      <c r="E1617" t="s">
        <v>2076</v>
      </c>
      <c r="F1617"/>
      <c r="G1617"/>
      <c r="H1617"/>
      <c r="I1617"/>
      <c r="J1617"/>
      <c r="K1617" t="s">
        <v>2039</v>
      </c>
    </row>
    <row r="1618" spans="1:11">
      <c r="A1618">
        <v>44438</v>
      </c>
      <c r="B1618" t="s">
        <v>223</v>
      </c>
      <c r="C1618">
        <v>44435</v>
      </c>
      <c r="D1618" t="s">
        <v>965</v>
      </c>
      <c r="E1618" t="s">
        <v>2077</v>
      </c>
      <c r="F1618" t="s">
        <v>210</v>
      </c>
      <c r="G1618">
        <v>931313607</v>
      </c>
      <c r="H1618"/>
      <c r="I1618"/>
      <c r="J1618"/>
      <c r="K1618" t="s">
        <v>2036</v>
      </c>
    </row>
    <row r="1619" spans="1:11">
      <c r="A1619"/>
      <c r="B1619"/>
      <c r="C1619"/>
      <c r="D1619" t="s">
        <v>967</v>
      </c>
      <c r="E1619" t="s">
        <v>2078</v>
      </c>
      <c r="F1619"/>
      <c r="G1619"/>
      <c r="H1619"/>
      <c r="I1619"/>
      <c r="J1619"/>
      <c r="K1619" t="s">
        <v>2036</v>
      </c>
    </row>
    <row r="1620" spans="1:11">
      <c r="A1620"/>
      <c r="B1620"/>
      <c r="C1620"/>
      <c r="D1620" t="s">
        <v>971</v>
      </c>
      <c r="E1620" t="s">
        <v>2079</v>
      </c>
      <c r="F1620"/>
      <c r="G1620"/>
      <c r="H1620"/>
      <c r="I1620"/>
      <c r="J1620"/>
      <c r="K1620" t="s">
        <v>2036</v>
      </c>
    </row>
    <row r="1621" spans="1:11">
      <c r="B1621" s="1"/>
      <c r="D1621" t="s">
        <v>17</v>
      </c>
      <c r="E1621" s="1" t="s">
        <v>2080</v>
      </c>
      <c r="K1621" t="s">
        <v>2036</v>
      </c>
    </row>
    <row r="1622" spans="1:11">
      <c r="A1622"/>
      <c r="B1622"/>
      <c r="C1622"/>
      <c r="D1622" t="s">
        <v>969</v>
      </c>
      <c r="E1622" t="s">
        <v>2081</v>
      </c>
      <c r="F1622"/>
      <c r="G1622"/>
      <c r="H1622"/>
      <c r="I1622"/>
      <c r="J1622"/>
      <c r="K1622" t="s">
        <v>2036</v>
      </c>
    </row>
    <row r="1623" spans="1:11">
      <c r="A1623"/>
      <c r="B1623"/>
      <c r="C1623"/>
      <c r="D1623" t="s">
        <v>975</v>
      </c>
      <c r="E1623" t="s">
        <v>2082</v>
      </c>
      <c r="F1623"/>
      <c r="G1623"/>
      <c r="H1623"/>
      <c r="I1623"/>
      <c r="J1623"/>
      <c r="K1623" t="s">
        <v>2036</v>
      </c>
    </row>
    <row r="1624" spans="1:11">
      <c r="A1624">
        <v>44452</v>
      </c>
      <c r="B1624" t="s">
        <v>2083</v>
      </c>
      <c r="C1624">
        <v>44449</v>
      </c>
      <c r="D1624" t="s">
        <v>2084</v>
      </c>
      <c r="E1624" t="s">
        <v>2085</v>
      </c>
      <c r="F1624"/>
      <c r="G1624">
        <v>931322446</v>
      </c>
      <c r="H1624"/>
      <c r="I1624"/>
      <c r="J1624"/>
      <c r="K1624" t="s">
        <v>2086</v>
      </c>
    </row>
    <row r="1625" spans="1:11">
      <c r="A1625">
        <v>44452</v>
      </c>
      <c r="B1625" t="s">
        <v>2083</v>
      </c>
      <c r="C1625">
        <v>44449</v>
      </c>
      <c r="D1625" t="s">
        <v>2084</v>
      </c>
      <c r="E1625" t="s">
        <v>2087</v>
      </c>
      <c r="F1625"/>
      <c r="G1625">
        <v>931322446</v>
      </c>
      <c r="H1625"/>
      <c r="I1625"/>
      <c r="J1625"/>
      <c r="K1625" t="s">
        <v>2091</v>
      </c>
    </row>
    <row r="1626" spans="1:11">
      <c r="A1626">
        <v>44452</v>
      </c>
      <c r="B1626">
        <v>332350754470</v>
      </c>
      <c r="C1626">
        <v>44448</v>
      </c>
      <c r="D1626" t="s">
        <v>2088</v>
      </c>
      <c r="E1626" t="s">
        <v>2089</v>
      </c>
      <c r="F1626" t="s">
        <v>2090</v>
      </c>
      <c r="G1626">
        <v>131216972</v>
      </c>
      <c r="H1626"/>
      <c r="I1626"/>
      <c r="J1626"/>
      <c r="K1626" t="s">
        <v>2091</v>
      </c>
    </row>
    <row r="1627" spans="1:11">
      <c r="A1627">
        <v>44452</v>
      </c>
      <c r="B1627">
        <v>332350754470</v>
      </c>
      <c r="C1627">
        <v>44448</v>
      </c>
      <c r="D1627" t="s">
        <v>2088</v>
      </c>
      <c r="E1627" t="s">
        <v>2092</v>
      </c>
      <c r="F1627" t="s">
        <v>2090</v>
      </c>
      <c r="G1627">
        <v>131216972</v>
      </c>
      <c r="H1627"/>
      <c r="I1627"/>
      <c r="J1627"/>
      <c r="K1627" t="s">
        <v>2086</v>
      </c>
    </row>
    <row r="1628" spans="1:11">
      <c r="A1628">
        <v>44452</v>
      </c>
      <c r="B1628">
        <v>332350754470</v>
      </c>
      <c r="C1628">
        <v>44448</v>
      </c>
      <c r="D1628" t="s">
        <v>2093</v>
      </c>
      <c r="E1628" t="s">
        <v>2094</v>
      </c>
      <c r="F1628" t="s">
        <v>2090</v>
      </c>
      <c r="G1628">
        <v>131216972</v>
      </c>
      <c r="H1628"/>
      <c r="I1628"/>
      <c r="J1628"/>
      <c r="K1628" t="s">
        <v>2086</v>
      </c>
    </row>
    <row r="1629" spans="1:11">
      <c r="A1629">
        <v>44452</v>
      </c>
      <c r="B1629">
        <v>332350754470</v>
      </c>
      <c r="C1629">
        <v>44448</v>
      </c>
      <c r="D1629" t="s">
        <v>2093</v>
      </c>
      <c r="E1629" t="s">
        <v>2095</v>
      </c>
      <c r="F1629" t="s">
        <v>2090</v>
      </c>
      <c r="G1629">
        <v>131216972</v>
      </c>
      <c r="H1629"/>
      <c r="I1629"/>
      <c r="J1629"/>
      <c r="K1629" t="s">
        <v>2091</v>
      </c>
    </row>
    <row r="1630" spans="1:11">
      <c r="A1630">
        <v>44452</v>
      </c>
      <c r="B1630">
        <v>529154485543</v>
      </c>
      <c r="C1630">
        <v>44448</v>
      </c>
      <c r="D1630" t="s">
        <v>2096</v>
      </c>
      <c r="E1630" t="s">
        <v>2097</v>
      </c>
      <c r="F1630" t="s">
        <v>113</v>
      </c>
      <c r="G1630">
        <v>2115182</v>
      </c>
      <c r="H1630"/>
      <c r="I1630"/>
      <c r="J1630"/>
      <c r="K1630" t="s">
        <v>2086</v>
      </c>
    </row>
    <row r="1631" spans="1:11">
      <c r="A1631">
        <v>44452</v>
      </c>
      <c r="B1631">
        <v>529154485543</v>
      </c>
      <c r="C1631">
        <v>44448</v>
      </c>
      <c r="D1631" t="s">
        <v>2096</v>
      </c>
      <c r="E1631" t="s">
        <v>2098</v>
      </c>
      <c r="F1631" t="s">
        <v>113</v>
      </c>
      <c r="G1631">
        <v>2115182</v>
      </c>
      <c r="H1631"/>
      <c r="I1631"/>
      <c r="J1631"/>
      <c r="K1631" t="s">
        <v>2091</v>
      </c>
    </row>
    <row r="1632" spans="1:11">
      <c r="A1632">
        <v>44455</v>
      </c>
      <c r="B1632">
        <v>24163418908</v>
      </c>
      <c r="C1632">
        <v>44454</v>
      </c>
      <c r="D1632" t="s">
        <v>2104</v>
      </c>
      <c r="E1632" t="s">
        <v>2105</v>
      </c>
      <c r="F1632" t="s">
        <v>818</v>
      </c>
      <c r="G1632" t="s">
        <v>2106</v>
      </c>
      <c r="H1632"/>
      <c r="I1632"/>
      <c r="J1632"/>
      <c r="K1632" t="s">
        <v>2091</v>
      </c>
    </row>
    <row r="1633" spans="1:11">
      <c r="A1633">
        <v>44455</v>
      </c>
      <c r="B1633">
        <v>24163418908</v>
      </c>
      <c r="C1633">
        <v>44454</v>
      </c>
      <c r="D1633" t="s">
        <v>2104</v>
      </c>
      <c r="E1633" t="s">
        <v>2107</v>
      </c>
      <c r="F1633" t="s">
        <v>818</v>
      </c>
      <c r="G1633" t="s">
        <v>2106</v>
      </c>
      <c r="H1633"/>
      <c r="I1633"/>
      <c r="J1633"/>
      <c r="K1633" t="s">
        <v>2091</v>
      </c>
    </row>
    <row r="1634" spans="1:11">
      <c r="A1634">
        <v>44455</v>
      </c>
      <c r="B1634">
        <v>24163418908</v>
      </c>
      <c r="C1634">
        <v>44454</v>
      </c>
      <c r="D1634" t="s">
        <v>2104</v>
      </c>
      <c r="E1634" t="s">
        <v>2108</v>
      </c>
      <c r="F1634" t="s">
        <v>818</v>
      </c>
      <c r="G1634" t="s">
        <v>2106</v>
      </c>
      <c r="H1634"/>
      <c r="I1634"/>
      <c r="J1634"/>
      <c r="K1634" t="s">
        <v>2091</v>
      </c>
    </row>
    <row r="1635" spans="1:11">
      <c r="A1635">
        <v>44455</v>
      </c>
      <c r="B1635">
        <v>24163418908</v>
      </c>
      <c r="C1635">
        <v>44454</v>
      </c>
      <c r="D1635" t="s">
        <v>2104</v>
      </c>
      <c r="E1635" t="s">
        <v>2109</v>
      </c>
      <c r="F1635" t="s">
        <v>818</v>
      </c>
      <c r="G1635" t="s">
        <v>2106</v>
      </c>
      <c r="H1635"/>
      <c r="I1635"/>
      <c r="J1635"/>
      <c r="K1635" t="s">
        <v>2091</v>
      </c>
    </row>
    <row r="1636" spans="1:11">
      <c r="A1636">
        <v>44455</v>
      </c>
      <c r="B1636">
        <v>24163418908</v>
      </c>
      <c r="C1636">
        <v>44454</v>
      </c>
      <c r="D1636" t="s">
        <v>2104</v>
      </c>
      <c r="E1636" t="s">
        <v>2110</v>
      </c>
      <c r="F1636" t="s">
        <v>818</v>
      </c>
      <c r="G1636" t="s">
        <v>2106</v>
      </c>
      <c r="H1636"/>
      <c r="I1636"/>
      <c r="J1636"/>
      <c r="K1636" t="s">
        <v>2086</v>
      </c>
    </row>
    <row r="1637" spans="1:11">
      <c r="A1637">
        <v>44455</v>
      </c>
      <c r="B1637">
        <v>24163418908</v>
      </c>
      <c r="C1637">
        <v>44454</v>
      </c>
      <c r="D1637" t="s">
        <v>2104</v>
      </c>
      <c r="E1637" t="s">
        <v>2111</v>
      </c>
      <c r="F1637" t="s">
        <v>818</v>
      </c>
      <c r="G1637" t="s">
        <v>2106</v>
      </c>
      <c r="H1637"/>
      <c r="I1637"/>
      <c r="J1637"/>
      <c r="K1637" t="s">
        <v>2086</v>
      </c>
    </row>
    <row r="1638" spans="1:11">
      <c r="A1638">
        <v>44455</v>
      </c>
      <c r="B1638">
        <v>24163418908</v>
      </c>
      <c r="C1638">
        <v>44454</v>
      </c>
      <c r="D1638" t="s">
        <v>2104</v>
      </c>
      <c r="E1638" t="s">
        <v>2112</v>
      </c>
      <c r="F1638" t="s">
        <v>818</v>
      </c>
      <c r="G1638" t="s">
        <v>2106</v>
      </c>
      <c r="H1638"/>
      <c r="I1638"/>
      <c r="J1638"/>
      <c r="K1638" t="s">
        <v>2086</v>
      </c>
    </row>
    <row r="1639" spans="1:11">
      <c r="A1639">
        <v>44455</v>
      </c>
      <c r="B1639">
        <v>24163418908</v>
      </c>
      <c r="C1639">
        <v>44454</v>
      </c>
      <c r="D1639" t="s">
        <v>2104</v>
      </c>
      <c r="E1639" t="s">
        <v>2113</v>
      </c>
      <c r="F1639" t="s">
        <v>818</v>
      </c>
      <c r="G1639" t="s">
        <v>2106</v>
      </c>
      <c r="H1639"/>
      <c r="I1639"/>
      <c r="J1639"/>
      <c r="K1639" t="s">
        <v>2086</v>
      </c>
    </row>
    <row r="1640" spans="1:11">
      <c r="A1640">
        <v>44454</v>
      </c>
      <c r="B1640">
        <v>774752330064</v>
      </c>
      <c r="C1640">
        <v>44448</v>
      </c>
      <c r="D1640" t="s">
        <v>2099</v>
      </c>
      <c r="E1640" t="s">
        <v>2100</v>
      </c>
      <c r="F1640" t="s">
        <v>2101</v>
      </c>
      <c r="G1640" t="s">
        <v>2102</v>
      </c>
      <c r="H1640"/>
      <c r="I1640"/>
      <c r="J1640"/>
      <c r="K1640" t="s">
        <v>2091</v>
      </c>
    </row>
    <row r="1641" spans="1:11">
      <c r="A1641"/>
      <c r="B1641"/>
      <c r="C1641"/>
      <c r="D1641" t="s">
        <v>2114</v>
      </c>
      <c r="E1641" t="s">
        <v>2115</v>
      </c>
      <c r="F1641"/>
      <c r="G1641"/>
      <c r="H1641"/>
      <c r="I1641"/>
      <c r="J1641"/>
      <c r="K1641" t="s">
        <v>2091</v>
      </c>
    </row>
    <row r="1642" spans="1:11">
      <c r="A1642"/>
      <c r="B1642"/>
      <c r="C1642"/>
      <c r="D1642" t="s">
        <v>2114</v>
      </c>
      <c r="E1642" t="s">
        <v>2116</v>
      </c>
      <c r="F1642"/>
      <c r="G1642"/>
      <c r="H1642"/>
      <c r="I1642"/>
      <c r="J1642"/>
      <c r="K1642" t="s">
        <v>2091</v>
      </c>
    </row>
    <row r="1643" spans="1:11">
      <c r="A1643"/>
      <c r="B1643"/>
      <c r="C1643"/>
      <c r="D1643" t="s">
        <v>2117</v>
      </c>
      <c r="E1643" t="s">
        <v>2118</v>
      </c>
      <c r="F1643"/>
      <c r="G1643"/>
      <c r="H1643"/>
      <c r="I1643"/>
      <c r="J1643"/>
      <c r="K1643" t="s">
        <v>2091</v>
      </c>
    </row>
    <row r="1644" spans="1:11">
      <c r="A1644"/>
      <c r="B1644"/>
      <c r="C1644"/>
      <c r="D1644" t="s">
        <v>2119</v>
      </c>
      <c r="E1644" t="s">
        <v>2120</v>
      </c>
      <c r="F1644"/>
      <c r="G1644"/>
      <c r="H1644"/>
      <c r="I1644"/>
      <c r="J1644"/>
      <c r="K1644" t="s">
        <v>2091</v>
      </c>
    </row>
    <row r="1645" spans="1:11">
      <c r="A1645"/>
      <c r="B1645"/>
      <c r="C1645"/>
      <c r="D1645" t="s">
        <v>2121</v>
      </c>
      <c r="E1645" t="s">
        <v>2122</v>
      </c>
      <c r="F1645"/>
      <c r="G1645"/>
      <c r="H1645"/>
      <c r="I1645"/>
      <c r="J1645"/>
      <c r="K1645" t="s">
        <v>2091</v>
      </c>
    </row>
    <row r="1646" spans="1:11">
      <c r="A1646">
        <v>44454</v>
      </c>
      <c r="B1646">
        <v>774752330064</v>
      </c>
      <c r="C1646">
        <v>44448</v>
      </c>
      <c r="D1646" t="s">
        <v>2099</v>
      </c>
      <c r="E1646" t="s">
        <v>2103</v>
      </c>
      <c r="F1646" t="s">
        <v>2101</v>
      </c>
      <c r="G1646" t="s">
        <v>2102</v>
      </c>
      <c r="H1646"/>
      <c r="I1646"/>
      <c r="J1646"/>
      <c r="K1646" t="s">
        <v>2086</v>
      </c>
    </row>
    <row r="1647" spans="1:11">
      <c r="A1647"/>
      <c r="B1647"/>
      <c r="C1647"/>
      <c r="D1647" t="s">
        <v>2114</v>
      </c>
      <c r="E1647" t="s">
        <v>2123</v>
      </c>
      <c r="F1647"/>
      <c r="G1647"/>
      <c r="H1647"/>
      <c r="I1647"/>
      <c r="J1647"/>
      <c r="K1647" t="s">
        <v>2086</v>
      </c>
    </row>
    <row r="1648" spans="1:11">
      <c r="A1648"/>
      <c r="B1648"/>
      <c r="C1648"/>
      <c r="D1648" t="s">
        <v>2114</v>
      </c>
      <c r="E1648" t="s">
        <v>2124</v>
      </c>
      <c r="F1648"/>
      <c r="G1648"/>
      <c r="H1648"/>
      <c r="I1648"/>
      <c r="J1648"/>
      <c r="K1648" t="s">
        <v>2086</v>
      </c>
    </row>
    <row r="1649" spans="1:11">
      <c r="A1649"/>
      <c r="B1649"/>
      <c r="C1649"/>
      <c r="D1649" t="s">
        <v>2117</v>
      </c>
      <c r="E1649" t="s">
        <v>2125</v>
      </c>
      <c r="F1649"/>
      <c r="G1649"/>
      <c r="H1649"/>
      <c r="I1649"/>
      <c r="J1649"/>
      <c r="K1649" t="s">
        <v>2086</v>
      </c>
    </row>
    <row r="1650" spans="1:11">
      <c r="A1650"/>
      <c r="B1650"/>
      <c r="C1650"/>
      <c r="D1650" t="s">
        <v>2119</v>
      </c>
      <c r="E1650" t="s">
        <v>2126</v>
      </c>
      <c r="F1650"/>
      <c r="G1650"/>
      <c r="H1650"/>
      <c r="I1650"/>
      <c r="J1650"/>
      <c r="K1650" t="s">
        <v>2086</v>
      </c>
    </row>
    <row r="1651" spans="1:11">
      <c r="A1651"/>
      <c r="B1651"/>
      <c r="C1651"/>
      <c r="D1651" t="s">
        <v>2121</v>
      </c>
      <c r="E1651" t="s">
        <v>2127</v>
      </c>
      <c r="F1651"/>
      <c r="G1651"/>
      <c r="H1651"/>
      <c r="I1651"/>
      <c r="J1651"/>
      <c r="K1651" t="s">
        <v>2086</v>
      </c>
    </row>
    <row r="1652" spans="1:11">
      <c r="A1652">
        <v>44400</v>
      </c>
      <c r="B1652">
        <v>903423360043</v>
      </c>
      <c r="C1652">
        <v>44397</v>
      </c>
      <c r="D1652" t="s">
        <v>909</v>
      </c>
      <c r="E1652" t="s">
        <v>2128</v>
      </c>
      <c r="F1652" t="s">
        <v>1398</v>
      </c>
      <c r="G1652" t="s">
        <v>2042</v>
      </c>
      <c r="H1652">
        <v>44400</v>
      </c>
      <c r="I1652">
        <v>44400</v>
      </c>
      <c r="J1652" t="s">
        <v>2129</v>
      </c>
      <c r="K1652" t="s">
        <v>2130</v>
      </c>
    </row>
    <row r="1653" spans="1:11">
      <c r="A1653">
        <v>44412</v>
      </c>
      <c r="B1653">
        <v>522132182536</v>
      </c>
      <c r="C1653">
        <v>44410</v>
      </c>
      <c r="D1653" t="s">
        <v>956</v>
      </c>
      <c r="E1653" t="s">
        <v>2131</v>
      </c>
      <c r="F1653" t="s">
        <v>1372</v>
      </c>
      <c r="G1653">
        <v>2113164</v>
      </c>
      <c r="H1653"/>
      <c r="I1653"/>
      <c r="J1653"/>
      <c r="K1653" t="s">
        <v>2130</v>
      </c>
    </row>
    <row r="1654" spans="1:11">
      <c r="A1654">
        <v>44412</v>
      </c>
      <c r="B1654">
        <v>522132182536</v>
      </c>
      <c r="C1654">
        <v>44410</v>
      </c>
      <c r="D1654" t="s">
        <v>956</v>
      </c>
      <c r="E1654" t="s">
        <v>2132</v>
      </c>
      <c r="F1654" t="s">
        <v>1372</v>
      </c>
      <c r="G1654">
        <v>2113164</v>
      </c>
      <c r="H1654"/>
      <c r="I1654"/>
      <c r="J1654"/>
      <c r="K1654" t="s">
        <v>2130</v>
      </c>
    </row>
    <row r="1655" spans="1:11">
      <c r="A1655">
        <v>44452</v>
      </c>
      <c r="B1655" t="s">
        <v>2083</v>
      </c>
      <c r="C1655">
        <v>44449</v>
      </c>
      <c r="D1655" t="s">
        <v>965</v>
      </c>
      <c r="E1655" t="s">
        <v>2133</v>
      </c>
      <c r="F1655"/>
      <c r="G1655">
        <v>931322443</v>
      </c>
      <c r="H1655"/>
      <c r="I1655"/>
      <c r="J1655"/>
      <c r="K1655" t="s">
        <v>2130</v>
      </c>
    </row>
    <row r="1656" spans="1:11">
      <c r="B1656" s="1"/>
      <c r="D1656" s="1" t="s">
        <v>967</v>
      </c>
      <c r="E1656" s="1" t="s">
        <v>2134</v>
      </c>
      <c r="K1656" t="s">
        <v>2130</v>
      </c>
    </row>
    <row r="1657" spans="1:11">
      <c r="A1657"/>
      <c r="B1657"/>
      <c r="C1657"/>
      <c r="D1657" t="s">
        <v>969</v>
      </c>
      <c r="E1657" t="s">
        <v>2135</v>
      </c>
      <c r="F1657"/>
      <c r="G1657"/>
      <c r="H1657"/>
      <c r="I1657"/>
      <c r="J1657"/>
      <c r="K1657" t="s">
        <v>2130</v>
      </c>
    </row>
    <row r="1658" spans="1:11">
      <c r="A1658"/>
      <c r="B1658"/>
      <c r="C1658"/>
      <c r="D1658" t="s">
        <v>971</v>
      </c>
      <c r="E1658" t="s">
        <v>2136</v>
      </c>
      <c r="F1658"/>
      <c r="G1658"/>
      <c r="H1658"/>
      <c r="I1658"/>
      <c r="J1658"/>
      <c r="K1658" t="s">
        <v>2130</v>
      </c>
    </row>
    <row r="1659" spans="1:11">
      <c r="A1659"/>
      <c r="B1659"/>
      <c r="C1659"/>
      <c r="D1659" t="s">
        <v>975</v>
      </c>
      <c r="E1659" t="s">
        <v>2137</v>
      </c>
      <c r="F1659"/>
      <c r="G1659"/>
      <c r="H1659"/>
      <c r="I1659"/>
      <c r="J1659"/>
      <c r="K1659" t="s">
        <v>2130</v>
      </c>
    </row>
    <row r="1660" spans="1:11">
      <c r="A1660"/>
      <c r="B1660"/>
      <c r="C1660"/>
      <c r="D1660" t="s">
        <v>17</v>
      </c>
      <c r="E1660" t="s">
        <v>2138</v>
      </c>
      <c r="F1660"/>
      <c r="G1660"/>
      <c r="H1660"/>
      <c r="I1660"/>
      <c r="J1660"/>
      <c r="K1660" t="s">
        <v>2130</v>
      </c>
    </row>
    <row r="1661" spans="1:11">
      <c r="A1661" s="1">
        <v>44456</v>
      </c>
      <c r="B1661" s="1">
        <v>23106184875</v>
      </c>
      <c r="C1661" s="1">
        <v>44455</v>
      </c>
      <c r="D1661" t="s">
        <v>1271</v>
      </c>
      <c r="E1661" s="1" t="s">
        <v>2139</v>
      </c>
      <c r="F1661" s="1" t="s">
        <v>264</v>
      </c>
      <c r="G1661" s="1" t="s">
        <v>2140</v>
      </c>
      <c r="K1661" t="s">
        <v>2130</v>
      </c>
    </row>
    <row r="1662" spans="1:11">
      <c r="A1662">
        <v>44454</v>
      </c>
      <c r="B1662">
        <v>343770145</v>
      </c>
      <c r="C1662"/>
      <c r="D1662" t="s">
        <v>2141</v>
      </c>
      <c r="E1662" t="s">
        <v>2142</v>
      </c>
      <c r="F1662" t="s">
        <v>982</v>
      </c>
      <c r="G1662"/>
      <c r="H1662"/>
      <c r="I1662"/>
      <c r="J1662"/>
      <c r="K1662" t="s">
        <v>2143</v>
      </c>
    </row>
    <row r="1663" spans="1:11">
      <c r="A1663">
        <v>44505</v>
      </c>
      <c r="B1663">
        <v>529154501039</v>
      </c>
      <c r="C1663">
        <v>44503</v>
      </c>
      <c r="D1663" t="s">
        <v>2144</v>
      </c>
      <c r="E1663" t="s">
        <v>2145</v>
      </c>
      <c r="F1663" t="s">
        <v>113</v>
      </c>
      <c r="G1663" t="s">
        <v>2146</v>
      </c>
      <c r="H1663"/>
      <c r="I1663"/>
      <c r="J1663"/>
      <c r="K1663" t="s">
        <v>2143</v>
      </c>
    </row>
    <row r="1664" spans="1:11">
      <c r="A1664">
        <v>44505</v>
      </c>
      <c r="B1664">
        <v>529154501039</v>
      </c>
      <c r="C1664">
        <v>44503</v>
      </c>
      <c r="D1664" t="s">
        <v>2144</v>
      </c>
      <c r="E1664" t="s">
        <v>2147</v>
      </c>
      <c r="F1664" t="s">
        <v>113</v>
      </c>
      <c r="G1664" t="s">
        <v>2146</v>
      </c>
      <c r="H1664"/>
      <c r="I1664"/>
      <c r="J1664"/>
      <c r="K1664" t="s">
        <v>2143</v>
      </c>
    </row>
    <row r="1665" spans="1:11">
      <c r="A1665">
        <v>44505</v>
      </c>
      <c r="B1665">
        <v>332351116505</v>
      </c>
      <c r="C1665">
        <v>44503</v>
      </c>
      <c r="D1665" t="s">
        <v>2148</v>
      </c>
      <c r="E1665" t="s">
        <v>2149</v>
      </c>
      <c r="F1665" t="s">
        <v>2150</v>
      </c>
      <c r="G1665">
        <v>131280150</v>
      </c>
      <c r="H1665"/>
      <c r="I1665"/>
      <c r="J1665"/>
      <c r="K1665" t="s">
        <v>2143</v>
      </c>
    </row>
    <row r="1666" spans="1:11">
      <c r="A1666">
        <v>44505</v>
      </c>
      <c r="B1666">
        <v>332351116505</v>
      </c>
      <c r="C1666">
        <v>44503</v>
      </c>
      <c r="D1666" t="s">
        <v>1493</v>
      </c>
      <c r="E1666" t="s">
        <v>2151</v>
      </c>
      <c r="F1666" t="s">
        <v>2150</v>
      </c>
      <c r="G1666">
        <v>131280150</v>
      </c>
      <c r="H1666"/>
      <c r="I1666"/>
      <c r="J1666"/>
      <c r="K1666" t="s">
        <v>2143</v>
      </c>
    </row>
    <row r="1667" spans="1:11">
      <c r="A1667">
        <v>44505</v>
      </c>
      <c r="B1667">
        <v>332351116505</v>
      </c>
      <c r="C1667">
        <v>44503</v>
      </c>
      <c r="D1667" t="s">
        <v>1493</v>
      </c>
      <c r="E1667" t="s">
        <v>2152</v>
      </c>
      <c r="F1667" t="s">
        <v>2150</v>
      </c>
      <c r="G1667">
        <v>131280150</v>
      </c>
      <c r="H1667"/>
      <c r="I1667"/>
      <c r="J1667"/>
      <c r="K1667" t="s">
        <v>2143</v>
      </c>
    </row>
    <row r="1668" spans="1:11">
      <c r="A1668"/>
      <c r="B1668"/>
      <c r="C1668"/>
      <c r="D1668" t="s">
        <v>2153</v>
      </c>
      <c r="E1668" t="s">
        <v>2154</v>
      </c>
      <c r="F1668"/>
      <c r="G1668"/>
      <c r="H1668"/>
      <c r="I1668"/>
      <c r="J1668"/>
      <c r="K1668" t="s">
        <v>2143</v>
      </c>
    </row>
    <row r="1669" spans="1:11">
      <c r="A1669"/>
      <c r="B1669"/>
      <c r="C1669"/>
      <c r="D1669" t="s">
        <v>2155</v>
      </c>
      <c r="E1669" t="s">
        <v>2156</v>
      </c>
      <c r="F1669"/>
      <c r="G1669"/>
      <c r="H1669"/>
      <c r="I1669"/>
      <c r="J1669"/>
      <c r="K1669" t="s">
        <v>2143</v>
      </c>
    </row>
    <row r="1670" spans="1:11">
      <c r="A1670"/>
      <c r="B1670"/>
      <c r="C1670"/>
      <c r="D1670" t="s">
        <v>918</v>
      </c>
      <c r="E1670" t="s">
        <v>2157</v>
      </c>
      <c r="F1670"/>
      <c r="G1670"/>
      <c r="H1670"/>
      <c r="I1670"/>
      <c r="J1670"/>
      <c r="K1670" t="s">
        <v>2143</v>
      </c>
    </row>
    <row r="1671" spans="1:11">
      <c r="A1671"/>
      <c r="B1671"/>
      <c r="C1671"/>
      <c r="D1671" t="s">
        <v>918</v>
      </c>
      <c r="E1671" t="s">
        <v>2158</v>
      </c>
      <c r="F1671"/>
      <c r="G1671"/>
      <c r="H1671"/>
      <c r="I1671"/>
      <c r="J1671"/>
      <c r="K1671" t="s">
        <v>2143</v>
      </c>
    </row>
    <row r="1672" spans="1:11">
      <c r="A1672">
        <v>44509</v>
      </c>
      <c r="B1672">
        <v>23106539183</v>
      </c>
      <c r="C1672">
        <v>44505</v>
      </c>
      <c r="D1672" t="s">
        <v>2159</v>
      </c>
      <c r="E1672" t="s">
        <v>2160</v>
      </c>
      <c r="F1672" t="s">
        <v>264</v>
      </c>
      <c r="G1672" t="s">
        <v>2161</v>
      </c>
      <c r="H1672"/>
      <c r="I1672"/>
      <c r="J1672"/>
      <c r="K1672" t="s">
        <v>2143</v>
      </c>
    </row>
    <row r="1673" spans="1:11">
      <c r="A1673" s="1">
        <v>44438</v>
      </c>
      <c r="B1673" s="1" t="s">
        <v>223</v>
      </c>
      <c r="C1673" s="1">
        <v>44435</v>
      </c>
      <c r="D1673" t="s">
        <v>2162</v>
      </c>
      <c r="E1673" t="s">
        <v>2180</v>
      </c>
      <c r="F1673" s="1" t="s">
        <v>210</v>
      </c>
      <c r="G1673">
        <v>931313609</v>
      </c>
      <c r="H1673"/>
      <c r="I1673"/>
      <c r="J1673"/>
      <c r="K1673" t="s">
        <v>2163</v>
      </c>
    </row>
    <row r="1674" spans="1:11">
      <c r="A1674"/>
      <c r="B1674"/>
      <c r="C1674"/>
      <c r="D1674" t="s">
        <v>2164</v>
      </c>
      <c r="E1674" t="s">
        <v>2165</v>
      </c>
      <c r="F1674"/>
      <c r="G1674"/>
      <c r="H1674"/>
      <c r="I1674"/>
      <c r="J1674"/>
      <c r="K1674" t="s">
        <v>2163</v>
      </c>
    </row>
    <row r="1675" spans="1:11">
      <c r="A1675"/>
      <c r="B1675"/>
      <c r="C1675"/>
      <c r="D1675" t="s">
        <v>1725</v>
      </c>
      <c r="E1675" t="s">
        <v>2166</v>
      </c>
      <c r="F1675"/>
      <c r="G1675"/>
      <c r="H1675"/>
      <c r="I1675"/>
      <c r="J1675"/>
      <c r="K1675" t="s">
        <v>2163</v>
      </c>
    </row>
    <row r="1676" spans="1:11">
      <c r="A1676">
        <v>44454</v>
      </c>
      <c r="B1676">
        <v>343770145</v>
      </c>
      <c r="C1676"/>
      <c r="D1676" t="s">
        <v>2141</v>
      </c>
      <c r="E1676" t="s">
        <v>2167</v>
      </c>
      <c r="F1676" t="s">
        <v>982</v>
      </c>
      <c r="G1676"/>
      <c r="H1676"/>
      <c r="I1676"/>
      <c r="J1676"/>
      <c r="K1676" t="s">
        <v>2163</v>
      </c>
    </row>
    <row r="1677" spans="1:11">
      <c r="A1677">
        <v>44519</v>
      </c>
      <c r="B1677">
        <v>24781929704</v>
      </c>
      <c r="C1677">
        <v>44518</v>
      </c>
      <c r="D1677" t="s">
        <v>2168</v>
      </c>
      <c r="E1677" t="s">
        <v>2169</v>
      </c>
      <c r="F1677" t="s">
        <v>264</v>
      </c>
      <c r="G1677" t="s">
        <v>2170</v>
      </c>
      <c r="H1677"/>
      <c r="I1677"/>
      <c r="J1677"/>
      <c r="K1677" t="s">
        <v>2163</v>
      </c>
    </row>
    <row r="1678" spans="1:11">
      <c r="A1678" s="1">
        <v>44519</v>
      </c>
      <c r="B1678" s="1">
        <v>332351220394</v>
      </c>
      <c r="C1678" s="1">
        <v>44517</v>
      </c>
      <c r="D1678" s="1" t="s">
        <v>1493</v>
      </c>
      <c r="E1678" s="1" t="s">
        <v>2171</v>
      </c>
      <c r="F1678" s="1" t="s">
        <v>905</v>
      </c>
      <c r="G1678" s="1" t="s">
        <v>2172</v>
      </c>
      <c r="K1678" s="1" t="s">
        <v>2163</v>
      </c>
    </row>
    <row r="1679" spans="1:11">
      <c r="A1679" s="1">
        <v>44519</v>
      </c>
      <c r="B1679" s="1">
        <v>332351220394</v>
      </c>
      <c r="C1679" s="1">
        <v>44517</v>
      </c>
      <c r="D1679" t="s">
        <v>1493</v>
      </c>
      <c r="E1679" t="s">
        <v>2173</v>
      </c>
      <c r="F1679" s="1" t="s">
        <v>905</v>
      </c>
      <c r="G1679" t="s">
        <v>2172</v>
      </c>
      <c r="H1679"/>
      <c r="I1679"/>
      <c r="J1679"/>
      <c r="K1679" t="s">
        <v>2163</v>
      </c>
    </row>
    <row r="1680" spans="1:11">
      <c r="A1680"/>
      <c r="B1680"/>
      <c r="C1680"/>
      <c r="D1680" t="s">
        <v>2174</v>
      </c>
      <c r="E1680" t="s">
        <v>2175</v>
      </c>
      <c r="F1680"/>
      <c r="G1680"/>
      <c r="H1680"/>
      <c r="I1680"/>
      <c r="J1680"/>
      <c r="K1680" t="s">
        <v>2163</v>
      </c>
    </row>
    <row r="1681" spans="1:11">
      <c r="A1681">
        <v>44522</v>
      </c>
      <c r="B1681">
        <v>529154506328</v>
      </c>
      <c r="C1681">
        <v>44518</v>
      </c>
      <c r="D1681" t="s">
        <v>2176</v>
      </c>
      <c r="E1681" t="s">
        <v>2177</v>
      </c>
      <c r="F1681" t="s">
        <v>113</v>
      </c>
      <c r="G1681" t="s">
        <v>2178</v>
      </c>
      <c r="H1681"/>
      <c r="I1681"/>
      <c r="J1681"/>
      <c r="K1681" t="s">
        <v>2163</v>
      </c>
    </row>
    <row r="1682" spans="1:11">
      <c r="A1682">
        <v>44522</v>
      </c>
      <c r="B1682">
        <v>529154506328</v>
      </c>
      <c r="C1682">
        <v>44518</v>
      </c>
      <c r="D1682" t="s">
        <v>2176</v>
      </c>
      <c r="E1682" t="s">
        <v>2179</v>
      </c>
      <c r="F1682" t="s">
        <v>113</v>
      </c>
      <c r="G1682" t="s">
        <v>2178</v>
      </c>
      <c r="H1682"/>
      <c r="I1682"/>
      <c r="J1682"/>
      <c r="K1682" t="s">
        <v>2163</v>
      </c>
    </row>
    <row r="1683" spans="1:11">
      <c r="A1683">
        <v>44418</v>
      </c>
      <c r="B1683">
        <v>10812073675</v>
      </c>
      <c r="C1683">
        <v>44417</v>
      </c>
      <c r="D1683" t="s">
        <v>2181</v>
      </c>
      <c r="E1683" t="s">
        <v>2182</v>
      </c>
      <c r="F1683" t="s">
        <v>753</v>
      </c>
      <c r="G1683">
        <v>40090982</v>
      </c>
      <c r="H1683"/>
      <c r="I1683"/>
      <c r="J1683"/>
      <c r="K1683" t="s">
        <v>2183</v>
      </c>
    </row>
    <row r="1684" spans="1:11">
      <c r="A1684">
        <v>44418</v>
      </c>
      <c r="B1684">
        <v>10812073675</v>
      </c>
      <c r="C1684">
        <v>44417</v>
      </c>
      <c r="D1684" t="s">
        <v>2181</v>
      </c>
      <c r="E1684" t="s">
        <v>2184</v>
      </c>
      <c r="F1684" t="s">
        <v>753</v>
      </c>
      <c r="G1684">
        <v>40090982</v>
      </c>
      <c r="H1684"/>
      <c r="I1684"/>
      <c r="J1684"/>
      <c r="K1684" t="s">
        <v>2185</v>
      </c>
    </row>
    <row r="1685" spans="1:11">
      <c r="A1685">
        <v>44418</v>
      </c>
      <c r="B1685">
        <v>10812073675</v>
      </c>
      <c r="C1685">
        <v>44417</v>
      </c>
      <c r="D1685" t="s">
        <v>2181</v>
      </c>
      <c r="E1685" t="s">
        <v>2186</v>
      </c>
      <c r="F1685" t="s">
        <v>753</v>
      </c>
      <c r="G1685">
        <v>40090982</v>
      </c>
      <c r="H1685"/>
      <c r="I1685"/>
      <c r="J1685"/>
      <c r="K1685" t="s">
        <v>2187</v>
      </c>
    </row>
    <row r="1686" spans="1:11">
      <c r="A1686">
        <v>44418</v>
      </c>
      <c r="B1686">
        <v>10812073675</v>
      </c>
      <c r="C1686">
        <v>44417</v>
      </c>
      <c r="D1686" t="s">
        <v>2181</v>
      </c>
      <c r="E1686" t="s">
        <v>2188</v>
      </c>
      <c r="F1686" t="s">
        <v>753</v>
      </c>
      <c r="G1686">
        <v>40090982</v>
      </c>
      <c r="H1686"/>
      <c r="I1686"/>
      <c r="J1686"/>
      <c r="K1686" t="s">
        <v>2189</v>
      </c>
    </row>
    <row r="1687" spans="1:11">
      <c r="A1687">
        <v>44418</v>
      </c>
      <c r="B1687">
        <v>10812073675</v>
      </c>
      <c r="C1687">
        <v>44417</v>
      </c>
      <c r="D1687" t="s">
        <v>2181</v>
      </c>
      <c r="E1687" t="s">
        <v>2190</v>
      </c>
      <c r="F1687" t="s">
        <v>753</v>
      </c>
      <c r="G1687">
        <v>40090982</v>
      </c>
      <c r="H1687"/>
      <c r="I1687"/>
      <c r="J1687"/>
      <c r="K1687" t="s">
        <v>2191</v>
      </c>
    </row>
    <row r="1688" spans="1:11">
      <c r="A1688">
        <v>44418</v>
      </c>
      <c r="B1688">
        <v>10812073675</v>
      </c>
      <c r="C1688">
        <v>44417</v>
      </c>
      <c r="D1688" t="s">
        <v>2181</v>
      </c>
      <c r="E1688" t="s">
        <v>2192</v>
      </c>
      <c r="F1688" t="s">
        <v>753</v>
      </c>
      <c r="G1688">
        <v>40090982</v>
      </c>
      <c r="H1688"/>
      <c r="I1688"/>
      <c r="J1688"/>
      <c r="K1688" t="s">
        <v>2193</v>
      </c>
    </row>
    <row r="1689" spans="1:11">
      <c r="A1689">
        <v>44418</v>
      </c>
      <c r="B1689">
        <v>10812073675</v>
      </c>
      <c r="C1689">
        <v>44417</v>
      </c>
      <c r="D1689" t="s">
        <v>2181</v>
      </c>
      <c r="E1689" t="s">
        <v>2194</v>
      </c>
      <c r="F1689" t="s">
        <v>753</v>
      </c>
      <c r="G1689">
        <v>40090982</v>
      </c>
      <c r="H1689"/>
      <c r="I1689"/>
      <c r="J1689"/>
      <c r="K1689" t="s">
        <v>2195</v>
      </c>
    </row>
    <row r="1690" spans="1:11">
      <c r="A1690">
        <v>44456</v>
      </c>
      <c r="B1690">
        <v>10812143112</v>
      </c>
      <c r="C1690">
        <v>44454</v>
      </c>
      <c r="D1690" t="s">
        <v>2196</v>
      </c>
      <c r="E1690" t="s">
        <v>2332</v>
      </c>
      <c r="F1690" t="s">
        <v>753</v>
      </c>
      <c r="G1690">
        <v>40107096</v>
      </c>
      <c r="H1690"/>
      <c r="I1690"/>
      <c r="J1690"/>
      <c r="K1690" t="s">
        <v>2193</v>
      </c>
    </row>
    <row r="1691" spans="1:11">
      <c r="A1691">
        <v>44456</v>
      </c>
      <c r="B1691">
        <v>10812143112</v>
      </c>
      <c r="C1691">
        <v>44454</v>
      </c>
      <c r="D1691" t="s">
        <v>2196</v>
      </c>
      <c r="E1691" t="s">
        <v>2333</v>
      </c>
      <c r="F1691" t="s">
        <v>753</v>
      </c>
      <c r="G1691">
        <v>40107096</v>
      </c>
      <c r="H1691"/>
      <c r="I1691"/>
      <c r="J1691"/>
      <c r="K1691" t="s">
        <v>2191</v>
      </c>
    </row>
    <row r="1692" spans="1:11">
      <c r="A1692">
        <v>44456</v>
      </c>
      <c r="B1692">
        <v>10812143112</v>
      </c>
      <c r="C1692">
        <v>44454</v>
      </c>
      <c r="D1692" t="s">
        <v>2196</v>
      </c>
      <c r="E1692" t="s">
        <v>2334</v>
      </c>
      <c r="F1692" t="s">
        <v>753</v>
      </c>
      <c r="G1692">
        <v>40107096</v>
      </c>
      <c r="H1692"/>
      <c r="I1692"/>
      <c r="J1692"/>
      <c r="K1692" t="s">
        <v>2189</v>
      </c>
    </row>
    <row r="1693" spans="1:11">
      <c r="A1693">
        <v>44456</v>
      </c>
      <c r="B1693">
        <v>10812143112</v>
      </c>
      <c r="C1693">
        <v>44454</v>
      </c>
      <c r="D1693" t="s">
        <v>2196</v>
      </c>
      <c r="E1693" t="s">
        <v>2335</v>
      </c>
      <c r="F1693" t="s">
        <v>753</v>
      </c>
      <c r="G1693">
        <v>40107096</v>
      </c>
      <c r="H1693"/>
      <c r="I1693"/>
      <c r="J1693"/>
      <c r="K1693" t="s">
        <v>2193</v>
      </c>
    </row>
    <row r="1694" spans="1:11">
      <c r="A1694">
        <v>44456</v>
      </c>
      <c r="B1694">
        <v>10812143112</v>
      </c>
      <c r="C1694">
        <v>44454</v>
      </c>
      <c r="D1694" t="s">
        <v>2196</v>
      </c>
      <c r="E1694" t="s">
        <v>2336</v>
      </c>
      <c r="F1694" t="s">
        <v>753</v>
      </c>
      <c r="G1694">
        <v>40107096</v>
      </c>
      <c r="H1694"/>
      <c r="I1694"/>
      <c r="J1694"/>
      <c r="K1694" t="s">
        <v>2189</v>
      </c>
    </row>
    <row r="1695" spans="1:11">
      <c r="A1695">
        <v>44456</v>
      </c>
      <c r="B1695">
        <v>10812143112</v>
      </c>
      <c r="C1695">
        <v>44454</v>
      </c>
      <c r="D1695" t="s">
        <v>2196</v>
      </c>
      <c r="E1695" t="s">
        <v>2337</v>
      </c>
      <c r="F1695" t="s">
        <v>753</v>
      </c>
      <c r="G1695">
        <v>40107096</v>
      </c>
      <c r="H1695"/>
      <c r="I1695"/>
      <c r="J1695"/>
      <c r="K1695" t="s">
        <v>2195</v>
      </c>
    </row>
    <row r="1696" spans="1:11">
      <c r="A1696">
        <v>44456</v>
      </c>
      <c r="B1696">
        <v>10812143112</v>
      </c>
      <c r="C1696">
        <v>44454</v>
      </c>
      <c r="D1696" t="s">
        <v>2196</v>
      </c>
      <c r="E1696" t="s">
        <v>2338</v>
      </c>
      <c r="F1696" t="s">
        <v>753</v>
      </c>
      <c r="G1696">
        <v>40107096</v>
      </c>
      <c r="H1696"/>
      <c r="I1696"/>
      <c r="J1696"/>
      <c r="K1696" t="s">
        <v>2195</v>
      </c>
    </row>
    <row r="1697" spans="1:11">
      <c r="A1697">
        <v>44456</v>
      </c>
      <c r="B1697">
        <v>10812143112</v>
      </c>
      <c r="C1697">
        <v>44454</v>
      </c>
      <c r="D1697" t="s">
        <v>2196</v>
      </c>
      <c r="E1697" t="s">
        <v>2339</v>
      </c>
      <c r="F1697" t="s">
        <v>753</v>
      </c>
      <c r="G1697">
        <v>40107096</v>
      </c>
      <c r="H1697"/>
      <c r="I1697"/>
      <c r="J1697"/>
      <c r="K1697" t="s">
        <v>2191</v>
      </c>
    </row>
    <row r="1698" spans="1:11">
      <c r="A1698">
        <v>44456</v>
      </c>
      <c r="B1698">
        <v>10812143112</v>
      </c>
      <c r="C1698">
        <v>44454</v>
      </c>
      <c r="D1698" t="s">
        <v>2196</v>
      </c>
      <c r="E1698" t="s">
        <v>2340</v>
      </c>
      <c r="F1698" t="s">
        <v>753</v>
      </c>
      <c r="G1698">
        <v>40107096</v>
      </c>
      <c r="H1698"/>
      <c r="I1698"/>
      <c r="J1698"/>
      <c r="K1698" t="s">
        <v>2185</v>
      </c>
    </row>
    <row r="1699" spans="1:11">
      <c r="A1699">
        <v>44456</v>
      </c>
      <c r="B1699">
        <v>10812143112</v>
      </c>
      <c r="C1699">
        <v>44454</v>
      </c>
      <c r="D1699" t="s">
        <v>2196</v>
      </c>
      <c r="E1699" t="s">
        <v>2341</v>
      </c>
      <c r="F1699" t="s">
        <v>753</v>
      </c>
      <c r="G1699">
        <v>40107096</v>
      </c>
      <c r="H1699"/>
      <c r="I1699"/>
      <c r="J1699"/>
      <c r="K1699" t="s">
        <v>2185</v>
      </c>
    </row>
    <row r="1700" spans="1:11">
      <c r="A1700">
        <v>44456</v>
      </c>
      <c r="B1700">
        <v>10812143112</v>
      </c>
      <c r="C1700">
        <v>44454</v>
      </c>
      <c r="D1700" t="s">
        <v>2196</v>
      </c>
      <c r="E1700" t="s">
        <v>2342</v>
      </c>
      <c r="F1700" t="s">
        <v>753</v>
      </c>
      <c r="G1700">
        <v>40107096</v>
      </c>
      <c r="H1700"/>
      <c r="I1700"/>
      <c r="J1700"/>
      <c r="K1700" t="s">
        <v>2187</v>
      </c>
    </row>
    <row r="1701" spans="1:11">
      <c r="A1701">
        <v>44456</v>
      </c>
      <c r="B1701">
        <v>10812143112</v>
      </c>
      <c r="C1701">
        <v>44454</v>
      </c>
      <c r="D1701" t="s">
        <v>2196</v>
      </c>
      <c r="E1701" t="s">
        <v>2343</v>
      </c>
      <c r="F1701" t="s">
        <v>753</v>
      </c>
      <c r="G1701">
        <v>40107096</v>
      </c>
      <c r="H1701"/>
      <c r="I1701"/>
      <c r="J1701"/>
      <c r="K1701" t="s">
        <v>2187</v>
      </c>
    </row>
    <row r="1702" spans="1:11">
      <c r="A1702">
        <v>44456</v>
      </c>
      <c r="B1702">
        <v>10812143112</v>
      </c>
      <c r="C1702">
        <v>44454</v>
      </c>
      <c r="D1702" t="s">
        <v>2196</v>
      </c>
      <c r="E1702" t="s">
        <v>2344</v>
      </c>
      <c r="F1702" t="s">
        <v>753</v>
      </c>
      <c r="G1702">
        <v>40107096</v>
      </c>
      <c r="H1702"/>
      <c r="I1702"/>
      <c r="J1702"/>
      <c r="K1702" t="s">
        <v>2183</v>
      </c>
    </row>
    <row r="1703" spans="1:11">
      <c r="A1703">
        <v>44456</v>
      </c>
      <c r="B1703">
        <v>10812143112</v>
      </c>
      <c r="C1703">
        <v>44454</v>
      </c>
      <c r="D1703" t="s">
        <v>2196</v>
      </c>
      <c r="E1703" t="s">
        <v>2345</v>
      </c>
      <c r="F1703" t="s">
        <v>753</v>
      </c>
      <c r="G1703">
        <v>40107096</v>
      </c>
      <c r="H1703"/>
      <c r="I1703"/>
      <c r="J1703"/>
      <c r="K1703" t="s">
        <v>2183</v>
      </c>
    </row>
    <row r="1704" spans="1:11">
      <c r="A1704">
        <v>44487</v>
      </c>
      <c r="B1704" t="s">
        <v>223</v>
      </c>
      <c r="C1704">
        <v>44484</v>
      </c>
      <c r="D1704" t="s">
        <v>2197</v>
      </c>
      <c r="E1704" t="s">
        <v>2198</v>
      </c>
      <c r="F1704" t="s">
        <v>2199</v>
      </c>
      <c r="G1704">
        <v>931345438</v>
      </c>
      <c r="H1704"/>
      <c r="I1704"/>
      <c r="J1704"/>
      <c r="K1704" t="s">
        <v>2185</v>
      </c>
    </row>
    <row r="1705" spans="1:11">
      <c r="A1705">
        <v>44487</v>
      </c>
      <c r="B1705" t="s">
        <v>223</v>
      </c>
      <c r="C1705">
        <v>44484</v>
      </c>
      <c r="D1705" t="s">
        <v>2197</v>
      </c>
      <c r="E1705" t="s">
        <v>2200</v>
      </c>
      <c r="F1705" t="s">
        <v>2199</v>
      </c>
      <c r="G1705">
        <v>931345438</v>
      </c>
      <c r="H1705"/>
      <c r="I1705"/>
      <c r="J1705"/>
      <c r="K1705" t="s">
        <v>2191</v>
      </c>
    </row>
    <row r="1706" spans="1:11">
      <c r="A1706">
        <v>44487</v>
      </c>
      <c r="B1706" t="s">
        <v>223</v>
      </c>
      <c r="C1706">
        <v>44484</v>
      </c>
      <c r="D1706" t="s">
        <v>2197</v>
      </c>
      <c r="E1706" t="s">
        <v>2201</v>
      </c>
      <c r="F1706" t="s">
        <v>2199</v>
      </c>
      <c r="G1706">
        <v>931345438</v>
      </c>
      <c r="H1706"/>
      <c r="I1706"/>
      <c r="J1706"/>
      <c r="K1706" t="s">
        <v>2195</v>
      </c>
    </row>
    <row r="1707" spans="1:11">
      <c r="A1707">
        <v>44487</v>
      </c>
      <c r="B1707" t="s">
        <v>223</v>
      </c>
      <c r="C1707">
        <v>44484</v>
      </c>
      <c r="D1707" t="s">
        <v>2197</v>
      </c>
      <c r="E1707" t="s">
        <v>2202</v>
      </c>
      <c r="F1707" t="s">
        <v>2199</v>
      </c>
      <c r="G1707">
        <v>931345438</v>
      </c>
      <c r="H1707"/>
      <c r="I1707"/>
      <c r="J1707"/>
      <c r="K1707" t="s">
        <v>2189</v>
      </c>
    </row>
    <row r="1708" spans="1:11">
      <c r="A1708">
        <v>44487</v>
      </c>
      <c r="B1708" t="s">
        <v>223</v>
      </c>
      <c r="C1708">
        <v>44484</v>
      </c>
      <c r="D1708" t="s">
        <v>2197</v>
      </c>
      <c r="E1708" t="s">
        <v>2203</v>
      </c>
      <c r="F1708" t="s">
        <v>2199</v>
      </c>
      <c r="G1708">
        <v>931345438</v>
      </c>
      <c r="H1708"/>
      <c r="I1708"/>
      <c r="J1708"/>
      <c r="K1708" t="s">
        <v>2193</v>
      </c>
    </row>
    <row r="1709" spans="1:11">
      <c r="A1709">
        <v>44487</v>
      </c>
      <c r="B1709" t="s">
        <v>223</v>
      </c>
      <c r="C1709">
        <v>44484</v>
      </c>
      <c r="D1709" t="s">
        <v>2197</v>
      </c>
      <c r="E1709" t="s">
        <v>2204</v>
      </c>
      <c r="F1709" t="s">
        <v>2199</v>
      </c>
      <c r="G1709">
        <v>931345438</v>
      </c>
      <c r="H1709"/>
      <c r="I1709"/>
      <c r="J1709"/>
      <c r="K1709" t="s">
        <v>2185</v>
      </c>
    </row>
    <row r="1710" spans="1:11">
      <c r="A1710">
        <v>44487</v>
      </c>
      <c r="B1710" t="s">
        <v>223</v>
      </c>
      <c r="C1710">
        <v>44484</v>
      </c>
      <c r="D1710" t="s">
        <v>2197</v>
      </c>
      <c r="E1710" t="s">
        <v>2205</v>
      </c>
      <c r="F1710" t="s">
        <v>2199</v>
      </c>
      <c r="G1710">
        <v>931345438</v>
      </c>
      <c r="H1710"/>
      <c r="I1710"/>
      <c r="J1710"/>
      <c r="K1710" t="s">
        <v>2187</v>
      </c>
    </row>
    <row r="1711" spans="1:11">
      <c r="A1711">
        <v>44487</v>
      </c>
      <c r="B1711" t="s">
        <v>223</v>
      </c>
      <c r="C1711">
        <v>44484</v>
      </c>
      <c r="D1711" t="s">
        <v>2197</v>
      </c>
      <c r="E1711" t="s">
        <v>2206</v>
      </c>
      <c r="F1711" t="s">
        <v>2199</v>
      </c>
      <c r="G1711">
        <v>931345438</v>
      </c>
      <c r="H1711"/>
      <c r="I1711"/>
      <c r="J1711"/>
      <c r="K1711" t="s">
        <v>2193</v>
      </c>
    </row>
    <row r="1712" spans="1:11">
      <c r="A1712">
        <v>44487</v>
      </c>
      <c r="B1712" t="s">
        <v>223</v>
      </c>
      <c r="C1712">
        <v>44484</v>
      </c>
      <c r="D1712" t="s">
        <v>2197</v>
      </c>
      <c r="E1712" t="s">
        <v>2207</v>
      </c>
      <c r="F1712" t="s">
        <v>2199</v>
      </c>
      <c r="G1712">
        <v>931345438</v>
      </c>
      <c r="H1712"/>
      <c r="I1712"/>
      <c r="J1712"/>
      <c r="K1712" t="s">
        <v>2183</v>
      </c>
    </row>
    <row r="1713" spans="1:11">
      <c r="A1713">
        <v>44487</v>
      </c>
      <c r="B1713" t="s">
        <v>223</v>
      </c>
      <c r="C1713">
        <v>44484</v>
      </c>
      <c r="D1713" t="s">
        <v>2197</v>
      </c>
      <c r="E1713" t="s">
        <v>2208</v>
      </c>
      <c r="F1713" t="s">
        <v>2199</v>
      </c>
      <c r="G1713">
        <v>931345438</v>
      </c>
      <c r="H1713"/>
      <c r="I1713"/>
      <c r="J1713"/>
      <c r="K1713" t="s">
        <v>2189</v>
      </c>
    </row>
    <row r="1714" spans="1:11">
      <c r="A1714">
        <v>44487</v>
      </c>
      <c r="B1714" t="s">
        <v>223</v>
      </c>
      <c r="C1714">
        <v>44484</v>
      </c>
      <c r="D1714" t="s">
        <v>2197</v>
      </c>
      <c r="E1714" t="s">
        <v>2209</v>
      </c>
      <c r="F1714" t="s">
        <v>2199</v>
      </c>
      <c r="G1714">
        <v>931345438</v>
      </c>
      <c r="H1714"/>
      <c r="I1714"/>
      <c r="J1714"/>
      <c r="K1714" t="s">
        <v>2191</v>
      </c>
    </row>
    <row r="1715" spans="1:11">
      <c r="A1715">
        <v>44487</v>
      </c>
      <c r="B1715" t="s">
        <v>223</v>
      </c>
      <c r="C1715">
        <v>44484</v>
      </c>
      <c r="D1715" t="s">
        <v>2197</v>
      </c>
      <c r="E1715" t="s">
        <v>2210</v>
      </c>
      <c r="F1715" t="s">
        <v>2199</v>
      </c>
      <c r="G1715">
        <v>931345438</v>
      </c>
      <c r="H1715"/>
      <c r="I1715"/>
      <c r="J1715"/>
      <c r="K1715" t="s">
        <v>2187</v>
      </c>
    </row>
    <row r="1716" spans="1:11">
      <c r="A1716">
        <v>44487</v>
      </c>
      <c r="B1716" t="s">
        <v>223</v>
      </c>
      <c r="C1716">
        <v>44484</v>
      </c>
      <c r="D1716" t="s">
        <v>2197</v>
      </c>
      <c r="E1716" t="s">
        <v>2211</v>
      </c>
      <c r="F1716" t="s">
        <v>2199</v>
      </c>
      <c r="G1716">
        <v>931345438</v>
      </c>
      <c r="H1716"/>
      <c r="I1716"/>
      <c r="J1716"/>
      <c r="K1716" t="s">
        <v>2195</v>
      </c>
    </row>
    <row r="1717" spans="1:11">
      <c r="A1717">
        <v>44487</v>
      </c>
      <c r="B1717" t="s">
        <v>223</v>
      </c>
      <c r="C1717">
        <v>44484</v>
      </c>
      <c r="D1717" t="s">
        <v>2197</v>
      </c>
      <c r="E1717" t="s">
        <v>2212</v>
      </c>
      <c r="F1717" t="s">
        <v>2199</v>
      </c>
      <c r="G1717">
        <v>931345438</v>
      </c>
      <c r="H1717"/>
      <c r="I1717"/>
      <c r="J1717"/>
      <c r="K1717" t="s">
        <v>2183</v>
      </c>
    </row>
    <row r="1718" spans="1:11">
      <c r="A1718">
        <v>44488</v>
      </c>
      <c r="B1718">
        <v>529154495496</v>
      </c>
      <c r="C1718">
        <v>44484</v>
      </c>
      <c r="D1718" t="s">
        <v>2213</v>
      </c>
      <c r="E1718" t="s">
        <v>2214</v>
      </c>
      <c r="F1718" t="s">
        <v>113</v>
      </c>
      <c r="G1718">
        <v>2117079</v>
      </c>
      <c r="H1718"/>
      <c r="I1718"/>
      <c r="J1718"/>
      <c r="K1718" t="s">
        <v>2185</v>
      </c>
    </row>
    <row r="1719" spans="1:11">
      <c r="A1719">
        <v>44488</v>
      </c>
      <c r="B1719">
        <v>529154495496</v>
      </c>
      <c r="C1719">
        <v>44484</v>
      </c>
      <c r="D1719" t="s">
        <v>2213</v>
      </c>
      <c r="E1719" t="s">
        <v>2215</v>
      </c>
      <c r="F1719" t="s">
        <v>113</v>
      </c>
      <c r="G1719">
        <v>2117079</v>
      </c>
      <c r="H1719"/>
      <c r="I1719"/>
      <c r="J1719"/>
      <c r="K1719" t="s">
        <v>2183</v>
      </c>
    </row>
    <row r="1720" spans="1:11">
      <c r="A1720">
        <v>44488</v>
      </c>
      <c r="B1720">
        <v>529154495496</v>
      </c>
      <c r="C1720">
        <v>44484</v>
      </c>
      <c r="D1720" t="s">
        <v>2213</v>
      </c>
      <c r="E1720" t="s">
        <v>2216</v>
      </c>
      <c r="F1720" t="s">
        <v>113</v>
      </c>
      <c r="G1720">
        <v>2117079</v>
      </c>
      <c r="H1720"/>
      <c r="I1720"/>
      <c r="J1720"/>
      <c r="K1720" t="s">
        <v>2187</v>
      </c>
    </row>
    <row r="1721" spans="1:11">
      <c r="A1721">
        <v>44488</v>
      </c>
      <c r="B1721">
        <v>529154495496</v>
      </c>
      <c r="C1721">
        <v>44484</v>
      </c>
      <c r="D1721" t="s">
        <v>2213</v>
      </c>
      <c r="E1721" t="s">
        <v>2217</v>
      </c>
      <c r="F1721" t="s">
        <v>113</v>
      </c>
      <c r="G1721">
        <v>2117079</v>
      </c>
      <c r="H1721"/>
      <c r="I1721"/>
      <c r="J1721"/>
      <c r="K1721" t="s">
        <v>2191</v>
      </c>
    </row>
    <row r="1722" spans="1:11">
      <c r="A1722">
        <v>44488</v>
      </c>
      <c r="B1722">
        <v>529154495496</v>
      </c>
      <c r="C1722">
        <v>44484</v>
      </c>
      <c r="D1722" t="s">
        <v>2213</v>
      </c>
      <c r="E1722" t="s">
        <v>2218</v>
      </c>
      <c r="F1722" t="s">
        <v>113</v>
      </c>
      <c r="G1722">
        <v>2117079</v>
      </c>
      <c r="H1722"/>
      <c r="I1722"/>
      <c r="J1722"/>
      <c r="K1722" t="s">
        <v>2189</v>
      </c>
    </row>
    <row r="1723" spans="1:11">
      <c r="A1723">
        <v>44488</v>
      </c>
      <c r="B1723">
        <v>529154495496</v>
      </c>
      <c r="C1723">
        <v>44484</v>
      </c>
      <c r="D1723" t="s">
        <v>2213</v>
      </c>
      <c r="E1723" t="s">
        <v>2219</v>
      </c>
      <c r="F1723" t="s">
        <v>113</v>
      </c>
      <c r="G1723">
        <v>2117079</v>
      </c>
      <c r="H1723"/>
      <c r="I1723"/>
      <c r="J1723"/>
      <c r="K1723" t="s">
        <v>2195</v>
      </c>
    </row>
    <row r="1724" spans="1:11">
      <c r="A1724">
        <v>44488</v>
      </c>
      <c r="B1724">
        <v>529154495496</v>
      </c>
      <c r="C1724">
        <v>44484</v>
      </c>
      <c r="D1724" t="s">
        <v>2213</v>
      </c>
      <c r="E1724" t="s">
        <v>2220</v>
      </c>
      <c r="F1724" t="s">
        <v>113</v>
      </c>
      <c r="G1724">
        <v>2117079</v>
      </c>
      <c r="H1724"/>
      <c r="I1724"/>
      <c r="J1724"/>
      <c r="K1724" t="s">
        <v>2193</v>
      </c>
    </row>
    <row r="1725" spans="1:11">
      <c r="A1725">
        <v>44490</v>
      </c>
      <c r="B1725" t="s">
        <v>2221</v>
      </c>
      <c r="C1725">
        <v>44489</v>
      </c>
      <c r="D1725" t="s">
        <v>770</v>
      </c>
      <c r="E1725" t="s">
        <v>2222</v>
      </c>
      <c r="F1725" t="s">
        <v>202</v>
      </c>
      <c r="G1725" t="s">
        <v>2223</v>
      </c>
      <c r="H1725"/>
      <c r="I1725"/>
      <c r="J1725"/>
      <c r="K1725" t="s">
        <v>2195</v>
      </c>
    </row>
    <row r="1726" spans="1:11">
      <c r="A1726">
        <v>44490</v>
      </c>
      <c r="B1726" t="s">
        <v>2221</v>
      </c>
      <c r="C1726">
        <v>44489</v>
      </c>
      <c r="D1726" t="s">
        <v>770</v>
      </c>
      <c r="E1726" t="s">
        <v>2224</v>
      </c>
      <c r="F1726" t="s">
        <v>202</v>
      </c>
      <c r="G1726" t="s">
        <v>2223</v>
      </c>
      <c r="H1726"/>
      <c r="I1726"/>
      <c r="J1726"/>
      <c r="K1726" t="s">
        <v>2189</v>
      </c>
    </row>
    <row r="1727" spans="1:11">
      <c r="A1727">
        <v>44490</v>
      </c>
      <c r="B1727" t="s">
        <v>2221</v>
      </c>
      <c r="C1727">
        <v>44489</v>
      </c>
      <c r="D1727" t="s">
        <v>770</v>
      </c>
      <c r="E1727" t="s">
        <v>2225</v>
      </c>
      <c r="F1727" t="s">
        <v>202</v>
      </c>
      <c r="G1727" t="s">
        <v>2223</v>
      </c>
      <c r="H1727"/>
      <c r="I1727"/>
      <c r="J1727"/>
      <c r="K1727" t="s">
        <v>2191</v>
      </c>
    </row>
    <row r="1728" spans="1:11">
      <c r="A1728">
        <v>44490</v>
      </c>
      <c r="B1728" t="s">
        <v>2221</v>
      </c>
      <c r="C1728">
        <v>44489</v>
      </c>
      <c r="D1728" t="s">
        <v>770</v>
      </c>
      <c r="E1728" t="s">
        <v>2226</v>
      </c>
      <c r="F1728" t="s">
        <v>202</v>
      </c>
      <c r="G1728" t="s">
        <v>2223</v>
      </c>
      <c r="H1728"/>
      <c r="I1728"/>
      <c r="J1728"/>
      <c r="K1728" t="s">
        <v>2193</v>
      </c>
    </row>
    <row r="1729" spans="1:11">
      <c r="A1729">
        <v>44490</v>
      </c>
      <c r="B1729" t="s">
        <v>2221</v>
      </c>
      <c r="C1729">
        <v>44489</v>
      </c>
      <c r="D1729" t="s">
        <v>770</v>
      </c>
      <c r="E1729" t="s">
        <v>2227</v>
      </c>
      <c r="F1729" t="s">
        <v>202</v>
      </c>
      <c r="G1729" t="s">
        <v>2223</v>
      </c>
      <c r="H1729"/>
      <c r="I1729"/>
      <c r="J1729"/>
      <c r="K1729" t="s">
        <v>2187</v>
      </c>
    </row>
    <row r="1730" spans="1:11">
      <c r="A1730">
        <v>44490</v>
      </c>
      <c r="B1730" t="s">
        <v>2221</v>
      </c>
      <c r="C1730">
        <v>44489</v>
      </c>
      <c r="D1730" t="s">
        <v>770</v>
      </c>
      <c r="E1730" t="s">
        <v>2228</v>
      </c>
      <c r="F1730" t="s">
        <v>202</v>
      </c>
      <c r="G1730" t="s">
        <v>2223</v>
      </c>
      <c r="H1730"/>
      <c r="I1730"/>
      <c r="J1730"/>
      <c r="K1730" t="s">
        <v>2185</v>
      </c>
    </row>
    <row r="1731" spans="1:11">
      <c r="A1731">
        <v>44490</v>
      </c>
      <c r="B1731" t="s">
        <v>2221</v>
      </c>
      <c r="C1731">
        <v>44489</v>
      </c>
      <c r="D1731" t="s">
        <v>770</v>
      </c>
      <c r="E1731" t="s">
        <v>2229</v>
      </c>
      <c r="F1731" t="s">
        <v>202</v>
      </c>
      <c r="G1731" t="s">
        <v>2223</v>
      </c>
      <c r="H1731"/>
      <c r="I1731"/>
      <c r="J1731"/>
      <c r="K1731" t="s">
        <v>2183</v>
      </c>
    </row>
    <row r="1732" spans="1:11">
      <c r="A1732">
        <v>44494</v>
      </c>
      <c r="B1732">
        <v>23106443553</v>
      </c>
      <c r="C1732">
        <v>44491</v>
      </c>
      <c r="D1732" t="s">
        <v>980</v>
      </c>
      <c r="E1732" t="s">
        <v>2230</v>
      </c>
      <c r="F1732" t="s">
        <v>264</v>
      </c>
      <c r="G1732" t="s">
        <v>2231</v>
      </c>
      <c r="H1732"/>
      <c r="I1732"/>
      <c r="J1732"/>
      <c r="K1732" t="s">
        <v>2187</v>
      </c>
    </row>
    <row r="1733" spans="1:11">
      <c r="A1733">
        <v>44494</v>
      </c>
      <c r="B1733">
        <v>23106443553</v>
      </c>
      <c r="C1733">
        <v>44491</v>
      </c>
      <c r="D1733" t="s">
        <v>980</v>
      </c>
      <c r="E1733" t="s">
        <v>2232</v>
      </c>
      <c r="F1733" t="s">
        <v>264</v>
      </c>
      <c r="G1733" t="s">
        <v>2231</v>
      </c>
      <c r="H1733"/>
      <c r="I1733"/>
      <c r="J1733"/>
      <c r="K1733" t="s">
        <v>2187</v>
      </c>
    </row>
    <row r="1734" spans="1:11">
      <c r="A1734">
        <v>44494</v>
      </c>
      <c r="B1734">
        <v>23106443553</v>
      </c>
      <c r="C1734">
        <v>44491</v>
      </c>
      <c r="D1734" t="s">
        <v>980</v>
      </c>
      <c r="E1734" t="s">
        <v>2233</v>
      </c>
      <c r="F1734" t="s">
        <v>264</v>
      </c>
      <c r="G1734" t="s">
        <v>2231</v>
      </c>
      <c r="H1734"/>
      <c r="I1734"/>
      <c r="J1734"/>
      <c r="K1734" t="s">
        <v>2185</v>
      </c>
    </row>
    <row r="1735" spans="1:11">
      <c r="A1735">
        <v>44494</v>
      </c>
      <c r="B1735">
        <v>23106443553</v>
      </c>
      <c r="C1735">
        <v>44491</v>
      </c>
      <c r="D1735" t="s">
        <v>980</v>
      </c>
      <c r="E1735" t="s">
        <v>2234</v>
      </c>
      <c r="F1735" t="s">
        <v>264</v>
      </c>
      <c r="G1735" t="s">
        <v>2231</v>
      </c>
      <c r="H1735"/>
      <c r="I1735"/>
      <c r="J1735"/>
      <c r="K1735" t="s">
        <v>2185</v>
      </c>
    </row>
    <row r="1736" spans="1:11">
      <c r="A1736">
        <v>44494</v>
      </c>
      <c r="B1736">
        <v>23106443553</v>
      </c>
      <c r="C1736">
        <v>44491</v>
      </c>
      <c r="D1736" t="s">
        <v>980</v>
      </c>
      <c r="E1736" t="s">
        <v>2235</v>
      </c>
      <c r="F1736" t="s">
        <v>264</v>
      </c>
      <c r="G1736" t="s">
        <v>2231</v>
      </c>
      <c r="H1736"/>
      <c r="I1736"/>
      <c r="J1736"/>
      <c r="K1736" t="s">
        <v>2183</v>
      </c>
    </row>
    <row r="1737" spans="1:11">
      <c r="A1737">
        <v>44494</v>
      </c>
      <c r="B1737">
        <v>23106443553</v>
      </c>
      <c r="C1737">
        <v>44491</v>
      </c>
      <c r="D1737" t="s">
        <v>980</v>
      </c>
      <c r="E1737" t="s">
        <v>2236</v>
      </c>
      <c r="F1737" t="s">
        <v>264</v>
      </c>
      <c r="G1737" t="s">
        <v>2231</v>
      </c>
      <c r="H1737"/>
      <c r="I1737"/>
      <c r="J1737"/>
      <c r="K1737" t="s">
        <v>2189</v>
      </c>
    </row>
    <row r="1738" spans="1:11">
      <c r="A1738">
        <v>44494</v>
      </c>
      <c r="B1738">
        <v>23106443553</v>
      </c>
      <c r="C1738">
        <v>44491</v>
      </c>
      <c r="D1738" t="s">
        <v>980</v>
      </c>
      <c r="E1738" t="s">
        <v>2237</v>
      </c>
      <c r="F1738" t="s">
        <v>264</v>
      </c>
      <c r="G1738" t="s">
        <v>2231</v>
      </c>
      <c r="H1738"/>
      <c r="I1738"/>
      <c r="J1738"/>
      <c r="K1738" t="s">
        <v>2191</v>
      </c>
    </row>
    <row r="1739" spans="1:11">
      <c r="A1739">
        <v>44494</v>
      </c>
      <c r="B1739">
        <v>23106443553</v>
      </c>
      <c r="C1739">
        <v>44491</v>
      </c>
      <c r="D1739" t="s">
        <v>980</v>
      </c>
      <c r="E1739" t="s">
        <v>2238</v>
      </c>
      <c r="F1739" t="s">
        <v>264</v>
      </c>
      <c r="G1739" t="s">
        <v>2231</v>
      </c>
      <c r="H1739" t="s">
        <v>2239</v>
      </c>
      <c r="I1739"/>
      <c r="J1739"/>
      <c r="K1739" t="s">
        <v>2191</v>
      </c>
    </row>
    <row r="1740" spans="1:11">
      <c r="A1740">
        <v>44494</v>
      </c>
      <c r="B1740">
        <v>23106443553</v>
      </c>
      <c r="C1740">
        <v>44491</v>
      </c>
      <c r="D1740" t="s">
        <v>980</v>
      </c>
      <c r="E1740" t="s">
        <v>2240</v>
      </c>
      <c r="F1740" t="s">
        <v>264</v>
      </c>
      <c r="G1740" t="s">
        <v>2231</v>
      </c>
      <c r="H1740"/>
      <c r="I1740"/>
      <c r="J1740"/>
      <c r="K1740" t="s">
        <v>2183</v>
      </c>
    </row>
    <row r="1741" spans="1:11">
      <c r="A1741">
        <v>44502</v>
      </c>
      <c r="B1741">
        <v>23106489200</v>
      </c>
      <c r="C1741">
        <v>44498</v>
      </c>
      <c r="D1741" t="s">
        <v>980</v>
      </c>
      <c r="E1741" t="s">
        <v>2241</v>
      </c>
      <c r="F1741" t="s">
        <v>264</v>
      </c>
      <c r="G1741" t="s">
        <v>2242</v>
      </c>
      <c r="H1741"/>
      <c r="I1741"/>
      <c r="J1741"/>
      <c r="K1741" t="s">
        <v>2189</v>
      </c>
    </row>
    <row r="1742" spans="1:11">
      <c r="A1742">
        <v>44502</v>
      </c>
      <c r="B1742">
        <v>23106489200</v>
      </c>
      <c r="C1742">
        <v>44498</v>
      </c>
      <c r="D1742" t="s">
        <v>980</v>
      </c>
      <c r="E1742" t="s">
        <v>2243</v>
      </c>
      <c r="F1742" t="s">
        <v>264</v>
      </c>
      <c r="G1742" t="s">
        <v>2242</v>
      </c>
      <c r="H1742"/>
      <c r="I1742"/>
      <c r="J1742"/>
      <c r="K1742" t="s">
        <v>2193</v>
      </c>
    </row>
    <row r="1743" spans="1:11">
      <c r="A1743">
        <v>44502</v>
      </c>
      <c r="B1743">
        <v>23106489200</v>
      </c>
      <c r="C1743">
        <v>44498</v>
      </c>
      <c r="D1743" t="s">
        <v>980</v>
      </c>
      <c r="E1743" t="s">
        <v>2244</v>
      </c>
      <c r="F1743" t="s">
        <v>264</v>
      </c>
      <c r="G1743" t="s">
        <v>2242</v>
      </c>
      <c r="H1743"/>
      <c r="I1743"/>
      <c r="J1743"/>
      <c r="K1743" t="s">
        <v>2193</v>
      </c>
    </row>
    <row r="1744" spans="1:11">
      <c r="A1744">
        <v>44502</v>
      </c>
      <c r="B1744">
        <v>23106489200</v>
      </c>
      <c r="C1744">
        <v>44498</v>
      </c>
      <c r="D1744" t="s">
        <v>980</v>
      </c>
      <c r="E1744" t="s">
        <v>2245</v>
      </c>
      <c r="F1744" t="s">
        <v>264</v>
      </c>
      <c r="G1744" t="s">
        <v>2242</v>
      </c>
      <c r="H1744"/>
      <c r="I1744"/>
      <c r="J1744"/>
      <c r="K1744" t="s">
        <v>2195</v>
      </c>
    </row>
    <row r="1745" spans="1:11">
      <c r="A1745">
        <v>44502</v>
      </c>
      <c r="B1745">
        <v>23106489200</v>
      </c>
      <c r="C1745">
        <v>44498</v>
      </c>
      <c r="D1745" t="s">
        <v>980</v>
      </c>
      <c r="E1745" t="s">
        <v>2246</v>
      </c>
      <c r="F1745" t="s">
        <v>264</v>
      </c>
      <c r="G1745" t="s">
        <v>2242</v>
      </c>
      <c r="H1745"/>
      <c r="I1745"/>
      <c r="J1745"/>
      <c r="K1745" t="s">
        <v>2195</v>
      </c>
    </row>
    <row r="1746" spans="1:11">
      <c r="A1746">
        <v>44502</v>
      </c>
      <c r="B1746" t="s">
        <v>223</v>
      </c>
      <c r="C1746">
        <v>44498</v>
      </c>
      <c r="D1746" t="s">
        <v>777</v>
      </c>
      <c r="E1746" t="s">
        <v>2247</v>
      </c>
      <c r="F1746" t="s">
        <v>210</v>
      </c>
      <c r="G1746">
        <v>931354251</v>
      </c>
      <c r="H1746"/>
      <c r="I1746"/>
      <c r="J1746"/>
      <c r="K1746" t="s">
        <v>2195</v>
      </c>
    </row>
    <row r="1747" spans="1:11">
      <c r="A1747"/>
      <c r="B1747"/>
      <c r="C1747"/>
      <c r="D1747" t="s">
        <v>779</v>
      </c>
      <c r="E1747" t="s">
        <v>2248</v>
      </c>
      <c r="F1747"/>
      <c r="G1747"/>
      <c r="H1747"/>
      <c r="I1747"/>
      <c r="J1747"/>
      <c r="K1747" t="s">
        <v>2195</v>
      </c>
    </row>
    <row r="1748" spans="1:11">
      <c r="A1748"/>
      <c r="B1748"/>
      <c r="C1748"/>
      <c r="D1748" t="s">
        <v>779</v>
      </c>
      <c r="E1748" t="s">
        <v>2249</v>
      </c>
      <c r="F1748"/>
      <c r="G1748"/>
      <c r="H1748"/>
      <c r="I1748"/>
      <c r="J1748"/>
      <c r="K1748" t="s">
        <v>2195</v>
      </c>
    </row>
    <row r="1749" spans="1:11">
      <c r="A1749"/>
      <c r="B1749"/>
      <c r="C1749"/>
      <c r="D1749" t="s">
        <v>782</v>
      </c>
      <c r="E1749" t="s">
        <v>2250</v>
      </c>
      <c r="F1749"/>
      <c r="G1749"/>
      <c r="H1749"/>
      <c r="I1749"/>
      <c r="J1749"/>
      <c r="K1749" t="s">
        <v>2195</v>
      </c>
    </row>
    <row r="1750" spans="1:11">
      <c r="A1750">
        <v>44502</v>
      </c>
      <c r="B1750" t="s">
        <v>223</v>
      </c>
      <c r="C1750">
        <v>44498</v>
      </c>
      <c r="D1750" t="s">
        <v>777</v>
      </c>
      <c r="E1750" t="s">
        <v>2251</v>
      </c>
      <c r="F1750" t="s">
        <v>210</v>
      </c>
      <c r="G1750">
        <v>931354251</v>
      </c>
      <c r="H1750"/>
      <c r="I1750"/>
      <c r="J1750"/>
      <c r="K1750" t="s">
        <v>2193</v>
      </c>
    </row>
    <row r="1751" spans="1:11">
      <c r="A1751"/>
      <c r="B1751"/>
      <c r="C1751"/>
      <c r="D1751" t="s">
        <v>779</v>
      </c>
      <c r="E1751" t="s">
        <v>2252</v>
      </c>
      <c r="F1751"/>
      <c r="G1751"/>
      <c r="H1751"/>
      <c r="I1751"/>
      <c r="J1751"/>
      <c r="K1751" t="s">
        <v>2193</v>
      </c>
    </row>
    <row r="1752" spans="1:11">
      <c r="A1752"/>
      <c r="B1752"/>
      <c r="C1752"/>
      <c r="D1752" t="s">
        <v>779</v>
      </c>
      <c r="E1752" t="s">
        <v>2253</v>
      </c>
      <c r="F1752"/>
      <c r="G1752"/>
      <c r="H1752"/>
      <c r="I1752"/>
      <c r="J1752"/>
      <c r="K1752" t="s">
        <v>2193</v>
      </c>
    </row>
    <row r="1753" spans="1:11">
      <c r="A1753"/>
      <c r="B1753"/>
      <c r="C1753"/>
      <c r="D1753" t="s">
        <v>782</v>
      </c>
      <c r="E1753" t="s">
        <v>2254</v>
      </c>
      <c r="F1753"/>
      <c r="G1753"/>
      <c r="H1753"/>
      <c r="I1753"/>
      <c r="J1753"/>
      <c r="K1753" t="s">
        <v>2193</v>
      </c>
    </row>
    <row r="1754" spans="1:11">
      <c r="A1754">
        <v>44502</v>
      </c>
      <c r="B1754" t="s">
        <v>223</v>
      </c>
      <c r="C1754">
        <v>44498</v>
      </c>
      <c r="D1754" t="s">
        <v>777</v>
      </c>
      <c r="E1754" t="s">
        <v>2255</v>
      </c>
      <c r="F1754" t="s">
        <v>210</v>
      </c>
      <c r="G1754">
        <v>931354248</v>
      </c>
      <c r="H1754"/>
      <c r="I1754"/>
      <c r="J1754"/>
      <c r="K1754" t="s">
        <v>2191</v>
      </c>
    </row>
    <row r="1755" spans="1:11">
      <c r="A1755"/>
      <c r="B1755"/>
      <c r="C1755"/>
      <c r="D1755" t="s">
        <v>779</v>
      </c>
      <c r="E1755" t="s">
        <v>2256</v>
      </c>
      <c r="F1755"/>
      <c r="G1755"/>
      <c r="H1755"/>
      <c r="I1755"/>
      <c r="J1755"/>
      <c r="K1755" t="s">
        <v>2191</v>
      </c>
    </row>
    <row r="1756" spans="1:11">
      <c r="A1756"/>
      <c r="B1756"/>
      <c r="C1756"/>
      <c r="D1756" t="s">
        <v>779</v>
      </c>
      <c r="E1756" t="s">
        <v>2257</v>
      </c>
      <c r="F1756"/>
      <c r="G1756"/>
      <c r="H1756"/>
      <c r="I1756"/>
      <c r="J1756"/>
      <c r="K1756" t="s">
        <v>2191</v>
      </c>
    </row>
    <row r="1757" spans="1:11">
      <c r="A1757"/>
      <c r="B1757"/>
      <c r="C1757"/>
      <c r="D1757" t="s">
        <v>782</v>
      </c>
      <c r="E1757" t="s">
        <v>2258</v>
      </c>
      <c r="F1757"/>
      <c r="G1757"/>
      <c r="H1757"/>
      <c r="I1757"/>
      <c r="J1757"/>
      <c r="K1757" t="s">
        <v>2191</v>
      </c>
    </row>
    <row r="1758" spans="1:11">
      <c r="A1758">
        <v>44502</v>
      </c>
      <c r="B1758" t="s">
        <v>223</v>
      </c>
      <c r="C1758">
        <v>44498</v>
      </c>
      <c r="D1758" t="s">
        <v>777</v>
      </c>
      <c r="E1758" t="s">
        <v>2259</v>
      </c>
      <c r="F1758" t="s">
        <v>210</v>
      </c>
      <c r="G1758">
        <v>931354248</v>
      </c>
      <c r="H1758"/>
      <c r="I1758"/>
      <c r="J1758"/>
      <c r="K1758" t="s">
        <v>2185</v>
      </c>
    </row>
    <row r="1759" spans="1:11">
      <c r="A1759"/>
      <c r="B1759"/>
      <c r="C1759"/>
      <c r="D1759" t="s">
        <v>779</v>
      </c>
      <c r="E1759" t="s">
        <v>2260</v>
      </c>
      <c r="F1759"/>
      <c r="G1759"/>
      <c r="H1759"/>
      <c r="I1759"/>
      <c r="J1759"/>
      <c r="K1759" t="s">
        <v>2185</v>
      </c>
    </row>
    <row r="1760" spans="1:11">
      <c r="A1760"/>
      <c r="B1760"/>
      <c r="C1760"/>
      <c r="D1760" t="s">
        <v>779</v>
      </c>
      <c r="E1760" t="s">
        <v>2261</v>
      </c>
      <c r="F1760"/>
      <c r="G1760"/>
      <c r="H1760"/>
      <c r="I1760"/>
      <c r="J1760"/>
      <c r="K1760" t="s">
        <v>2185</v>
      </c>
    </row>
    <row r="1761" spans="1:11">
      <c r="A1761"/>
      <c r="B1761"/>
      <c r="C1761"/>
      <c r="D1761" t="s">
        <v>782</v>
      </c>
      <c r="E1761" t="s">
        <v>2262</v>
      </c>
      <c r="F1761"/>
      <c r="G1761"/>
      <c r="H1761"/>
      <c r="I1761"/>
      <c r="J1761"/>
      <c r="K1761" t="s">
        <v>2185</v>
      </c>
    </row>
    <row r="1762" spans="1:11">
      <c r="A1762">
        <v>44502</v>
      </c>
      <c r="B1762" t="s">
        <v>223</v>
      </c>
      <c r="C1762">
        <v>44498</v>
      </c>
      <c r="D1762" t="s">
        <v>777</v>
      </c>
      <c r="E1762" t="s">
        <v>2263</v>
      </c>
      <c r="F1762" t="s">
        <v>210</v>
      </c>
      <c r="G1762">
        <v>931354248</v>
      </c>
      <c r="H1762"/>
      <c r="I1762"/>
      <c r="J1762"/>
      <c r="K1762" t="s">
        <v>2183</v>
      </c>
    </row>
    <row r="1763" spans="1:11">
      <c r="A1763"/>
      <c r="B1763"/>
      <c r="C1763"/>
      <c r="D1763" t="s">
        <v>779</v>
      </c>
      <c r="E1763" t="s">
        <v>2264</v>
      </c>
      <c r="F1763"/>
      <c r="G1763"/>
      <c r="H1763"/>
      <c r="I1763"/>
      <c r="J1763"/>
      <c r="K1763" t="s">
        <v>2183</v>
      </c>
    </row>
    <row r="1764" spans="1:11">
      <c r="A1764"/>
      <c r="B1764"/>
      <c r="C1764"/>
      <c r="D1764" t="s">
        <v>779</v>
      </c>
      <c r="E1764" t="s">
        <v>2265</v>
      </c>
      <c r="F1764"/>
      <c r="G1764"/>
      <c r="H1764"/>
      <c r="I1764"/>
      <c r="J1764"/>
      <c r="K1764" t="s">
        <v>2183</v>
      </c>
    </row>
    <row r="1765" spans="1:11">
      <c r="A1765"/>
      <c r="B1765"/>
      <c r="C1765"/>
      <c r="D1765" t="s">
        <v>782</v>
      </c>
      <c r="E1765" t="s">
        <v>2266</v>
      </c>
      <c r="F1765"/>
      <c r="G1765"/>
      <c r="H1765"/>
      <c r="I1765"/>
      <c r="J1765"/>
      <c r="K1765" t="s">
        <v>2183</v>
      </c>
    </row>
    <row r="1766" spans="1:11">
      <c r="A1766">
        <v>44502</v>
      </c>
      <c r="B1766" t="s">
        <v>223</v>
      </c>
      <c r="C1766">
        <v>44498</v>
      </c>
      <c r="D1766" t="s">
        <v>777</v>
      </c>
      <c r="E1766" t="s">
        <v>2267</v>
      </c>
      <c r="F1766" t="s">
        <v>210</v>
      </c>
      <c r="G1766">
        <v>931354249</v>
      </c>
      <c r="H1766"/>
      <c r="I1766"/>
      <c r="J1766"/>
      <c r="K1766" t="s">
        <v>2189</v>
      </c>
    </row>
    <row r="1767" spans="1:11">
      <c r="A1767"/>
      <c r="B1767"/>
      <c r="C1767"/>
      <c r="D1767" t="s">
        <v>779</v>
      </c>
      <c r="E1767" t="s">
        <v>2268</v>
      </c>
      <c r="F1767"/>
      <c r="G1767"/>
      <c r="H1767"/>
      <c r="I1767"/>
      <c r="J1767"/>
      <c r="K1767" t="s">
        <v>2189</v>
      </c>
    </row>
    <row r="1768" spans="1:11">
      <c r="A1768"/>
      <c r="B1768"/>
      <c r="C1768"/>
      <c r="D1768" t="s">
        <v>779</v>
      </c>
      <c r="E1768" t="s">
        <v>2269</v>
      </c>
      <c r="F1768"/>
      <c r="G1768"/>
      <c r="H1768"/>
      <c r="I1768"/>
      <c r="J1768"/>
      <c r="K1768" t="s">
        <v>2189</v>
      </c>
    </row>
    <row r="1769" spans="1:11">
      <c r="A1769"/>
      <c r="B1769"/>
      <c r="C1769"/>
      <c r="D1769" t="s">
        <v>782</v>
      </c>
      <c r="E1769" t="s">
        <v>2270</v>
      </c>
      <c r="F1769"/>
      <c r="G1769"/>
      <c r="H1769"/>
      <c r="I1769"/>
      <c r="J1769"/>
      <c r="K1769" t="s">
        <v>2189</v>
      </c>
    </row>
    <row r="1770" spans="1:11">
      <c r="A1770">
        <v>44502</v>
      </c>
      <c r="B1770" t="s">
        <v>223</v>
      </c>
      <c r="C1770">
        <v>44498</v>
      </c>
      <c r="D1770" t="s">
        <v>777</v>
      </c>
      <c r="E1770" t="s">
        <v>2271</v>
      </c>
      <c r="F1770" t="s">
        <v>210</v>
      </c>
      <c r="G1770">
        <v>931354249</v>
      </c>
      <c r="H1770"/>
      <c r="I1770"/>
      <c r="J1770"/>
      <c r="K1770" t="s">
        <v>2187</v>
      </c>
    </row>
    <row r="1771" spans="1:11">
      <c r="A1771"/>
      <c r="B1771"/>
      <c r="C1771"/>
      <c r="D1771" t="s">
        <v>779</v>
      </c>
      <c r="E1771" t="s">
        <v>2272</v>
      </c>
      <c r="F1771"/>
      <c r="G1771"/>
      <c r="H1771"/>
      <c r="I1771"/>
      <c r="J1771"/>
      <c r="K1771" t="s">
        <v>2187</v>
      </c>
    </row>
    <row r="1772" spans="1:11">
      <c r="A1772"/>
      <c r="B1772"/>
      <c r="C1772"/>
      <c r="D1772" t="s">
        <v>779</v>
      </c>
      <c r="E1772" t="s">
        <v>2273</v>
      </c>
      <c r="F1772"/>
      <c r="G1772"/>
      <c r="H1772"/>
      <c r="I1772"/>
      <c r="J1772"/>
      <c r="K1772" t="s">
        <v>2187</v>
      </c>
    </row>
    <row r="1773" spans="1:11">
      <c r="A1773"/>
      <c r="B1773"/>
      <c r="C1773"/>
      <c r="D1773" t="s">
        <v>782</v>
      </c>
      <c r="E1773" t="s">
        <v>2274</v>
      </c>
      <c r="F1773"/>
      <c r="G1773"/>
      <c r="H1773"/>
      <c r="I1773"/>
      <c r="J1773"/>
      <c r="K1773" t="s">
        <v>2187</v>
      </c>
    </row>
    <row r="1774" spans="1:11">
      <c r="A1774">
        <v>44515</v>
      </c>
      <c r="B1774">
        <v>529154503432</v>
      </c>
      <c r="C1774">
        <v>44510</v>
      </c>
      <c r="D1774" t="s">
        <v>1671</v>
      </c>
      <c r="E1774" t="s">
        <v>2275</v>
      </c>
      <c r="F1774" t="s">
        <v>113</v>
      </c>
      <c r="G1774" t="s">
        <v>2276</v>
      </c>
      <c r="H1774"/>
      <c r="I1774"/>
      <c r="J1774"/>
      <c r="K1774" t="s">
        <v>2195</v>
      </c>
    </row>
    <row r="1775" spans="1:11">
      <c r="A1775">
        <v>44515</v>
      </c>
      <c r="B1775">
        <v>529154503432</v>
      </c>
      <c r="C1775">
        <v>44510</v>
      </c>
      <c r="D1775" t="s">
        <v>1671</v>
      </c>
      <c r="E1775" t="s">
        <v>2277</v>
      </c>
      <c r="F1775" t="s">
        <v>113</v>
      </c>
      <c r="G1775" t="s">
        <v>2276</v>
      </c>
      <c r="H1775"/>
      <c r="I1775"/>
      <c r="J1775"/>
      <c r="K1775" t="s">
        <v>2195</v>
      </c>
    </row>
    <row r="1776" spans="1:11">
      <c r="A1776">
        <v>44515</v>
      </c>
      <c r="B1776">
        <v>529154503432</v>
      </c>
      <c r="C1776">
        <v>44510</v>
      </c>
      <c r="D1776" t="s">
        <v>1671</v>
      </c>
      <c r="E1776" t="s">
        <v>2278</v>
      </c>
      <c r="F1776" t="s">
        <v>113</v>
      </c>
      <c r="G1776" t="s">
        <v>2276</v>
      </c>
      <c r="H1776"/>
      <c r="I1776"/>
      <c r="J1776"/>
      <c r="K1776" t="s">
        <v>2195</v>
      </c>
    </row>
    <row r="1777" spans="1:11">
      <c r="A1777">
        <v>44515</v>
      </c>
      <c r="B1777">
        <v>529154503432</v>
      </c>
      <c r="C1777">
        <v>44510</v>
      </c>
      <c r="D1777" t="s">
        <v>1671</v>
      </c>
      <c r="E1777" t="s">
        <v>2279</v>
      </c>
      <c r="F1777" t="s">
        <v>113</v>
      </c>
      <c r="G1777" t="s">
        <v>2276</v>
      </c>
      <c r="H1777"/>
      <c r="I1777"/>
      <c r="J1777"/>
      <c r="K1777" t="s">
        <v>2195</v>
      </c>
    </row>
    <row r="1778" spans="1:11">
      <c r="A1778">
        <v>44515</v>
      </c>
      <c r="B1778">
        <v>529154503432</v>
      </c>
      <c r="C1778">
        <v>44510</v>
      </c>
      <c r="D1778" t="s">
        <v>1671</v>
      </c>
      <c r="E1778" t="s">
        <v>2280</v>
      </c>
      <c r="F1778" t="s">
        <v>113</v>
      </c>
      <c r="G1778" t="s">
        <v>2276</v>
      </c>
      <c r="H1778"/>
      <c r="I1778"/>
      <c r="J1778"/>
      <c r="K1778" t="s">
        <v>2195</v>
      </c>
    </row>
    <row r="1779" spans="1:11">
      <c r="A1779">
        <v>44515</v>
      </c>
      <c r="B1779">
        <v>529154503432</v>
      </c>
      <c r="C1779">
        <v>44510</v>
      </c>
      <c r="D1779" t="s">
        <v>1671</v>
      </c>
      <c r="E1779" t="s">
        <v>2281</v>
      </c>
      <c r="F1779" t="s">
        <v>113</v>
      </c>
      <c r="G1779" t="s">
        <v>2276</v>
      </c>
      <c r="H1779"/>
      <c r="I1779"/>
      <c r="J1779"/>
      <c r="K1779" t="s">
        <v>2195</v>
      </c>
    </row>
    <row r="1780" spans="1:11">
      <c r="A1780">
        <v>44515</v>
      </c>
      <c r="B1780">
        <v>529154503432</v>
      </c>
      <c r="C1780">
        <v>44510</v>
      </c>
      <c r="D1780" t="s">
        <v>1671</v>
      </c>
      <c r="E1780" t="s">
        <v>2282</v>
      </c>
      <c r="F1780" t="s">
        <v>113</v>
      </c>
      <c r="G1780" t="s">
        <v>2276</v>
      </c>
      <c r="H1780"/>
      <c r="I1780"/>
      <c r="J1780"/>
      <c r="K1780" t="s">
        <v>2183</v>
      </c>
    </row>
    <row r="1781" spans="1:11">
      <c r="A1781">
        <v>44515</v>
      </c>
      <c r="B1781">
        <v>529154503432</v>
      </c>
      <c r="C1781">
        <v>44510</v>
      </c>
      <c r="D1781" t="s">
        <v>1671</v>
      </c>
      <c r="E1781" t="s">
        <v>2283</v>
      </c>
      <c r="F1781" t="s">
        <v>113</v>
      </c>
      <c r="G1781" t="s">
        <v>2276</v>
      </c>
      <c r="H1781"/>
      <c r="I1781"/>
      <c r="J1781"/>
      <c r="K1781" t="s">
        <v>2185</v>
      </c>
    </row>
    <row r="1782" spans="1:11">
      <c r="A1782">
        <v>44515</v>
      </c>
      <c r="B1782">
        <v>529154503432</v>
      </c>
      <c r="C1782">
        <v>44510</v>
      </c>
      <c r="D1782" t="s">
        <v>1671</v>
      </c>
      <c r="E1782" t="s">
        <v>2284</v>
      </c>
      <c r="F1782" t="s">
        <v>113</v>
      </c>
      <c r="G1782" t="s">
        <v>2276</v>
      </c>
      <c r="H1782"/>
      <c r="I1782"/>
      <c r="J1782"/>
      <c r="K1782" t="s">
        <v>2185</v>
      </c>
    </row>
    <row r="1783" spans="1:11">
      <c r="A1783">
        <v>44515</v>
      </c>
      <c r="B1783">
        <v>529154503432</v>
      </c>
      <c r="C1783">
        <v>44510</v>
      </c>
      <c r="D1783" t="s">
        <v>1671</v>
      </c>
      <c r="E1783" t="s">
        <v>2285</v>
      </c>
      <c r="F1783" t="s">
        <v>113</v>
      </c>
      <c r="G1783" t="s">
        <v>2276</v>
      </c>
      <c r="H1783"/>
      <c r="I1783"/>
      <c r="J1783"/>
      <c r="K1783" t="s">
        <v>2185</v>
      </c>
    </row>
    <row r="1784" spans="1:11">
      <c r="A1784">
        <v>44515</v>
      </c>
      <c r="B1784">
        <v>529154503432</v>
      </c>
      <c r="C1784">
        <v>44510</v>
      </c>
      <c r="D1784" t="s">
        <v>1671</v>
      </c>
      <c r="E1784" t="s">
        <v>2286</v>
      </c>
      <c r="F1784" t="s">
        <v>113</v>
      </c>
      <c r="G1784" t="s">
        <v>2276</v>
      </c>
      <c r="H1784"/>
      <c r="I1784"/>
      <c r="J1784"/>
      <c r="K1784" t="s">
        <v>2185</v>
      </c>
    </row>
    <row r="1785" spans="1:11">
      <c r="A1785">
        <v>44515</v>
      </c>
      <c r="B1785">
        <v>529154503432</v>
      </c>
      <c r="C1785">
        <v>44510</v>
      </c>
      <c r="D1785" t="s">
        <v>1671</v>
      </c>
      <c r="E1785" t="s">
        <v>2287</v>
      </c>
      <c r="F1785" t="s">
        <v>113</v>
      </c>
      <c r="G1785" t="s">
        <v>2276</v>
      </c>
      <c r="H1785"/>
      <c r="I1785"/>
      <c r="J1785"/>
      <c r="K1785" t="s">
        <v>2185</v>
      </c>
    </row>
    <row r="1786" spans="1:11">
      <c r="A1786">
        <v>44515</v>
      </c>
      <c r="B1786">
        <v>529154503432</v>
      </c>
      <c r="C1786">
        <v>44510</v>
      </c>
      <c r="D1786" t="s">
        <v>1671</v>
      </c>
      <c r="E1786" t="s">
        <v>2288</v>
      </c>
      <c r="F1786" t="s">
        <v>113</v>
      </c>
      <c r="G1786" t="s">
        <v>2276</v>
      </c>
      <c r="H1786"/>
      <c r="I1786"/>
      <c r="J1786"/>
      <c r="K1786" t="s">
        <v>2185</v>
      </c>
    </row>
    <row r="1787" spans="1:11">
      <c r="A1787">
        <v>44515</v>
      </c>
      <c r="B1787">
        <v>529154503432</v>
      </c>
      <c r="C1787">
        <v>44510</v>
      </c>
      <c r="D1787" t="s">
        <v>1671</v>
      </c>
      <c r="E1787" t="s">
        <v>2289</v>
      </c>
      <c r="F1787" t="s">
        <v>113</v>
      </c>
      <c r="G1787" t="s">
        <v>2276</v>
      </c>
      <c r="H1787"/>
      <c r="I1787"/>
      <c r="J1787"/>
      <c r="K1787" t="s">
        <v>2185</v>
      </c>
    </row>
    <row r="1788" spans="1:11">
      <c r="A1788">
        <v>44515</v>
      </c>
      <c r="B1788">
        <v>529154503432</v>
      </c>
      <c r="C1788">
        <v>44510</v>
      </c>
      <c r="D1788" t="s">
        <v>1671</v>
      </c>
      <c r="E1788" t="s">
        <v>2290</v>
      </c>
      <c r="F1788" t="s">
        <v>113</v>
      </c>
      <c r="G1788" t="s">
        <v>2276</v>
      </c>
      <c r="H1788"/>
      <c r="I1788"/>
      <c r="J1788"/>
      <c r="K1788" t="s">
        <v>2185</v>
      </c>
    </row>
    <row r="1789" spans="1:11">
      <c r="A1789">
        <v>44515</v>
      </c>
      <c r="B1789">
        <v>529154503432</v>
      </c>
      <c r="C1789">
        <v>44510</v>
      </c>
      <c r="D1789" t="s">
        <v>1671</v>
      </c>
      <c r="E1789" t="s">
        <v>2291</v>
      </c>
      <c r="F1789" t="s">
        <v>113</v>
      </c>
      <c r="G1789" t="s">
        <v>2276</v>
      </c>
      <c r="H1789"/>
      <c r="I1789"/>
      <c r="J1789"/>
      <c r="K1789" t="s">
        <v>2187</v>
      </c>
    </row>
    <row r="1790" spans="1:11">
      <c r="A1790">
        <v>44515</v>
      </c>
      <c r="B1790">
        <v>529154503432</v>
      </c>
      <c r="C1790">
        <v>44510</v>
      </c>
      <c r="D1790" t="s">
        <v>1671</v>
      </c>
      <c r="E1790" t="s">
        <v>2292</v>
      </c>
      <c r="F1790" t="s">
        <v>113</v>
      </c>
      <c r="G1790" t="s">
        <v>2276</v>
      </c>
      <c r="H1790"/>
      <c r="I1790"/>
      <c r="J1790"/>
      <c r="K1790" t="s">
        <v>2187</v>
      </c>
    </row>
    <row r="1791" spans="1:11">
      <c r="A1791">
        <v>44515</v>
      </c>
      <c r="B1791">
        <v>529154503432</v>
      </c>
      <c r="C1791">
        <v>44510</v>
      </c>
      <c r="D1791" t="s">
        <v>1671</v>
      </c>
      <c r="E1791" t="s">
        <v>2293</v>
      </c>
      <c r="F1791" t="s">
        <v>113</v>
      </c>
      <c r="G1791" t="s">
        <v>2276</v>
      </c>
      <c r="H1791"/>
      <c r="I1791"/>
      <c r="J1791"/>
      <c r="K1791" t="s">
        <v>2187</v>
      </c>
    </row>
    <row r="1792" spans="1:11">
      <c r="A1792">
        <v>44515</v>
      </c>
      <c r="B1792">
        <v>529154503432</v>
      </c>
      <c r="C1792">
        <v>44510</v>
      </c>
      <c r="D1792" t="s">
        <v>1671</v>
      </c>
      <c r="E1792" t="s">
        <v>2294</v>
      </c>
      <c r="F1792" t="s">
        <v>113</v>
      </c>
      <c r="G1792" t="s">
        <v>2276</v>
      </c>
      <c r="H1792"/>
      <c r="I1792"/>
      <c r="J1792"/>
      <c r="K1792" t="s">
        <v>2187</v>
      </c>
    </row>
    <row r="1793" spans="1:11">
      <c r="A1793">
        <v>44515</v>
      </c>
      <c r="B1793">
        <v>529154503432</v>
      </c>
      <c r="C1793">
        <v>44510</v>
      </c>
      <c r="D1793" t="s">
        <v>1671</v>
      </c>
      <c r="E1793" t="s">
        <v>2295</v>
      </c>
      <c r="F1793" t="s">
        <v>113</v>
      </c>
      <c r="G1793" t="s">
        <v>2276</v>
      </c>
      <c r="H1793"/>
      <c r="I1793"/>
      <c r="J1793"/>
      <c r="K1793" t="s">
        <v>2187</v>
      </c>
    </row>
    <row r="1794" spans="1:11">
      <c r="A1794">
        <v>44515</v>
      </c>
      <c r="B1794">
        <v>529154503432</v>
      </c>
      <c r="C1794">
        <v>44510</v>
      </c>
      <c r="D1794" t="s">
        <v>1671</v>
      </c>
      <c r="E1794" t="s">
        <v>2296</v>
      </c>
      <c r="F1794" t="s">
        <v>113</v>
      </c>
      <c r="G1794" t="s">
        <v>2276</v>
      </c>
      <c r="H1794"/>
      <c r="I1794"/>
      <c r="J1794"/>
      <c r="K1794" t="s">
        <v>2187</v>
      </c>
    </row>
    <row r="1795" spans="1:11">
      <c r="A1795">
        <v>44515</v>
      </c>
      <c r="B1795">
        <v>529154503432</v>
      </c>
      <c r="C1795">
        <v>44510</v>
      </c>
      <c r="D1795" t="s">
        <v>1671</v>
      </c>
      <c r="E1795" t="s">
        <v>2297</v>
      </c>
      <c r="F1795" t="s">
        <v>113</v>
      </c>
      <c r="G1795" t="s">
        <v>2276</v>
      </c>
      <c r="H1795"/>
      <c r="I1795"/>
      <c r="J1795"/>
      <c r="K1795" t="s">
        <v>2187</v>
      </c>
    </row>
    <row r="1796" spans="1:11">
      <c r="A1796">
        <v>44515</v>
      </c>
      <c r="B1796">
        <v>529154503432</v>
      </c>
      <c r="C1796">
        <v>44510</v>
      </c>
      <c r="D1796" t="s">
        <v>1671</v>
      </c>
      <c r="E1796" t="s">
        <v>2298</v>
      </c>
      <c r="F1796" t="s">
        <v>113</v>
      </c>
      <c r="G1796" t="s">
        <v>2276</v>
      </c>
      <c r="H1796"/>
      <c r="I1796"/>
      <c r="J1796"/>
      <c r="K1796" t="s">
        <v>2187</v>
      </c>
    </row>
    <row r="1797" spans="1:11">
      <c r="A1797">
        <v>44515</v>
      </c>
      <c r="B1797">
        <v>529154503432</v>
      </c>
      <c r="C1797">
        <v>44510</v>
      </c>
      <c r="D1797" t="s">
        <v>1671</v>
      </c>
      <c r="E1797" t="s">
        <v>2299</v>
      </c>
      <c r="F1797" t="s">
        <v>113</v>
      </c>
      <c r="G1797" t="s">
        <v>2276</v>
      </c>
      <c r="H1797"/>
      <c r="I1797"/>
      <c r="J1797"/>
      <c r="K1797" t="s">
        <v>2191</v>
      </c>
    </row>
    <row r="1798" spans="1:11">
      <c r="A1798">
        <v>44515</v>
      </c>
      <c r="B1798">
        <v>529154503432</v>
      </c>
      <c r="C1798">
        <v>44510</v>
      </c>
      <c r="D1798" t="s">
        <v>1671</v>
      </c>
      <c r="E1798" t="s">
        <v>2300</v>
      </c>
      <c r="F1798" t="s">
        <v>113</v>
      </c>
      <c r="G1798" t="s">
        <v>2276</v>
      </c>
      <c r="H1798"/>
      <c r="I1798"/>
      <c r="J1798"/>
      <c r="K1798" t="s">
        <v>2191</v>
      </c>
    </row>
    <row r="1799" spans="1:11">
      <c r="A1799">
        <v>44515</v>
      </c>
      <c r="B1799">
        <v>529154503432</v>
      </c>
      <c r="C1799">
        <v>44510</v>
      </c>
      <c r="D1799" t="s">
        <v>1671</v>
      </c>
      <c r="E1799" t="s">
        <v>2301</v>
      </c>
      <c r="F1799" t="s">
        <v>113</v>
      </c>
      <c r="G1799" t="s">
        <v>2276</v>
      </c>
      <c r="H1799"/>
      <c r="I1799"/>
      <c r="J1799"/>
      <c r="K1799" t="s">
        <v>2191</v>
      </c>
    </row>
    <row r="1800" spans="1:11">
      <c r="A1800">
        <v>44515</v>
      </c>
      <c r="B1800">
        <v>529154503432</v>
      </c>
      <c r="C1800">
        <v>44510</v>
      </c>
      <c r="D1800" t="s">
        <v>1671</v>
      </c>
      <c r="E1800" t="s">
        <v>2302</v>
      </c>
      <c r="F1800" t="s">
        <v>113</v>
      </c>
      <c r="G1800" t="s">
        <v>2276</v>
      </c>
      <c r="H1800"/>
      <c r="I1800"/>
      <c r="J1800"/>
      <c r="K1800" t="s">
        <v>2191</v>
      </c>
    </row>
    <row r="1801" spans="1:11">
      <c r="A1801">
        <v>44515</v>
      </c>
      <c r="B1801">
        <v>529154503432</v>
      </c>
      <c r="C1801">
        <v>44510</v>
      </c>
      <c r="D1801" t="s">
        <v>1671</v>
      </c>
      <c r="E1801" t="s">
        <v>2303</v>
      </c>
      <c r="F1801" t="s">
        <v>113</v>
      </c>
      <c r="G1801" t="s">
        <v>2276</v>
      </c>
      <c r="H1801"/>
      <c r="I1801"/>
      <c r="J1801"/>
      <c r="K1801" t="s">
        <v>2191</v>
      </c>
    </row>
    <row r="1802" spans="1:11">
      <c r="A1802">
        <v>44515</v>
      </c>
      <c r="B1802">
        <v>529154503432</v>
      </c>
      <c r="C1802">
        <v>44510</v>
      </c>
      <c r="D1802" t="s">
        <v>1671</v>
      </c>
      <c r="E1802" t="s">
        <v>2304</v>
      </c>
      <c r="F1802" t="s">
        <v>113</v>
      </c>
      <c r="G1802" t="s">
        <v>2276</v>
      </c>
      <c r="H1802"/>
      <c r="I1802"/>
      <c r="J1802"/>
      <c r="K1802" t="s">
        <v>2191</v>
      </c>
    </row>
    <row r="1803" spans="1:11">
      <c r="A1803">
        <v>44515</v>
      </c>
      <c r="B1803">
        <v>529154503432</v>
      </c>
      <c r="C1803">
        <v>44510</v>
      </c>
      <c r="D1803" t="s">
        <v>1671</v>
      </c>
      <c r="E1803" t="s">
        <v>2305</v>
      </c>
      <c r="F1803" t="s">
        <v>113</v>
      </c>
      <c r="G1803" t="s">
        <v>2276</v>
      </c>
      <c r="H1803"/>
      <c r="I1803"/>
      <c r="J1803"/>
      <c r="K1803" t="s">
        <v>2191</v>
      </c>
    </row>
    <row r="1804" spans="1:11">
      <c r="A1804">
        <v>44515</v>
      </c>
      <c r="B1804">
        <v>529154503432</v>
      </c>
      <c r="C1804">
        <v>44510</v>
      </c>
      <c r="D1804" t="s">
        <v>1671</v>
      </c>
      <c r="E1804" t="s">
        <v>2306</v>
      </c>
      <c r="F1804" t="s">
        <v>113</v>
      </c>
      <c r="G1804" t="s">
        <v>2276</v>
      </c>
      <c r="H1804"/>
      <c r="I1804"/>
      <c r="J1804"/>
      <c r="K1804" t="s">
        <v>2191</v>
      </c>
    </row>
    <row r="1805" spans="1:11">
      <c r="A1805">
        <v>44515</v>
      </c>
      <c r="B1805">
        <v>529154503432</v>
      </c>
      <c r="C1805">
        <v>44510</v>
      </c>
      <c r="D1805" t="s">
        <v>1671</v>
      </c>
      <c r="E1805" t="s">
        <v>2307</v>
      </c>
      <c r="F1805" t="s">
        <v>113</v>
      </c>
      <c r="G1805" t="s">
        <v>2276</v>
      </c>
      <c r="H1805"/>
      <c r="I1805"/>
      <c r="J1805"/>
      <c r="K1805" t="s">
        <v>2195</v>
      </c>
    </row>
    <row r="1806" spans="1:11">
      <c r="A1806">
        <v>44515</v>
      </c>
      <c r="B1806">
        <v>529154503432</v>
      </c>
      <c r="C1806">
        <v>44510</v>
      </c>
      <c r="D1806" t="s">
        <v>1671</v>
      </c>
      <c r="E1806" t="s">
        <v>2308</v>
      </c>
      <c r="F1806" t="s">
        <v>113</v>
      </c>
      <c r="G1806" t="s">
        <v>2276</v>
      </c>
      <c r="H1806"/>
      <c r="I1806"/>
      <c r="J1806"/>
      <c r="K1806" t="s">
        <v>2195</v>
      </c>
    </row>
    <row r="1807" spans="1:11">
      <c r="A1807">
        <v>44515</v>
      </c>
      <c r="B1807">
        <v>529154503432</v>
      </c>
      <c r="C1807">
        <v>44510</v>
      </c>
      <c r="D1807" t="s">
        <v>1671</v>
      </c>
      <c r="E1807" t="s">
        <v>2309</v>
      </c>
      <c r="F1807" t="s">
        <v>113</v>
      </c>
      <c r="G1807" t="s">
        <v>2276</v>
      </c>
      <c r="H1807"/>
      <c r="I1807"/>
      <c r="J1807"/>
      <c r="K1807" t="s">
        <v>2193</v>
      </c>
    </row>
    <row r="1808" spans="1:11">
      <c r="A1808">
        <v>44515</v>
      </c>
      <c r="B1808">
        <v>529154503432</v>
      </c>
      <c r="C1808">
        <v>44510</v>
      </c>
      <c r="D1808" t="s">
        <v>1671</v>
      </c>
      <c r="E1808" t="s">
        <v>2310</v>
      </c>
      <c r="F1808" t="s">
        <v>113</v>
      </c>
      <c r="G1808" t="s">
        <v>2276</v>
      </c>
      <c r="H1808"/>
      <c r="I1808"/>
      <c r="J1808"/>
      <c r="K1808" t="s">
        <v>2193</v>
      </c>
    </row>
    <row r="1809" spans="1:11">
      <c r="A1809">
        <v>44515</v>
      </c>
      <c r="B1809">
        <v>529154503432</v>
      </c>
      <c r="C1809">
        <v>44510</v>
      </c>
      <c r="D1809" t="s">
        <v>1671</v>
      </c>
      <c r="E1809" t="s">
        <v>2311</v>
      </c>
      <c r="F1809" t="s">
        <v>113</v>
      </c>
      <c r="G1809" t="s">
        <v>2276</v>
      </c>
      <c r="H1809"/>
      <c r="I1809"/>
      <c r="J1809"/>
      <c r="K1809" t="s">
        <v>2193</v>
      </c>
    </row>
    <row r="1810" spans="1:11">
      <c r="A1810">
        <v>44515</v>
      </c>
      <c r="B1810">
        <v>529154503432</v>
      </c>
      <c r="C1810">
        <v>44510</v>
      </c>
      <c r="D1810" t="s">
        <v>1671</v>
      </c>
      <c r="E1810" t="s">
        <v>2312</v>
      </c>
      <c r="F1810" t="s">
        <v>113</v>
      </c>
      <c r="G1810" t="s">
        <v>2276</v>
      </c>
      <c r="H1810"/>
      <c r="I1810"/>
      <c r="J1810"/>
      <c r="K1810" t="s">
        <v>2193</v>
      </c>
    </row>
    <row r="1811" spans="1:11">
      <c r="A1811">
        <v>44515</v>
      </c>
      <c r="B1811">
        <v>529154503432</v>
      </c>
      <c r="C1811">
        <v>44510</v>
      </c>
      <c r="D1811" t="s">
        <v>1671</v>
      </c>
      <c r="E1811" t="s">
        <v>2313</v>
      </c>
      <c r="F1811" t="s">
        <v>113</v>
      </c>
      <c r="G1811" t="s">
        <v>2276</v>
      </c>
      <c r="H1811"/>
      <c r="I1811"/>
      <c r="J1811"/>
      <c r="K1811" t="s">
        <v>2193</v>
      </c>
    </row>
    <row r="1812" spans="1:11">
      <c r="A1812">
        <v>44515</v>
      </c>
      <c r="B1812">
        <v>529154503432</v>
      </c>
      <c r="C1812">
        <v>44510</v>
      </c>
      <c r="D1812" t="s">
        <v>1671</v>
      </c>
      <c r="E1812" t="s">
        <v>2314</v>
      </c>
      <c r="F1812" t="s">
        <v>113</v>
      </c>
      <c r="G1812" t="s">
        <v>2276</v>
      </c>
      <c r="H1812"/>
      <c r="I1812"/>
      <c r="J1812"/>
      <c r="K1812" t="s">
        <v>2193</v>
      </c>
    </row>
    <row r="1813" spans="1:11">
      <c r="A1813">
        <v>44515</v>
      </c>
      <c r="B1813">
        <v>529154503432</v>
      </c>
      <c r="C1813">
        <v>44510</v>
      </c>
      <c r="D1813" t="s">
        <v>1671</v>
      </c>
      <c r="E1813" t="s">
        <v>2315</v>
      </c>
      <c r="F1813" t="s">
        <v>113</v>
      </c>
      <c r="G1813" t="s">
        <v>2276</v>
      </c>
      <c r="H1813"/>
      <c r="I1813"/>
      <c r="J1813"/>
      <c r="K1813" t="s">
        <v>2193</v>
      </c>
    </row>
    <row r="1814" spans="1:11">
      <c r="A1814">
        <v>44515</v>
      </c>
      <c r="B1814">
        <v>529154503432</v>
      </c>
      <c r="C1814">
        <v>44510</v>
      </c>
      <c r="D1814" t="s">
        <v>1671</v>
      </c>
      <c r="E1814" t="s">
        <v>2316</v>
      </c>
      <c r="F1814" t="s">
        <v>113</v>
      </c>
      <c r="G1814" t="s">
        <v>2276</v>
      </c>
      <c r="H1814"/>
      <c r="I1814"/>
      <c r="J1814"/>
      <c r="K1814" t="s">
        <v>2193</v>
      </c>
    </row>
    <row r="1815" spans="1:11">
      <c r="A1815">
        <v>44515</v>
      </c>
      <c r="B1815">
        <v>529154503432</v>
      </c>
      <c r="C1815">
        <v>44510</v>
      </c>
      <c r="D1815" t="s">
        <v>1671</v>
      </c>
      <c r="E1815" t="s">
        <v>2317</v>
      </c>
      <c r="F1815" t="s">
        <v>113</v>
      </c>
      <c r="G1815" t="s">
        <v>2276</v>
      </c>
      <c r="H1815"/>
      <c r="I1815"/>
      <c r="J1815"/>
      <c r="K1815" t="s">
        <v>2189</v>
      </c>
    </row>
    <row r="1816" spans="1:11">
      <c r="A1816">
        <v>44515</v>
      </c>
      <c r="B1816">
        <v>529154503432</v>
      </c>
      <c r="C1816">
        <v>44510</v>
      </c>
      <c r="D1816" t="s">
        <v>1671</v>
      </c>
      <c r="E1816" t="s">
        <v>2318</v>
      </c>
      <c r="F1816" t="s">
        <v>113</v>
      </c>
      <c r="G1816" t="s">
        <v>2276</v>
      </c>
      <c r="H1816"/>
      <c r="I1816"/>
      <c r="J1816"/>
      <c r="K1816" t="s">
        <v>2189</v>
      </c>
    </row>
    <row r="1817" spans="1:11">
      <c r="A1817">
        <v>44515</v>
      </c>
      <c r="B1817">
        <v>529154503432</v>
      </c>
      <c r="C1817">
        <v>44510</v>
      </c>
      <c r="D1817" t="s">
        <v>1671</v>
      </c>
      <c r="E1817" t="s">
        <v>2319</v>
      </c>
      <c r="F1817" t="s">
        <v>113</v>
      </c>
      <c r="G1817" t="s">
        <v>2276</v>
      </c>
      <c r="H1817"/>
      <c r="I1817"/>
      <c r="J1817"/>
      <c r="K1817" t="s">
        <v>2189</v>
      </c>
    </row>
    <row r="1818" spans="1:11">
      <c r="A1818">
        <v>44515</v>
      </c>
      <c r="B1818">
        <v>529154503432</v>
      </c>
      <c r="C1818">
        <v>44510</v>
      </c>
      <c r="D1818" t="s">
        <v>1671</v>
      </c>
      <c r="E1818" t="s">
        <v>2320</v>
      </c>
      <c r="F1818" t="s">
        <v>113</v>
      </c>
      <c r="G1818" t="s">
        <v>2276</v>
      </c>
      <c r="H1818"/>
      <c r="I1818"/>
      <c r="J1818"/>
      <c r="K1818" t="s">
        <v>2189</v>
      </c>
    </row>
    <row r="1819" spans="1:11">
      <c r="A1819">
        <v>44515</v>
      </c>
      <c r="B1819">
        <v>529154503432</v>
      </c>
      <c r="C1819">
        <v>44510</v>
      </c>
      <c r="D1819" t="s">
        <v>1671</v>
      </c>
      <c r="E1819" t="s">
        <v>2321</v>
      </c>
      <c r="F1819" t="s">
        <v>113</v>
      </c>
      <c r="G1819" t="s">
        <v>2276</v>
      </c>
      <c r="H1819"/>
      <c r="I1819"/>
      <c r="J1819"/>
      <c r="K1819" t="s">
        <v>2189</v>
      </c>
    </row>
    <row r="1820" spans="1:11">
      <c r="A1820">
        <v>44515</v>
      </c>
      <c r="B1820">
        <v>529154503432</v>
      </c>
      <c r="C1820">
        <v>44510</v>
      </c>
      <c r="D1820" t="s">
        <v>1671</v>
      </c>
      <c r="E1820" t="s">
        <v>2322</v>
      </c>
      <c r="F1820" t="s">
        <v>113</v>
      </c>
      <c r="G1820" t="s">
        <v>2276</v>
      </c>
      <c r="H1820"/>
      <c r="I1820"/>
      <c r="J1820"/>
      <c r="K1820" t="s">
        <v>2189</v>
      </c>
    </row>
    <row r="1821" spans="1:11">
      <c r="A1821">
        <v>44515</v>
      </c>
      <c r="B1821">
        <v>529154503432</v>
      </c>
      <c r="C1821">
        <v>44510</v>
      </c>
      <c r="D1821" t="s">
        <v>1671</v>
      </c>
      <c r="E1821" t="s">
        <v>2323</v>
      </c>
      <c r="F1821" t="s">
        <v>113</v>
      </c>
      <c r="G1821" t="s">
        <v>2276</v>
      </c>
      <c r="H1821"/>
      <c r="I1821"/>
      <c r="J1821"/>
      <c r="K1821" t="s">
        <v>2189</v>
      </c>
    </row>
    <row r="1822" spans="1:11">
      <c r="A1822">
        <v>44515</v>
      </c>
      <c r="B1822">
        <v>529154503432</v>
      </c>
      <c r="C1822">
        <v>44510</v>
      </c>
      <c r="D1822" t="s">
        <v>1671</v>
      </c>
      <c r="E1822" t="s">
        <v>2324</v>
      </c>
      <c r="F1822" t="s">
        <v>113</v>
      </c>
      <c r="G1822" t="s">
        <v>2276</v>
      </c>
      <c r="H1822"/>
      <c r="I1822"/>
      <c r="J1822"/>
      <c r="K1822" t="s">
        <v>2189</v>
      </c>
    </row>
    <row r="1823" spans="1:11">
      <c r="A1823">
        <v>44515</v>
      </c>
      <c r="B1823">
        <v>529154503432</v>
      </c>
      <c r="C1823">
        <v>44510</v>
      </c>
      <c r="D1823" t="s">
        <v>1671</v>
      </c>
      <c r="E1823" t="s">
        <v>2325</v>
      </c>
      <c r="F1823" t="s">
        <v>113</v>
      </c>
      <c r="G1823" t="s">
        <v>2276</v>
      </c>
      <c r="H1823"/>
      <c r="I1823"/>
      <c r="J1823"/>
      <c r="K1823" t="s">
        <v>2183</v>
      </c>
    </row>
    <row r="1824" spans="1:11">
      <c r="A1824">
        <v>44515</v>
      </c>
      <c r="B1824">
        <v>529154503432</v>
      </c>
      <c r="C1824">
        <v>44510</v>
      </c>
      <c r="D1824" t="s">
        <v>1671</v>
      </c>
      <c r="E1824" t="s">
        <v>2326</v>
      </c>
      <c r="F1824" t="s">
        <v>113</v>
      </c>
      <c r="G1824" t="s">
        <v>2276</v>
      </c>
      <c r="H1824"/>
      <c r="I1824"/>
      <c r="J1824"/>
      <c r="K1824" t="s">
        <v>2183</v>
      </c>
    </row>
    <row r="1825" spans="1:11">
      <c r="A1825">
        <v>44515</v>
      </c>
      <c r="B1825">
        <v>529154503432</v>
      </c>
      <c r="C1825">
        <v>44510</v>
      </c>
      <c r="D1825" t="s">
        <v>1671</v>
      </c>
      <c r="E1825" t="s">
        <v>2327</v>
      </c>
      <c r="F1825" t="s">
        <v>113</v>
      </c>
      <c r="G1825" t="s">
        <v>2276</v>
      </c>
      <c r="H1825"/>
      <c r="I1825"/>
      <c r="J1825"/>
      <c r="K1825" t="s">
        <v>2183</v>
      </c>
    </row>
    <row r="1826" spans="1:11">
      <c r="A1826">
        <v>44515</v>
      </c>
      <c r="B1826">
        <v>529154503432</v>
      </c>
      <c r="C1826">
        <v>44510</v>
      </c>
      <c r="D1826" t="s">
        <v>1671</v>
      </c>
      <c r="E1826" t="s">
        <v>2328</v>
      </c>
      <c r="F1826" t="s">
        <v>113</v>
      </c>
      <c r="G1826" t="s">
        <v>2276</v>
      </c>
      <c r="H1826"/>
      <c r="I1826"/>
      <c r="J1826"/>
      <c r="K1826" t="s">
        <v>2183</v>
      </c>
    </row>
    <row r="1827" spans="1:11">
      <c r="A1827">
        <v>44515</v>
      </c>
      <c r="B1827">
        <v>529154503432</v>
      </c>
      <c r="C1827">
        <v>44510</v>
      </c>
      <c r="D1827" t="s">
        <v>1671</v>
      </c>
      <c r="E1827" t="s">
        <v>2329</v>
      </c>
      <c r="F1827" t="s">
        <v>113</v>
      </c>
      <c r="G1827" t="s">
        <v>2276</v>
      </c>
      <c r="H1827"/>
      <c r="I1827"/>
      <c r="J1827"/>
      <c r="K1827" t="s">
        <v>2183</v>
      </c>
    </row>
    <row r="1828" spans="1:11">
      <c r="A1828">
        <v>44515</v>
      </c>
      <c r="B1828">
        <v>529154503432</v>
      </c>
      <c r="C1828">
        <v>44510</v>
      </c>
      <c r="D1828" t="s">
        <v>1671</v>
      </c>
      <c r="E1828" t="s">
        <v>2330</v>
      </c>
      <c r="F1828" t="s">
        <v>113</v>
      </c>
      <c r="G1828" t="s">
        <v>2276</v>
      </c>
      <c r="H1828"/>
      <c r="I1828"/>
      <c r="J1828"/>
      <c r="K1828" t="s">
        <v>2183</v>
      </c>
    </row>
    <row r="1829" spans="1:11">
      <c r="A1829">
        <v>44515</v>
      </c>
      <c r="B1829">
        <v>529154503432</v>
      </c>
      <c r="C1829">
        <v>44510</v>
      </c>
      <c r="D1829" t="s">
        <v>1671</v>
      </c>
      <c r="E1829" t="s">
        <v>2331</v>
      </c>
      <c r="F1829" t="s">
        <v>113</v>
      </c>
      <c r="G1829" t="s">
        <v>2276</v>
      </c>
      <c r="H1829"/>
      <c r="I1829"/>
      <c r="J1829"/>
      <c r="K1829" t="s">
        <v>2183</v>
      </c>
    </row>
    <row r="1830" spans="1:11">
      <c r="A1830">
        <v>44418</v>
      </c>
      <c r="B1830">
        <v>10812073675</v>
      </c>
      <c r="C1830">
        <v>44417</v>
      </c>
      <c r="D1830" t="s">
        <v>2181</v>
      </c>
      <c r="E1830" t="s">
        <v>2346</v>
      </c>
      <c r="F1830" t="s">
        <v>753</v>
      </c>
      <c r="G1830">
        <v>40090982</v>
      </c>
      <c r="H1830"/>
      <c r="I1830"/>
      <c r="J1830"/>
      <c r="K1830" t="s">
        <v>2347</v>
      </c>
    </row>
    <row r="1831" spans="1:11">
      <c r="A1831">
        <v>44418</v>
      </c>
      <c r="B1831">
        <v>10812073675</v>
      </c>
      <c r="C1831">
        <v>44417</v>
      </c>
      <c r="D1831" t="s">
        <v>2181</v>
      </c>
      <c r="E1831" t="s">
        <v>2348</v>
      </c>
      <c r="F1831" t="s">
        <v>753</v>
      </c>
      <c r="G1831">
        <v>40090982</v>
      </c>
      <c r="H1831"/>
      <c r="I1831"/>
      <c r="J1831"/>
      <c r="K1831" t="s">
        <v>2349</v>
      </c>
    </row>
    <row r="1832" spans="1:11">
      <c r="A1832">
        <v>44418</v>
      </c>
      <c r="B1832">
        <v>10812073675</v>
      </c>
      <c r="C1832">
        <v>44417</v>
      </c>
      <c r="D1832" t="s">
        <v>2181</v>
      </c>
      <c r="E1832" t="s">
        <v>2350</v>
      </c>
      <c r="F1832" t="s">
        <v>753</v>
      </c>
      <c r="G1832">
        <v>40090982</v>
      </c>
      <c r="H1832"/>
      <c r="I1832"/>
      <c r="J1832"/>
      <c r="K1832" t="s">
        <v>2351</v>
      </c>
    </row>
    <row r="1833" spans="1:11">
      <c r="A1833">
        <v>44418</v>
      </c>
      <c r="B1833">
        <v>10812073675</v>
      </c>
      <c r="C1833">
        <v>44417</v>
      </c>
      <c r="D1833" t="s">
        <v>2181</v>
      </c>
      <c r="E1833" t="s">
        <v>2352</v>
      </c>
      <c r="F1833" t="s">
        <v>753</v>
      </c>
      <c r="G1833">
        <v>40090982</v>
      </c>
      <c r="H1833"/>
      <c r="I1833"/>
      <c r="J1833"/>
      <c r="K1833" t="s">
        <v>2353</v>
      </c>
    </row>
    <row r="1834" spans="1:11">
      <c r="A1834">
        <v>44418</v>
      </c>
      <c r="B1834">
        <v>10812073675</v>
      </c>
      <c r="C1834">
        <v>44417</v>
      </c>
      <c r="D1834" t="s">
        <v>2181</v>
      </c>
      <c r="E1834" t="s">
        <v>2354</v>
      </c>
      <c r="F1834" t="s">
        <v>753</v>
      </c>
      <c r="G1834">
        <v>40090982</v>
      </c>
      <c r="H1834"/>
      <c r="I1834"/>
      <c r="J1834"/>
      <c r="K1834" t="s">
        <v>2355</v>
      </c>
    </row>
    <row r="1835" spans="1:11">
      <c r="A1835">
        <v>44418</v>
      </c>
      <c r="B1835">
        <v>10812073675</v>
      </c>
      <c r="C1835">
        <v>44417</v>
      </c>
      <c r="D1835" t="s">
        <v>2181</v>
      </c>
      <c r="E1835" t="s">
        <v>2356</v>
      </c>
      <c r="F1835" t="s">
        <v>753</v>
      </c>
      <c r="G1835">
        <v>40090982</v>
      </c>
      <c r="H1835"/>
      <c r="I1835"/>
      <c r="J1835"/>
      <c r="K1835" t="s">
        <v>2357</v>
      </c>
    </row>
    <row r="1836" spans="1:11">
      <c r="A1836">
        <v>44418</v>
      </c>
      <c r="B1836">
        <v>10812073675</v>
      </c>
      <c r="C1836">
        <v>44417</v>
      </c>
      <c r="D1836" t="s">
        <v>2181</v>
      </c>
      <c r="E1836" t="s">
        <v>2358</v>
      </c>
      <c r="F1836" t="s">
        <v>753</v>
      </c>
      <c r="G1836">
        <v>40090982</v>
      </c>
      <c r="H1836"/>
      <c r="I1836"/>
      <c r="J1836"/>
      <c r="K1836" t="s">
        <v>2359</v>
      </c>
    </row>
    <row r="1837" spans="1:11">
      <c r="A1837">
        <v>44418</v>
      </c>
      <c r="B1837">
        <v>10812073675</v>
      </c>
      <c r="C1837">
        <v>44417</v>
      </c>
      <c r="D1837" t="s">
        <v>2181</v>
      </c>
      <c r="E1837" t="s">
        <v>2360</v>
      </c>
      <c r="F1837" t="s">
        <v>753</v>
      </c>
      <c r="G1837">
        <v>40090982</v>
      </c>
      <c r="H1837"/>
      <c r="I1837"/>
      <c r="J1837"/>
      <c r="K1837" t="s">
        <v>2361</v>
      </c>
    </row>
    <row r="1838" spans="1:11">
      <c r="A1838">
        <v>44418</v>
      </c>
      <c r="B1838">
        <v>10812073675</v>
      </c>
      <c r="C1838">
        <v>44417</v>
      </c>
      <c r="D1838" t="s">
        <v>2181</v>
      </c>
      <c r="E1838" t="s">
        <v>2362</v>
      </c>
      <c r="F1838" t="s">
        <v>753</v>
      </c>
      <c r="G1838">
        <v>40090982</v>
      </c>
      <c r="H1838"/>
      <c r="I1838"/>
      <c r="J1838"/>
      <c r="K1838" t="s">
        <v>2363</v>
      </c>
    </row>
    <row r="1839" spans="1:11">
      <c r="A1839">
        <v>44418</v>
      </c>
      <c r="B1839">
        <v>10812073675</v>
      </c>
      <c r="C1839">
        <v>44417</v>
      </c>
      <c r="D1839" t="s">
        <v>2181</v>
      </c>
      <c r="E1839" t="s">
        <v>2364</v>
      </c>
      <c r="F1839" t="s">
        <v>753</v>
      </c>
      <c r="G1839">
        <v>40090982</v>
      </c>
      <c r="H1839"/>
      <c r="I1839"/>
      <c r="J1839"/>
      <c r="K1839" t="s">
        <v>2365</v>
      </c>
    </row>
    <row r="1840" spans="1:11">
      <c r="A1840">
        <v>44418</v>
      </c>
      <c r="B1840">
        <v>10812073675</v>
      </c>
      <c r="C1840">
        <v>44417</v>
      </c>
      <c r="D1840" t="s">
        <v>2181</v>
      </c>
      <c r="E1840" t="s">
        <v>2366</v>
      </c>
      <c r="F1840" t="s">
        <v>753</v>
      </c>
      <c r="G1840">
        <v>40090982</v>
      </c>
      <c r="H1840"/>
      <c r="I1840"/>
      <c r="J1840"/>
      <c r="K1840" t="s">
        <v>2367</v>
      </c>
    </row>
    <row r="1841" spans="1:11">
      <c r="A1841">
        <v>44432</v>
      </c>
      <c r="B1841">
        <v>6111115986616</v>
      </c>
      <c r="C1841">
        <v>44431</v>
      </c>
      <c r="D1841" t="s">
        <v>2196</v>
      </c>
      <c r="E1841" t="s">
        <v>2368</v>
      </c>
      <c r="F1841" t="s">
        <v>753</v>
      </c>
      <c r="G1841">
        <v>40096266</v>
      </c>
      <c r="H1841"/>
      <c r="I1841"/>
      <c r="J1841"/>
      <c r="K1841" t="s">
        <v>2349</v>
      </c>
    </row>
    <row r="1842" spans="1:11">
      <c r="A1842">
        <v>44432</v>
      </c>
      <c r="B1842">
        <v>6111115986616</v>
      </c>
      <c r="C1842">
        <v>44431</v>
      </c>
      <c r="D1842" t="s">
        <v>2196</v>
      </c>
      <c r="E1842" t="s">
        <v>2369</v>
      </c>
      <c r="F1842" t="s">
        <v>753</v>
      </c>
      <c r="G1842">
        <v>40096266</v>
      </c>
      <c r="H1842"/>
      <c r="I1842"/>
      <c r="J1842"/>
      <c r="K1842" t="s">
        <v>2359</v>
      </c>
    </row>
    <row r="1843" spans="1:11">
      <c r="A1843">
        <v>44432</v>
      </c>
      <c r="B1843">
        <v>6111115986616</v>
      </c>
      <c r="C1843">
        <v>44431</v>
      </c>
      <c r="D1843" t="s">
        <v>2196</v>
      </c>
      <c r="E1843" t="s">
        <v>2370</v>
      </c>
      <c r="F1843" t="s">
        <v>753</v>
      </c>
      <c r="G1843">
        <v>40096266</v>
      </c>
      <c r="H1843"/>
      <c r="I1843"/>
      <c r="J1843"/>
      <c r="K1843" t="s">
        <v>2359</v>
      </c>
    </row>
    <row r="1844" spans="1:11">
      <c r="A1844">
        <v>44432</v>
      </c>
      <c r="B1844">
        <v>6111115986616</v>
      </c>
      <c r="C1844">
        <v>44431</v>
      </c>
      <c r="D1844" t="s">
        <v>2196</v>
      </c>
      <c r="E1844" t="s">
        <v>2371</v>
      </c>
      <c r="F1844" t="s">
        <v>753</v>
      </c>
      <c r="G1844">
        <v>40096266</v>
      </c>
      <c r="H1844"/>
      <c r="I1844"/>
      <c r="J1844"/>
      <c r="K1844" t="s">
        <v>2367</v>
      </c>
    </row>
    <row r="1845" spans="1:11">
      <c r="A1845">
        <v>44432</v>
      </c>
      <c r="B1845">
        <v>6111115986616</v>
      </c>
      <c r="C1845">
        <v>44431</v>
      </c>
      <c r="D1845" t="s">
        <v>2196</v>
      </c>
      <c r="E1845" t="s">
        <v>2372</v>
      </c>
      <c r="F1845" t="s">
        <v>753</v>
      </c>
      <c r="G1845">
        <v>40096266</v>
      </c>
      <c r="H1845"/>
      <c r="I1845"/>
      <c r="J1845"/>
      <c r="K1845" t="s">
        <v>2349</v>
      </c>
    </row>
    <row r="1846" spans="1:11">
      <c r="A1846">
        <v>44432</v>
      </c>
      <c r="B1846">
        <v>6111115986616</v>
      </c>
      <c r="C1846">
        <v>44431</v>
      </c>
      <c r="D1846" t="s">
        <v>2196</v>
      </c>
      <c r="E1846" t="s">
        <v>2373</v>
      </c>
      <c r="F1846" t="s">
        <v>753</v>
      </c>
      <c r="G1846">
        <v>40096266</v>
      </c>
      <c r="H1846"/>
      <c r="I1846"/>
      <c r="J1846"/>
      <c r="K1846" t="s">
        <v>2361</v>
      </c>
    </row>
    <row r="1847" spans="1:11">
      <c r="A1847">
        <v>44432</v>
      </c>
      <c r="B1847">
        <v>6111115986616</v>
      </c>
      <c r="C1847">
        <v>44431</v>
      </c>
      <c r="D1847" t="s">
        <v>2196</v>
      </c>
      <c r="E1847" t="s">
        <v>2374</v>
      </c>
      <c r="F1847" t="s">
        <v>753</v>
      </c>
      <c r="G1847">
        <v>40096266</v>
      </c>
      <c r="H1847"/>
      <c r="I1847"/>
      <c r="J1847"/>
      <c r="K1847" t="s">
        <v>2365</v>
      </c>
    </row>
    <row r="1848" spans="1:11">
      <c r="A1848">
        <v>44432</v>
      </c>
      <c r="B1848">
        <v>6111115986616</v>
      </c>
      <c r="C1848">
        <v>44431</v>
      </c>
      <c r="D1848" t="s">
        <v>2196</v>
      </c>
      <c r="E1848" t="s">
        <v>2375</v>
      </c>
      <c r="F1848" t="s">
        <v>753</v>
      </c>
      <c r="G1848">
        <v>40096266</v>
      </c>
      <c r="H1848"/>
      <c r="I1848"/>
      <c r="J1848"/>
      <c r="K1848" t="s">
        <v>2361</v>
      </c>
    </row>
    <row r="1849" spans="1:11">
      <c r="A1849">
        <v>44432</v>
      </c>
      <c r="B1849">
        <v>6111115986616</v>
      </c>
      <c r="C1849">
        <v>44431</v>
      </c>
      <c r="D1849" t="s">
        <v>2196</v>
      </c>
      <c r="E1849" t="s">
        <v>2376</v>
      </c>
      <c r="F1849" t="s">
        <v>753</v>
      </c>
      <c r="G1849">
        <v>40096266</v>
      </c>
      <c r="H1849"/>
      <c r="I1849"/>
      <c r="J1849"/>
      <c r="K1849" t="s">
        <v>2365</v>
      </c>
    </row>
    <row r="1850" spans="1:11">
      <c r="A1850">
        <v>44432</v>
      </c>
      <c r="B1850">
        <v>6111115986616</v>
      </c>
      <c r="C1850">
        <v>44431</v>
      </c>
      <c r="D1850" t="s">
        <v>2196</v>
      </c>
      <c r="E1850" t="s">
        <v>2377</v>
      </c>
      <c r="F1850" t="s">
        <v>753</v>
      </c>
      <c r="G1850">
        <v>40096266</v>
      </c>
      <c r="H1850"/>
      <c r="I1850"/>
      <c r="J1850"/>
      <c r="K1850" t="s">
        <v>2367</v>
      </c>
    </row>
    <row r="1851" spans="1:11">
      <c r="A1851">
        <v>44456</v>
      </c>
      <c r="B1851">
        <v>10812143112</v>
      </c>
      <c r="C1851">
        <v>44454</v>
      </c>
      <c r="D1851" t="s">
        <v>2196</v>
      </c>
      <c r="E1851" t="s">
        <v>2576</v>
      </c>
      <c r="F1851" t="s">
        <v>753</v>
      </c>
      <c r="G1851">
        <v>40107096</v>
      </c>
      <c r="H1851"/>
      <c r="I1851"/>
      <c r="J1851"/>
      <c r="K1851" t="s">
        <v>2351</v>
      </c>
    </row>
    <row r="1852" spans="1:11">
      <c r="A1852">
        <v>44456</v>
      </c>
      <c r="B1852">
        <v>10812143112</v>
      </c>
      <c r="C1852">
        <v>44454</v>
      </c>
      <c r="D1852" t="s">
        <v>2196</v>
      </c>
      <c r="E1852" t="s">
        <v>2577</v>
      </c>
      <c r="F1852" t="s">
        <v>753</v>
      </c>
      <c r="G1852">
        <v>40107096</v>
      </c>
      <c r="H1852"/>
      <c r="I1852"/>
      <c r="J1852"/>
      <c r="K1852" t="s">
        <v>2357</v>
      </c>
    </row>
    <row r="1853" spans="1:11">
      <c r="A1853">
        <v>44456</v>
      </c>
      <c r="B1853">
        <v>10812143112</v>
      </c>
      <c r="C1853">
        <v>44454</v>
      </c>
      <c r="D1853" t="s">
        <v>2196</v>
      </c>
      <c r="E1853" t="s">
        <v>2578</v>
      </c>
      <c r="F1853" t="s">
        <v>753</v>
      </c>
      <c r="G1853">
        <v>40107096</v>
      </c>
      <c r="H1853"/>
      <c r="I1853"/>
      <c r="J1853"/>
      <c r="K1853" t="s">
        <v>2353</v>
      </c>
    </row>
    <row r="1854" spans="1:11">
      <c r="A1854">
        <v>44456</v>
      </c>
      <c r="B1854">
        <v>10812143112</v>
      </c>
      <c r="C1854">
        <v>44454</v>
      </c>
      <c r="D1854" t="s">
        <v>2196</v>
      </c>
      <c r="E1854" t="s">
        <v>2579</v>
      </c>
      <c r="F1854" t="s">
        <v>753</v>
      </c>
      <c r="G1854">
        <v>40107096</v>
      </c>
      <c r="H1854"/>
      <c r="I1854"/>
      <c r="J1854"/>
      <c r="K1854" t="s">
        <v>2357</v>
      </c>
    </row>
    <row r="1855" spans="1:11">
      <c r="A1855">
        <v>44456</v>
      </c>
      <c r="B1855">
        <v>10812143112</v>
      </c>
      <c r="C1855">
        <v>44454</v>
      </c>
      <c r="D1855" t="s">
        <v>2196</v>
      </c>
      <c r="E1855" t="s">
        <v>2580</v>
      </c>
      <c r="F1855" t="s">
        <v>753</v>
      </c>
      <c r="G1855">
        <v>40107096</v>
      </c>
      <c r="H1855"/>
      <c r="I1855"/>
      <c r="J1855"/>
      <c r="K1855" t="s">
        <v>2351</v>
      </c>
    </row>
    <row r="1856" spans="1:11">
      <c r="A1856">
        <v>44456</v>
      </c>
      <c r="B1856">
        <v>10812143112</v>
      </c>
      <c r="C1856">
        <v>44454</v>
      </c>
      <c r="D1856" t="s">
        <v>2196</v>
      </c>
      <c r="E1856" t="s">
        <v>2581</v>
      </c>
      <c r="F1856" t="s">
        <v>753</v>
      </c>
      <c r="G1856">
        <v>40107096</v>
      </c>
      <c r="H1856"/>
      <c r="I1856"/>
      <c r="J1856"/>
      <c r="K1856" t="s">
        <v>2363</v>
      </c>
    </row>
    <row r="1857" spans="1:11">
      <c r="A1857">
        <v>44456</v>
      </c>
      <c r="B1857">
        <v>10812143112</v>
      </c>
      <c r="C1857">
        <v>44454</v>
      </c>
      <c r="D1857" t="s">
        <v>2196</v>
      </c>
      <c r="E1857" t="s">
        <v>2582</v>
      </c>
      <c r="F1857" t="s">
        <v>753</v>
      </c>
      <c r="G1857">
        <v>40107096</v>
      </c>
      <c r="H1857"/>
      <c r="I1857"/>
      <c r="J1857"/>
      <c r="K1857" t="s">
        <v>2363</v>
      </c>
    </row>
    <row r="1858" spans="1:11">
      <c r="A1858">
        <v>44456</v>
      </c>
      <c r="B1858">
        <v>10812143112</v>
      </c>
      <c r="C1858">
        <v>44454</v>
      </c>
      <c r="D1858" t="s">
        <v>2196</v>
      </c>
      <c r="E1858" t="s">
        <v>2583</v>
      </c>
      <c r="F1858" t="s">
        <v>753</v>
      </c>
      <c r="G1858">
        <v>40107096</v>
      </c>
      <c r="H1858"/>
      <c r="I1858"/>
      <c r="J1858"/>
      <c r="K1858" t="s">
        <v>2355</v>
      </c>
    </row>
    <row r="1859" spans="1:11">
      <c r="A1859">
        <v>44456</v>
      </c>
      <c r="B1859">
        <v>10812143112</v>
      </c>
      <c r="C1859">
        <v>44454</v>
      </c>
      <c r="D1859" t="s">
        <v>2196</v>
      </c>
      <c r="E1859" t="s">
        <v>2584</v>
      </c>
      <c r="F1859" t="s">
        <v>753</v>
      </c>
      <c r="G1859">
        <v>40107096</v>
      </c>
      <c r="H1859"/>
      <c r="I1859"/>
      <c r="J1859"/>
      <c r="K1859" t="s">
        <v>2353</v>
      </c>
    </row>
    <row r="1860" spans="1:11">
      <c r="A1860">
        <v>44456</v>
      </c>
      <c r="B1860">
        <v>10812143112</v>
      </c>
      <c r="C1860">
        <v>44454</v>
      </c>
      <c r="D1860" t="s">
        <v>2196</v>
      </c>
      <c r="E1860" t="s">
        <v>2585</v>
      </c>
      <c r="F1860" t="s">
        <v>753</v>
      </c>
      <c r="G1860">
        <v>40107096</v>
      </c>
      <c r="H1860"/>
      <c r="I1860"/>
      <c r="J1860"/>
      <c r="K1860" t="s">
        <v>2347</v>
      </c>
    </row>
    <row r="1861" spans="1:11">
      <c r="A1861">
        <v>44456</v>
      </c>
      <c r="B1861">
        <v>10812143112</v>
      </c>
      <c r="C1861">
        <v>44454</v>
      </c>
      <c r="D1861" t="s">
        <v>2196</v>
      </c>
      <c r="E1861" t="s">
        <v>2586</v>
      </c>
      <c r="F1861" t="s">
        <v>753</v>
      </c>
      <c r="G1861">
        <v>40107096</v>
      </c>
      <c r="H1861"/>
      <c r="I1861"/>
      <c r="J1861"/>
      <c r="K1861" t="s">
        <v>2355</v>
      </c>
    </row>
    <row r="1862" spans="1:11">
      <c r="A1862">
        <v>44456</v>
      </c>
      <c r="B1862">
        <v>10812143112</v>
      </c>
      <c r="C1862">
        <v>44454</v>
      </c>
      <c r="D1862" t="s">
        <v>2196</v>
      </c>
      <c r="E1862" t="s">
        <v>2587</v>
      </c>
      <c r="F1862" t="s">
        <v>753</v>
      </c>
      <c r="G1862">
        <v>40107096</v>
      </c>
      <c r="H1862"/>
      <c r="I1862"/>
      <c r="J1862"/>
      <c r="K1862" t="s">
        <v>2347</v>
      </c>
    </row>
    <row r="1863" spans="1:11">
      <c r="A1863">
        <v>44487</v>
      </c>
      <c r="B1863" t="s">
        <v>223</v>
      </c>
      <c r="C1863">
        <v>44484</v>
      </c>
      <c r="D1863" t="s">
        <v>2197</v>
      </c>
      <c r="E1863" t="s">
        <v>2378</v>
      </c>
      <c r="F1863" t="s">
        <v>2199</v>
      </c>
      <c r="G1863">
        <v>931345438</v>
      </c>
      <c r="H1863"/>
      <c r="I1863"/>
      <c r="J1863"/>
      <c r="K1863" t="s">
        <v>2349</v>
      </c>
    </row>
    <row r="1864" spans="1:11">
      <c r="A1864">
        <v>44487</v>
      </c>
      <c r="B1864" t="s">
        <v>223</v>
      </c>
      <c r="C1864">
        <v>44484</v>
      </c>
      <c r="D1864" t="s">
        <v>2197</v>
      </c>
      <c r="E1864" t="s">
        <v>2379</v>
      </c>
      <c r="F1864" t="s">
        <v>2199</v>
      </c>
      <c r="G1864">
        <v>931345438</v>
      </c>
      <c r="H1864"/>
      <c r="I1864"/>
      <c r="J1864"/>
      <c r="K1864" t="s">
        <v>2361</v>
      </c>
    </row>
    <row r="1865" spans="1:11">
      <c r="A1865">
        <v>44487</v>
      </c>
      <c r="B1865" t="s">
        <v>223</v>
      </c>
      <c r="C1865">
        <v>44484</v>
      </c>
      <c r="D1865" t="s">
        <v>2197</v>
      </c>
      <c r="E1865" t="s">
        <v>2380</v>
      </c>
      <c r="F1865" t="s">
        <v>2199</v>
      </c>
      <c r="G1865">
        <v>931345438</v>
      </c>
      <c r="H1865"/>
      <c r="I1865"/>
      <c r="J1865"/>
      <c r="K1865" t="s">
        <v>2367</v>
      </c>
    </row>
    <row r="1866" spans="1:11">
      <c r="A1866">
        <v>44487</v>
      </c>
      <c r="B1866" t="s">
        <v>223</v>
      </c>
      <c r="C1866">
        <v>44484</v>
      </c>
      <c r="D1866" t="s">
        <v>2197</v>
      </c>
      <c r="E1866" t="s">
        <v>2381</v>
      </c>
      <c r="F1866" t="s">
        <v>2199</v>
      </c>
      <c r="G1866">
        <v>931345438</v>
      </c>
      <c r="H1866"/>
      <c r="I1866"/>
      <c r="J1866"/>
      <c r="K1866" t="s">
        <v>2353</v>
      </c>
    </row>
    <row r="1867" spans="1:11">
      <c r="A1867">
        <v>44487</v>
      </c>
      <c r="B1867" t="s">
        <v>223</v>
      </c>
      <c r="C1867">
        <v>44484</v>
      </c>
      <c r="D1867" t="s">
        <v>2197</v>
      </c>
      <c r="E1867" t="s">
        <v>2382</v>
      </c>
      <c r="F1867" t="s">
        <v>2199</v>
      </c>
      <c r="G1867">
        <v>931345438</v>
      </c>
      <c r="H1867"/>
      <c r="I1867"/>
      <c r="J1867"/>
      <c r="K1867" t="s">
        <v>2355</v>
      </c>
    </row>
    <row r="1868" spans="1:11">
      <c r="A1868">
        <v>44487</v>
      </c>
      <c r="B1868" t="s">
        <v>223</v>
      </c>
      <c r="C1868">
        <v>44484</v>
      </c>
      <c r="D1868" t="s">
        <v>2197</v>
      </c>
      <c r="E1868" t="s">
        <v>2383</v>
      </c>
      <c r="F1868" t="s">
        <v>2199</v>
      </c>
      <c r="G1868">
        <v>931345438</v>
      </c>
      <c r="H1868"/>
      <c r="I1868"/>
      <c r="J1868"/>
      <c r="K1868" t="s">
        <v>2349</v>
      </c>
    </row>
    <row r="1869" spans="1:11">
      <c r="A1869">
        <v>44487</v>
      </c>
      <c r="B1869" t="s">
        <v>223</v>
      </c>
      <c r="C1869">
        <v>44484</v>
      </c>
      <c r="D1869" t="s">
        <v>2197</v>
      </c>
      <c r="E1869" t="s">
        <v>2384</v>
      </c>
      <c r="F1869" t="s">
        <v>2199</v>
      </c>
      <c r="G1869">
        <v>931345438</v>
      </c>
      <c r="H1869"/>
      <c r="I1869"/>
      <c r="J1869"/>
      <c r="K1869" t="s">
        <v>2361</v>
      </c>
    </row>
    <row r="1870" spans="1:11">
      <c r="A1870">
        <v>44487</v>
      </c>
      <c r="B1870" t="s">
        <v>223</v>
      </c>
      <c r="C1870">
        <v>44484</v>
      </c>
      <c r="D1870" t="s">
        <v>2197</v>
      </c>
      <c r="E1870" t="s">
        <v>2385</v>
      </c>
      <c r="F1870" t="s">
        <v>2199</v>
      </c>
      <c r="G1870">
        <v>931345438</v>
      </c>
      <c r="H1870"/>
      <c r="I1870"/>
      <c r="J1870"/>
      <c r="K1870" t="s">
        <v>2367</v>
      </c>
    </row>
    <row r="1871" spans="1:11">
      <c r="A1871">
        <v>44487</v>
      </c>
      <c r="B1871" t="s">
        <v>223</v>
      </c>
      <c r="C1871">
        <v>44484</v>
      </c>
      <c r="D1871" t="s">
        <v>2197</v>
      </c>
      <c r="E1871" t="s">
        <v>2386</v>
      </c>
      <c r="F1871" t="s">
        <v>2199</v>
      </c>
      <c r="G1871">
        <v>931345438</v>
      </c>
      <c r="H1871"/>
      <c r="I1871"/>
      <c r="J1871"/>
      <c r="K1871" t="s">
        <v>2353</v>
      </c>
    </row>
    <row r="1872" spans="1:11">
      <c r="A1872">
        <v>44487</v>
      </c>
      <c r="B1872" t="s">
        <v>223</v>
      </c>
      <c r="C1872">
        <v>44484</v>
      </c>
      <c r="D1872" t="s">
        <v>2197</v>
      </c>
      <c r="E1872" t="s">
        <v>2387</v>
      </c>
      <c r="F1872" t="s">
        <v>2199</v>
      </c>
      <c r="G1872">
        <v>931345438</v>
      </c>
      <c r="H1872"/>
      <c r="I1872"/>
      <c r="J1872"/>
      <c r="K1872" t="s">
        <v>2355</v>
      </c>
    </row>
    <row r="1873" spans="1:11">
      <c r="A1873">
        <v>44487</v>
      </c>
      <c r="B1873" t="s">
        <v>223</v>
      </c>
      <c r="C1873">
        <v>44484</v>
      </c>
      <c r="D1873" t="s">
        <v>2197</v>
      </c>
      <c r="E1873" t="s">
        <v>2388</v>
      </c>
      <c r="F1873" t="s">
        <v>2199</v>
      </c>
      <c r="G1873">
        <v>931345438</v>
      </c>
      <c r="H1873"/>
      <c r="I1873"/>
      <c r="J1873"/>
      <c r="K1873" t="s">
        <v>2365</v>
      </c>
    </row>
    <row r="1874" spans="1:11">
      <c r="A1874">
        <v>44487</v>
      </c>
      <c r="B1874" t="s">
        <v>223</v>
      </c>
      <c r="C1874">
        <v>44484</v>
      </c>
      <c r="D1874" t="s">
        <v>2197</v>
      </c>
      <c r="E1874" t="s">
        <v>2389</v>
      </c>
      <c r="F1874" t="s">
        <v>2199</v>
      </c>
      <c r="G1874">
        <v>931345438</v>
      </c>
      <c r="H1874"/>
      <c r="I1874"/>
      <c r="J1874"/>
      <c r="K1874" t="s">
        <v>2363</v>
      </c>
    </row>
    <row r="1875" spans="1:11">
      <c r="A1875">
        <v>44487</v>
      </c>
      <c r="B1875" t="s">
        <v>223</v>
      </c>
      <c r="C1875">
        <v>44484</v>
      </c>
      <c r="D1875" t="s">
        <v>2197</v>
      </c>
      <c r="E1875" t="s">
        <v>2390</v>
      </c>
      <c r="F1875" t="s">
        <v>2199</v>
      </c>
      <c r="G1875">
        <v>931345438</v>
      </c>
      <c r="H1875"/>
      <c r="I1875"/>
      <c r="J1875"/>
      <c r="K1875" t="s">
        <v>2347</v>
      </c>
    </row>
    <row r="1876" spans="1:11">
      <c r="A1876">
        <v>44487</v>
      </c>
      <c r="B1876" t="s">
        <v>223</v>
      </c>
      <c r="C1876">
        <v>44484</v>
      </c>
      <c r="D1876" t="s">
        <v>2197</v>
      </c>
      <c r="E1876" t="s">
        <v>2391</v>
      </c>
      <c r="F1876" t="s">
        <v>2199</v>
      </c>
      <c r="G1876">
        <v>931345438</v>
      </c>
      <c r="H1876"/>
      <c r="I1876"/>
      <c r="J1876"/>
      <c r="K1876" t="s">
        <v>2351</v>
      </c>
    </row>
    <row r="1877" spans="1:11">
      <c r="A1877">
        <v>44487</v>
      </c>
      <c r="B1877" t="s">
        <v>223</v>
      </c>
      <c r="C1877">
        <v>44484</v>
      </c>
      <c r="D1877" t="s">
        <v>2197</v>
      </c>
      <c r="E1877" t="s">
        <v>2392</v>
      </c>
      <c r="F1877" t="s">
        <v>2199</v>
      </c>
      <c r="G1877">
        <v>931345438</v>
      </c>
      <c r="H1877"/>
      <c r="I1877"/>
      <c r="J1877"/>
      <c r="K1877" t="s">
        <v>2359</v>
      </c>
    </row>
    <row r="1878" spans="1:11">
      <c r="A1878">
        <v>44487</v>
      </c>
      <c r="B1878" t="s">
        <v>223</v>
      </c>
      <c r="C1878">
        <v>44484</v>
      </c>
      <c r="D1878" t="s">
        <v>2197</v>
      </c>
      <c r="E1878" t="s">
        <v>2393</v>
      </c>
      <c r="F1878" t="s">
        <v>2199</v>
      </c>
      <c r="G1878">
        <v>931345438</v>
      </c>
      <c r="H1878"/>
      <c r="I1878"/>
      <c r="J1878"/>
      <c r="K1878" t="s">
        <v>2365</v>
      </c>
    </row>
    <row r="1879" spans="1:11">
      <c r="A1879">
        <v>44487</v>
      </c>
      <c r="B1879" t="s">
        <v>223</v>
      </c>
      <c r="C1879">
        <v>44484</v>
      </c>
      <c r="D1879" t="s">
        <v>2197</v>
      </c>
      <c r="E1879" t="s">
        <v>2394</v>
      </c>
      <c r="F1879" t="s">
        <v>2199</v>
      </c>
      <c r="G1879">
        <v>931345438</v>
      </c>
      <c r="H1879"/>
      <c r="I1879"/>
      <c r="J1879"/>
      <c r="K1879" t="s">
        <v>2363</v>
      </c>
    </row>
    <row r="1880" spans="1:11">
      <c r="A1880">
        <v>44487</v>
      </c>
      <c r="B1880" t="s">
        <v>223</v>
      </c>
      <c r="C1880">
        <v>44484</v>
      </c>
      <c r="D1880" t="s">
        <v>2197</v>
      </c>
      <c r="E1880" t="s">
        <v>2395</v>
      </c>
      <c r="F1880" t="s">
        <v>2199</v>
      </c>
      <c r="G1880">
        <v>931345438</v>
      </c>
      <c r="H1880"/>
      <c r="I1880"/>
      <c r="J1880"/>
      <c r="K1880" t="s">
        <v>2347</v>
      </c>
    </row>
    <row r="1881" spans="1:11">
      <c r="A1881">
        <v>44487</v>
      </c>
      <c r="B1881" t="s">
        <v>223</v>
      </c>
      <c r="C1881">
        <v>44484</v>
      </c>
      <c r="D1881" t="s">
        <v>2197</v>
      </c>
      <c r="E1881" t="s">
        <v>2396</v>
      </c>
      <c r="F1881" t="s">
        <v>2199</v>
      </c>
      <c r="G1881">
        <v>931345438</v>
      </c>
      <c r="H1881"/>
      <c r="I1881"/>
      <c r="J1881"/>
      <c r="K1881" t="s">
        <v>2351</v>
      </c>
    </row>
    <row r="1882" spans="1:11">
      <c r="A1882">
        <v>44487</v>
      </c>
      <c r="B1882" t="s">
        <v>223</v>
      </c>
      <c r="C1882">
        <v>44484</v>
      </c>
      <c r="D1882" t="s">
        <v>2197</v>
      </c>
      <c r="E1882" t="s">
        <v>2397</v>
      </c>
      <c r="F1882" t="s">
        <v>2199</v>
      </c>
      <c r="G1882">
        <v>931345438</v>
      </c>
      <c r="H1882"/>
      <c r="I1882"/>
      <c r="J1882"/>
      <c r="K1882" t="s">
        <v>2359</v>
      </c>
    </row>
    <row r="1883" spans="1:11">
      <c r="A1883">
        <v>44487</v>
      </c>
      <c r="B1883" t="s">
        <v>223</v>
      </c>
      <c r="C1883">
        <v>44484</v>
      </c>
      <c r="D1883" t="s">
        <v>2197</v>
      </c>
      <c r="E1883" t="s">
        <v>2398</v>
      </c>
      <c r="F1883" t="s">
        <v>2199</v>
      </c>
      <c r="G1883">
        <v>931345438</v>
      </c>
      <c r="H1883"/>
      <c r="I1883"/>
      <c r="J1883"/>
      <c r="K1883" t="s">
        <v>2357</v>
      </c>
    </row>
    <row r="1884" spans="1:11">
      <c r="A1884">
        <v>44487</v>
      </c>
      <c r="B1884" t="s">
        <v>223</v>
      </c>
      <c r="C1884">
        <v>44484</v>
      </c>
      <c r="D1884" t="s">
        <v>2197</v>
      </c>
      <c r="E1884" t="s">
        <v>2399</v>
      </c>
      <c r="F1884" t="s">
        <v>2199</v>
      </c>
      <c r="G1884">
        <v>931345438</v>
      </c>
      <c r="H1884"/>
      <c r="I1884"/>
      <c r="J1884"/>
      <c r="K1884" t="s">
        <v>2357</v>
      </c>
    </row>
    <row r="1885" spans="1:11">
      <c r="A1885">
        <v>44490</v>
      </c>
      <c r="B1885" t="s">
        <v>2221</v>
      </c>
      <c r="C1885">
        <v>44489</v>
      </c>
      <c r="D1885" t="s">
        <v>770</v>
      </c>
      <c r="E1885" t="s">
        <v>2400</v>
      </c>
      <c r="F1885" t="s">
        <v>202</v>
      </c>
      <c r="G1885" t="s">
        <v>2223</v>
      </c>
      <c r="H1885"/>
      <c r="I1885"/>
      <c r="J1885"/>
      <c r="K1885" t="s">
        <v>2357</v>
      </c>
    </row>
    <row r="1886" spans="1:11">
      <c r="A1886">
        <v>44490</v>
      </c>
      <c r="B1886" t="s">
        <v>2221</v>
      </c>
      <c r="C1886">
        <v>44489</v>
      </c>
      <c r="D1886" t="s">
        <v>770</v>
      </c>
      <c r="E1886" t="s">
        <v>2401</v>
      </c>
      <c r="F1886" t="s">
        <v>202</v>
      </c>
      <c r="G1886" t="s">
        <v>2223</v>
      </c>
      <c r="H1886"/>
      <c r="I1886"/>
      <c r="J1886"/>
      <c r="K1886" t="s">
        <v>2359</v>
      </c>
    </row>
    <row r="1887" spans="1:11">
      <c r="A1887">
        <v>44490</v>
      </c>
      <c r="B1887" t="s">
        <v>2221</v>
      </c>
      <c r="C1887">
        <v>44489</v>
      </c>
      <c r="D1887" t="s">
        <v>770</v>
      </c>
      <c r="E1887" t="s">
        <v>2402</v>
      </c>
      <c r="F1887" t="s">
        <v>202</v>
      </c>
      <c r="G1887" t="s">
        <v>2223</v>
      </c>
      <c r="H1887"/>
      <c r="I1887"/>
      <c r="J1887"/>
      <c r="K1887" t="s">
        <v>2363</v>
      </c>
    </row>
    <row r="1888" spans="1:11">
      <c r="A1888">
        <v>44490</v>
      </c>
      <c r="B1888" t="s">
        <v>2221</v>
      </c>
      <c r="C1888">
        <v>44489</v>
      </c>
      <c r="D1888" t="s">
        <v>770</v>
      </c>
      <c r="E1888" t="s">
        <v>2403</v>
      </c>
      <c r="F1888" t="s">
        <v>202</v>
      </c>
      <c r="G1888" t="s">
        <v>2223</v>
      </c>
      <c r="H1888"/>
      <c r="I1888"/>
      <c r="J1888"/>
      <c r="K1888" t="s">
        <v>2361</v>
      </c>
    </row>
    <row r="1889" spans="1:11">
      <c r="A1889">
        <v>44490</v>
      </c>
      <c r="B1889" t="s">
        <v>2221</v>
      </c>
      <c r="C1889">
        <v>44489</v>
      </c>
      <c r="D1889" t="s">
        <v>770</v>
      </c>
      <c r="E1889" t="s">
        <v>2404</v>
      </c>
      <c r="F1889" t="s">
        <v>202</v>
      </c>
      <c r="G1889" t="s">
        <v>2223</v>
      </c>
      <c r="H1889"/>
      <c r="I1889"/>
      <c r="J1889"/>
      <c r="K1889" t="s">
        <v>2365</v>
      </c>
    </row>
    <row r="1890" spans="1:11">
      <c r="A1890">
        <v>44490</v>
      </c>
      <c r="B1890" t="s">
        <v>2221</v>
      </c>
      <c r="C1890">
        <v>44489</v>
      </c>
      <c r="D1890" t="s">
        <v>770</v>
      </c>
      <c r="E1890" t="s">
        <v>2405</v>
      </c>
      <c r="F1890" t="s">
        <v>202</v>
      </c>
      <c r="G1890" t="s">
        <v>2223</v>
      </c>
      <c r="H1890"/>
      <c r="I1890"/>
      <c r="J1890"/>
      <c r="K1890" t="s">
        <v>2349</v>
      </c>
    </row>
    <row r="1891" spans="1:11">
      <c r="A1891">
        <v>44490</v>
      </c>
      <c r="B1891" t="s">
        <v>2221</v>
      </c>
      <c r="C1891">
        <v>44489</v>
      </c>
      <c r="D1891" t="s">
        <v>770</v>
      </c>
      <c r="E1891" t="s">
        <v>2406</v>
      </c>
      <c r="F1891" t="s">
        <v>202</v>
      </c>
      <c r="G1891" t="s">
        <v>2223</v>
      </c>
      <c r="H1891"/>
      <c r="I1891"/>
      <c r="J1891"/>
      <c r="K1891" t="s">
        <v>2351</v>
      </c>
    </row>
    <row r="1892" spans="1:11">
      <c r="A1892">
        <v>44490</v>
      </c>
      <c r="B1892" t="s">
        <v>2221</v>
      </c>
      <c r="C1892">
        <v>44489</v>
      </c>
      <c r="D1892" t="s">
        <v>770</v>
      </c>
      <c r="E1892" t="s">
        <v>2407</v>
      </c>
      <c r="F1892" t="s">
        <v>202</v>
      </c>
      <c r="G1892" t="s">
        <v>2223</v>
      </c>
      <c r="H1892"/>
      <c r="I1892"/>
      <c r="J1892"/>
      <c r="K1892" t="s">
        <v>2353</v>
      </c>
    </row>
    <row r="1893" spans="1:11">
      <c r="A1893">
        <v>44490</v>
      </c>
      <c r="B1893" t="s">
        <v>2221</v>
      </c>
      <c r="C1893">
        <v>44489</v>
      </c>
      <c r="D1893" t="s">
        <v>770</v>
      </c>
      <c r="E1893" t="s">
        <v>2408</v>
      </c>
      <c r="F1893" t="s">
        <v>202</v>
      </c>
      <c r="G1893" t="s">
        <v>2223</v>
      </c>
      <c r="H1893"/>
      <c r="I1893"/>
      <c r="J1893"/>
      <c r="K1893" t="s">
        <v>2347</v>
      </c>
    </row>
    <row r="1894" spans="1:11">
      <c r="A1894">
        <v>44490</v>
      </c>
      <c r="B1894" t="s">
        <v>2221</v>
      </c>
      <c r="C1894">
        <v>44489</v>
      </c>
      <c r="D1894" t="s">
        <v>770</v>
      </c>
      <c r="E1894" t="s">
        <v>2409</v>
      </c>
      <c r="F1894" t="s">
        <v>202</v>
      </c>
      <c r="G1894" t="s">
        <v>2223</v>
      </c>
      <c r="H1894"/>
      <c r="I1894"/>
      <c r="J1894"/>
      <c r="K1894" t="s">
        <v>2355</v>
      </c>
    </row>
    <row r="1895" spans="1:11">
      <c r="A1895">
        <v>44490</v>
      </c>
      <c r="B1895" t="s">
        <v>2221</v>
      </c>
      <c r="C1895">
        <v>44489</v>
      </c>
      <c r="D1895" t="s">
        <v>770</v>
      </c>
      <c r="E1895" t="s">
        <v>2410</v>
      </c>
      <c r="F1895" t="s">
        <v>202</v>
      </c>
      <c r="G1895" t="s">
        <v>2223</v>
      </c>
      <c r="H1895"/>
      <c r="I1895"/>
      <c r="J1895"/>
      <c r="K1895" t="s">
        <v>2367</v>
      </c>
    </row>
    <row r="1896" spans="1:11">
      <c r="A1896">
        <v>44502</v>
      </c>
      <c r="B1896">
        <v>23106489200</v>
      </c>
      <c r="C1896">
        <v>44498</v>
      </c>
      <c r="D1896" t="s">
        <v>980</v>
      </c>
      <c r="E1896" t="s">
        <v>2411</v>
      </c>
      <c r="F1896" t="s">
        <v>264</v>
      </c>
      <c r="G1896" t="s">
        <v>2242</v>
      </c>
      <c r="H1896"/>
      <c r="I1896"/>
      <c r="J1896"/>
      <c r="K1896" t="s">
        <v>2363</v>
      </c>
    </row>
    <row r="1897" spans="1:11">
      <c r="A1897">
        <v>44502</v>
      </c>
      <c r="B1897">
        <v>23106489200</v>
      </c>
      <c r="C1897">
        <v>44498</v>
      </c>
      <c r="D1897" t="s">
        <v>980</v>
      </c>
      <c r="E1897" t="s">
        <v>2412</v>
      </c>
      <c r="F1897" t="s">
        <v>264</v>
      </c>
      <c r="G1897" t="s">
        <v>2242</v>
      </c>
      <c r="H1897"/>
      <c r="I1897"/>
      <c r="J1897"/>
      <c r="K1897" t="s">
        <v>2363</v>
      </c>
    </row>
    <row r="1898" spans="1:11">
      <c r="A1898">
        <v>44502</v>
      </c>
      <c r="B1898">
        <v>23106489200</v>
      </c>
      <c r="C1898">
        <v>44498</v>
      </c>
      <c r="D1898" t="s">
        <v>980</v>
      </c>
      <c r="E1898" t="s">
        <v>2413</v>
      </c>
      <c r="F1898" t="s">
        <v>264</v>
      </c>
      <c r="G1898" t="s">
        <v>2242</v>
      </c>
      <c r="H1898"/>
      <c r="I1898"/>
      <c r="J1898"/>
      <c r="K1898" t="s">
        <v>2361</v>
      </c>
    </row>
    <row r="1899" spans="1:11">
      <c r="A1899">
        <v>44502</v>
      </c>
      <c r="B1899">
        <v>23106489200</v>
      </c>
      <c r="C1899">
        <v>44498</v>
      </c>
      <c r="D1899" t="s">
        <v>980</v>
      </c>
      <c r="E1899" t="s">
        <v>2414</v>
      </c>
      <c r="F1899" t="s">
        <v>264</v>
      </c>
      <c r="G1899" t="s">
        <v>2242</v>
      </c>
      <c r="H1899"/>
      <c r="I1899"/>
      <c r="J1899"/>
      <c r="K1899" t="s">
        <v>2361</v>
      </c>
    </row>
    <row r="1900" spans="1:11">
      <c r="A1900">
        <v>44502</v>
      </c>
      <c r="B1900">
        <v>23106489200</v>
      </c>
      <c r="C1900">
        <v>44498</v>
      </c>
      <c r="D1900" t="s">
        <v>980</v>
      </c>
      <c r="E1900" t="s">
        <v>2415</v>
      </c>
      <c r="F1900" t="s">
        <v>264</v>
      </c>
      <c r="G1900" t="s">
        <v>2242</v>
      </c>
      <c r="H1900"/>
      <c r="I1900"/>
      <c r="J1900"/>
      <c r="K1900" t="s">
        <v>2365</v>
      </c>
    </row>
    <row r="1901" spans="1:11">
      <c r="A1901">
        <v>44502</v>
      </c>
      <c r="B1901">
        <v>23106489200</v>
      </c>
      <c r="C1901">
        <v>44498</v>
      </c>
      <c r="D1901" t="s">
        <v>980</v>
      </c>
      <c r="E1901" t="s">
        <v>2416</v>
      </c>
      <c r="F1901" t="s">
        <v>264</v>
      </c>
      <c r="G1901" t="s">
        <v>2242</v>
      </c>
      <c r="H1901"/>
      <c r="I1901"/>
      <c r="J1901"/>
      <c r="K1901" t="s">
        <v>2365</v>
      </c>
    </row>
    <row r="1902" spans="1:11">
      <c r="A1902">
        <v>44502</v>
      </c>
      <c r="B1902">
        <v>23106489200</v>
      </c>
      <c r="C1902">
        <v>44498</v>
      </c>
      <c r="D1902" t="s">
        <v>980</v>
      </c>
      <c r="E1902" t="s">
        <v>2417</v>
      </c>
      <c r="F1902" t="s">
        <v>264</v>
      </c>
      <c r="G1902" t="s">
        <v>2242</v>
      </c>
      <c r="H1902"/>
      <c r="I1902"/>
      <c r="J1902"/>
      <c r="K1902" t="s">
        <v>2367</v>
      </c>
    </row>
    <row r="1903" spans="1:11">
      <c r="A1903">
        <v>44502</v>
      </c>
      <c r="B1903">
        <v>23106489200</v>
      </c>
      <c r="C1903">
        <v>44498</v>
      </c>
      <c r="D1903" t="s">
        <v>980</v>
      </c>
      <c r="E1903" t="s">
        <v>2418</v>
      </c>
      <c r="F1903" t="s">
        <v>264</v>
      </c>
      <c r="G1903" t="s">
        <v>2242</v>
      </c>
      <c r="H1903"/>
      <c r="I1903"/>
      <c r="J1903"/>
      <c r="K1903" t="s">
        <v>2367</v>
      </c>
    </row>
    <row r="1904" spans="1:11">
      <c r="A1904">
        <v>44502</v>
      </c>
      <c r="B1904">
        <v>23106489200</v>
      </c>
      <c r="C1904">
        <v>44498</v>
      </c>
      <c r="D1904" t="s">
        <v>980</v>
      </c>
      <c r="E1904" t="s">
        <v>2419</v>
      </c>
      <c r="F1904" t="s">
        <v>264</v>
      </c>
      <c r="G1904" t="s">
        <v>2242</v>
      </c>
      <c r="H1904"/>
      <c r="I1904"/>
      <c r="J1904"/>
      <c r="K1904" t="s">
        <v>2357</v>
      </c>
    </row>
    <row r="1905" spans="1:11">
      <c r="A1905">
        <v>44502</v>
      </c>
      <c r="B1905">
        <v>23106489200</v>
      </c>
      <c r="C1905">
        <v>44498</v>
      </c>
      <c r="D1905" t="s">
        <v>980</v>
      </c>
      <c r="E1905" t="s">
        <v>2420</v>
      </c>
      <c r="F1905" t="s">
        <v>264</v>
      </c>
      <c r="G1905" t="s">
        <v>2242</v>
      </c>
      <c r="H1905"/>
      <c r="I1905"/>
      <c r="J1905"/>
      <c r="K1905" t="s">
        <v>2357</v>
      </c>
    </row>
    <row r="1906" spans="1:11">
      <c r="A1906">
        <v>44502</v>
      </c>
      <c r="B1906">
        <v>23106489200</v>
      </c>
      <c r="C1906">
        <v>44498</v>
      </c>
      <c r="D1906" t="s">
        <v>980</v>
      </c>
      <c r="E1906" t="s">
        <v>2421</v>
      </c>
      <c r="F1906" t="s">
        <v>264</v>
      </c>
      <c r="G1906" t="s">
        <v>2242</v>
      </c>
      <c r="H1906"/>
      <c r="I1906"/>
      <c r="J1906"/>
      <c r="K1906" t="s">
        <v>2351</v>
      </c>
    </row>
    <row r="1907" spans="1:11">
      <c r="A1907">
        <v>44502</v>
      </c>
      <c r="B1907">
        <v>23106489200</v>
      </c>
      <c r="C1907">
        <v>44498</v>
      </c>
      <c r="D1907" t="s">
        <v>980</v>
      </c>
      <c r="E1907" t="s">
        <v>2422</v>
      </c>
      <c r="F1907" t="s">
        <v>264</v>
      </c>
      <c r="G1907" t="s">
        <v>2242</v>
      </c>
      <c r="H1907"/>
      <c r="I1907"/>
      <c r="J1907"/>
      <c r="K1907" t="s">
        <v>2351</v>
      </c>
    </row>
    <row r="1908" spans="1:11">
      <c r="A1908">
        <v>44502</v>
      </c>
      <c r="B1908">
        <v>23106489200</v>
      </c>
      <c r="C1908">
        <v>44498</v>
      </c>
      <c r="D1908" t="s">
        <v>980</v>
      </c>
      <c r="E1908" t="s">
        <v>2423</v>
      </c>
      <c r="F1908" t="s">
        <v>264</v>
      </c>
      <c r="G1908" t="s">
        <v>2242</v>
      </c>
      <c r="H1908"/>
      <c r="I1908"/>
      <c r="J1908"/>
      <c r="K1908" t="s">
        <v>2353</v>
      </c>
    </row>
    <row r="1909" spans="1:11">
      <c r="A1909">
        <v>44502</v>
      </c>
      <c r="B1909">
        <v>23106489200</v>
      </c>
      <c r="C1909">
        <v>44498</v>
      </c>
      <c r="D1909" t="s">
        <v>980</v>
      </c>
      <c r="E1909" t="s">
        <v>2424</v>
      </c>
      <c r="F1909" t="s">
        <v>264</v>
      </c>
      <c r="G1909" t="s">
        <v>2242</v>
      </c>
      <c r="H1909"/>
      <c r="I1909"/>
      <c r="J1909"/>
      <c r="K1909" t="s">
        <v>2349</v>
      </c>
    </row>
    <row r="1910" spans="1:11">
      <c r="A1910">
        <v>44502</v>
      </c>
      <c r="B1910">
        <v>23106489200</v>
      </c>
      <c r="C1910">
        <v>44498</v>
      </c>
      <c r="D1910" t="s">
        <v>980</v>
      </c>
      <c r="E1910" t="s">
        <v>2425</v>
      </c>
      <c r="F1910" t="s">
        <v>264</v>
      </c>
      <c r="G1910" t="s">
        <v>2242</v>
      </c>
      <c r="H1910"/>
      <c r="I1910"/>
      <c r="J1910"/>
      <c r="K1910" t="s">
        <v>2359</v>
      </c>
    </row>
    <row r="1911" spans="1:11">
      <c r="A1911">
        <v>44502</v>
      </c>
      <c r="B1911">
        <v>23106489200</v>
      </c>
      <c r="C1911">
        <v>44498</v>
      </c>
      <c r="D1911" t="s">
        <v>980</v>
      </c>
      <c r="E1911" t="s">
        <v>2426</v>
      </c>
      <c r="F1911" t="s">
        <v>264</v>
      </c>
      <c r="G1911" t="s">
        <v>2242</v>
      </c>
      <c r="H1911"/>
      <c r="I1911"/>
      <c r="J1911"/>
      <c r="K1911" t="s">
        <v>2359</v>
      </c>
    </row>
    <row r="1912" spans="1:11">
      <c r="A1912">
        <v>44502</v>
      </c>
      <c r="B1912">
        <v>23106489200</v>
      </c>
      <c r="C1912">
        <v>44498</v>
      </c>
      <c r="D1912" t="s">
        <v>980</v>
      </c>
      <c r="E1912" t="s">
        <v>2427</v>
      </c>
      <c r="F1912" t="s">
        <v>264</v>
      </c>
      <c r="G1912" t="s">
        <v>2242</v>
      </c>
      <c r="H1912"/>
      <c r="I1912"/>
      <c r="J1912"/>
      <c r="K1912" t="s">
        <v>2347</v>
      </c>
    </row>
    <row r="1913" spans="1:11">
      <c r="A1913">
        <v>44502</v>
      </c>
      <c r="B1913">
        <v>23106489200</v>
      </c>
      <c r="C1913">
        <v>44498</v>
      </c>
      <c r="D1913" t="s">
        <v>980</v>
      </c>
      <c r="E1913" t="s">
        <v>2428</v>
      </c>
      <c r="F1913" t="s">
        <v>264</v>
      </c>
      <c r="G1913" t="s">
        <v>2242</v>
      </c>
      <c r="H1913"/>
      <c r="I1913"/>
      <c r="J1913"/>
      <c r="K1913" t="s">
        <v>2355</v>
      </c>
    </row>
    <row r="1914" spans="1:11">
      <c r="A1914">
        <v>44502</v>
      </c>
      <c r="B1914">
        <v>23106489200</v>
      </c>
      <c r="C1914">
        <v>44498</v>
      </c>
      <c r="D1914" t="s">
        <v>980</v>
      </c>
      <c r="E1914" t="s">
        <v>2429</v>
      </c>
      <c r="F1914" t="s">
        <v>264</v>
      </c>
      <c r="G1914" t="s">
        <v>2242</v>
      </c>
      <c r="H1914"/>
      <c r="I1914"/>
      <c r="J1914"/>
      <c r="K1914" t="s">
        <v>2355</v>
      </c>
    </row>
    <row r="1915" spans="1:11">
      <c r="A1915">
        <v>44502</v>
      </c>
      <c r="B1915">
        <v>23106489200</v>
      </c>
      <c r="C1915">
        <v>44498</v>
      </c>
      <c r="D1915" t="s">
        <v>980</v>
      </c>
      <c r="E1915" t="s">
        <v>2430</v>
      </c>
      <c r="F1915" t="s">
        <v>264</v>
      </c>
      <c r="G1915" t="s">
        <v>2242</v>
      </c>
      <c r="H1915"/>
      <c r="I1915"/>
      <c r="J1915"/>
      <c r="K1915" t="s">
        <v>2349</v>
      </c>
    </row>
    <row r="1916" spans="1:11">
      <c r="A1916">
        <v>44502</v>
      </c>
      <c r="B1916">
        <v>23106489200</v>
      </c>
      <c r="C1916">
        <v>44498</v>
      </c>
      <c r="D1916" t="s">
        <v>980</v>
      </c>
      <c r="E1916" t="s">
        <v>2431</v>
      </c>
      <c r="F1916" t="s">
        <v>264</v>
      </c>
      <c r="G1916" t="s">
        <v>2242</v>
      </c>
      <c r="H1916"/>
      <c r="I1916"/>
      <c r="J1916"/>
      <c r="K1916" t="s">
        <v>2347</v>
      </c>
    </row>
    <row r="1917" spans="1:11">
      <c r="A1917">
        <v>44502</v>
      </c>
      <c r="B1917">
        <v>23106489200</v>
      </c>
      <c r="C1917">
        <v>44498</v>
      </c>
      <c r="D1917" t="s">
        <v>980</v>
      </c>
      <c r="E1917" t="s">
        <v>2432</v>
      </c>
      <c r="F1917" t="s">
        <v>264</v>
      </c>
      <c r="G1917" t="s">
        <v>2242</v>
      </c>
      <c r="H1917"/>
      <c r="I1917"/>
      <c r="J1917"/>
      <c r="K1917" t="s">
        <v>2353</v>
      </c>
    </row>
    <row r="1918" spans="1:11">
      <c r="A1918">
        <v>44502</v>
      </c>
      <c r="B1918" t="s">
        <v>223</v>
      </c>
      <c r="C1918">
        <v>44498</v>
      </c>
      <c r="D1918" t="s">
        <v>777</v>
      </c>
      <c r="E1918" t="s">
        <v>2433</v>
      </c>
      <c r="F1918" t="s">
        <v>210</v>
      </c>
      <c r="G1918">
        <v>931354251</v>
      </c>
      <c r="H1918"/>
      <c r="I1918"/>
      <c r="J1918"/>
      <c r="K1918" t="s">
        <v>2357</v>
      </c>
    </row>
    <row r="1919" spans="1:11">
      <c r="A1919"/>
      <c r="B1919"/>
      <c r="C1919"/>
      <c r="D1919" t="s">
        <v>779</v>
      </c>
      <c r="E1919" t="s">
        <v>2434</v>
      </c>
      <c r="F1919"/>
      <c r="G1919"/>
      <c r="H1919"/>
      <c r="I1919"/>
      <c r="J1919"/>
      <c r="K1919" t="s">
        <v>2357</v>
      </c>
    </row>
    <row r="1920" spans="1:11">
      <c r="A1920"/>
      <c r="B1920"/>
      <c r="C1920"/>
      <c r="D1920" t="s">
        <v>779</v>
      </c>
      <c r="E1920" t="s">
        <v>2435</v>
      </c>
      <c r="F1920"/>
      <c r="G1920"/>
      <c r="H1920"/>
      <c r="I1920"/>
      <c r="J1920"/>
      <c r="K1920" t="s">
        <v>2357</v>
      </c>
    </row>
    <row r="1921" spans="1:11">
      <c r="A1921"/>
      <c r="B1921"/>
      <c r="C1921"/>
      <c r="D1921" t="s">
        <v>782</v>
      </c>
      <c r="E1921" t="s">
        <v>2436</v>
      </c>
      <c r="F1921"/>
      <c r="G1921"/>
      <c r="H1921"/>
      <c r="I1921"/>
      <c r="J1921"/>
      <c r="K1921" t="s">
        <v>2357</v>
      </c>
    </row>
    <row r="1922" spans="1:11">
      <c r="A1922">
        <v>44502</v>
      </c>
      <c r="B1922" t="s">
        <v>223</v>
      </c>
      <c r="C1922">
        <v>44498</v>
      </c>
      <c r="D1922" t="s">
        <v>777</v>
      </c>
      <c r="E1922" t="s">
        <v>2437</v>
      </c>
      <c r="F1922" t="s">
        <v>210</v>
      </c>
      <c r="G1922">
        <v>931354251</v>
      </c>
      <c r="H1922"/>
      <c r="I1922"/>
      <c r="J1922"/>
      <c r="K1922" t="s">
        <v>2351</v>
      </c>
    </row>
    <row r="1923" spans="1:11">
      <c r="A1923"/>
      <c r="B1923"/>
      <c r="C1923"/>
      <c r="D1923" t="s">
        <v>779</v>
      </c>
      <c r="E1923" t="s">
        <v>2438</v>
      </c>
      <c r="F1923"/>
      <c r="G1923"/>
      <c r="H1923"/>
      <c r="I1923"/>
      <c r="J1923"/>
      <c r="K1923" t="s">
        <v>2351</v>
      </c>
    </row>
    <row r="1924" spans="1:11">
      <c r="A1924"/>
      <c r="B1924"/>
      <c r="C1924"/>
      <c r="D1924" t="s">
        <v>779</v>
      </c>
      <c r="E1924" t="s">
        <v>2439</v>
      </c>
      <c r="F1924"/>
      <c r="G1924"/>
      <c r="H1924"/>
      <c r="I1924"/>
      <c r="J1924"/>
      <c r="K1924" t="s">
        <v>2351</v>
      </c>
    </row>
    <row r="1925" spans="1:11">
      <c r="A1925"/>
      <c r="B1925"/>
      <c r="C1925"/>
      <c r="D1925" t="s">
        <v>782</v>
      </c>
      <c r="E1925" t="s">
        <v>2440</v>
      </c>
      <c r="F1925"/>
      <c r="G1925"/>
      <c r="H1925"/>
      <c r="I1925"/>
      <c r="J1925"/>
      <c r="K1925" t="s">
        <v>2351</v>
      </c>
    </row>
    <row r="1926" spans="1:11">
      <c r="A1926">
        <v>44502</v>
      </c>
      <c r="B1926" t="s">
        <v>223</v>
      </c>
      <c r="C1926">
        <v>44498</v>
      </c>
      <c r="D1926" t="s">
        <v>777</v>
      </c>
      <c r="E1926" t="s">
        <v>2441</v>
      </c>
      <c r="F1926" t="s">
        <v>210</v>
      </c>
      <c r="G1926">
        <v>931354251</v>
      </c>
      <c r="H1926"/>
      <c r="I1926"/>
      <c r="J1926"/>
      <c r="K1926" t="s">
        <v>2353</v>
      </c>
    </row>
    <row r="1927" spans="1:11">
      <c r="A1927"/>
      <c r="B1927"/>
      <c r="C1927"/>
      <c r="D1927" t="s">
        <v>779</v>
      </c>
      <c r="E1927" t="s">
        <v>2442</v>
      </c>
      <c r="F1927"/>
      <c r="G1927"/>
      <c r="H1927"/>
      <c r="I1927"/>
      <c r="J1927"/>
      <c r="K1927" t="s">
        <v>2353</v>
      </c>
    </row>
    <row r="1928" spans="1:11">
      <c r="A1928"/>
      <c r="B1928"/>
      <c r="C1928"/>
      <c r="D1928" t="s">
        <v>779</v>
      </c>
      <c r="E1928" t="s">
        <v>2443</v>
      </c>
      <c r="F1928"/>
      <c r="G1928"/>
      <c r="H1928"/>
      <c r="I1928"/>
      <c r="J1928"/>
      <c r="K1928" t="s">
        <v>2353</v>
      </c>
    </row>
    <row r="1929" spans="1:11">
      <c r="A1929"/>
      <c r="B1929"/>
      <c r="C1929"/>
      <c r="D1929" t="s">
        <v>782</v>
      </c>
      <c r="E1929" t="s">
        <v>2444</v>
      </c>
      <c r="F1929"/>
      <c r="G1929"/>
      <c r="H1929"/>
      <c r="I1929"/>
      <c r="J1929"/>
      <c r="K1929" t="s">
        <v>2353</v>
      </c>
    </row>
    <row r="1930" spans="1:11">
      <c r="A1930">
        <v>44502</v>
      </c>
      <c r="B1930" t="s">
        <v>223</v>
      </c>
      <c r="C1930">
        <v>44498</v>
      </c>
      <c r="D1930" t="s">
        <v>777</v>
      </c>
      <c r="E1930" t="s">
        <v>2445</v>
      </c>
      <c r="F1930" t="s">
        <v>210</v>
      </c>
      <c r="G1930">
        <v>931354251</v>
      </c>
      <c r="H1930"/>
      <c r="I1930"/>
      <c r="J1930"/>
      <c r="K1930" t="s">
        <v>2347</v>
      </c>
    </row>
    <row r="1931" spans="1:11">
      <c r="A1931"/>
      <c r="B1931"/>
      <c r="C1931"/>
      <c r="D1931" t="s">
        <v>779</v>
      </c>
      <c r="E1931" t="s">
        <v>2446</v>
      </c>
      <c r="F1931"/>
      <c r="G1931"/>
      <c r="H1931"/>
      <c r="I1931"/>
      <c r="J1931"/>
      <c r="K1931" t="s">
        <v>2347</v>
      </c>
    </row>
    <row r="1932" spans="1:11">
      <c r="A1932"/>
      <c r="B1932"/>
      <c r="C1932"/>
      <c r="D1932" t="s">
        <v>779</v>
      </c>
      <c r="E1932" t="s">
        <v>2447</v>
      </c>
      <c r="F1932"/>
      <c r="G1932"/>
      <c r="H1932"/>
      <c r="I1932"/>
      <c r="J1932"/>
      <c r="K1932" t="s">
        <v>2347</v>
      </c>
    </row>
    <row r="1933" spans="1:11">
      <c r="A1933"/>
      <c r="B1933"/>
      <c r="C1933"/>
      <c r="D1933" t="s">
        <v>782</v>
      </c>
      <c r="E1933" t="s">
        <v>2448</v>
      </c>
      <c r="F1933"/>
      <c r="G1933"/>
      <c r="H1933"/>
      <c r="I1933"/>
      <c r="J1933"/>
      <c r="K1933" t="s">
        <v>2347</v>
      </c>
    </row>
    <row r="1934" spans="1:11">
      <c r="A1934">
        <v>44502</v>
      </c>
      <c r="B1934" t="s">
        <v>223</v>
      </c>
      <c r="C1934">
        <v>44498</v>
      </c>
      <c r="D1934" t="s">
        <v>777</v>
      </c>
      <c r="E1934" t="s">
        <v>2449</v>
      </c>
      <c r="F1934" t="s">
        <v>210</v>
      </c>
      <c r="G1934">
        <v>931354251</v>
      </c>
      <c r="H1934"/>
      <c r="I1934"/>
      <c r="J1934"/>
      <c r="K1934" t="s">
        <v>2355</v>
      </c>
    </row>
    <row r="1935" spans="1:11">
      <c r="A1935"/>
      <c r="B1935"/>
      <c r="C1935"/>
      <c r="D1935" t="s">
        <v>779</v>
      </c>
      <c r="E1935" t="s">
        <v>2450</v>
      </c>
      <c r="F1935"/>
      <c r="G1935"/>
      <c r="H1935"/>
      <c r="I1935"/>
      <c r="J1935"/>
      <c r="K1935" t="s">
        <v>2355</v>
      </c>
    </row>
    <row r="1936" spans="1:11">
      <c r="A1936"/>
      <c r="B1936"/>
      <c r="C1936"/>
      <c r="D1936" t="s">
        <v>779</v>
      </c>
      <c r="E1936" t="s">
        <v>2451</v>
      </c>
      <c r="F1936"/>
      <c r="G1936"/>
      <c r="H1936"/>
      <c r="I1936"/>
      <c r="J1936"/>
      <c r="K1936" t="s">
        <v>2355</v>
      </c>
    </row>
    <row r="1937" spans="1:11">
      <c r="A1937"/>
      <c r="B1937"/>
      <c r="C1937"/>
      <c r="D1937" t="s">
        <v>782</v>
      </c>
      <c r="E1937" t="s">
        <v>2452</v>
      </c>
      <c r="F1937"/>
      <c r="G1937"/>
      <c r="H1937"/>
      <c r="I1937"/>
      <c r="J1937"/>
      <c r="K1937" t="s">
        <v>2355</v>
      </c>
    </row>
    <row r="1938" spans="1:11">
      <c r="A1938">
        <v>44502</v>
      </c>
      <c r="B1938" t="s">
        <v>223</v>
      </c>
      <c r="C1938">
        <v>44498</v>
      </c>
      <c r="D1938" t="s">
        <v>777</v>
      </c>
      <c r="E1938" t="s">
        <v>2453</v>
      </c>
      <c r="F1938" t="s">
        <v>210</v>
      </c>
      <c r="G1938">
        <v>931354251</v>
      </c>
      <c r="H1938"/>
      <c r="I1938"/>
      <c r="J1938"/>
      <c r="K1938" t="s">
        <v>2349</v>
      </c>
    </row>
    <row r="1939" spans="1:11">
      <c r="A1939"/>
      <c r="B1939"/>
      <c r="C1939"/>
      <c r="D1939" t="s">
        <v>779</v>
      </c>
      <c r="E1939" t="s">
        <v>2454</v>
      </c>
      <c r="F1939"/>
      <c r="G1939"/>
      <c r="H1939"/>
      <c r="I1939"/>
      <c r="J1939"/>
      <c r="K1939" t="s">
        <v>2349</v>
      </c>
    </row>
    <row r="1940" spans="1:11">
      <c r="A1940"/>
      <c r="B1940"/>
      <c r="C1940"/>
      <c r="D1940" t="s">
        <v>779</v>
      </c>
      <c r="E1940" t="s">
        <v>2455</v>
      </c>
      <c r="F1940"/>
      <c r="G1940"/>
      <c r="H1940"/>
      <c r="I1940"/>
      <c r="J1940"/>
      <c r="K1940" t="s">
        <v>2349</v>
      </c>
    </row>
    <row r="1941" spans="1:11">
      <c r="A1941"/>
      <c r="B1941"/>
      <c r="C1941"/>
      <c r="D1941" t="s">
        <v>782</v>
      </c>
      <c r="E1941" t="s">
        <v>2456</v>
      </c>
      <c r="F1941"/>
      <c r="G1941"/>
      <c r="H1941"/>
      <c r="I1941"/>
      <c r="J1941"/>
      <c r="K1941" t="s">
        <v>2349</v>
      </c>
    </row>
    <row r="1942" spans="1:11">
      <c r="A1942">
        <v>44502</v>
      </c>
      <c r="B1942" t="s">
        <v>223</v>
      </c>
      <c r="C1942">
        <v>44498</v>
      </c>
      <c r="D1942" t="s">
        <v>777</v>
      </c>
      <c r="E1942" t="s">
        <v>2457</v>
      </c>
      <c r="F1942" t="s">
        <v>210</v>
      </c>
      <c r="G1942">
        <v>931354251</v>
      </c>
      <c r="H1942"/>
      <c r="I1942"/>
      <c r="J1942"/>
      <c r="K1942" t="s">
        <v>2359</v>
      </c>
    </row>
    <row r="1943" spans="1:11">
      <c r="A1943"/>
      <c r="B1943"/>
      <c r="C1943"/>
      <c r="D1943" t="s">
        <v>779</v>
      </c>
      <c r="E1943" t="s">
        <v>2458</v>
      </c>
      <c r="F1943"/>
      <c r="G1943"/>
      <c r="H1943"/>
      <c r="I1943"/>
      <c r="J1943"/>
      <c r="K1943" t="s">
        <v>2359</v>
      </c>
    </row>
    <row r="1944" spans="1:11">
      <c r="A1944"/>
      <c r="B1944"/>
      <c r="C1944"/>
      <c r="D1944" t="s">
        <v>779</v>
      </c>
      <c r="E1944" t="s">
        <v>2459</v>
      </c>
      <c r="F1944"/>
      <c r="G1944"/>
      <c r="H1944"/>
      <c r="I1944"/>
      <c r="J1944"/>
      <c r="K1944" t="s">
        <v>2359</v>
      </c>
    </row>
    <row r="1945" spans="1:11">
      <c r="A1945"/>
      <c r="B1945"/>
      <c r="C1945"/>
      <c r="D1945" t="s">
        <v>782</v>
      </c>
      <c r="E1945" t="s">
        <v>2460</v>
      </c>
      <c r="F1945"/>
      <c r="G1945"/>
      <c r="H1945"/>
      <c r="I1945"/>
      <c r="J1945"/>
      <c r="K1945" t="s">
        <v>2359</v>
      </c>
    </row>
    <row r="1946" spans="1:11">
      <c r="A1946">
        <v>44502</v>
      </c>
      <c r="B1946" t="s">
        <v>223</v>
      </c>
      <c r="C1946">
        <v>44498</v>
      </c>
      <c r="D1946" t="s">
        <v>777</v>
      </c>
      <c r="E1946" t="s">
        <v>2461</v>
      </c>
      <c r="F1946" t="s">
        <v>210</v>
      </c>
      <c r="G1946">
        <v>931354251</v>
      </c>
      <c r="H1946"/>
      <c r="I1946"/>
      <c r="J1946"/>
      <c r="K1946" t="s">
        <v>2367</v>
      </c>
    </row>
    <row r="1947" spans="1:11">
      <c r="A1947"/>
      <c r="B1947"/>
      <c r="C1947"/>
      <c r="D1947" t="s">
        <v>779</v>
      </c>
      <c r="E1947" t="s">
        <v>2462</v>
      </c>
      <c r="F1947"/>
      <c r="G1947"/>
      <c r="H1947"/>
      <c r="I1947"/>
      <c r="J1947"/>
      <c r="K1947" t="s">
        <v>2367</v>
      </c>
    </row>
    <row r="1948" spans="1:11">
      <c r="A1948"/>
      <c r="B1948"/>
      <c r="C1948"/>
      <c r="D1948" t="s">
        <v>779</v>
      </c>
      <c r="E1948" t="s">
        <v>2463</v>
      </c>
      <c r="F1948"/>
      <c r="G1948"/>
      <c r="H1948"/>
      <c r="I1948"/>
      <c r="J1948"/>
      <c r="K1948" t="s">
        <v>2367</v>
      </c>
    </row>
    <row r="1949" spans="1:11">
      <c r="A1949"/>
      <c r="B1949"/>
      <c r="C1949"/>
      <c r="D1949" t="s">
        <v>782</v>
      </c>
      <c r="E1949" t="s">
        <v>2464</v>
      </c>
      <c r="F1949"/>
      <c r="G1949"/>
      <c r="H1949"/>
      <c r="I1949"/>
      <c r="J1949"/>
      <c r="K1949" t="s">
        <v>2367</v>
      </c>
    </row>
    <row r="1950" spans="1:11">
      <c r="A1950">
        <v>44502</v>
      </c>
      <c r="B1950" t="s">
        <v>223</v>
      </c>
      <c r="C1950">
        <v>44498</v>
      </c>
      <c r="D1950" t="s">
        <v>777</v>
      </c>
      <c r="E1950" t="s">
        <v>2465</v>
      </c>
      <c r="F1950" t="s">
        <v>210</v>
      </c>
      <c r="G1950">
        <v>931354251</v>
      </c>
      <c r="H1950"/>
      <c r="I1950"/>
      <c r="J1950"/>
      <c r="K1950" t="s">
        <v>2363</v>
      </c>
    </row>
    <row r="1951" spans="1:11">
      <c r="A1951"/>
      <c r="B1951"/>
      <c r="C1951"/>
      <c r="D1951" t="s">
        <v>779</v>
      </c>
      <c r="E1951" t="s">
        <v>2466</v>
      </c>
      <c r="F1951"/>
      <c r="G1951"/>
      <c r="H1951"/>
      <c r="I1951"/>
      <c r="J1951"/>
      <c r="K1951" t="s">
        <v>2363</v>
      </c>
    </row>
    <row r="1952" spans="1:11">
      <c r="A1952"/>
      <c r="B1952"/>
      <c r="C1952"/>
      <c r="D1952" t="s">
        <v>779</v>
      </c>
      <c r="E1952" t="s">
        <v>2467</v>
      </c>
      <c r="F1952"/>
      <c r="G1952"/>
      <c r="H1952"/>
      <c r="I1952"/>
      <c r="J1952"/>
      <c r="K1952" t="s">
        <v>2363</v>
      </c>
    </row>
    <row r="1953" spans="1:11">
      <c r="A1953"/>
      <c r="B1953"/>
      <c r="C1953"/>
      <c r="D1953" t="s">
        <v>782</v>
      </c>
      <c r="E1953" t="s">
        <v>2468</v>
      </c>
      <c r="F1953"/>
      <c r="G1953"/>
      <c r="H1953"/>
      <c r="I1953"/>
      <c r="J1953"/>
      <c r="K1953" t="s">
        <v>2363</v>
      </c>
    </row>
    <row r="1954" spans="1:11">
      <c r="A1954">
        <v>44502</v>
      </c>
      <c r="B1954" t="s">
        <v>223</v>
      </c>
      <c r="C1954">
        <v>44498</v>
      </c>
      <c r="D1954" t="s">
        <v>777</v>
      </c>
      <c r="E1954" t="s">
        <v>2469</v>
      </c>
      <c r="F1954" t="s">
        <v>210</v>
      </c>
      <c r="G1954">
        <v>931354251</v>
      </c>
      <c r="H1954"/>
      <c r="I1954"/>
      <c r="J1954"/>
      <c r="K1954" t="s">
        <v>2361</v>
      </c>
    </row>
    <row r="1955" spans="1:11">
      <c r="A1955"/>
      <c r="B1955"/>
      <c r="C1955"/>
      <c r="D1955" t="s">
        <v>779</v>
      </c>
      <c r="E1955" t="s">
        <v>2470</v>
      </c>
      <c r="F1955"/>
      <c r="G1955"/>
      <c r="H1955"/>
      <c r="I1955"/>
      <c r="J1955"/>
      <c r="K1955" t="s">
        <v>2361</v>
      </c>
    </row>
    <row r="1956" spans="1:11">
      <c r="A1956"/>
      <c r="B1956"/>
      <c r="C1956"/>
      <c r="D1956" t="s">
        <v>779</v>
      </c>
      <c r="E1956" t="s">
        <v>2471</v>
      </c>
      <c r="F1956"/>
      <c r="G1956"/>
      <c r="H1956"/>
      <c r="I1956"/>
      <c r="J1956"/>
      <c r="K1956" t="s">
        <v>2361</v>
      </c>
    </row>
    <row r="1957" spans="1:11">
      <c r="A1957"/>
      <c r="B1957"/>
      <c r="C1957"/>
      <c r="D1957" t="s">
        <v>782</v>
      </c>
      <c r="E1957" t="s">
        <v>2472</v>
      </c>
      <c r="F1957"/>
      <c r="G1957"/>
      <c r="H1957"/>
      <c r="I1957"/>
      <c r="J1957"/>
      <c r="K1957" t="s">
        <v>2361</v>
      </c>
    </row>
    <row r="1958" spans="1:11">
      <c r="A1958">
        <v>44502</v>
      </c>
      <c r="B1958" t="s">
        <v>223</v>
      </c>
      <c r="C1958">
        <v>44498</v>
      </c>
      <c r="D1958" t="s">
        <v>777</v>
      </c>
      <c r="E1958" t="s">
        <v>2473</v>
      </c>
      <c r="F1958" t="s">
        <v>210</v>
      </c>
      <c r="G1958">
        <v>931354251</v>
      </c>
      <c r="H1958"/>
      <c r="I1958"/>
      <c r="J1958"/>
      <c r="K1958" t="s">
        <v>2365</v>
      </c>
    </row>
    <row r="1959" spans="1:11">
      <c r="A1959"/>
      <c r="B1959"/>
      <c r="C1959"/>
      <c r="D1959" t="s">
        <v>779</v>
      </c>
      <c r="E1959" t="s">
        <v>2474</v>
      </c>
      <c r="F1959"/>
      <c r="G1959"/>
      <c r="H1959"/>
      <c r="I1959"/>
      <c r="J1959"/>
      <c r="K1959" t="s">
        <v>2365</v>
      </c>
    </row>
    <row r="1960" spans="1:11">
      <c r="A1960"/>
      <c r="B1960"/>
      <c r="C1960"/>
      <c r="D1960" t="s">
        <v>779</v>
      </c>
      <c r="E1960" t="s">
        <v>2475</v>
      </c>
      <c r="F1960"/>
      <c r="G1960"/>
      <c r="H1960"/>
      <c r="I1960"/>
      <c r="J1960"/>
      <c r="K1960" t="s">
        <v>2365</v>
      </c>
    </row>
    <row r="1961" spans="1:11">
      <c r="A1961"/>
      <c r="B1961"/>
      <c r="C1961"/>
      <c r="D1961" t="s">
        <v>782</v>
      </c>
      <c r="E1961" t="s">
        <v>2476</v>
      </c>
      <c r="F1961"/>
      <c r="G1961"/>
      <c r="H1961"/>
      <c r="I1961"/>
      <c r="J1961"/>
      <c r="K1961" t="s">
        <v>2365</v>
      </c>
    </row>
    <row r="1962" spans="1:11">
      <c r="A1962">
        <v>44515</v>
      </c>
      <c r="B1962">
        <v>529154503432</v>
      </c>
      <c r="C1962">
        <v>44510</v>
      </c>
      <c r="D1962" t="s">
        <v>1671</v>
      </c>
      <c r="E1962" t="s">
        <v>2477</v>
      </c>
      <c r="F1962" t="s">
        <v>113</v>
      </c>
      <c r="G1962" t="s">
        <v>2276</v>
      </c>
      <c r="H1962"/>
      <c r="I1962"/>
      <c r="J1962"/>
      <c r="K1962" t="s">
        <v>2363</v>
      </c>
    </row>
    <row r="1963" spans="1:11">
      <c r="A1963">
        <v>44515</v>
      </c>
      <c r="B1963">
        <v>529154503432</v>
      </c>
      <c r="C1963">
        <v>44510</v>
      </c>
      <c r="D1963" t="s">
        <v>1671</v>
      </c>
      <c r="E1963" t="s">
        <v>2478</v>
      </c>
      <c r="F1963" t="s">
        <v>113</v>
      </c>
      <c r="G1963" t="s">
        <v>2276</v>
      </c>
      <c r="H1963"/>
      <c r="I1963"/>
      <c r="J1963"/>
      <c r="K1963" t="s">
        <v>2363</v>
      </c>
    </row>
    <row r="1964" spans="1:11">
      <c r="A1964">
        <v>44515</v>
      </c>
      <c r="B1964">
        <v>529154503432</v>
      </c>
      <c r="C1964">
        <v>44510</v>
      </c>
      <c r="D1964" t="s">
        <v>1671</v>
      </c>
      <c r="E1964" t="s">
        <v>2479</v>
      </c>
      <c r="F1964" t="s">
        <v>113</v>
      </c>
      <c r="G1964" t="s">
        <v>2276</v>
      </c>
      <c r="H1964"/>
      <c r="I1964"/>
      <c r="J1964"/>
      <c r="K1964" t="s">
        <v>2363</v>
      </c>
    </row>
    <row r="1965" spans="1:11">
      <c r="A1965">
        <v>44515</v>
      </c>
      <c r="B1965">
        <v>529154503432</v>
      </c>
      <c r="C1965">
        <v>44510</v>
      </c>
      <c r="D1965" t="s">
        <v>1671</v>
      </c>
      <c r="E1965" t="s">
        <v>2480</v>
      </c>
      <c r="F1965" t="s">
        <v>113</v>
      </c>
      <c r="G1965" t="s">
        <v>2276</v>
      </c>
      <c r="H1965"/>
      <c r="I1965"/>
      <c r="J1965"/>
      <c r="K1965" t="s">
        <v>2361</v>
      </c>
    </row>
    <row r="1966" spans="1:11">
      <c r="A1966">
        <v>44515</v>
      </c>
      <c r="B1966">
        <v>529154503432</v>
      </c>
      <c r="C1966">
        <v>44510</v>
      </c>
      <c r="D1966" t="s">
        <v>1671</v>
      </c>
      <c r="E1966" t="s">
        <v>2481</v>
      </c>
      <c r="F1966" t="s">
        <v>113</v>
      </c>
      <c r="G1966" t="s">
        <v>2276</v>
      </c>
      <c r="H1966"/>
      <c r="I1966"/>
      <c r="J1966"/>
      <c r="K1966" t="s">
        <v>2361</v>
      </c>
    </row>
    <row r="1967" spans="1:11">
      <c r="A1967">
        <v>44515</v>
      </c>
      <c r="B1967">
        <v>529154503432</v>
      </c>
      <c r="C1967">
        <v>44510</v>
      </c>
      <c r="D1967" t="s">
        <v>1671</v>
      </c>
      <c r="E1967" t="s">
        <v>2482</v>
      </c>
      <c r="F1967" t="s">
        <v>113</v>
      </c>
      <c r="G1967" t="s">
        <v>2276</v>
      </c>
      <c r="H1967"/>
      <c r="I1967"/>
      <c r="J1967"/>
      <c r="K1967" t="s">
        <v>2361</v>
      </c>
    </row>
    <row r="1968" spans="1:11">
      <c r="A1968">
        <v>44515</v>
      </c>
      <c r="B1968">
        <v>529154503432</v>
      </c>
      <c r="C1968">
        <v>44510</v>
      </c>
      <c r="D1968" t="s">
        <v>1671</v>
      </c>
      <c r="E1968" t="s">
        <v>2483</v>
      </c>
      <c r="F1968" t="s">
        <v>113</v>
      </c>
      <c r="G1968" t="s">
        <v>2276</v>
      </c>
      <c r="H1968"/>
      <c r="I1968"/>
      <c r="J1968"/>
      <c r="K1968" t="s">
        <v>2361</v>
      </c>
    </row>
    <row r="1969" spans="1:11">
      <c r="A1969">
        <v>44515</v>
      </c>
      <c r="B1969">
        <v>529154503432</v>
      </c>
      <c r="C1969">
        <v>44510</v>
      </c>
      <c r="D1969" t="s">
        <v>1671</v>
      </c>
      <c r="E1969" t="s">
        <v>2484</v>
      </c>
      <c r="F1969" t="s">
        <v>113</v>
      </c>
      <c r="G1969" t="s">
        <v>2276</v>
      </c>
      <c r="H1969"/>
      <c r="I1969"/>
      <c r="J1969"/>
      <c r="K1969" t="s">
        <v>2361</v>
      </c>
    </row>
    <row r="1970" spans="1:11">
      <c r="A1970">
        <v>44515</v>
      </c>
      <c r="B1970">
        <v>529154503432</v>
      </c>
      <c r="C1970">
        <v>44510</v>
      </c>
      <c r="D1970" t="s">
        <v>1671</v>
      </c>
      <c r="E1970" t="s">
        <v>2485</v>
      </c>
      <c r="F1970" t="s">
        <v>113</v>
      </c>
      <c r="G1970" t="s">
        <v>2276</v>
      </c>
      <c r="H1970"/>
      <c r="I1970"/>
      <c r="J1970"/>
      <c r="K1970" t="s">
        <v>2361</v>
      </c>
    </row>
    <row r="1971" spans="1:11">
      <c r="A1971">
        <v>44515</v>
      </c>
      <c r="B1971">
        <v>529154503432</v>
      </c>
      <c r="C1971">
        <v>44510</v>
      </c>
      <c r="D1971" t="s">
        <v>1671</v>
      </c>
      <c r="E1971" t="s">
        <v>2486</v>
      </c>
      <c r="F1971" t="s">
        <v>113</v>
      </c>
      <c r="G1971" t="s">
        <v>2276</v>
      </c>
      <c r="H1971"/>
      <c r="I1971"/>
      <c r="J1971"/>
      <c r="K1971" t="s">
        <v>2361</v>
      </c>
    </row>
    <row r="1972" spans="1:11">
      <c r="A1972">
        <v>44515</v>
      </c>
      <c r="B1972">
        <v>529154503432</v>
      </c>
      <c r="C1972">
        <v>44510</v>
      </c>
      <c r="D1972" t="s">
        <v>1671</v>
      </c>
      <c r="E1972" t="s">
        <v>2487</v>
      </c>
      <c r="F1972" t="s">
        <v>113</v>
      </c>
      <c r="G1972" t="s">
        <v>2276</v>
      </c>
      <c r="H1972"/>
      <c r="I1972"/>
      <c r="J1972"/>
      <c r="K1972" t="s">
        <v>2361</v>
      </c>
    </row>
    <row r="1973" spans="1:11">
      <c r="A1973">
        <v>44515</v>
      </c>
      <c r="B1973">
        <v>529154503432</v>
      </c>
      <c r="C1973">
        <v>44510</v>
      </c>
      <c r="D1973" t="s">
        <v>1671</v>
      </c>
      <c r="E1973" t="s">
        <v>2488</v>
      </c>
      <c r="F1973" t="s">
        <v>113</v>
      </c>
      <c r="G1973" t="s">
        <v>2276</v>
      </c>
      <c r="H1973"/>
      <c r="I1973"/>
      <c r="J1973"/>
      <c r="K1973" t="s">
        <v>2365</v>
      </c>
    </row>
    <row r="1974" spans="1:11">
      <c r="A1974">
        <v>44515</v>
      </c>
      <c r="B1974">
        <v>529154503432</v>
      </c>
      <c r="C1974">
        <v>44510</v>
      </c>
      <c r="D1974" t="s">
        <v>1671</v>
      </c>
      <c r="E1974" t="s">
        <v>2489</v>
      </c>
      <c r="F1974" t="s">
        <v>113</v>
      </c>
      <c r="G1974" t="s">
        <v>2276</v>
      </c>
      <c r="H1974"/>
      <c r="I1974"/>
      <c r="J1974"/>
      <c r="K1974" t="s">
        <v>2365</v>
      </c>
    </row>
    <row r="1975" spans="1:11">
      <c r="A1975">
        <v>44515</v>
      </c>
      <c r="B1975">
        <v>529154503432</v>
      </c>
      <c r="C1975">
        <v>44510</v>
      </c>
      <c r="D1975" t="s">
        <v>1671</v>
      </c>
      <c r="E1975" t="s">
        <v>2490</v>
      </c>
      <c r="F1975" t="s">
        <v>113</v>
      </c>
      <c r="G1975" t="s">
        <v>2276</v>
      </c>
      <c r="H1975"/>
      <c r="I1975"/>
      <c r="J1975"/>
      <c r="K1975" t="s">
        <v>2365</v>
      </c>
    </row>
    <row r="1976" spans="1:11">
      <c r="A1976">
        <v>44515</v>
      </c>
      <c r="B1976">
        <v>529154503432</v>
      </c>
      <c r="C1976">
        <v>44510</v>
      </c>
      <c r="D1976" t="s">
        <v>1671</v>
      </c>
      <c r="E1976" t="s">
        <v>2491</v>
      </c>
      <c r="F1976" t="s">
        <v>113</v>
      </c>
      <c r="G1976" t="s">
        <v>2276</v>
      </c>
      <c r="H1976"/>
      <c r="I1976"/>
      <c r="J1976"/>
      <c r="K1976" t="s">
        <v>2365</v>
      </c>
    </row>
    <row r="1977" spans="1:11">
      <c r="A1977">
        <v>44515</v>
      </c>
      <c r="B1977">
        <v>529154503432</v>
      </c>
      <c r="C1977">
        <v>44510</v>
      </c>
      <c r="D1977" t="s">
        <v>1671</v>
      </c>
      <c r="E1977" t="s">
        <v>2492</v>
      </c>
      <c r="F1977" t="s">
        <v>113</v>
      </c>
      <c r="G1977" t="s">
        <v>2276</v>
      </c>
      <c r="H1977"/>
      <c r="I1977"/>
      <c r="J1977"/>
      <c r="K1977" t="s">
        <v>2365</v>
      </c>
    </row>
    <row r="1978" spans="1:11">
      <c r="A1978">
        <v>44515</v>
      </c>
      <c r="B1978">
        <v>529154503432</v>
      </c>
      <c r="C1978">
        <v>44510</v>
      </c>
      <c r="D1978" t="s">
        <v>1671</v>
      </c>
      <c r="E1978" t="s">
        <v>2493</v>
      </c>
      <c r="F1978" t="s">
        <v>113</v>
      </c>
      <c r="G1978" t="s">
        <v>2276</v>
      </c>
      <c r="H1978"/>
      <c r="I1978"/>
      <c r="J1978"/>
      <c r="K1978" t="s">
        <v>2365</v>
      </c>
    </row>
    <row r="1979" spans="1:11">
      <c r="A1979">
        <v>44515</v>
      </c>
      <c r="B1979">
        <v>529154503432</v>
      </c>
      <c r="C1979">
        <v>44510</v>
      </c>
      <c r="D1979" t="s">
        <v>1671</v>
      </c>
      <c r="E1979" t="s">
        <v>2494</v>
      </c>
      <c r="F1979" t="s">
        <v>113</v>
      </c>
      <c r="G1979" t="s">
        <v>2276</v>
      </c>
      <c r="H1979"/>
      <c r="I1979"/>
      <c r="J1979"/>
      <c r="K1979" t="s">
        <v>2365</v>
      </c>
    </row>
    <row r="1980" spans="1:11">
      <c r="A1980">
        <v>44515</v>
      </c>
      <c r="B1980">
        <v>529154503432</v>
      </c>
      <c r="C1980">
        <v>44510</v>
      </c>
      <c r="D1980" t="s">
        <v>1671</v>
      </c>
      <c r="E1980" t="s">
        <v>2495</v>
      </c>
      <c r="F1980" t="s">
        <v>113</v>
      </c>
      <c r="G1980" t="s">
        <v>2276</v>
      </c>
      <c r="H1980"/>
      <c r="I1980"/>
      <c r="J1980"/>
      <c r="K1980" t="s">
        <v>2365</v>
      </c>
    </row>
    <row r="1981" spans="1:11">
      <c r="A1981">
        <v>44515</v>
      </c>
      <c r="B1981">
        <v>529154503432</v>
      </c>
      <c r="C1981">
        <v>44510</v>
      </c>
      <c r="D1981" t="s">
        <v>1671</v>
      </c>
      <c r="E1981" t="s">
        <v>2496</v>
      </c>
      <c r="F1981" t="s">
        <v>113</v>
      </c>
      <c r="G1981" t="s">
        <v>2276</v>
      </c>
      <c r="H1981"/>
      <c r="I1981"/>
      <c r="J1981"/>
      <c r="K1981" t="s">
        <v>2357</v>
      </c>
    </row>
    <row r="1982" spans="1:11">
      <c r="A1982">
        <v>44515</v>
      </c>
      <c r="B1982">
        <v>529154503432</v>
      </c>
      <c r="C1982">
        <v>44510</v>
      </c>
      <c r="D1982" t="s">
        <v>1671</v>
      </c>
      <c r="E1982" t="s">
        <v>2497</v>
      </c>
      <c r="F1982" t="s">
        <v>113</v>
      </c>
      <c r="G1982" t="s">
        <v>2276</v>
      </c>
      <c r="H1982"/>
      <c r="I1982"/>
      <c r="J1982"/>
      <c r="K1982" t="s">
        <v>2357</v>
      </c>
    </row>
    <row r="1983" spans="1:11">
      <c r="A1983">
        <v>44515</v>
      </c>
      <c r="B1983">
        <v>529154503432</v>
      </c>
      <c r="C1983">
        <v>44510</v>
      </c>
      <c r="D1983" t="s">
        <v>1671</v>
      </c>
      <c r="E1983" t="s">
        <v>2498</v>
      </c>
      <c r="F1983" t="s">
        <v>113</v>
      </c>
      <c r="G1983" t="s">
        <v>2276</v>
      </c>
      <c r="H1983"/>
      <c r="I1983"/>
      <c r="J1983"/>
      <c r="K1983" t="s">
        <v>2357</v>
      </c>
    </row>
    <row r="1984" spans="1:11">
      <c r="A1984">
        <v>44515</v>
      </c>
      <c r="B1984">
        <v>529154503432</v>
      </c>
      <c r="C1984">
        <v>44510</v>
      </c>
      <c r="D1984" t="s">
        <v>1671</v>
      </c>
      <c r="E1984" t="s">
        <v>2499</v>
      </c>
      <c r="F1984" t="s">
        <v>113</v>
      </c>
      <c r="G1984" t="s">
        <v>2276</v>
      </c>
      <c r="H1984"/>
      <c r="I1984"/>
      <c r="J1984"/>
      <c r="K1984" t="s">
        <v>2357</v>
      </c>
    </row>
    <row r="1985" spans="1:11">
      <c r="A1985">
        <v>44515</v>
      </c>
      <c r="B1985">
        <v>529154503432</v>
      </c>
      <c r="C1985">
        <v>44510</v>
      </c>
      <c r="D1985" t="s">
        <v>1671</v>
      </c>
      <c r="E1985" t="s">
        <v>2500</v>
      </c>
      <c r="F1985" t="s">
        <v>113</v>
      </c>
      <c r="G1985" t="s">
        <v>2276</v>
      </c>
      <c r="H1985"/>
      <c r="I1985"/>
      <c r="J1985"/>
      <c r="K1985" t="s">
        <v>2357</v>
      </c>
    </row>
    <row r="1986" spans="1:11">
      <c r="A1986">
        <v>44515</v>
      </c>
      <c r="B1986">
        <v>529154503432</v>
      </c>
      <c r="C1986">
        <v>44510</v>
      </c>
      <c r="D1986" t="s">
        <v>1671</v>
      </c>
      <c r="E1986" t="s">
        <v>2501</v>
      </c>
      <c r="F1986" t="s">
        <v>113</v>
      </c>
      <c r="G1986" t="s">
        <v>2276</v>
      </c>
      <c r="H1986"/>
      <c r="I1986"/>
      <c r="J1986"/>
      <c r="K1986" t="s">
        <v>2357</v>
      </c>
    </row>
    <row r="1987" spans="1:11">
      <c r="A1987">
        <v>44515</v>
      </c>
      <c r="B1987">
        <v>529154503432</v>
      </c>
      <c r="C1987">
        <v>44510</v>
      </c>
      <c r="D1987" t="s">
        <v>1671</v>
      </c>
      <c r="E1987" t="s">
        <v>2502</v>
      </c>
      <c r="F1987" t="s">
        <v>113</v>
      </c>
      <c r="G1987" t="s">
        <v>2276</v>
      </c>
      <c r="H1987"/>
      <c r="I1987"/>
      <c r="J1987"/>
      <c r="K1987" t="s">
        <v>2357</v>
      </c>
    </row>
    <row r="1988" spans="1:11">
      <c r="A1988">
        <v>44515</v>
      </c>
      <c r="B1988">
        <v>529154503432</v>
      </c>
      <c r="C1988">
        <v>44510</v>
      </c>
      <c r="D1988" t="s">
        <v>1671</v>
      </c>
      <c r="E1988" t="s">
        <v>2503</v>
      </c>
      <c r="F1988" t="s">
        <v>113</v>
      </c>
      <c r="G1988" t="s">
        <v>2276</v>
      </c>
      <c r="H1988"/>
      <c r="I1988"/>
      <c r="J1988"/>
      <c r="K1988" t="s">
        <v>2357</v>
      </c>
    </row>
    <row r="1989" spans="1:11">
      <c r="A1989">
        <v>44515</v>
      </c>
      <c r="B1989">
        <v>529154503432</v>
      </c>
      <c r="C1989">
        <v>44510</v>
      </c>
      <c r="D1989" t="s">
        <v>1671</v>
      </c>
      <c r="E1989" t="s">
        <v>2504</v>
      </c>
      <c r="F1989" t="s">
        <v>113</v>
      </c>
      <c r="G1989" t="s">
        <v>2276</v>
      </c>
      <c r="H1989"/>
      <c r="I1989"/>
      <c r="J1989"/>
      <c r="K1989" t="s">
        <v>2351</v>
      </c>
    </row>
    <row r="1990" spans="1:11">
      <c r="A1990">
        <v>44515</v>
      </c>
      <c r="B1990">
        <v>529154503432</v>
      </c>
      <c r="C1990">
        <v>44510</v>
      </c>
      <c r="D1990" t="s">
        <v>1671</v>
      </c>
      <c r="E1990" t="s">
        <v>2505</v>
      </c>
      <c r="F1990" t="s">
        <v>113</v>
      </c>
      <c r="G1990" t="s">
        <v>2276</v>
      </c>
      <c r="H1990"/>
      <c r="I1990"/>
      <c r="J1990"/>
      <c r="K1990" t="s">
        <v>2351</v>
      </c>
    </row>
    <row r="1991" spans="1:11">
      <c r="A1991">
        <v>44515</v>
      </c>
      <c r="B1991">
        <v>529154503432</v>
      </c>
      <c r="C1991">
        <v>44510</v>
      </c>
      <c r="D1991" t="s">
        <v>1671</v>
      </c>
      <c r="E1991" t="s">
        <v>2506</v>
      </c>
      <c r="F1991" t="s">
        <v>113</v>
      </c>
      <c r="G1991" t="s">
        <v>2276</v>
      </c>
      <c r="H1991"/>
      <c r="I1991"/>
      <c r="J1991"/>
      <c r="K1991" t="s">
        <v>2351</v>
      </c>
    </row>
    <row r="1992" spans="1:11">
      <c r="A1992">
        <v>44515</v>
      </c>
      <c r="B1992">
        <v>529154503432</v>
      </c>
      <c r="C1992">
        <v>44510</v>
      </c>
      <c r="D1992" t="s">
        <v>1671</v>
      </c>
      <c r="E1992" t="s">
        <v>2507</v>
      </c>
      <c r="F1992" t="s">
        <v>113</v>
      </c>
      <c r="G1992" t="s">
        <v>2276</v>
      </c>
      <c r="H1992"/>
      <c r="I1992"/>
      <c r="J1992"/>
      <c r="K1992" t="s">
        <v>2351</v>
      </c>
    </row>
    <row r="1993" spans="1:11">
      <c r="A1993">
        <v>44515</v>
      </c>
      <c r="B1993">
        <v>529154503432</v>
      </c>
      <c r="C1993">
        <v>44510</v>
      </c>
      <c r="D1993" t="s">
        <v>1671</v>
      </c>
      <c r="E1993" t="s">
        <v>2508</v>
      </c>
      <c r="F1993" t="s">
        <v>113</v>
      </c>
      <c r="G1993" t="s">
        <v>2276</v>
      </c>
      <c r="H1993"/>
      <c r="I1993"/>
      <c r="J1993"/>
      <c r="K1993" t="s">
        <v>2351</v>
      </c>
    </row>
    <row r="1994" spans="1:11">
      <c r="A1994">
        <v>44515</v>
      </c>
      <c r="B1994">
        <v>529154503432</v>
      </c>
      <c r="C1994">
        <v>44510</v>
      </c>
      <c r="D1994" t="s">
        <v>1671</v>
      </c>
      <c r="E1994" t="s">
        <v>2509</v>
      </c>
      <c r="F1994" t="s">
        <v>113</v>
      </c>
      <c r="G1994" t="s">
        <v>2276</v>
      </c>
      <c r="H1994"/>
      <c r="I1994"/>
      <c r="J1994"/>
      <c r="K1994" t="s">
        <v>2351</v>
      </c>
    </row>
    <row r="1995" spans="1:11">
      <c r="A1995">
        <v>44515</v>
      </c>
      <c r="B1995">
        <v>529154503432</v>
      </c>
      <c r="C1995">
        <v>44510</v>
      </c>
      <c r="D1995" t="s">
        <v>1671</v>
      </c>
      <c r="E1995" t="s">
        <v>2510</v>
      </c>
      <c r="F1995" t="s">
        <v>113</v>
      </c>
      <c r="G1995" t="s">
        <v>2276</v>
      </c>
      <c r="H1995"/>
      <c r="I1995"/>
      <c r="J1995"/>
      <c r="K1995" t="s">
        <v>2351</v>
      </c>
    </row>
    <row r="1996" spans="1:11">
      <c r="A1996">
        <v>44515</v>
      </c>
      <c r="B1996">
        <v>529154503432</v>
      </c>
      <c r="C1996">
        <v>44510</v>
      </c>
      <c r="D1996" t="s">
        <v>1671</v>
      </c>
      <c r="E1996" t="s">
        <v>2511</v>
      </c>
      <c r="F1996" t="s">
        <v>113</v>
      </c>
      <c r="G1996" t="s">
        <v>2276</v>
      </c>
      <c r="H1996"/>
      <c r="I1996"/>
      <c r="J1996"/>
      <c r="K1996" t="s">
        <v>2351</v>
      </c>
    </row>
    <row r="1997" spans="1:11">
      <c r="A1997">
        <v>44515</v>
      </c>
      <c r="B1997">
        <v>529154503432</v>
      </c>
      <c r="C1997">
        <v>44510</v>
      </c>
      <c r="D1997" t="s">
        <v>1671</v>
      </c>
      <c r="E1997" t="s">
        <v>2512</v>
      </c>
      <c r="F1997" t="s">
        <v>113</v>
      </c>
      <c r="G1997" t="s">
        <v>2276</v>
      </c>
      <c r="H1997"/>
      <c r="I1997"/>
      <c r="J1997"/>
      <c r="K1997" t="s">
        <v>2347</v>
      </c>
    </row>
    <row r="1998" spans="1:11">
      <c r="A1998">
        <v>44515</v>
      </c>
      <c r="B1998">
        <v>529154503432</v>
      </c>
      <c r="C1998">
        <v>44510</v>
      </c>
      <c r="D1998" t="s">
        <v>1671</v>
      </c>
      <c r="E1998" t="s">
        <v>2513</v>
      </c>
      <c r="F1998" t="s">
        <v>113</v>
      </c>
      <c r="G1998" t="s">
        <v>2276</v>
      </c>
      <c r="H1998"/>
      <c r="I1998"/>
      <c r="J1998"/>
      <c r="K1998" t="s">
        <v>2347</v>
      </c>
    </row>
    <row r="1999" spans="1:11">
      <c r="A1999">
        <v>44515</v>
      </c>
      <c r="B1999">
        <v>529154503432</v>
      </c>
      <c r="C1999">
        <v>44510</v>
      </c>
      <c r="D1999" t="s">
        <v>1671</v>
      </c>
      <c r="E1999" t="s">
        <v>2514</v>
      </c>
      <c r="F1999" t="s">
        <v>113</v>
      </c>
      <c r="G1999" t="s">
        <v>2276</v>
      </c>
      <c r="H1999"/>
      <c r="I1999"/>
      <c r="J1999"/>
      <c r="K1999" t="s">
        <v>2347</v>
      </c>
    </row>
    <row r="2000" spans="1:11">
      <c r="A2000">
        <v>44515</v>
      </c>
      <c r="B2000">
        <v>529154503432</v>
      </c>
      <c r="C2000">
        <v>44510</v>
      </c>
      <c r="D2000" t="s">
        <v>1671</v>
      </c>
      <c r="E2000" t="s">
        <v>2515</v>
      </c>
      <c r="F2000" t="s">
        <v>113</v>
      </c>
      <c r="G2000" t="s">
        <v>2276</v>
      </c>
      <c r="H2000"/>
      <c r="I2000"/>
      <c r="J2000"/>
      <c r="K2000" t="s">
        <v>2349</v>
      </c>
    </row>
    <row r="2001" spans="1:11">
      <c r="A2001">
        <v>44515</v>
      </c>
      <c r="B2001">
        <v>529154503432</v>
      </c>
      <c r="C2001">
        <v>44510</v>
      </c>
      <c r="D2001" t="s">
        <v>1671</v>
      </c>
      <c r="E2001" t="s">
        <v>2516</v>
      </c>
      <c r="F2001" t="s">
        <v>113</v>
      </c>
      <c r="G2001" t="s">
        <v>2276</v>
      </c>
      <c r="H2001"/>
      <c r="I2001"/>
      <c r="J2001"/>
      <c r="K2001" t="s">
        <v>2349</v>
      </c>
    </row>
    <row r="2002" spans="1:11">
      <c r="A2002">
        <v>44515</v>
      </c>
      <c r="B2002">
        <v>529154503432</v>
      </c>
      <c r="C2002">
        <v>44510</v>
      </c>
      <c r="D2002" t="s">
        <v>1671</v>
      </c>
      <c r="E2002" t="s">
        <v>2517</v>
      </c>
      <c r="F2002" t="s">
        <v>113</v>
      </c>
      <c r="G2002" t="s">
        <v>2276</v>
      </c>
      <c r="H2002"/>
      <c r="I2002"/>
      <c r="J2002"/>
      <c r="K2002" t="s">
        <v>2349</v>
      </c>
    </row>
    <row r="2003" spans="1:11">
      <c r="A2003">
        <v>44515</v>
      </c>
      <c r="B2003">
        <v>529154503432</v>
      </c>
      <c r="C2003">
        <v>44510</v>
      </c>
      <c r="D2003" t="s">
        <v>1671</v>
      </c>
      <c r="E2003" t="s">
        <v>2518</v>
      </c>
      <c r="F2003" t="s">
        <v>113</v>
      </c>
      <c r="G2003" t="s">
        <v>2276</v>
      </c>
      <c r="H2003"/>
      <c r="I2003"/>
      <c r="J2003"/>
      <c r="K2003" t="s">
        <v>2349</v>
      </c>
    </row>
    <row r="2004" spans="1:11">
      <c r="A2004">
        <v>44515</v>
      </c>
      <c r="B2004">
        <v>529154503432</v>
      </c>
      <c r="C2004">
        <v>44510</v>
      </c>
      <c r="D2004" t="s">
        <v>1671</v>
      </c>
      <c r="E2004" t="s">
        <v>2519</v>
      </c>
      <c r="F2004" t="s">
        <v>113</v>
      </c>
      <c r="G2004" t="s">
        <v>2276</v>
      </c>
      <c r="H2004"/>
      <c r="I2004"/>
      <c r="J2004"/>
      <c r="K2004" t="s">
        <v>2355</v>
      </c>
    </row>
    <row r="2005" spans="1:11">
      <c r="A2005">
        <v>44515</v>
      </c>
      <c r="B2005">
        <v>529154503432</v>
      </c>
      <c r="C2005">
        <v>44510</v>
      </c>
      <c r="D2005" t="s">
        <v>1671</v>
      </c>
      <c r="E2005" t="s">
        <v>2520</v>
      </c>
      <c r="F2005" t="s">
        <v>113</v>
      </c>
      <c r="G2005" t="s">
        <v>2276</v>
      </c>
      <c r="H2005"/>
      <c r="I2005"/>
      <c r="J2005"/>
      <c r="K2005" t="s">
        <v>2355</v>
      </c>
    </row>
    <row r="2006" spans="1:11">
      <c r="A2006">
        <v>44515</v>
      </c>
      <c r="B2006">
        <v>529154503432</v>
      </c>
      <c r="C2006">
        <v>44510</v>
      </c>
      <c r="D2006" t="s">
        <v>1671</v>
      </c>
      <c r="E2006" t="s">
        <v>2521</v>
      </c>
      <c r="F2006" t="s">
        <v>113</v>
      </c>
      <c r="G2006" t="s">
        <v>2276</v>
      </c>
      <c r="H2006"/>
      <c r="I2006"/>
      <c r="J2006"/>
      <c r="K2006" t="s">
        <v>2355</v>
      </c>
    </row>
    <row r="2007" spans="1:11">
      <c r="A2007">
        <v>44515</v>
      </c>
      <c r="B2007">
        <v>529154503432</v>
      </c>
      <c r="C2007">
        <v>44510</v>
      </c>
      <c r="D2007" t="s">
        <v>1671</v>
      </c>
      <c r="E2007" t="s">
        <v>2522</v>
      </c>
      <c r="F2007" t="s">
        <v>113</v>
      </c>
      <c r="G2007" t="s">
        <v>2276</v>
      </c>
      <c r="H2007"/>
      <c r="I2007"/>
      <c r="J2007"/>
      <c r="K2007" t="s">
        <v>2355</v>
      </c>
    </row>
    <row r="2008" spans="1:11">
      <c r="A2008">
        <v>44515</v>
      </c>
      <c r="B2008">
        <v>529154503432</v>
      </c>
      <c r="C2008">
        <v>44510</v>
      </c>
      <c r="D2008" t="s">
        <v>1671</v>
      </c>
      <c r="E2008" t="s">
        <v>2523</v>
      </c>
      <c r="F2008" t="s">
        <v>113</v>
      </c>
      <c r="G2008" t="s">
        <v>2276</v>
      </c>
      <c r="H2008"/>
      <c r="I2008"/>
      <c r="J2008"/>
      <c r="K2008" t="s">
        <v>2355</v>
      </c>
    </row>
    <row r="2009" spans="1:11">
      <c r="A2009">
        <v>44515</v>
      </c>
      <c r="B2009">
        <v>529154503432</v>
      </c>
      <c r="C2009">
        <v>44510</v>
      </c>
      <c r="D2009" t="s">
        <v>1671</v>
      </c>
      <c r="E2009" t="s">
        <v>2524</v>
      </c>
      <c r="F2009" t="s">
        <v>113</v>
      </c>
      <c r="G2009" t="s">
        <v>2276</v>
      </c>
      <c r="H2009"/>
      <c r="I2009"/>
      <c r="J2009"/>
      <c r="K2009" t="s">
        <v>2355</v>
      </c>
    </row>
    <row r="2010" spans="1:11">
      <c r="A2010">
        <v>44515</v>
      </c>
      <c r="B2010">
        <v>529154503432</v>
      </c>
      <c r="C2010">
        <v>44510</v>
      </c>
      <c r="D2010" t="s">
        <v>1671</v>
      </c>
      <c r="E2010" t="s">
        <v>2525</v>
      </c>
      <c r="F2010" t="s">
        <v>113</v>
      </c>
      <c r="G2010" t="s">
        <v>2276</v>
      </c>
      <c r="H2010"/>
      <c r="I2010"/>
      <c r="J2010"/>
      <c r="K2010" t="s">
        <v>2355</v>
      </c>
    </row>
    <row r="2011" spans="1:11">
      <c r="A2011">
        <v>44515</v>
      </c>
      <c r="B2011">
        <v>529154503432</v>
      </c>
      <c r="C2011">
        <v>44510</v>
      </c>
      <c r="D2011" t="s">
        <v>1671</v>
      </c>
      <c r="E2011" t="s">
        <v>2526</v>
      </c>
      <c r="F2011" t="s">
        <v>113</v>
      </c>
      <c r="G2011" t="s">
        <v>2276</v>
      </c>
      <c r="H2011"/>
      <c r="I2011"/>
      <c r="J2011"/>
      <c r="K2011" t="s">
        <v>2355</v>
      </c>
    </row>
    <row r="2012" spans="1:11">
      <c r="A2012">
        <v>44515</v>
      </c>
      <c r="B2012">
        <v>529154503432</v>
      </c>
      <c r="C2012">
        <v>44510</v>
      </c>
      <c r="D2012" t="s">
        <v>1671</v>
      </c>
      <c r="E2012" t="s">
        <v>2527</v>
      </c>
      <c r="F2012" t="s">
        <v>113</v>
      </c>
      <c r="G2012" t="s">
        <v>2276</v>
      </c>
      <c r="H2012"/>
      <c r="I2012"/>
      <c r="J2012"/>
      <c r="K2012" t="s">
        <v>2353</v>
      </c>
    </row>
    <row r="2013" spans="1:11">
      <c r="A2013">
        <v>44515</v>
      </c>
      <c r="B2013">
        <v>529154503432</v>
      </c>
      <c r="C2013">
        <v>44510</v>
      </c>
      <c r="D2013" t="s">
        <v>1671</v>
      </c>
      <c r="E2013" t="s">
        <v>2528</v>
      </c>
      <c r="F2013" t="s">
        <v>113</v>
      </c>
      <c r="G2013" t="s">
        <v>2276</v>
      </c>
      <c r="H2013"/>
      <c r="I2013"/>
      <c r="J2013"/>
      <c r="K2013" t="s">
        <v>2353</v>
      </c>
    </row>
    <row r="2014" spans="1:11">
      <c r="A2014">
        <v>44515</v>
      </c>
      <c r="B2014">
        <v>529154503432</v>
      </c>
      <c r="C2014">
        <v>44510</v>
      </c>
      <c r="D2014" t="s">
        <v>1671</v>
      </c>
      <c r="E2014" t="s">
        <v>2529</v>
      </c>
      <c r="F2014" t="s">
        <v>113</v>
      </c>
      <c r="G2014" t="s">
        <v>2276</v>
      </c>
      <c r="H2014"/>
      <c r="I2014"/>
      <c r="J2014"/>
      <c r="K2014" t="s">
        <v>2353</v>
      </c>
    </row>
    <row r="2015" spans="1:11">
      <c r="A2015">
        <v>44515</v>
      </c>
      <c r="B2015">
        <v>529154503432</v>
      </c>
      <c r="C2015">
        <v>44510</v>
      </c>
      <c r="D2015" t="s">
        <v>1671</v>
      </c>
      <c r="E2015" t="s">
        <v>2530</v>
      </c>
      <c r="F2015" t="s">
        <v>113</v>
      </c>
      <c r="G2015" t="s">
        <v>2276</v>
      </c>
      <c r="H2015"/>
      <c r="I2015"/>
      <c r="J2015"/>
      <c r="K2015" t="s">
        <v>2353</v>
      </c>
    </row>
    <row r="2016" spans="1:11">
      <c r="A2016">
        <v>44515</v>
      </c>
      <c r="B2016">
        <v>529154503432</v>
      </c>
      <c r="C2016">
        <v>44510</v>
      </c>
      <c r="D2016" t="s">
        <v>1671</v>
      </c>
      <c r="E2016" t="s">
        <v>2531</v>
      </c>
      <c r="F2016" t="s">
        <v>113</v>
      </c>
      <c r="G2016" t="s">
        <v>2276</v>
      </c>
      <c r="H2016"/>
      <c r="I2016"/>
      <c r="J2016"/>
      <c r="K2016" t="s">
        <v>2353</v>
      </c>
    </row>
    <row r="2017" spans="1:11">
      <c r="A2017">
        <v>44515</v>
      </c>
      <c r="B2017">
        <v>529154503432</v>
      </c>
      <c r="C2017">
        <v>44510</v>
      </c>
      <c r="D2017" t="s">
        <v>1671</v>
      </c>
      <c r="E2017" t="s">
        <v>2532</v>
      </c>
      <c r="F2017" t="s">
        <v>113</v>
      </c>
      <c r="G2017" t="s">
        <v>2276</v>
      </c>
      <c r="H2017"/>
      <c r="I2017"/>
      <c r="J2017"/>
      <c r="K2017" t="s">
        <v>2353</v>
      </c>
    </row>
    <row r="2018" spans="1:11">
      <c r="A2018">
        <v>44515</v>
      </c>
      <c r="B2018">
        <v>529154503432</v>
      </c>
      <c r="C2018">
        <v>44510</v>
      </c>
      <c r="D2018" t="s">
        <v>1671</v>
      </c>
      <c r="E2018" t="s">
        <v>2533</v>
      </c>
      <c r="F2018" t="s">
        <v>113</v>
      </c>
      <c r="G2018" t="s">
        <v>2276</v>
      </c>
      <c r="H2018"/>
      <c r="I2018"/>
      <c r="J2018"/>
      <c r="K2018" t="s">
        <v>2353</v>
      </c>
    </row>
    <row r="2019" spans="1:11">
      <c r="A2019">
        <v>44515</v>
      </c>
      <c r="B2019">
        <v>529154503432</v>
      </c>
      <c r="C2019">
        <v>44510</v>
      </c>
      <c r="D2019" t="s">
        <v>1671</v>
      </c>
      <c r="E2019" t="s">
        <v>2534</v>
      </c>
      <c r="F2019" t="s">
        <v>113</v>
      </c>
      <c r="G2019" t="s">
        <v>2276</v>
      </c>
      <c r="H2019"/>
      <c r="I2019"/>
      <c r="J2019"/>
      <c r="K2019" t="s">
        <v>2353</v>
      </c>
    </row>
    <row r="2020" spans="1:11">
      <c r="A2020">
        <v>44515</v>
      </c>
      <c r="B2020">
        <v>529154503432</v>
      </c>
      <c r="C2020">
        <v>44510</v>
      </c>
      <c r="D2020" t="s">
        <v>1671</v>
      </c>
      <c r="E2020" t="s">
        <v>2535</v>
      </c>
      <c r="F2020" t="s">
        <v>113</v>
      </c>
      <c r="G2020" t="s">
        <v>2276</v>
      </c>
      <c r="H2020"/>
      <c r="I2020"/>
      <c r="J2020"/>
      <c r="K2020" t="s">
        <v>2347</v>
      </c>
    </row>
    <row r="2021" spans="1:11">
      <c r="A2021">
        <v>44515</v>
      </c>
      <c r="B2021">
        <v>529154503432</v>
      </c>
      <c r="C2021">
        <v>44510</v>
      </c>
      <c r="D2021" t="s">
        <v>1671</v>
      </c>
      <c r="E2021" t="s">
        <v>2536</v>
      </c>
      <c r="F2021" t="s">
        <v>113</v>
      </c>
      <c r="G2021" t="s">
        <v>2276</v>
      </c>
      <c r="H2021"/>
      <c r="I2021"/>
      <c r="J2021"/>
      <c r="K2021" t="s">
        <v>2347</v>
      </c>
    </row>
    <row r="2022" spans="1:11">
      <c r="A2022">
        <v>44515</v>
      </c>
      <c r="B2022">
        <v>529154503432</v>
      </c>
      <c r="C2022">
        <v>44510</v>
      </c>
      <c r="D2022" t="s">
        <v>1671</v>
      </c>
      <c r="E2022" t="s">
        <v>2537</v>
      </c>
      <c r="F2022" t="s">
        <v>113</v>
      </c>
      <c r="G2022" t="s">
        <v>2276</v>
      </c>
      <c r="H2022"/>
      <c r="I2022"/>
      <c r="J2022"/>
      <c r="K2022" t="s">
        <v>2347</v>
      </c>
    </row>
    <row r="2023" spans="1:11">
      <c r="A2023">
        <v>44515</v>
      </c>
      <c r="B2023">
        <v>529154503432</v>
      </c>
      <c r="C2023">
        <v>44510</v>
      </c>
      <c r="D2023" t="s">
        <v>1671</v>
      </c>
      <c r="E2023" t="s">
        <v>2538</v>
      </c>
      <c r="F2023" t="s">
        <v>113</v>
      </c>
      <c r="G2023" t="s">
        <v>2276</v>
      </c>
      <c r="H2023"/>
      <c r="I2023"/>
      <c r="J2023"/>
      <c r="K2023" t="s">
        <v>2347</v>
      </c>
    </row>
    <row r="2024" spans="1:11">
      <c r="A2024">
        <v>44515</v>
      </c>
      <c r="B2024">
        <v>529154503432</v>
      </c>
      <c r="C2024">
        <v>44510</v>
      </c>
      <c r="D2024" t="s">
        <v>1671</v>
      </c>
      <c r="E2024" t="s">
        <v>2539</v>
      </c>
      <c r="F2024" t="s">
        <v>113</v>
      </c>
      <c r="G2024" t="s">
        <v>2276</v>
      </c>
      <c r="H2024"/>
      <c r="I2024"/>
      <c r="J2024"/>
      <c r="K2024" t="s">
        <v>2347</v>
      </c>
    </row>
    <row r="2025" spans="1:11">
      <c r="A2025">
        <v>44515</v>
      </c>
      <c r="B2025">
        <v>529154503432</v>
      </c>
      <c r="C2025">
        <v>44510</v>
      </c>
      <c r="D2025" t="s">
        <v>1671</v>
      </c>
      <c r="E2025" t="s">
        <v>2540</v>
      </c>
      <c r="F2025" t="s">
        <v>113</v>
      </c>
      <c r="G2025" t="s">
        <v>2276</v>
      </c>
      <c r="H2025"/>
      <c r="I2025"/>
      <c r="J2025"/>
      <c r="K2025" t="s">
        <v>2363</v>
      </c>
    </row>
    <row r="2026" spans="1:11">
      <c r="A2026">
        <v>44515</v>
      </c>
      <c r="B2026">
        <v>529154503432</v>
      </c>
      <c r="C2026">
        <v>44510</v>
      </c>
      <c r="D2026" t="s">
        <v>1671</v>
      </c>
      <c r="E2026" t="s">
        <v>2541</v>
      </c>
      <c r="F2026" t="s">
        <v>113</v>
      </c>
      <c r="G2026" t="s">
        <v>2276</v>
      </c>
      <c r="H2026"/>
      <c r="I2026"/>
      <c r="J2026"/>
      <c r="K2026" t="s">
        <v>2363</v>
      </c>
    </row>
    <row r="2027" spans="1:11">
      <c r="A2027">
        <v>44515</v>
      </c>
      <c r="B2027">
        <v>529154503432</v>
      </c>
      <c r="C2027">
        <v>44510</v>
      </c>
      <c r="D2027" t="s">
        <v>1671</v>
      </c>
      <c r="E2027" t="s">
        <v>2542</v>
      </c>
      <c r="F2027" t="s">
        <v>113</v>
      </c>
      <c r="G2027" t="s">
        <v>2276</v>
      </c>
      <c r="H2027"/>
      <c r="I2027"/>
      <c r="J2027"/>
      <c r="K2027" t="s">
        <v>2363</v>
      </c>
    </row>
    <row r="2028" spans="1:11">
      <c r="A2028">
        <v>44515</v>
      </c>
      <c r="B2028">
        <v>529154503432</v>
      </c>
      <c r="C2028">
        <v>44510</v>
      </c>
      <c r="D2028" t="s">
        <v>1671</v>
      </c>
      <c r="E2028" t="s">
        <v>2543</v>
      </c>
      <c r="F2028" t="s">
        <v>113</v>
      </c>
      <c r="G2028" t="s">
        <v>2276</v>
      </c>
      <c r="H2028"/>
      <c r="I2028"/>
      <c r="J2028"/>
      <c r="K2028" t="s">
        <v>2363</v>
      </c>
    </row>
    <row r="2029" spans="1:11">
      <c r="A2029">
        <v>44515</v>
      </c>
      <c r="B2029">
        <v>529154503432</v>
      </c>
      <c r="C2029">
        <v>44510</v>
      </c>
      <c r="D2029" t="s">
        <v>1671</v>
      </c>
      <c r="E2029" t="s">
        <v>2544</v>
      </c>
      <c r="F2029" t="s">
        <v>113</v>
      </c>
      <c r="G2029" t="s">
        <v>2276</v>
      </c>
      <c r="H2029"/>
      <c r="I2029"/>
      <c r="J2029"/>
      <c r="K2029" t="s">
        <v>2363</v>
      </c>
    </row>
    <row r="2030" spans="1:11">
      <c r="A2030">
        <v>44515</v>
      </c>
      <c r="B2030">
        <v>529154503432</v>
      </c>
      <c r="C2030">
        <v>44510</v>
      </c>
      <c r="D2030" t="s">
        <v>1671</v>
      </c>
      <c r="E2030" t="s">
        <v>2545</v>
      </c>
      <c r="F2030" t="s">
        <v>113</v>
      </c>
      <c r="G2030" t="s">
        <v>2276</v>
      </c>
      <c r="H2030"/>
      <c r="I2030"/>
      <c r="J2030"/>
      <c r="K2030" t="s">
        <v>2367</v>
      </c>
    </row>
    <row r="2031" spans="1:11">
      <c r="A2031">
        <v>44515</v>
      </c>
      <c r="B2031">
        <v>529154503432</v>
      </c>
      <c r="C2031">
        <v>44510</v>
      </c>
      <c r="D2031" t="s">
        <v>1671</v>
      </c>
      <c r="E2031" t="s">
        <v>2546</v>
      </c>
      <c r="F2031" t="s">
        <v>113</v>
      </c>
      <c r="G2031" t="s">
        <v>2276</v>
      </c>
      <c r="H2031"/>
      <c r="I2031"/>
      <c r="J2031"/>
      <c r="K2031" t="s">
        <v>2367</v>
      </c>
    </row>
    <row r="2032" spans="1:11">
      <c r="A2032">
        <v>44515</v>
      </c>
      <c r="B2032">
        <v>529154503432</v>
      </c>
      <c r="C2032">
        <v>44510</v>
      </c>
      <c r="D2032" t="s">
        <v>1671</v>
      </c>
      <c r="E2032" t="s">
        <v>2547</v>
      </c>
      <c r="F2032" t="s">
        <v>113</v>
      </c>
      <c r="G2032" t="s">
        <v>2276</v>
      </c>
      <c r="H2032"/>
      <c r="I2032"/>
      <c r="J2032"/>
      <c r="K2032" t="s">
        <v>2367</v>
      </c>
    </row>
    <row r="2033" spans="1:11">
      <c r="A2033">
        <v>44515</v>
      </c>
      <c r="B2033">
        <v>529154503432</v>
      </c>
      <c r="C2033">
        <v>44510</v>
      </c>
      <c r="D2033" t="s">
        <v>1671</v>
      </c>
      <c r="E2033" t="s">
        <v>2548</v>
      </c>
      <c r="F2033" t="s">
        <v>113</v>
      </c>
      <c r="G2033" t="s">
        <v>2276</v>
      </c>
      <c r="H2033"/>
      <c r="I2033"/>
      <c r="J2033"/>
      <c r="K2033" t="s">
        <v>2367</v>
      </c>
    </row>
    <row r="2034" spans="1:11">
      <c r="A2034">
        <v>44515</v>
      </c>
      <c r="B2034">
        <v>529154503432</v>
      </c>
      <c r="C2034">
        <v>44510</v>
      </c>
      <c r="D2034" t="s">
        <v>1671</v>
      </c>
      <c r="E2034" t="s">
        <v>2549</v>
      </c>
      <c r="F2034" t="s">
        <v>113</v>
      </c>
      <c r="G2034" t="s">
        <v>2276</v>
      </c>
      <c r="H2034"/>
      <c r="I2034"/>
      <c r="J2034"/>
      <c r="K2034" t="s">
        <v>2367</v>
      </c>
    </row>
    <row r="2035" spans="1:11">
      <c r="A2035">
        <v>44515</v>
      </c>
      <c r="B2035">
        <v>529154503432</v>
      </c>
      <c r="C2035">
        <v>44510</v>
      </c>
      <c r="D2035" t="s">
        <v>1671</v>
      </c>
      <c r="E2035" t="s">
        <v>2550</v>
      </c>
      <c r="F2035" t="s">
        <v>113</v>
      </c>
      <c r="G2035" t="s">
        <v>2276</v>
      </c>
      <c r="H2035"/>
      <c r="I2035"/>
      <c r="J2035"/>
      <c r="K2035" t="s">
        <v>2367</v>
      </c>
    </row>
    <row r="2036" spans="1:11">
      <c r="A2036">
        <v>44515</v>
      </c>
      <c r="B2036">
        <v>529154503432</v>
      </c>
      <c r="C2036">
        <v>44510</v>
      </c>
      <c r="D2036" t="s">
        <v>1671</v>
      </c>
      <c r="E2036" t="s">
        <v>2551</v>
      </c>
      <c r="F2036" t="s">
        <v>113</v>
      </c>
      <c r="G2036" t="s">
        <v>2276</v>
      </c>
      <c r="H2036"/>
      <c r="I2036"/>
      <c r="J2036"/>
      <c r="K2036" t="s">
        <v>2367</v>
      </c>
    </row>
    <row r="2037" spans="1:11">
      <c r="A2037">
        <v>44515</v>
      </c>
      <c r="B2037">
        <v>529154503432</v>
      </c>
      <c r="C2037">
        <v>44510</v>
      </c>
      <c r="D2037" t="s">
        <v>1671</v>
      </c>
      <c r="E2037" t="s">
        <v>2552</v>
      </c>
      <c r="F2037" t="s">
        <v>113</v>
      </c>
      <c r="G2037" t="s">
        <v>2276</v>
      </c>
      <c r="H2037"/>
      <c r="I2037"/>
      <c r="J2037"/>
      <c r="K2037" t="s">
        <v>2367</v>
      </c>
    </row>
    <row r="2038" spans="1:11">
      <c r="A2038">
        <v>44515</v>
      </c>
      <c r="B2038">
        <v>529154503432</v>
      </c>
      <c r="C2038">
        <v>44510</v>
      </c>
      <c r="D2038" t="s">
        <v>1671</v>
      </c>
      <c r="E2038" t="s">
        <v>2553</v>
      </c>
      <c r="F2038" t="s">
        <v>113</v>
      </c>
      <c r="G2038" t="s">
        <v>2276</v>
      </c>
      <c r="H2038"/>
      <c r="I2038"/>
      <c r="J2038"/>
      <c r="K2038" t="s">
        <v>2359</v>
      </c>
    </row>
    <row r="2039" spans="1:11">
      <c r="A2039">
        <v>44515</v>
      </c>
      <c r="B2039">
        <v>529154503432</v>
      </c>
      <c r="C2039">
        <v>44510</v>
      </c>
      <c r="D2039" t="s">
        <v>1671</v>
      </c>
      <c r="E2039" t="s">
        <v>2554</v>
      </c>
      <c r="F2039" t="s">
        <v>113</v>
      </c>
      <c r="G2039" t="s">
        <v>2276</v>
      </c>
      <c r="H2039"/>
      <c r="I2039"/>
      <c r="J2039"/>
      <c r="K2039" t="s">
        <v>2359</v>
      </c>
    </row>
    <row r="2040" spans="1:11">
      <c r="A2040">
        <v>44515</v>
      </c>
      <c r="B2040">
        <v>529154503432</v>
      </c>
      <c r="C2040">
        <v>44510</v>
      </c>
      <c r="D2040" t="s">
        <v>1671</v>
      </c>
      <c r="E2040" t="s">
        <v>2555</v>
      </c>
      <c r="F2040" t="s">
        <v>113</v>
      </c>
      <c r="G2040" t="s">
        <v>2276</v>
      </c>
      <c r="H2040"/>
      <c r="I2040"/>
      <c r="J2040"/>
      <c r="K2040" t="s">
        <v>2359</v>
      </c>
    </row>
    <row r="2041" spans="1:11">
      <c r="A2041">
        <v>44515</v>
      </c>
      <c r="B2041">
        <v>529154503432</v>
      </c>
      <c r="C2041">
        <v>44510</v>
      </c>
      <c r="D2041" t="s">
        <v>1671</v>
      </c>
      <c r="E2041" t="s">
        <v>2556</v>
      </c>
      <c r="F2041" t="s">
        <v>113</v>
      </c>
      <c r="G2041" t="s">
        <v>2276</v>
      </c>
      <c r="H2041"/>
      <c r="I2041"/>
      <c r="J2041"/>
      <c r="K2041" t="s">
        <v>2359</v>
      </c>
    </row>
    <row r="2042" spans="1:11">
      <c r="A2042">
        <v>44515</v>
      </c>
      <c r="B2042">
        <v>529154503432</v>
      </c>
      <c r="C2042">
        <v>44510</v>
      </c>
      <c r="D2042" t="s">
        <v>1671</v>
      </c>
      <c r="E2042" t="s">
        <v>2557</v>
      </c>
      <c r="F2042" t="s">
        <v>113</v>
      </c>
      <c r="G2042" t="s">
        <v>2276</v>
      </c>
      <c r="H2042"/>
      <c r="I2042"/>
      <c r="J2042"/>
      <c r="K2042" t="s">
        <v>2359</v>
      </c>
    </row>
    <row r="2043" spans="1:11">
      <c r="A2043">
        <v>44515</v>
      </c>
      <c r="B2043">
        <v>529154503432</v>
      </c>
      <c r="C2043">
        <v>44510</v>
      </c>
      <c r="D2043" t="s">
        <v>1671</v>
      </c>
      <c r="E2043" t="s">
        <v>2558</v>
      </c>
      <c r="F2043" t="s">
        <v>113</v>
      </c>
      <c r="G2043" t="s">
        <v>2276</v>
      </c>
      <c r="H2043"/>
      <c r="I2043"/>
      <c r="J2043"/>
      <c r="K2043" t="s">
        <v>2359</v>
      </c>
    </row>
    <row r="2044" spans="1:11">
      <c r="A2044">
        <v>44515</v>
      </c>
      <c r="B2044">
        <v>529154503432</v>
      </c>
      <c r="C2044">
        <v>44510</v>
      </c>
      <c r="D2044" t="s">
        <v>1671</v>
      </c>
      <c r="E2044" t="s">
        <v>2559</v>
      </c>
      <c r="F2044" t="s">
        <v>113</v>
      </c>
      <c r="G2044" t="s">
        <v>2276</v>
      </c>
      <c r="H2044"/>
      <c r="I2044"/>
      <c r="J2044"/>
      <c r="K2044" t="s">
        <v>2359</v>
      </c>
    </row>
    <row r="2045" spans="1:11">
      <c r="A2045">
        <v>44515</v>
      </c>
      <c r="B2045">
        <v>529154503432</v>
      </c>
      <c r="C2045">
        <v>44510</v>
      </c>
      <c r="D2045" t="s">
        <v>1671</v>
      </c>
      <c r="E2045" t="s">
        <v>2560</v>
      </c>
      <c r="F2045" t="s">
        <v>113</v>
      </c>
      <c r="G2045" t="s">
        <v>2276</v>
      </c>
      <c r="H2045"/>
      <c r="I2045"/>
      <c r="J2045"/>
      <c r="K2045" t="s">
        <v>2359</v>
      </c>
    </row>
    <row r="2046" spans="1:11">
      <c r="A2046">
        <v>44515</v>
      </c>
      <c r="B2046">
        <v>529154503432</v>
      </c>
      <c r="C2046">
        <v>44510</v>
      </c>
      <c r="D2046" t="s">
        <v>1671</v>
      </c>
      <c r="E2046" t="s">
        <v>2561</v>
      </c>
      <c r="F2046" t="s">
        <v>113</v>
      </c>
      <c r="G2046" t="s">
        <v>2276</v>
      </c>
      <c r="H2046"/>
      <c r="I2046"/>
      <c r="J2046"/>
      <c r="K2046" t="s">
        <v>2349</v>
      </c>
    </row>
    <row r="2047" spans="1:11">
      <c r="A2047">
        <v>44515</v>
      </c>
      <c r="B2047">
        <v>529154503432</v>
      </c>
      <c r="C2047">
        <v>44510</v>
      </c>
      <c r="D2047" t="s">
        <v>1671</v>
      </c>
      <c r="E2047" t="s">
        <v>2562</v>
      </c>
      <c r="F2047" t="s">
        <v>113</v>
      </c>
      <c r="G2047" t="s">
        <v>2276</v>
      </c>
      <c r="H2047"/>
      <c r="I2047"/>
      <c r="J2047"/>
      <c r="K2047" t="s">
        <v>2349</v>
      </c>
    </row>
    <row r="2048" spans="1:11">
      <c r="A2048">
        <v>44515</v>
      </c>
      <c r="B2048">
        <v>529154503432</v>
      </c>
      <c r="C2048">
        <v>44510</v>
      </c>
      <c r="D2048" t="s">
        <v>1671</v>
      </c>
      <c r="E2048" t="s">
        <v>2563</v>
      </c>
      <c r="F2048" t="s">
        <v>113</v>
      </c>
      <c r="G2048" t="s">
        <v>2276</v>
      </c>
      <c r="H2048"/>
      <c r="I2048"/>
      <c r="J2048"/>
      <c r="K2048" t="s">
        <v>2349</v>
      </c>
    </row>
    <row r="2049" spans="1:11">
      <c r="A2049">
        <v>44515</v>
      </c>
      <c r="B2049">
        <v>529154503432</v>
      </c>
      <c r="C2049">
        <v>44510</v>
      </c>
      <c r="D2049" t="s">
        <v>1671</v>
      </c>
      <c r="E2049" t="s">
        <v>2564</v>
      </c>
      <c r="F2049" t="s">
        <v>113</v>
      </c>
      <c r="G2049" t="s">
        <v>2276</v>
      </c>
      <c r="H2049"/>
      <c r="I2049"/>
      <c r="J2049"/>
      <c r="K2049" t="s">
        <v>2349</v>
      </c>
    </row>
    <row r="2050" spans="1:11">
      <c r="A2050">
        <v>44529</v>
      </c>
      <c r="B2050" t="s">
        <v>223</v>
      </c>
      <c r="C2050">
        <v>44526</v>
      </c>
      <c r="D2050" t="s">
        <v>2213</v>
      </c>
      <c r="E2050" t="s">
        <v>2565</v>
      </c>
      <c r="F2050" t="s">
        <v>210</v>
      </c>
      <c r="G2050">
        <v>931372236</v>
      </c>
      <c r="H2050"/>
      <c r="I2050"/>
      <c r="J2050"/>
      <c r="K2050" t="s">
        <v>2357</v>
      </c>
    </row>
    <row r="2051" spans="1:11">
      <c r="A2051">
        <v>44529</v>
      </c>
      <c r="B2051" t="s">
        <v>223</v>
      </c>
      <c r="C2051">
        <v>44526</v>
      </c>
      <c r="D2051" t="s">
        <v>2213</v>
      </c>
      <c r="E2051" t="s">
        <v>2566</v>
      </c>
      <c r="F2051" t="s">
        <v>210</v>
      </c>
      <c r="G2051">
        <v>931372236</v>
      </c>
      <c r="H2051"/>
      <c r="I2051"/>
      <c r="J2051"/>
      <c r="K2051" t="s">
        <v>2351</v>
      </c>
    </row>
    <row r="2052" spans="1:11">
      <c r="A2052">
        <v>44529</v>
      </c>
      <c r="B2052" t="s">
        <v>223</v>
      </c>
      <c r="C2052">
        <v>44526</v>
      </c>
      <c r="D2052" t="s">
        <v>2213</v>
      </c>
      <c r="E2052" t="s">
        <v>2567</v>
      </c>
      <c r="F2052" t="s">
        <v>210</v>
      </c>
      <c r="G2052">
        <v>931372236</v>
      </c>
      <c r="H2052"/>
      <c r="I2052"/>
      <c r="J2052"/>
      <c r="K2052" t="s">
        <v>2353</v>
      </c>
    </row>
    <row r="2053" spans="1:11">
      <c r="A2053">
        <v>44529</v>
      </c>
      <c r="B2053" t="s">
        <v>223</v>
      </c>
      <c r="C2053">
        <v>44526</v>
      </c>
      <c r="D2053" t="s">
        <v>2213</v>
      </c>
      <c r="E2053" t="s">
        <v>2568</v>
      </c>
      <c r="F2053" t="s">
        <v>210</v>
      </c>
      <c r="G2053">
        <v>931372236</v>
      </c>
      <c r="H2053"/>
      <c r="I2053"/>
      <c r="J2053"/>
      <c r="K2053" t="s">
        <v>2361</v>
      </c>
    </row>
    <row r="2054" spans="1:11">
      <c r="A2054">
        <v>44529</v>
      </c>
      <c r="B2054" t="s">
        <v>223</v>
      </c>
      <c r="C2054">
        <v>44526</v>
      </c>
      <c r="D2054" t="s">
        <v>2213</v>
      </c>
      <c r="E2054" t="s">
        <v>2569</v>
      </c>
      <c r="F2054" t="s">
        <v>210</v>
      </c>
      <c r="G2054">
        <v>931372236</v>
      </c>
      <c r="H2054"/>
      <c r="I2054"/>
      <c r="J2054"/>
      <c r="K2054" t="s">
        <v>2365</v>
      </c>
    </row>
    <row r="2055" spans="1:11">
      <c r="A2055">
        <v>44529</v>
      </c>
      <c r="B2055" t="s">
        <v>223</v>
      </c>
      <c r="C2055">
        <v>44526</v>
      </c>
      <c r="D2055" t="s">
        <v>2213</v>
      </c>
      <c r="E2055" t="s">
        <v>2570</v>
      </c>
      <c r="F2055" t="s">
        <v>210</v>
      </c>
      <c r="G2055">
        <v>931372236</v>
      </c>
      <c r="H2055"/>
      <c r="I2055"/>
      <c r="J2055"/>
      <c r="K2055" t="s">
        <v>2363</v>
      </c>
    </row>
    <row r="2056" spans="1:11">
      <c r="A2056">
        <v>44529</v>
      </c>
      <c r="B2056" t="s">
        <v>223</v>
      </c>
      <c r="C2056">
        <v>44526</v>
      </c>
      <c r="D2056" t="s">
        <v>2213</v>
      </c>
      <c r="E2056" t="s">
        <v>2571</v>
      </c>
      <c r="F2056" t="s">
        <v>210</v>
      </c>
      <c r="G2056">
        <v>931372236</v>
      </c>
      <c r="H2056"/>
      <c r="I2056"/>
      <c r="J2056"/>
      <c r="K2056" t="s">
        <v>2367</v>
      </c>
    </row>
    <row r="2057" spans="1:11">
      <c r="A2057">
        <v>44529</v>
      </c>
      <c r="B2057" t="s">
        <v>223</v>
      </c>
      <c r="C2057">
        <v>44526</v>
      </c>
      <c r="D2057" t="s">
        <v>2213</v>
      </c>
      <c r="E2057" t="s">
        <v>2572</v>
      </c>
      <c r="F2057" t="s">
        <v>210</v>
      </c>
      <c r="G2057">
        <v>931372236</v>
      </c>
      <c r="H2057"/>
      <c r="I2057"/>
      <c r="J2057"/>
      <c r="K2057" t="s">
        <v>2359</v>
      </c>
    </row>
    <row r="2058" spans="1:11">
      <c r="A2058">
        <v>44529</v>
      </c>
      <c r="B2058" t="s">
        <v>223</v>
      </c>
      <c r="C2058">
        <v>44526</v>
      </c>
      <c r="D2058" t="s">
        <v>2213</v>
      </c>
      <c r="E2058" t="s">
        <v>2573</v>
      </c>
      <c r="F2058" t="s">
        <v>210</v>
      </c>
      <c r="G2058">
        <v>931372236</v>
      </c>
      <c r="H2058"/>
      <c r="I2058"/>
      <c r="J2058"/>
      <c r="K2058" t="s">
        <v>2349</v>
      </c>
    </row>
    <row r="2059" spans="1:11">
      <c r="A2059">
        <v>44529</v>
      </c>
      <c r="B2059" t="s">
        <v>223</v>
      </c>
      <c r="C2059">
        <v>44526</v>
      </c>
      <c r="D2059" t="s">
        <v>2213</v>
      </c>
      <c r="E2059" t="s">
        <v>2574</v>
      </c>
      <c r="F2059" t="s">
        <v>210</v>
      </c>
      <c r="G2059">
        <v>931372236</v>
      </c>
      <c r="H2059"/>
      <c r="I2059"/>
      <c r="J2059"/>
      <c r="K2059" t="s">
        <v>2355</v>
      </c>
    </row>
    <row r="2060" spans="1:11">
      <c r="A2060">
        <v>44529</v>
      </c>
      <c r="B2060" t="s">
        <v>223</v>
      </c>
      <c r="C2060">
        <v>44526</v>
      </c>
      <c r="D2060" t="s">
        <v>2213</v>
      </c>
      <c r="E2060" t="s">
        <v>2575</v>
      </c>
      <c r="F2060" t="s">
        <v>210</v>
      </c>
      <c r="G2060">
        <v>931372236</v>
      </c>
      <c r="H2060"/>
      <c r="I2060"/>
      <c r="J2060"/>
      <c r="K2060" t="s">
        <v>2347</v>
      </c>
    </row>
    <row r="2061" spans="1:11">
      <c r="A2061">
        <v>44454</v>
      </c>
      <c r="B2061">
        <v>343770145</v>
      </c>
      <c r="C2061"/>
      <c r="D2061" t="s">
        <v>2141</v>
      </c>
      <c r="E2061" t="s">
        <v>2588</v>
      </c>
      <c r="F2061" t="s">
        <v>982</v>
      </c>
      <c r="G2061"/>
      <c r="H2061"/>
      <c r="I2061"/>
      <c r="J2061"/>
      <c r="K2061" t="s">
        <v>2589</v>
      </c>
    </row>
    <row r="2062" spans="1:11">
      <c r="A2062">
        <v>44536</v>
      </c>
      <c r="B2062" t="s">
        <v>2590</v>
      </c>
      <c r="C2062">
        <v>44532</v>
      </c>
      <c r="D2062" t="s">
        <v>1493</v>
      </c>
      <c r="E2062" t="s">
        <v>2591</v>
      </c>
      <c r="F2062" t="s">
        <v>2592</v>
      </c>
      <c r="G2062">
        <v>3112032</v>
      </c>
      <c r="H2062"/>
      <c r="I2062"/>
      <c r="J2062"/>
      <c r="K2062" t="s">
        <v>2589</v>
      </c>
    </row>
    <row r="2063" spans="1:11">
      <c r="A2063">
        <v>44536</v>
      </c>
      <c r="B2063" t="s">
        <v>2590</v>
      </c>
      <c r="C2063">
        <v>44532</v>
      </c>
      <c r="D2063" t="s">
        <v>1493</v>
      </c>
      <c r="E2063" t="s">
        <v>2593</v>
      </c>
      <c r="F2063" t="s">
        <v>2592</v>
      </c>
      <c r="G2063">
        <v>3112032</v>
      </c>
      <c r="H2063"/>
      <c r="I2063"/>
      <c r="J2063"/>
      <c r="K2063" t="s">
        <v>2589</v>
      </c>
    </row>
    <row r="2064" spans="1:11">
      <c r="A2064">
        <v>44536</v>
      </c>
      <c r="B2064" t="s">
        <v>223</v>
      </c>
      <c r="C2064">
        <v>44533</v>
      </c>
      <c r="D2064" t="s">
        <v>2153</v>
      </c>
      <c r="E2064" t="s">
        <v>2594</v>
      </c>
      <c r="F2064" t="s">
        <v>210</v>
      </c>
      <c r="G2064">
        <v>931376665</v>
      </c>
      <c r="H2064"/>
      <c r="I2064"/>
      <c r="J2064"/>
      <c r="K2064" t="s">
        <v>2589</v>
      </c>
    </row>
    <row r="2065" spans="1:11">
      <c r="A2065"/>
      <c r="B2065"/>
      <c r="C2065"/>
      <c r="D2065" t="s">
        <v>918</v>
      </c>
      <c r="E2065" t="s">
        <v>2595</v>
      </c>
      <c r="F2065"/>
      <c r="G2065"/>
      <c r="H2065"/>
      <c r="I2065"/>
      <c r="J2065"/>
      <c r="K2065" t="s">
        <v>2589</v>
      </c>
    </row>
    <row r="2066" spans="1:11">
      <c r="A2066"/>
      <c r="B2066"/>
      <c r="C2066"/>
      <c r="D2066" t="s">
        <v>918</v>
      </c>
      <c r="E2066" t="s">
        <v>2596</v>
      </c>
      <c r="F2066"/>
      <c r="G2066"/>
      <c r="H2066"/>
      <c r="I2066"/>
      <c r="J2066"/>
      <c r="K2066" t="s">
        <v>2589</v>
      </c>
    </row>
    <row r="2067" spans="1:11">
      <c r="A2067"/>
      <c r="B2067"/>
      <c r="C2067"/>
      <c r="D2067" t="s">
        <v>2608</v>
      </c>
      <c r="E2067" t="s">
        <v>2597</v>
      </c>
      <c r="F2067"/>
      <c r="G2067"/>
      <c r="H2067"/>
      <c r="I2067"/>
      <c r="J2067"/>
      <c r="K2067" t="s">
        <v>2589</v>
      </c>
    </row>
    <row r="2068" spans="1:11">
      <c r="A2068">
        <v>44536</v>
      </c>
      <c r="B2068">
        <v>529154521350</v>
      </c>
      <c r="C2068">
        <v>44532</v>
      </c>
      <c r="D2068" t="s">
        <v>2598</v>
      </c>
      <c r="E2068" t="s">
        <v>2599</v>
      </c>
      <c r="F2068" t="s">
        <v>113</v>
      </c>
      <c r="G2068" t="s">
        <v>2600</v>
      </c>
      <c r="H2068"/>
      <c r="I2068"/>
      <c r="J2068"/>
      <c r="K2068" t="s">
        <v>2589</v>
      </c>
    </row>
    <row r="2069" spans="1:11">
      <c r="A2069">
        <v>44536</v>
      </c>
      <c r="B2069">
        <v>529154521350</v>
      </c>
      <c r="C2069">
        <v>44532</v>
      </c>
      <c r="D2069" t="s">
        <v>2598</v>
      </c>
      <c r="E2069" t="s">
        <v>2601</v>
      </c>
      <c r="F2069" t="s">
        <v>113</v>
      </c>
      <c r="G2069" t="s">
        <v>2600</v>
      </c>
      <c r="H2069"/>
      <c r="I2069"/>
      <c r="J2069"/>
      <c r="K2069" t="s">
        <v>2589</v>
      </c>
    </row>
    <row r="2070" spans="1:11">
      <c r="A2070">
        <v>44536</v>
      </c>
      <c r="B2070">
        <v>332351350176</v>
      </c>
      <c r="C2070">
        <v>44229</v>
      </c>
      <c r="D2070" t="s">
        <v>2148</v>
      </c>
      <c r="E2070" t="s">
        <v>2602</v>
      </c>
      <c r="F2070" t="s">
        <v>905</v>
      </c>
      <c r="G2070" t="s">
        <v>2603</v>
      </c>
      <c r="H2070"/>
      <c r="I2070"/>
      <c r="J2070"/>
      <c r="K2070" t="s">
        <v>2589</v>
      </c>
    </row>
    <row r="2071" spans="1:11">
      <c r="A2071">
        <v>44537</v>
      </c>
      <c r="B2071" t="s">
        <v>2604</v>
      </c>
      <c r="C2071">
        <v>44536</v>
      </c>
      <c r="D2071" t="s">
        <v>2605</v>
      </c>
      <c r="E2071" t="s">
        <v>2606</v>
      </c>
      <c r="F2071" t="s">
        <v>202</v>
      </c>
      <c r="G2071" t="s">
        <v>2607</v>
      </c>
      <c r="H2071"/>
      <c r="I2071"/>
      <c r="J2071"/>
      <c r="K2071" t="s">
        <v>2589</v>
      </c>
    </row>
    <row r="2072" spans="1:11">
      <c r="A2072">
        <v>44347</v>
      </c>
      <c r="B2072" t="s">
        <v>1603</v>
      </c>
      <c r="C2072">
        <v>44344</v>
      </c>
      <c r="D2072" t="s">
        <v>2609</v>
      </c>
      <c r="E2072" t="s">
        <v>2610</v>
      </c>
      <c r="F2072" t="s">
        <v>599</v>
      </c>
      <c r="G2072" t="s">
        <v>1606</v>
      </c>
      <c r="H2072"/>
      <c r="I2072"/>
      <c r="J2072"/>
      <c r="K2072" t="s">
        <v>2611</v>
      </c>
    </row>
    <row r="2073" spans="1:11">
      <c r="A2073">
        <v>44483</v>
      </c>
      <c r="B2073" t="s">
        <v>2612</v>
      </c>
      <c r="C2073">
        <v>44482</v>
      </c>
      <c r="D2073" t="s">
        <v>770</v>
      </c>
      <c r="E2073" t="s">
        <v>2613</v>
      </c>
      <c r="F2073" t="s">
        <v>202</v>
      </c>
      <c r="G2073" t="s">
        <v>2614</v>
      </c>
      <c r="H2073"/>
      <c r="I2073"/>
      <c r="J2073"/>
      <c r="K2073" t="s">
        <v>2611</v>
      </c>
    </row>
    <row r="2074" spans="1:11">
      <c r="A2074">
        <v>44529</v>
      </c>
      <c r="B2074" t="s">
        <v>2615</v>
      </c>
      <c r="C2074">
        <v>44525</v>
      </c>
      <c r="D2074" t="s">
        <v>2616</v>
      </c>
      <c r="E2074" t="s">
        <v>2617</v>
      </c>
      <c r="F2074" t="s">
        <v>631</v>
      </c>
      <c r="G2074" t="s">
        <v>2618</v>
      </c>
      <c r="H2074"/>
      <c r="I2074"/>
      <c r="J2074"/>
      <c r="K2074" t="s">
        <v>2611</v>
      </c>
    </row>
    <row r="2075" spans="1:11">
      <c r="A2075">
        <v>44529</v>
      </c>
      <c r="B2075">
        <v>3323351283900</v>
      </c>
      <c r="C2075">
        <v>44525</v>
      </c>
      <c r="D2075" t="s">
        <v>2654</v>
      </c>
      <c r="E2075" t="s">
        <v>2619</v>
      </c>
      <c r="F2075" t="s">
        <v>905</v>
      </c>
      <c r="G2075">
        <v>131309872</v>
      </c>
      <c r="H2075"/>
      <c r="I2075"/>
      <c r="J2075"/>
      <c r="K2075" t="s">
        <v>2611</v>
      </c>
    </row>
    <row r="2076" spans="1:11">
      <c r="A2076">
        <v>44529</v>
      </c>
      <c r="B2076">
        <v>3323351283900</v>
      </c>
      <c r="C2076">
        <v>44525</v>
      </c>
      <c r="D2076" t="s">
        <v>2654</v>
      </c>
      <c r="E2076" t="s">
        <v>2620</v>
      </c>
      <c r="F2076" t="s">
        <v>905</v>
      </c>
      <c r="G2076">
        <v>131309872</v>
      </c>
      <c r="H2076"/>
      <c r="I2076"/>
      <c r="J2076"/>
      <c r="K2076" t="s">
        <v>2611</v>
      </c>
    </row>
    <row r="2077" spans="1:11">
      <c r="A2077">
        <v>44529</v>
      </c>
      <c r="B2077">
        <v>3323351283900</v>
      </c>
      <c r="C2077">
        <v>44525</v>
      </c>
      <c r="D2077" t="s">
        <v>2654</v>
      </c>
      <c r="E2077" t="s">
        <v>2621</v>
      </c>
      <c r="F2077" t="s">
        <v>905</v>
      </c>
      <c r="G2077">
        <v>131309872</v>
      </c>
      <c r="H2077"/>
      <c r="I2077"/>
      <c r="J2077"/>
      <c r="K2077" t="s">
        <v>2611</v>
      </c>
    </row>
    <row r="2078" spans="1:11">
      <c r="A2078">
        <v>44529</v>
      </c>
      <c r="B2078">
        <v>3323351283900</v>
      </c>
      <c r="C2078">
        <v>44525</v>
      </c>
      <c r="D2078" t="s">
        <v>2654</v>
      </c>
      <c r="E2078" t="s">
        <v>2622</v>
      </c>
      <c r="F2078" t="s">
        <v>905</v>
      </c>
      <c r="G2078">
        <v>131309872</v>
      </c>
      <c r="H2078"/>
      <c r="I2078"/>
      <c r="J2078"/>
      <c r="K2078" t="s">
        <v>2611</v>
      </c>
    </row>
    <row r="2079" spans="1:11">
      <c r="A2079" s="1">
        <v>44532</v>
      </c>
      <c r="B2079" s="1">
        <v>332351322456</v>
      </c>
      <c r="C2079" s="1">
        <v>44530</v>
      </c>
      <c r="D2079" s="1" t="s">
        <v>2623</v>
      </c>
      <c r="E2079" s="1" t="s">
        <v>2624</v>
      </c>
      <c r="F2079" s="1" t="s">
        <v>905</v>
      </c>
      <c r="G2079" s="1" t="s">
        <v>2625</v>
      </c>
      <c r="K2079" t="s">
        <v>2611</v>
      </c>
    </row>
    <row r="2080" spans="1:11">
      <c r="A2080">
        <v>44532</v>
      </c>
      <c r="B2080">
        <v>332351322456</v>
      </c>
      <c r="C2080">
        <v>44530</v>
      </c>
      <c r="D2080" t="s">
        <v>1727</v>
      </c>
      <c r="E2080" t="s">
        <v>2626</v>
      </c>
      <c r="F2080" t="s">
        <v>905</v>
      </c>
      <c r="G2080" t="s">
        <v>2625</v>
      </c>
      <c r="H2080"/>
      <c r="I2080"/>
      <c r="J2080"/>
      <c r="K2080" t="s">
        <v>2611</v>
      </c>
    </row>
    <row r="2081" spans="1:11">
      <c r="A2081">
        <v>44536</v>
      </c>
      <c r="B2081" t="s">
        <v>223</v>
      </c>
      <c r="C2081">
        <v>44533</v>
      </c>
      <c r="D2081" t="s">
        <v>2627</v>
      </c>
      <c r="E2081" t="s">
        <v>2628</v>
      </c>
      <c r="F2081" t="s">
        <v>210</v>
      </c>
      <c r="G2081">
        <v>931376665</v>
      </c>
      <c r="H2081"/>
      <c r="I2081"/>
      <c r="J2081"/>
      <c r="K2081" t="s">
        <v>2611</v>
      </c>
    </row>
    <row r="2082" spans="1:11">
      <c r="A2082" s="1">
        <v>44536</v>
      </c>
      <c r="B2082" s="1" t="s">
        <v>223</v>
      </c>
      <c r="C2082" s="1">
        <v>44533</v>
      </c>
      <c r="D2082" s="1" t="s">
        <v>2153</v>
      </c>
      <c r="E2082" s="1" t="s">
        <v>2629</v>
      </c>
      <c r="F2082" s="1" t="s">
        <v>210</v>
      </c>
      <c r="G2082" s="1">
        <v>931376681</v>
      </c>
      <c r="K2082" t="s">
        <v>2611</v>
      </c>
    </row>
    <row r="2083" spans="1:11">
      <c r="A2083"/>
      <c r="B2083"/>
      <c r="C2083"/>
      <c r="D2083" t="s">
        <v>918</v>
      </c>
      <c r="E2083" t="s">
        <v>2630</v>
      </c>
      <c r="F2083"/>
      <c r="G2083"/>
      <c r="H2083"/>
      <c r="I2083"/>
      <c r="J2083"/>
      <c r="K2083" t="s">
        <v>2611</v>
      </c>
    </row>
    <row r="2084" spans="1:11">
      <c r="A2084"/>
      <c r="B2084"/>
      <c r="C2084"/>
      <c r="D2084" t="s">
        <v>918</v>
      </c>
      <c r="E2084" t="s">
        <v>2631</v>
      </c>
      <c r="F2084"/>
      <c r="G2084"/>
      <c r="H2084"/>
      <c r="I2084"/>
      <c r="J2084"/>
      <c r="K2084" t="s">
        <v>2611</v>
      </c>
    </row>
    <row r="2085" spans="1:11">
      <c r="A2085"/>
      <c r="B2085"/>
      <c r="C2085"/>
      <c r="D2085" t="s">
        <v>2608</v>
      </c>
      <c r="E2085" t="s">
        <v>2632</v>
      </c>
      <c r="F2085"/>
      <c r="G2085"/>
      <c r="H2085"/>
      <c r="I2085"/>
      <c r="J2085"/>
      <c r="K2085" t="s">
        <v>2611</v>
      </c>
    </row>
    <row r="2086" spans="1:11">
      <c r="A2086"/>
      <c r="B2086"/>
      <c r="C2086"/>
      <c r="D2086" t="s">
        <v>2633</v>
      </c>
      <c r="E2086" t="s">
        <v>2634</v>
      </c>
      <c r="F2086"/>
      <c r="G2086"/>
      <c r="H2086"/>
      <c r="I2086"/>
      <c r="J2086"/>
      <c r="K2086" t="s">
        <v>2611</v>
      </c>
    </row>
    <row r="2087" spans="1:11">
      <c r="A2087"/>
      <c r="B2087"/>
      <c r="C2087"/>
      <c r="D2087" t="s">
        <v>2633</v>
      </c>
      <c r="E2087" t="s">
        <v>2636</v>
      </c>
      <c r="F2087"/>
      <c r="G2087"/>
      <c r="H2087"/>
      <c r="I2087"/>
      <c r="J2087"/>
      <c r="K2087" t="s">
        <v>2635</v>
      </c>
    </row>
    <row r="2088" spans="1:11">
      <c r="A2088">
        <v>44347</v>
      </c>
      <c r="B2088" t="s">
        <v>1603</v>
      </c>
      <c r="C2088">
        <v>44344</v>
      </c>
      <c r="D2088" t="s">
        <v>2609</v>
      </c>
      <c r="E2088" t="s">
        <v>2637</v>
      </c>
      <c r="F2088" t="s">
        <v>599</v>
      </c>
      <c r="G2088" t="s">
        <v>1606</v>
      </c>
      <c r="H2088"/>
      <c r="I2088"/>
      <c r="J2088"/>
      <c r="K2088" t="s">
        <v>2635</v>
      </c>
    </row>
    <row r="2089" spans="1:11">
      <c r="A2089" s="1">
        <v>44483</v>
      </c>
      <c r="B2089" s="1" t="s">
        <v>2612</v>
      </c>
      <c r="C2089" s="1">
        <v>44482</v>
      </c>
      <c r="D2089" s="1" t="s">
        <v>770</v>
      </c>
      <c r="E2089" s="1" t="s">
        <v>2638</v>
      </c>
      <c r="F2089" s="1" t="s">
        <v>202</v>
      </c>
      <c r="G2089" s="1" t="s">
        <v>2614</v>
      </c>
      <c r="K2089" s="1" t="s">
        <v>2635</v>
      </c>
    </row>
    <row r="2090" spans="1:11">
      <c r="A2090" s="1">
        <v>44529</v>
      </c>
      <c r="B2090" s="1">
        <v>3323351283900</v>
      </c>
      <c r="C2090" s="1">
        <v>44525</v>
      </c>
      <c r="D2090" s="1" t="s">
        <v>2623</v>
      </c>
      <c r="E2090" s="1" t="s">
        <v>2639</v>
      </c>
      <c r="F2090" s="1" t="s">
        <v>905</v>
      </c>
      <c r="G2090" s="1">
        <v>131309872</v>
      </c>
      <c r="K2090" s="1" t="s">
        <v>2635</v>
      </c>
    </row>
    <row r="2091" spans="1:11">
      <c r="A2091">
        <v>44529</v>
      </c>
      <c r="B2091">
        <v>3323351283900</v>
      </c>
      <c r="C2091">
        <v>44525</v>
      </c>
      <c r="D2091" t="s">
        <v>1727</v>
      </c>
      <c r="E2091" t="s">
        <v>2640</v>
      </c>
      <c r="F2091" t="s">
        <v>905</v>
      </c>
      <c r="G2091">
        <v>131309872</v>
      </c>
      <c r="H2091"/>
      <c r="I2091"/>
      <c r="J2091"/>
      <c r="K2091" t="s">
        <v>2635</v>
      </c>
    </row>
    <row r="2092" spans="1:11">
      <c r="A2092" s="1">
        <v>44531</v>
      </c>
      <c r="B2092" s="1" t="s">
        <v>2641</v>
      </c>
      <c r="C2092" s="1">
        <v>44529</v>
      </c>
      <c r="D2092" s="1" t="s">
        <v>2616</v>
      </c>
      <c r="E2092" s="1" t="s">
        <v>2642</v>
      </c>
      <c r="F2092" s="1" t="s">
        <v>631</v>
      </c>
      <c r="G2092" s="1" t="s">
        <v>2643</v>
      </c>
      <c r="K2092" s="1" t="s">
        <v>2635</v>
      </c>
    </row>
    <row r="2093" spans="1:11">
      <c r="A2093" s="1">
        <v>44532</v>
      </c>
      <c r="B2093" s="1">
        <v>332351322456</v>
      </c>
      <c r="C2093" s="1">
        <v>44530</v>
      </c>
      <c r="D2093" s="1" t="s">
        <v>2644</v>
      </c>
      <c r="E2093" s="1" t="s">
        <v>2645</v>
      </c>
      <c r="F2093" s="1" t="s">
        <v>905</v>
      </c>
      <c r="G2093" s="1" t="s">
        <v>2625</v>
      </c>
      <c r="K2093" s="1" t="s">
        <v>2635</v>
      </c>
    </row>
    <row r="2094" spans="1:11">
      <c r="A2094" s="1">
        <v>44532</v>
      </c>
      <c r="B2094" s="1">
        <v>332351322456</v>
      </c>
      <c r="C2094" s="1">
        <v>44530</v>
      </c>
      <c r="D2094" s="1" t="s">
        <v>2644</v>
      </c>
      <c r="E2094" s="1" t="s">
        <v>2646</v>
      </c>
      <c r="F2094" s="1" t="s">
        <v>905</v>
      </c>
      <c r="G2094" s="1" t="s">
        <v>2625</v>
      </c>
      <c r="K2094" s="1" t="s">
        <v>2635</v>
      </c>
    </row>
    <row r="2095" spans="1:11">
      <c r="A2095">
        <v>44532</v>
      </c>
      <c r="B2095">
        <v>332351322456</v>
      </c>
      <c r="C2095">
        <v>44530</v>
      </c>
      <c r="D2095" t="s">
        <v>2644</v>
      </c>
      <c r="E2095" t="s">
        <v>2647</v>
      </c>
      <c r="F2095" t="s">
        <v>905</v>
      </c>
      <c r="G2095" t="s">
        <v>2625</v>
      </c>
      <c r="H2095"/>
      <c r="I2095"/>
      <c r="J2095"/>
      <c r="K2095" t="s">
        <v>2635</v>
      </c>
    </row>
    <row r="2096" spans="1:11">
      <c r="A2096" s="1">
        <v>44532</v>
      </c>
      <c r="B2096" s="1">
        <v>332351322456</v>
      </c>
      <c r="C2096" s="1">
        <v>44530</v>
      </c>
      <c r="D2096" s="1" t="s">
        <v>2644</v>
      </c>
      <c r="E2096" s="1" t="s">
        <v>2648</v>
      </c>
      <c r="F2096" s="1" t="s">
        <v>905</v>
      </c>
      <c r="G2096" s="1" t="s">
        <v>2625</v>
      </c>
      <c r="K2096" s="1" t="s">
        <v>2635</v>
      </c>
    </row>
    <row r="2097" spans="1:11">
      <c r="A2097">
        <v>44536</v>
      </c>
      <c r="B2097" t="s">
        <v>223</v>
      </c>
      <c r="C2097">
        <v>44533</v>
      </c>
      <c r="D2097" t="s">
        <v>2627</v>
      </c>
      <c r="E2097" t="s">
        <v>2649</v>
      </c>
      <c r="F2097" t="s">
        <v>210</v>
      </c>
      <c r="G2097">
        <v>931376681</v>
      </c>
      <c r="H2097"/>
      <c r="I2097"/>
      <c r="J2097"/>
      <c r="K2097" t="s">
        <v>2635</v>
      </c>
    </row>
    <row r="2098" spans="1:11">
      <c r="A2098" s="1">
        <v>44536</v>
      </c>
      <c r="B2098" s="1" t="s">
        <v>223</v>
      </c>
      <c r="C2098" s="1">
        <v>44533</v>
      </c>
      <c r="D2098" s="1" t="s">
        <v>2153</v>
      </c>
      <c r="E2098" s="1" t="s">
        <v>2650</v>
      </c>
      <c r="F2098" s="1" t="s">
        <v>210</v>
      </c>
      <c r="G2098" s="1">
        <v>931376680</v>
      </c>
      <c r="K2098" s="1" t="s">
        <v>2635</v>
      </c>
    </row>
    <row r="2099" spans="1:11">
      <c r="A2099"/>
      <c r="B2099"/>
      <c r="C2099"/>
      <c r="D2099" t="s">
        <v>918</v>
      </c>
      <c r="E2099" t="s">
        <v>2651</v>
      </c>
      <c r="F2099"/>
      <c r="G2099"/>
      <c r="H2099"/>
      <c r="I2099"/>
      <c r="J2099"/>
      <c r="K2099" t="s">
        <v>2635</v>
      </c>
    </row>
    <row r="2100" spans="1:11">
      <c r="B2100" s="1"/>
      <c r="D2100" s="1" t="s">
        <v>918</v>
      </c>
      <c r="E2100" s="1" t="s">
        <v>2652</v>
      </c>
      <c r="K2100" s="1" t="s">
        <v>2635</v>
      </c>
    </row>
    <row r="2101" spans="1:11">
      <c r="A2101"/>
      <c r="B2101"/>
      <c r="C2101"/>
      <c r="D2101" t="s">
        <v>2608</v>
      </c>
      <c r="E2101" t="s">
        <v>2653</v>
      </c>
      <c r="F2101"/>
      <c r="G2101"/>
      <c r="H2101"/>
      <c r="I2101"/>
      <c r="J2101"/>
      <c r="K2101" t="s">
        <v>2635</v>
      </c>
    </row>
    <row r="2102" spans="1:11">
      <c r="A2102">
        <v>44306</v>
      </c>
      <c r="B2102">
        <v>980145937116</v>
      </c>
      <c r="C2102">
        <v>44302</v>
      </c>
      <c r="D2102" t="s">
        <v>1370</v>
      </c>
      <c r="E2102" t="s">
        <v>2655</v>
      </c>
      <c r="F2102" t="s">
        <v>2656</v>
      </c>
      <c r="G2102">
        <v>2107260</v>
      </c>
      <c r="H2102"/>
      <c r="I2102"/>
      <c r="J2102"/>
      <c r="K2102" t="s">
        <v>2657</v>
      </c>
    </row>
    <row r="2103" spans="1:11">
      <c r="A2103" s="1">
        <v>44306</v>
      </c>
      <c r="B2103" s="1">
        <v>980145937116</v>
      </c>
      <c r="C2103" s="1">
        <v>44302</v>
      </c>
      <c r="D2103" s="1" t="s">
        <v>1370</v>
      </c>
      <c r="E2103" s="1" t="s">
        <v>2658</v>
      </c>
      <c r="F2103" s="1" t="s">
        <v>2656</v>
      </c>
      <c r="G2103" s="1">
        <v>2107260</v>
      </c>
      <c r="K2103" s="1" t="s">
        <v>2657</v>
      </c>
    </row>
    <row r="2104" spans="1:11">
      <c r="A2104" s="1">
        <v>44538</v>
      </c>
      <c r="B2104" s="1" t="s">
        <v>2659</v>
      </c>
      <c r="C2104" s="1">
        <v>44536</v>
      </c>
      <c r="D2104" t="s">
        <v>2660</v>
      </c>
      <c r="E2104" t="s">
        <v>2661</v>
      </c>
      <c r="F2104" s="1" t="s">
        <v>2662</v>
      </c>
      <c r="G2104"/>
      <c r="H2104"/>
      <c r="I2104"/>
      <c r="J2104"/>
      <c r="K2104" t="s">
        <v>2657</v>
      </c>
    </row>
    <row r="2105" spans="1:11">
      <c r="A2105">
        <v>44539</v>
      </c>
      <c r="B2105">
        <v>529154521821</v>
      </c>
      <c r="C2105">
        <v>44536</v>
      </c>
      <c r="D2105" t="s">
        <v>1370</v>
      </c>
      <c r="E2105" t="s">
        <v>2663</v>
      </c>
      <c r="F2105" t="s">
        <v>113</v>
      </c>
      <c r="G2105" t="s">
        <v>2664</v>
      </c>
      <c r="H2105"/>
      <c r="I2105"/>
      <c r="J2105"/>
      <c r="K2105" t="s">
        <v>2657</v>
      </c>
    </row>
    <row r="2106" spans="1:11">
      <c r="A2106">
        <v>44539</v>
      </c>
      <c r="B2106">
        <v>529154521821</v>
      </c>
      <c r="C2106">
        <v>44536</v>
      </c>
      <c r="D2106" t="s">
        <v>1370</v>
      </c>
      <c r="E2106" t="s">
        <v>2665</v>
      </c>
      <c r="F2106" t="s">
        <v>113</v>
      </c>
      <c r="G2106" t="s">
        <v>2664</v>
      </c>
      <c r="H2106"/>
      <c r="I2106"/>
      <c r="J2106"/>
      <c r="K2106" t="s">
        <v>2657</v>
      </c>
    </row>
    <row r="2107" spans="1:11">
      <c r="A2107">
        <v>44539</v>
      </c>
      <c r="B2107">
        <v>529154521821</v>
      </c>
      <c r="C2107">
        <v>44536</v>
      </c>
      <c r="D2107" t="s">
        <v>1370</v>
      </c>
      <c r="E2107" t="s">
        <v>2666</v>
      </c>
      <c r="F2107" t="s">
        <v>113</v>
      </c>
      <c r="G2107" t="s">
        <v>2664</v>
      </c>
      <c r="H2107"/>
      <c r="I2107"/>
      <c r="J2107"/>
      <c r="K2107" t="s">
        <v>2657</v>
      </c>
    </row>
    <row r="2108" spans="1:11">
      <c r="A2108">
        <v>44539</v>
      </c>
      <c r="B2108">
        <v>529154521821</v>
      </c>
      <c r="C2108">
        <v>44536</v>
      </c>
      <c r="D2108" t="s">
        <v>1370</v>
      </c>
      <c r="E2108" t="s">
        <v>2667</v>
      </c>
      <c r="F2108" t="s">
        <v>113</v>
      </c>
      <c r="G2108" t="s">
        <v>2664</v>
      </c>
      <c r="H2108"/>
      <c r="I2108"/>
      <c r="J2108"/>
      <c r="K2108" t="s">
        <v>2657</v>
      </c>
    </row>
    <row r="2109" spans="1:11">
      <c r="A2109" s="1">
        <v>44539</v>
      </c>
      <c r="B2109" s="1">
        <v>529154521821</v>
      </c>
      <c r="C2109" s="1">
        <v>44536</v>
      </c>
      <c r="D2109" s="1" t="s">
        <v>1370</v>
      </c>
      <c r="E2109" s="1" t="s">
        <v>2668</v>
      </c>
      <c r="F2109" s="1" t="s">
        <v>113</v>
      </c>
      <c r="G2109" s="1" t="s">
        <v>2664</v>
      </c>
      <c r="K2109" s="1" t="s">
        <v>2657</v>
      </c>
    </row>
    <row r="2110" spans="1:11">
      <c r="A2110" s="1">
        <v>44539</v>
      </c>
      <c r="B2110" s="1">
        <v>529154521821</v>
      </c>
      <c r="C2110" s="1">
        <v>44536</v>
      </c>
      <c r="D2110" t="s">
        <v>1370</v>
      </c>
      <c r="E2110" t="s">
        <v>2669</v>
      </c>
      <c r="F2110" s="1" t="s">
        <v>113</v>
      </c>
      <c r="G2110" t="s">
        <v>2664</v>
      </c>
      <c r="H2110"/>
      <c r="I2110"/>
      <c r="J2110"/>
      <c r="K2110" t="s">
        <v>2657</v>
      </c>
    </row>
    <row r="2111" spans="1:11">
      <c r="A2111">
        <v>44543</v>
      </c>
      <c r="B2111">
        <v>775439635124</v>
      </c>
      <c r="C2111">
        <v>44539</v>
      </c>
      <c r="D2111" t="s">
        <v>2670</v>
      </c>
      <c r="E2111" t="s">
        <v>2671</v>
      </c>
      <c r="F2111" t="s">
        <v>2101</v>
      </c>
      <c r="G2111"/>
      <c r="H2111"/>
      <c r="I2111"/>
      <c r="J2111"/>
      <c r="K2111" t="s">
        <v>2657</v>
      </c>
    </row>
    <row r="2112" spans="1:11">
      <c r="A2112">
        <v>44572</v>
      </c>
      <c r="B2112" t="s">
        <v>2672</v>
      </c>
      <c r="C2112">
        <v>44568</v>
      </c>
      <c r="D2112" t="s">
        <v>2144</v>
      </c>
      <c r="E2112" t="s">
        <v>2673</v>
      </c>
      <c r="F2112" t="s">
        <v>2592</v>
      </c>
      <c r="G2112">
        <v>3116464</v>
      </c>
      <c r="H2112"/>
      <c r="I2112"/>
      <c r="J2112"/>
      <c r="K2112" t="s">
        <v>2674</v>
      </c>
    </row>
    <row r="2113" spans="1:11">
      <c r="A2113">
        <v>44572</v>
      </c>
      <c r="B2113" t="s">
        <v>2672</v>
      </c>
      <c r="C2113">
        <v>44568</v>
      </c>
      <c r="D2113" t="s">
        <v>2144</v>
      </c>
      <c r="E2113" t="s">
        <v>2675</v>
      </c>
      <c r="F2113" t="s">
        <v>2592</v>
      </c>
      <c r="G2113">
        <v>3116464</v>
      </c>
      <c r="H2113"/>
      <c r="I2113"/>
      <c r="J2113"/>
      <c r="K2113" t="s">
        <v>2674</v>
      </c>
    </row>
    <row r="2114" spans="1:11">
      <c r="A2114">
        <v>44572</v>
      </c>
      <c r="B2114" t="s">
        <v>2672</v>
      </c>
      <c r="C2114">
        <v>44568</v>
      </c>
      <c r="D2114" t="s">
        <v>2144</v>
      </c>
      <c r="E2114" t="s">
        <v>2676</v>
      </c>
      <c r="F2114" t="s">
        <v>2592</v>
      </c>
      <c r="G2114">
        <v>3116464</v>
      </c>
      <c r="H2114"/>
      <c r="I2114"/>
      <c r="J2114"/>
      <c r="K2114" t="s">
        <v>2674</v>
      </c>
    </row>
    <row r="2115" spans="1:11">
      <c r="A2115">
        <v>44572</v>
      </c>
      <c r="B2115" t="s">
        <v>2672</v>
      </c>
      <c r="C2115">
        <v>44568</v>
      </c>
      <c r="D2115" t="s">
        <v>2144</v>
      </c>
      <c r="E2115" t="s">
        <v>2677</v>
      </c>
      <c r="F2115" t="s">
        <v>2592</v>
      </c>
      <c r="G2115">
        <v>3116464</v>
      </c>
      <c r="H2115"/>
      <c r="I2115"/>
      <c r="J2115"/>
      <c r="K2115" t="s">
        <v>2674</v>
      </c>
    </row>
    <row r="2116" spans="1:11">
      <c r="A2116">
        <v>44572</v>
      </c>
      <c r="B2116" t="s">
        <v>2672</v>
      </c>
      <c r="C2116">
        <v>44568</v>
      </c>
      <c r="D2116" t="s">
        <v>2144</v>
      </c>
      <c r="E2116" t="s">
        <v>2678</v>
      </c>
      <c r="F2116" t="s">
        <v>2592</v>
      </c>
      <c r="G2116">
        <v>3116464</v>
      </c>
      <c r="H2116"/>
      <c r="I2116"/>
      <c r="J2116"/>
      <c r="K2116" t="s">
        <v>2679</v>
      </c>
    </row>
    <row r="2117" spans="1:11">
      <c r="A2117">
        <v>44572</v>
      </c>
      <c r="B2117" t="s">
        <v>2672</v>
      </c>
      <c r="C2117">
        <v>44568</v>
      </c>
      <c r="D2117" t="s">
        <v>2144</v>
      </c>
      <c r="E2117" t="s">
        <v>2680</v>
      </c>
      <c r="F2117" t="s">
        <v>2592</v>
      </c>
      <c r="G2117">
        <v>3116464</v>
      </c>
      <c r="H2117"/>
      <c r="I2117"/>
      <c r="J2117"/>
      <c r="K2117" t="s">
        <v>2679</v>
      </c>
    </row>
    <row r="2118" spans="1:11">
      <c r="A2118">
        <v>44572</v>
      </c>
      <c r="B2118" t="s">
        <v>2672</v>
      </c>
      <c r="C2118">
        <v>44568</v>
      </c>
      <c r="D2118" t="s">
        <v>2144</v>
      </c>
      <c r="E2118" t="s">
        <v>2681</v>
      </c>
      <c r="F2118" t="s">
        <v>2592</v>
      </c>
      <c r="G2118">
        <v>3116464</v>
      </c>
      <c r="H2118"/>
      <c r="I2118"/>
      <c r="J2118"/>
      <c r="K2118" t="s">
        <v>2679</v>
      </c>
    </row>
    <row r="2119" spans="1:11">
      <c r="A2119">
        <v>44572</v>
      </c>
      <c r="B2119" t="s">
        <v>2672</v>
      </c>
      <c r="C2119">
        <v>44568</v>
      </c>
      <c r="D2119" t="s">
        <v>2144</v>
      </c>
      <c r="E2119" t="s">
        <v>2682</v>
      </c>
      <c r="F2119" t="s">
        <v>2592</v>
      </c>
      <c r="G2119">
        <v>3116464</v>
      </c>
      <c r="H2119"/>
      <c r="I2119"/>
      <c r="J2119"/>
      <c r="K2119" t="s">
        <v>2679</v>
      </c>
    </row>
    <row r="2120" spans="1:11">
      <c r="A2120">
        <v>44572</v>
      </c>
      <c r="B2120" t="s">
        <v>2672</v>
      </c>
      <c r="C2120">
        <v>44568</v>
      </c>
      <c r="D2120" t="s">
        <v>2144</v>
      </c>
      <c r="E2120" t="s">
        <v>2683</v>
      </c>
      <c r="F2120" t="s">
        <v>2592</v>
      </c>
      <c r="G2120">
        <v>3116464</v>
      </c>
      <c r="H2120"/>
      <c r="I2120"/>
      <c r="J2120"/>
      <c r="K2120" t="s">
        <v>2684</v>
      </c>
    </row>
    <row r="2121" spans="1:11">
      <c r="A2121">
        <v>44572</v>
      </c>
      <c r="B2121" t="s">
        <v>2672</v>
      </c>
      <c r="C2121">
        <v>44568</v>
      </c>
      <c r="D2121" t="s">
        <v>2144</v>
      </c>
      <c r="E2121" t="s">
        <v>2685</v>
      </c>
      <c r="F2121" t="s">
        <v>2592</v>
      </c>
      <c r="G2121">
        <v>3116464</v>
      </c>
      <c r="H2121"/>
      <c r="I2121"/>
      <c r="J2121"/>
      <c r="K2121" t="s">
        <v>2684</v>
      </c>
    </row>
    <row r="2122" spans="1:11">
      <c r="A2122">
        <v>44572</v>
      </c>
      <c r="B2122" t="s">
        <v>2672</v>
      </c>
      <c r="C2122">
        <v>44568</v>
      </c>
      <c r="D2122" t="s">
        <v>2144</v>
      </c>
      <c r="E2122" t="s">
        <v>2686</v>
      </c>
      <c r="F2122" t="s">
        <v>2592</v>
      </c>
      <c r="G2122">
        <v>3116464</v>
      </c>
      <c r="H2122"/>
      <c r="I2122"/>
      <c r="J2122"/>
      <c r="K2122" t="s">
        <v>2684</v>
      </c>
    </row>
    <row r="2123" spans="1:11">
      <c r="A2123">
        <v>44572</v>
      </c>
      <c r="B2123" t="s">
        <v>2672</v>
      </c>
      <c r="C2123">
        <v>44568</v>
      </c>
      <c r="D2123" t="s">
        <v>2144</v>
      </c>
      <c r="E2123" t="s">
        <v>2687</v>
      </c>
      <c r="F2123" t="s">
        <v>2592</v>
      </c>
      <c r="G2123">
        <v>3116464</v>
      </c>
      <c r="H2123"/>
      <c r="I2123"/>
      <c r="J2123"/>
      <c r="K2123" t="s">
        <v>2684</v>
      </c>
    </row>
    <row r="2124" spans="1:11">
      <c r="A2124">
        <v>44573</v>
      </c>
      <c r="B2124">
        <v>9026077045</v>
      </c>
      <c r="C2124">
        <v>44572</v>
      </c>
      <c r="D2124" t="s">
        <v>2688</v>
      </c>
      <c r="E2124" t="s">
        <v>2689</v>
      </c>
      <c r="F2124" t="s">
        <v>2690</v>
      </c>
      <c r="G2124">
        <v>11053297</v>
      </c>
      <c r="H2124"/>
      <c r="I2124"/>
      <c r="J2124"/>
      <c r="K2124" t="s">
        <v>2684</v>
      </c>
    </row>
    <row r="2125" spans="1:11">
      <c r="A2125">
        <v>44573</v>
      </c>
      <c r="B2125">
        <v>9026077045</v>
      </c>
      <c r="C2125">
        <v>44572</v>
      </c>
      <c r="D2125" t="s">
        <v>2688</v>
      </c>
      <c r="E2125" t="s">
        <v>2691</v>
      </c>
      <c r="F2125" t="s">
        <v>2690</v>
      </c>
      <c r="G2125">
        <v>11053297</v>
      </c>
      <c r="H2125"/>
      <c r="I2125"/>
      <c r="J2125"/>
      <c r="K2125" t="s">
        <v>2684</v>
      </c>
    </row>
    <row r="2126" spans="1:11">
      <c r="A2126">
        <v>44573</v>
      </c>
      <c r="B2126">
        <v>9026077045</v>
      </c>
      <c r="C2126">
        <v>44572</v>
      </c>
      <c r="D2126" t="s">
        <v>2688</v>
      </c>
      <c r="E2126" t="s">
        <v>2692</v>
      </c>
      <c r="F2126" t="s">
        <v>2690</v>
      </c>
      <c r="G2126">
        <v>11053297</v>
      </c>
      <c r="H2126"/>
      <c r="I2126"/>
      <c r="J2126"/>
      <c r="K2126" t="s">
        <v>2679</v>
      </c>
    </row>
    <row r="2127" spans="1:11">
      <c r="A2127">
        <v>44573</v>
      </c>
      <c r="B2127">
        <v>9026077045</v>
      </c>
      <c r="C2127">
        <v>44572</v>
      </c>
      <c r="D2127" t="s">
        <v>2688</v>
      </c>
      <c r="E2127" t="s">
        <v>2693</v>
      </c>
      <c r="F2127" t="s">
        <v>2690</v>
      </c>
      <c r="G2127">
        <v>11053297</v>
      </c>
      <c r="H2127"/>
      <c r="I2127"/>
      <c r="J2127"/>
      <c r="K2127" t="s">
        <v>2679</v>
      </c>
    </row>
    <row r="2128" spans="1:11">
      <c r="A2128">
        <v>44573</v>
      </c>
      <c r="B2128">
        <v>9026077045</v>
      </c>
      <c r="C2128">
        <v>44572</v>
      </c>
      <c r="D2128" t="s">
        <v>2688</v>
      </c>
      <c r="E2128" t="s">
        <v>2694</v>
      </c>
      <c r="F2128" t="s">
        <v>2690</v>
      </c>
      <c r="G2128">
        <v>11053297</v>
      </c>
      <c r="H2128"/>
      <c r="I2128"/>
      <c r="J2128"/>
      <c r="K2128" t="s">
        <v>2674</v>
      </c>
    </row>
    <row r="2129" spans="1:11">
      <c r="A2129">
        <v>44573</v>
      </c>
      <c r="B2129">
        <v>9026077045</v>
      </c>
      <c r="C2129">
        <v>44572</v>
      </c>
      <c r="D2129" t="s">
        <v>2688</v>
      </c>
      <c r="E2129" t="s">
        <v>2695</v>
      </c>
      <c r="F2129" t="s">
        <v>2690</v>
      </c>
      <c r="G2129">
        <v>11053297</v>
      </c>
      <c r="H2129"/>
      <c r="I2129"/>
      <c r="J2129"/>
      <c r="K2129" t="s">
        <v>2674</v>
      </c>
    </row>
    <row r="2130" spans="1:11">
      <c r="A2130">
        <v>44578</v>
      </c>
      <c r="B2130" t="s">
        <v>207</v>
      </c>
      <c r="C2130"/>
      <c r="D2130" t="s">
        <v>2696</v>
      </c>
      <c r="E2130" t="s">
        <v>2697</v>
      </c>
      <c r="F2130"/>
      <c r="G2130"/>
      <c r="H2130"/>
      <c r="I2130"/>
      <c r="J2130"/>
      <c r="K2130" t="s">
        <v>2684</v>
      </c>
    </row>
    <row r="2131" spans="1:11">
      <c r="A2131">
        <v>44578</v>
      </c>
      <c r="B2131" t="s">
        <v>207</v>
      </c>
      <c r="C2131"/>
      <c r="D2131" t="s">
        <v>2698</v>
      </c>
      <c r="E2131" t="s">
        <v>2699</v>
      </c>
      <c r="F2131"/>
      <c r="G2131"/>
      <c r="H2131"/>
      <c r="I2131"/>
      <c r="J2131"/>
      <c r="K2131" t="s">
        <v>2684</v>
      </c>
    </row>
    <row r="2132" spans="1:11">
      <c r="A2132">
        <v>44578</v>
      </c>
      <c r="B2132" t="s">
        <v>207</v>
      </c>
      <c r="C2132"/>
      <c r="D2132" t="s">
        <v>2700</v>
      </c>
      <c r="E2132" t="s">
        <v>2701</v>
      </c>
      <c r="F2132"/>
      <c r="G2132"/>
      <c r="H2132"/>
      <c r="I2132"/>
      <c r="J2132"/>
      <c r="K2132" t="s">
        <v>2684</v>
      </c>
    </row>
    <row r="2133" spans="1:11">
      <c r="A2133">
        <v>44578</v>
      </c>
      <c r="B2133" t="s">
        <v>207</v>
      </c>
      <c r="C2133"/>
      <c r="D2133" t="s">
        <v>2700</v>
      </c>
      <c r="E2133" t="s">
        <v>2702</v>
      </c>
      <c r="F2133"/>
      <c r="G2133"/>
      <c r="H2133"/>
      <c r="I2133"/>
      <c r="J2133"/>
      <c r="K2133" t="s">
        <v>2684</v>
      </c>
    </row>
    <row r="2134" spans="1:11">
      <c r="A2134">
        <v>44578</v>
      </c>
      <c r="B2134" t="s">
        <v>207</v>
      </c>
      <c r="C2134"/>
      <c r="D2134" t="s">
        <v>2703</v>
      </c>
      <c r="E2134" t="s">
        <v>2704</v>
      </c>
      <c r="F2134"/>
      <c r="G2134"/>
      <c r="H2134"/>
      <c r="I2134"/>
      <c r="J2134"/>
      <c r="K2134" t="s">
        <v>2684</v>
      </c>
    </row>
    <row r="2135" spans="1:11">
      <c r="A2135">
        <v>44578</v>
      </c>
      <c r="B2135" t="s">
        <v>207</v>
      </c>
      <c r="C2135"/>
      <c r="D2135" t="s">
        <v>2705</v>
      </c>
      <c r="E2135" t="s">
        <v>2722</v>
      </c>
      <c r="F2135"/>
      <c r="G2135"/>
      <c r="H2135"/>
      <c r="I2135"/>
      <c r="J2135"/>
      <c r="K2135" t="s">
        <v>2684</v>
      </c>
    </row>
    <row r="2136" spans="1:11">
      <c r="A2136">
        <v>44578</v>
      </c>
      <c r="B2136" t="s">
        <v>207</v>
      </c>
      <c r="C2136"/>
      <c r="D2136" t="s">
        <v>773</v>
      </c>
      <c r="E2136" t="s">
        <v>2706</v>
      </c>
      <c r="F2136"/>
      <c r="G2136"/>
      <c r="H2136"/>
      <c r="I2136"/>
      <c r="J2136"/>
      <c r="K2136" t="s">
        <v>2684</v>
      </c>
    </row>
    <row r="2137" spans="1:11">
      <c r="A2137">
        <v>44578</v>
      </c>
      <c r="B2137" t="s">
        <v>207</v>
      </c>
      <c r="C2137"/>
      <c r="D2137" t="s">
        <v>2696</v>
      </c>
      <c r="E2137" t="s">
        <v>2707</v>
      </c>
      <c r="F2137"/>
      <c r="G2137"/>
      <c r="H2137"/>
      <c r="I2137"/>
      <c r="J2137"/>
      <c r="K2137" t="s">
        <v>2679</v>
      </c>
    </row>
    <row r="2138" spans="1:11">
      <c r="A2138">
        <v>44578</v>
      </c>
      <c r="B2138" t="s">
        <v>207</v>
      </c>
      <c r="C2138"/>
      <c r="D2138" t="s">
        <v>2698</v>
      </c>
      <c r="E2138" t="s">
        <v>2708</v>
      </c>
      <c r="F2138"/>
      <c r="G2138"/>
      <c r="H2138"/>
      <c r="I2138"/>
      <c r="J2138"/>
      <c r="K2138" t="s">
        <v>2679</v>
      </c>
    </row>
    <row r="2139" spans="1:11">
      <c r="A2139">
        <v>44578</v>
      </c>
      <c r="B2139" t="s">
        <v>207</v>
      </c>
      <c r="C2139"/>
      <c r="D2139" t="s">
        <v>2700</v>
      </c>
      <c r="E2139" t="s">
        <v>2709</v>
      </c>
      <c r="F2139"/>
      <c r="G2139"/>
      <c r="H2139"/>
      <c r="I2139"/>
      <c r="J2139"/>
      <c r="K2139" t="s">
        <v>2679</v>
      </c>
    </row>
    <row r="2140" spans="1:11">
      <c r="A2140">
        <v>44578</v>
      </c>
      <c r="B2140" t="s">
        <v>207</v>
      </c>
      <c r="C2140"/>
      <c r="D2140" t="s">
        <v>2700</v>
      </c>
      <c r="E2140" t="s">
        <v>2710</v>
      </c>
      <c r="F2140"/>
      <c r="G2140"/>
      <c r="H2140"/>
      <c r="I2140"/>
      <c r="J2140"/>
      <c r="K2140" t="s">
        <v>2679</v>
      </c>
    </row>
    <row r="2141" spans="1:11">
      <c r="A2141">
        <v>44578</v>
      </c>
      <c r="B2141" t="s">
        <v>207</v>
      </c>
      <c r="C2141"/>
      <c r="D2141" t="s">
        <v>2703</v>
      </c>
      <c r="E2141" t="s">
        <v>2711</v>
      </c>
      <c r="F2141"/>
      <c r="G2141"/>
      <c r="H2141"/>
      <c r="I2141"/>
      <c r="J2141"/>
      <c r="K2141" t="s">
        <v>2679</v>
      </c>
    </row>
    <row r="2142" spans="1:11">
      <c r="A2142">
        <v>44578</v>
      </c>
      <c r="B2142" t="s">
        <v>207</v>
      </c>
      <c r="C2142"/>
      <c r="D2142" t="s">
        <v>2705</v>
      </c>
      <c r="E2142" t="s">
        <v>2712</v>
      </c>
      <c r="F2142"/>
      <c r="G2142"/>
      <c r="H2142"/>
      <c r="I2142"/>
      <c r="J2142"/>
      <c r="K2142" t="s">
        <v>2679</v>
      </c>
    </row>
    <row r="2143" spans="1:11">
      <c r="A2143">
        <v>44578</v>
      </c>
      <c r="B2143" t="s">
        <v>207</v>
      </c>
      <c r="C2143"/>
      <c r="D2143" t="s">
        <v>773</v>
      </c>
      <c r="E2143" t="s">
        <v>2713</v>
      </c>
      <c r="F2143"/>
      <c r="G2143"/>
      <c r="H2143"/>
      <c r="I2143"/>
      <c r="J2143"/>
      <c r="K2143" t="s">
        <v>2679</v>
      </c>
    </row>
    <row r="2144" spans="1:11">
      <c r="A2144">
        <v>44578</v>
      </c>
      <c r="B2144" t="s">
        <v>207</v>
      </c>
      <c r="C2144"/>
      <c r="D2144" t="s">
        <v>2696</v>
      </c>
      <c r="E2144" t="s">
        <v>2714</v>
      </c>
      <c r="F2144"/>
      <c r="G2144"/>
      <c r="H2144"/>
      <c r="I2144"/>
      <c r="J2144"/>
      <c r="K2144" t="s">
        <v>2674</v>
      </c>
    </row>
    <row r="2145" spans="1:11">
      <c r="A2145">
        <v>44578</v>
      </c>
      <c r="B2145" t="s">
        <v>207</v>
      </c>
      <c r="C2145"/>
      <c r="D2145" t="s">
        <v>2698</v>
      </c>
      <c r="E2145" t="s">
        <v>2715</v>
      </c>
      <c r="F2145"/>
      <c r="G2145"/>
      <c r="H2145"/>
      <c r="I2145"/>
      <c r="J2145"/>
      <c r="K2145" t="s">
        <v>2674</v>
      </c>
    </row>
    <row r="2146" spans="1:11">
      <c r="A2146">
        <v>44578</v>
      </c>
      <c r="B2146" t="s">
        <v>207</v>
      </c>
      <c r="C2146"/>
      <c r="D2146" t="s">
        <v>2700</v>
      </c>
      <c r="E2146" t="s">
        <v>2716</v>
      </c>
      <c r="F2146"/>
      <c r="G2146"/>
      <c r="H2146"/>
      <c r="I2146"/>
      <c r="J2146"/>
      <c r="K2146" t="s">
        <v>2674</v>
      </c>
    </row>
    <row r="2147" spans="1:11">
      <c r="A2147">
        <v>44578</v>
      </c>
      <c r="B2147" t="s">
        <v>207</v>
      </c>
      <c r="C2147"/>
      <c r="D2147" t="s">
        <v>2700</v>
      </c>
      <c r="E2147" t="s">
        <v>2717</v>
      </c>
      <c r="F2147"/>
      <c r="G2147"/>
      <c r="H2147"/>
      <c r="I2147"/>
      <c r="J2147"/>
      <c r="K2147" t="s">
        <v>2674</v>
      </c>
    </row>
    <row r="2148" spans="1:11">
      <c r="A2148">
        <v>44578</v>
      </c>
      <c r="B2148" t="s">
        <v>207</v>
      </c>
      <c r="C2148"/>
      <c r="D2148" t="s">
        <v>2703</v>
      </c>
      <c r="E2148" t="s">
        <v>2718</v>
      </c>
      <c r="F2148"/>
      <c r="G2148"/>
      <c r="H2148"/>
      <c r="I2148"/>
      <c r="J2148"/>
      <c r="K2148" t="s">
        <v>2674</v>
      </c>
    </row>
    <row r="2149" spans="1:11">
      <c r="A2149">
        <v>44578</v>
      </c>
      <c r="B2149" t="s">
        <v>207</v>
      </c>
      <c r="C2149"/>
      <c r="D2149" t="s">
        <v>2705</v>
      </c>
      <c r="E2149" t="s">
        <v>2719</v>
      </c>
      <c r="F2149"/>
      <c r="G2149"/>
      <c r="H2149"/>
      <c r="I2149"/>
      <c r="J2149"/>
      <c r="K2149" t="s">
        <v>2674</v>
      </c>
    </row>
    <row r="2150" spans="1:11">
      <c r="A2150">
        <v>44578</v>
      </c>
      <c r="B2150" t="s">
        <v>207</v>
      </c>
      <c r="C2150"/>
      <c r="D2150" t="s">
        <v>773</v>
      </c>
      <c r="E2150" t="s">
        <v>2720</v>
      </c>
      <c r="F2150"/>
      <c r="G2150"/>
      <c r="H2150"/>
      <c r="I2150"/>
      <c r="J2150"/>
      <c r="K2150" t="s">
        <v>2674</v>
      </c>
    </row>
    <row r="2151" spans="1:11">
      <c r="A2151">
        <v>44587</v>
      </c>
      <c r="B2151" t="s">
        <v>2723</v>
      </c>
      <c r="C2151">
        <v>44586</v>
      </c>
      <c r="D2151" t="s">
        <v>2104</v>
      </c>
      <c r="E2151" t="s">
        <v>2724</v>
      </c>
      <c r="F2151" t="s">
        <v>599</v>
      </c>
      <c r="G2151" t="s">
        <v>2725</v>
      </c>
      <c r="H2151"/>
      <c r="I2151"/>
      <c r="J2151"/>
      <c r="K2151" t="s">
        <v>2726</v>
      </c>
    </row>
    <row r="2152" spans="1:11">
      <c r="A2152">
        <v>44587</v>
      </c>
      <c r="B2152" t="s">
        <v>2723</v>
      </c>
      <c r="C2152">
        <v>44586</v>
      </c>
      <c r="D2152" t="s">
        <v>2104</v>
      </c>
      <c r="E2152" t="s">
        <v>2727</v>
      </c>
      <c r="F2152" t="s">
        <v>599</v>
      </c>
      <c r="G2152" t="s">
        <v>2725</v>
      </c>
      <c r="H2152"/>
      <c r="I2152"/>
      <c r="J2152"/>
      <c r="K2152" t="s">
        <v>2726</v>
      </c>
    </row>
    <row r="2153" spans="1:11">
      <c r="A2153">
        <v>44587</v>
      </c>
      <c r="B2153" t="s">
        <v>2723</v>
      </c>
      <c r="C2153">
        <v>44586</v>
      </c>
      <c r="D2153" t="s">
        <v>2104</v>
      </c>
      <c r="E2153" t="s">
        <v>2728</v>
      </c>
      <c r="F2153" t="s">
        <v>599</v>
      </c>
      <c r="G2153" t="s">
        <v>2725</v>
      </c>
      <c r="H2153"/>
      <c r="I2153"/>
      <c r="J2153"/>
      <c r="K2153" t="s">
        <v>2726</v>
      </c>
    </row>
    <row r="2154" spans="1:11">
      <c r="A2154">
        <v>44587</v>
      </c>
      <c r="B2154" t="s">
        <v>2723</v>
      </c>
      <c r="C2154">
        <v>44586</v>
      </c>
      <c r="D2154" t="s">
        <v>2104</v>
      </c>
      <c r="E2154" t="s">
        <v>2729</v>
      </c>
      <c r="F2154" t="s">
        <v>599</v>
      </c>
      <c r="G2154" t="s">
        <v>2725</v>
      </c>
      <c r="H2154"/>
      <c r="I2154"/>
      <c r="J2154"/>
      <c r="K2154" t="s">
        <v>2726</v>
      </c>
    </row>
    <row r="2155" spans="1:11">
      <c r="A2155">
        <v>44587</v>
      </c>
      <c r="B2155" t="s">
        <v>2723</v>
      </c>
      <c r="C2155">
        <v>44586</v>
      </c>
      <c r="D2155" t="s">
        <v>2104</v>
      </c>
      <c r="E2155" t="s">
        <v>2730</v>
      </c>
      <c r="F2155" t="s">
        <v>599</v>
      </c>
      <c r="G2155" t="s">
        <v>2725</v>
      </c>
      <c r="H2155"/>
      <c r="I2155"/>
      <c r="J2155"/>
      <c r="K2155" t="s">
        <v>2731</v>
      </c>
    </row>
    <row r="2156" spans="1:11">
      <c r="A2156">
        <v>44587</v>
      </c>
      <c r="B2156" t="s">
        <v>2723</v>
      </c>
      <c r="C2156">
        <v>44586</v>
      </c>
      <c r="D2156" t="s">
        <v>2104</v>
      </c>
      <c r="E2156" t="s">
        <v>2732</v>
      </c>
      <c r="F2156" t="s">
        <v>599</v>
      </c>
      <c r="G2156" t="s">
        <v>2725</v>
      </c>
      <c r="H2156"/>
      <c r="I2156"/>
      <c r="J2156"/>
      <c r="K2156" t="s">
        <v>2731</v>
      </c>
    </row>
    <row r="2157" spans="1:11">
      <c r="A2157">
        <v>44587</v>
      </c>
      <c r="B2157" t="s">
        <v>2723</v>
      </c>
      <c r="C2157">
        <v>44586</v>
      </c>
      <c r="D2157" t="s">
        <v>2104</v>
      </c>
      <c r="E2157" t="s">
        <v>2733</v>
      </c>
      <c r="F2157" t="s">
        <v>599</v>
      </c>
      <c r="G2157" t="s">
        <v>2725</v>
      </c>
      <c r="H2157"/>
      <c r="I2157"/>
      <c r="J2157"/>
      <c r="K2157" t="s">
        <v>2731</v>
      </c>
    </row>
    <row r="2158" spans="1:11">
      <c r="A2158">
        <v>44587</v>
      </c>
      <c r="B2158" t="s">
        <v>2723</v>
      </c>
      <c r="C2158">
        <v>44586</v>
      </c>
      <c r="D2158" t="s">
        <v>2104</v>
      </c>
      <c r="E2158" t="s">
        <v>2734</v>
      </c>
      <c r="F2158" t="s">
        <v>599</v>
      </c>
      <c r="G2158" t="s">
        <v>2725</v>
      </c>
      <c r="H2158"/>
      <c r="I2158"/>
      <c r="J2158"/>
      <c r="K2158" t="s">
        <v>2731</v>
      </c>
    </row>
    <row r="2159" spans="1:11">
      <c r="A2159">
        <v>44587</v>
      </c>
      <c r="B2159" t="s">
        <v>2723</v>
      </c>
      <c r="C2159">
        <v>44586</v>
      </c>
      <c r="D2159" t="s">
        <v>2104</v>
      </c>
      <c r="E2159" t="s">
        <v>2735</v>
      </c>
      <c r="F2159" t="s">
        <v>599</v>
      </c>
      <c r="G2159" t="s">
        <v>2725</v>
      </c>
      <c r="H2159"/>
      <c r="I2159"/>
      <c r="J2159"/>
      <c r="K2159" t="s">
        <v>2736</v>
      </c>
    </row>
    <row r="2160" spans="1:11">
      <c r="A2160">
        <v>44587</v>
      </c>
      <c r="B2160" t="s">
        <v>2723</v>
      </c>
      <c r="C2160">
        <v>44586</v>
      </c>
      <c r="D2160" t="s">
        <v>2104</v>
      </c>
      <c r="E2160" t="s">
        <v>2737</v>
      </c>
      <c r="F2160" t="s">
        <v>599</v>
      </c>
      <c r="G2160" t="s">
        <v>2725</v>
      </c>
      <c r="H2160"/>
      <c r="I2160"/>
      <c r="J2160"/>
      <c r="K2160" t="s">
        <v>2736</v>
      </c>
    </row>
    <row r="2161" spans="1:11">
      <c r="A2161">
        <v>44587</v>
      </c>
      <c r="B2161" t="s">
        <v>2723</v>
      </c>
      <c r="C2161">
        <v>44586</v>
      </c>
      <c r="D2161" t="s">
        <v>2104</v>
      </c>
      <c r="E2161" t="s">
        <v>2738</v>
      </c>
      <c r="F2161" t="s">
        <v>599</v>
      </c>
      <c r="G2161" t="s">
        <v>2725</v>
      </c>
      <c r="H2161"/>
      <c r="I2161"/>
      <c r="J2161"/>
      <c r="K2161" t="s">
        <v>2736</v>
      </c>
    </row>
    <row r="2162" spans="1:11">
      <c r="A2162">
        <v>44587</v>
      </c>
      <c r="B2162" t="s">
        <v>2723</v>
      </c>
      <c r="C2162">
        <v>44586</v>
      </c>
      <c r="D2162" t="s">
        <v>2104</v>
      </c>
      <c r="E2162" t="s">
        <v>2739</v>
      </c>
      <c r="F2162" t="s">
        <v>599</v>
      </c>
      <c r="G2162" t="s">
        <v>2725</v>
      </c>
      <c r="H2162"/>
      <c r="I2162"/>
      <c r="J2162"/>
      <c r="K2162" t="s">
        <v>2736</v>
      </c>
    </row>
    <row r="2163" spans="1:11">
      <c r="A2163">
        <v>44587</v>
      </c>
      <c r="B2163" t="s">
        <v>2723</v>
      </c>
      <c r="C2163">
        <v>44586</v>
      </c>
      <c r="D2163" t="s">
        <v>2104</v>
      </c>
      <c r="E2163" t="s">
        <v>2740</v>
      </c>
      <c r="F2163" t="s">
        <v>599</v>
      </c>
      <c r="G2163" t="s">
        <v>2725</v>
      </c>
      <c r="H2163"/>
      <c r="I2163"/>
      <c r="J2163"/>
      <c r="K2163" t="s">
        <v>2741</v>
      </c>
    </row>
    <row r="2164" spans="1:11">
      <c r="A2164">
        <v>44587</v>
      </c>
      <c r="B2164" t="s">
        <v>2723</v>
      </c>
      <c r="C2164">
        <v>44586</v>
      </c>
      <c r="D2164" t="s">
        <v>2104</v>
      </c>
      <c r="E2164" t="s">
        <v>2742</v>
      </c>
      <c r="F2164" t="s">
        <v>599</v>
      </c>
      <c r="G2164" t="s">
        <v>2725</v>
      </c>
      <c r="H2164"/>
      <c r="I2164"/>
      <c r="J2164"/>
      <c r="K2164" t="s">
        <v>2741</v>
      </c>
    </row>
    <row r="2165" spans="1:11">
      <c r="A2165">
        <v>44587</v>
      </c>
      <c r="B2165" t="s">
        <v>2723</v>
      </c>
      <c r="C2165">
        <v>44586</v>
      </c>
      <c r="D2165" t="s">
        <v>2104</v>
      </c>
      <c r="E2165" t="s">
        <v>2743</v>
      </c>
      <c r="F2165" t="s">
        <v>599</v>
      </c>
      <c r="G2165" t="s">
        <v>2725</v>
      </c>
      <c r="H2165"/>
      <c r="I2165"/>
      <c r="J2165"/>
      <c r="K2165" t="s">
        <v>2741</v>
      </c>
    </row>
    <row r="2166" spans="1:11">
      <c r="A2166">
        <v>44587</v>
      </c>
      <c r="B2166" t="s">
        <v>2723</v>
      </c>
      <c r="C2166">
        <v>44586</v>
      </c>
      <c r="D2166" t="s">
        <v>2104</v>
      </c>
      <c r="E2166" t="s">
        <v>2744</v>
      </c>
      <c r="F2166" t="s">
        <v>599</v>
      </c>
      <c r="G2166" t="s">
        <v>2725</v>
      </c>
      <c r="H2166"/>
      <c r="I2166"/>
      <c r="J2166"/>
      <c r="K2166" t="s">
        <v>2741</v>
      </c>
    </row>
    <row r="2167" spans="1:11">
      <c r="A2167">
        <v>44587</v>
      </c>
      <c r="B2167" t="s">
        <v>2723</v>
      </c>
      <c r="C2167">
        <v>44586</v>
      </c>
      <c r="D2167" t="s">
        <v>2104</v>
      </c>
      <c r="E2167" t="s">
        <v>2745</v>
      </c>
      <c r="F2167" t="s">
        <v>599</v>
      </c>
      <c r="G2167" t="s">
        <v>2725</v>
      </c>
      <c r="H2167"/>
      <c r="I2167"/>
      <c r="J2167"/>
      <c r="K2167" t="s">
        <v>2746</v>
      </c>
    </row>
    <row r="2168" spans="1:11">
      <c r="A2168">
        <v>44587</v>
      </c>
      <c r="B2168" t="s">
        <v>2723</v>
      </c>
      <c r="C2168">
        <v>44586</v>
      </c>
      <c r="D2168" t="s">
        <v>2104</v>
      </c>
      <c r="E2168" t="s">
        <v>2747</v>
      </c>
      <c r="F2168" t="s">
        <v>599</v>
      </c>
      <c r="G2168" t="s">
        <v>2725</v>
      </c>
      <c r="H2168"/>
      <c r="I2168"/>
      <c r="J2168"/>
      <c r="K2168" t="s">
        <v>2746</v>
      </c>
    </row>
    <row r="2169" spans="1:11">
      <c r="A2169">
        <v>44587</v>
      </c>
      <c r="B2169" t="s">
        <v>2723</v>
      </c>
      <c r="C2169">
        <v>44586</v>
      </c>
      <c r="D2169" t="s">
        <v>2104</v>
      </c>
      <c r="E2169" t="s">
        <v>2748</v>
      </c>
      <c r="F2169" t="s">
        <v>599</v>
      </c>
      <c r="G2169" t="s">
        <v>2725</v>
      </c>
      <c r="H2169"/>
      <c r="I2169"/>
      <c r="J2169"/>
      <c r="K2169" t="s">
        <v>2746</v>
      </c>
    </row>
    <row r="2170" spans="1:11">
      <c r="A2170">
        <v>44587</v>
      </c>
      <c r="B2170" t="s">
        <v>2723</v>
      </c>
      <c r="C2170">
        <v>44586</v>
      </c>
      <c r="D2170" t="s">
        <v>2104</v>
      </c>
      <c r="E2170" t="s">
        <v>2749</v>
      </c>
      <c r="F2170" t="s">
        <v>599</v>
      </c>
      <c r="G2170" t="s">
        <v>2725</v>
      </c>
      <c r="H2170"/>
      <c r="I2170"/>
      <c r="J2170"/>
      <c r="K2170" t="s">
        <v>2746</v>
      </c>
    </row>
    <row r="2171" spans="1:11">
      <c r="A2171">
        <v>44587</v>
      </c>
      <c r="B2171" t="s">
        <v>2723</v>
      </c>
      <c r="C2171">
        <v>44586</v>
      </c>
      <c r="D2171" t="s">
        <v>2104</v>
      </c>
      <c r="E2171" t="s">
        <v>2750</v>
      </c>
      <c r="F2171" t="s">
        <v>599</v>
      </c>
      <c r="G2171" t="s">
        <v>2725</v>
      </c>
      <c r="H2171"/>
      <c r="I2171"/>
      <c r="J2171"/>
      <c r="K2171" t="s">
        <v>2751</v>
      </c>
    </row>
    <row r="2172" spans="1:11">
      <c r="A2172">
        <v>44587</v>
      </c>
      <c r="B2172" t="s">
        <v>2723</v>
      </c>
      <c r="C2172">
        <v>44586</v>
      </c>
      <c r="D2172" t="s">
        <v>2104</v>
      </c>
      <c r="E2172" t="s">
        <v>2752</v>
      </c>
      <c r="F2172" t="s">
        <v>599</v>
      </c>
      <c r="G2172" t="s">
        <v>2725</v>
      </c>
      <c r="H2172"/>
      <c r="I2172"/>
      <c r="J2172"/>
      <c r="K2172" t="s">
        <v>2751</v>
      </c>
    </row>
    <row r="2173" spans="1:11">
      <c r="A2173">
        <v>44587</v>
      </c>
      <c r="B2173" t="s">
        <v>2723</v>
      </c>
      <c r="C2173">
        <v>44586</v>
      </c>
      <c r="D2173" t="s">
        <v>2104</v>
      </c>
      <c r="E2173" t="s">
        <v>2753</v>
      </c>
      <c r="F2173" t="s">
        <v>599</v>
      </c>
      <c r="G2173" t="s">
        <v>2725</v>
      </c>
      <c r="H2173"/>
      <c r="I2173"/>
      <c r="J2173"/>
      <c r="K2173" t="s">
        <v>2754</v>
      </c>
    </row>
    <row r="2174" spans="1:11">
      <c r="A2174">
        <v>44587</v>
      </c>
      <c r="B2174" t="s">
        <v>2723</v>
      </c>
      <c r="C2174">
        <v>44586</v>
      </c>
      <c r="D2174" t="s">
        <v>2104</v>
      </c>
      <c r="E2174" t="s">
        <v>2755</v>
      </c>
      <c r="F2174" t="s">
        <v>599</v>
      </c>
      <c r="G2174" t="s">
        <v>2725</v>
      </c>
      <c r="H2174"/>
      <c r="I2174"/>
      <c r="J2174"/>
      <c r="K2174" t="s">
        <v>2751</v>
      </c>
    </row>
    <row r="2175" spans="1:11">
      <c r="A2175">
        <v>44587</v>
      </c>
      <c r="B2175" t="s">
        <v>2723</v>
      </c>
      <c r="C2175">
        <v>44586</v>
      </c>
      <c r="D2175" t="s">
        <v>2104</v>
      </c>
      <c r="E2175" t="s">
        <v>2756</v>
      </c>
      <c r="F2175" t="s">
        <v>599</v>
      </c>
      <c r="G2175" t="s">
        <v>2725</v>
      </c>
      <c r="H2175"/>
      <c r="I2175"/>
      <c r="J2175"/>
      <c r="K2175" t="s">
        <v>2751</v>
      </c>
    </row>
    <row r="2176" spans="1:11">
      <c r="A2176">
        <v>44587</v>
      </c>
      <c r="B2176" t="s">
        <v>2723</v>
      </c>
      <c r="C2176">
        <v>44586</v>
      </c>
      <c r="D2176" t="s">
        <v>2104</v>
      </c>
      <c r="E2176" t="s">
        <v>2757</v>
      </c>
      <c r="F2176" t="s">
        <v>599</v>
      </c>
      <c r="G2176" t="s">
        <v>2725</v>
      </c>
      <c r="H2176"/>
      <c r="I2176"/>
      <c r="J2176"/>
      <c r="K2176" t="s">
        <v>2758</v>
      </c>
    </row>
    <row r="2177" spans="1:11">
      <c r="A2177">
        <v>44587</v>
      </c>
      <c r="B2177" t="s">
        <v>2723</v>
      </c>
      <c r="C2177">
        <v>44586</v>
      </c>
      <c r="D2177" t="s">
        <v>2104</v>
      </c>
      <c r="E2177" t="s">
        <v>2759</v>
      </c>
      <c r="F2177" t="s">
        <v>599</v>
      </c>
      <c r="G2177" t="s">
        <v>2725</v>
      </c>
      <c r="H2177"/>
      <c r="I2177"/>
      <c r="J2177"/>
      <c r="K2177" t="s">
        <v>2758</v>
      </c>
    </row>
    <row r="2178" spans="1:11">
      <c r="A2178">
        <v>44587</v>
      </c>
      <c r="B2178" t="s">
        <v>2723</v>
      </c>
      <c r="C2178">
        <v>44586</v>
      </c>
      <c r="D2178" t="s">
        <v>2104</v>
      </c>
      <c r="E2178" t="s">
        <v>2760</v>
      </c>
      <c r="F2178" t="s">
        <v>599</v>
      </c>
      <c r="G2178" t="s">
        <v>2725</v>
      </c>
      <c r="H2178"/>
      <c r="I2178"/>
      <c r="J2178"/>
      <c r="K2178" t="s">
        <v>2758</v>
      </c>
    </row>
    <row r="2179" spans="1:11">
      <c r="A2179">
        <v>44587</v>
      </c>
      <c r="B2179" t="s">
        <v>2723</v>
      </c>
      <c r="C2179">
        <v>44586</v>
      </c>
      <c r="D2179" t="s">
        <v>2104</v>
      </c>
      <c r="E2179" t="s">
        <v>2761</v>
      </c>
      <c r="F2179" t="s">
        <v>599</v>
      </c>
      <c r="G2179" t="s">
        <v>2725</v>
      </c>
      <c r="H2179"/>
      <c r="I2179"/>
      <c r="J2179"/>
      <c r="K2179" t="s">
        <v>2754</v>
      </c>
    </row>
    <row r="2180" spans="1:11">
      <c r="A2180">
        <v>44587</v>
      </c>
      <c r="B2180" t="s">
        <v>2723</v>
      </c>
      <c r="C2180">
        <v>44586</v>
      </c>
      <c r="D2180" t="s">
        <v>2104</v>
      </c>
      <c r="E2180" t="s">
        <v>2762</v>
      </c>
      <c r="F2180" t="s">
        <v>599</v>
      </c>
      <c r="G2180" t="s">
        <v>2725</v>
      </c>
      <c r="H2180"/>
      <c r="I2180"/>
      <c r="J2180"/>
      <c r="K2180" t="s">
        <v>2754</v>
      </c>
    </row>
    <row r="2181" spans="1:11">
      <c r="A2181">
        <v>44587</v>
      </c>
      <c r="B2181" t="s">
        <v>2723</v>
      </c>
      <c r="C2181">
        <v>44586</v>
      </c>
      <c r="D2181" t="s">
        <v>2104</v>
      </c>
      <c r="E2181" t="s">
        <v>2763</v>
      </c>
      <c r="F2181" t="s">
        <v>599</v>
      </c>
      <c r="G2181" t="s">
        <v>2725</v>
      </c>
      <c r="H2181"/>
      <c r="I2181"/>
      <c r="J2181"/>
      <c r="K2181" t="s">
        <v>2764</v>
      </c>
    </row>
    <row r="2182" spans="1:11">
      <c r="A2182">
        <v>44587</v>
      </c>
      <c r="B2182" t="s">
        <v>2723</v>
      </c>
      <c r="C2182">
        <v>44586</v>
      </c>
      <c r="D2182" t="s">
        <v>2104</v>
      </c>
      <c r="E2182" t="s">
        <v>2765</v>
      </c>
      <c r="F2182" t="s">
        <v>599</v>
      </c>
      <c r="G2182" t="s">
        <v>2725</v>
      </c>
      <c r="H2182"/>
      <c r="I2182"/>
      <c r="J2182"/>
      <c r="K2182" t="s">
        <v>2754</v>
      </c>
    </row>
    <row r="2183" spans="1:11">
      <c r="A2183">
        <v>44587</v>
      </c>
      <c r="B2183" t="s">
        <v>2723</v>
      </c>
      <c r="C2183">
        <v>44586</v>
      </c>
      <c r="D2183" t="s">
        <v>2104</v>
      </c>
      <c r="E2183" t="s">
        <v>2766</v>
      </c>
      <c r="F2183" t="s">
        <v>599</v>
      </c>
      <c r="G2183" t="s">
        <v>2725</v>
      </c>
      <c r="H2183"/>
      <c r="I2183"/>
      <c r="J2183"/>
      <c r="K2183" t="s">
        <v>2764</v>
      </c>
    </row>
    <row r="2184" spans="1:11">
      <c r="A2184">
        <v>44587</v>
      </c>
      <c r="B2184" t="s">
        <v>2723</v>
      </c>
      <c r="C2184">
        <v>44586</v>
      </c>
      <c r="D2184" t="s">
        <v>2104</v>
      </c>
      <c r="E2184" t="s">
        <v>2767</v>
      </c>
      <c r="F2184" t="s">
        <v>599</v>
      </c>
      <c r="G2184" t="s">
        <v>2725</v>
      </c>
      <c r="H2184"/>
      <c r="I2184"/>
      <c r="J2184"/>
      <c r="K2184" t="s">
        <v>2764</v>
      </c>
    </row>
    <row r="2185" spans="1:11">
      <c r="A2185">
        <v>44587</v>
      </c>
      <c r="B2185" t="s">
        <v>2723</v>
      </c>
      <c r="C2185">
        <v>44586</v>
      </c>
      <c r="D2185" t="s">
        <v>2104</v>
      </c>
      <c r="E2185" t="s">
        <v>2768</v>
      </c>
      <c r="F2185" t="s">
        <v>599</v>
      </c>
      <c r="G2185" t="s">
        <v>2725</v>
      </c>
      <c r="H2185"/>
      <c r="I2185"/>
      <c r="J2185"/>
      <c r="K2185" t="s">
        <v>2758</v>
      </c>
    </row>
    <row r="2186" spans="1:11">
      <c r="A2186">
        <v>44587</v>
      </c>
      <c r="B2186" t="s">
        <v>2723</v>
      </c>
      <c r="C2186">
        <v>44586</v>
      </c>
      <c r="D2186" t="s">
        <v>2104</v>
      </c>
      <c r="E2186" t="s">
        <v>2769</v>
      </c>
      <c r="F2186" t="s">
        <v>599</v>
      </c>
      <c r="G2186" t="s">
        <v>2725</v>
      </c>
      <c r="H2186"/>
      <c r="I2186"/>
      <c r="J2186"/>
      <c r="K2186" t="s">
        <v>2764</v>
      </c>
    </row>
    <row r="2187" spans="1:11">
      <c r="A2187">
        <v>44587</v>
      </c>
      <c r="B2187" t="s">
        <v>2723</v>
      </c>
      <c r="C2187">
        <v>44586</v>
      </c>
      <c r="D2187" t="s">
        <v>2104</v>
      </c>
      <c r="E2187" t="s">
        <v>2770</v>
      </c>
      <c r="F2187" t="s">
        <v>599</v>
      </c>
      <c r="G2187" t="s">
        <v>2725</v>
      </c>
      <c r="H2187"/>
      <c r="I2187"/>
      <c r="J2187"/>
      <c r="K2187" t="s">
        <v>2771</v>
      </c>
    </row>
    <row r="2188" spans="1:11">
      <c r="A2188">
        <v>44587</v>
      </c>
      <c r="B2188" t="s">
        <v>2723</v>
      </c>
      <c r="C2188">
        <v>44586</v>
      </c>
      <c r="D2188" t="s">
        <v>2104</v>
      </c>
      <c r="E2188" t="s">
        <v>2772</v>
      </c>
      <c r="F2188" t="s">
        <v>599</v>
      </c>
      <c r="G2188" t="s">
        <v>2725</v>
      </c>
      <c r="H2188"/>
      <c r="I2188"/>
      <c r="J2188"/>
      <c r="K2188" t="s">
        <v>2771</v>
      </c>
    </row>
    <row r="2189" spans="1:11">
      <c r="A2189">
        <v>44587</v>
      </c>
      <c r="B2189" t="s">
        <v>2723</v>
      </c>
      <c r="C2189">
        <v>44586</v>
      </c>
      <c r="D2189" t="s">
        <v>2104</v>
      </c>
      <c r="E2189" t="s">
        <v>2773</v>
      </c>
      <c r="F2189" t="s">
        <v>599</v>
      </c>
      <c r="G2189" t="s">
        <v>2725</v>
      </c>
      <c r="H2189"/>
      <c r="I2189"/>
      <c r="J2189"/>
      <c r="K2189" t="s">
        <v>2771</v>
      </c>
    </row>
    <row r="2190" spans="1:11">
      <c r="A2190">
        <v>44587</v>
      </c>
      <c r="B2190" t="s">
        <v>2723</v>
      </c>
      <c r="C2190">
        <v>44586</v>
      </c>
      <c r="D2190" t="s">
        <v>2104</v>
      </c>
      <c r="E2190" t="s">
        <v>2774</v>
      </c>
      <c r="F2190" t="s">
        <v>599</v>
      </c>
      <c r="G2190" t="s">
        <v>2725</v>
      </c>
      <c r="H2190"/>
      <c r="I2190"/>
      <c r="J2190"/>
      <c r="K2190" t="s">
        <v>2771</v>
      </c>
    </row>
    <row r="2191" spans="1:11">
      <c r="A2191">
        <v>44601</v>
      </c>
      <c r="B2191" t="s">
        <v>2775</v>
      </c>
      <c r="C2191">
        <v>44599</v>
      </c>
      <c r="D2191" t="s">
        <v>2776</v>
      </c>
      <c r="E2191" t="s">
        <v>2777</v>
      </c>
      <c r="F2191" t="s">
        <v>202</v>
      </c>
      <c r="G2191" t="s">
        <v>2778</v>
      </c>
      <c r="H2191"/>
      <c r="I2191"/>
      <c r="J2191"/>
      <c r="K2191" t="s">
        <v>2771</v>
      </c>
    </row>
    <row r="2192" spans="1:11">
      <c r="A2192">
        <v>44601</v>
      </c>
      <c r="B2192" t="s">
        <v>2775</v>
      </c>
      <c r="C2192">
        <v>44599</v>
      </c>
      <c r="D2192" t="s">
        <v>2776</v>
      </c>
      <c r="E2192" t="s">
        <v>2779</v>
      </c>
      <c r="F2192" t="s">
        <v>202</v>
      </c>
      <c r="G2192" t="s">
        <v>2778</v>
      </c>
      <c r="H2192"/>
      <c r="I2192"/>
      <c r="J2192"/>
      <c r="K2192" t="s">
        <v>2764</v>
      </c>
    </row>
    <row r="2193" spans="1:11">
      <c r="A2193">
        <v>44601</v>
      </c>
      <c r="B2193" t="s">
        <v>2775</v>
      </c>
      <c r="C2193">
        <v>44599</v>
      </c>
      <c r="D2193" t="s">
        <v>2776</v>
      </c>
      <c r="E2193" t="s">
        <v>2780</v>
      </c>
      <c r="F2193" t="s">
        <v>202</v>
      </c>
      <c r="G2193" t="s">
        <v>2778</v>
      </c>
      <c r="H2193"/>
      <c r="I2193"/>
      <c r="J2193"/>
      <c r="K2193" t="s">
        <v>2758</v>
      </c>
    </row>
    <row r="2194" spans="1:11">
      <c r="A2194">
        <v>44601</v>
      </c>
      <c r="B2194" t="s">
        <v>2775</v>
      </c>
      <c r="C2194">
        <v>44599</v>
      </c>
      <c r="D2194" t="s">
        <v>2776</v>
      </c>
      <c r="E2194" t="s">
        <v>2781</v>
      </c>
      <c r="F2194" t="s">
        <v>202</v>
      </c>
      <c r="G2194" t="s">
        <v>2778</v>
      </c>
      <c r="H2194"/>
      <c r="I2194"/>
      <c r="J2194"/>
      <c r="K2194" t="s">
        <v>2754</v>
      </c>
    </row>
    <row r="2195" spans="1:11">
      <c r="A2195">
        <v>44601</v>
      </c>
      <c r="B2195" t="s">
        <v>2775</v>
      </c>
      <c r="C2195">
        <v>44599</v>
      </c>
      <c r="D2195" t="s">
        <v>2776</v>
      </c>
      <c r="E2195" t="s">
        <v>2782</v>
      </c>
      <c r="F2195" t="s">
        <v>202</v>
      </c>
      <c r="G2195" t="s">
        <v>2778</v>
      </c>
      <c r="H2195"/>
      <c r="I2195"/>
      <c r="J2195"/>
      <c r="K2195" t="s">
        <v>2751</v>
      </c>
    </row>
    <row r="2196" spans="1:11">
      <c r="A2196">
        <v>44601</v>
      </c>
      <c r="B2196" t="s">
        <v>2775</v>
      </c>
      <c r="C2196">
        <v>44599</v>
      </c>
      <c r="D2196" t="s">
        <v>2776</v>
      </c>
      <c r="E2196" t="s">
        <v>2783</v>
      </c>
      <c r="F2196" t="s">
        <v>202</v>
      </c>
      <c r="G2196" t="s">
        <v>2778</v>
      </c>
      <c r="H2196"/>
      <c r="I2196"/>
      <c r="J2196"/>
      <c r="K2196" t="s">
        <v>2746</v>
      </c>
    </row>
    <row r="2197" spans="1:11">
      <c r="A2197">
        <v>44601</v>
      </c>
      <c r="B2197" t="s">
        <v>2775</v>
      </c>
      <c r="C2197">
        <v>44599</v>
      </c>
      <c r="D2197" t="s">
        <v>2776</v>
      </c>
      <c r="E2197" t="s">
        <v>2784</v>
      </c>
      <c r="F2197" t="s">
        <v>202</v>
      </c>
      <c r="G2197" t="s">
        <v>2778</v>
      </c>
      <c r="H2197"/>
      <c r="I2197"/>
      <c r="J2197" t="s">
        <v>2785</v>
      </c>
      <c r="K2197" t="s">
        <v>2741</v>
      </c>
    </row>
    <row r="2198" spans="1:11">
      <c r="A2198">
        <v>44601</v>
      </c>
      <c r="B2198" t="s">
        <v>2775</v>
      </c>
      <c r="C2198">
        <v>44599</v>
      </c>
      <c r="D2198" t="s">
        <v>2776</v>
      </c>
      <c r="E2198" t="s">
        <v>2786</v>
      </c>
      <c r="F2198" t="s">
        <v>202</v>
      </c>
      <c r="G2198" t="s">
        <v>2778</v>
      </c>
      <c r="H2198"/>
      <c r="I2198"/>
      <c r="J2198"/>
      <c r="K2198" t="s">
        <v>2736</v>
      </c>
    </row>
    <row r="2199" spans="1:11">
      <c r="A2199">
        <v>44601</v>
      </c>
      <c r="B2199" t="s">
        <v>2775</v>
      </c>
      <c r="C2199">
        <v>44599</v>
      </c>
      <c r="D2199" t="s">
        <v>2776</v>
      </c>
      <c r="E2199" t="s">
        <v>2787</v>
      </c>
      <c r="F2199" t="s">
        <v>202</v>
      </c>
      <c r="G2199" t="s">
        <v>2778</v>
      </c>
      <c r="H2199"/>
      <c r="I2199"/>
      <c r="J2199"/>
      <c r="K2199" t="s">
        <v>2731</v>
      </c>
    </row>
    <row r="2200" spans="1:11">
      <c r="A2200">
        <v>44601</v>
      </c>
      <c r="B2200" t="s">
        <v>2775</v>
      </c>
      <c r="C2200">
        <v>44599</v>
      </c>
      <c r="D2200" t="s">
        <v>2776</v>
      </c>
      <c r="E2200" t="s">
        <v>2788</v>
      </c>
      <c r="F2200" t="s">
        <v>202</v>
      </c>
      <c r="G2200" t="s">
        <v>2778</v>
      </c>
      <c r="H2200"/>
      <c r="I2200"/>
      <c r="J2200"/>
      <c r="K2200" t="s">
        <v>2726</v>
      </c>
    </row>
    <row r="2201" spans="1:11">
      <c r="A2201">
        <v>44602</v>
      </c>
      <c r="B2201" t="s">
        <v>2789</v>
      </c>
      <c r="C2201">
        <v>44599</v>
      </c>
      <c r="D2201" t="s">
        <v>2790</v>
      </c>
      <c r="E2201" t="s">
        <v>2791</v>
      </c>
      <c r="F2201" t="s">
        <v>2101</v>
      </c>
      <c r="G2201" t="s">
        <v>2792</v>
      </c>
      <c r="H2201"/>
      <c r="I2201"/>
      <c r="J2201"/>
      <c r="K2201" t="s">
        <v>2726</v>
      </c>
    </row>
    <row r="2202" spans="1:11">
      <c r="A2202">
        <v>44602</v>
      </c>
      <c r="B2202" t="s">
        <v>2789</v>
      </c>
      <c r="C2202">
        <v>44599</v>
      </c>
      <c r="D2202" t="s">
        <v>2790</v>
      </c>
      <c r="E2202" t="s">
        <v>2793</v>
      </c>
      <c r="F2202" t="s">
        <v>2101</v>
      </c>
      <c r="G2202" t="s">
        <v>2792</v>
      </c>
      <c r="H2202"/>
      <c r="I2202"/>
      <c r="J2202"/>
      <c r="K2202" t="s">
        <v>2731</v>
      </c>
    </row>
    <row r="2203" spans="1:11">
      <c r="A2203">
        <v>44602</v>
      </c>
      <c r="B2203" t="s">
        <v>2789</v>
      </c>
      <c r="C2203">
        <v>44599</v>
      </c>
      <c r="D2203" t="s">
        <v>2790</v>
      </c>
      <c r="E2203" t="s">
        <v>2794</v>
      </c>
      <c r="F2203" t="s">
        <v>2101</v>
      </c>
      <c r="G2203" t="s">
        <v>2792</v>
      </c>
      <c r="H2203"/>
      <c r="I2203"/>
      <c r="J2203"/>
      <c r="K2203" t="s">
        <v>2736</v>
      </c>
    </row>
    <row r="2204" spans="1:11">
      <c r="A2204">
        <v>44602</v>
      </c>
      <c r="B2204" t="s">
        <v>2789</v>
      </c>
      <c r="C2204">
        <v>44599</v>
      </c>
      <c r="D2204" t="s">
        <v>2790</v>
      </c>
      <c r="E2204" t="s">
        <v>2795</v>
      </c>
      <c r="F2204" t="s">
        <v>2101</v>
      </c>
      <c r="G2204" t="s">
        <v>2792</v>
      </c>
      <c r="H2204"/>
      <c r="I2204"/>
      <c r="J2204"/>
      <c r="K2204" t="s">
        <v>2751</v>
      </c>
    </row>
    <row r="2205" spans="1:11">
      <c r="A2205">
        <v>44602</v>
      </c>
      <c r="B2205" t="s">
        <v>2789</v>
      </c>
      <c r="C2205">
        <v>44599</v>
      </c>
      <c r="D2205" t="s">
        <v>2790</v>
      </c>
      <c r="E2205" t="s">
        <v>2796</v>
      </c>
      <c r="F2205" t="s">
        <v>2101</v>
      </c>
      <c r="G2205" t="s">
        <v>2792</v>
      </c>
      <c r="H2205"/>
      <c r="I2205"/>
      <c r="J2205"/>
      <c r="K2205" t="s">
        <v>2754</v>
      </c>
    </row>
    <row r="2206" spans="1:11">
      <c r="A2206">
        <v>44602</v>
      </c>
      <c r="B2206" t="s">
        <v>2789</v>
      </c>
      <c r="C2206">
        <v>44599</v>
      </c>
      <c r="D2206" t="s">
        <v>2790</v>
      </c>
      <c r="E2206" t="s">
        <v>2797</v>
      </c>
      <c r="F2206" t="s">
        <v>2101</v>
      </c>
      <c r="G2206" t="s">
        <v>2792</v>
      </c>
      <c r="H2206"/>
      <c r="I2206"/>
      <c r="J2206"/>
      <c r="K2206" t="s">
        <v>2741</v>
      </c>
    </row>
    <row r="2207" spans="1:11">
      <c r="A2207">
        <v>44602</v>
      </c>
      <c r="B2207" t="s">
        <v>2789</v>
      </c>
      <c r="C2207">
        <v>44599</v>
      </c>
      <c r="D2207" t="s">
        <v>2790</v>
      </c>
      <c r="E2207" t="s">
        <v>2798</v>
      </c>
      <c r="F2207" t="s">
        <v>2101</v>
      </c>
      <c r="G2207" t="s">
        <v>2792</v>
      </c>
      <c r="H2207"/>
      <c r="I2207"/>
      <c r="J2207"/>
      <c r="K2207" t="s">
        <v>2746</v>
      </c>
    </row>
    <row r="2208" spans="1:11">
      <c r="A2208">
        <v>44602</v>
      </c>
      <c r="B2208" t="s">
        <v>2789</v>
      </c>
      <c r="C2208">
        <v>44599</v>
      </c>
      <c r="D2208" t="s">
        <v>2790</v>
      </c>
      <c r="E2208" t="s">
        <v>2799</v>
      </c>
      <c r="F2208" t="s">
        <v>2101</v>
      </c>
      <c r="G2208" t="s">
        <v>2792</v>
      </c>
      <c r="H2208"/>
      <c r="I2208"/>
      <c r="J2208"/>
      <c r="K2208" t="s">
        <v>2758</v>
      </c>
    </row>
    <row r="2209" spans="1:11">
      <c r="A2209">
        <v>44543</v>
      </c>
      <c r="B2209">
        <v>332351408372</v>
      </c>
      <c r="C2209">
        <v>44539</v>
      </c>
      <c r="D2209" t="s">
        <v>2093</v>
      </c>
      <c r="E2209" t="s">
        <v>2800</v>
      </c>
      <c r="F2209" t="s">
        <v>905</v>
      </c>
      <c r="G2209">
        <v>131330824</v>
      </c>
      <c r="H2209"/>
      <c r="I2209"/>
      <c r="J2209"/>
      <c r="K2209" t="s">
        <v>2771</v>
      </c>
    </row>
    <row r="2210" spans="1:11">
      <c r="A2210">
        <v>44543</v>
      </c>
      <c r="B2210">
        <v>332351408372</v>
      </c>
      <c r="C2210">
        <v>44539</v>
      </c>
      <c r="D2210" t="s">
        <v>2093</v>
      </c>
      <c r="E2210" t="s">
        <v>2801</v>
      </c>
      <c r="F2210" t="s">
        <v>905</v>
      </c>
      <c r="G2210">
        <v>131330824</v>
      </c>
      <c r="H2210"/>
      <c r="I2210"/>
      <c r="J2210"/>
      <c r="K2210" t="s">
        <v>2758</v>
      </c>
    </row>
    <row r="2211" spans="1:11">
      <c r="A2211">
        <v>44543</v>
      </c>
      <c r="B2211">
        <v>332351408372</v>
      </c>
      <c r="C2211">
        <v>44539</v>
      </c>
      <c r="D2211" t="s">
        <v>2093</v>
      </c>
      <c r="E2211" t="s">
        <v>2802</v>
      </c>
      <c r="F2211" t="s">
        <v>905</v>
      </c>
      <c r="G2211">
        <v>131330824</v>
      </c>
      <c r="H2211"/>
      <c r="I2211"/>
      <c r="J2211"/>
      <c r="K2211" t="s">
        <v>2764</v>
      </c>
    </row>
    <row r="2212" spans="1:11">
      <c r="A2212">
        <v>44543</v>
      </c>
      <c r="B2212">
        <v>332351408372</v>
      </c>
      <c r="C2212">
        <v>44539</v>
      </c>
      <c r="D2212" t="s">
        <v>2093</v>
      </c>
      <c r="E2212" t="s">
        <v>2803</v>
      </c>
      <c r="F2212" t="s">
        <v>905</v>
      </c>
      <c r="G2212">
        <v>131330824</v>
      </c>
      <c r="H2212"/>
      <c r="I2212"/>
      <c r="J2212"/>
      <c r="K2212" t="s">
        <v>2754</v>
      </c>
    </row>
    <row r="2213" spans="1:11">
      <c r="A2213">
        <v>44543</v>
      </c>
      <c r="B2213">
        <v>332351408372</v>
      </c>
      <c r="C2213">
        <v>44539</v>
      </c>
      <c r="D2213" t="s">
        <v>2093</v>
      </c>
      <c r="E2213" t="s">
        <v>2804</v>
      </c>
      <c r="F2213" t="s">
        <v>905</v>
      </c>
      <c r="G2213">
        <v>131330824</v>
      </c>
      <c r="H2213"/>
      <c r="I2213"/>
      <c r="J2213"/>
      <c r="K2213" t="s">
        <v>2746</v>
      </c>
    </row>
    <row r="2214" spans="1:11">
      <c r="A2214">
        <v>44543</v>
      </c>
      <c r="B2214">
        <v>332351408372</v>
      </c>
      <c r="C2214">
        <v>44539</v>
      </c>
      <c r="D2214" t="s">
        <v>2093</v>
      </c>
      <c r="E2214" t="s">
        <v>2805</v>
      </c>
      <c r="F2214" t="s">
        <v>905</v>
      </c>
      <c r="G2214">
        <v>131330824</v>
      </c>
      <c r="H2214"/>
      <c r="I2214"/>
      <c r="J2214"/>
      <c r="K2214" t="s">
        <v>2736</v>
      </c>
    </row>
    <row r="2215" spans="1:11">
      <c r="A2215">
        <v>44543</v>
      </c>
      <c r="B2215">
        <v>332351408372</v>
      </c>
      <c r="C2215">
        <v>44539</v>
      </c>
      <c r="D2215" t="s">
        <v>2093</v>
      </c>
      <c r="E2215" t="s">
        <v>2806</v>
      </c>
      <c r="F2215" t="s">
        <v>905</v>
      </c>
      <c r="G2215">
        <v>131330824</v>
      </c>
      <c r="H2215"/>
      <c r="I2215"/>
      <c r="J2215"/>
      <c r="K2215" t="s">
        <v>2726</v>
      </c>
    </row>
    <row r="2216" spans="1:11">
      <c r="A2216">
        <v>44543</v>
      </c>
      <c r="B2216">
        <v>332351408372</v>
      </c>
      <c r="C2216">
        <v>44539</v>
      </c>
      <c r="D2216" t="s">
        <v>2093</v>
      </c>
      <c r="E2216" t="s">
        <v>2807</v>
      </c>
      <c r="F2216" t="s">
        <v>905</v>
      </c>
      <c r="G2216">
        <v>131330824</v>
      </c>
      <c r="H2216"/>
      <c r="I2216"/>
      <c r="J2216"/>
      <c r="K2216" t="s">
        <v>2751</v>
      </c>
    </row>
    <row r="2217" spans="1:11">
      <c r="A2217">
        <v>44543</v>
      </c>
      <c r="B2217">
        <v>332351408372</v>
      </c>
      <c r="C2217">
        <v>44539</v>
      </c>
      <c r="D2217" t="s">
        <v>2093</v>
      </c>
      <c r="E2217" t="s">
        <v>2808</v>
      </c>
      <c r="F2217" t="s">
        <v>905</v>
      </c>
      <c r="G2217">
        <v>131330824</v>
      </c>
      <c r="H2217"/>
      <c r="I2217"/>
      <c r="J2217"/>
      <c r="K2217" t="s">
        <v>2741</v>
      </c>
    </row>
    <row r="2218" spans="1:11">
      <c r="A2218">
        <v>44543</v>
      </c>
      <c r="B2218">
        <v>332351408372</v>
      </c>
      <c r="C2218">
        <v>44539</v>
      </c>
      <c r="D2218" t="s">
        <v>2093</v>
      </c>
      <c r="E2218" t="s">
        <v>2809</v>
      </c>
      <c r="F2218" t="s">
        <v>905</v>
      </c>
      <c r="G2218">
        <v>131330824</v>
      </c>
      <c r="H2218"/>
      <c r="I2218"/>
      <c r="J2218"/>
      <c r="K2218" t="s">
        <v>2731</v>
      </c>
    </row>
    <row r="2219" spans="1:11">
      <c r="A2219">
        <v>44545</v>
      </c>
      <c r="B2219"/>
      <c r="C2219">
        <v>44540</v>
      </c>
      <c r="D2219" t="s">
        <v>2096</v>
      </c>
      <c r="E2219" t="s">
        <v>2810</v>
      </c>
      <c r="F2219" t="s">
        <v>113</v>
      </c>
      <c r="G2219">
        <v>2120530</v>
      </c>
      <c r="H2219"/>
      <c r="I2219"/>
      <c r="J2219"/>
      <c r="K2219" t="s">
        <v>2731</v>
      </c>
    </row>
    <row r="2220" spans="1:11">
      <c r="A2220">
        <v>44545</v>
      </c>
      <c r="B2220"/>
      <c r="C2220">
        <v>44540</v>
      </c>
      <c r="D2220" t="s">
        <v>2096</v>
      </c>
      <c r="E2220" t="s">
        <v>2811</v>
      </c>
      <c r="F2220" t="s">
        <v>113</v>
      </c>
      <c r="G2220">
        <v>2120530</v>
      </c>
      <c r="H2220"/>
      <c r="I2220"/>
      <c r="J2220"/>
      <c r="K2220" t="s">
        <v>2726</v>
      </c>
    </row>
    <row r="2221" spans="1:11">
      <c r="A2221">
        <v>44545</v>
      </c>
      <c r="B2221"/>
      <c r="C2221">
        <v>44540</v>
      </c>
      <c r="D2221" t="s">
        <v>2096</v>
      </c>
      <c r="E2221" t="s">
        <v>2812</v>
      </c>
      <c r="F2221" t="s">
        <v>113</v>
      </c>
      <c r="G2221">
        <v>2120530</v>
      </c>
      <c r="H2221"/>
      <c r="I2221"/>
      <c r="J2221"/>
      <c r="K2221" t="s">
        <v>2758</v>
      </c>
    </row>
    <row r="2222" spans="1:11">
      <c r="A2222">
        <v>44545</v>
      </c>
      <c r="B2222"/>
      <c r="C2222">
        <v>44540</v>
      </c>
      <c r="D2222" t="s">
        <v>2096</v>
      </c>
      <c r="E2222" t="s">
        <v>2813</v>
      </c>
      <c r="F2222" t="s">
        <v>113</v>
      </c>
      <c r="G2222">
        <v>2120530</v>
      </c>
      <c r="H2222"/>
      <c r="I2222"/>
      <c r="J2222"/>
      <c r="K2222" t="s">
        <v>2764</v>
      </c>
    </row>
    <row r="2223" spans="1:11">
      <c r="A2223">
        <v>44545</v>
      </c>
      <c r="B2223"/>
      <c r="C2223">
        <v>44540</v>
      </c>
      <c r="D2223" t="s">
        <v>2096</v>
      </c>
      <c r="E2223" t="s">
        <v>2814</v>
      </c>
      <c r="F2223" t="s">
        <v>113</v>
      </c>
      <c r="G2223">
        <v>2120530</v>
      </c>
      <c r="H2223"/>
      <c r="I2223"/>
      <c r="J2223"/>
      <c r="K2223" t="s">
        <v>2771</v>
      </c>
    </row>
    <row r="2224" spans="1:11">
      <c r="A2224">
        <v>44545</v>
      </c>
      <c r="B2224"/>
      <c r="C2224">
        <v>44540</v>
      </c>
      <c r="D2224" t="s">
        <v>2096</v>
      </c>
      <c r="E2224" t="s">
        <v>2815</v>
      </c>
      <c r="F2224" t="s">
        <v>113</v>
      </c>
      <c r="G2224">
        <v>2120530</v>
      </c>
      <c r="H2224"/>
      <c r="I2224"/>
      <c r="J2224"/>
      <c r="K2224" t="s">
        <v>2736</v>
      </c>
    </row>
    <row r="2225" spans="1:11">
      <c r="A2225">
        <v>44545</v>
      </c>
      <c r="B2225"/>
      <c r="C2225">
        <v>44540</v>
      </c>
      <c r="D2225" t="s">
        <v>2096</v>
      </c>
      <c r="E2225" t="s">
        <v>2816</v>
      </c>
      <c r="F2225" t="s">
        <v>113</v>
      </c>
      <c r="G2225">
        <v>2120530</v>
      </c>
      <c r="H2225"/>
      <c r="I2225"/>
      <c r="J2225"/>
      <c r="K2225" t="s">
        <v>2741</v>
      </c>
    </row>
    <row r="2226" spans="1:11">
      <c r="A2226">
        <v>44545</v>
      </c>
      <c r="B2226"/>
      <c r="C2226">
        <v>44540</v>
      </c>
      <c r="D2226" t="s">
        <v>2096</v>
      </c>
      <c r="E2226" t="s">
        <v>2817</v>
      </c>
      <c r="F2226" t="s">
        <v>113</v>
      </c>
      <c r="G2226">
        <v>2120530</v>
      </c>
      <c r="H2226"/>
      <c r="I2226"/>
      <c r="J2226"/>
      <c r="K2226" t="s">
        <v>2746</v>
      </c>
    </row>
    <row r="2227" spans="1:11">
      <c r="A2227">
        <v>44545</v>
      </c>
      <c r="B2227"/>
      <c r="C2227">
        <v>44540</v>
      </c>
      <c r="D2227" t="s">
        <v>2096</v>
      </c>
      <c r="E2227" t="s">
        <v>2818</v>
      </c>
      <c r="F2227" t="s">
        <v>113</v>
      </c>
      <c r="G2227">
        <v>2120530</v>
      </c>
      <c r="H2227"/>
      <c r="I2227"/>
      <c r="J2227"/>
      <c r="K2227" t="s">
        <v>2751</v>
      </c>
    </row>
    <row r="2228" spans="1:11">
      <c r="A2228">
        <v>44545</v>
      </c>
      <c r="B2228"/>
      <c r="C2228">
        <v>44540</v>
      </c>
      <c r="D2228" t="s">
        <v>2096</v>
      </c>
      <c r="E2228" t="s">
        <v>2819</v>
      </c>
      <c r="F2228" t="s">
        <v>113</v>
      </c>
      <c r="G2228">
        <v>2120530</v>
      </c>
      <c r="H2228"/>
      <c r="I2228"/>
      <c r="J2228"/>
      <c r="K2228" t="s">
        <v>2754</v>
      </c>
    </row>
    <row r="2229" spans="1:11">
      <c r="A2229">
        <v>44602</v>
      </c>
      <c r="B2229" t="s">
        <v>2789</v>
      </c>
      <c r="C2229">
        <v>44599</v>
      </c>
      <c r="D2229" t="s">
        <v>2790</v>
      </c>
      <c r="E2229" t="s">
        <v>2820</v>
      </c>
      <c r="F2229" t="s">
        <v>2101</v>
      </c>
      <c r="G2229" t="s">
        <v>2792</v>
      </c>
      <c r="H2229"/>
      <c r="I2229"/>
      <c r="J2229"/>
      <c r="K2229" t="s">
        <v>2764</v>
      </c>
    </row>
    <row r="2230" spans="1:11">
      <c r="A2230">
        <v>44602</v>
      </c>
      <c r="B2230" t="s">
        <v>2789</v>
      </c>
      <c r="C2230">
        <v>44599</v>
      </c>
      <c r="D2230" t="s">
        <v>2790</v>
      </c>
      <c r="E2230" t="s">
        <v>2821</v>
      </c>
      <c r="F2230" t="s">
        <v>2101</v>
      </c>
      <c r="G2230" t="s">
        <v>2792</v>
      </c>
      <c r="H2230"/>
      <c r="I2230"/>
      <c r="J2230"/>
      <c r="K2230" t="s">
        <v>2771</v>
      </c>
    </row>
    <row r="2231" spans="1:11">
      <c r="A2231"/>
      <c r="B2231"/>
      <c r="C2231"/>
      <c r="D2231" t="s">
        <v>2117</v>
      </c>
      <c r="E2231" t="s">
        <v>2823</v>
      </c>
      <c r="F2231"/>
      <c r="G2231"/>
      <c r="H2231"/>
      <c r="I2231"/>
      <c r="J2231"/>
      <c r="K2231" t="s">
        <v>2764</v>
      </c>
    </row>
    <row r="2232" spans="1:11">
      <c r="A2232"/>
      <c r="B2232"/>
      <c r="C2232"/>
      <c r="D2232" t="s">
        <v>2117</v>
      </c>
      <c r="E2232" t="s">
        <v>2824</v>
      </c>
      <c r="F2232"/>
      <c r="G2232"/>
      <c r="H2232"/>
      <c r="I2232"/>
      <c r="J2232"/>
      <c r="K2232" t="s">
        <v>2771</v>
      </c>
    </row>
    <row r="2233" spans="1:11">
      <c r="A2233"/>
      <c r="B2233"/>
      <c r="C2233"/>
      <c r="D2233" t="s">
        <v>2117</v>
      </c>
      <c r="E2233" t="s">
        <v>2825</v>
      </c>
      <c r="F2233"/>
      <c r="G2233"/>
      <c r="H2233"/>
      <c r="I2233"/>
      <c r="J2233"/>
      <c r="K2233" t="s">
        <v>2741</v>
      </c>
    </row>
    <row r="2234" spans="1:11">
      <c r="A2234"/>
      <c r="B2234"/>
      <c r="C2234"/>
      <c r="D2234" t="s">
        <v>2117</v>
      </c>
      <c r="E2234" t="s">
        <v>2826</v>
      </c>
      <c r="F2234"/>
      <c r="G2234"/>
      <c r="H2234"/>
      <c r="I2234"/>
      <c r="J2234"/>
      <c r="K2234" t="s">
        <v>2758</v>
      </c>
    </row>
    <row r="2235" spans="1:11">
      <c r="A2235"/>
      <c r="B2235"/>
      <c r="C2235"/>
      <c r="D2235" t="s">
        <v>2117</v>
      </c>
      <c r="E2235" t="s">
        <v>2827</v>
      </c>
      <c r="F2235"/>
      <c r="G2235"/>
      <c r="H2235"/>
      <c r="I2235"/>
      <c r="J2235"/>
      <c r="K2235" t="s">
        <v>2736</v>
      </c>
    </row>
    <row r="2236" spans="1:11">
      <c r="A2236"/>
      <c r="B2236"/>
      <c r="C2236"/>
      <c r="D2236" t="s">
        <v>2117</v>
      </c>
      <c r="E2236" t="s">
        <v>2828</v>
      </c>
      <c r="F2236"/>
      <c r="G2236"/>
      <c r="H2236"/>
      <c r="I2236"/>
      <c r="J2236"/>
      <c r="K2236" t="s">
        <v>2751</v>
      </c>
    </row>
    <row r="2237" spans="1:11">
      <c r="A2237"/>
      <c r="B2237"/>
      <c r="C2237"/>
      <c r="D2237" t="s">
        <v>2117</v>
      </c>
      <c r="E2237" t="s">
        <v>2829</v>
      </c>
      <c r="F2237"/>
      <c r="G2237"/>
      <c r="H2237"/>
      <c r="I2237"/>
      <c r="J2237"/>
      <c r="K2237" t="s">
        <v>2746</v>
      </c>
    </row>
    <row r="2238" spans="1:11">
      <c r="A2238"/>
      <c r="B2238"/>
      <c r="C2238"/>
      <c r="D2238" t="s">
        <v>2117</v>
      </c>
      <c r="E2238" t="s">
        <v>2830</v>
      </c>
      <c r="F2238"/>
      <c r="G2238"/>
      <c r="H2238"/>
      <c r="I2238"/>
      <c r="J2238"/>
      <c r="K2238" t="s">
        <v>2726</v>
      </c>
    </row>
    <row r="2239" spans="1:11">
      <c r="A2239"/>
      <c r="B2239"/>
      <c r="C2239"/>
      <c r="D2239" t="s">
        <v>2117</v>
      </c>
      <c r="E2239" t="s">
        <v>2831</v>
      </c>
      <c r="F2239"/>
      <c r="G2239"/>
      <c r="H2239"/>
      <c r="I2239"/>
      <c r="J2239"/>
      <c r="K2239" t="s">
        <v>2754</v>
      </c>
    </row>
    <row r="2240" spans="1:11">
      <c r="A2240"/>
      <c r="B2240"/>
      <c r="C2240"/>
      <c r="D2240" t="s">
        <v>2117</v>
      </c>
      <c r="E2240" t="s">
        <v>2832</v>
      </c>
      <c r="F2240"/>
      <c r="G2240"/>
      <c r="H2240"/>
      <c r="I2240"/>
      <c r="J2240"/>
      <c r="K2240" t="s">
        <v>2731</v>
      </c>
    </row>
    <row r="2241" spans="1:11">
      <c r="A2241">
        <v>44608</v>
      </c>
      <c r="B2241">
        <v>9625518932</v>
      </c>
      <c r="C2241">
        <v>44607</v>
      </c>
      <c r="D2241" t="s">
        <v>2833</v>
      </c>
      <c r="E2241" t="s">
        <v>2834</v>
      </c>
      <c r="F2241" t="s">
        <v>2835</v>
      </c>
      <c r="G2241">
        <v>2510804</v>
      </c>
      <c r="H2241"/>
      <c r="I2241"/>
      <c r="J2241"/>
      <c r="K2241" t="s">
        <v>2836</v>
      </c>
    </row>
    <row r="2242" spans="1:11">
      <c r="A2242">
        <v>44608</v>
      </c>
      <c r="B2242">
        <v>9625518932</v>
      </c>
      <c r="C2242">
        <v>44607</v>
      </c>
      <c r="D2242" t="s">
        <v>2833</v>
      </c>
      <c r="E2242" t="s">
        <v>2837</v>
      </c>
      <c r="F2242" t="s">
        <v>2835</v>
      </c>
      <c r="G2242">
        <v>2510804</v>
      </c>
      <c r="H2242"/>
      <c r="I2242"/>
      <c r="J2242"/>
      <c r="K2242" t="s">
        <v>2836</v>
      </c>
    </row>
    <row r="2243" spans="1:11">
      <c r="A2243">
        <v>44608</v>
      </c>
      <c r="B2243">
        <v>9625518932</v>
      </c>
      <c r="C2243">
        <v>44607</v>
      </c>
      <c r="D2243" t="s">
        <v>2833</v>
      </c>
      <c r="E2243" t="s">
        <v>2838</v>
      </c>
      <c r="F2243" t="s">
        <v>2835</v>
      </c>
      <c r="G2243">
        <v>2510804</v>
      </c>
      <c r="H2243"/>
      <c r="I2243"/>
      <c r="J2243"/>
      <c r="K2243" t="s">
        <v>2836</v>
      </c>
    </row>
    <row r="2244" spans="1:11">
      <c r="A2244">
        <v>44608</v>
      </c>
      <c r="B2244">
        <v>9625518932</v>
      </c>
      <c r="C2244">
        <v>44607</v>
      </c>
      <c r="D2244" t="s">
        <v>2833</v>
      </c>
      <c r="E2244" t="s">
        <v>2839</v>
      </c>
      <c r="F2244" t="s">
        <v>2835</v>
      </c>
      <c r="G2244">
        <v>2510804</v>
      </c>
      <c r="H2244"/>
      <c r="I2244"/>
      <c r="J2244"/>
      <c r="K2244" t="s">
        <v>2836</v>
      </c>
    </row>
    <row r="2245" spans="1:11">
      <c r="A2245">
        <v>44608</v>
      </c>
      <c r="B2245">
        <v>9625518932</v>
      </c>
      <c r="C2245">
        <v>44607</v>
      </c>
      <c r="D2245" t="s">
        <v>2833</v>
      </c>
      <c r="E2245" t="s">
        <v>2840</v>
      </c>
      <c r="F2245" t="s">
        <v>2835</v>
      </c>
      <c r="G2245">
        <v>2510804</v>
      </c>
      <c r="H2245"/>
      <c r="I2245"/>
      <c r="J2245"/>
      <c r="K2245" t="s">
        <v>2836</v>
      </c>
    </row>
    <row r="2246" spans="1:11">
      <c r="A2246">
        <v>44608</v>
      </c>
      <c r="B2246">
        <v>9625518932</v>
      </c>
      <c r="C2246">
        <v>44607</v>
      </c>
      <c r="D2246" t="s">
        <v>2833</v>
      </c>
      <c r="E2246" t="s">
        <v>2841</v>
      </c>
      <c r="F2246" t="s">
        <v>2835</v>
      </c>
      <c r="G2246">
        <v>2510804</v>
      </c>
      <c r="H2246"/>
      <c r="I2246"/>
      <c r="J2246"/>
      <c r="K2246" t="s">
        <v>2836</v>
      </c>
    </row>
    <row r="2247" spans="1:11">
      <c r="A2247">
        <v>44613</v>
      </c>
      <c r="B2247" t="s">
        <v>954</v>
      </c>
      <c r="C2247">
        <v>44610</v>
      </c>
      <c r="D2247" t="s">
        <v>2842</v>
      </c>
      <c r="E2247" t="s">
        <v>2843</v>
      </c>
      <c r="F2247" t="s">
        <v>210</v>
      </c>
      <c r="G2247"/>
      <c r="H2247"/>
      <c r="I2247"/>
      <c r="J2247"/>
      <c r="K2247" t="s">
        <v>2836</v>
      </c>
    </row>
    <row r="2248" spans="1:11">
      <c r="A2248"/>
      <c r="B2248"/>
      <c r="C2248"/>
      <c r="D2248" t="s">
        <v>2850</v>
      </c>
      <c r="E2248" t="s">
        <v>2844</v>
      </c>
      <c r="F2248"/>
      <c r="G2248"/>
      <c r="H2248"/>
      <c r="I2248"/>
      <c r="J2248"/>
      <c r="K2248" t="s">
        <v>2836</v>
      </c>
    </row>
    <row r="2249" spans="1:11">
      <c r="A2249"/>
      <c r="B2249"/>
      <c r="C2249"/>
      <c r="D2249" t="s">
        <v>1725</v>
      </c>
      <c r="E2249" t="s">
        <v>2845</v>
      </c>
      <c r="F2249"/>
      <c r="G2249"/>
      <c r="H2249"/>
      <c r="I2249"/>
      <c r="J2249"/>
      <c r="K2249" t="s">
        <v>2836</v>
      </c>
    </row>
    <row r="2250" spans="1:11">
      <c r="A2250"/>
      <c r="B2250"/>
      <c r="C2250"/>
      <c r="D2250" t="s">
        <v>2846</v>
      </c>
      <c r="E2250" t="s">
        <v>2847</v>
      </c>
      <c r="F2250"/>
      <c r="G2250"/>
      <c r="H2250"/>
      <c r="I2250"/>
      <c r="J2250"/>
      <c r="K2250" t="s">
        <v>2836</v>
      </c>
    </row>
    <row r="2251" spans="1:11">
      <c r="A2251">
        <v>44613</v>
      </c>
      <c r="B2251">
        <v>557702873756</v>
      </c>
      <c r="C2251"/>
      <c r="D2251" t="s">
        <v>2848</v>
      </c>
      <c r="E2251" t="s">
        <v>2849</v>
      </c>
      <c r="F2251" t="s">
        <v>2690</v>
      </c>
      <c r="G2251">
        <v>12266511</v>
      </c>
      <c r="H2251"/>
      <c r="I2251"/>
      <c r="J2251"/>
      <c r="K2251" t="s">
        <v>2836</v>
      </c>
    </row>
    <row r="2252" spans="1:11">
      <c r="A2252">
        <v>44505</v>
      </c>
      <c r="B2252">
        <v>529154501039</v>
      </c>
      <c r="C2252">
        <v>44503</v>
      </c>
      <c r="D2252" t="s">
        <v>2852</v>
      </c>
      <c r="E2252" t="s">
        <v>2853</v>
      </c>
      <c r="F2252" t="s">
        <v>113</v>
      </c>
      <c r="G2252" t="s">
        <v>2146</v>
      </c>
      <c r="H2252"/>
      <c r="I2252"/>
      <c r="J2252"/>
      <c r="K2252" t="s">
        <v>2854</v>
      </c>
    </row>
    <row r="2253" spans="1:11">
      <c r="A2253">
        <v>44505</v>
      </c>
      <c r="B2253">
        <v>529154501039</v>
      </c>
      <c r="C2253">
        <v>44503</v>
      </c>
      <c r="D2253" t="s">
        <v>2852</v>
      </c>
      <c r="E2253" t="s">
        <v>2855</v>
      </c>
      <c r="F2253" t="s">
        <v>113</v>
      </c>
      <c r="G2253" t="s">
        <v>2146</v>
      </c>
      <c r="H2253"/>
      <c r="I2253"/>
      <c r="J2253"/>
      <c r="K2253" t="s">
        <v>2854</v>
      </c>
    </row>
    <row r="2254" spans="1:11">
      <c r="A2254">
        <v>44505</v>
      </c>
      <c r="B2254">
        <v>529154501039</v>
      </c>
      <c r="C2254">
        <v>44503</v>
      </c>
      <c r="D2254" t="s">
        <v>2852</v>
      </c>
      <c r="E2254" t="s">
        <v>2856</v>
      </c>
      <c r="F2254" t="s">
        <v>113</v>
      </c>
      <c r="G2254" t="s">
        <v>2146</v>
      </c>
      <c r="H2254"/>
      <c r="I2254"/>
      <c r="J2254"/>
      <c r="K2254" t="s">
        <v>2857</v>
      </c>
    </row>
    <row r="2255" spans="1:11">
      <c r="A2255">
        <v>44505</v>
      </c>
      <c r="B2255">
        <v>529154501039</v>
      </c>
      <c r="C2255">
        <v>44503</v>
      </c>
      <c r="D2255" t="s">
        <v>2852</v>
      </c>
      <c r="E2255" t="s">
        <v>2858</v>
      </c>
      <c r="F2255" t="s">
        <v>113</v>
      </c>
      <c r="G2255" t="s">
        <v>2146</v>
      </c>
      <c r="H2255"/>
      <c r="I2255"/>
      <c r="J2255"/>
      <c r="K2255" t="s">
        <v>2857</v>
      </c>
    </row>
    <row r="2256" spans="1:11">
      <c r="A2256">
        <v>44568</v>
      </c>
      <c r="B2256" t="s">
        <v>2859</v>
      </c>
      <c r="C2256">
        <v>44566</v>
      </c>
      <c r="D2256" t="s">
        <v>2860</v>
      </c>
      <c r="E2256" t="s">
        <v>2861</v>
      </c>
      <c r="F2256" t="s">
        <v>599</v>
      </c>
      <c r="G2256" t="s">
        <v>2862</v>
      </c>
      <c r="H2256"/>
      <c r="I2256"/>
      <c r="J2256"/>
      <c r="K2256" t="s">
        <v>2854</v>
      </c>
    </row>
    <row r="2257" spans="1:11">
      <c r="A2257">
        <v>44568</v>
      </c>
      <c r="B2257" t="s">
        <v>2859</v>
      </c>
      <c r="C2257">
        <v>44566</v>
      </c>
      <c r="D2257" t="s">
        <v>2860</v>
      </c>
      <c r="E2257" t="s">
        <v>2863</v>
      </c>
      <c r="F2257" t="s">
        <v>599</v>
      </c>
      <c r="G2257" t="s">
        <v>2862</v>
      </c>
      <c r="H2257"/>
      <c r="I2257"/>
      <c r="J2257"/>
      <c r="K2257" t="s">
        <v>2857</v>
      </c>
    </row>
    <row r="2258" spans="1:11">
      <c r="A2258">
        <v>44581</v>
      </c>
      <c r="B2258">
        <v>529154560152</v>
      </c>
      <c r="C2258">
        <v>44579</v>
      </c>
      <c r="D2258" t="s">
        <v>701</v>
      </c>
      <c r="E2258" t="s">
        <v>2864</v>
      </c>
      <c r="F2258" t="s">
        <v>215</v>
      </c>
      <c r="G2258" t="s">
        <v>2865</v>
      </c>
      <c r="H2258"/>
      <c r="I2258"/>
      <c r="J2258"/>
      <c r="K2258" t="s">
        <v>2854</v>
      </c>
    </row>
    <row r="2259" spans="1:11">
      <c r="A2259">
        <v>44581</v>
      </c>
      <c r="B2259">
        <v>529154560152</v>
      </c>
      <c r="C2259">
        <v>44579</v>
      </c>
      <c r="D2259" t="s">
        <v>701</v>
      </c>
      <c r="E2259" t="s">
        <v>2866</v>
      </c>
      <c r="F2259" t="s">
        <v>215</v>
      </c>
      <c r="G2259" t="s">
        <v>2865</v>
      </c>
      <c r="H2259"/>
      <c r="I2259"/>
      <c r="J2259"/>
      <c r="K2259" t="s">
        <v>2857</v>
      </c>
    </row>
    <row r="2260" spans="1:11">
      <c r="A2260"/>
      <c r="B2260"/>
      <c r="C2260"/>
      <c r="D2260" t="s">
        <v>965</v>
      </c>
      <c r="E2260" t="s">
        <v>2867</v>
      </c>
      <c r="F2260"/>
      <c r="G2260"/>
      <c r="H2260"/>
      <c r="I2260"/>
      <c r="J2260"/>
      <c r="K2260" t="s">
        <v>2854</v>
      </c>
    </row>
    <row r="2261" spans="1:11">
      <c r="A2261"/>
      <c r="B2261"/>
      <c r="C2261"/>
      <c r="D2261" t="s">
        <v>967</v>
      </c>
      <c r="E2261" t="s">
        <v>2868</v>
      </c>
      <c r="F2261"/>
      <c r="G2261"/>
      <c r="H2261"/>
      <c r="I2261"/>
      <c r="J2261"/>
      <c r="K2261" t="s">
        <v>2854</v>
      </c>
    </row>
    <row r="2262" spans="1:11">
      <c r="A2262"/>
      <c r="B2262"/>
      <c r="C2262"/>
      <c r="D2262" t="s">
        <v>969</v>
      </c>
      <c r="E2262" t="s">
        <v>2869</v>
      </c>
      <c r="F2262"/>
      <c r="G2262"/>
      <c r="H2262"/>
      <c r="I2262"/>
      <c r="J2262"/>
      <c r="K2262" t="s">
        <v>2854</v>
      </c>
    </row>
    <row r="2263" spans="1:11">
      <c r="A2263"/>
      <c r="B2263"/>
      <c r="C2263"/>
      <c r="D2263" t="s">
        <v>971</v>
      </c>
      <c r="E2263" t="s">
        <v>2870</v>
      </c>
      <c r="F2263"/>
      <c r="G2263"/>
      <c r="H2263"/>
      <c r="I2263"/>
      <c r="J2263"/>
      <c r="K2263" t="s">
        <v>2854</v>
      </c>
    </row>
    <row r="2264" spans="1:11">
      <c r="A2264"/>
      <c r="B2264"/>
      <c r="C2264"/>
      <c r="D2264" t="s">
        <v>975</v>
      </c>
      <c r="E2264" t="s">
        <v>2871</v>
      </c>
      <c r="F2264"/>
      <c r="G2264"/>
      <c r="H2264"/>
      <c r="I2264"/>
      <c r="J2264"/>
      <c r="K2264" t="s">
        <v>2854</v>
      </c>
    </row>
    <row r="2265" spans="1:11">
      <c r="A2265"/>
      <c r="B2265"/>
      <c r="C2265"/>
      <c r="D2265" t="s">
        <v>17</v>
      </c>
      <c r="E2265" t="s">
        <v>2872</v>
      </c>
      <c r="F2265"/>
      <c r="G2265"/>
      <c r="H2265"/>
      <c r="I2265"/>
      <c r="J2265"/>
      <c r="K2265" t="s">
        <v>2854</v>
      </c>
    </row>
    <row r="2266" spans="1:11">
      <c r="A2266"/>
      <c r="B2266"/>
      <c r="C2266"/>
      <c r="D2266" t="s">
        <v>965</v>
      </c>
      <c r="E2266" t="s">
        <v>2873</v>
      </c>
      <c r="F2266"/>
      <c r="G2266"/>
      <c r="H2266"/>
      <c r="I2266"/>
      <c r="J2266"/>
      <c r="K2266" t="s">
        <v>2857</v>
      </c>
    </row>
    <row r="2267" spans="1:11">
      <c r="A2267"/>
      <c r="B2267"/>
      <c r="C2267"/>
      <c r="D2267" t="s">
        <v>967</v>
      </c>
      <c r="E2267" t="s">
        <v>2874</v>
      </c>
      <c r="F2267"/>
      <c r="G2267"/>
      <c r="H2267"/>
      <c r="I2267"/>
      <c r="J2267"/>
      <c r="K2267" t="s">
        <v>2857</v>
      </c>
    </row>
    <row r="2268" spans="1:11">
      <c r="A2268"/>
      <c r="B2268"/>
      <c r="C2268"/>
      <c r="D2268" t="s">
        <v>969</v>
      </c>
      <c r="E2268" t="s">
        <v>2875</v>
      </c>
      <c r="F2268"/>
      <c r="G2268"/>
      <c r="H2268"/>
      <c r="I2268"/>
      <c r="J2268"/>
      <c r="K2268" t="s">
        <v>2857</v>
      </c>
    </row>
    <row r="2269" spans="1:11">
      <c r="A2269"/>
      <c r="B2269"/>
      <c r="C2269"/>
      <c r="D2269" t="s">
        <v>971</v>
      </c>
      <c r="E2269" t="s">
        <v>2876</v>
      </c>
      <c r="F2269"/>
      <c r="G2269"/>
      <c r="H2269"/>
      <c r="I2269"/>
      <c r="J2269"/>
      <c r="K2269" t="s">
        <v>2857</v>
      </c>
    </row>
    <row r="2270" spans="1:11">
      <c r="A2270"/>
      <c r="B2270"/>
      <c r="C2270"/>
      <c r="D2270" t="s">
        <v>975</v>
      </c>
      <c r="E2270" t="s">
        <v>2877</v>
      </c>
      <c r="F2270"/>
      <c r="G2270"/>
      <c r="H2270"/>
      <c r="I2270"/>
      <c r="J2270"/>
      <c r="K2270" t="s">
        <v>2857</v>
      </c>
    </row>
    <row r="2271" spans="1:11">
      <c r="A2271"/>
      <c r="B2271"/>
      <c r="C2271"/>
      <c r="D2271" t="s">
        <v>17</v>
      </c>
      <c r="E2271" t="s">
        <v>2878</v>
      </c>
      <c r="F2271"/>
      <c r="G2271"/>
      <c r="H2271"/>
      <c r="I2271"/>
      <c r="J2271"/>
      <c r="K2271" t="s">
        <v>2857</v>
      </c>
    </row>
    <row r="2272" spans="1:11">
      <c r="A2272">
        <v>44568</v>
      </c>
      <c r="B2272" t="s">
        <v>2859</v>
      </c>
      <c r="C2272">
        <v>44566</v>
      </c>
      <c r="D2272" t="s">
        <v>2860</v>
      </c>
      <c r="E2272" t="s">
        <v>2879</v>
      </c>
      <c r="F2272" t="s">
        <v>599</v>
      </c>
      <c r="G2272" t="s">
        <v>2862</v>
      </c>
      <c r="H2272"/>
      <c r="I2272"/>
      <c r="J2272"/>
      <c r="K2272" t="s">
        <v>2880</v>
      </c>
    </row>
    <row r="2273" spans="1:11">
      <c r="A2273">
        <v>44568</v>
      </c>
      <c r="B2273" t="s">
        <v>2859</v>
      </c>
      <c r="C2273">
        <v>44566</v>
      </c>
      <c r="D2273" t="s">
        <v>2860</v>
      </c>
      <c r="E2273" t="s">
        <v>2881</v>
      </c>
      <c r="F2273" t="s">
        <v>599</v>
      </c>
      <c r="G2273" t="s">
        <v>2862</v>
      </c>
      <c r="H2273"/>
      <c r="I2273"/>
      <c r="J2273"/>
      <c r="K2273" t="s">
        <v>2882</v>
      </c>
    </row>
    <row r="2274" spans="1:11">
      <c r="A2274"/>
      <c r="B2274"/>
      <c r="C2274"/>
      <c r="D2274" t="s">
        <v>965</v>
      </c>
      <c r="E2274" t="s">
        <v>2883</v>
      </c>
      <c r="F2274"/>
      <c r="G2274"/>
      <c r="H2274"/>
      <c r="I2274"/>
      <c r="J2274"/>
      <c r="K2274" t="s">
        <v>2880</v>
      </c>
    </row>
    <row r="2275" spans="1:11">
      <c r="A2275"/>
      <c r="B2275"/>
      <c r="C2275"/>
      <c r="D2275" t="s">
        <v>967</v>
      </c>
      <c r="E2275" t="s">
        <v>2884</v>
      </c>
      <c r="F2275"/>
      <c r="G2275"/>
      <c r="H2275"/>
      <c r="I2275"/>
      <c r="J2275"/>
      <c r="K2275" t="s">
        <v>2880</v>
      </c>
    </row>
    <row r="2276" spans="1:11">
      <c r="A2276"/>
      <c r="B2276"/>
      <c r="C2276"/>
      <c r="D2276" t="s">
        <v>969</v>
      </c>
      <c r="E2276" t="s">
        <v>2885</v>
      </c>
      <c r="F2276"/>
      <c r="G2276"/>
      <c r="H2276"/>
      <c r="I2276"/>
      <c r="J2276"/>
      <c r="K2276" t="s">
        <v>2880</v>
      </c>
    </row>
    <row r="2277" spans="1:11">
      <c r="A2277"/>
      <c r="B2277"/>
      <c r="C2277"/>
      <c r="D2277" t="s">
        <v>971</v>
      </c>
      <c r="E2277" t="s">
        <v>2886</v>
      </c>
      <c r="F2277"/>
      <c r="G2277"/>
      <c r="H2277"/>
      <c r="I2277"/>
      <c r="J2277"/>
      <c r="K2277" t="s">
        <v>2880</v>
      </c>
    </row>
    <row r="2278" spans="1:11">
      <c r="A2278"/>
      <c r="B2278"/>
      <c r="C2278"/>
      <c r="D2278" t="s">
        <v>975</v>
      </c>
      <c r="E2278" t="s">
        <v>2887</v>
      </c>
      <c r="F2278"/>
      <c r="G2278"/>
      <c r="H2278"/>
      <c r="I2278"/>
      <c r="J2278"/>
      <c r="K2278" t="s">
        <v>2880</v>
      </c>
    </row>
    <row r="2279" spans="1:11">
      <c r="A2279"/>
      <c r="B2279"/>
      <c r="C2279"/>
      <c r="D2279" t="s">
        <v>17</v>
      </c>
      <c r="E2279" t="s">
        <v>2888</v>
      </c>
      <c r="F2279"/>
      <c r="G2279"/>
      <c r="H2279"/>
      <c r="I2279"/>
      <c r="J2279"/>
      <c r="K2279" t="s">
        <v>2880</v>
      </c>
    </row>
    <row r="2280" spans="1:11">
      <c r="A2280"/>
      <c r="B2280"/>
      <c r="C2280"/>
      <c r="D2280" t="s">
        <v>965</v>
      </c>
      <c r="E2280" t="s">
        <v>2889</v>
      </c>
      <c r="F2280"/>
      <c r="G2280"/>
      <c r="H2280"/>
      <c r="I2280"/>
      <c r="J2280"/>
      <c r="K2280" t="s">
        <v>2882</v>
      </c>
    </row>
    <row r="2281" spans="1:11">
      <c r="A2281"/>
      <c r="B2281"/>
      <c r="C2281"/>
      <c r="D2281" t="s">
        <v>967</v>
      </c>
      <c r="E2281" t="s">
        <v>2890</v>
      </c>
      <c r="F2281"/>
      <c r="G2281"/>
      <c r="H2281"/>
      <c r="I2281"/>
      <c r="J2281"/>
      <c r="K2281" t="s">
        <v>2882</v>
      </c>
    </row>
    <row r="2282" spans="1:11">
      <c r="A2282"/>
      <c r="B2282"/>
      <c r="C2282"/>
      <c r="D2282" t="s">
        <v>969</v>
      </c>
      <c r="E2282" t="s">
        <v>2891</v>
      </c>
      <c r="F2282"/>
      <c r="G2282"/>
      <c r="H2282"/>
      <c r="I2282"/>
      <c r="J2282"/>
      <c r="K2282" t="s">
        <v>2882</v>
      </c>
    </row>
    <row r="2283" spans="1:11">
      <c r="A2283"/>
      <c r="B2283"/>
      <c r="C2283"/>
      <c r="D2283" t="s">
        <v>971</v>
      </c>
      <c r="E2283" t="s">
        <v>2892</v>
      </c>
      <c r="F2283"/>
      <c r="G2283"/>
      <c r="H2283"/>
      <c r="I2283"/>
      <c r="J2283"/>
      <c r="K2283" t="s">
        <v>2882</v>
      </c>
    </row>
    <row r="2284" spans="1:11">
      <c r="A2284"/>
      <c r="B2284"/>
      <c r="C2284"/>
      <c r="D2284" t="s">
        <v>975</v>
      </c>
      <c r="E2284" t="s">
        <v>2893</v>
      </c>
      <c r="F2284"/>
      <c r="G2284"/>
      <c r="H2284"/>
      <c r="I2284"/>
      <c r="J2284"/>
      <c r="K2284" t="s">
        <v>2882</v>
      </c>
    </row>
    <row r="2285" spans="1:11">
      <c r="A2285"/>
      <c r="B2285"/>
      <c r="C2285"/>
      <c r="D2285" t="s">
        <v>17</v>
      </c>
      <c r="E2285" t="s">
        <v>2894</v>
      </c>
      <c r="F2285"/>
      <c r="G2285"/>
      <c r="H2285"/>
      <c r="I2285"/>
      <c r="J2285"/>
      <c r="K2285" t="s">
        <v>2882</v>
      </c>
    </row>
    <row r="2286" spans="1:11">
      <c r="A2286">
        <v>44529</v>
      </c>
      <c r="B2286">
        <v>529154510618</v>
      </c>
      <c r="C2286">
        <v>44525</v>
      </c>
      <c r="D2286" t="s">
        <v>701</v>
      </c>
      <c r="E2286" t="s">
        <v>2895</v>
      </c>
      <c r="F2286" t="s">
        <v>113</v>
      </c>
      <c r="G2286" t="s">
        <v>2896</v>
      </c>
      <c r="H2286"/>
      <c r="I2286"/>
      <c r="J2286"/>
      <c r="K2286" t="s">
        <v>2880</v>
      </c>
    </row>
    <row r="2287" spans="1:11">
      <c r="A2287">
        <v>44529</v>
      </c>
      <c r="B2287">
        <v>529154510618</v>
      </c>
      <c r="C2287">
        <v>44525</v>
      </c>
      <c r="D2287" t="s">
        <v>701</v>
      </c>
      <c r="E2287" t="s">
        <v>2897</v>
      </c>
      <c r="F2287" t="s">
        <v>113</v>
      </c>
      <c r="G2287" t="s">
        <v>2896</v>
      </c>
      <c r="H2287"/>
      <c r="I2287"/>
      <c r="J2287"/>
      <c r="K2287" t="s">
        <v>2882</v>
      </c>
    </row>
    <row r="2288" spans="1:11">
      <c r="A2288">
        <v>44545</v>
      </c>
      <c r="B2288"/>
      <c r="C2288">
        <v>44543</v>
      </c>
      <c r="D2288" t="s">
        <v>956</v>
      </c>
      <c r="E2288" t="s">
        <v>2898</v>
      </c>
      <c r="F2288" t="s">
        <v>113</v>
      </c>
      <c r="G2288">
        <v>2120596</v>
      </c>
      <c r="H2288"/>
      <c r="I2288"/>
      <c r="J2288"/>
      <c r="K2288" t="s">
        <v>2880</v>
      </c>
    </row>
    <row r="2289" spans="1:11">
      <c r="A2289">
        <v>44545</v>
      </c>
      <c r="B2289"/>
      <c r="C2289">
        <v>44543</v>
      </c>
      <c r="D2289" t="s">
        <v>956</v>
      </c>
      <c r="E2289" t="s">
        <v>2899</v>
      </c>
      <c r="F2289" t="s">
        <v>113</v>
      </c>
      <c r="G2289">
        <v>2120596</v>
      </c>
      <c r="H2289"/>
      <c r="I2289"/>
      <c r="J2289"/>
      <c r="K2289" t="s">
        <v>2880</v>
      </c>
    </row>
    <row r="2290" spans="1:11">
      <c r="A2290">
        <v>44545</v>
      </c>
      <c r="B2290"/>
      <c r="C2290">
        <v>44543</v>
      </c>
      <c r="D2290" t="s">
        <v>956</v>
      </c>
      <c r="E2290" t="s">
        <v>2900</v>
      </c>
      <c r="F2290" t="s">
        <v>113</v>
      </c>
      <c r="G2290">
        <v>2120596</v>
      </c>
      <c r="H2290"/>
      <c r="I2290"/>
      <c r="J2290"/>
      <c r="K2290" t="s">
        <v>2882</v>
      </c>
    </row>
    <row r="2291" spans="1:11">
      <c r="A2291">
        <v>44545</v>
      </c>
      <c r="B2291"/>
      <c r="C2291">
        <v>44543</v>
      </c>
      <c r="D2291" t="s">
        <v>956</v>
      </c>
      <c r="E2291" t="s">
        <v>2901</v>
      </c>
      <c r="F2291" t="s">
        <v>113</v>
      </c>
      <c r="G2291">
        <v>2120596</v>
      </c>
      <c r="H2291"/>
      <c r="I2291"/>
      <c r="J2291"/>
      <c r="K2291" t="s">
        <v>2882</v>
      </c>
    </row>
    <row r="2292" spans="1:11">
      <c r="A2292">
        <v>44581</v>
      </c>
      <c r="B2292">
        <v>529154560152</v>
      </c>
      <c r="C2292">
        <v>44579</v>
      </c>
      <c r="D2292" t="s">
        <v>956</v>
      </c>
      <c r="E2292" t="s">
        <v>2902</v>
      </c>
      <c r="F2292" t="s">
        <v>215</v>
      </c>
      <c r="G2292" t="s">
        <v>2865</v>
      </c>
      <c r="H2292"/>
      <c r="I2292"/>
      <c r="J2292"/>
      <c r="K2292" t="s">
        <v>2903</v>
      </c>
    </row>
    <row r="2293" spans="1:11">
      <c r="A2293">
        <v>44581</v>
      </c>
      <c r="B2293">
        <v>529154560152</v>
      </c>
      <c r="C2293">
        <v>44579</v>
      </c>
      <c r="D2293" t="s">
        <v>956</v>
      </c>
      <c r="E2293" t="s">
        <v>2904</v>
      </c>
      <c r="F2293" t="s">
        <v>215</v>
      </c>
      <c r="G2293" t="s">
        <v>2865</v>
      </c>
      <c r="H2293"/>
      <c r="I2293"/>
      <c r="J2293"/>
      <c r="K2293" t="s">
        <v>2903</v>
      </c>
    </row>
    <row r="2294" spans="1:11">
      <c r="A2294">
        <v>44581</v>
      </c>
      <c r="B2294">
        <v>529154560152</v>
      </c>
      <c r="C2294">
        <v>44579</v>
      </c>
      <c r="D2294" t="s">
        <v>956</v>
      </c>
      <c r="E2294" t="s">
        <v>2905</v>
      </c>
      <c r="F2294" t="s">
        <v>215</v>
      </c>
      <c r="G2294" t="s">
        <v>2865</v>
      </c>
      <c r="H2294"/>
      <c r="I2294"/>
      <c r="J2294"/>
      <c r="K2294" t="s">
        <v>2906</v>
      </c>
    </row>
    <row r="2295" spans="1:11">
      <c r="A2295">
        <v>44581</v>
      </c>
      <c r="B2295">
        <v>529154560152</v>
      </c>
      <c r="C2295">
        <v>44579</v>
      </c>
      <c r="D2295" t="s">
        <v>956</v>
      </c>
      <c r="E2295" t="s">
        <v>2907</v>
      </c>
      <c r="F2295" t="s">
        <v>215</v>
      </c>
      <c r="G2295" t="s">
        <v>2865</v>
      </c>
      <c r="H2295"/>
      <c r="I2295"/>
      <c r="J2295"/>
      <c r="K2295" t="s">
        <v>2906</v>
      </c>
    </row>
    <row r="2296" spans="1:11">
      <c r="A2296">
        <v>44615</v>
      </c>
      <c r="B2296" t="s">
        <v>2908</v>
      </c>
      <c r="C2296">
        <v>44614</v>
      </c>
      <c r="D2296" t="s">
        <v>1271</v>
      </c>
      <c r="E2296" t="s">
        <v>2909</v>
      </c>
      <c r="F2296" t="s">
        <v>202</v>
      </c>
      <c r="G2296" t="s">
        <v>2910</v>
      </c>
      <c r="H2296"/>
      <c r="I2296"/>
      <c r="J2296"/>
      <c r="K2296" t="s">
        <v>2906</v>
      </c>
    </row>
    <row r="2297" spans="1:11">
      <c r="A2297">
        <v>44615</v>
      </c>
      <c r="B2297" t="s">
        <v>2908</v>
      </c>
      <c r="C2297">
        <v>44614</v>
      </c>
      <c r="D2297" t="s">
        <v>1271</v>
      </c>
      <c r="E2297" t="s">
        <v>2911</v>
      </c>
      <c r="F2297" t="s">
        <v>202</v>
      </c>
      <c r="G2297" t="s">
        <v>2910</v>
      </c>
      <c r="H2297"/>
      <c r="I2297"/>
      <c r="J2297"/>
      <c r="K2297" t="s">
        <v>2903</v>
      </c>
    </row>
    <row r="2298" spans="1:11">
      <c r="A2298"/>
      <c r="B2298"/>
      <c r="C2298"/>
      <c r="D2298" t="s">
        <v>965</v>
      </c>
      <c r="E2298" t="s">
        <v>2912</v>
      </c>
      <c r="F2298"/>
      <c r="G2298"/>
      <c r="H2298"/>
      <c r="I2298"/>
      <c r="J2298"/>
      <c r="K2298" t="s">
        <v>2906</v>
      </c>
    </row>
    <row r="2299" spans="1:11">
      <c r="A2299"/>
      <c r="B2299"/>
      <c r="C2299"/>
      <c r="D2299" t="s">
        <v>967</v>
      </c>
      <c r="E2299" t="s">
        <v>2913</v>
      </c>
      <c r="F2299"/>
      <c r="G2299"/>
      <c r="H2299"/>
      <c r="I2299"/>
      <c r="J2299"/>
      <c r="K2299" t="s">
        <v>2906</v>
      </c>
    </row>
    <row r="2300" spans="1:11">
      <c r="A2300"/>
      <c r="B2300"/>
      <c r="C2300"/>
      <c r="D2300" t="s">
        <v>969</v>
      </c>
      <c r="E2300" t="s">
        <v>2914</v>
      </c>
      <c r="F2300"/>
      <c r="G2300"/>
      <c r="H2300"/>
      <c r="I2300"/>
      <c r="J2300"/>
      <c r="K2300" t="s">
        <v>2906</v>
      </c>
    </row>
    <row r="2301" spans="1:11">
      <c r="A2301"/>
      <c r="B2301"/>
      <c r="C2301"/>
      <c r="D2301" t="s">
        <v>971</v>
      </c>
      <c r="E2301" t="s">
        <v>2915</v>
      </c>
      <c r="F2301"/>
      <c r="G2301"/>
      <c r="H2301"/>
      <c r="I2301"/>
      <c r="J2301"/>
      <c r="K2301" t="s">
        <v>2906</v>
      </c>
    </row>
    <row r="2302" spans="1:11">
      <c r="A2302"/>
      <c r="B2302"/>
      <c r="C2302"/>
      <c r="D2302" t="s">
        <v>975</v>
      </c>
      <c r="E2302" t="s">
        <v>2916</v>
      </c>
      <c r="F2302"/>
      <c r="G2302"/>
      <c r="H2302"/>
      <c r="I2302"/>
      <c r="J2302"/>
      <c r="K2302" t="s">
        <v>2906</v>
      </c>
    </row>
    <row r="2303" spans="1:11">
      <c r="A2303"/>
      <c r="B2303"/>
      <c r="C2303"/>
      <c r="D2303" t="s">
        <v>17</v>
      </c>
      <c r="E2303" t="s">
        <v>2917</v>
      </c>
      <c r="F2303"/>
      <c r="G2303"/>
      <c r="H2303"/>
      <c r="I2303"/>
      <c r="J2303"/>
      <c r="K2303" t="s">
        <v>2906</v>
      </c>
    </row>
    <row r="2304" spans="1:11">
      <c r="A2304"/>
      <c r="B2304"/>
      <c r="C2304"/>
      <c r="D2304" t="s">
        <v>965</v>
      </c>
      <c r="E2304" t="s">
        <v>2918</v>
      </c>
      <c r="F2304"/>
      <c r="G2304"/>
      <c r="H2304"/>
      <c r="I2304"/>
      <c r="J2304"/>
      <c r="K2304" t="s">
        <v>2903</v>
      </c>
    </row>
    <row r="2305" spans="1:11">
      <c r="A2305"/>
      <c r="B2305"/>
      <c r="C2305"/>
      <c r="D2305" t="s">
        <v>967</v>
      </c>
      <c r="E2305" t="s">
        <v>2919</v>
      </c>
      <c r="F2305"/>
      <c r="G2305"/>
      <c r="H2305"/>
      <c r="I2305"/>
      <c r="J2305"/>
      <c r="K2305" t="s">
        <v>2903</v>
      </c>
    </row>
    <row r="2306" spans="1:11">
      <c r="A2306"/>
      <c r="B2306"/>
      <c r="C2306"/>
      <c r="D2306" t="s">
        <v>969</v>
      </c>
      <c r="E2306" t="s">
        <v>2920</v>
      </c>
      <c r="F2306"/>
      <c r="G2306"/>
      <c r="H2306"/>
      <c r="I2306"/>
      <c r="J2306"/>
      <c r="K2306" t="s">
        <v>2903</v>
      </c>
    </row>
    <row r="2307" spans="1:11">
      <c r="A2307"/>
      <c r="B2307"/>
      <c r="C2307"/>
      <c r="D2307" t="s">
        <v>971</v>
      </c>
      <c r="E2307" t="s">
        <v>2921</v>
      </c>
      <c r="F2307"/>
      <c r="G2307"/>
      <c r="H2307"/>
      <c r="I2307"/>
      <c r="J2307"/>
      <c r="K2307" t="s">
        <v>2903</v>
      </c>
    </row>
    <row r="2308" spans="1:11">
      <c r="A2308"/>
      <c r="B2308"/>
      <c r="C2308"/>
      <c r="D2308" t="s">
        <v>975</v>
      </c>
      <c r="E2308" t="s">
        <v>2922</v>
      </c>
      <c r="F2308"/>
      <c r="G2308"/>
      <c r="H2308"/>
      <c r="I2308"/>
      <c r="J2308"/>
      <c r="K2308" t="s">
        <v>2903</v>
      </c>
    </row>
    <row r="2309" spans="1:11">
      <c r="A2309"/>
      <c r="B2309"/>
      <c r="C2309"/>
      <c r="D2309" t="s">
        <v>17</v>
      </c>
      <c r="E2309" t="s">
        <v>2923</v>
      </c>
      <c r="F2309"/>
      <c r="G2309"/>
      <c r="H2309"/>
      <c r="I2309"/>
      <c r="J2309"/>
      <c r="K2309" t="s">
        <v>2903</v>
      </c>
    </row>
    <row r="2310" spans="1:11">
      <c r="A2310">
        <v>44505</v>
      </c>
      <c r="B2310">
        <v>332351116505</v>
      </c>
      <c r="C2310">
        <v>44503</v>
      </c>
      <c r="D2310" t="s">
        <v>701</v>
      </c>
      <c r="E2310" t="s">
        <v>2924</v>
      </c>
      <c r="F2310" t="s">
        <v>2150</v>
      </c>
      <c r="G2310">
        <v>131280150</v>
      </c>
      <c r="H2310"/>
      <c r="I2310"/>
      <c r="J2310"/>
      <c r="K2310" t="s">
        <v>2903</v>
      </c>
    </row>
    <row r="2311" spans="1:11">
      <c r="A2311">
        <v>44505</v>
      </c>
      <c r="B2311">
        <v>332351116505</v>
      </c>
      <c r="C2311">
        <v>44503</v>
      </c>
      <c r="D2311" t="s">
        <v>701</v>
      </c>
      <c r="E2311" t="s">
        <v>2925</v>
      </c>
      <c r="F2311" t="s">
        <v>2150</v>
      </c>
      <c r="G2311">
        <v>131280150</v>
      </c>
      <c r="H2311"/>
      <c r="I2311"/>
      <c r="J2311"/>
      <c r="K2311" t="s">
        <v>2906</v>
      </c>
    </row>
    <row r="2312" spans="1:11">
      <c r="A2312"/>
      <c r="B2312"/>
      <c r="C2312"/>
      <c r="D2312" t="s">
        <v>976</v>
      </c>
      <c r="E2312" t="s">
        <v>2928</v>
      </c>
      <c r="F2312"/>
      <c r="G2312"/>
      <c r="H2312"/>
      <c r="I2312"/>
      <c r="J2312"/>
      <c r="K2312" t="s">
        <v>2903</v>
      </c>
    </row>
    <row r="2313" spans="1:11">
      <c r="A2313"/>
      <c r="B2313"/>
      <c r="C2313"/>
      <c r="D2313" t="s">
        <v>976</v>
      </c>
      <c r="E2313" t="s">
        <v>2929</v>
      </c>
      <c r="F2313"/>
      <c r="G2313"/>
      <c r="H2313"/>
      <c r="I2313"/>
      <c r="J2313"/>
      <c r="K2313" t="s">
        <v>2906</v>
      </c>
    </row>
    <row r="2314" spans="1:11">
      <c r="A2314"/>
      <c r="B2314"/>
      <c r="C2314"/>
      <c r="D2314" t="s">
        <v>976</v>
      </c>
      <c r="E2314" t="s">
        <v>2930</v>
      </c>
      <c r="F2314"/>
      <c r="G2314"/>
      <c r="H2314"/>
      <c r="I2314"/>
      <c r="J2314"/>
      <c r="K2314" t="s">
        <v>2880</v>
      </c>
    </row>
    <row r="2315" spans="1:11">
      <c r="A2315"/>
      <c r="B2315"/>
      <c r="C2315"/>
      <c r="D2315" t="s">
        <v>976</v>
      </c>
      <c r="E2315" t="s">
        <v>2931</v>
      </c>
      <c r="F2315"/>
      <c r="G2315"/>
      <c r="H2315"/>
      <c r="I2315"/>
      <c r="J2315"/>
      <c r="K2315" t="s">
        <v>2882</v>
      </c>
    </row>
    <row r="2316" spans="1:11">
      <c r="A2316"/>
      <c r="B2316"/>
      <c r="C2316"/>
      <c r="D2316" t="s">
        <v>976</v>
      </c>
      <c r="E2316" t="s">
        <v>2932</v>
      </c>
      <c r="F2316"/>
      <c r="G2316"/>
      <c r="H2316"/>
      <c r="I2316"/>
      <c r="J2316"/>
      <c r="K2316" t="s">
        <v>2854</v>
      </c>
    </row>
    <row r="2317" spans="1:11">
      <c r="A2317"/>
      <c r="B2317"/>
      <c r="C2317"/>
      <c r="D2317" t="s">
        <v>976</v>
      </c>
      <c r="E2317" t="s">
        <v>2933</v>
      </c>
      <c r="F2317"/>
      <c r="G2317"/>
      <c r="H2317"/>
      <c r="I2317"/>
      <c r="J2317"/>
      <c r="K2317" t="s">
        <v>2857</v>
      </c>
    </row>
    <row r="2318" spans="1:11">
      <c r="A2318">
        <v>44587</v>
      </c>
      <c r="B2318" t="s">
        <v>2723</v>
      </c>
      <c r="C2318">
        <v>44586</v>
      </c>
      <c r="D2318" t="s">
        <v>2104</v>
      </c>
      <c r="E2318" t="s">
        <v>2934</v>
      </c>
      <c r="F2318" t="s">
        <v>599</v>
      </c>
      <c r="G2318" t="s">
        <v>2725</v>
      </c>
      <c r="H2318"/>
      <c r="I2318"/>
      <c r="J2318"/>
      <c r="K2318" t="s">
        <v>2935</v>
      </c>
    </row>
    <row r="2319" spans="1:11">
      <c r="A2319">
        <v>44587</v>
      </c>
      <c r="B2319" t="s">
        <v>2723</v>
      </c>
      <c r="C2319">
        <v>44586</v>
      </c>
      <c r="D2319" t="s">
        <v>2104</v>
      </c>
      <c r="E2319" t="s">
        <v>2936</v>
      </c>
      <c r="F2319" t="s">
        <v>599</v>
      </c>
      <c r="G2319" t="s">
        <v>2725</v>
      </c>
      <c r="H2319"/>
      <c r="I2319"/>
      <c r="J2319"/>
      <c r="K2319" t="s">
        <v>2935</v>
      </c>
    </row>
    <row r="2320" spans="1:11">
      <c r="A2320">
        <v>44587</v>
      </c>
      <c r="B2320" t="s">
        <v>2723</v>
      </c>
      <c r="C2320">
        <v>44586</v>
      </c>
      <c r="D2320" t="s">
        <v>2104</v>
      </c>
      <c r="E2320" t="s">
        <v>2937</v>
      </c>
      <c r="F2320" t="s">
        <v>599</v>
      </c>
      <c r="G2320" t="s">
        <v>2725</v>
      </c>
      <c r="H2320"/>
      <c r="I2320"/>
      <c r="J2320"/>
      <c r="K2320" t="s">
        <v>2935</v>
      </c>
    </row>
    <row r="2321" spans="1:11">
      <c r="A2321">
        <v>44587</v>
      </c>
      <c r="B2321" t="s">
        <v>2723</v>
      </c>
      <c r="C2321">
        <v>44586</v>
      </c>
      <c r="D2321" t="s">
        <v>2104</v>
      </c>
      <c r="E2321" t="s">
        <v>2938</v>
      </c>
      <c r="F2321" t="s">
        <v>599</v>
      </c>
      <c r="G2321" t="s">
        <v>2725</v>
      </c>
      <c r="H2321"/>
      <c r="I2321"/>
      <c r="J2321"/>
      <c r="K2321" t="s">
        <v>2935</v>
      </c>
    </row>
    <row r="2322" spans="1:11">
      <c r="A2322">
        <v>44636</v>
      </c>
      <c r="B2322" t="s">
        <v>2939</v>
      </c>
      <c r="C2322">
        <v>44634</v>
      </c>
      <c r="D2322" t="s">
        <v>2940</v>
      </c>
      <c r="E2322" t="s">
        <v>2941</v>
      </c>
      <c r="F2322" t="s">
        <v>2592</v>
      </c>
      <c r="G2322">
        <v>3126293</v>
      </c>
      <c r="H2322"/>
      <c r="I2322"/>
      <c r="J2322"/>
      <c r="K2322" t="s">
        <v>2935</v>
      </c>
    </row>
    <row r="2323" spans="1:11">
      <c r="A2323">
        <v>44637</v>
      </c>
      <c r="B2323" t="s">
        <v>2942</v>
      </c>
      <c r="C2323">
        <v>44636</v>
      </c>
      <c r="D2323" t="s">
        <v>2088</v>
      </c>
      <c r="E2323" t="s">
        <v>2943</v>
      </c>
      <c r="F2323" t="s">
        <v>202</v>
      </c>
      <c r="G2323" t="s">
        <v>2944</v>
      </c>
      <c r="H2323"/>
      <c r="I2323"/>
      <c r="J2323"/>
      <c r="K2323" t="s">
        <v>2935</v>
      </c>
    </row>
    <row r="2324" spans="1:11">
      <c r="A2324">
        <v>44587</v>
      </c>
      <c r="B2324" t="s">
        <v>2723</v>
      </c>
      <c r="C2324">
        <v>44586</v>
      </c>
      <c r="D2324" t="s">
        <v>2104</v>
      </c>
      <c r="E2324" t="s">
        <v>2945</v>
      </c>
      <c r="F2324" t="s">
        <v>599</v>
      </c>
      <c r="G2324" t="s">
        <v>2725</v>
      </c>
      <c r="H2324"/>
      <c r="I2324"/>
      <c r="J2324"/>
      <c r="K2324" t="s">
        <v>2946</v>
      </c>
    </row>
    <row r="2325" spans="1:11">
      <c r="A2325">
        <v>44587</v>
      </c>
      <c r="B2325" t="s">
        <v>2723</v>
      </c>
      <c r="C2325">
        <v>44586</v>
      </c>
      <c r="D2325" t="s">
        <v>2104</v>
      </c>
      <c r="E2325" t="s">
        <v>2947</v>
      </c>
      <c r="F2325" t="s">
        <v>599</v>
      </c>
      <c r="G2325" t="s">
        <v>2725</v>
      </c>
      <c r="H2325"/>
      <c r="I2325"/>
      <c r="J2325"/>
      <c r="K2325" t="s">
        <v>2946</v>
      </c>
    </row>
    <row r="2326" spans="1:11">
      <c r="A2326">
        <v>44587</v>
      </c>
      <c r="B2326" t="s">
        <v>2723</v>
      </c>
      <c r="C2326">
        <v>44586</v>
      </c>
      <c r="D2326" t="s">
        <v>2104</v>
      </c>
      <c r="E2326" t="s">
        <v>2948</v>
      </c>
      <c r="F2326" t="s">
        <v>599</v>
      </c>
      <c r="G2326" t="s">
        <v>2725</v>
      </c>
      <c r="H2326"/>
      <c r="I2326"/>
      <c r="J2326"/>
      <c r="K2326" t="s">
        <v>2946</v>
      </c>
    </row>
    <row r="2327" spans="1:11">
      <c r="A2327">
        <v>44587</v>
      </c>
      <c r="B2327" t="s">
        <v>2723</v>
      </c>
      <c r="C2327">
        <v>44586</v>
      </c>
      <c r="D2327" t="s">
        <v>2104</v>
      </c>
      <c r="E2327" t="s">
        <v>2949</v>
      </c>
      <c r="F2327" t="s">
        <v>599</v>
      </c>
      <c r="G2327" t="s">
        <v>2725</v>
      </c>
      <c r="H2327"/>
      <c r="I2327"/>
      <c r="J2327"/>
      <c r="K2327" t="s">
        <v>2946</v>
      </c>
    </row>
    <row r="2328" spans="1:11">
      <c r="A2328">
        <v>44636</v>
      </c>
      <c r="B2328" t="s">
        <v>2950</v>
      </c>
      <c r="C2328">
        <v>44634</v>
      </c>
      <c r="D2328" t="s">
        <v>2940</v>
      </c>
      <c r="E2328" t="s">
        <v>2951</v>
      </c>
      <c r="F2328" t="s">
        <v>2592</v>
      </c>
      <c r="G2328">
        <v>3126293</v>
      </c>
      <c r="H2328"/>
      <c r="I2328"/>
      <c r="J2328"/>
      <c r="K2328" t="s">
        <v>2946</v>
      </c>
    </row>
    <row r="2329" spans="1:11">
      <c r="A2329">
        <v>44637</v>
      </c>
      <c r="B2329" t="s">
        <v>2942</v>
      </c>
      <c r="C2329">
        <v>44636</v>
      </c>
      <c r="D2329" t="s">
        <v>2088</v>
      </c>
      <c r="E2329" t="s">
        <v>2952</v>
      </c>
      <c r="F2329" t="s">
        <v>202</v>
      </c>
      <c r="G2329" t="s">
        <v>2944</v>
      </c>
      <c r="H2329"/>
      <c r="I2329"/>
      <c r="J2329"/>
      <c r="K2329" t="s">
        <v>2946</v>
      </c>
    </row>
    <row r="2330" spans="1:11">
      <c r="A2330">
        <v>44543</v>
      </c>
      <c r="B2330">
        <v>332351408372</v>
      </c>
      <c r="C2330">
        <v>44539</v>
      </c>
      <c r="D2330" t="s">
        <v>2093</v>
      </c>
      <c r="E2330" t="s">
        <v>2953</v>
      </c>
      <c r="F2330" t="s">
        <v>905</v>
      </c>
      <c r="G2330">
        <v>131330824</v>
      </c>
      <c r="H2330"/>
      <c r="I2330"/>
      <c r="J2330"/>
      <c r="K2330" t="s">
        <v>2946</v>
      </c>
    </row>
    <row r="2331" spans="1:11">
      <c r="A2331">
        <v>44545</v>
      </c>
      <c r="B2331"/>
      <c r="C2331">
        <v>44540</v>
      </c>
      <c r="D2331" t="s">
        <v>2096</v>
      </c>
      <c r="E2331" t="s">
        <v>2954</v>
      </c>
      <c r="F2331" t="s">
        <v>113</v>
      </c>
      <c r="G2331">
        <v>2120530</v>
      </c>
      <c r="H2331"/>
      <c r="I2331"/>
      <c r="J2331"/>
      <c r="K2331" t="s">
        <v>2946</v>
      </c>
    </row>
    <row r="2332" spans="1:11">
      <c r="A2332">
        <v>44543</v>
      </c>
      <c r="B2332">
        <v>332351408372</v>
      </c>
      <c r="C2332">
        <v>44539</v>
      </c>
      <c r="D2332" t="s">
        <v>2093</v>
      </c>
      <c r="E2332" t="s">
        <v>2955</v>
      </c>
      <c r="F2332" t="s">
        <v>905</v>
      </c>
      <c r="G2332">
        <v>131330824</v>
      </c>
      <c r="H2332"/>
      <c r="I2332"/>
      <c r="J2332"/>
      <c r="K2332" t="s">
        <v>2935</v>
      </c>
    </row>
    <row r="2333" spans="1:11">
      <c r="A2333">
        <v>44545</v>
      </c>
      <c r="B2333"/>
      <c r="C2333">
        <v>44540</v>
      </c>
      <c r="D2333" t="s">
        <v>2096</v>
      </c>
      <c r="E2333" t="s">
        <v>2956</v>
      </c>
      <c r="F2333" t="s">
        <v>113</v>
      </c>
      <c r="G2333">
        <v>2120530</v>
      </c>
      <c r="H2333"/>
      <c r="I2333"/>
      <c r="J2333"/>
      <c r="K2333" t="s">
        <v>2935</v>
      </c>
    </row>
    <row r="2334" spans="1:11">
      <c r="A2334"/>
      <c r="B2334"/>
      <c r="C2334"/>
      <c r="D2334" t="s">
        <v>2117</v>
      </c>
      <c r="E2334" t="s">
        <v>2958</v>
      </c>
      <c r="F2334"/>
      <c r="G2334"/>
      <c r="H2334"/>
      <c r="I2334"/>
      <c r="J2334"/>
      <c r="K2334" t="s">
        <v>2935</v>
      </c>
    </row>
    <row r="2335" spans="1:11">
      <c r="A2335"/>
      <c r="B2335"/>
      <c r="C2335"/>
      <c r="D2335" t="s">
        <v>2117</v>
      </c>
      <c r="E2335" t="s">
        <v>2957</v>
      </c>
      <c r="F2335"/>
      <c r="G2335"/>
      <c r="H2335"/>
      <c r="I2335"/>
      <c r="J2335"/>
      <c r="K2335" t="s">
        <v>2946</v>
      </c>
    </row>
    <row r="2336" spans="1:11">
      <c r="A2336" s="19"/>
      <c r="B2336" s="19">
        <v>24782751720</v>
      </c>
      <c r="C2336" s="19">
        <v>44624</v>
      </c>
      <c r="D2336" s="19" t="s">
        <v>2976</v>
      </c>
      <c r="E2336" s="19" t="s">
        <v>2959</v>
      </c>
      <c r="F2336" s="19" t="s">
        <v>264</v>
      </c>
      <c r="G2336" s="19" t="s">
        <v>2960</v>
      </c>
      <c r="H2336" s="19"/>
      <c r="I2336" s="19"/>
      <c r="J2336" s="19"/>
      <c r="K2336" s="19" t="s">
        <v>2961</v>
      </c>
    </row>
    <row r="2337" spans="1:11">
      <c r="A2337" s="19"/>
      <c r="B2337" s="19">
        <v>24782751720</v>
      </c>
      <c r="C2337" s="19">
        <v>44624</v>
      </c>
      <c r="D2337" s="19" t="s">
        <v>2976</v>
      </c>
      <c r="E2337" s="19" t="s">
        <v>2962</v>
      </c>
      <c r="F2337" s="19" t="s">
        <v>264</v>
      </c>
      <c r="G2337" s="19" t="s">
        <v>2960</v>
      </c>
      <c r="H2337" s="19"/>
      <c r="I2337" s="19"/>
      <c r="J2337" s="19"/>
      <c r="K2337" s="19" t="s">
        <v>2961</v>
      </c>
    </row>
    <row r="2338" spans="1:11">
      <c r="A2338" s="19"/>
      <c r="B2338" s="19" t="s">
        <v>2963</v>
      </c>
      <c r="C2338" s="19">
        <v>44629</v>
      </c>
      <c r="D2338" s="19" t="s">
        <v>2032</v>
      </c>
      <c r="E2338" s="19" t="s">
        <v>2964</v>
      </c>
      <c r="F2338" s="19" t="s">
        <v>631</v>
      </c>
      <c r="G2338" s="19" t="s">
        <v>2965</v>
      </c>
      <c r="H2338" s="19"/>
      <c r="I2338" s="19"/>
      <c r="J2338" s="19"/>
      <c r="K2338" s="19" t="s">
        <v>2961</v>
      </c>
    </row>
    <row r="2339" spans="1:11">
      <c r="A2339" s="19"/>
      <c r="B2339" s="19" t="s">
        <v>2963</v>
      </c>
      <c r="C2339" s="19">
        <v>44629</v>
      </c>
      <c r="D2339" s="19" t="s">
        <v>2032</v>
      </c>
      <c r="E2339" s="19" t="s">
        <v>2966</v>
      </c>
      <c r="F2339" s="19" t="s">
        <v>631</v>
      </c>
      <c r="G2339" s="19" t="s">
        <v>2965</v>
      </c>
      <c r="H2339" s="19"/>
      <c r="I2339" s="19"/>
      <c r="J2339" s="19"/>
      <c r="K2339" s="19" t="s">
        <v>2961</v>
      </c>
    </row>
    <row r="2340" spans="1:11">
      <c r="A2340" s="19"/>
      <c r="B2340" s="19" t="s">
        <v>223</v>
      </c>
      <c r="C2340" s="19">
        <v>44631</v>
      </c>
      <c r="D2340" s="19" t="s">
        <v>777</v>
      </c>
      <c r="E2340" s="19" t="s">
        <v>2967</v>
      </c>
      <c r="F2340" s="19" t="s">
        <v>210</v>
      </c>
      <c r="G2340" s="19">
        <v>931433713</v>
      </c>
      <c r="H2340" s="19"/>
      <c r="I2340" s="19"/>
      <c r="J2340" s="19"/>
      <c r="K2340" s="19" t="s">
        <v>2961</v>
      </c>
    </row>
    <row r="2341" spans="1:11">
      <c r="A2341" s="19"/>
      <c r="B2341" s="19"/>
      <c r="C2341" s="19"/>
      <c r="D2341" s="19" t="s">
        <v>779</v>
      </c>
      <c r="E2341" s="19" t="s">
        <v>2968</v>
      </c>
      <c r="F2341" s="19"/>
      <c r="G2341" s="19"/>
      <c r="H2341" s="19"/>
      <c r="I2341" s="19"/>
      <c r="J2341" s="19"/>
      <c r="K2341" s="19" t="s">
        <v>2961</v>
      </c>
    </row>
    <row r="2342" spans="1:11">
      <c r="A2342" s="19"/>
      <c r="B2342" s="19"/>
      <c r="C2342" s="19"/>
      <c r="D2342" s="19" t="s">
        <v>779</v>
      </c>
      <c r="E2342" s="19" t="s">
        <v>2969</v>
      </c>
      <c r="F2342" s="19"/>
      <c r="G2342" s="19"/>
      <c r="H2342" s="19"/>
      <c r="I2342" s="19"/>
      <c r="J2342" s="19"/>
      <c r="K2342" s="19" t="s">
        <v>2961</v>
      </c>
    </row>
    <row r="2343" spans="1:11">
      <c r="A2343" s="19"/>
      <c r="B2343" s="19"/>
      <c r="C2343" s="19"/>
      <c r="D2343" s="19" t="s">
        <v>782</v>
      </c>
      <c r="E2343" s="19" t="s">
        <v>2970</v>
      </c>
      <c r="F2343" s="19"/>
      <c r="G2343" s="19"/>
      <c r="H2343" s="19"/>
      <c r="I2343" s="19"/>
      <c r="J2343" s="19"/>
      <c r="K2343" s="19" t="s">
        <v>2961</v>
      </c>
    </row>
    <row r="2344" spans="1:11">
      <c r="A2344" s="19"/>
      <c r="B2344" s="19" t="s">
        <v>223</v>
      </c>
      <c r="C2344" s="19">
        <v>44631</v>
      </c>
      <c r="D2344" s="19" t="s">
        <v>2971</v>
      </c>
      <c r="E2344" s="19" t="s">
        <v>2972</v>
      </c>
      <c r="F2344" s="19" t="s">
        <v>210</v>
      </c>
      <c r="G2344" s="19">
        <v>931433712</v>
      </c>
      <c r="H2344" s="19"/>
      <c r="I2344" s="19"/>
      <c r="J2344" s="19"/>
      <c r="K2344" s="19" t="s">
        <v>2961</v>
      </c>
    </row>
    <row r="2345" spans="1:11">
      <c r="A2345" s="19"/>
      <c r="B2345" s="19">
        <v>903511773250</v>
      </c>
      <c r="C2345" s="19">
        <v>44635</v>
      </c>
      <c r="D2345" s="19" t="s">
        <v>1501</v>
      </c>
      <c r="E2345" s="19" t="s">
        <v>2973</v>
      </c>
      <c r="F2345" s="19" t="s">
        <v>1398</v>
      </c>
      <c r="G2345" s="19" t="s">
        <v>2974</v>
      </c>
      <c r="H2345" s="19"/>
      <c r="I2345" s="19"/>
      <c r="J2345" s="19"/>
      <c r="K2345" s="19" t="s">
        <v>2961</v>
      </c>
    </row>
    <row r="2346" spans="1:11">
      <c r="A2346" s="19"/>
      <c r="B2346" s="19">
        <v>903511773250</v>
      </c>
      <c r="C2346" s="19">
        <v>44635</v>
      </c>
      <c r="D2346" s="19" t="s">
        <v>1501</v>
      </c>
      <c r="E2346" s="19" t="s">
        <v>2975</v>
      </c>
      <c r="F2346" s="19" t="s">
        <v>1398</v>
      </c>
      <c r="G2346" s="19" t="s">
        <v>2974</v>
      </c>
      <c r="H2346" s="19"/>
      <c r="I2346" s="19"/>
      <c r="J2346" s="19"/>
      <c r="K2346" s="19" t="s">
        <v>2961</v>
      </c>
    </row>
    <row r="2347" spans="1:11">
      <c r="A2347" s="19">
        <v>44293</v>
      </c>
      <c r="B2347" s="19" t="s">
        <v>2977</v>
      </c>
      <c r="C2347" s="19">
        <v>44287</v>
      </c>
      <c r="D2347" s="19" t="s">
        <v>1501</v>
      </c>
      <c r="E2347" s="19" t="s">
        <v>2978</v>
      </c>
      <c r="F2347" s="19" t="s">
        <v>2979</v>
      </c>
      <c r="G2347" s="19" t="s">
        <v>2980</v>
      </c>
      <c r="H2347" s="19"/>
      <c r="I2347" s="19"/>
      <c r="J2347" s="19"/>
      <c r="K2347" s="19" t="s">
        <v>2961</v>
      </c>
    </row>
    <row r="2348" spans="1:11">
      <c r="A2348" s="19">
        <v>44298</v>
      </c>
      <c r="B2348" s="19" t="s">
        <v>1205</v>
      </c>
      <c r="C2348" s="19">
        <v>44294</v>
      </c>
      <c r="D2348" s="19" t="s">
        <v>1501</v>
      </c>
      <c r="E2348" s="19" t="s">
        <v>2981</v>
      </c>
      <c r="F2348" s="19" t="s">
        <v>1207</v>
      </c>
      <c r="G2348" s="19" t="s">
        <v>1208</v>
      </c>
      <c r="H2348" s="19"/>
      <c r="I2348" s="19"/>
      <c r="J2348" s="19"/>
      <c r="K2348" s="19" t="s">
        <v>2961</v>
      </c>
    </row>
    <row r="2349" spans="1:11">
      <c r="A2349" s="6">
        <v>44643</v>
      </c>
      <c r="B2349" s="20" t="s">
        <v>2983</v>
      </c>
      <c r="C2349" s="6">
        <v>44642</v>
      </c>
      <c r="D2349" s="21" t="s">
        <v>2984</v>
      </c>
      <c r="E2349" s="21" t="s">
        <v>2985</v>
      </c>
      <c r="F2349" t="s">
        <v>202</v>
      </c>
      <c r="G2349" t="s">
        <v>2986</v>
      </c>
      <c r="H2349"/>
      <c r="I2349"/>
      <c r="J2349"/>
      <c r="K2349" t="s">
        <v>2987</v>
      </c>
    </row>
    <row r="2350" spans="1:11">
      <c r="A2350" s="6">
        <v>44643</v>
      </c>
      <c r="B2350" s="20" t="s">
        <v>2983</v>
      </c>
      <c r="C2350" s="6">
        <v>44642</v>
      </c>
      <c r="D2350" s="21" t="s">
        <v>2984</v>
      </c>
      <c r="E2350" s="21" t="s">
        <v>2988</v>
      </c>
      <c r="F2350" t="s">
        <v>202</v>
      </c>
      <c r="G2350" t="s">
        <v>2986</v>
      </c>
      <c r="H2350"/>
      <c r="I2350"/>
      <c r="J2350"/>
      <c r="K2350" t="s">
        <v>2987</v>
      </c>
    </row>
    <row r="2351" spans="1:11">
      <c r="A2351" s="6">
        <v>44643</v>
      </c>
      <c r="B2351" s="20" t="s">
        <v>2983</v>
      </c>
      <c r="C2351" s="6">
        <v>44642</v>
      </c>
      <c r="D2351" s="21" t="s">
        <v>2984</v>
      </c>
      <c r="E2351" s="21" t="s">
        <v>2989</v>
      </c>
      <c r="F2351" t="s">
        <v>202</v>
      </c>
      <c r="G2351" t="s">
        <v>2986</v>
      </c>
      <c r="H2351"/>
      <c r="I2351"/>
      <c r="J2351"/>
      <c r="K2351" t="s">
        <v>2987</v>
      </c>
    </row>
    <row r="2352" spans="1:11">
      <c r="A2352" s="6">
        <v>44644</v>
      </c>
      <c r="B2352" s="20">
        <v>567147785183</v>
      </c>
      <c r="C2352" s="6">
        <v>44642</v>
      </c>
      <c r="D2352" s="21" t="s">
        <v>2990</v>
      </c>
      <c r="E2352" s="21" t="s">
        <v>2991</v>
      </c>
      <c r="F2352" t="s">
        <v>2992</v>
      </c>
      <c r="G2352" t="s">
        <v>2993</v>
      </c>
      <c r="H2352"/>
      <c r="I2352"/>
      <c r="J2352"/>
      <c r="K2352" t="s">
        <v>2987</v>
      </c>
    </row>
    <row r="2353" spans="1:11">
      <c r="A2353" s="6">
        <v>44644</v>
      </c>
      <c r="B2353" s="20">
        <v>567147785183</v>
      </c>
      <c r="C2353" s="6">
        <v>44642</v>
      </c>
      <c r="D2353" s="21" t="s">
        <v>2990</v>
      </c>
      <c r="E2353" s="21" t="s">
        <v>2994</v>
      </c>
      <c r="F2353" t="s">
        <v>2992</v>
      </c>
      <c r="G2353" t="s">
        <v>2993</v>
      </c>
      <c r="H2353"/>
      <c r="I2353"/>
      <c r="J2353"/>
      <c r="K2353" t="s">
        <v>2987</v>
      </c>
    </row>
    <row r="2354" spans="1:11">
      <c r="A2354" s="6">
        <v>44644</v>
      </c>
      <c r="B2354" s="20">
        <v>567147785183</v>
      </c>
      <c r="C2354" s="6">
        <v>44642</v>
      </c>
      <c r="D2354" s="21" t="s">
        <v>2990</v>
      </c>
      <c r="E2354" s="21" t="s">
        <v>2995</v>
      </c>
      <c r="F2354" t="s">
        <v>2992</v>
      </c>
      <c r="G2354" t="s">
        <v>2993</v>
      </c>
      <c r="H2354"/>
      <c r="I2354"/>
      <c r="J2354"/>
      <c r="K2354" t="s">
        <v>2987</v>
      </c>
    </row>
    <row r="2355" spans="1:11">
      <c r="A2355" s="6">
        <v>44644</v>
      </c>
      <c r="B2355" s="20">
        <v>567147785183</v>
      </c>
      <c r="C2355" s="6">
        <v>44642</v>
      </c>
      <c r="D2355" s="21" t="s">
        <v>2990</v>
      </c>
      <c r="E2355" s="21" t="s">
        <v>2996</v>
      </c>
      <c r="F2355" t="s">
        <v>2992</v>
      </c>
      <c r="G2355" t="s">
        <v>2993</v>
      </c>
      <c r="H2355"/>
      <c r="I2355"/>
      <c r="J2355"/>
      <c r="K2355" t="s">
        <v>2987</v>
      </c>
    </row>
    <row r="2356" spans="1:11">
      <c r="A2356" s="6">
        <v>44644</v>
      </c>
      <c r="B2356" s="20">
        <v>567147785183</v>
      </c>
      <c r="C2356" s="6">
        <v>44642</v>
      </c>
      <c r="D2356" s="21" t="s">
        <v>2032</v>
      </c>
      <c r="E2356" s="21" t="s">
        <v>2997</v>
      </c>
      <c r="F2356" t="s">
        <v>2992</v>
      </c>
      <c r="G2356" t="s">
        <v>2993</v>
      </c>
      <c r="H2356"/>
      <c r="I2356"/>
      <c r="J2356"/>
      <c r="K2356" t="s">
        <v>2987</v>
      </c>
    </row>
    <row r="2357" spans="1:11">
      <c r="A2357" s="6">
        <v>44644</v>
      </c>
      <c r="B2357" s="20">
        <v>567147785183</v>
      </c>
      <c r="C2357" s="6">
        <v>44642</v>
      </c>
      <c r="D2357" s="21" t="s">
        <v>2032</v>
      </c>
      <c r="E2357" s="21" t="s">
        <v>2998</v>
      </c>
      <c r="F2357" t="s">
        <v>2992</v>
      </c>
      <c r="G2357" t="s">
        <v>2993</v>
      </c>
      <c r="H2357"/>
      <c r="I2357"/>
      <c r="J2357"/>
      <c r="K2357" t="s">
        <v>2987</v>
      </c>
    </row>
    <row r="2358" spans="1:11">
      <c r="A2358"/>
      <c r="B2358" s="20"/>
      <c r="C2358"/>
      <c r="D2358" s="21" t="s">
        <v>2999</v>
      </c>
      <c r="E2358" s="21" t="s">
        <v>3000</v>
      </c>
      <c r="F2358"/>
      <c r="G2358"/>
      <c r="H2358"/>
      <c r="I2358"/>
      <c r="J2358"/>
      <c r="K2358" t="s">
        <v>2987</v>
      </c>
    </row>
    <row r="2359" spans="1:11">
      <c r="A2359"/>
      <c r="B2359" s="20"/>
      <c r="C2359"/>
      <c r="D2359" s="21" t="s">
        <v>782</v>
      </c>
      <c r="E2359" s="21" t="s">
        <v>3001</v>
      </c>
      <c r="F2359"/>
      <c r="G2359"/>
      <c r="H2359"/>
      <c r="I2359"/>
      <c r="J2359"/>
      <c r="K2359" t="s">
        <v>2987</v>
      </c>
    </row>
    <row r="2360" spans="1:11">
      <c r="A2360"/>
      <c r="B2360" s="20"/>
      <c r="C2360"/>
      <c r="D2360" s="21" t="s">
        <v>946</v>
      </c>
      <c r="E2360" s="21" t="s">
        <v>3002</v>
      </c>
      <c r="F2360"/>
      <c r="G2360"/>
      <c r="H2360"/>
      <c r="I2360"/>
      <c r="J2360"/>
      <c r="K2360" t="s">
        <v>2987</v>
      </c>
    </row>
    <row r="2361" spans="1:11">
      <c r="A2361"/>
      <c r="B2361" s="20"/>
      <c r="C2361"/>
      <c r="D2361" s="21" t="s">
        <v>2148</v>
      </c>
      <c r="E2361" s="21" t="s">
        <v>3003</v>
      </c>
      <c r="F2361"/>
      <c r="G2361"/>
      <c r="H2361"/>
      <c r="I2361"/>
      <c r="J2361"/>
      <c r="K2361" t="s">
        <v>2987</v>
      </c>
    </row>
    <row r="2362" spans="1:11">
      <c r="A2362" s="22">
        <v>44454</v>
      </c>
      <c r="B2362" s="23">
        <v>343770145</v>
      </c>
      <c r="C2362" s="24"/>
      <c r="D2362" s="24" t="s">
        <v>2141</v>
      </c>
      <c r="E2362" s="24" t="s">
        <v>3004</v>
      </c>
      <c r="F2362" t="s">
        <v>982</v>
      </c>
      <c r="G2362"/>
      <c r="H2362"/>
      <c r="I2362"/>
      <c r="J2362"/>
      <c r="K2362" s="25" t="s">
        <v>2987</v>
      </c>
    </row>
    <row r="2363" spans="1:11">
      <c r="A2363" s="30">
        <v>44666</v>
      </c>
      <c r="B2363" s="31" t="s">
        <v>3006</v>
      </c>
      <c r="C2363" s="30">
        <v>44665</v>
      </c>
      <c r="D2363" s="32" t="s">
        <v>2623</v>
      </c>
      <c r="E2363" s="19" t="s">
        <v>3007</v>
      </c>
      <c r="F2363" s="19" t="s">
        <v>202</v>
      </c>
      <c r="G2363" s="19" t="s">
        <v>3008</v>
      </c>
      <c r="H2363" s="19"/>
      <c r="I2363" s="19"/>
      <c r="J2363" s="19"/>
      <c r="K2363" s="19" t="s">
        <v>3009</v>
      </c>
    </row>
    <row r="2364" spans="1:11">
      <c r="A2364" s="30">
        <v>44666</v>
      </c>
      <c r="B2364" s="31" t="s">
        <v>3010</v>
      </c>
      <c r="C2364" s="30">
        <v>44665</v>
      </c>
      <c r="D2364" s="32" t="s">
        <v>2609</v>
      </c>
      <c r="E2364" s="19" t="s">
        <v>3011</v>
      </c>
      <c r="F2364" s="19" t="s">
        <v>202</v>
      </c>
      <c r="G2364" s="19" t="s">
        <v>3012</v>
      </c>
      <c r="H2364" s="19"/>
      <c r="I2364" s="19"/>
      <c r="J2364" s="19"/>
      <c r="K2364" s="19" t="s">
        <v>3009</v>
      </c>
    </row>
    <row r="2365" spans="1:11">
      <c r="A2365" s="30">
        <v>44671</v>
      </c>
      <c r="B2365" s="31" t="s">
        <v>3013</v>
      </c>
      <c r="C2365" s="30">
        <v>44665</v>
      </c>
      <c r="D2365" s="19" t="s">
        <v>1715</v>
      </c>
      <c r="E2365" s="19" t="s">
        <v>3014</v>
      </c>
      <c r="F2365" s="19" t="s">
        <v>2592</v>
      </c>
      <c r="G2365" s="19">
        <v>3130355</v>
      </c>
      <c r="H2365" s="19"/>
      <c r="I2365" s="19"/>
      <c r="J2365" s="19"/>
      <c r="K2365" s="19" t="s">
        <v>3009</v>
      </c>
    </row>
    <row r="2366" spans="1:11">
      <c r="A2366" s="30">
        <v>44671</v>
      </c>
      <c r="B2366" s="31">
        <v>332352190139</v>
      </c>
      <c r="C2366" s="30">
        <v>44665</v>
      </c>
      <c r="D2366" s="19" t="s">
        <v>3015</v>
      </c>
      <c r="E2366" s="19" t="s">
        <v>3016</v>
      </c>
      <c r="F2366" s="19" t="s">
        <v>905</v>
      </c>
      <c r="G2366" s="19" t="s">
        <v>3017</v>
      </c>
      <c r="H2366" s="19"/>
      <c r="I2366" s="19"/>
      <c r="J2366" s="19"/>
      <c r="K2366" s="19" t="s">
        <v>3009</v>
      </c>
    </row>
    <row r="2367" spans="1:11">
      <c r="A2367" s="30">
        <v>44671</v>
      </c>
      <c r="B2367" s="31">
        <v>332352190139</v>
      </c>
      <c r="C2367" s="30">
        <v>44665</v>
      </c>
      <c r="D2367" s="19" t="s">
        <v>3015</v>
      </c>
      <c r="E2367" s="19" t="s">
        <v>3018</v>
      </c>
      <c r="F2367" s="19" t="s">
        <v>905</v>
      </c>
      <c r="G2367" s="19" t="s">
        <v>3017</v>
      </c>
      <c r="H2367" s="19"/>
      <c r="I2367" s="19"/>
      <c r="J2367" s="19"/>
      <c r="K2367" s="19" t="s">
        <v>3009</v>
      </c>
    </row>
    <row r="2368" spans="1:11">
      <c r="A2368" s="30">
        <v>44671</v>
      </c>
      <c r="B2368" s="31">
        <v>332352190139</v>
      </c>
      <c r="C2368" s="30">
        <v>44665</v>
      </c>
      <c r="D2368" s="19" t="s">
        <v>3015</v>
      </c>
      <c r="E2368" s="19" t="s">
        <v>3019</v>
      </c>
      <c r="F2368" s="19" t="s">
        <v>905</v>
      </c>
      <c r="G2368" s="19" t="s">
        <v>3017</v>
      </c>
      <c r="H2368" s="19"/>
      <c r="I2368" s="19"/>
      <c r="J2368" s="19"/>
      <c r="K2368" s="19" t="s">
        <v>3009</v>
      </c>
    </row>
    <row r="2369" spans="1:11">
      <c r="A2369" s="30">
        <v>44671</v>
      </c>
      <c r="B2369" s="31">
        <v>332352190139</v>
      </c>
      <c r="C2369" s="30">
        <v>44665</v>
      </c>
      <c r="D2369" s="19" t="s">
        <v>3015</v>
      </c>
      <c r="E2369" s="19" t="s">
        <v>3020</v>
      </c>
      <c r="F2369" s="19" t="s">
        <v>905</v>
      </c>
      <c r="G2369" s="19" t="s">
        <v>3017</v>
      </c>
      <c r="H2369" s="19"/>
      <c r="I2369" s="19"/>
      <c r="J2369" s="19"/>
      <c r="K2369" s="19" t="s">
        <v>3009</v>
      </c>
    </row>
    <row r="2370" spans="1:11">
      <c r="A2370" s="30">
        <v>44671</v>
      </c>
      <c r="B2370" s="31">
        <v>332352190139</v>
      </c>
      <c r="C2370" s="30">
        <v>44665</v>
      </c>
      <c r="D2370" s="19" t="s">
        <v>3021</v>
      </c>
      <c r="E2370" s="19" t="s">
        <v>3022</v>
      </c>
      <c r="F2370" s="19" t="s">
        <v>905</v>
      </c>
      <c r="G2370" s="19" t="s">
        <v>3017</v>
      </c>
      <c r="H2370" s="19"/>
      <c r="I2370" s="19"/>
      <c r="J2370" s="19"/>
      <c r="K2370" s="19" t="s">
        <v>3009</v>
      </c>
    </row>
    <row r="2371" spans="1:11">
      <c r="A2371" s="30">
        <v>44676</v>
      </c>
      <c r="B2371" s="31" t="s">
        <v>223</v>
      </c>
      <c r="C2371" s="30">
        <v>44673</v>
      </c>
      <c r="D2371" s="19" t="s">
        <v>1718</v>
      </c>
      <c r="E2371" s="19" t="s">
        <v>3023</v>
      </c>
      <c r="F2371" s="19" t="s">
        <v>12</v>
      </c>
      <c r="G2371" s="19">
        <v>931458304</v>
      </c>
      <c r="H2371" s="19"/>
      <c r="I2371" s="19"/>
      <c r="J2371" s="19"/>
      <c r="K2371" s="19" t="s">
        <v>3009</v>
      </c>
    </row>
    <row r="2372" spans="1:11">
      <c r="A2372" s="33"/>
      <c r="B2372" s="34"/>
      <c r="C2372" s="33"/>
      <c r="D2372" s="33" t="s">
        <v>2153</v>
      </c>
      <c r="E2372" s="33" t="s">
        <v>3024</v>
      </c>
      <c r="F2372" s="33" t="s">
        <v>12</v>
      </c>
      <c r="G2372" s="33">
        <v>931458304</v>
      </c>
      <c r="H2372" s="33"/>
      <c r="I2372" s="33"/>
      <c r="J2372" s="33"/>
      <c r="K2372" s="33" t="s">
        <v>3009</v>
      </c>
    </row>
    <row r="2373" spans="1:11">
      <c r="A2373" s="19"/>
      <c r="B2373" s="31"/>
      <c r="C2373" s="19"/>
      <c r="D2373" s="19" t="s">
        <v>918</v>
      </c>
      <c r="E2373" s="19" t="s">
        <v>3025</v>
      </c>
      <c r="F2373" s="19"/>
      <c r="G2373" s="19"/>
      <c r="H2373" s="19"/>
      <c r="I2373" s="19"/>
      <c r="J2373" s="19"/>
      <c r="K2373" s="19" t="s">
        <v>3009</v>
      </c>
    </row>
    <row r="2374" spans="1:11">
      <c r="A2374" s="19"/>
      <c r="B2374" s="31"/>
      <c r="C2374" s="19"/>
      <c r="D2374" s="19" t="s">
        <v>918</v>
      </c>
      <c r="E2374" s="19" t="s">
        <v>3026</v>
      </c>
      <c r="F2374" s="19"/>
      <c r="G2374" s="19"/>
      <c r="H2374" s="19"/>
      <c r="I2374" s="19"/>
      <c r="J2374" s="19"/>
      <c r="K2374" s="19" t="s">
        <v>3009</v>
      </c>
    </row>
    <row r="2375" spans="1:11">
      <c r="A2375" s="35"/>
      <c r="B2375" s="36"/>
      <c r="C2375" s="35"/>
      <c r="D2375" s="35" t="s">
        <v>2608</v>
      </c>
      <c r="E2375" s="35" t="s">
        <v>3027</v>
      </c>
      <c r="F2375" s="35"/>
      <c r="G2375" s="35"/>
      <c r="H2375" s="35"/>
      <c r="I2375" s="35"/>
      <c r="J2375" s="35"/>
      <c r="K2375" s="35" t="s">
        <v>3009</v>
      </c>
    </row>
    <row r="2376" spans="1:11">
      <c r="A2376" s="30">
        <v>44677</v>
      </c>
      <c r="B2376" s="31">
        <v>10812566571</v>
      </c>
      <c r="C2376" s="30">
        <v>44676</v>
      </c>
      <c r="D2376" s="19" t="s">
        <v>3028</v>
      </c>
      <c r="E2376" s="19" t="s">
        <v>3029</v>
      </c>
      <c r="F2376" s="19" t="s">
        <v>753</v>
      </c>
      <c r="G2376" s="19">
        <v>40038240</v>
      </c>
      <c r="H2376" s="19"/>
      <c r="I2376" s="19"/>
      <c r="J2376" s="19"/>
      <c r="K2376" s="19" t="s">
        <v>3009</v>
      </c>
    </row>
    <row r="2377" spans="1:11">
      <c r="A2377" s="6">
        <v>44666</v>
      </c>
      <c r="B2377" s="20" t="s">
        <v>3006</v>
      </c>
      <c r="C2377" s="6">
        <v>44665</v>
      </c>
      <c r="D2377" s="21" t="s">
        <v>2623</v>
      </c>
      <c r="E2377" t="s">
        <v>3032</v>
      </c>
      <c r="F2377" t="s">
        <v>202</v>
      </c>
      <c r="G2377" t="s">
        <v>3008</v>
      </c>
      <c r="H2377"/>
      <c r="I2377"/>
      <c r="J2377"/>
      <c r="K2377" t="s">
        <v>3031</v>
      </c>
    </row>
    <row r="2378" spans="1:11">
      <c r="A2378" s="6">
        <v>44666</v>
      </c>
      <c r="B2378" s="20" t="s">
        <v>3010</v>
      </c>
      <c r="C2378" s="6">
        <v>44665</v>
      </c>
      <c r="D2378" s="21" t="s">
        <v>2609</v>
      </c>
      <c r="E2378" t="s">
        <v>3033</v>
      </c>
      <c r="F2378" t="s">
        <v>202</v>
      </c>
      <c r="G2378" t="s">
        <v>3012</v>
      </c>
      <c r="H2378"/>
      <c r="I2378"/>
      <c r="J2378"/>
      <c r="K2378" t="s">
        <v>3031</v>
      </c>
    </row>
    <row r="2379" spans="1:11">
      <c r="A2379" s="6">
        <v>44671</v>
      </c>
      <c r="B2379" s="20" t="s">
        <v>3013</v>
      </c>
      <c r="C2379" s="6">
        <v>44665</v>
      </c>
      <c r="D2379" t="s">
        <v>1715</v>
      </c>
      <c r="E2379" t="s">
        <v>3034</v>
      </c>
      <c r="F2379" t="s">
        <v>2592</v>
      </c>
      <c r="G2379">
        <v>3130355</v>
      </c>
      <c r="H2379"/>
      <c r="I2379"/>
      <c r="J2379"/>
      <c r="K2379" t="s">
        <v>3031</v>
      </c>
    </row>
    <row r="2380" spans="1:11">
      <c r="A2380" s="6">
        <v>44671</v>
      </c>
      <c r="B2380" s="20">
        <v>332352190139</v>
      </c>
      <c r="C2380" s="6">
        <v>44665</v>
      </c>
      <c r="D2380" t="s">
        <v>3015</v>
      </c>
      <c r="E2380" t="s">
        <v>3035</v>
      </c>
      <c r="F2380" t="s">
        <v>905</v>
      </c>
      <c r="G2380" t="s">
        <v>3017</v>
      </c>
      <c r="H2380"/>
      <c r="I2380"/>
      <c r="J2380"/>
      <c r="K2380" t="s">
        <v>3031</v>
      </c>
    </row>
    <row r="2381" spans="1:11">
      <c r="A2381" s="6">
        <v>44671</v>
      </c>
      <c r="B2381" s="20">
        <v>332352190139</v>
      </c>
      <c r="C2381" s="6">
        <v>44665</v>
      </c>
      <c r="D2381" t="s">
        <v>3015</v>
      </c>
      <c r="E2381" t="s">
        <v>3036</v>
      </c>
      <c r="F2381" t="s">
        <v>905</v>
      </c>
      <c r="G2381" t="s">
        <v>3017</v>
      </c>
      <c r="H2381"/>
      <c r="I2381"/>
      <c r="J2381"/>
      <c r="K2381" t="s">
        <v>3031</v>
      </c>
    </row>
    <row r="2382" spans="1:11">
      <c r="A2382" s="6">
        <v>44671</v>
      </c>
      <c r="B2382" s="20">
        <v>332352190139</v>
      </c>
      <c r="C2382" s="6">
        <v>44665</v>
      </c>
      <c r="D2382" t="s">
        <v>3015</v>
      </c>
      <c r="E2382" t="s">
        <v>3037</v>
      </c>
      <c r="F2382" t="s">
        <v>905</v>
      </c>
      <c r="G2382" t="s">
        <v>3017</v>
      </c>
      <c r="H2382"/>
      <c r="I2382"/>
      <c r="J2382"/>
      <c r="K2382" t="s">
        <v>3031</v>
      </c>
    </row>
    <row r="2383" spans="1:11">
      <c r="A2383" s="6">
        <v>44671</v>
      </c>
      <c r="B2383" s="20">
        <v>332352190139</v>
      </c>
      <c r="C2383" s="6">
        <v>44665</v>
      </c>
      <c r="D2383" t="s">
        <v>3015</v>
      </c>
      <c r="E2383" t="s">
        <v>3038</v>
      </c>
      <c r="F2383" t="s">
        <v>905</v>
      </c>
      <c r="G2383" t="s">
        <v>3017</v>
      </c>
      <c r="H2383"/>
      <c r="I2383"/>
      <c r="J2383"/>
      <c r="K2383" t="s">
        <v>3031</v>
      </c>
    </row>
    <row r="2384" spans="1:11">
      <c r="A2384" s="6">
        <v>44671</v>
      </c>
      <c r="B2384" s="20">
        <v>332352190139</v>
      </c>
      <c r="C2384" s="6">
        <v>44665</v>
      </c>
      <c r="D2384" t="s">
        <v>3021</v>
      </c>
      <c r="E2384" t="s">
        <v>3045</v>
      </c>
      <c r="F2384" t="s">
        <v>905</v>
      </c>
      <c r="G2384" t="s">
        <v>3017</v>
      </c>
      <c r="H2384"/>
      <c r="I2384"/>
      <c r="J2384"/>
      <c r="K2384" t="s">
        <v>3031</v>
      </c>
    </row>
    <row r="2385" spans="1:11">
      <c r="A2385" s="26"/>
      <c r="B2385" s="27"/>
      <c r="C2385" s="26"/>
      <c r="D2385" s="26" t="s">
        <v>2153</v>
      </c>
      <c r="E2385" s="26" t="s">
        <v>3039</v>
      </c>
      <c r="F2385" s="26" t="s">
        <v>12</v>
      </c>
      <c r="G2385" s="26">
        <v>931458295</v>
      </c>
      <c r="H2385" s="26"/>
      <c r="I2385" s="26"/>
      <c r="J2385" s="26"/>
      <c r="K2385" s="26" t="s">
        <v>3031</v>
      </c>
    </row>
    <row r="2386" spans="1:11">
      <c r="A2386"/>
      <c r="B2386" s="20"/>
      <c r="C2386"/>
      <c r="D2386" t="s">
        <v>918</v>
      </c>
      <c r="E2386" t="s">
        <v>3040</v>
      </c>
      <c r="F2386"/>
      <c r="G2386"/>
      <c r="H2386"/>
      <c r="I2386"/>
      <c r="J2386"/>
      <c r="K2386" t="s">
        <v>3031</v>
      </c>
    </row>
    <row r="2387" spans="1:11">
      <c r="A2387"/>
      <c r="B2387" s="20"/>
      <c r="C2387"/>
      <c r="D2387" t="s">
        <v>918</v>
      </c>
      <c r="E2387" t="s">
        <v>3041</v>
      </c>
      <c r="F2387"/>
      <c r="G2387"/>
      <c r="H2387"/>
      <c r="I2387"/>
      <c r="J2387"/>
      <c r="K2387" t="s">
        <v>3031</v>
      </c>
    </row>
    <row r="2388" spans="1:11">
      <c r="A2388" s="28"/>
      <c r="B2388" s="29"/>
      <c r="C2388" s="28"/>
      <c r="D2388" s="28" t="s">
        <v>2608</v>
      </c>
      <c r="E2388" s="28" t="s">
        <v>3042</v>
      </c>
      <c r="F2388" s="28"/>
      <c r="G2388" s="28"/>
      <c r="H2388" s="28"/>
      <c r="I2388" s="28"/>
      <c r="J2388" s="28"/>
      <c r="K2388" s="28" t="s">
        <v>3031</v>
      </c>
    </row>
    <row r="2389" spans="1:11">
      <c r="A2389"/>
      <c r="B2389" s="20"/>
      <c r="C2389"/>
      <c r="D2389" t="s">
        <v>1718</v>
      </c>
      <c r="E2389" t="s">
        <v>3043</v>
      </c>
      <c r="F2389" t="s">
        <v>12</v>
      </c>
      <c r="G2389">
        <v>931458295</v>
      </c>
      <c r="H2389"/>
      <c r="I2389"/>
      <c r="J2389"/>
      <c r="K2389" t="s">
        <v>3031</v>
      </c>
    </row>
    <row r="2390" spans="1:11">
      <c r="A2390" s="6">
        <v>44677</v>
      </c>
      <c r="B2390" s="20">
        <v>10812566571</v>
      </c>
      <c r="C2390" s="6">
        <v>44676</v>
      </c>
      <c r="D2390" t="s">
        <v>3028</v>
      </c>
      <c r="E2390" t="s">
        <v>3044</v>
      </c>
      <c r="F2390" t="s">
        <v>753</v>
      </c>
      <c r="G2390">
        <v>40038240</v>
      </c>
      <c r="H2390"/>
      <c r="I2390"/>
      <c r="J2390"/>
      <c r="K2390" t="s">
        <v>3031</v>
      </c>
    </row>
    <row r="2391" spans="1:11">
      <c r="A2391"/>
      <c r="B2391"/>
      <c r="C2391"/>
      <c r="D2391" t="s">
        <v>2633</v>
      </c>
      <c r="E2391" s="37" t="s">
        <v>3046</v>
      </c>
      <c r="F2391"/>
      <c r="G2391"/>
      <c r="H2391"/>
      <c r="I2391"/>
      <c r="J2391"/>
      <c r="K2391" t="s">
        <v>3031</v>
      </c>
    </row>
    <row r="2392" spans="1:11">
      <c r="A2392"/>
      <c r="B2392"/>
      <c r="C2392"/>
      <c r="D2392" t="s">
        <v>2633</v>
      </c>
      <c r="E2392" s="37" t="s">
        <v>3047</v>
      </c>
      <c r="F2392"/>
      <c r="G2392"/>
      <c r="H2392"/>
      <c r="I2392"/>
      <c r="J2392"/>
      <c r="K2392" t="s">
        <v>3009</v>
      </c>
    </row>
    <row r="2393" spans="1:11">
      <c r="A2393" s="30">
        <v>44627</v>
      </c>
      <c r="B2393" s="31">
        <v>903511768300</v>
      </c>
      <c r="C2393" s="30">
        <v>44624</v>
      </c>
      <c r="D2393" s="32" t="s">
        <v>3048</v>
      </c>
      <c r="E2393" s="19" t="s">
        <v>3049</v>
      </c>
      <c r="F2393" s="19" t="s">
        <v>1398</v>
      </c>
      <c r="G2393" s="19" t="s">
        <v>3050</v>
      </c>
      <c r="H2393" s="19"/>
      <c r="I2393" s="19"/>
      <c r="J2393" s="19"/>
      <c r="K2393" s="19" t="s">
        <v>3051</v>
      </c>
    </row>
    <row r="2394" spans="1:11">
      <c r="A2394" s="30">
        <v>44634</v>
      </c>
      <c r="B2394" s="31" t="s">
        <v>223</v>
      </c>
      <c r="C2394" s="30">
        <v>44631</v>
      </c>
      <c r="D2394" s="32" t="s">
        <v>3052</v>
      </c>
      <c r="E2394" s="19" t="s">
        <v>3053</v>
      </c>
      <c r="F2394" s="19" t="s">
        <v>210</v>
      </c>
      <c r="G2394" s="19">
        <v>931433711</v>
      </c>
      <c r="H2394" s="19"/>
      <c r="I2394" s="19"/>
      <c r="J2394" s="19"/>
      <c r="K2394" s="19" t="s">
        <v>3051</v>
      </c>
    </row>
    <row r="2395" spans="1:11">
      <c r="A2395" s="30">
        <v>44634</v>
      </c>
      <c r="B2395" s="31" t="s">
        <v>223</v>
      </c>
      <c r="C2395" s="30">
        <v>44631</v>
      </c>
      <c r="D2395" s="32" t="s">
        <v>3052</v>
      </c>
      <c r="E2395" s="19" t="s">
        <v>3054</v>
      </c>
      <c r="F2395" s="19" t="s">
        <v>210</v>
      </c>
      <c r="G2395" s="19">
        <v>931433711</v>
      </c>
      <c r="H2395" s="19"/>
      <c r="I2395" s="19"/>
      <c r="J2395" s="19"/>
      <c r="K2395" s="19" t="s">
        <v>3051</v>
      </c>
    </row>
    <row r="2396" spans="1:11">
      <c r="A2396" s="30">
        <v>44657</v>
      </c>
      <c r="B2396" s="31">
        <v>567147788470</v>
      </c>
      <c r="C2396" s="30">
        <v>44655</v>
      </c>
      <c r="D2396" s="32" t="s">
        <v>701</v>
      </c>
      <c r="E2396" s="32" t="s">
        <v>3055</v>
      </c>
      <c r="F2396" s="19" t="s">
        <v>2992</v>
      </c>
      <c r="G2396" s="19" t="s">
        <v>3056</v>
      </c>
      <c r="H2396" s="19"/>
      <c r="I2396" s="19"/>
      <c r="J2396" s="19"/>
      <c r="K2396" s="19" t="s">
        <v>3051</v>
      </c>
    </row>
    <row r="2397" spans="1:11">
      <c r="A2397" s="30"/>
      <c r="B2397" s="31"/>
      <c r="C2397" s="19"/>
      <c r="D2397" s="19"/>
      <c r="E2397" s="19"/>
      <c r="F2397" s="19"/>
      <c r="G2397" s="19"/>
      <c r="H2397" s="19"/>
      <c r="I2397" s="19"/>
      <c r="J2397" s="19"/>
      <c r="K2397" s="19"/>
    </row>
    <row r="2398" spans="1:11">
      <c r="A2398" s="30">
        <v>44627</v>
      </c>
      <c r="B2398" s="31">
        <v>903511768300</v>
      </c>
      <c r="C2398" s="30">
        <v>44624</v>
      </c>
      <c r="D2398" s="32" t="s">
        <v>3048</v>
      </c>
      <c r="E2398" s="19" t="s">
        <v>3059</v>
      </c>
      <c r="F2398" s="19" t="s">
        <v>1398</v>
      </c>
      <c r="G2398" s="19" t="s">
        <v>3050</v>
      </c>
      <c r="H2398" s="19"/>
      <c r="I2398" s="19"/>
      <c r="J2398" s="19"/>
      <c r="K2398" s="19" t="s">
        <v>3060</v>
      </c>
    </row>
    <row r="2399" spans="1:11">
      <c r="A2399" s="30">
        <v>44634</v>
      </c>
      <c r="B2399" s="31" t="s">
        <v>223</v>
      </c>
      <c r="C2399" s="30">
        <v>44631</v>
      </c>
      <c r="D2399" s="32" t="s">
        <v>3052</v>
      </c>
      <c r="E2399" s="19" t="s">
        <v>3061</v>
      </c>
      <c r="F2399" s="19" t="s">
        <v>210</v>
      </c>
      <c r="G2399" s="19">
        <v>931433711</v>
      </c>
      <c r="H2399" s="19"/>
      <c r="I2399" s="19"/>
      <c r="J2399" s="19"/>
      <c r="K2399" s="19" t="s">
        <v>3060</v>
      </c>
    </row>
    <row r="2400" spans="1:11">
      <c r="A2400" s="30">
        <v>44634</v>
      </c>
      <c r="B2400" s="31" t="s">
        <v>223</v>
      </c>
      <c r="C2400" s="30">
        <v>44631</v>
      </c>
      <c r="D2400" s="32" t="s">
        <v>3052</v>
      </c>
      <c r="E2400" s="19" t="s">
        <v>3062</v>
      </c>
      <c r="F2400" s="19" t="s">
        <v>210</v>
      </c>
      <c r="G2400" s="19">
        <v>931433711</v>
      </c>
      <c r="H2400" s="19"/>
      <c r="I2400" s="19"/>
      <c r="J2400" s="19"/>
      <c r="K2400" s="19" t="s">
        <v>3060</v>
      </c>
    </row>
    <row r="2401" spans="1:11">
      <c r="A2401" s="30">
        <v>44657</v>
      </c>
      <c r="B2401" s="31">
        <v>567147788470</v>
      </c>
      <c r="C2401" s="30">
        <v>44655</v>
      </c>
      <c r="D2401" s="32" t="s">
        <v>701</v>
      </c>
      <c r="E2401" s="32" t="s">
        <v>3063</v>
      </c>
      <c r="F2401" s="19" t="s">
        <v>2992</v>
      </c>
      <c r="G2401" s="19" t="s">
        <v>3056</v>
      </c>
      <c r="H2401" s="19"/>
      <c r="I2401" s="19"/>
      <c r="J2401" s="19"/>
      <c r="K2401" s="19" t="s">
        <v>3060</v>
      </c>
    </row>
    <row r="2402" spans="1:11">
      <c r="A2402" s="39"/>
      <c r="B2402" s="34"/>
      <c r="C2402" s="33"/>
      <c r="D2402" s="33"/>
      <c r="E2402" s="33"/>
      <c r="F2402" s="33"/>
      <c r="G2402" s="33"/>
      <c r="H2402" s="33"/>
      <c r="I2402" s="33"/>
      <c r="J2402" s="33"/>
      <c r="K2402" s="19"/>
    </row>
    <row r="2403" spans="1:11">
      <c r="A2403" s="19"/>
      <c r="B2403" s="19"/>
      <c r="C2403" s="19"/>
      <c r="D2403" s="19" t="s">
        <v>976</v>
      </c>
      <c r="E2403" s="40" t="s">
        <v>3065</v>
      </c>
      <c r="F2403" s="19"/>
      <c r="G2403" s="19"/>
      <c r="H2403" s="19"/>
      <c r="I2403" s="19"/>
      <c r="J2403" s="19"/>
      <c r="K2403" s="19" t="s">
        <v>3051</v>
      </c>
    </row>
    <row r="2404" spans="1:11">
      <c r="A2404" s="19"/>
      <c r="B2404" s="19"/>
      <c r="C2404" s="19"/>
      <c r="D2404" s="19" t="s">
        <v>976</v>
      </c>
      <c r="E2404" s="40" t="s">
        <v>3066</v>
      </c>
      <c r="F2404" s="19"/>
      <c r="G2404" s="19"/>
      <c r="H2404" s="19"/>
      <c r="I2404" s="19"/>
      <c r="J2404" s="19"/>
      <c r="K2404" s="19" t="s">
        <v>3060</v>
      </c>
    </row>
    <row r="2405" spans="1:11">
      <c r="A2405" s="6">
        <v>44657</v>
      </c>
      <c r="B2405" s="20">
        <v>567147788470</v>
      </c>
      <c r="C2405" s="6">
        <v>44655</v>
      </c>
      <c r="D2405" s="21" t="s">
        <v>701</v>
      </c>
      <c r="E2405" s="21" t="s">
        <v>3067</v>
      </c>
      <c r="F2405" t="s">
        <v>2992</v>
      </c>
      <c r="G2405" t="s">
        <v>3056</v>
      </c>
      <c r="H2405"/>
      <c r="I2405"/>
      <c r="J2405"/>
      <c r="K2405" t="s">
        <v>3068</v>
      </c>
    </row>
    <row r="2406" spans="1:11">
      <c r="A2406" s="6">
        <v>44659</v>
      </c>
      <c r="B2406" s="20" t="s">
        <v>3069</v>
      </c>
      <c r="C2406" s="6">
        <v>44658</v>
      </c>
      <c r="D2406" s="21" t="s">
        <v>3048</v>
      </c>
      <c r="E2406" t="s">
        <v>3070</v>
      </c>
      <c r="F2406" t="s">
        <v>3071</v>
      </c>
      <c r="G2406" t="s">
        <v>3072</v>
      </c>
      <c r="H2406"/>
      <c r="I2406"/>
      <c r="J2406"/>
      <c r="K2406" t="s">
        <v>3068</v>
      </c>
    </row>
    <row r="2407" spans="1:11">
      <c r="A2407" s="6">
        <v>44671</v>
      </c>
      <c r="B2407" s="20">
        <v>567147791568</v>
      </c>
      <c r="C2407" s="6">
        <v>44665</v>
      </c>
      <c r="D2407" t="s">
        <v>956</v>
      </c>
      <c r="E2407" t="s">
        <v>3073</v>
      </c>
      <c r="F2407" t="s">
        <v>2992</v>
      </c>
      <c r="G2407" t="s">
        <v>3074</v>
      </c>
      <c r="H2407"/>
      <c r="I2407"/>
      <c r="J2407"/>
      <c r="K2407" t="s">
        <v>3068</v>
      </c>
    </row>
    <row r="2408" spans="1:11">
      <c r="A2408" s="6">
        <v>44671</v>
      </c>
      <c r="B2408" s="20">
        <v>567147791568</v>
      </c>
      <c r="C2408" s="6">
        <v>44665</v>
      </c>
      <c r="D2408" t="s">
        <v>956</v>
      </c>
      <c r="E2408" t="s">
        <v>3075</v>
      </c>
      <c r="F2408" t="s">
        <v>2992</v>
      </c>
      <c r="G2408" t="s">
        <v>3074</v>
      </c>
      <c r="H2408"/>
      <c r="I2408"/>
      <c r="J2408"/>
      <c r="K2408" t="s">
        <v>3068</v>
      </c>
    </row>
    <row r="2409" spans="1:11">
      <c r="A2409" s="6"/>
      <c r="B2409" s="20"/>
      <c r="C2409"/>
      <c r="D2409"/>
      <c r="E2409"/>
      <c r="F2409"/>
      <c r="G2409"/>
      <c r="H2409"/>
      <c r="I2409"/>
      <c r="J2409"/>
      <c r="K2409"/>
    </row>
    <row r="2410" spans="1:11">
      <c r="A2410" s="6">
        <v>44657</v>
      </c>
      <c r="B2410" s="20">
        <v>567147788470</v>
      </c>
      <c r="C2410" s="6">
        <v>44655</v>
      </c>
      <c r="D2410" s="21" t="s">
        <v>701</v>
      </c>
      <c r="E2410" s="21" t="s">
        <v>3077</v>
      </c>
      <c r="F2410" t="s">
        <v>2992</v>
      </c>
      <c r="G2410" t="s">
        <v>3056</v>
      </c>
      <c r="H2410"/>
      <c r="I2410"/>
      <c r="J2410"/>
      <c r="K2410" t="s">
        <v>3078</v>
      </c>
    </row>
    <row r="2411" spans="1:11">
      <c r="A2411" s="6">
        <v>44666</v>
      </c>
      <c r="B2411" s="20" t="s">
        <v>223</v>
      </c>
      <c r="C2411" s="6">
        <v>44665</v>
      </c>
      <c r="D2411" t="s">
        <v>3048</v>
      </c>
      <c r="E2411" t="s">
        <v>3079</v>
      </c>
      <c r="F2411" t="s">
        <v>12</v>
      </c>
      <c r="G2411">
        <v>931454073</v>
      </c>
      <c r="H2411"/>
      <c r="I2411"/>
      <c r="J2411"/>
      <c r="K2411" t="s">
        <v>3078</v>
      </c>
    </row>
    <row r="2412" spans="1:11">
      <c r="A2412" s="6">
        <v>44671</v>
      </c>
      <c r="B2412" s="20">
        <v>567147791568</v>
      </c>
      <c r="C2412" s="6">
        <v>44665</v>
      </c>
      <c r="D2412" t="s">
        <v>956</v>
      </c>
      <c r="E2412" t="s">
        <v>3080</v>
      </c>
      <c r="F2412" t="s">
        <v>2992</v>
      </c>
      <c r="G2412" t="s">
        <v>3074</v>
      </c>
      <c r="H2412"/>
      <c r="I2412"/>
      <c r="J2412"/>
      <c r="K2412" t="s">
        <v>3078</v>
      </c>
    </row>
    <row r="2413" spans="1:11">
      <c r="A2413" s="6">
        <v>44671</v>
      </c>
      <c r="B2413" s="20">
        <v>567147791568</v>
      </c>
      <c r="C2413" s="6">
        <v>44665</v>
      </c>
      <c r="D2413" t="s">
        <v>956</v>
      </c>
      <c r="E2413" t="s">
        <v>3081</v>
      </c>
      <c r="F2413" t="s">
        <v>2992</v>
      </c>
      <c r="G2413" t="s">
        <v>3074</v>
      </c>
      <c r="H2413"/>
      <c r="I2413"/>
      <c r="J2413"/>
      <c r="K2413" t="s">
        <v>3078</v>
      </c>
    </row>
    <row r="2414" spans="1:11">
      <c r="A2414" s="38"/>
      <c r="B2414" s="27"/>
      <c r="C2414" s="26"/>
      <c r="D2414" s="26"/>
      <c r="E2414" s="26"/>
      <c r="F2414" s="26"/>
      <c r="G2414" s="26"/>
      <c r="H2414" s="26"/>
      <c r="I2414" s="26"/>
      <c r="J2414" s="26"/>
      <c r="K2414"/>
    </row>
    <row r="2415" spans="1:11">
      <c r="A2415"/>
      <c r="B2415"/>
      <c r="C2415"/>
      <c r="D2415" t="s">
        <v>976</v>
      </c>
      <c r="E2415" s="37" t="s">
        <v>3083</v>
      </c>
      <c r="F2415"/>
      <c r="G2415"/>
      <c r="H2415"/>
      <c r="I2415"/>
      <c r="J2415"/>
      <c r="K2415" t="s">
        <v>3068</v>
      </c>
    </row>
    <row r="2416" spans="1:11">
      <c r="A2416"/>
      <c r="B2416"/>
      <c r="C2416"/>
      <c r="D2416" t="s">
        <v>976</v>
      </c>
      <c r="E2416" s="37" t="s">
        <v>3084</v>
      </c>
      <c r="F2416"/>
      <c r="G2416"/>
      <c r="H2416"/>
      <c r="I2416"/>
      <c r="J2416"/>
      <c r="K2416" t="s">
        <v>3078</v>
      </c>
    </row>
    <row r="2417" spans="1:11">
      <c r="A2417" s="38">
        <v>44683</v>
      </c>
      <c r="B2417" s="27" t="s">
        <v>223</v>
      </c>
      <c r="C2417" s="26" t="s">
        <v>3057</v>
      </c>
      <c r="D2417" s="26" t="s">
        <v>965</v>
      </c>
      <c r="E2417" s="26" t="s">
        <v>3082</v>
      </c>
      <c r="F2417" s="26" t="s">
        <v>12</v>
      </c>
      <c r="G2417" s="26">
        <v>931462436</v>
      </c>
      <c r="H2417" s="26"/>
      <c r="I2417" s="26"/>
      <c r="J2417" s="26"/>
      <c r="K2417" t="s">
        <v>3078</v>
      </c>
    </row>
    <row r="2418" spans="1:11">
      <c r="A2418"/>
      <c r="B2418" s="20"/>
      <c r="C2418"/>
      <c r="D2418" t="s">
        <v>967</v>
      </c>
      <c r="E2418" t="s">
        <v>3085</v>
      </c>
      <c r="F2418"/>
      <c r="G2418"/>
      <c r="H2418"/>
      <c r="I2418"/>
      <c r="J2418"/>
      <c r="K2418" t="s">
        <v>3078</v>
      </c>
    </row>
    <row r="2419" spans="1:11">
      <c r="A2419"/>
      <c r="B2419" s="20"/>
      <c r="C2419"/>
      <c r="D2419" t="s">
        <v>969</v>
      </c>
      <c r="E2419" t="s">
        <v>3086</v>
      </c>
      <c r="F2419"/>
      <c r="G2419"/>
      <c r="H2419"/>
      <c r="I2419"/>
      <c r="J2419"/>
      <c r="K2419" t="s">
        <v>3078</v>
      </c>
    </row>
    <row r="2420" spans="1:11">
      <c r="A2420"/>
      <c r="B2420" s="20"/>
      <c r="C2420"/>
      <c r="D2420" t="s">
        <v>971</v>
      </c>
      <c r="E2420" t="s">
        <v>3087</v>
      </c>
      <c r="F2420"/>
      <c r="G2420"/>
      <c r="H2420"/>
      <c r="I2420"/>
      <c r="J2420"/>
      <c r="K2420" t="s">
        <v>3078</v>
      </c>
    </row>
    <row r="2421" spans="1:11">
      <c r="A2421"/>
      <c r="B2421" s="20"/>
      <c r="C2421"/>
      <c r="D2421" t="s">
        <v>975</v>
      </c>
      <c r="E2421" t="s">
        <v>3088</v>
      </c>
      <c r="F2421"/>
      <c r="G2421"/>
      <c r="H2421"/>
      <c r="I2421"/>
      <c r="J2421"/>
      <c r="K2421" t="s">
        <v>3078</v>
      </c>
    </row>
    <row r="2422" spans="1:11">
      <c r="A2422" s="28"/>
      <c r="B2422" s="29"/>
      <c r="C2422" s="28"/>
      <c r="D2422" t="s">
        <v>17</v>
      </c>
      <c r="E2422" s="28" t="s">
        <v>3089</v>
      </c>
      <c r="F2422" s="28"/>
      <c r="G2422" s="28"/>
      <c r="H2422" s="28"/>
      <c r="I2422" s="28"/>
      <c r="J2422" s="28"/>
      <c r="K2422" t="s">
        <v>3078</v>
      </c>
    </row>
    <row r="2423" spans="1:11">
      <c r="A2423" s="6">
        <v>44683</v>
      </c>
      <c r="B2423" s="20" t="s">
        <v>223</v>
      </c>
      <c r="C2423" t="s">
        <v>3057</v>
      </c>
      <c r="D2423" t="s">
        <v>965</v>
      </c>
      <c r="E2423" t="s">
        <v>3076</v>
      </c>
      <c r="F2423" t="s">
        <v>12</v>
      </c>
      <c r="G2423">
        <v>931462435</v>
      </c>
      <c r="H2423"/>
      <c r="I2423"/>
      <c r="J2423"/>
      <c r="K2423" t="s">
        <v>3068</v>
      </c>
    </row>
    <row r="2424" spans="1:11">
      <c r="A2424"/>
      <c r="B2424" s="20"/>
      <c r="C2424"/>
      <c r="D2424" t="s">
        <v>967</v>
      </c>
      <c r="E2424" t="s">
        <v>3090</v>
      </c>
      <c r="F2424"/>
      <c r="G2424"/>
      <c r="H2424"/>
      <c r="I2424"/>
      <c r="J2424"/>
      <c r="K2424" t="s">
        <v>3068</v>
      </c>
    </row>
    <row r="2425" spans="1:11">
      <c r="A2425"/>
      <c r="B2425" s="20"/>
      <c r="C2425"/>
      <c r="D2425" t="s">
        <v>969</v>
      </c>
      <c r="E2425" t="s">
        <v>3091</v>
      </c>
      <c r="F2425"/>
      <c r="G2425"/>
      <c r="H2425"/>
      <c r="I2425"/>
      <c r="J2425"/>
      <c r="K2425" t="s">
        <v>3068</v>
      </c>
    </row>
    <row r="2426" spans="1:11">
      <c r="A2426"/>
      <c r="B2426" s="20"/>
      <c r="C2426"/>
      <c r="D2426" t="s">
        <v>971</v>
      </c>
      <c r="E2426" t="s">
        <v>3092</v>
      </c>
      <c r="F2426"/>
      <c r="G2426"/>
      <c r="H2426"/>
      <c r="I2426"/>
      <c r="J2426"/>
      <c r="K2426" t="s">
        <v>3068</v>
      </c>
    </row>
    <row r="2427" spans="1:11">
      <c r="A2427"/>
      <c r="B2427" s="20"/>
      <c r="C2427"/>
      <c r="D2427" t="s">
        <v>975</v>
      </c>
      <c r="E2427" t="s">
        <v>3093</v>
      </c>
      <c r="F2427"/>
      <c r="G2427"/>
      <c r="H2427"/>
      <c r="I2427"/>
      <c r="J2427"/>
      <c r="K2427" t="s">
        <v>3068</v>
      </c>
    </row>
    <row r="2428" spans="1:11">
      <c r="A2428"/>
      <c r="B2428" s="20"/>
      <c r="C2428"/>
      <c r="D2428" t="s">
        <v>17</v>
      </c>
      <c r="E2428" t="s">
        <v>3094</v>
      </c>
      <c r="F2428"/>
      <c r="G2428"/>
      <c r="H2428"/>
      <c r="I2428"/>
      <c r="J2428"/>
      <c r="K2428" t="s">
        <v>3068</v>
      </c>
    </row>
    <row r="2429" spans="1:11">
      <c r="A2429" s="38">
        <v>44683</v>
      </c>
      <c r="B2429" s="27" t="s">
        <v>223</v>
      </c>
      <c r="C2429" s="26" t="s">
        <v>3057</v>
      </c>
      <c r="D2429" s="26" t="s">
        <v>965</v>
      </c>
      <c r="E2429" s="26" t="s">
        <v>3064</v>
      </c>
      <c r="F2429" s="26" t="s">
        <v>12</v>
      </c>
      <c r="G2429" s="26">
        <v>931462436</v>
      </c>
      <c r="H2429" s="26"/>
      <c r="I2429" s="26"/>
      <c r="J2429" s="26"/>
      <c r="K2429" t="s">
        <v>3060</v>
      </c>
    </row>
    <row r="2430" spans="1:11">
      <c r="A2430"/>
      <c r="B2430" s="20"/>
      <c r="C2430"/>
      <c r="D2430" t="s">
        <v>967</v>
      </c>
      <c r="E2430" t="s">
        <v>3095</v>
      </c>
      <c r="F2430"/>
      <c r="G2430"/>
      <c r="H2430"/>
      <c r="I2430"/>
      <c r="J2430"/>
      <c r="K2430" t="s">
        <v>3060</v>
      </c>
    </row>
    <row r="2431" spans="1:11">
      <c r="A2431"/>
      <c r="B2431" s="20"/>
      <c r="C2431"/>
      <c r="D2431" t="s">
        <v>969</v>
      </c>
      <c r="E2431" t="s">
        <v>3096</v>
      </c>
      <c r="F2431"/>
      <c r="G2431"/>
      <c r="H2431"/>
      <c r="I2431"/>
      <c r="J2431"/>
      <c r="K2431" t="s">
        <v>3060</v>
      </c>
    </row>
    <row r="2432" spans="1:11">
      <c r="A2432"/>
      <c r="B2432" s="20"/>
      <c r="C2432"/>
      <c r="D2432" t="s">
        <v>971</v>
      </c>
      <c r="E2432" t="s">
        <v>3097</v>
      </c>
      <c r="F2432"/>
      <c r="G2432"/>
      <c r="H2432"/>
      <c r="I2432"/>
      <c r="J2432"/>
      <c r="K2432" t="s">
        <v>3060</v>
      </c>
    </row>
    <row r="2433" spans="1:11">
      <c r="A2433"/>
      <c r="B2433" s="20"/>
      <c r="C2433"/>
      <c r="D2433" t="s">
        <v>975</v>
      </c>
      <c r="E2433" t="s">
        <v>3098</v>
      </c>
      <c r="F2433"/>
      <c r="G2433"/>
      <c r="H2433"/>
      <c r="I2433"/>
      <c r="J2433"/>
      <c r="K2433" t="s">
        <v>3060</v>
      </c>
    </row>
    <row r="2434" spans="1:11">
      <c r="A2434" s="28"/>
      <c r="B2434" s="29"/>
      <c r="C2434" s="28"/>
      <c r="D2434" t="s">
        <v>17</v>
      </c>
      <c r="E2434" s="28" t="s">
        <v>3099</v>
      </c>
      <c r="F2434" s="28"/>
      <c r="G2434" s="28"/>
      <c r="H2434" s="28"/>
      <c r="I2434" s="28"/>
      <c r="J2434" s="28"/>
      <c r="K2434" t="s">
        <v>3060</v>
      </c>
    </row>
    <row r="2435" spans="1:11">
      <c r="A2435" s="6">
        <v>44683</v>
      </c>
      <c r="B2435" s="20" t="s">
        <v>223</v>
      </c>
      <c r="C2435" t="s">
        <v>3057</v>
      </c>
      <c r="D2435" t="s">
        <v>965</v>
      </c>
      <c r="E2435" t="s">
        <v>3058</v>
      </c>
      <c r="F2435" t="s">
        <v>12</v>
      </c>
      <c r="G2435">
        <v>931462435</v>
      </c>
      <c r="H2435"/>
      <c r="I2435"/>
      <c r="J2435"/>
      <c r="K2435" t="s">
        <v>3051</v>
      </c>
    </row>
    <row r="2436" spans="1:11">
      <c r="A2436"/>
      <c r="B2436" s="20"/>
      <c r="C2436"/>
      <c r="D2436" t="s">
        <v>967</v>
      </c>
      <c r="E2436" t="s">
        <v>3100</v>
      </c>
      <c r="F2436"/>
      <c r="G2436"/>
      <c r="H2436"/>
      <c r="I2436"/>
      <c r="J2436"/>
      <c r="K2436" t="s">
        <v>3051</v>
      </c>
    </row>
    <row r="2437" spans="1:11">
      <c r="A2437"/>
      <c r="B2437" s="20"/>
      <c r="C2437"/>
      <c r="D2437" t="s">
        <v>969</v>
      </c>
      <c r="E2437" t="s">
        <v>3101</v>
      </c>
      <c r="F2437"/>
      <c r="G2437"/>
      <c r="H2437"/>
      <c r="I2437"/>
      <c r="J2437"/>
      <c r="K2437" t="s">
        <v>3051</v>
      </c>
    </row>
    <row r="2438" spans="1:11">
      <c r="A2438"/>
      <c r="B2438" s="20"/>
      <c r="C2438"/>
      <c r="D2438" t="s">
        <v>971</v>
      </c>
      <c r="E2438" t="s">
        <v>3102</v>
      </c>
      <c r="F2438"/>
      <c r="G2438"/>
      <c r="H2438"/>
      <c r="I2438"/>
      <c r="J2438"/>
      <c r="K2438" t="s">
        <v>3051</v>
      </c>
    </row>
    <row r="2439" spans="1:11">
      <c r="A2439"/>
      <c r="B2439" s="20"/>
      <c r="C2439"/>
      <c r="D2439" t="s">
        <v>975</v>
      </c>
      <c r="E2439" t="s">
        <v>3103</v>
      </c>
      <c r="F2439"/>
      <c r="G2439"/>
      <c r="H2439"/>
      <c r="I2439"/>
      <c r="J2439"/>
      <c r="K2439" t="s">
        <v>3051</v>
      </c>
    </row>
    <row r="2440" spans="1:11">
      <c r="A2440"/>
      <c r="B2440" s="20"/>
      <c r="C2440"/>
      <c r="D2440" t="s">
        <v>17</v>
      </c>
      <c r="E2440" t="s">
        <v>3104</v>
      </c>
      <c r="F2440"/>
      <c r="G2440"/>
      <c r="H2440"/>
      <c r="I2440"/>
      <c r="J2440"/>
      <c r="K2440" t="s">
        <v>3051</v>
      </c>
    </row>
    <row r="2441" spans="1:11">
      <c r="A2441" s="30">
        <v>44686</v>
      </c>
      <c r="B2441" s="31">
        <v>24783202648</v>
      </c>
      <c r="C2441" s="30">
        <v>44683</v>
      </c>
      <c r="D2441" s="19" t="s">
        <v>3107</v>
      </c>
      <c r="E2441" s="19" t="s">
        <v>3108</v>
      </c>
      <c r="F2441" s="19" t="s">
        <v>264</v>
      </c>
      <c r="G2441" s="19" t="s">
        <v>3109</v>
      </c>
      <c r="H2441" s="19"/>
      <c r="I2441" s="19"/>
      <c r="J2441" s="19"/>
      <c r="K2441" s="19" t="s">
        <v>3110</v>
      </c>
    </row>
    <row r="2442" spans="1:11">
      <c r="A2442" s="39">
        <v>44697</v>
      </c>
      <c r="B2442" s="34" t="s">
        <v>954</v>
      </c>
      <c r="C2442" s="39">
        <v>44694</v>
      </c>
      <c r="D2442" s="33" t="s">
        <v>2153</v>
      </c>
      <c r="E2442" s="33" t="s">
        <v>3111</v>
      </c>
      <c r="F2442" s="33" t="s">
        <v>210</v>
      </c>
      <c r="G2442" s="33"/>
      <c r="H2442" s="33"/>
      <c r="I2442" s="33"/>
      <c r="J2442" s="33"/>
      <c r="K2442" s="19" t="s">
        <v>3110</v>
      </c>
    </row>
    <row r="2443" spans="1:11">
      <c r="A2443" s="30"/>
      <c r="B2443" s="31"/>
      <c r="C2443" s="30"/>
      <c r="D2443" s="19" t="s">
        <v>2608</v>
      </c>
      <c r="E2443" s="19" t="s">
        <v>3112</v>
      </c>
      <c r="F2443" s="19"/>
      <c r="G2443" s="19"/>
      <c r="H2443" s="19"/>
      <c r="I2443" s="19"/>
      <c r="J2443" s="19"/>
      <c r="K2443" s="19" t="s">
        <v>3110</v>
      </c>
    </row>
    <row r="2444" spans="1:11">
      <c r="A2444" s="30"/>
      <c r="B2444" s="31"/>
      <c r="C2444" s="30"/>
      <c r="D2444" s="19" t="s">
        <v>918</v>
      </c>
      <c r="E2444" s="19" t="s">
        <v>3113</v>
      </c>
      <c r="F2444" s="19"/>
      <c r="G2444" s="19"/>
      <c r="H2444" s="19"/>
      <c r="I2444" s="19"/>
      <c r="J2444" s="19"/>
      <c r="K2444" s="19" t="s">
        <v>3110</v>
      </c>
    </row>
    <row r="2445" spans="1:11">
      <c r="A2445" s="41"/>
      <c r="B2445" s="36"/>
      <c r="C2445" s="41"/>
      <c r="D2445" s="35" t="s">
        <v>918</v>
      </c>
      <c r="E2445" s="35" t="s">
        <v>3114</v>
      </c>
      <c r="F2445" s="35"/>
      <c r="G2445" s="35"/>
      <c r="H2445" s="35"/>
      <c r="I2445" s="35"/>
      <c r="J2445" s="35"/>
      <c r="K2445" s="19" t="s">
        <v>3110</v>
      </c>
    </row>
    <row r="2446" spans="1:11">
      <c r="A2446" s="30">
        <v>44697</v>
      </c>
      <c r="B2446" s="31" t="s">
        <v>954</v>
      </c>
      <c r="C2446" s="30">
        <v>44694</v>
      </c>
      <c r="D2446" s="19" t="s">
        <v>2148</v>
      </c>
      <c r="E2446" s="19" t="s">
        <v>3115</v>
      </c>
      <c r="F2446" s="19" t="s">
        <v>210</v>
      </c>
      <c r="G2446" s="19"/>
      <c r="H2446" s="19"/>
      <c r="I2446" s="19"/>
      <c r="J2446" s="19"/>
      <c r="K2446" s="19" t="s">
        <v>3110</v>
      </c>
    </row>
    <row r="2447" spans="1:11">
      <c r="A2447" s="30">
        <v>44697</v>
      </c>
      <c r="B2447" s="31" t="s">
        <v>954</v>
      </c>
      <c r="C2447" s="30">
        <v>44694</v>
      </c>
      <c r="D2447" s="19" t="s">
        <v>3116</v>
      </c>
      <c r="E2447" s="19" t="s">
        <v>3117</v>
      </c>
      <c r="F2447" s="19" t="s">
        <v>210</v>
      </c>
      <c r="G2447" s="19"/>
      <c r="H2447" s="19"/>
      <c r="I2447" s="19"/>
      <c r="J2447" s="19"/>
      <c r="K2447" s="19" t="s">
        <v>3110</v>
      </c>
    </row>
    <row r="2448" spans="1:11">
      <c r="A2448" s="30">
        <v>44697</v>
      </c>
      <c r="B2448" s="31" t="s">
        <v>954</v>
      </c>
      <c r="C2448" s="30">
        <v>44694</v>
      </c>
      <c r="D2448" s="19" t="s">
        <v>3116</v>
      </c>
      <c r="E2448" s="19" t="s">
        <v>3118</v>
      </c>
      <c r="F2448" s="19" t="s">
        <v>210</v>
      </c>
      <c r="G2448" s="19"/>
      <c r="H2448" s="19"/>
      <c r="I2448" s="19"/>
      <c r="J2448" s="19"/>
      <c r="K2448" s="19" t="s">
        <v>3110</v>
      </c>
    </row>
    <row r="2449" spans="1:11">
      <c r="A2449" s="30">
        <v>44697</v>
      </c>
      <c r="B2449" s="31" t="s">
        <v>954</v>
      </c>
      <c r="C2449" s="30">
        <v>44694</v>
      </c>
      <c r="D2449" s="19" t="s">
        <v>3119</v>
      </c>
      <c r="E2449" s="19" t="s">
        <v>3120</v>
      </c>
      <c r="F2449" s="19" t="s">
        <v>210</v>
      </c>
      <c r="G2449" s="19"/>
      <c r="H2449" s="19"/>
      <c r="I2449" s="19"/>
      <c r="J2449" s="19"/>
      <c r="K2449" s="19" t="s">
        <v>3110</v>
      </c>
    </row>
    <row r="2450" spans="1:11">
      <c r="A2450" s="30">
        <v>44697</v>
      </c>
      <c r="B2450" s="31" t="s">
        <v>954</v>
      </c>
      <c r="C2450" s="30">
        <v>44694</v>
      </c>
      <c r="D2450" s="19" t="s">
        <v>3119</v>
      </c>
      <c r="E2450" s="19" t="s">
        <v>3121</v>
      </c>
      <c r="F2450" s="19" t="s">
        <v>210</v>
      </c>
      <c r="G2450" s="19"/>
      <c r="H2450" s="19"/>
      <c r="I2450" s="19"/>
      <c r="J2450" s="19"/>
      <c r="K2450" s="19" t="s">
        <v>3110</v>
      </c>
    </row>
    <row r="2451" spans="1:11">
      <c r="A2451" s="42">
        <v>44454</v>
      </c>
      <c r="B2451" s="43">
        <v>343770145</v>
      </c>
      <c r="C2451" s="44"/>
      <c r="D2451" s="44" t="s">
        <v>2141</v>
      </c>
      <c r="E2451" s="44" t="s">
        <v>3122</v>
      </c>
      <c r="F2451" s="19" t="s">
        <v>982</v>
      </c>
      <c r="G2451" s="19"/>
      <c r="H2451" s="19"/>
      <c r="I2451" s="19"/>
      <c r="J2451" s="19"/>
      <c r="K2451" s="19" t="s">
        <v>3110</v>
      </c>
    </row>
    <row r="2452" spans="1:11">
      <c r="A2452" s="38">
        <v>44678</v>
      </c>
      <c r="B2452" s="27" t="s">
        <v>223</v>
      </c>
      <c r="C2452" s="38">
        <v>44676</v>
      </c>
      <c r="D2452" s="26" t="s">
        <v>3124</v>
      </c>
      <c r="E2452" s="26" t="s">
        <v>3125</v>
      </c>
      <c r="F2452" s="26" t="s">
        <v>2101</v>
      </c>
      <c r="G2452" s="26" t="s">
        <v>3126</v>
      </c>
      <c r="H2452" s="26"/>
      <c r="I2452" s="26"/>
      <c r="J2452" s="26"/>
      <c r="K2452" s="26" t="s">
        <v>3127</v>
      </c>
    </row>
    <row r="2453" spans="1:11">
      <c r="A2453" s="45"/>
      <c r="B2453" s="29"/>
      <c r="C2453" s="45"/>
      <c r="D2453" s="28" t="s">
        <v>2117</v>
      </c>
      <c r="E2453" s="28" t="s">
        <v>3128</v>
      </c>
      <c r="F2453" s="28"/>
      <c r="G2453" s="28"/>
      <c r="H2453" s="28"/>
      <c r="I2453" s="28"/>
      <c r="J2453" s="28"/>
      <c r="K2453" s="28" t="s">
        <v>3127</v>
      </c>
    </row>
    <row r="2454" spans="1:11">
      <c r="A2454" s="6">
        <v>44678</v>
      </c>
      <c r="B2454" s="20" t="s">
        <v>223</v>
      </c>
      <c r="C2454" s="6">
        <v>44676</v>
      </c>
      <c r="D2454" t="s">
        <v>3124</v>
      </c>
      <c r="E2454" t="s">
        <v>3129</v>
      </c>
      <c r="F2454" t="s">
        <v>2101</v>
      </c>
      <c r="G2454" t="s">
        <v>3126</v>
      </c>
      <c r="H2454"/>
      <c r="I2454"/>
      <c r="J2454"/>
      <c r="K2454" t="s">
        <v>3130</v>
      </c>
    </row>
    <row r="2455" spans="1:11">
      <c r="A2455" s="45"/>
      <c r="B2455" s="29"/>
      <c r="C2455" s="45"/>
      <c r="D2455" s="28" t="s">
        <v>2117</v>
      </c>
      <c r="E2455" s="28" t="s">
        <v>3131</v>
      </c>
      <c r="F2455" s="28"/>
      <c r="G2455" s="28"/>
      <c r="H2455" s="28"/>
      <c r="I2455" s="28"/>
      <c r="J2455" s="28"/>
      <c r="K2455" s="28" t="s">
        <v>3130</v>
      </c>
    </row>
    <row r="2456" spans="1:11">
      <c r="A2456" s="38">
        <v>44678</v>
      </c>
      <c r="B2456" s="27" t="s">
        <v>223</v>
      </c>
      <c r="C2456" s="38">
        <v>44676</v>
      </c>
      <c r="D2456" s="26" t="s">
        <v>3124</v>
      </c>
      <c r="E2456" s="26" t="s">
        <v>3132</v>
      </c>
      <c r="F2456" s="26" t="s">
        <v>2101</v>
      </c>
      <c r="G2456" s="26" t="s">
        <v>3126</v>
      </c>
      <c r="H2456" s="26"/>
      <c r="I2456" s="26"/>
      <c r="J2456" s="26"/>
      <c r="K2456" s="26" t="s">
        <v>3133</v>
      </c>
    </row>
    <row r="2457" spans="1:11">
      <c r="A2457" s="45"/>
      <c r="B2457" s="29"/>
      <c r="C2457" s="45"/>
      <c r="D2457" s="28" t="s">
        <v>2117</v>
      </c>
      <c r="E2457" s="28" t="s">
        <v>3134</v>
      </c>
      <c r="F2457" s="28"/>
      <c r="G2457" s="28"/>
      <c r="H2457" s="28"/>
      <c r="I2457" s="28"/>
      <c r="J2457" s="28"/>
      <c r="K2457" s="28" t="s">
        <v>3133</v>
      </c>
    </row>
    <row r="2458" spans="1:11">
      <c r="A2458" s="6">
        <v>44678</v>
      </c>
      <c r="B2458" s="20" t="s">
        <v>223</v>
      </c>
      <c r="C2458" s="6">
        <v>44676</v>
      </c>
      <c r="D2458" t="s">
        <v>3124</v>
      </c>
      <c r="E2458" t="s">
        <v>3135</v>
      </c>
      <c r="F2458" t="s">
        <v>2101</v>
      </c>
      <c r="G2458" t="s">
        <v>3126</v>
      </c>
      <c r="H2458"/>
      <c r="I2458"/>
      <c r="J2458"/>
      <c r="K2458" t="s">
        <v>3136</v>
      </c>
    </row>
    <row r="2459" spans="1:11">
      <c r="A2459" s="45"/>
      <c r="B2459" s="29"/>
      <c r="C2459" s="45"/>
      <c r="D2459" s="28" t="s">
        <v>2117</v>
      </c>
      <c r="E2459" s="28" t="s">
        <v>3137</v>
      </c>
      <c r="F2459" s="28"/>
      <c r="G2459" s="28"/>
      <c r="H2459" s="28"/>
      <c r="I2459" s="28"/>
      <c r="J2459" s="28"/>
      <c r="K2459" s="28" t="s">
        <v>3136</v>
      </c>
    </row>
    <row r="2460" spans="1:11">
      <c r="A2460" s="6">
        <v>44678</v>
      </c>
      <c r="B2460" s="20" t="s">
        <v>223</v>
      </c>
      <c r="C2460" s="6">
        <v>44676</v>
      </c>
      <c r="D2460" t="s">
        <v>3124</v>
      </c>
      <c r="E2460" t="s">
        <v>3138</v>
      </c>
      <c r="F2460" t="s">
        <v>2101</v>
      </c>
      <c r="G2460" t="s">
        <v>3126</v>
      </c>
      <c r="H2460"/>
      <c r="I2460"/>
      <c r="J2460"/>
      <c r="K2460" t="s">
        <v>3139</v>
      </c>
    </row>
    <row r="2461" spans="1:11">
      <c r="A2461" s="45"/>
      <c r="B2461" s="29"/>
      <c r="C2461" s="45"/>
      <c r="D2461" s="28" t="s">
        <v>2117</v>
      </c>
      <c r="E2461" s="28" t="s">
        <v>3140</v>
      </c>
      <c r="F2461" s="28"/>
      <c r="G2461" s="28"/>
      <c r="H2461" s="28"/>
      <c r="I2461" s="28"/>
      <c r="J2461" s="28"/>
      <c r="K2461" s="28" t="s">
        <v>3139</v>
      </c>
    </row>
    <row r="2462" spans="1:11">
      <c r="A2462" s="6">
        <v>44678</v>
      </c>
      <c r="B2462" s="20" t="s">
        <v>223</v>
      </c>
      <c r="C2462" s="6">
        <v>44676</v>
      </c>
      <c r="D2462" t="s">
        <v>3124</v>
      </c>
      <c r="E2462" t="s">
        <v>3141</v>
      </c>
      <c r="F2462" t="s">
        <v>2101</v>
      </c>
      <c r="G2462" t="s">
        <v>3126</v>
      </c>
      <c r="H2462"/>
      <c r="I2462"/>
      <c r="J2462"/>
      <c r="K2462" t="s">
        <v>3142</v>
      </c>
    </row>
    <row r="2463" spans="1:11">
      <c r="A2463" s="45"/>
      <c r="B2463" s="29"/>
      <c r="C2463" s="45"/>
      <c r="D2463" s="28" t="s">
        <v>2117</v>
      </c>
      <c r="E2463" s="28" t="s">
        <v>3143</v>
      </c>
      <c r="F2463" s="28"/>
      <c r="G2463" s="28"/>
      <c r="H2463" s="28"/>
      <c r="I2463" s="28"/>
      <c r="J2463" s="28"/>
      <c r="K2463" s="28" t="s">
        <v>3142</v>
      </c>
    </row>
    <row r="2464" spans="1:11">
      <c r="A2464" s="6">
        <v>44678</v>
      </c>
      <c r="B2464" s="20" t="s">
        <v>223</v>
      </c>
      <c r="C2464" s="6">
        <v>44676</v>
      </c>
      <c r="D2464" t="s">
        <v>3124</v>
      </c>
      <c r="E2464" t="s">
        <v>3144</v>
      </c>
      <c r="F2464" t="s">
        <v>2101</v>
      </c>
      <c r="G2464" t="s">
        <v>3126</v>
      </c>
      <c r="H2464"/>
      <c r="I2464"/>
      <c r="J2464"/>
      <c r="K2464" t="s">
        <v>3145</v>
      </c>
    </row>
    <row r="2465" spans="1:11">
      <c r="A2465" s="45"/>
      <c r="B2465" s="29"/>
      <c r="C2465" s="45"/>
      <c r="D2465" s="28" t="s">
        <v>2117</v>
      </c>
      <c r="E2465" s="28" t="s">
        <v>3146</v>
      </c>
      <c r="F2465" s="28"/>
      <c r="G2465" s="28"/>
      <c r="H2465" s="28"/>
      <c r="I2465" s="28"/>
      <c r="J2465" s="28"/>
      <c r="K2465" s="28" t="s">
        <v>3145</v>
      </c>
    </row>
    <row r="2466" spans="1:11">
      <c r="A2466" s="6">
        <v>44678</v>
      </c>
      <c r="B2466" s="20" t="s">
        <v>223</v>
      </c>
      <c r="C2466" s="6">
        <v>44676</v>
      </c>
      <c r="D2466" t="s">
        <v>3124</v>
      </c>
      <c r="E2466" t="s">
        <v>3147</v>
      </c>
      <c r="F2466" t="s">
        <v>2101</v>
      </c>
      <c r="G2466" t="s">
        <v>3126</v>
      </c>
      <c r="H2466"/>
      <c r="I2466"/>
      <c r="J2466"/>
      <c r="K2466" t="s">
        <v>3148</v>
      </c>
    </row>
    <row r="2467" spans="1:11">
      <c r="A2467" s="45"/>
      <c r="B2467" s="29"/>
      <c r="C2467" s="45"/>
      <c r="D2467" s="28" t="s">
        <v>2117</v>
      </c>
      <c r="E2467" s="28" t="s">
        <v>3149</v>
      </c>
      <c r="F2467" s="28"/>
      <c r="G2467" s="28"/>
      <c r="H2467" s="28"/>
      <c r="I2467" s="28"/>
      <c r="J2467" s="28"/>
      <c r="K2467" s="28" t="s">
        <v>3148</v>
      </c>
    </row>
    <row r="2468" spans="1:11">
      <c r="A2468" s="6">
        <v>44678</v>
      </c>
      <c r="B2468" s="20" t="s">
        <v>223</v>
      </c>
      <c r="C2468" s="6">
        <v>44676</v>
      </c>
      <c r="D2468" t="s">
        <v>3124</v>
      </c>
      <c r="E2468" t="s">
        <v>3150</v>
      </c>
      <c r="F2468" t="s">
        <v>2101</v>
      </c>
      <c r="G2468" t="s">
        <v>3126</v>
      </c>
      <c r="H2468"/>
      <c r="I2468"/>
      <c r="J2468"/>
      <c r="K2468" t="s">
        <v>3151</v>
      </c>
    </row>
    <row r="2469" spans="1:11">
      <c r="A2469" s="45"/>
      <c r="B2469" s="29"/>
      <c r="C2469" s="45"/>
      <c r="D2469" s="28" t="s">
        <v>2117</v>
      </c>
      <c r="E2469" s="28" t="s">
        <v>3152</v>
      </c>
      <c r="F2469" s="28"/>
      <c r="G2469" s="28"/>
      <c r="H2469" s="28"/>
      <c r="I2469" s="28"/>
      <c r="J2469" s="28"/>
      <c r="K2469" s="28" t="s">
        <v>3151</v>
      </c>
    </row>
    <row r="2470" spans="1:11">
      <c r="A2470" s="6">
        <v>44678</v>
      </c>
      <c r="B2470" s="20" t="s">
        <v>223</v>
      </c>
      <c r="C2470" s="6">
        <v>44676</v>
      </c>
      <c r="D2470" t="s">
        <v>3124</v>
      </c>
      <c r="E2470" t="s">
        <v>3153</v>
      </c>
      <c r="F2470" t="s">
        <v>2101</v>
      </c>
      <c r="G2470" t="s">
        <v>3126</v>
      </c>
      <c r="H2470"/>
      <c r="I2470"/>
      <c r="J2470"/>
      <c r="K2470" t="s">
        <v>3154</v>
      </c>
    </row>
    <row r="2471" spans="1:11">
      <c r="A2471" s="45"/>
      <c r="B2471" s="29"/>
      <c r="C2471" s="45"/>
      <c r="D2471" s="28" t="s">
        <v>2117</v>
      </c>
      <c r="E2471" s="28" t="s">
        <v>3155</v>
      </c>
      <c r="F2471" s="28"/>
      <c r="G2471" s="28"/>
      <c r="H2471" s="28"/>
      <c r="I2471" s="28"/>
      <c r="J2471" s="28"/>
      <c r="K2471" s="28" t="s">
        <v>3154</v>
      </c>
    </row>
    <row r="2472" spans="1:11">
      <c r="A2472" s="6">
        <v>44678</v>
      </c>
      <c r="B2472" s="20" t="s">
        <v>223</v>
      </c>
      <c r="C2472" s="6">
        <v>44676</v>
      </c>
      <c r="D2472" t="s">
        <v>3124</v>
      </c>
      <c r="E2472" t="s">
        <v>3156</v>
      </c>
      <c r="F2472" t="s">
        <v>2101</v>
      </c>
      <c r="G2472" t="s">
        <v>3126</v>
      </c>
      <c r="H2472"/>
      <c r="I2472"/>
      <c r="J2472"/>
      <c r="K2472" t="s">
        <v>3157</v>
      </c>
    </row>
    <row r="2473" spans="1:11">
      <c r="A2473" s="45"/>
      <c r="B2473" s="29"/>
      <c r="C2473" s="45"/>
      <c r="D2473" s="28" t="s">
        <v>2117</v>
      </c>
      <c r="E2473" s="28" t="s">
        <v>3158</v>
      </c>
      <c r="F2473" s="28"/>
      <c r="G2473" s="28"/>
      <c r="H2473" s="28"/>
      <c r="I2473" s="28"/>
      <c r="J2473" s="28"/>
      <c r="K2473" s="28" t="s">
        <v>3157</v>
      </c>
    </row>
    <row r="2474" spans="1:11">
      <c r="A2474" s="6">
        <v>44678</v>
      </c>
      <c r="B2474" s="20" t="s">
        <v>223</v>
      </c>
      <c r="C2474" s="6">
        <v>44676</v>
      </c>
      <c r="D2474" t="s">
        <v>3124</v>
      </c>
      <c r="E2474" t="s">
        <v>3159</v>
      </c>
      <c r="F2474" t="s">
        <v>2101</v>
      </c>
      <c r="G2474" t="s">
        <v>3126</v>
      </c>
      <c r="H2474"/>
      <c r="I2474"/>
      <c r="J2474"/>
      <c r="K2474" t="s">
        <v>3160</v>
      </c>
    </row>
    <row r="2475" spans="1:11">
      <c r="A2475" s="45"/>
      <c r="B2475" s="29"/>
      <c r="C2475" s="45"/>
      <c r="D2475" s="28" t="s">
        <v>2117</v>
      </c>
      <c r="E2475" s="28" t="s">
        <v>3161</v>
      </c>
      <c r="F2475" s="28"/>
      <c r="G2475" s="28"/>
      <c r="H2475" s="28"/>
      <c r="I2475" s="28"/>
      <c r="J2475" s="28"/>
      <c r="K2475" s="28" t="s">
        <v>3160</v>
      </c>
    </row>
    <row r="2476" spans="1:11">
      <c r="A2476" s="6">
        <v>44687</v>
      </c>
      <c r="B2476" s="20" t="s">
        <v>3162</v>
      </c>
      <c r="C2476" s="6">
        <v>44686</v>
      </c>
      <c r="D2476" t="s">
        <v>3163</v>
      </c>
      <c r="E2476" t="s">
        <v>3164</v>
      </c>
      <c r="F2476" t="s">
        <v>2835</v>
      </c>
      <c r="G2476">
        <v>2512553</v>
      </c>
      <c r="H2476"/>
      <c r="I2476"/>
      <c r="J2476"/>
      <c r="K2476" t="s">
        <v>3139</v>
      </c>
    </row>
    <row r="2477" spans="1:11">
      <c r="A2477" s="6">
        <v>44687</v>
      </c>
      <c r="B2477" s="20" t="s">
        <v>3162</v>
      </c>
      <c r="C2477" s="6">
        <v>44686</v>
      </c>
      <c r="D2477" t="s">
        <v>3163</v>
      </c>
      <c r="E2477" t="s">
        <v>3165</v>
      </c>
      <c r="F2477" t="s">
        <v>2835</v>
      </c>
      <c r="G2477">
        <v>2512553</v>
      </c>
      <c r="H2477"/>
      <c r="I2477"/>
      <c r="J2477"/>
      <c r="K2477" t="s">
        <v>3133</v>
      </c>
    </row>
    <row r="2478" spans="1:11">
      <c r="A2478" s="6">
        <v>44687</v>
      </c>
      <c r="B2478" s="20" t="s">
        <v>3162</v>
      </c>
      <c r="C2478" s="6">
        <v>44686</v>
      </c>
      <c r="D2478" t="s">
        <v>3163</v>
      </c>
      <c r="E2478" t="s">
        <v>3166</v>
      </c>
      <c r="F2478" t="s">
        <v>2835</v>
      </c>
      <c r="G2478">
        <v>2512553</v>
      </c>
      <c r="H2478"/>
      <c r="I2478"/>
      <c r="J2478"/>
      <c r="K2478" t="s">
        <v>3136</v>
      </c>
    </row>
    <row r="2479" spans="1:11">
      <c r="A2479" s="6">
        <v>44687</v>
      </c>
      <c r="B2479" s="20" t="s">
        <v>3162</v>
      </c>
      <c r="C2479" s="6">
        <v>44686</v>
      </c>
      <c r="D2479" t="s">
        <v>3163</v>
      </c>
      <c r="E2479" t="s">
        <v>3167</v>
      </c>
      <c r="F2479" t="s">
        <v>2835</v>
      </c>
      <c r="G2479">
        <v>2512553</v>
      </c>
      <c r="H2479"/>
      <c r="I2479"/>
      <c r="J2479"/>
      <c r="K2479" t="s">
        <v>3157</v>
      </c>
    </row>
    <row r="2480" spans="1:11">
      <c r="A2480" s="6">
        <v>44687</v>
      </c>
      <c r="B2480" s="20" t="s">
        <v>3162</v>
      </c>
      <c r="C2480" s="6">
        <v>44686</v>
      </c>
      <c r="D2480" t="s">
        <v>3163</v>
      </c>
      <c r="E2480" t="s">
        <v>3168</v>
      </c>
      <c r="F2480" t="s">
        <v>2835</v>
      </c>
      <c r="G2480">
        <v>2512553</v>
      </c>
      <c r="H2480"/>
      <c r="I2480"/>
      <c r="J2480"/>
      <c r="K2480" t="s">
        <v>3127</v>
      </c>
    </row>
    <row r="2481" spans="1:11">
      <c r="A2481" s="6">
        <v>44687</v>
      </c>
      <c r="B2481" s="20" t="s">
        <v>3162</v>
      </c>
      <c r="C2481" s="6">
        <v>44686</v>
      </c>
      <c r="D2481" t="s">
        <v>3163</v>
      </c>
      <c r="E2481" t="s">
        <v>3169</v>
      </c>
      <c r="F2481" t="s">
        <v>2835</v>
      </c>
      <c r="G2481">
        <v>2512553</v>
      </c>
      <c r="H2481"/>
      <c r="I2481"/>
      <c r="J2481"/>
      <c r="K2481" t="s">
        <v>3130</v>
      </c>
    </row>
    <row r="2482" spans="1:11">
      <c r="A2482" s="6">
        <v>44687</v>
      </c>
      <c r="B2482" s="20" t="s">
        <v>3162</v>
      </c>
      <c r="C2482" s="6">
        <v>44686</v>
      </c>
      <c r="D2482" t="s">
        <v>3163</v>
      </c>
      <c r="E2482" t="s">
        <v>3170</v>
      </c>
      <c r="F2482" t="s">
        <v>2835</v>
      </c>
      <c r="G2482">
        <v>2512553</v>
      </c>
      <c r="H2482"/>
      <c r="I2482"/>
      <c r="J2482"/>
      <c r="K2482" t="s">
        <v>3142</v>
      </c>
    </row>
    <row r="2483" spans="1:11">
      <c r="A2483" s="6">
        <v>44687</v>
      </c>
      <c r="B2483" s="20" t="s">
        <v>3162</v>
      </c>
      <c r="C2483" s="6">
        <v>44686</v>
      </c>
      <c r="D2483" t="s">
        <v>3163</v>
      </c>
      <c r="E2483" t="s">
        <v>3171</v>
      </c>
      <c r="F2483" t="s">
        <v>2835</v>
      </c>
      <c r="G2483">
        <v>2512553</v>
      </c>
      <c r="H2483"/>
      <c r="I2483"/>
      <c r="J2483"/>
      <c r="K2483" t="s">
        <v>3145</v>
      </c>
    </row>
    <row r="2484" spans="1:11">
      <c r="A2484" s="6">
        <v>44687</v>
      </c>
      <c r="B2484" s="20" t="s">
        <v>3162</v>
      </c>
      <c r="C2484" s="6">
        <v>44686</v>
      </c>
      <c r="D2484" t="s">
        <v>3163</v>
      </c>
      <c r="E2484" t="s">
        <v>3172</v>
      </c>
      <c r="F2484" t="s">
        <v>2835</v>
      </c>
      <c r="G2484">
        <v>2512553</v>
      </c>
      <c r="H2484"/>
      <c r="I2484"/>
      <c r="J2484"/>
      <c r="K2484" t="s">
        <v>3148</v>
      </c>
    </row>
    <row r="2485" spans="1:11">
      <c r="A2485" s="6">
        <v>44687</v>
      </c>
      <c r="B2485" s="20" t="s">
        <v>3162</v>
      </c>
      <c r="C2485" s="6">
        <v>44686</v>
      </c>
      <c r="D2485" t="s">
        <v>3163</v>
      </c>
      <c r="E2485" t="s">
        <v>3173</v>
      </c>
      <c r="F2485" t="s">
        <v>2835</v>
      </c>
      <c r="G2485">
        <v>2512553</v>
      </c>
      <c r="H2485"/>
      <c r="I2485"/>
      <c r="J2485"/>
      <c r="K2485" t="s">
        <v>3151</v>
      </c>
    </row>
    <row r="2486" spans="1:11">
      <c r="A2486" s="6">
        <v>44687</v>
      </c>
      <c r="B2486" s="20" t="s">
        <v>3162</v>
      </c>
      <c r="C2486" s="6">
        <v>44686</v>
      </c>
      <c r="D2486" t="s">
        <v>3163</v>
      </c>
      <c r="E2486" t="s">
        <v>3174</v>
      </c>
      <c r="F2486" t="s">
        <v>2835</v>
      </c>
      <c r="G2486">
        <v>2512553</v>
      </c>
      <c r="H2486"/>
      <c r="I2486"/>
      <c r="J2486"/>
      <c r="K2486" t="s">
        <v>3154</v>
      </c>
    </row>
    <row r="2487" spans="1:11">
      <c r="A2487" s="6">
        <v>44687</v>
      </c>
      <c r="B2487" s="20" t="s">
        <v>3162</v>
      </c>
      <c r="C2487" s="6">
        <v>44686</v>
      </c>
      <c r="D2487" t="s">
        <v>3163</v>
      </c>
      <c r="E2487" t="s">
        <v>3175</v>
      </c>
      <c r="F2487" t="s">
        <v>2835</v>
      </c>
      <c r="G2487">
        <v>2512553</v>
      </c>
      <c r="H2487"/>
      <c r="I2487"/>
      <c r="J2487"/>
      <c r="K2487" t="s">
        <v>3160</v>
      </c>
    </row>
    <row r="2488" spans="1:11">
      <c r="A2488" s="6">
        <v>44698</v>
      </c>
      <c r="B2488" s="20">
        <v>567147803212</v>
      </c>
      <c r="C2488" s="6">
        <v>44694</v>
      </c>
      <c r="D2488" t="s">
        <v>2096</v>
      </c>
      <c r="E2488" t="s">
        <v>3176</v>
      </c>
      <c r="F2488" t="s">
        <v>113</v>
      </c>
      <c r="G2488" t="s">
        <v>3177</v>
      </c>
      <c r="H2488"/>
      <c r="I2488"/>
      <c r="J2488"/>
      <c r="K2488" t="s">
        <v>3157</v>
      </c>
    </row>
    <row r="2489" spans="1:11">
      <c r="A2489" s="6">
        <v>44698</v>
      </c>
      <c r="B2489" s="20">
        <v>567147803212</v>
      </c>
      <c r="C2489" s="6">
        <v>44694</v>
      </c>
      <c r="D2489" t="s">
        <v>2096</v>
      </c>
      <c r="E2489" t="s">
        <v>3178</v>
      </c>
      <c r="F2489" t="s">
        <v>113</v>
      </c>
      <c r="G2489" t="s">
        <v>3177</v>
      </c>
      <c r="H2489"/>
      <c r="I2489"/>
      <c r="J2489"/>
      <c r="K2489" t="s">
        <v>3160</v>
      </c>
    </row>
    <row r="2490" spans="1:11">
      <c r="A2490" s="6">
        <v>44698</v>
      </c>
      <c r="B2490" s="20">
        <v>567147803212</v>
      </c>
      <c r="C2490" s="6">
        <v>44694</v>
      </c>
      <c r="D2490" t="s">
        <v>2096</v>
      </c>
      <c r="E2490" t="s">
        <v>3179</v>
      </c>
      <c r="F2490" t="s">
        <v>113</v>
      </c>
      <c r="G2490" t="s">
        <v>3177</v>
      </c>
      <c r="H2490"/>
      <c r="I2490"/>
      <c r="J2490"/>
      <c r="K2490" t="s">
        <v>3154</v>
      </c>
    </row>
    <row r="2491" spans="1:11">
      <c r="A2491" s="6">
        <v>44698</v>
      </c>
      <c r="B2491" s="20">
        <v>567147803212</v>
      </c>
      <c r="C2491" s="6">
        <v>44694</v>
      </c>
      <c r="D2491" t="s">
        <v>2096</v>
      </c>
      <c r="E2491" t="s">
        <v>3180</v>
      </c>
      <c r="F2491" t="s">
        <v>113</v>
      </c>
      <c r="G2491" t="s">
        <v>3177</v>
      </c>
      <c r="H2491"/>
      <c r="I2491"/>
      <c r="J2491"/>
      <c r="K2491" t="s">
        <v>3151</v>
      </c>
    </row>
    <row r="2492" spans="1:11">
      <c r="A2492" s="6">
        <v>44698</v>
      </c>
      <c r="B2492" s="20">
        <v>567147803212</v>
      </c>
      <c r="C2492" s="6">
        <v>44694</v>
      </c>
      <c r="D2492" t="s">
        <v>2096</v>
      </c>
      <c r="E2492" t="s">
        <v>3181</v>
      </c>
      <c r="F2492" t="s">
        <v>113</v>
      </c>
      <c r="G2492" t="s">
        <v>3177</v>
      </c>
      <c r="H2492"/>
      <c r="I2492"/>
      <c r="J2492"/>
      <c r="K2492" t="s">
        <v>3148</v>
      </c>
    </row>
    <row r="2493" spans="1:11">
      <c r="A2493" s="6">
        <v>44698</v>
      </c>
      <c r="B2493" s="20">
        <v>567147803212</v>
      </c>
      <c r="C2493" s="6">
        <v>44694</v>
      </c>
      <c r="D2493" t="s">
        <v>2096</v>
      </c>
      <c r="E2493" t="s">
        <v>3182</v>
      </c>
      <c r="F2493" t="s">
        <v>113</v>
      </c>
      <c r="G2493" t="s">
        <v>3177</v>
      </c>
      <c r="H2493"/>
      <c r="I2493"/>
      <c r="J2493"/>
      <c r="K2493" t="s">
        <v>3139</v>
      </c>
    </row>
    <row r="2494" spans="1:11">
      <c r="A2494" s="6">
        <v>44698</v>
      </c>
      <c r="B2494" s="20">
        <v>567147803212</v>
      </c>
      <c r="C2494" s="6">
        <v>44694</v>
      </c>
      <c r="D2494" t="s">
        <v>2096</v>
      </c>
      <c r="E2494" t="s">
        <v>3183</v>
      </c>
      <c r="F2494" t="s">
        <v>113</v>
      </c>
      <c r="G2494" t="s">
        <v>3177</v>
      </c>
      <c r="H2494"/>
      <c r="I2494"/>
      <c r="J2494"/>
      <c r="K2494" t="s">
        <v>3133</v>
      </c>
    </row>
    <row r="2495" spans="1:11">
      <c r="A2495" s="6">
        <v>44698</v>
      </c>
      <c r="B2495" s="20">
        <v>567147803212</v>
      </c>
      <c r="C2495" s="6">
        <v>44694</v>
      </c>
      <c r="D2495" t="s">
        <v>2096</v>
      </c>
      <c r="E2495" t="s">
        <v>3184</v>
      </c>
      <c r="F2495" t="s">
        <v>113</v>
      </c>
      <c r="G2495" t="s">
        <v>3177</v>
      </c>
      <c r="H2495"/>
      <c r="I2495"/>
      <c r="J2495"/>
      <c r="K2495" t="s">
        <v>3136</v>
      </c>
    </row>
    <row r="2496" spans="1:11">
      <c r="A2496" s="6">
        <v>44698</v>
      </c>
      <c r="B2496" s="20">
        <v>567147803212</v>
      </c>
      <c r="C2496" s="6">
        <v>44694</v>
      </c>
      <c r="D2496" t="s">
        <v>2096</v>
      </c>
      <c r="E2496" t="s">
        <v>3185</v>
      </c>
      <c r="F2496" t="s">
        <v>113</v>
      </c>
      <c r="G2496" t="s">
        <v>3177</v>
      </c>
      <c r="H2496"/>
      <c r="I2496"/>
      <c r="J2496"/>
      <c r="K2496" t="s">
        <v>3130</v>
      </c>
    </row>
    <row r="2497" spans="1:11">
      <c r="A2497" s="6">
        <v>44698</v>
      </c>
      <c r="B2497" s="20">
        <v>567147803212</v>
      </c>
      <c r="C2497" s="6">
        <v>44694</v>
      </c>
      <c r="D2497" t="s">
        <v>2096</v>
      </c>
      <c r="E2497" t="s">
        <v>3186</v>
      </c>
      <c r="F2497" t="s">
        <v>113</v>
      </c>
      <c r="G2497" t="s">
        <v>3177</v>
      </c>
      <c r="H2497"/>
      <c r="I2497"/>
      <c r="J2497"/>
      <c r="K2497" t="s">
        <v>3127</v>
      </c>
    </row>
    <row r="2498" spans="1:11">
      <c r="A2498" s="6">
        <v>44698</v>
      </c>
      <c r="B2498" s="20">
        <v>567147803212</v>
      </c>
      <c r="C2498" s="6">
        <v>44694</v>
      </c>
      <c r="D2498" t="s">
        <v>2096</v>
      </c>
      <c r="E2498" t="s">
        <v>3187</v>
      </c>
      <c r="F2498" t="s">
        <v>113</v>
      </c>
      <c r="G2498" t="s">
        <v>3177</v>
      </c>
      <c r="H2498"/>
      <c r="I2498"/>
      <c r="J2498"/>
      <c r="K2498" t="s">
        <v>3142</v>
      </c>
    </row>
    <row r="2499" spans="1:11">
      <c r="A2499" s="6">
        <v>44698</v>
      </c>
      <c r="B2499" s="20">
        <v>567147803212</v>
      </c>
      <c r="C2499" s="6">
        <v>44694</v>
      </c>
      <c r="D2499" t="s">
        <v>2096</v>
      </c>
      <c r="E2499" t="s">
        <v>3188</v>
      </c>
      <c r="F2499" t="s">
        <v>113</v>
      </c>
      <c r="G2499" t="s">
        <v>3177</v>
      </c>
      <c r="H2499"/>
      <c r="I2499"/>
      <c r="J2499"/>
      <c r="K2499" t="s">
        <v>3145</v>
      </c>
    </row>
    <row r="2500" spans="1:11">
      <c r="A2500" s="6">
        <v>44698</v>
      </c>
      <c r="B2500" s="20">
        <v>332352348219</v>
      </c>
      <c r="C2500" s="6">
        <v>44694</v>
      </c>
      <c r="D2500" t="s">
        <v>3189</v>
      </c>
      <c r="E2500" t="s">
        <v>3190</v>
      </c>
      <c r="F2500" t="s">
        <v>905</v>
      </c>
      <c r="G2500" t="s">
        <v>3191</v>
      </c>
      <c r="H2500"/>
      <c r="I2500"/>
      <c r="J2500"/>
      <c r="K2500" t="s">
        <v>3139</v>
      </c>
    </row>
    <row r="2501" spans="1:11">
      <c r="A2501" s="6">
        <v>44698</v>
      </c>
      <c r="B2501" s="20">
        <v>332352348219</v>
      </c>
      <c r="C2501" s="6">
        <v>44694</v>
      </c>
      <c r="D2501" t="s">
        <v>3189</v>
      </c>
      <c r="E2501" t="s">
        <v>3192</v>
      </c>
      <c r="F2501" t="s">
        <v>905</v>
      </c>
      <c r="G2501" t="s">
        <v>3191</v>
      </c>
      <c r="H2501"/>
      <c r="I2501"/>
      <c r="J2501"/>
      <c r="K2501" t="s">
        <v>3133</v>
      </c>
    </row>
    <row r="2502" spans="1:11">
      <c r="A2502" s="6">
        <v>44698</v>
      </c>
      <c r="B2502" s="20">
        <v>332352348219</v>
      </c>
      <c r="C2502" s="6">
        <v>44694</v>
      </c>
      <c r="D2502" t="s">
        <v>3189</v>
      </c>
      <c r="E2502" t="s">
        <v>3193</v>
      </c>
      <c r="F2502" t="s">
        <v>905</v>
      </c>
      <c r="G2502" t="s">
        <v>3191</v>
      </c>
      <c r="H2502"/>
      <c r="I2502"/>
      <c r="J2502"/>
      <c r="K2502" t="s">
        <v>3136</v>
      </c>
    </row>
    <row r="2503" spans="1:11">
      <c r="A2503" s="6">
        <v>44698</v>
      </c>
      <c r="B2503" s="20">
        <v>332352348219</v>
      </c>
      <c r="C2503" s="6">
        <v>44694</v>
      </c>
      <c r="D2503" t="s">
        <v>3189</v>
      </c>
      <c r="E2503" t="s">
        <v>3194</v>
      </c>
      <c r="F2503" t="s">
        <v>905</v>
      </c>
      <c r="G2503" t="s">
        <v>3191</v>
      </c>
      <c r="H2503"/>
      <c r="I2503"/>
      <c r="J2503"/>
      <c r="K2503" t="s">
        <v>3130</v>
      </c>
    </row>
    <row r="2504" spans="1:11">
      <c r="A2504" s="6">
        <v>44698</v>
      </c>
      <c r="B2504" s="20">
        <v>332352348219</v>
      </c>
      <c r="C2504" s="6">
        <v>44694</v>
      </c>
      <c r="D2504" t="s">
        <v>3189</v>
      </c>
      <c r="E2504" t="s">
        <v>3195</v>
      </c>
      <c r="F2504" t="s">
        <v>905</v>
      </c>
      <c r="G2504" t="s">
        <v>3191</v>
      </c>
      <c r="H2504"/>
      <c r="I2504"/>
      <c r="J2504"/>
      <c r="K2504" t="s">
        <v>3127</v>
      </c>
    </row>
    <row r="2505" spans="1:11">
      <c r="A2505" s="6">
        <v>44698</v>
      </c>
      <c r="B2505" s="20">
        <v>332352348219</v>
      </c>
      <c r="C2505" s="6">
        <v>44694</v>
      </c>
      <c r="D2505" t="s">
        <v>3189</v>
      </c>
      <c r="E2505" t="s">
        <v>3196</v>
      </c>
      <c r="F2505" t="s">
        <v>905</v>
      </c>
      <c r="G2505" t="s">
        <v>3191</v>
      </c>
      <c r="H2505"/>
      <c r="I2505"/>
      <c r="J2505"/>
      <c r="K2505" t="s">
        <v>3157</v>
      </c>
    </row>
    <row r="2506" spans="1:11">
      <c r="A2506" s="6">
        <v>44698</v>
      </c>
      <c r="B2506" s="20">
        <v>332352348219</v>
      </c>
      <c r="C2506" s="6">
        <v>44694</v>
      </c>
      <c r="D2506" t="s">
        <v>3189</v>
      </c>
      <c r="E2506" t="s">
        <v>3197</v>
      </c>
      <c r="F2506" t="s">
        <v>905</v>
      </c>
      <c r="G2506" t="s">
        <v>3191</v>
      </c>
      <c r="H2506"/>
      <c r="I2506"/>
      <c r="J2506"/>
      <c r="K2506" t="s">
        <v>3160</v>
      </c>
    </row>
    <row r="2507" spans="1:11">
      <c r="A2507" s="6">
        <v>44698</v>
      </c>
      <c r="B2507" s="20">
        <v>332352348219</v>
      </c>
      <c r="C2507" s="6">
        <v>44694</v>
      </c>
      <c r="D2507" t="s">
        <v>3189</v>
      </c>
      <c r="E2507" t="s">
        <v>3198</v>
      </c>
      <c r="F2507" t="s">
        <v>905</v>
      </c>
      <c r="G2507" t="s">
        <v>3191</v>
      </c>
      <c r="H2507"/>
      <c r="I2507"/>
      <c r="J2507"/>
      <c r="K2507" t="s">
        <v>3154</v>
      </c>
    </row>
    <row r="2508" spans="1:11">
      <c r="A2508" s="6">
        <v>44698</v>
      </c>
      <c r="B2508" s="20">
        <v>332352348219</v>
      </c>
      <c r="C2508" s="6">
        <v>44694</v>
      </c>
      <c r="D2508" t="s">
        <v>3189</v>
      </c>
      <c r="E2508" t="s">
        <v>3199</v>
      </c>
      <c r="F2508" t="s">
        <v>905</v>
      </c>
      <c r="G2508" t="s">
        <v>3191</v>
      </c>
      <c r="H2508"/>
      <c r="I2508"/>
      <c r="J2508"/>
      <c r="K2508" t="s">
        <v>3151</v>
      </c>
    </row>
    <row r="2509" spans="1:11">
      <c r="A2509" s="6">
        <v>44698</v>
      </c>
      <c r="B2509" s="20">
        <v>332352348219</v>
      </c>
      <c r="C2509" s="6">
        <v>44694</v>
      </c>
      <c r="D2509" t="s">
        <v>3189</v>
      </c>
      <c r="E2509" t="s">
        <v>3200</v>
      </c>
      <c r="F2509" t="s">
        <v>905</v>
      </c>
      <c r="G2509" t="s">
        <v>3191</v>
      </c>
      <c r="H2509"/>
      <c r="I2509"/>
      <c r="J2509"/>
      <c r="K2509" t="s">
        <v>3148</v>
      </c>
    </row>
    <row r="2510" spans="1:11">
      <c r="A2510" s="6">
        <v>44698</v>
      </c>
      <c r="B2510" s="20">
        <v>332352348219</v>
      </c>
      <c r="C2510" s="6">
        <v>44694</v>
      </c>
      <c r="D2510" t="s">
        <v>3189</v>
      </c>
      <c r="E2510" t="s">
        <v>3201</v>
      </c>
      <c r="F2510" t="s">
        <v>905</v>
      </c>
      <c r="G2510" t="s">
        <v>3191</v>
      </c>
      <c r="H2510"/>
      <c r="I2510"/>
      <c r="J2510"/>
      <c r="K2510" t="s">
        <v>3142</v>
      </c>
    </row>
    <row r="2511" spans="1:11">
      <c r="A2511" s="6">
        <v>44698</v>
      </c>
      <c r="B2511" s="20">
        <v>332352348219</v>
      </c>
      <c r="C2511" s="6">
        <v>44694</v>
      </c>
      <c r="D2511" t="s">
        <v>3189</v>
      </c>
      <c r="E2511" t="s">
        <v>3202</v>
      </c>
      <c r="F2511" t="s">
        <v>905</v>
      </c>
      <c r="G2511" t="s">
        <v>3191</v>
      </c>
      <c r="H2511"/>
      <c r="I2511"/>
      <c r="J2511"/>
      <c r="K2511" t="s">
        <v>3145</v>
      </c>
    </row>
    <row r="2512" spans="1:11">
      <c r="A2512" s="6">
        <v>44704</v>
      </c>
      <c r="B2512" s="20" t="s">
        <v>3203</v>
      </c>
      <c r="C2512" s="6">
        <v>44701</v>
      </c>
      <c r="D2512" t="s">
        <v>2104</v>
      </c>
      <c r="E2512" t="s">
        <v>3204</v>
      </c>
      <c r="F2512" t="s">
        <v>202</v>
      </c>
      <c r="G2512" t="s">
        <v>3205</v>
      </c>
      <c r="H2512"/>
      <c r="I2512"/>
      <c r="J2512"/>
      <c r="K2512" t="s">
        <v>3151</v>
      </c>
    </row>
    <row r="2513" spans="1:11">
      <c r="A2513" s="6">
        <v>44704</v>
      </c>
      <c r="B2513" s="20" t="s">
        <v>3203</v>
      </c>
      <c r="C2513" s="6">
        <v>44701</v>
      </c>
      <c r="D2513" t="s">
        <v>2104</v>
      </c>
      <c r="E2513" t="s">
        <v>3206</v>
      </c>
      <c r="F2513" t="s">
        <v>202</v>
      </c>
      <c r="G2513" t="s">
        <v>3205</v>
      </c>
      <c r="H2513"/>
      <c r="I2513"/>
      <c r="J2513"/>
      <c r="K2513" t="s">
        <v>3151</v>
      </c>
    </row>
    <row r="2514" spans="1:11">
      <c r="A2514" s="6">
        <v>44704</v>
      </c>
      <c r="B2514" s="20" t="s">
        <v>3203</v>
      </c>
      <c r="C2514" s="6">
        <v>44701</v>
      </c>
      <c r="D2514" t="s">
        <v>2104</v>
      </c>
      <c r="E2514" t="s">
        <v>3207</v>
      </c>
      <c r="F2514" t="s">
        <v>202</v>
      </c>
      <c r="G2514" t="s">
        <v>3205</v>
      </c>
      <c r="H2514"/>
      <c r="I2514"/>
      <c r="J2514"/>
      <c r="K2514" t="s">
        <v>3148</v>
      </c>
    </row>
    <row r="2515" spans="1:11">
      <c r="A2515" s="6">
        <v>44704</v>
      </c>
      <c r="B2515" s="20" t="s">
        <v>3203</v>
      </c>
      <c r="C2515" s="6">
        <v>44701</v>
      </c>
      <c r="D2515" t="s">
        <v>2104</v>
      </c>
      <c r="E2515" t="s">
        <v>3208</v>
      </c>
      <c r="F2515" t="s">
        <v>202</v>
      </c>
      <c r="G2515" t="s">
        <v>3205</v>
      </c>
      <c r="H2515"/>
      <c r="I2515"/>
      <c r="J2515"/>
      <c r="K2515" t="s">
        <v>3148</v>
      </c>
    </row>
    <row r="2516" spans="1:11">
      <c r="A2516" s="6">
        <v>44704</v>
      </c>
      <c r="B2516" s="20" t="s">
        <v>3203</v>
      </c>
      <c r="C2516" s="6">
        <v>44701</v>
      </c>
      <c r="D2516" t="s">
        <v>2104</v>
      </c>
      <c r="E2516" t="s">
        <v>3209</v>
      </c>
      <c r="F2516" t="s">
        <v>202</v>
      </c>
      <c r="G2516" t="s">
        <v>3205</v>
      </c>
      <c r="H2516"/>
      <c r="I2516"/>
      <c r="J2516"/>
      <c r="K2516" t="s">
        <v>3151</v>
      </c>
    </row>
    <row r="2517" spans="1:11">
      <c r="A2517" s="6">
        <v>44704</v>
      </c>
      <c r="B2517" s="20" t="s">
        <v>3203</v>
      </c>
      <c r="C2517" s="6">
        <v>44701</v>
      </c>
      <c r="D2517" t="s">
        <v>2104</v>
      </c>
      <c r="E2517" t="s">
        <v>3210</v>
      </c>
      <c r="F2517" t="s">
        <v>202</v>
      </c>
      <c r="G2517" t="s">
        <v>3205</v>
      </c>
      <c r="H2517"/>
      <c r="I2517"/>
      <c r="J2517"/>
      <c r="K2517" t="s">
        <v>3148</v>
      </c>
    </row>
    <row r="2518" spans="1:11">
      <c r="A2518" s="6">
        <v>44704</v>
      </c>
      <c r="B2518" s="20" t="s">
        <v>3203</v>
      </c>
      <c r="C2518" s="6">
        <v>44701</v>
      </c>
      <c r="D2518" t="s">
        <v>2104</v>
      </c>
      <c r="E2518" t="s">
        <v>3211</v>
      </c>
      <c r="F2518" t="s">
        <v>202</v>
      </c>
      <c r="G2518" t="s">
        <v>3205</v>
      </c>
      <c r="H2518"/>
      <c r="I2518"/>
      <c r="J2518"/>
      <c r="K2518" t="s">
        <v>3145</v>
      </c>
    </row>
    <row r="2519" spans="1:11">
      <c r="A2519" s="6">
        <v>44704</v>
      </c>
      <c r="B2519" s="20" t="s">
        <v>3203</v>
      </c>
      <c r="C2519" s="6">
        <v>44701</v>
      </c>
      <c r="D2519" t="s">
        <v>2104</v>
      </c>
      <c r="E2519" t="s">
        <v>3212</v>
      </c>
      <c r="F2519" t="s">
        <v>202</v>
      </c>
      <c r="G2519" t="s">
        <v>3205</v>
      </c>
      <c r="H2519"/>
      <c r="I2519"/>
      <c r="J2519"/>
      <c r="K2519" t="s">
        <v>3145</v>
      </c>
    </row>
    <row r="2520" spans="1:11">
      <c r="A2520" s="6">
        <v>44704</v>
      </c>
      <c r="B2520" s="20" t="s">
        <v>3203</v>
      </c>
      <c r="C2520" s="6">
        <v>44701</v>
      </c>
      <c r="D2520" t="s">
        <v>2104</v>
      </c>
      <c r="E2520" t="s">
        <v>3213</v>
      </c>
      <c r="F2520" t="s">
        <v>202</v>
      </c>
      <c r="G2520" t="s">
        <v>3205</v>
      </c>
      <c r="H2520"/>
      <c r="I2520"/>
      <c r="J2520"/>
      <c r="K2520" t="s">
        <v>3145</v>
      </c>
    </row>
    <row r="2521" spans="1:11">
      <c r="A2521" s="6">
        <v>44704</v>
      </c>
      <c r="B2521" s="20" t="s">
        <v>3203</v>
      </c>
      <c r="C2521" s="6">
        <v>44701</v>
      </c>
      <c r="D2521" t="s">
        <v>2104</v>
      </c>
      <c r="E2521" t="s">
        <v>3214</v>
      </c>
      <c r="F2521" t="s">
        <v>202</v>
      </c>
      <c r="G2521" t="s">
        <v>3205</v>
      </c>
      <c r="H2521"/>
      <c r="I2521"/>
      <c r="J2521"/>
      <c r="K2521" t="s">
        <v>3145</v>
      </c>
    </row>
    <row r="2522" spans="1:11">
      <c r="A2522" s="6">
        <v>44704</v>
      </c>
      <c r="B2522" s="20" t="s">
        <v>3203</v>
      </c>
      <c r="C2522" s="6">
        <v>44701</v>
      </c>
      <c r="D2522" t="s">
        <v>2104</v>
      </c>
      <c r="E2522" t="s">
        <v>3215</v>
      </c>
      <c r="F2522" t="s">
        <v>202</v>
      </c>
      <c r="G2522" t="s">
        <v>3205</v>
      </c>
      <c r="H2522"/>
      <c r="I2522"/>
      <c r="J2522"/>
      <c r="K2522" t="s">
        <v>3142</v>
      </c>
    </row>
    <row r="2523" spans="1:11">
      <c r="A2523" s="6">
        <v>44704</v>
      </c>
      <c r="B2523" s="20" t="s">
        <v>3203</v>
      </c>
      <c r="C2523" s="6">
        <v>44701</v>
      </c>
      <c r="D2523" t="s">
        <v>2104</v>
      </c>
      <c r="E2523" t="s">
        <v>3216</v>
      </c>
      <c r="F2523" t="s">
        <v>202</v>
      </c>
      <c r="G2523" t="s">
        <v>3205</v>
      </c>
      <c r="H2523"/>
      <c r="I2523"/>
      <c r="J2523"/>
      <c r="K2523" t="s">
        <v>3142</v>
      </c>
    </row>
    <row r="2524" spans="1:11">
      <c r="A2524" s="6">
        <v>44704</v>
      </c>
      <c r="B2524" s="20" t="s">
        <v>3203</v>
      </c>
      <c r="C2524" s="6">
        <v>44701</v>
      </c>
      <c r="D2524" t="s">
        <v>2104</v>
      </c>
      <c r="E2524" t="s">
        <v>3217</v>
      </c>
      <c r="F2524" t="s">
        <v>202</v>
      </c>
      <c r="G2524" t="s">
        <v>3205</v>
      </c>
      <c r="H2524"/>
      <c r="I2524"/>
      <c r="J2524"/>
      <c r="K2524" t="s">
        <v>3148</v>
      </c>
    </row>
    <row r="2525" spans="1:11">
      <c r="A2525" s="6">
        <v>44704</v>
      </c>
      <c r="B2525" s="20" t="s">
        <v>3203</v>
      </c>
      <c r="C2525" s="6">
        <v>44701</v>
      </c>
      <c r="D2525" t="s">
        <v>2104</v>
      </c>
      <c r="E2525" t="s">
        <v>3218</v>
      </c>
      <c r="F2525" t="s">
        <v>202</v>
      </c>
      <c r="G2525" t="s">
        <v>3205</v>
      </c>
      <c r="H2525"/>
      <c r="I2525"/>
      <c r="J2525"/>
      <c r="K2525" t="s">
        <v>3142</v>
      </c>
    </row>
    <row r="2526" spans="1:11">
      <c r="A2526" s="6">
        <v>44704</v>
      </c>
      <c r="B2526" s="20" t="s">
        <v>3203</v>
      </c>
      <c r="C2526" s="6">
        <v>44701</v>
      </c>
      <c r="D2526" t="s">
        <v>2104</v>
      </c>
      <c r="E2526" t="s">
        <v>3219</v>
      </c>
      <c r="F2526" t="s">
        <v>202</v>
      </c>
      <c r="G2526" t="s">
        <v>3205</v>
      </c>
      <c r="H2526"/>
      <c r="I2526"/>
      <c r="J2526"/>
      <c r="K2526" t="s">
        <v>3142</v>
      </c>
    </row>
    <row r="2527" spans="1:11">
      <c r="A2527" s="6">
        <v>44704</v>
      </c>
      <c r="B2527" s="20" t="s">
        <v>3203</v>
      </c>
      <c r="C2527" s="6">
        <v>44701</v>
      </c>
      <c r="D2527" t="s">
        <v>2104</v>
      </c>
      <c r="E2527" t="s">
        <v>3220</v>
      </c>
      <c r="F2527" t="s">
        <v>202</v>
      </c>
      <c r="G2527" t="s">
        <v>3205</v>
      </c>
      <c r="H2527"/>
      <c r="I2527"/>
      <c r="J2527"/>
      <c r="K2527" t="s">
        <v>3160</v>
      </c>
    </row>
    <row r="2528" spans="1:11">
      <c r="A2528" s="6">
        <v>44704</v>
      </c>
      <c r="B2528" s="20" t="s">
        <v>3203</v>
      </c>
      <c r="C2528" s="6">
        <v>44701</v>
      </c>
      <c r="D2528" t="s">
        <v>2104</v>
      </c>
      <c r="E2528" t="s">
        <v>3221</v>
      </c>
      <c r="F2528" t="s">
        <v>202</v>
      </c>
      <c r="G2528" t="s">
        <v>3205</v>
      </c>
      <c r="H2528"/>
      <c r="I2528"/>
      <c r="J2528"/>
      <c r="K2528" t="s">
        <v>3160</v>
      </c>
    </row>
    <row r="2529" spans="1:11">
      <c r="A2529" s="6">
        <v>44704</v>
      </c>
      <c r="B2529" s="20" t="s">
        <v>3203</v>
      </c>
      <c r="C2529" s="6">
        <v>44701</v>
      </c>
      <c r="D2529" t="s">
        <v>2104</v>
      </c>
      <c r="E2529" t="s">
        <v>3222</v>
      </c>
      <c r="F2529" t="s">
        <v>202</v>
      </c>
      <c r="G2529" t="s">
        <v>3205</v>
      </c>
      <c r="H2529"/>
      <c r="I2529"/>
      <c r="J2529"/>
      <c r="K2529" t="s">
        <v>3160</v>
      </c>
    </row>
    <row r="2530" spans="1:11">
      <c r="A2530" s="6">
        <v>44704</v>
      </c>
      <c r="B2530" s="20" t="s">
        <v>3203</v>
      </c>
      <c r="C2530" s="6">
        <v>44701</v>
      </c>
      <c r="D2530" t="s">
        <v>2104</v>
      </c>
      <c r="E2530" t="s">
        <v>3223</v>
      </c>
      <c r="F2530" t="s">
        <v>202</v>
      </c>
      <c r="G2530" t="s">
        <v>3205</v>
      </c>
      <c r="H2530"/>
      <c r="I2530"/>
      <c r="J2530"/>
      <c r="K2530" t="s">
        <v>3154</v>
      </c>
    </row>
    <row r="2531" spans="1:11">
      <c r="A2531" s="6">
        <v>44704</v>
      </c>
      <c r="B2531" s="20" t="s">
        <v>3203</v>
      </c>
      <c r="C2531" s="6">
        <v>44701</v>
      </c>
      <c r="D2531" t="s">
        <v>2104</v>
      </c>
      <c r="E2531" t="s">
        <v>3224</v>
      </c>
      <c r="F2531" t="s">
        <v>202</v>
      </c>
      <c r="G2531" t="s">
        <v>3205</v>
      </c>
      <c r="H2531"/>
      <c r="I2531"/>
      <c r="J2531"/>
      <c r="K2531" t="s">
        <v>3154</v>
      </c>
    </row>
    <row r="2532" spans="1:11">
      <c r="A2532" s="6">
        <v>44704</v>
      </c>
      <c r="B2532" s="20" t="s">
        <v>3203</v>
      </c>
      <c r="C2532" s="6">
        <v>44701</v>
      </c>
      <c r="D2532" t="s">
        <v>2104</v>
      </c>
      <c r="E2532" t="s">
        <v>3225</v>
      </c>
      <c r="F2532" t="s">
        <v>202</v>
      </c>
      <c r="G2532" t="s">
        <v>3205</v>
      </c>
      <c r="H2532"/>
      <c r="I2532"/>
      <c r="J2532"/>
      <c r="K2532" t="s">
        <v>3154</v>
      </c>
    </row>
    <row r="2533" spans="1:11">
      <c r="A2533" s="6">
        <v>44704</v>
      </c>
      <c r="B2533" s="20" t="s">
        <v>3203</v>
      </c>
      <c r="C2533" s="6">
        <v>44701</v>
      </c>
      <c r="D2533" t="s">
        <v>2104</v>
      </c>
      <c r="E2533" t="s">
        <v>3226</v>
      </c>
      <c r="F2533" t="s">
        <v>202</v>
      </c>
      <c r="G2533" t="s">
        <v>3205</v>
      </c>
      <c r="H2533"/>
      <c r="I2533"/>
      <c r="J2533"/>
      <c r="K2533" t="s">
        <v>3154</v>
      </c>
    </row>
    <row r="2534" spans="1:11">
      <c r="A2534" s="6">
        <v>44704</v>
      </c>
      <c r="B2534" s="20" t="s">
        <v>3203</v>
      </c>
      <c r="C2534" s="6">
        <v>44701</v>
      </c>
      <c r="D2534" t="s">
        <v>2104</v>
      </c>
      <c r="E2534" t="s">
        <v>3227</v>
      </c>
      <c r="F2534" t="s">
        <v>202</v>
      </c>
      <c r="G2534" t="s">
        <v>3205</v>
      </c>
      <c r="H2534"/>
      <c r="I2534"/>
      <c r="J2534"/>
      <c r="K2534" t="s">
        <v>3151</v>
      </c>
    </row>
    <row r="2535" spans="1:11">
      <c r="A2535" s="6">
        <v>44704</v>
      </c>
      <c r="B2535" s="20" t="s">
        <v>3203</v>
      </c>
      <c r="C2535" s="6">
        <v>44701</v>
      </c>
      <c r="D2535" t="s">
        <v>2104</v>
      </c>
      <c r="E2535" t="s">
        <v>3228</v>
      </c>
      <c r="F2535" t="s">
        <v>202</v>
      </c>
      <c r="G2535" t="s">
        <v>3205</v>
      </c>
      <c r="H2535"/>
      <c r="I2535"/>
      <c r="J2535"/>
      <c r="K2535" t="s">
        <v>3139</v>
      </c>
    </row>
    <row r="2536" spans="1:11">
      <c r="A2536" s="6">
        <v>44704</v>
      </c>
      <c r="B2536" s="20" t="s">
        <v>3203</v>
      </c>
      <c r="C2536" s="6">
        <v>44701</v>
      </c>
      <c r="D2536" t="s">
        <v>2104</v>
      </c>
      <c r="E2536" t="s">
        <v>3229</v>
      </c>
      <c r="F2536" t="s">
        <v>202</v>
      </c>
      <c r="G2536" t="s">
        <v>3205</v>
      </c>
      <c r="H2536"/>
      <c r="I2536"/>
      <c r="J2536"/>
      <c r="K2536" t="s">
        <v>3139</v>
      </c>
    </row>
    <row r="2537" spans="1:11">
      <c r="A2537" s="6">
        <v>44704</v>
      </c>
      <c r="B2537" s="20" t="s">
        <v>3203</v>
      </c>
      <c r="C2537" s="6">
        <v>44701</v>
      </c>
      <c r="D2537" t="s">
        <v>2104</v>
      </c>
      <c r="E2537" t="s">
        <v>3230</v>
      </c>
      <c r="F2537" t="s">
        <v>202</v>
      </c>
      <c r="G2537" t="s">
        <v>3205</v>
      </c>
      <c r="H2537"/>
      <c r="I2537"/>
      <c r="J2537"/>
      <c r="K2537" t="s">
        <v>3139</v>
      </c>
    </row>
    <row r="2538" spans="1:11">
      <c r="A2538" s="6">
        <v>44704</v>
      </c>
      <c r="B2538" s="20" t="s">
        <v>3203</v>
      </c>
      <c r="C2538" s="6">
        <v>44701</v>
      </c>
      <c r="D2538" t="s">
        <v>2104</v>
      </c>
      <c r="E2538" t="s">
        <v>3231</v>
      </c>
      <c r="F2538" t="s">
        <v>202</v>
      </c>
      <c r="G2538" t="s">
        <v>3205</v>
      </c>
      <c r="H2538"/>
      <c r="I2538"/>
      <c r="J2538"/>
      <c r="K2538" t="s">
        <v>3139</v>
      </c>
    </row>
    <row r="2539" spans="1:11">
      <c r="A2539" s="6">
        <v>44704</v>
      </c>
      <c r="B2539" s="20" t="s">
        <v>3203</v>
      </c>
      <c r="C2539" s="6">
        <v>44701</v>
      </c>
      <c r="D2539" t="s">
        <v>2104</v>
      </c>
      <c r="E2539" t="s">
        <v>3232</v>
      </c>
      <c r="F2539" t="s">
        <v>202</v>
      </c>
      <c r="G2539" t="s">
        <v>3205</v>
      </c>
      <c r="H2539"/>
      <c r="I2539"/>
      <c r="J2539"/>
      <c r="K2539" t="s">
        <v>3133</v>
      </c>
    </row>
    <row r="2540" spans="1:11">
      <c r="A2540" s="6">
        <v>44704</v>
      </c>
      <c r="B2540" s="20" t="s">
        <v>3203</v>
      </c>
      <c r="C2540" s="6">
        <v>44701</v>
      </c>
      <c r="D2540" t="s">
        <v>2104</v>
      </c>
      <c r="E2540" t="s">
        <v>3233</v>
      </c>
      <c r="F2540" t="s">
        <v>202</v>
      </c>
      <c r="G2540" t="s">
        <v>3205</v>
      </c>
      <c r="H2540"/>
      <c r="I2540"/>
      <c r="J2540"/>
      <c r="K2540" t="s">
        <v>3133</v>
      </c>
    </row>
    <row r="2541" spans="1:11">
      <c r="A2541" s="6">
        <v>44704</v>
      </c>
      <c r="B2541" s="20" t="s">
        <v>3203</v>
      </c>
      <c r="C2541" s="6">
        <v>44701</v>
      </c>
      <c r="D2541" t="s">
        <v>2104</v>
      </c>
      <c r="E2541" t="s">
        <v>3234</v>
      </c>
      <c r="F2541" t="s">
        <v>202</v>
      </c>
      <c r="G2541" t="s">
        <v>3205</v>
      </c>
      <c r="H2541"/>
      <c r="I2541"/>
      <c r="J2541"/>
      <c r="K2541" t="s">
        <v>3133</v>
      </c>
    </row>
    <row r="2542" spans="1:11">
      <c r="A2542" s="6">
        <v>44704</v>
      </c>
      <c r="B2542" s="20" t="s">
        <v>3203</v>
      </c>
      <c r="C2542" s="6">
        <v>44701</v>
      </c>
      <c r="D2542" t="s">
        <v>2104</v>
      </c>
      <c r="E2542" t="s">
        <v>3235</v>
      </c>
      <c r="F2542" t="s">
        <v>202</v>
      </c>
      <c r="G2542" t="s">
        <v>3205</v>
      </c>
      <c r="H2542"/>
      <c r="I2542"/>
      <c r="J2542"/>
      <c r="K2542" t="s">
        <v>3133</v>
      </c>
    </row>
    <row r="2543" spans="1:11">
      <c r="A2543" s="6">
        <v>44704</v>
      </c>
      <c r="B2543" s="20" t="s">
        <v>3203</v>
      </c>
      <c r="C2543" s="6">
        <v>44701</v>
      </c>
      <c r="D2543" t="s">
        <v>2104</v>
      </c>
      <c r="E2543" t="s">
        <v>3236</v>
      </c>
      <c r="F2543" t="s">
        <v>202</v>
      </c>
      <c r="G2543" t="s">
        <v>3205</v>
      </c>
      <c r="H2543"/>
      <c r="I2543"/>
      <c r="J2543"/>
      <c r="K2543" t="s">
        <v>3136</v>
      </c>
    </row>
    <row r="2544" spans="1:11">
      <c r="A2544" s="6">
        <v>44704</v>
      </c>
      <c r="B2544" s="20" t="s">
        <v>3203</v>
      </c>
      <c r="C2544" s="6">
        <v>44701</v>
      </c>
      <c r="D2544" t="s">
        <v>2104</v>
      </c>
      <c r="E2544" t="s">
        <v>3237</v>
      </c>
      <c r="F2544" t="s">
        <v>202</v>
      </c>
      <c r="G2544" t="s">
        <v>3205</v>
      </c>
      <c r="H2544"/>
      <c r="I2544"/>
      <c r="J2544"/>
      <c r="K2544" t="s">
        <v>3136</v>
      </c>
    </row>
    <row r="2545" spans="1:11">
      <c r="A2545" s="6">
        <v>44704</v>
      </c>
      <c r="B2545" s="20" t="s">
        <v>3203</v>
      </c>
      <c r="C2545" s="6">
        <v>44701</v>
      </c>
      <c r="D2545" t="s">
        <v>2104</v>
      </c>
      <c r="E2545" t="s">
        <v>3238</v>
      </c>
      <c r="F2545" t="s">
        <v>202</v>
      </c>
      <c r="G2545" t="s">
        <v>3205</v>
      </c>
      <c r="H2545"/>
      <c r="I2545"/>
      <c r="J2545"/>
      <c r="K2545" t="s">
        <v>3136</v>
      </c>
    </row>
    <row r="2546" spans="1:11">
      <c r="A2546" s="6">
        <v>44704</v>
      </c>
      <c r="B2546" s="20" t="s">
        <v>3203</v>
      </c>
      <c r="C2546" s="6">
        <v>44701</v>
      </c>
      <c r="D2546" t="s">
        <v>2104</v>
      </c>
      <c r="E2546" t="s">
        <v>3239</v>
      </c>
      <c r="F2546" t="s">
        <v>202</v>
      </c>
      <c r="G2546" t="s">
        <v>3205</v>
      </c>
      <c r="H2546"/>
      <c r="I2546"/>
      <c r="J2546"/>
      <c r="K2546" t="s">
        <v>3136</v>
      </c>
    </row>
    <row r="2547" spans="1:11">
      <c r="A2547" s="6">
        <v>44704</v>
      </c>
      <c r="B2547" s="20" t="s">
        <v>3203</v>
      </c>
      <c r="C2547" s="6">
        <v>44701</v>
      </c>
      <c r="D2547" t="s">
        <v>2104</v>
      </c>
      <c r="E2547" t="s">
        <v>3240</v>
      </c>
      <c r="F2547" t="s">
        <v>202</v>
      </c>
      <c r="G2547" t="s">
        <v>3205</v>
      </c>
      <c r="H2547"/>
      <c r="I2547"/>
      <c r="J2547"/>
      <c r="K2547" t="s">
        <v>3130</v>
      </c>
    </row>
    <row r="2548" spans="1:11">
      <c r="A2548" s="6">
        <v>44704</v>
      </c>
      <c r="B2548" s="20" t="s">
        <v>3203</v>
      </c>
      <c r="C2548" s="6">
        <v>44701</v>
      </c>
      <c r="D2548" t="s">
        <v>2104</v>
      </c>
      <c r="E2548" t="s">
        <v>3241</v>
      </c>
      <c r="F2548" t="s">
        <v>202</v>
      </c>
      <c r="G2548" t="s">
        <v>3205</v>
      </c>
      <c r="H2548"/>
      <c r="I2548"/>
      <c r="J2548"/>
      <c r="K2548" t="s">
        <v>3130</v>
      </c>
    </row>
    <row r="2549" spans="1:11">
      <c r="A2549" s="6">
        <v>44704</v>
      </c>
      <c r="B2549" s="20" t="s">
        <v>3203</v>
      </c>
      <c r="C2549" s="6">
        <v>44701</v>
      </c>
      <c r="D2549" t="s">
        <v>2104</v>
      </c>
      <c r="E2549" t="s">
        <v>3242</v>
      </c>
      <c r="F2549" t="s">
        <v>202</v>
      </c>
      <c r="G2549" t="s">
        <v>3205</v>
      </c>
      <c r="H2549"/>
      <c r="I2549"/>
      <c r="J2549"/>
      <c r="K2549" t="s">
        <v>3130</v>
      </c>
    </row>
    <row r="2550" spans="1:11">
      <c r="A2550" s="6">
        <v>44704</v>
      </c>
      <c r="B2550" s="20" t="s">
        <v>3203</v>
      </c>
      <c r="C2550" s="6">
        <v>44701</v>
      </c>
      <c r="D2550" t="s">
        <v>2104</v>
      </c>
      <c r="E2550" t="s">
        <v>3243</v>
      </c>
      <c r="F2550" t="s">
        <v>202</v>
      </c>
      <c r="G2550" t="s">
        <v>3205</v>
      </c>
      <c r="H2550"/>
      <c r="I2550"/>
      <c r="J2550"/>
      <c r="K2550" t="s">
        <v>3130</v>
      </c>
    </row>
    <row r="2551" spans="1:11">
      <c r="A2551" s="6">
        <v>44704</v>
      </c>
      <c r="B2551" s="20" t="s">
        <v>3203</v>
      </c>
      <c r="C2551" s="6">
        <v>44701</v>
      </c>
      <c r="D2551" t="s">
        <v>2104</v>
      </c>
      <c r="E2551" t="s">
        <v>3244</v>
      </c>
      <c r="F2551" t="s">
        <v>202</v>
      </c>
      <c r="G2551" t="s">
        <v>3205</v>
      </c>
      <c r="H2551"/>
      <c r="I2551"/>
      <c r="J2551"/>
      <c r="K2551" t="s">
        <v>3127</v>
      </c>
    </row>
    <row r="2552" spans="1:11">
      <c r="A2552" s="6">
        <v>44704</v>
      </c>
      <c r="B2552" s="20" t="s">
        <v>3203</v>
      </c>
      <c r="C2552" s="6">
        <v>44701</v>
      </c>
      <c r="D2552" t="s">
        <v>2104</v>
      </c>
      <c r="E2552" t="s">
        <v>3245</v>
      </c>
      <c r="F2552" t="s">
        <v>202</v>
      </c>
      <c r="G2552" t="s">
        <v>3205</v>
      </c>
      <c r="H2552"/>
      <c r="I2552"/>
      <c r="J2552"/>
      <c r="K2552" t="s">
        <v>3127</v>
      </c>
    </row>
    <row r="2553" spans="1:11">
      <c r="A2553" s="6">
        <v>44704</v>
      </c>
      <c r="B2553" s="20" t="s">
        <v>3203</v>
      </c>
      <c r="C2553" s="6">
        <v>44701</v>
      </c>
      <c r="D2553" t="s">
        <v>2104</v>
      </c>
      <c r="E2553" t="s">
        <v>3246</v>
      </c>
      <c r="F2553" t="s">
        <v>202</v>
      </c>
      <c r="G2553" t="s">
        <v>3205</v>
      </c>
      <c r="H2553"/>
      <c r="I2553"/>
      <c r="J2553"/>
      <c r="K2553" t="s">
        <v>3127</v>
      </c>
    </row>
    <row r="2554" spans="1:11">
      <c r="A2554" s="6">
        <v>44704</v>
      </c>
      <c r="B2554" s="20" t="s">
        <v>3203</v>
      </c>
      <c r="C2554" s="6">
        <v>44701</v>
      </c>
      <c r="D2554" t="s">
        <v>2104</v>
      </c>
      <c r="E2554" t="s">
        <v>3247</v>
      </c>
      <c r="F2554" t="s">
        <v>202</v>
      </c>
      <c r="G2554" t="s">
        <v>3205</v>
      </c>
      <c r="H2554"/>
      <c r="I2554"/>
      <c r="J2554"/>
      <c r="K2554" t="s">
        <v>3127</v>
      </c>
    </row>
    <row r="2555" spans="1:11">
      <c r="A2555" s="6">
        <v>44704</v>
      </c>
      <c r="B2555" s="20" t="s">
        <v>3203</v>
      </c>
      <c r="C2555" s="6">
        <v>44701</v>
      </c>
      <c r="D2555" t="s">
        <v>2104</v>
      </c>
      <c r="E2555" t="s">
        <v>3248</v>
      </c>
      <c r="F2555" t="s">
        <v>202</v>
      </c>
      <c r="G2555" t="s">
        <v>3205</v>
      </c>
      <c r="H2555"/>
      <c r="I2555"/>
      <c r="J2555"/>
      <c r="K2555" t="s">
        <v>3157</v>
      </c>
    </row>
    <row r="2556" spans="1:11">
      <c r="A2556" s="6">
        <v>44704</v>
      </c>
      <c r="B2556" s="20" t="s">
        <v>3203</v>
      </c>
      <c r="C2556" s="6">
        <v>44701</v>
      </c>
      <c r="D2556" t="s">
        <v>2104</v>
      </c>
      <c r="E2556" t="s">
        <v>3249</v>
      </c>
      <c r="F2556" t="s">
        <v>202</v>
      </c>
      <c r="G2556" t="s">
        <v>3205</v>
      </c>
      <c r="H2556"/>
      <c r="I2556"/>
      <c r="J2556"/>
      <c r="K2556" t="s">
        <v>3157</v>
      </c>
    </row>
    <row r="2557" spans="1:11">
      <c r="A2557" s="6">
        <v>44704</v>
      </c>
      <c r="B2557" s="20" t="s">
        <v>3203</v>
      </c>
      <c r="C2557" s="6">
        <v>44701</v>
      </c>
      <c r="D2557" t="s">
        <v>2104</v>
      </c>
      <c r="E2557" t="s">
        <v>3250</v>
      </c>
      <c r="F2557" t="s">
        <v>202</v>
      </c>
      <c r="G2557" t="s">
        <v>3205</v>
      </c>
      <c r="H2557"/>
      <c r="I2557"/>
      <c r="J2557"/>
      <c r="K2557" t="s">
        <v>3157</v>
      </c>
    </row>
    <row r="2558" spans="1:11">
      <c r="A2558" s="6">
        <v>44704</v>
      </c>
      <c r="B2558" s="20" t="s">
        <v>3203</v>
      </c>
      <c r="C2558" s="6">
        <v>44701</v>
      </c>
      <c r="D2558" t="s">
        <v>2104</v>
      </c>
      <c r="E2558" t="s">
        <v>3251</v>
      </c>
      <c r="F2558" t="s">
        <v>202</v>
      </c>
      <c r="G2558" t="s">
        <v>3205</v>
      </c>
      <c r="H2558"/>
      <c r="I2558"/>
      <c r="J2558"/>
      <c r="K2558" t="s">
        <v>3157</v>
      </c>
    </row>
    <row r="2559" spans="1:11">
      <c r="A2559" s="6">
        <v>44704</v>
      </c>
      <c r="B2559" s="20" t="s">
        <v>3203</v>
      </c>
      <c r="C2559" s="6">
        <v>44701</v>
      </c>
      <c r="D2559" t="s">
        <v>2104</v>
      </c>
      <c r="E2559" t="s">
        <v>3252</v>
      </c>
      <c r="F2559" t="s">
        <v>202</v>
      </c>
      <c r="G2559" t="s">
        <v>3205</v>
      </c>
      <c r="H2559"/>
      <c r="I2559"/>
      <c r="J2559"/>
      <c r="K2559" t="s">
        <v>3160</v>
      </c>
    </row>
    <row r="2560" spans="1:11">
      <c r="A2560" s="6">
        <v>44683</v>
      </c>
      <c r="B2560" s="20">
        <v>5757964092713</v>
      </c>
      <c r="C2560" s="6">
        <v>44679</v>
      </c>
      <c r="D2560" t="s">
        <v>3048</v>
      </c>
      <c r="E2560" t="s">
        <v>3254</v>
      </c>
      <c r="F2560" t="s">
        <v>3255</v>
      </c>
      <c r="G2560" t="s">
        <v>3256</v>
      </c>
      <c r="H2560"/>
      <c r="I2560"/>
      <c r="J2560"/>
      <c r="K2560" t="s">
        <v>3257</v>
      </c>
    </row>
    <row r="2561" spans="1:11">
      <c r="A2561" s="6">
        <v>44683</v>
      </c>
      <c r="B2561" s="20">
        <v>5757964092713</v>
      </c>
      <c r="C2561" s="6">
        <v>44679</v>
      </c>
      <c r="D2561" t="s">
        <v>3048</v>
      </c>
      <c r="E2561" t="s">
        <v>3258</v>
      </c>
      <c r="F2561" t="s">
        <v>3255</v>
      </c>
      <c r="G2561" t="s">
        <v>3256</v>
      </c>
      <c r="H2561"/>
      <c r="I2561"/>
      <c r="J2561"/>
      <c r="K2561" t="s">
        <v>3259</v>
      </c>
    </row>
    <row r="2562" spans="1:11">
      <c r="A2562" s="6">
        <v>44729</v>
      </c>
      <c r="B2562" s="20" t="s">
        <v>3315</v>
      </c>
      <c r="C2562" s="6">
        <v>44726</v>
      </c>
      <c r="D2562" t="s">
        <v>956</v>
      </c>
      <c r="E2562">
        <v>1940559</v>
      </c>
      <c r="F2562"/>
      <c r="G2562" t="s">
        <v>1259</v>
      </c>
      <c r="H2562"/>
      <c r="I2562"/>
      <c r="J2562"/>
      <c r="K2562" t="s">
        <v>3259</v>
      </c>
    </row>
    <row r="2563" spans="1:11">
      <c r="A2563" s="6">
        <v>44729</v>
      </c>
      <c r="B2563" s="20" t="s">
        <v>3315</v>
      </c>
      <c r="C2563" s="6">
        <v>44726</v>
      </c>
      <c r="D2563" t="s">
        <v>956</v>
      </c>
      <c r="E2563">
        <v>1940563</v>
      </c>
      <c r="F2563"/>
      <c r="G2563" t="s">
        <v>1259</v>
      </c>
      <c r="H2563"/>
      <c r="I2563"/>
      <c r="J2563"/>
      <c r="K2563" t="s">
        <v>3259</v>
      </c>
    </row>
    <row r="2564" spans="1:11">
      <c r="A2564" s="6">
        <v>44729</v>
      </c>
      <c r="B2564" s="20" t="s">
        <v>3315</v>
      </c>
      <c r="C2564" s="6">
        <v>44726</v>
      </c>
      <c r="D2564" t="s">
        <v>956</v>
      </c>
      <c r="E2564">
        <v>1940546</v>
      </c>
      <c r="F2564"/>
      <c r="G2564" t="s">
        <v>1259</v>
      </c>
      <c r="H2564"/>
      <c r="I2564"/>
      <c r="J2564"/>
      <c r="K2564" t="s">
        <v>3257</v>
      </c>
    </row>
    <row r="2565" spans="1:11">
      <c r="A2565" s="6">
        <v>44729</v>
      </c>
      <c r="B2565" s="20" t="s">
        <v>3315</v>
      </c>
      <c r="C2565" s="6">
        <v>44726</v>
      </c>
      <c r="D2565" t="s">
        <v>956</v>
      </c>
      <c r="E2565">
        <v>1940542</v>
      </c>
      <c r="F2565"/>
      <c r="G2565" t="s">
        <v>1259</v>
      </c>
      <c r="H2565"/>
      <c r="I2565"/>
      <c r="J2565"/>
      <c r="K2565" t="s">
        <v>3257</v>
      </c>
    </row>
    <row r="2566" spans="1:11">
      <c r="A2566" s="6">
        <v>44729</v>
      </c>
      <c r="B2566" s="20" t="s">
        <v>3315</v>
      </c>
      <c r="C2566" s="6">
        <v>44726</v>
      </c>
      <c r="D2566" t="s">
        <v>956</v>
      </c>
      <c r="E2566">
        <v>1940558</v>
      </c>
      <c r="F2566"/>
      <c r="G2566" t="s">
        <v>1259</v>
      </c>
      <c r="H2566"/>
      <c r="I2566"/>
      <c r="J2566"/>
      <c r="K2566" t="s">
        <v>3260</v>
      </c>
    </row>
    <row r="2567" spans="1:11">
      <c r="A2567" s="6">
        <v>44729</v>
      </c>
      <c r="B2567" s="20" t="s">
        <v>3315</v>
      </c>
      <c r="C2567" s="6">
        <v>44726</v>
      </c>
      <c r="D2567" t="s">
        <v>956</v>
      </c>
      <c r="E2567">
        <v>1940550</v>
      </c>
      <c r="F2567"/>
      <c r="G2567" t="s">
        <v>1259</v>
      </c>
      <c r="H2567"/>
      <c r="I2567"/>
      <c r="J2567"/>
      <c r="K2567" t="s">
        <v>3260</v>
      </c>
    </row>
    <row r="2568" spans="1:11">
      <c r="A2568" s="6">
        <v>44729</v>
      </c>
      <c r="B2568" s="20" t="s">
        <v>3315</v>
      </c>
      <c r="C2568" s="6">
        <v>44726</v>
      </c>
      <c r="D2568" t="s">
        <v>956</v>
      </c>
      <c r="E2568">
        <v>1940554</v>
      </c>
      <c r="F2568"/>
      <c r="G2568" t="s">
        <v>1259</v>
      </c>
      <c r="H2568"/>
      <c r="I2568"/>
      <c r="J2568"/>
      <c r="K2568" t="s">
        <v>3261</v>
      </c>
    </row>
    <row r="2569" spans="1:11">
      <c r="A2569" s="6">
        <v>44729</v>
      </c>
      <c r="B2569" s="20" t="s">
        <v>3315</v>
      </c>
      <c r="C2569" s="6">
        <v>44726</v>
      </c>
      <c r="D2569" t="s">
        <v>956</v>
      </c>
      <c r="E2569">
        <v>1940551</v>
      </c>
      <c r="F2569"/>
      <c r="G2569" t="s">
        <v>1259</v>
      </c>
      <c r="H2569"/>
      <c r="I2569"/>
      <c r="J2569"/>
      <c r="K2569" t="s">
        <v>3261</v>
      </c>
    </row>
    <row r="2570" spans="1:11">
      <c r="A2570" s="6">
        <v>44729</v>
      </c>
      <c r="B2570" s="20" t="s">
        <v>3315</v>
      </c>
      <c r="C2570" s="6">
        <v>44726</v>
      </c>
      <c r="D2570" t="s">
        <v>956</v>
      </c>
      <c r="E2570">
        <v>1940543</v>
      </c>
      <c r="F2570"/>
      <c r="G2570" t="s">
        <v>1259</v>
      </c>
      <c r="H2570"/>
      <c r="I2570"/>
      <c r="J2570"/>
      <c r="K2570" t="s">
        <v>3262</v>
      </c>
    </row>
    <row r="2571" spans="1:11">
      <c r="A2571" s="6">
        <v>44729</v>
      </c>
      <c r="B2571" s="20" t="s">
        <v>3315</v>
      </c>
      <c r="C2571" s="6">
        <v>44726</v>
      </c>
      <c r="D2571" t="s">
        <v>956</v>
      </c>
      <c r="E2571">
        <v>1940555</v>
      </c>
      <c r="F2571"/>
      <c r="G2571" t="s">
        <v>1259</v>
      </c>
      <c r="H2571"/>
      <c r="I2571"/>
      <c r="J2571"/>
      <c r="K2571" t="s">
        <v>3262</v>
      </c>
    </row>
    <row r="2572" spans="1:11">
      <c r="A2572" s="6">
        <v>44732</v>
      </c>
      <c r="B2572" s="20" t="s">
        <v>3316</v>
      </c>
      <c r="C2572" s="6">
        <v>44727</v>
      </c>
      <c r="D2572" t="s">
        <v>956</v>
      </c>
      <c r="E2572" t="s">
        <v>3263</v>
      </c>
      <c r="F2572" t="s">
        <v>2592</v>
      </c>
      <c r="G2572">
        <v>3136656</v>
      </c>
      <c r="H2572"/>
      <c r="I2572"/>
      <c r="J2572"/>
      <c r="K2572" t="s">
        <v>3264</v>
      </c>
    </row>
    <row r="2573" spans="1:11">
      <c r="A2573" s="6">
        <v>44732</v>
      </c>
      <c r="B2573" s="20" t="s">
        <v>3316</v>
      </c>
      <c r="C2573" s="6">
        <v>44727</v>
      </c>
      <c r="D2573" t="s">
        <v>956</v>
      </c>
      <c r="E2573" t="s">
        <v>3265</v>
      </c>
      <c r="F2573" t="s">
        <v>2592</v>
      </c>
      <c r="G2573">
        <v>3136656</v>
      </c>
      <c r="H2573"/>
      <c r="I2573"/>
      <c r="J2573"/>
      <c r="K2573" t="s">
        <v>3264</v>
      </c>
    </row>
    <row r="2574" spans="1:11">
      <c r="A2574" s="38">
        <v>44732</v>
      </c>
      <c r="B2574" s="27" t="s">
        <v>9</v>
      </c>
      <c r="C2574" s="38">
        <v>44729</v>
      </c>
      <c r="D2574" s="26" t="s">
        <v>965</v>
      </c>
      <c r="E2574" s="26" t="s">
        <v>3266</v>
      </c>
      <c r="F2574" s="26" t="s">
        <v>12</v>
      </c>
      <c r="G2574" s="26">
        <v>931488698</v>
      </c>
      <c r="H2574" s="26"/>
      <c r="I2574" s="26"/>
      <c r="J2574" s="26"/>
      <c r="K2574" t="s">
        <v>3259</v>
      </c>
    </row>
    <row r="2575" spans="1:11">
      <c r="A2575" s="6">
        <v>44732</v>
      </c>
      <c r="B2575" s="20" t="s">
        <v>9</v>
      </c>
      <c r="C2575"/>
      <c r="D2575" s="24" t="s">
        <v>967</v>
      </c>
      <c r="E2575" t="s">
        <v>3267</v>
      </c>
      <c r="F2575" t="s">
        <v>12</v>
      </c>
      <c r="G2575"/>
      <c r="H2575"/>
      <c r="I2575"/>
      <c r="J2575"/>
      <c r="K2575" t="s">
        <v>3259</v>
      </c>
    </row>
    <row r="2576" spans="1:11">
      <c r="A2576" s="6">
        <v>44732</v>
      </c>
      <c r="B2576" s="20" t="s">
        <v>9</v>
      </c>
      <c r="C2576"/>
      <c r="D2576" s="24" t="s">
        <v>969</v>
      </c>
      <c r="E2576" t="s">
        <v>3268</v>
      </c>
      <c r="F2576" t="s">
        <v>12</v>
      </c>
      <c r="G2576"/>
      <c r="H2576"/>
      <c r="I2576"/>
      <c r="J2576"/>
      <c r="K2576" t="s">
        <v>3259</v>
      </c>
    </row>
    <row r="2577" spans="1:11">
      <c r="A2577" s="6">
        <v>44732</v>
      </c>
      <c r="B2577" s="20" t="s">
        <v>9</v>
      </c>
      <c r="C2577"/>
      <c r="D2577" s="24" t="s">
        <v>971</v>
      </c>
      <c r="E2577" t="s">
        <v>3269</v>
      </c>
      <c r="F2577" t="s">
        <v>12</v>
      </c>
      <c r="G2577"/>
      <c r="H2577"/>
      <c r="I2577"/>
      <c r="J2577"/>
      <c r="K2577" t="s">
        <v>3259</v>
      </c>
    </row>
    <row r="2578" spans="1:11">
      <c r="A2578" s="6">
        <v>44732</v>
      </c>
      <c r="B2578" s="20" t="s">
        <v>9</v>
      </c>
      <c r="C2578"/>
      <c r="D2578" s="24" t="s">
        <v>975</v>
      </c>
      <c r="E2578" t="s">
        <v>3270</v>
      </c>
      <c r="F2578" t="s">
        <v>12</v>
      </c>
      <c r="G2578"/>
      <c r="H2578"/>
      <c r="I2578"/>
      <c r="J2578"/>
      <c r="K2578" t="s">
        <v>3259</v>
      </c>
    </row>
    <row r="2579" spans="1:11">
      <c r="A2579" s="45">
        <v>44732</v>
      </c>
      <c r="B2579" s="29" t="s">
        <v>9</v>
      </c>
      <c r="C2579" s="28"/>
      <c r="D2579" s="46" t="s">
        <v>17</v>
      </c>
      <c r="E2579" s="28" t="s">
        <v>3271</v>
      </c>
      <c r="F2579" s="28" t="s">
        <v>12</v>
      </c>
      <c r="G2579" s="28"/>
      <c r="H2579" s="28"/>
      <c r="I2579" s="28"/>
      <c r="J2579" s="28"/>
      <c r="K2579" s="28" t="s">
        <v>3259</v>
      </c>
    </row>
    <row r="2580" spans="1:11">
      <c r="A2580" s="38">
        <v>44732</v>
      </c>
      <c r="B2580" s="27" t="s">
        <v>9</v>
      </c>
      <c r="C2580" s="38">
        <v>44729</v>
      </c>
      <c r="D2580" s="26" t="s">
        <v>965</v>
      </c>
      <c r="E2580" s="26" t="s">
        <v>3272</v>
      </c>
      <c r="F2580" s="26" t="s">
        <v>12</v>
      </c>
      <c r="G2580">
        <v>931488698</v>
      </c>
      <c r="H2580" s="26"/>
      <c r="I2580" s="26"/>
      <c r="J2580" s="26"/>
      <c r="K2580" s="26" t="s">
        <v>3257</v>
      </c>
    </row>
    <row r="2581" spans="1:11">
      <c r="A2581" s="6">
        <v>44732</v>
      </c>
      <c r="B2581" s="20" t="s">
        <v>9</v>
      </c>
      <c r="C2581"/>
      <c r="D2581" s="24" t="s">
        <v>967</v>
      </c>
      <c r="E2581" t="s">
        <v>3273</v>
      </c>
      <c r="F2581" t="s">
        <v>12</v>
      </c>
      <c r="G2581"/>
      <c r="H2581"/>
      <c r="I2581"/>
      <c r="J2581"/>
      <c r="K2581" t="s">
        <v>3257</v>
      </c>
    </row>
    <row r="2582" spans="1:11">
      <c r="A2582" s="6">
        <v>44732</v>
      </c>
      <c r="B2582" s="20" t="s">
        <v>9</v>
      </c>
      <c r="C2582"/>
      <c r="D2582" s="24" t="s">
        <v>969</v>
      </c>
      <c r="E2582" t="s">
        <v>3274</v>
      </c>
      <c r="F2582" t="s">
        <v>12</v>
      </c>
      <c r="G2582"/>
      <c r="H2582"/>
      <c r="I2582"/>
      <c r="J2582"/>
      <c r="K2582" t="s">
        <v>3257</v>
      </c>
    </row>
    <row r="2583" spans="1:11">
      <c r="A2583" s="6">
        <v>44732</v>
      </c>
      <c r="B2583" s="20" t="s">
        <v>9</v>
      </c>
      <c r="C2583"/>
      <c r="D2583" s="24" t="s">
        <v>971</v>
      </c>
      <c r="E2583" t="s">
        <v>3275</v>
      </c>
      <c r="F2583" t="s">
        <v>12</v>
      </c>
      <c r="G2583"/>
      <c r="H2583"/>
      <c r="I2583"/>
      <c r="J2583"/>
      <c r="K2583" t="s">
        <v>3257</v>
      </c>
    </row>
    <row r="2584" spans="1:11">
      <c r="A2584" s="6">
        <v>44732</v>
      </c>
      <c r="B2584" s="20" t="s">
        <v>9</v>
      </c>
      <c r="C2584"/>
      <c r="D2584" s="24" t="s">
        <v>975</v>
      </c>
      <c r="E2584" t="s">
        <v>3276</v>
      </c>
      <c r="F2584" t="s">
        <v>12</v>
      </c>
      <c r="G2584"/>
      <c r="H2584"/>
      <c r="I2584"/>
      <c r="J2584"/>
      <c r="K2584" t="s">
        <v>3257</v>
      </c>
    </row>
    <row r="2585" spans="1:11">
      <c r="A2585" s="45">
        <v>44732</v>
      </c>
      <c r="B2585" s="29" t="s">
        <v>9</v>
      </c>
      <c r="C2585" s="28"/>
      <c r="D2585" s="46" t="s">
        <v>17</v>
      </c>
      <c r="E2585" s="28" t="s">
        <v>3277</v>
      </c>
      <c r="F2585" s="28" t="s">
        <v>12</v>
      </c>
      <c r="G2585" s="28"/>
      <c r="H2585" s="28"/>
      <c r="I2585" s="28"/>
      <c r="J2585" s="28"/>
      <c r="K2585" s="28" t="s">
        <v>3257</v>
      </c>
    </row>
    <row r="2586" spans="1:11">
      <c r="A2586" s="38">
        <v>44732</v>
      </c>
      <c r="B2586" s="27" t="s">
        <v>9</v>
      </c>
      <c r="C2586" s="38">
        <v>44729</v>
      </c>
      <c r="D2586" s="26" t="s">
        <v>965</v>
      </c>
      <c r="E2586" s="26" t="s">
        <v>3278</v>
      </c>
      <c r="F2586" s="26" t="s">
        <v>12</v>
      </c>
      <c r="G2586" s="26">
        <v>931488707</v>
      </c>
      <c r="H2586" s="26"/>
      <c r="I2586" s="26"/>
      <c r="J2586" s="26"/>
      <c r="K2586" s="26" t="s">
        <v>3262</v>
      </c>
    </row>
    <row r="2587" spans="1:11">
      <c r="A2587" s="6">
        <v>44732</v>
      </c>
      <c r="B2587" s="20" t="s">
        <v>9</v>
      </c>
      <c r="C2587"/>
      <c r="D2587" s="24" t="s">
        <v>967</v>
      </c>
      <c r="E2587" t="s">
        <v>3279</v>
      </c>
      <c r="F2587" t="s">
        <v>12</v>
      </c>
      <c r="G2587"/>
      <c r="H2587"/>
      <c r="I2587"/>
      <c r="J2587"/>
      <c r="K2587" t="s">
        <v>3262</v>
      </c>
    </row>
    <row r="2588" spans="1:11">
      <c r="A2588" s="6">
        <v>44732</v>
      </c>
      <c r="B2588" s="20" t="s">
        <v>9</v>
      </c>
      <c r="C2588"/>
      <c r="D2588" s="24" t="s">
        <v>969</v>
      </c>
      <c r="E2588" t="s">
        <v>3280</v>
      </c>
      <c r="F2588" t="s">
        <v>12</v>
      </c>
      <c r="G2588"/>
      <c r="H2588"/>
      <c r="I2588"/>
      <c r="J2588"/>
      <c r="K2588" t="s">
        <v>3262</v>
      </c>
    </row>
    <row r="2589" spans="1:11">
      <c r="A2589" s="6">
        <v>44732</v>
      </c>
      <c r="B2589" s="20" t="s">
        <v>9</v>
      </c>
      <c r="C2589"/>
      <c r="D2589" s="24" t="s">
        <v>971</v>
      </c>
      <c r="E2589" t="s">
        <v>3281</v>
      </c>
      <c r="F2589" t="s">
        <v>12</v>
      </c>
      <c r="G2589"/>
      <c r="H2589"/>
      <c r="I2589"/>
      <c r="J2589"/>
      <c r="K2589" t="s">
        <v>3262</v>
      </c>
    </row>
    <row r="2590" spans="1:11">
      <c r="A2590" s="6">
        <v>44732</v>
      </c>
      <c r="B2590" s="20" t="s">
        <v>9</v>
      </c>
      <c r="C2590"/>
      <c r="D2590" s="24" t="s">
        <v>975</v>
      </c>
      <c r="E2590" t="s">
        <v>3282</v>
      </c>
      <c r="F2590" t="s">
        <v>12</v>
      </c>
      <c r="G2590"/>
      <c r="H2590"/>
      <c r="I2590"/>
      <c r="J2590"/>
      <c r="K2590" t="s">
        <v>3262</v>
      </c>
    </row>
    <row r="2591" spans="1:11">
      <c r="A2591" s="45">
        <v>44732</v>
      </c>
      <c r="B2591" s="29" t="s">
        <v>9</v>
      </c>
      <c r="C2591" s="28"/>
      <c r="D2591" s="46" t="s">
        <v>17</v>
      </c>
      <c r="E2591" s="28" t="s">
        <v>3283</v>
      </c>
      <c r="F2591" s="28" t="s">
        <v>12</v>
      </c>
      <c r="G2591" s="28"/>
      <c r="H2591" s="28"/>
      <c r="I2591" s="28"/>
      <c r="J2591" s="28"/>
      <c r="K2591" s="28" t="s">
        <v>3262</v>
      </c>
    </row>
    <row r="2592" spans="1:11">
      <c r="A2592" s="38">
        <v>44732</v>
      </c>
      <c r="B2592" s="27" t="s">
        <v>9</v>
      </c>
      <c r="C2592" s="38">
        <v>44729</v>
      </c>
      <c r="D2592" s="26" t="s">
        <v>965</v>
      </c>
      <c r="E2592" s="26" t="s">
        <v>3284</v>
      </c>
      <c r="F2592" s="26" t="s">
        <v>12</v>
      </c>
      <c r="G2592">
        <v>931488698</v>
      </c>
      <c r="H2592" s="26"/>
      <c r="I2592" s="26"/>
      <c r="J2592" s="26"/>
      <c r="K2592" s="26" t="s">
        <v>3264</v>
      </c>
    </row>
    <row r="2593" spans="1:11">
      <c r="A2593" s="6">
        <v>44732</v>
      </c>
      <c r="B2593" s="20" t="s">
        <v>9</v>
      </c>
      <c r="C2593"/>
      <c r="D2593" s="24" t="s">
        <v>967</v>
      </c>
      <c r="E2593" t="s">
        <v>3285</v>
      </c>
      <c r="F2593" t="s">
        <v>12</v>
      </c>
      <c r="G2593"/>
      <c r="H2593"/>
      <c r="I2593"/>
      <c r="J2593"/>
      <c r="K2593" t="s">
        <v>3264</v>
      </c>
    </row>
    <row r="2594" spans="1:11">
      <c r="A2594" s="6">
        <v>44732</v>
      </c>
      <c r="B2594" s="20" t="s">
        <v>9</v>
      </c>
      <c r="C2594"/>
      <c r="D2594" s="24" t="s">
        <v>969</v>
      </c>
      <c r="E2594" t="s">
        <v>3286</v>
      </c>
      <c r="F2594" t="s">
        <v>12</v>
      </c>
      <c r="G2594"/>
      <c r="H2594"/>
      <c r="I2594"/>
      <c r="J2594"/>
      <c r="K2594" t="s">
        <v>3264</v>
      </c>
    </row>
    <row r="2595" spans="1:11">
      <c r="A2595" s="6">
        <v>44732</v>
      </c>
      <c r="B2595" s="20" t="s">
        <v>9</v>
      </c>
      <c r="C2595"/>
      <c r="D2595" s="24" t="s">
        <v>971</v>
      </c>
      <c r="E2595" t="s">
        <v>3287</v>
      </c>
      <c r="F2595" t="s">
        <v>12</v>
      </c>
      <c r="G2595"/>
      <c r="H2595"/>
      <c r="I2595"/>
      <c r="J2595"/>
      <c r="K2595" t="s">
        <v>3264</v>
      </c>
    </row>
    <row r="2596" spans="1:11">
      <c r="A2596" s="6">
        <v>44732</v>
      </c>
      <c r="B2596" s="20" t="s">
        <v>9</v>
      </c>
      <c r="C2596"/>
      <c r="D2596" s="24" t="s">
        <v>975</v>
      </c>
      <c r="E2596" t="s">
        <v>3288</v>
      </c>
      <c r="F2596" t="s">
        <v>12</v>
      </c>
      <c r="G2596"/>
      <c r="H2596"/>
      <c r="I2596"/>
      <c r="J2596"/>
      <c r="K2596" t="s">
        <v>3264</v>
      </c>
    </row>
    <row r="2597" spans="1:11">
      <c r="A2597" s="45">
        <v>44732</v>
      </c>
      <c r="B2597" s="29" t="s">
        <v>9</v>
      </c>
      <c r="C2597" s="28"/>
      <c r="D2597" s="46" t="s">
        <v>17</v>
      </c>
      <c r="E2597" s="28" t="s">
        <v>3289</v>
      </c>
      <c r="F2597" s="28" t="s">
        <v>12</v>
      </c>
      <c r="G2597" s="28"/>
      <c r="H2597" s="28"/>
      <c r="I2597" s="28"/>
      <c r="J2597" s="28"/>
      <c r="K2597" s="28" t="s">
        <v>3264</v>
      </c>
    </row>
    <row r="2598" spans="1:11">
      <c r="A2598" s="38">
        <v>44732</v>
      </c>
      <c r="B2598" s="27" t="s">
        <v>9</v>
      </c>
      <c r="C2598" s="38">
        <v>44729</v>
      </c>
      <c r="D2598" s="26" t="s">
        <v>965</v>
      </c>
      <c r="E2598" s="26" t="s">
        <v>3290</v>
      </c>
      <c r="F2598" s="26" t="s">
        <v>12</v>
      </c>
      <c r="G2598">
        <v>931488703</v>
      </c>
      <c r="H2598" s="26"/>
      <c r="I2598" s="26"/>
      <c r="J2598" s="26"/>
      <c r="K2598" s="26" t="s">
        <v>3261</v>
      </c>
    </row>
    <row r="2599" spans="1:11">
      <c r="A2599" s="6">
        <v>44732</v>
      </c>
      <c r="B2599" s="20" t="s">
        <v>9</v>
      </c>
      <c r="C2599"/>
      <c r="D2599" s="24" t="s">
        <v>967</v>
      </c>
      <c r="E2599" t="s">
        <v>3291</v>
      </c>
      <c r="F2599" t="s">
        <v>12</v>
      </c>
      <c r="G2599"/>
      <c r="H2599"/>
      <c r="I2599"/>
      <c r="J2599"/>
      <c r="K2599" t="s">
        <v>3261</v>
      </c>
    </row>
    <row r="2600" spans="1:11">
      <c r="A2600" s="6">
        <v>44732</v>
      </c>
      <c r="B2600" s="20" t="s">
        <v>9</v>
      </c>
      <c r="C2600"/>
      <c r="D2600" s="24" t="s">
        <v>969</v>
      </c>
      <c r="E2600" t="s">
        <v>3292</v>
      </c>
      <c r="F2600" t="s">
        <v>12</v>
      </c>
      <c r="G2600"/>
      <c r="H2600"/>
      <c r="I2600"/>
      <c r="J2600"/>
      <c r="K2600" t="s">
        <v>3261</v>
      </c>
    </row>
    <row r="2601" spans="1:11">
      <c r="A2601" s="6">
        <v>44732</v>
      </c>
      <c r="B2601" s="20" t="s">
        <v>9</v>
      </c>
      <c r="C2601"/>
      <c r="D2601" s="24" t="s">
        <v>971</v>
      </c>
      <c r="E2601" t="s">
        <v>3293</v>
      </c>
      <c r="F2601" t="s">
        <v>12</v>
      </c>
      <c r="G2601"/>
      <c r="H2601"/>
      <c r="I2601"/>
      <c r="J2601"/>
      <c r="K2601" t="s">
        <v>3261</v>
      </c>
    </row>
    <row r="2602" spans="1:11">
      <c r="A2602" s="6">
        <v>44732</v>
      </c>
      <c r="B2602" s="20" t="s">
        <v>9</v>
      </c>
      <c r="C2602"/>
      <c r="D2602" s="24" t="s">
        <v>975</v>
      </c>
      <c r="E2602" t="s">
        <v>3294</v>
      </c>
      <c r="F2602" t="s">
        <v>12</v>
      </c>
      <c r="G2602"/>
      <c r="H2602"/>
      <c r="I2602"/>
      <c r="J2602"/>
      <c r="K2602" t="s">
        <v>3261</v>
      </c>
    </row>
    <row r="2603" spans="1:11">
      <c r="A2603" s="45">
        <v>44732</v>
      </c>
      <c r="B2603" s="29" t="s">
        <v>9</v>
      </c>
      <c r="C2603" s="28"/>
      <c r="D2603" s="46" t="s">
        <v>17</v>
      </c>
      <c r="E2603" s="28" t="s">
        <v>3295</v>
      </c>
      <c r="F2603" s="28" t="s">
        <v>12</v>
      </c>
      <c r="G2603" s="28"/>
      <c r="H2603" s="28"/>
      <c r="I2603" s="28"/>
      <c r="J2603" s="28"/>
      <c r="K2603" s="28" t="s">
        <v>3261</v>
      </c>
    </row>
    <row r="2604" spans="1:11">
      <c r="A2604" s="38">
        <v>44732</v>
      </c>
      <c r="B2604" s="27" t="s">
        <v>9</v>
      </c>
      <c r="C2604" s="38">
        <v>44729</v>
      </c>
      <c r="D2604" s="26" t="s">
        <v>965</v>
      </c>
      <c r="E2604" s="26" t="s">
        <v>3296</v>
      </c>
      <c r="F2604" s="26" t="s">
        <v>12</v>
      </c>
      <c r="G2604" s="26">
        <v>931488707</v>
      </c>
      <c r="H2604" s="26"/>
      <c r="I2604" s="26"/>
      <c r="J2604" s="26"/>
      <c r="K2604" s="26" t="s">
        <v>3260</v>
      </c>
    </row>
    <row r="2605" spans="1:11">
      <c r="A2605" s="6">
        <v>44732</v>
      </c>
      <c r="B2605" s="20" t="s">
        <v>9</v>
      </c>
      <c r="C2605"/>
      <c r="D2605" s="24" t="s">
        <v>967</v>
      </c>
      <c r="E2605" t="s">
        <v>3297</v>
      </c>
      <c r="F2605" t="s">
        <v>12</v>
      </c>
      <c r="G2605"/>
      <c r="H2605"/>
      <c r="I2605"/>
      <c r="J2605"/>
      <c r="K2605" t="s">
        <v>3260</v>
      </c>
    </row>
    <row r="2606" spans="1:11">
      <c r="A2606" s="6">
        <v>44732</v>
      </c>
      <c r="B2606" s="20" t="s">
        <v>9</v>
      </c>
      <c r="C2606"/>
      <c r="D2606" s="24" t="s">
        <v>969</v>
      </c>
      <c r="E2606" t="s">
        <v>3298</v>
      </c>
      <c r="F2606" t="s">
        <v>12</v>
      </c>
      <c r="G2606"/>
      <c r="H2606"/>
      <c r="I2606"/>
      <c r="J2606"/>
      <c r="K2606" t="s">
        <v>3260</v>
      </c>
    </row>
    <row r="2607" spans="1:11">
      <c r="A2607" s="6">
        <v>44732</v>
      </c>
      <c r="B2607" s="20" t="s">
        <v>9</v>
      </c>
      <c r="C2607"/>
      <c r="D2607" s="24" t="s">
        <v>971</v>
      </c>
      <c r="E2607" t="s">
        <v>3299</v>
      </c>
      <c r="F2607" t="s">
        <v>12</v>
      </c>
      <c r="G2607"/>
      <c r="H2607"/>
      <c r="I2607"/>
      <c r="J2607"/>
      <c r="K2607" t="s">
        <v>3260</v>
      </c>
    </row>
    <row r="2608" spans="1:11">
      <c r="A2608" s="6">
        <v>44732</v>
      </c>
      <c r="B2608" s="20" t="s">
        <v>9</v>
      </c>
      <c r="C2608"/>
      <c r="D2608" s="24" t="s">
        <v>975</v>
      </c>
      <c r="E2608" t="s">
        <v>3300</v>
      </c>
      <c r="F2608" t="s">
        <v>12</v>
      </c>
      <c r="G2608"/>
      <c r="H2608"/>
      <c r="I2608"/>
      <c r="J2608"/>
      <c r="K2608" t="s">
        <v>3260</v>
      </c>
    </row>
    <row r="2609" spans="1:11">
      <c r="A2609" s="45">
        <v>44732</v>
      </c>
      <c r="B2609" s="29" t="s">
        <v>9</v>
      </c>
      <c r="C2609" s="28"/>
      <c r="D2609" s="46" t="s">
        <v>17</v>
      </c>
      <c r="E2609" s="28" t="s">
        <v>3301</v>
      </c>
      <c r="F2609" s="28" t="s">
        <v>12</v>
      </c>
      <c r="G2609" s="28"/>
      <c r="H2609" s="28"/>
      <c r="I2609" s="28"/>
      <c r="J2609" s="28"/>
      <c r="K2609" s="28" t="s">
        <v>3260</v>
      </c>
    </row>
    <row r="2610" spans="1:11">
      <c r="A2610" s="6">
        <v>44733</v>
      </c>
      <c r="B2610" s="20">
        <v>567147811563</v>
      </c>
      <c r="C2610" s="6">
        <v>44727</v>
      </c>
      <c r="D2610" t="s">
        <v>3302</v>
      </c>
      <c r="E2610" t="s">
        <v>3303</v>
      </c>
      <c r="F2610" t="s">
        <v>2992</v>
      </c>
      <c r="G2610" t="s">
        <v>3304</v>
      </c>
      <c r="H2610"/>
      <c r="I2610"/>
      <c r="J2610"/>
      <c r="K2610" t="s">
        <v>3261</v>
      </c>
    </row>
    <row r="2611" spans="1:11">
      <c r="A2611" s="6">
        <v>44733</v>
      </c>
      <c r="B2611" s="20">
        <v>567147811563</v>
      </c>
      <c r="C2611" s="6">
        <v>44727</v>
      </c>
      <c r="D2611" t="s">
        <v>3302</v>
      </c>
      <c r="E2611" t="s">
        <v>3305</v>
      </c>
      <c r="F2611" t="s">
        <v>2992</v>
      </c>
      <c r="G2611" t="s">
        <v>3304</v>
      </c>
      <c r="H2611"/>
      <c r="I2611"/>
      <c r="J2611"/>
      <c r="K2611" t="s">
        <v>3260</v>
      </c>
    </row>
    <row r="2612" spans="1:11">
      <c r="A2612" s="6">
        <v>44733</v>
      </c>
      <c r="B2612" s="20">
        <v>567147811563</v>
      </c>
      <c r="C2612" s="6">
        <v>44727</v>
      </c>
      <c r="D2612" t="s">
        <v>3302</v>
      </c>
      <c r="E2612" t="s">
        <v>3306</v>
      </c>
      <c r="F2612" t="s">
        <v>2992</v>
      </c>
      <c r="G2612" t="s">
        <v>3304</v>
      </c>
      <c r="H2612"/>
      <c r="I2612"/>
      <c r="J2612"/>
      <c r="K2612" t="s">
        <v>3257</v>
      </c>
    </row>
    <row r="2613" spans="1:11">
      <c r="A2613" s="6">
        <v>44733</v>
      </c>
      <c r="B2613" s="20">
        <v>567147811563</v>
      </c>
      <c r="C2613" s="6">
        <v>44727</v>
      </c>
      <c r="D2613" t="s">
        <v>3302</v>
      </c>
      <c r="E2613" t="s">
        <v>3307</v>
      </c>
      <c r="F2613" t="s">
        <v>2992</v>
      </c>
      <c r="G2613" t="s">
        <v>3304</v>
      </c>
      <c r="H2613"/>
      <c r="I2613"/>
      <c r="J2613"/>
      <c r="K2613" t="s">
        <v>3264</v>
      </c>
    </row>
    <row r="2614" spans="1:11">
      <c r="A2614" s="6">
        <v>44733</v>
      </c>
      <c r="B2614" s="20">
        <v>567147811563</v>
      </c>
      <c r="C2614" s="6">
        <v>44727</v>
      </c>
      <c r="D2614" t="s">
        <v>3302</v>
      </c>
      <c r="E2614" t="s">
        <v>3308</v>
      </c>
      <c r="F2614" t="s">
        <v>2992</v>
      </c>
      <c r="G2614" t="s">
        <v>3304</v>
      </c>
      <c r="H2614"/>
      <c r="I2614"/>
      <c r="J2614"/>
      <c r="K2614" t="s">
        <v>3262</v>
      </c>
    </row>
    <row r="2615" spans="1:11">
      <c r="A2615" s="6">
        <v>44733</v>
      </c>
      <c r="B2615" s="20">
        <v>567147811563</v>
      </c>
      <c r="C2615" s="6">
        <v>44727</v>
      </c>
      <c r="D2615" t="s">
        <v>3302</v>
      </c>
      <c r="E2615" t="s">
        <v>3309</v>
      </c>
      <c r="F2615" t="s">
        <v>2992</v>
      </c>
      <c r="G2615" t="s">
        <v>3304</v>
      </c>
      <c r="H2615"/>
      <c r="I2615"/>
      <c r="J2615"/>
      <c r="K2615" t="s">
        <v>3259</v>
      </c>
    </row>
    <row r="2616" spans="1:11">
      <c r="A2616" s="6">
        <v>44736</v>
      </c>
      <c r="B2616" s="20">
        <v>1.0247833887508101E+21</v>
      </c>
      <c r="C2616" s="6">
        <v>44735</v>
      </c>
      <c r="D2616" t="s">
        <v>3048</v>
      </c>
      <c r="E2616" t="s">
        <v>3310</v>
      </c>
      <c r="F2616" t="s">
        <v>264</v>
      </c>
      <c r="G2616" t="s">
        <v>3311</v>
      </c>
      <c r="H2616"/>
      <c r="I2616"/>
      <c r="J2616"/>
      <c r="K2616" t="s">
        <v>3260</v>
      </c>
    </row>
    <row r="2617" spans="1:11">
      <c r="A2617" s="6">
        <v>44736</v>
      </c>
      <c r="B2617" s="20">
        <v>1.0247833887508101E+21</v>
      </c>
      <c r="C2617" s="6">
        <v>44735</v>
      </c>
      <c r="D2617" t="s">
        <v>3048</v>
      </c>
      <c r="E2617" t="s">
        <v>3312</v>
      </c>
      <c r="F2617" t="s">
        <v>264</v>
      </c>
      <c r="G2617" t="s">
        <v>3311</v>
      </c>
      <c r="H2617"/>
      <c r="I2617"/>
      <c r="J2617"/>
      <c r="K2617" t="s">
        <v>3261</v>
      </c>
    </row>
    <row r="2618" spans="1:11">
      <c r="A2618" s="6">
        <v>44736</v>
      </c>
      <c r="B2618" s="20">
        <v>1.0247833887508101E+21</v>
      </c>
      <c r="C2618" s="6">
        <v>44735</v>
      </c>
      <c r="D2618" t="s">
        <v>3048</v>
      </c>
      <c r="E2618" t="s">
        <v>3313</v>
      </c>
      <c r="F2618" t="s">
        <v>264</v>
      </c>
      <c r="G2618" t="s">
        <v>3311</v>
      </c>
      <c r="H2618"/>
      <c r="I2618"/>
      <c r="J2618"/>
      <c r="K2618" t="s">
        <v>3262</v>
      </c>
    </row>
    <row r="2619" spans="1:11">
      <c r="A2619" s="6">
        <v>44736</v>
      </c>
      <c r="B2619" s="20">
        <v>1.0247833887508101E+21</v>
      </c>
      <c r="C2619" s="6">
        <v>44735</v>
      </c>
      <c r="D2619" t="s">
        <v>3048</v>
      </c>
      <c r="E2619" t="s">
        <v>3314</v>
      </c>
      <c r="F2619" t="s">
        <v>264</v>
      </c>
      <c r="G2619" t="s">
        <v>3311</v>
      </c>
      <c r="H2619"/>
      <c r="I2619"/>
      <c r="J2619"/>
      <c r="K2619" t="s">
        <v>3264</v>
      </c>
    </row>
    <row r="2620" spans="1:11">
      <c r="A2620"/>
      <c r="B2620"/>
      <c r="C2620"/>
      <c r="D2620" t="s">
        <v>976</v>
      </c>
      <c r="E2620" s="37" t="s">
        <v>3317</v>
      </c>
      <c r="F2620"/>
      <c r="G2620"/>
      <c r="H2620"/>
      <c r="I2620"/>
      <c r="J2620"/>
      <c r="K2620" t="s">
        <v>3259</v>
      </c>
    </row>
    <row r="2621" spans="1:11">
      <c r="A2621"/>
      <c r="B2621"/>
      <c r="C2621"/>
      <c r="D2621" t="s">
        <v>976</v>
      </c>
      <c r="E2621" s="37" t="s">
        <v>3318</v>
      </c>
      <c r="F2621"/>
      <c r="G2621"/>
      <c r="H2621"/>
      <c r="I2621"/>
      <c r="J2621"/>
      <c r="K2621" t="s">
        <v>3257</v>
      </c>
    </row>
    <row r="2622" spans="1:11">
      <c r="A2622"/>
      <c r="B2622"/>
      <c r="C2622"/>
      <c r="D2622" t="s">
        <v>976</v>
      </c>
      <c r="E2622" s="37" t="s">
        <v>3319</v>
      </c>
      <c r="F2622"/>
      <c r="G2622"/>
      <c r="H2622"/>
      <c r="I2622"/>
      <c r="J2622"/>
      <c r="K2622" t="s">
        <v>3260</v>
      </c>
    </row>
    <row r="2623" spans="1:11">
      <c r="A2623"/>
      <c r="B2623"/>
      <c r="C2623"/>
      <c r="D2623" t="s">
        <v>976</v>
      </c>
      <c r="E2623" s="37" t="s">
        <v>3320</v>
      </c>
      <c r="F2623"/>
      <c r="G2623"/>
      <c r="H2623"/>
      <c r="I2623"/>
      <c r="J2623"/>
      <c r="K2623" t="s">
        <v>3261</v>
      </c>
    </row>
    <row r="2624" spans="1:11">
      <c r="A2624"/>
      <c r="B2624"/>
      <c r="C2624"/>
      <c r="D2624" t="s">
        <v>976</v>
      </c>
      <c r="E2624" s="37" t="s">
        <v>3321</v>
      </c>
      <c r="F2624"/>
      <c r="G2624"/>
      <c r="H2624"/>
      <c r="I2624"/>
      <c r="J2624"/>
      <c r="K2624" t="s">
        <v>3262</v>
      </c>
    </row>
    <row r="2625" spans="1:11">
      <c r="A2625"/>
      <c r="B2625"/>
      <c r="C2625"/>
      <c r="D2625" t="s">
        <v>976</v>
      </c>
      <c r="E2625" s="37" t="s">
        <v>3322</v>
      </c>
      <c r="F2625"/>
      <c r="G2625"/>
      <c r="H2625"/>
      <c r="I2625"/>
      <c r="J2625"/>
      <c r="K2625" t="s">
        <v>3264</v>
      </c>
    </row>
    <row r="2626" spans="1:11">
      <c r="A2626" s="30">
        <v>44722</v>
      </c>
      <c r="B2626" s="31">
        <v>25127634527</v>
      </c>
      <c r="C2626" s="30">
        <v>44721</v>
      </c>
      <c r="D2626" s="19" t="s">
        <v>3330</v>
      </c>
      <c r="E2626" s="19" t="s">
        <v>3331</v>
      </c>
      <c r="F2626" s="19" t="s">
        <v>821</v>
      </c>
      <c r="G2626" s="19">
        <v>105794068</v>
      </c>
      <c r="H2626" s="19"/>
      <c r="I2626" s="19"/>
      <c r="J2626" s="19"/>
      <c r="K2626" s="19" t="s">
        <v>3332</v>
      </c>
    </row>
    <row r="2627" spans="1:11">
      <c r="A2627" s="30">
        <v>44722</v>
      </c>
      <c r="B2627" s="31">
        <v>25127634527</v>
      </c>
      <c r="C2627" s="30">
        <v>44721</v>
      </c>
      <c r="D2627" s="19" t="s">
        <v>3330</v>
      </c>
      <c r="E2627" s="19" t="s">
        <v>3333</v>
      </c>
      <c r="F2627" s="19" t="s">
        <v>821</v>
      </c>
      <c r="G2627" s="19">
        <v>105794068</v>
      </c>
      <c r="H2627" s="19"/>
      <c r="I2627" s="19"/>
      <c r="J2627" s="19"/>
      <c r="K2627" s="19" t="s">
        <v>3332</v>
      </c>
    </row>
    <row r="2628" spans="1:11">
      <c r="A2628" s="30">
        <v>44722</v>
      </c>
      <c r="B2628" s="31">
        <v>25127634527</v>
      </c>
      <c r="C2628" s="30">
        <v>44721</v>
      </c>
      <c r="D2628" s="19" t="s">
        <v>3330</v>
      </c>
      <c r="E2628" s="19" t="s">
        <v>3334</v>
      </c>
      <c r="F2628" s="19" t="s">
        <v>821</v>
      </c>
      <c r="G2628" s="19">
        <v>105794068</v>
      </c>
      <c r="H2628" s="19"/>
      <c r="I2628" s="19"/>
      <c r="J2628" s="19"/>
      <c r="K2628" s="19" t="s">
        <v>3332</v>
      </c>
    </row>
    <row r="2629" spans="1:11">
      <c r="A2629" s="30">
        <v>44722</v>
      </c>
      <c r="B2629" s="31">
        <v>25127634527</v>
      </c>
      <c r="C2629" s="30">
        <v>44721</v>
      </c>
      <c r="D2629" s="19" t="s">
        <v>3330</v>
      </c>
      <c r="E2629" s="19" t="s">
        <v>3335</v>
      </c>
      <c r="F2629" s="19" t="s">
        <v>821</v>
      </c>
      <c r="G2629" s="19">
        <v>105794068</v>
      </c>
      <c r="H2629" s="19"/>
      <c r="I2629" s="19"/>
      <c r="J2629" s="19"/>
      <c r="K2629" s="19" t="s">
        <v>3332</v>
      </c>
    </row>
    <row r="2630" spans="1:11">
      <c r="A2630" s="30">
        <v>44722</v>
      </c>
      <c r="B2630" s="31">
        <v>25127634527</v>
      </c>
      <c r="C2630" s="30">
        <v>44721</v>
      </c>
      <c r="D2630" s="19" t="s">
        <v>3330</v>
      </c>
      <c r="E2630" s="19" t="s">
        <v>3336</v>
      </c>
      <c r="F2630" s="19" t="s">
        <v>821</v>
      </c>
      <c r="G2630" s="19">
        <v>105794068</v>
      </c>
      <c r="H2630" s="19"/>
      <c r="I2630" s="19"/>
      <c r="J2630" s="19"/>
      <c r="K2630" s="19" t="s">
        <v>3332</v>
      </c>
    </row>
    <row r="2631" spans="1:11">
      <c r="A2631" s="30">
        <v>44722</v>
      </c>
      <c r="B2631" s="31">
        <v>25127634527</v>
      </c>
      <c r="C2631" s="30">
        <v>44721</v>
      </c>
      <c r="D2631" s="19" t="s">
        <v>3330</v>
      </c>
      <c r="E2631" s="19" t="s">
        <v>3337</v>
      </c>
      <c r="F2631" s="19" t="s">
        <v>821</v>
      </c>
      <c r="G2631" s="19">
        <v>105794068</v>
      </c>
      <c r="H2631" s="19"/>
      <c r="I2631" s="19"/>
      <c r="J2631" s="19"/>
      <c r="K2631" s="19" t="s">
        <v>3332</v>
      </c>
    </row>
    <row r="2632" spans="1:11">
      <c r="A2632" s="30">
        <v>44722</v>
      </c>
      <c r="B2632" s="31">
        <v>25127634527</v>
      </c>
      <c r="C2632" s="30">
        <v>44721</v>
      </c>
      <c r="D2632" s="19" t="s">
        <v>3330</v>
      </c>
      <c r="E2632" s="19" t="s">
        <v>3338</v>
      </c>
      <c r="F2632" s="19" t="s">
        <v>821</v>
      </c>
      <c r="G2632" s="19">
        <v>105794068</v>
      </c>
      <c r="H2632" s="19"/>
      <c r="I2632" s="19"/>
      <c r="J2632" s="19"/>
      <c r="K2632" s="19" t="s">
        <v>3332</v>
      </c>
    </row>
    <row r="2633" spans="1:11">
      <c r="A2633" s="30">
        <v>44722</v>
      </c>
      <c r="B2633" s="31">
        <v>25127634527</v>
      </c>
      <c r="C2633" s="30">
        <v>44721</v>
      </c>
      <c r="D2633" s="19" t="s">
        <v>3330</v>
      </c>
      <c r="E2633" s="19" t="s">
        <v>3339</v>
      </c>
      <c r="F2633" s="19" t="s">
        <v>821</v>
      </c>
      <c r="G2633" s="19">
        <v>105794068</v>
      </c>
      <c r="H2633" s="19"/>
      <c r="I2633" s="19"/>
      <c r="J2633" s="19"/>
      <c r="K2633" s="19" t="s">
        <v>3332</v>
      </c>
    </row>
    <row r="2634" spans="1:11">
      <c r="A2634" s="30">
        <v>44753</v>
      </c>
      <c r="B2634" s="31" t="s">
        <v>3340</v>
      </c>
      <c r="C2634" s="30">
        <v>44749</v>
      </c>
      <c r="D2634" s="19" t="s">
        <v>3341</v>
      </c>
      <c r="E2634" s="19" t="s">
        <v>3342</v>
      </c>
      <c r="F2634" s="19" t="s">
        <v>113</v>
      </c>
      <c r="G2634" s="19">
        <v>2208965</v>
      </c>
      <c r="H2634" s="19"/>
      <c r="I2634" s="19"/>
      <c r="J2634" s="19"/>
      <c r="K2634" s="19" t="s">
        <v>3332</v>
      </c>
    </row>
    <row r="2635" spans="1:11">
      <c r="A2635" s="30">
        <v>44753</v>
      </c>
      <c r="B2635" s="31" t="s">
        <v>3340</v>
      </c>
      <c r="C2635" s="30">
        <v>44749</v>
      </c>
      <c r="D2635" s="19" t="s">
        <v>3341</v>
      </c>
      <c r="E2635" s="19" t="s">
        <v>3343</v>
      </c>
      <c r="F2635" s="19" t="s">
        <v>113</v>
      </c>
      <c r="G2635" s="19">
        <v>2208965</v>
      </c>
      <c r="H2635" s="19"/>
      <c r="I2635" s="19"/>
      <c r="J2635" s="19"/>
      <c r="K2635" s="19" t="s">
        <v>3332</v>
      </c>
    </row>
    <row r="2636" spans="1:11">
      <c r="A2636" s="30">
        <v>44753</v>
      </c>
      <c r="B2636" s="31" t="s">
        <v>3340</v>
      </c>
      <c r="C2636" s="30">
        <v>44749</v>
      </c>
      <c r="D2636" s="19" t="s">
        <v>3341</v>
      </c>
      <c r="E2636" s="19" t="s">
        <v>3344</v>
      </c>
      <c r="F2636" s="19" t="s">
        <v>113</v>
      </c>
      <c r="G2636" s="19">
        <v>2208965</v>
      </c>
      <c r="H2636" s="19"/>
      <c r="I2636" s="19"/>
      <c r="J2636" s="19"/>
      <c r="K2636" s="19" t="s">
        <v>3332</v>
      </c>
    </row>
    <row r="2637" spans="1:11">
      <c r="A2637" s="30">
        <v>44753</v>
      </c>
      <c r="B2637" s="31" t="s">
        <v>3340</v>
      </c>
      <c r="C2637" s="30">
        <v>44749</v>
      </c>
      <c r="D2637" s="19" t="s">
        <v>3341</v>
      </c>
      <c r="E2637" s="19" t="s">
        <v>3345</v>
      </c>
      <c r="F2637" s="19" t="s">
        <v>113</v>
      </c>
      <c r="G2637" s="19">
        <v>2208965</v>
      </c>
      <c r="H2637" s="19"/>
      <c r="I2637" s="19"/>
      <c r="J2637" s="19"/>
      <c r="K2637" s="19" t="s">
        <v>3332</v>
      </c>
    </row>
    <row r="2638" spans="1:11">
      <c r="A2638" s="30">
        <v>44757</v>
      </c>
      <c r="B2638" s="31" t="s">
        <v>3346</v>
      </c>
      <c r="C2638" s="30">
        <v>44755</v>
      </c>
      <c r="D2638" s="19" t="s">
        <v>17</v>
      </c>
      <c r="E2638" s="19" t="s">
        <v>3347</v>
      </c>
      <c r="F2638" s="19" t="s">
        <v>2592</v>
      </c>
      <c r="G2638" s="19">
        <v>3139428</v>
      </c>
      <c r="H2638" s="19"/>
      <c r="I2638" s="19"/>
      <c r="J2638" s="19"/>
      <c r="K2638" s="19" t="s">
        <v>3332</v>
      </c>
    </row>
    <row r="2639" spans="1:11">
      <c r="A2639" s="30">
        <v>44760</v>
      </c>
      <c r="B2639" s="31" t="s">
        <v>223</v>
      </c>
      <c r="C2639" s="30">
        <v>44757</v>
      </c>
      <c r="D2639" s="19" t="s">
        <v>3348</v>
      </c>
      <c r="E2639" s="19" t="s">
        <v>3349</v>
      </c>
      <c r="F2639" s="19" t="s">
        <v>210</v>
      </c>
      <c r="G2639" s="19"/>
      <c r="H2639" s="19"/>
      <c r="I2639" s="19"/>
      <c r="J2639" s="19"/>
      <c r="K2639" s="19" t="s">
        <v>3332</v>
      </c>
    </row>
    <row r="2640" spans="1:11">
      <c r="A2640" s="30">
        <v>44760</v>
      </c>
      <c r="B2640" s="31" t="s">
        <v>223</v>
      </c>
      <c r="C2640" s="30">
        <v>44757</v>
      </c>
      <c r="D2640" s="19" t="s">
        <v>914</v>
      </c>
      <c r="E2640" s="19" t="s">
        <v>3350</v>
      </c>
      <c r="F2640" s="19" t="s">
        <v>210</v>
      </c>
      <c r="G2640" s="19"/>
      <c r="H2640" s="19"/>
      <c r="I2640" s="19"/>
      <c r="J2640" s="19"/>
      <c r="K2640" s="19" t="s">
        <v>3332</v>
      </c>
    </row>
    <row r="2641" spans="1:11">
      <c r="A2641" s="30">
        <v>44760</v>
      </c>
      <c r="B2641" s="31" t="s">
        <v>223</v>
      </c>
      <c r="C2641" s="30">
        <v>44757</v>
      </c>
      <c r="D2641" s="19" t="s">
        <v>3351</v>
      </c>
      <c r="E2641" s="19" t="s">
        <v>3352</v>
      </c>
      <c r="F2641" s="19" t="s">
        <v>210</v>
      </c>
      <c r="G2641" s="19"/>
      <c r="H2641" s="19"/>
      <c r="I2641" s="19"/>
      <c r="J2641" s="19"/>
      <c r="K2641" s="19" t="s">
        <v>3332</v>
      </c>
    </row>
    <row r="2642" spans="1:11">
      <c r="A2642" s="30"/>
      <c r="B2642" s="31"/>
      <c r="C2642" s="30"/>
      <c r="D2642" s="19" t="s">
        <v>3353</v>
      </c>
      <c r="E2642" s="19" t="s">
        <v>3354</v>
      </c>
      <c r="F2642" s="19"/>
      <c r="G2642" s="19"/>
      <c r="H2642" s="19"/>
      <c r="I2642" s="19"/>
      <c r="J2642" s="19"/>
      <c r="K2642" s="19" t="s">
        <v>3332</v>
      </c>
    </row>
    <row r="2643" spans="1:11">
      <c r="A2643" s="30"/>
      <c r="B2643" s="31"/>
      <c r="C2643" s="30"/>
      <c r="D2643" s="19" t="s">
        <v>3353</v>
      </c>
      <c r="E2643" s="19" t="s">
        <v>3355</v>
      </c>
      <c r="F2643" s="19"/>
      <c r="G2643" s="19"/>
      <c r="H2643" s="19"/>
      <c r="I2643" s="19"/>
      <c r="J2643" s="19"/>
      <c r="K2643" s="19" t="s">
        <v>3332</v>
      </c>
    </row>
    <row r="2644" spans="1:11">
      <c r="A2644" s="41"/>
      <c r="B2644" s="36"/>
      <c r="C2644" s="41"/>
      <c r="D2644" s="35" t="s">
        <v>3356</v>
      </c>
      <c r="E2644" s="35" t="s">
        <v>3357</v>
      </c>
      <c r="F2644" s="35"/>
      <c r="G2644" s="35"/>
      <c r="H2644" s="35"/>
      <c r="I2644" s="35"/>
      <c r="J2644" s="35"/>
      <c r="K2644" s="35" t="s">
        <v>3332</v>
      </c>
    </row>
    <row r="2645" spans="1:11">
      <c r="A2645" s="6">
        <v>44732</v>
      </c>
      <c r="B2645" s="20" t="s">
        <v>3316</v>
      </c>
      <c r="C2645" s="6">
        <v>44727</v>
      </c>
      <c r="D2645" t="s">
        <v>2852</v>
      </c>
      <c r="E2645" t="s">
        <v>3359</v>
      </c>
      <c r="F2645" t="s">
        <v>2592</v>
      </c>
      <c r="G2645">
        <v>3136656</v>
      </c>
      <c r="H2645"/>
      <c r="I2645"/>
      <c r="J2645"/>
      <c r="K2645" t="s">
        <v>3323</v>
      </c>
    </row>
    <row r="2646" spans="1:11">
      <c r="A2646" s="6">
        <v>44732</v>
      </c>
      <c r="B2646" s="20" t="s">
        <v>3316</v>
      </c>
      <c r="C2646" s="6">
        <v>44727</v>
      </c>
      <c r="D2646" t="s">
        <v>2852</v>
      </c>
      <c r="E2646" t="s">
        <v>3360</v>
      </c>
      <c r="F2646" t="s">
        <v>2592</v>
      </c>
      <c r="G2646">
        <v>3136656</v>
      </c>
      <c r="H2646"/>
      <c r="I2646"/>
      <c r="J2646"/>
      <c r="K2646" t="s">
        <v>3323</v>
      </c>
    </row>
    <row r="2647" spans="1:11">
      <c r="A2647" s="6">
        <v>44736</v>
      </c>
      <c r="B2647" s="20">
        <v>1.0247833887508101E+21</v>
      </c>
      <c r="C2647" s="6">
        <v>44735</v>
      </c>
      <c r="D2647" t="s">
        <v>3048</v>
      </c>
      <c r="E2647" t="s">
        <v>3361</v>
      </c>
      <c r="F2647" t="s">
        <v>264</v>
      </c>
      <c r="G2647" t="s">
        <v>3311</v>
      </c>
      <c r="H2647"/>
      <c r="I2647"/>
      <c r="J2647"/>
      <c r="K2647" t="s">
        <v>3323</v>
      </c>
    </row>
    <row r="2648" spans="1:11">
      <c r="A2648" s="6">
        <v>44770</v>
      </c>
      <c r="B2648" s="20" t="s">
        <v>3362</v>
      </c>
      <c r="C2648" s="6">
        <v>44769</v>
      </c>
      <c r="D2648" t="s">
        <v>3302</v>
      </c>
      <c r="E2648" t="s">
        <v>3363</v>
      </c>
      <c r="F2648" t="s">
        <v>2835</v>
      </c>
      <c r="G2648">
        <v>2514033</v>
      </c>
      <c r="H2648"/>
      <c r="I2648"/>
      <c r="J2648"/>
      <c r="K2648" t="s">
        <v>3323</v>
      </c>
    </row>
    <row r="2649" spans="1:11">
      <c r="A2649" s="26" t="s">
        <v>3364</v>
      </c>
      <c r="B2649" s="27" t="s">
        <v>954</v>
      </c>
      <c r="C2649" s="38">
        <v>44778</v>
      </c>
      <c r="D2649" t="s">
        <v>965</v>
      </c>
      <c r="E2649" t="s">
        <v>3365</v>
      </c>
      <c r="F2649" s="26" t="s">
        <v>210</v>
      </c>
      <c r="G2649">
        <v>931514180</v>
      </c>
      <c r="H2649"/>
      <c r="I2649"/>
      <c r="J2649"/>
      <c r="K2649" t="s">
        <v>3323</v>
      </c>
    </row>
    <row r="2650" spans="1:11">
      <c r="A2650"/>
      <c r="B2650" s="20"/>
      <c r="C2650"/>
      <c r="D2650" s="24" t="s">
        <v>967</v>
      </c>
      <c r="E2650" t="s">
        <v>3366</v>
      </c>
      <c r="F2650"/>
      <c r="G2650"/>
      <c r="H2650"/>
      <c r="I2650"/>
      <c r="J2650"/>
      <c r="K2650" t="s">
        <v>3323</v>
      </c>
    </row>
    <row r="2651" spans="1:11">
      <c r="A2651"/>
      <c r="B2651" s="20"/>
      <c r="C2651"/>
      <c r="D2651" s="24" t="s">
        <v>969</v>
      </c>
      <c r="E2651" t="s">
        <v>3367</v>
      </c>
      <c r="F2651"/>
      <c r="G2651"/>
      <c r="H2651"/>
      <c r="I2651"/>
      <c r="J2651"/>
      <c r="K2651" t="s">
        <v>3323</v>
      </c>
    </row>
    <row r="2652" spans="1:11">
      <c r="A2652"/>
      <c r="B2652" s="20"/>
      <c r="C2652"/>
      <c r="D2652" s="24" t="s">
        <v>971</v>
      </c>
      <c r="E2652" t="s">
        <v>3368</v>
      </c>
      <c r="F2652"/>
      <c r="G2652"/>
      <c r="H2652"/>
      <c r="I2652"/>
      <c r="J2652"/>
      <c r="K2652" t="s">
        <v>3323</v>
      </c>
    </row>
    <row r="2653" spans="1:11">
      <c r="A2653"/>
      <c r="B2653" s="20"/>
      <c r="C2653"/>
      <c r="D2653" s="24" t="s">
        <v>975</v>
      </c>
      <c r="E2653" t="s">
        <v>3369</v>
      </c>
      <c r="F2653"/>
      <c r="G2653"/>
      <c r="H2653"/>
      <c r="I2653"/>
      <c r="J2653"/>
      <c r="K2653" t="s">
        <v>3323</v>
      </c>
    </row>
    <row r="2654" spans="1:11">
      <c r="A2654" s="28"/>
      <c r="B2654" s="29"/>
      <c r="C2654" s="28"/>
      <c r="D2654" s="46" t="s">
        <v>17</v>
      </c>
      <c r="E2654" s="28" t="s">
        <v>3370</v>
      </c>
      <c r="F2654" s="28"/>
      <c r="G2654" s="28"/>
      <c r="H2654" s="28"/>
      <c r="I2654" s="28"/>
      <c r="J2654" s="28"/>
      <c r="K2654" s="28" t="s">
        <v>3323</v>
      </c>
    </row>
    <row r="2655" spans="1:11">
      <c r="A2655"/>
      <c r="B2655"/>
      <c r="C2655"/>
      <c r="D2655" t="s">
        <v>976</v>
      </c>
      <c r="E2655" s="20">
        <v>2219145923997</v>
      </c>
      <c r="F2655"/>
      <c r="G2655"/>
      <c r="H2655"/>
      <c r="I2655"/>
      <c r="J2655"/>
      <c r="K2655" t="s">
        <v>3323</v>
      </c>
    </row>
    <row r="2656" spans="1:11">
      <c r="A2656"/>
      <c r="B2656"/>
      <c r="C2656"/>
      <c r="D2656" t="s">
        <v>976</v>
      </c>
      <c r="E2656" s="20">
        <v>2219145923996</v>
      </c>
      <c r="F2656"/>
      <c r="G2656"/>
      <c r="H2656"/>
      <c r="I2656"/>
      <c r="J2656"/>
      <c r="K2656" t="s">
        <v>3324</v>
      </c>
    </row>
    <row r="2657" spans="1:11">
      <c r="A2657"/>
      <c r="B2657"/>
      <c r="C2657"/>
      <c r="D2657" t="s">
        <v>976</v>
      </c>
      <c r="E2657" s="20">
        <v>2219145923998</v>
      </c>
      <c r="F2657"/>
      <c r="G2657"/>
      <c r="H2657"/>
      <c r="I2657"/>
      <c r="J2657"/>
      <c r="K2657" t="s">
        <v>3325</v>
      </c>
    </row>
    <row r="2658" spans="1:11">
      <c r="A2658"/>
      <c r="B2658"/>
      <c r="C2658"/>
      <c r="D2658" t="s">
        <v>976</v>
      </c>
      <c r="E2658" s="20">
        <v>2219145923999</v>
      </c>
      <c r="F2658"/>
      <c r="G2658"/>
      <c r="H2658"/>
      <c r="I2658"/>
      <c r="J2658"/>
      <c r="K2658" t="s">
        <v>3326</v>
      </c>
    </row>
    <row r="2659" spans="1:11">
      <c r="A2659"/>
      <c r="B2659"/>
      <c r="C2659"/>
      <c r="D2659" t="s">
        <v>976</v>
      </c>
      <c r="E2659" s="20">
        <v>2219145924000</v>
      </c>
      <c r="F2659"/>
      <c r="G2659"/>
      <c r="H2659"/>
      <c r="I2659"/>
      <c r="J2659"/>
      <c r="K2659" t="s">
        <v>3327</v>
      </c>
    </row>
    <row r="2660" spans="1:11">
      <c r="A2660"/>
      <c r="B2660"/>
      <c r="C2660"/>
      <c r="D2660" t="s">
        <v>976</v>
      </c>
      <c r="E2660" s="20">
        <v>2219145924001</v>
      </c>
      <c r="F2660"/>
      <c r="G2660"/>
      <c r="H2660"/>
      <c r="I2660"/>
      <c r="J2660"/>
      <c r="K2660" t="s">
        <v>3328</v>
      </c>
    </row>
    <row r="2661" spans="1:11">
      <c r="A2661" s="6">
        <v>44732</v>
      </c>
      <c r="B2661" s="20" t="s">
        <v>3316</v>
      </c>
      <c r="C2661" s="6">
        <v>44727</v>
      </c>
      <c r="D2661" t="s">
        <v>2852</v>
      </c>
      <c r="E2661" t="s">
        <v>3371</v>
      </c>
      <c r="F2661" t="s">
        <v>2592</v>
      </c>
      <c r="G2661">
        <v>3136656</v>
      </c>
      <c r="H2661"/>
      <c r="I2661"/>
      <c r="J2661"/>
      <c r="K2661" t="s">
        <v>3324</v>
      </c>
    </row>
    <row r="2662" spans="1:11">
      <c r="A2662" s="6">
        <v>44732</v>
      </c>
      <c r="B2662" s="20" t="s">
        <v>3316</v>
      </c>
      <c r="C2662" s="6">
        <v>44727</v>
      </c>
      <c r="D2662" t="s">
        <v>2852</v>
      </c>
      <c r="E2662" t="s">
        <v>3372</v>
      </c>
      <c r="F2662" t="s">
        <v>2592</v>
      </c>
      <c r="G2662">
        <v>3136656</v>
      </c>
      <c r="H2662"/>
      <c r="I2662"/>
      <c r="J2662"/>
      <c r="K2662" t="s">
        <v>3324</v>
      </c>
    </row>
    <row r="2663" spans="1:11">
      <c r="A2663" s="6">
        <v>44736</v>
      </c>
      <c r="B2663" s="20">
        <v>1.0247833887508101E+21</v>
      </c>
      <c r="C2663" s="6">
        <v>44735</v>
      </c>
      <c r="D2663" t="s">
        <v>3048</v>
      </c>
      <c r="E2663" t="s">
        <v>3373</v>
      </c>
      <c r="F2663" t="s">
        <v>264</v>
      </c>
      <c r="G2663" t="s">
        <v>3311</v>
      </c>
      <c r="H2663"/>
      <c r="I2663"/>
      <c r="J2663"/>
      <c r="K2663" t="s">
        <v>3324</v>
      </c>
    </row>
    <row r="2664" spans="1:11">
      <c r="A2664" s="6">
        <v>44770</v>
      </c>
      <c r="B2664" s="20" t="s">
        <v>3362</v>
      </c>
      <c r="C2664" s="6">
        <v>44769</v>
      </c>
      <c r="D2664" t="s">
        <v>3302</v>
      </c>
      <c r="E2664" t="s">
        <v>3374</v>
      </c>
      <c r="F2664" t="s">
        <v>2835</v>
      </c>
      <c r="G2664">
        <v>2514033</v>
      </c>
      <c r="H2664"/>
      <c r="I2664"/>
      <c r="J2664"/>
      <c r="K2664" t="s">
        <v>3324</v>
      </c>
    </row>
    <row r="2665" spans="1:11">
      <c r="A2665" s="26" t="s">
        <v>3364</v>
      </c>
      <c r="B2665" s="27" t="s">
        <v>954</v>
      </c>
      <c r="C2665" s="38">
        <v>44778</v>
      </c>
      <c r="D2665" s="26" t="s">
        <v>965</v>
      </c>
      <c r="E2665" s="26" t="s">
        <v>3375</v>
      </c>
      <c r="F2665" s="26" t="s">
        <v>210</v>
      </c>
      <c r="G2665" s="26">
        <v>931514180</v>
      </c>
      <c r="H2665" s="26"/>
      <c r="I2665" s="26"/>
      <c r="J2665" s="26"/>
      <c r="K2665" s="26" t="s">
        <v>3324</v>
      </c>
    </row>
    <row r="2666" spans="1:11">
      <c r="A2666"/>
      <c r="B2666" s="20"/>
      <c r="C2666"/>
      <c r="D2666" s="24" t="s">
        <v>967</v>
      </c>
      <c r="E2666" t="s">
        <v>3376</v>
      </c>
      <c r="F2666"/>
      <c r="G2666"/>
      <c r="H2666"/>
      <c r="I2666"/>
      <c r="J2666"/>
      <c r="K2666" t="s">
        <v>3324</v>
      </c>
    </row>
    <row r="2667" spans="1:11">
      <c r="A2667"/>
      <c r="B2667" s="20"/>
      <c r="C2667"/>
      <c r="D2667" s="24" t="s">
        <v>969</v>
      </c>
      <c r="E2667" t="s">
        <v>3377</v>
      </c>
      <c r="F2667"/>
      <c r="G2667"/>
      <c r="H2667"/>
      <c r="I2667"/>
      <c r="J2667"/>
      <c r="K2667" t="s">
        <v>3324</v>
      </c>
    </row>
    <row r="2668" spans="1:11">
      <c r="A2668"/>
      <c r="B2668" s="20"/>
      <c r="C2668"/>
      <c r="D2668" s="24" t="s">
        <v>971</v>
      </c>
      <c r="E2668" t="s">
        <v>3378</v>
      </c>
      <c r="F2668"/>
      <c r="G2668"/>
      <c r="H2668"/>
      <c r="I2668"/>
      <c r="J2668"/>
      <c r="K2668" t="s">
        <v>3324</v>
      </c>
    </row>
    <row r="2669" spans="1:11">
      <c r="A2669"/>
      <c r="B2669" s="20"/>
      <c r="C2669"/>
      <c r="D2669" s="24" t="s">
        <v>975</v>
      </c>
      <c r="E2669" t="s">
        <v>3379</v>
      </c>
      <c r="F2669"/>
      <c r="G2669"/>
      <c r="H2669"/>
      <c r="I2669"/>
      <c r="J2669"/>
      <c r="K2669" t="s">
        <v>3324</v>
      </c>
    </row>
    <row r="2670" spans="1:11">
      <c r="A2670" s="28"/>
      <c r="B2670" s="29"/>
      <c r="C2670" s="28"/>
      <c r="D2670" s="46" t="s">
        <v>17</v>
      </c>
      <c r="E2670" s="28" t="s">
        <v>3380</v>
      </c>
      <c r="F2670" s="28"/>
      <c r="G2670" s="28"/>
      <c r="H2670" s="28"/>
      <c r="I2670" s="28"/>
      <c r="J2670" s="28"/>
      <c r="K2670" s="28" t="s">
        <v>3324</v>
      </c>
    </row>
    <row r="2671" spans="1:11">
      <c r="A2671" s="6">
        <v>44732</v>
      </c>
      <c r="B2671" s="20" t="s">
        <v>3316</v>
      </c>
      <c r="C2671" s="6">
        <v>44727</v>
      </c>
      <c r="D2671" t="s">
        <v>2852</v>
      </c>
      <c r="E2671" t="s">
        <v>3381</v>
      </c>
      <c r="F2671" t="s">
        <v>2592</v>
      </c>
      <c r="G2671">
        <v>3136656</v>
      </c>
      <c r="H2671"/>
      <c r="I2671"/>
      <c r="J2671"/>
      <c r="K2671" t="s">
        <v>3325</v>
      </c>
    </row>
    <row r="2672" spans="1:11">
      <c r="A2672" s="6">
        <v>44732</v>
      </c>
      <c r="B2672" s="20" t="s">
        <v>3316</v>
      </c>
      <c r="C2672" s="6">
        <v>44727</v>
      </c>
      <c r="D2672" t="s">
        <v>2852</v>
      </c>
      <c r="E2672" t="s">
        <v>3382</v>
      </c>
      <c r="F2672" t="s">
        <v>2592</v>
      </c>
      <c r="G2672">
        <v>3136656</v>
      </c>
      <c r="H2672"/>
      <c r="I2672"/>
      <c r="J2672"/>
      <c r="K2672" t="s">
        <v>3325</v>
      </c>
    </row>
    <row r="2673" spans="1:11">
      <c r="A2673" s="6">
        <v>44736</v>
      </c>
      <c r="B2673" s="20">
        <v>1.0247833887508101E+21</v>
      </c>
      <c r="C2673" s="6">
        <v>44735</v>
      </c>
      <c r="D2673" t="s">
        <v>3048</v>
      </c>
      <c r="E2673" t="s">
        <v>3383</v>
      </c>
      <c r="F2673" t="s">
        <v>264</v>
      </c>
      <c r="G2673" t="s">
        <v>3311</v>
      </c>
      <c r="H2673"/>
      <c r="I2673"/>
      <c r="J2673"/>
      <c r="K2673" t="s">
        <v>3325</v>
      </c>
    </row>
    <row r="2674" spans="1:11">
      <c r="A2674" s="6">
        <v>44770</v>
      </c>
      <c r="B2674" s="20" t="s">
        <v>3362</v>
      </c>
      <c r="C2674" s="6">
        <v>44769</v>
      </c>
      <c r="D2674" t="s">
        <v>3302</v>
      </c>
      <c r="E2674" t="s">
        <v>3384</v>
      </c>
      <c r="F2674" t="s">
        <v>2835</v>
      </c>
      <c r="G2674">
        <v>2514033</v>
      </c>
      <c r="H2674"/>
      <c r="I2674"/>
      <c r="J2674"/>
      <c r="K2674" t="s">
        <v>3325</v>
      </c>
    </row>
    <row r="2675" spans="1:11">
      <c r="A2675" s="26" t="s">
        <v>3364</v>
      </c>
      <c r="B2675" s="27" t="s">
        <v>954</v>
      </c>
      <c r="C2675" s="38">
        <v>44778</v>
      </c>
      <c r="D2675" t="s">
        <v>965</v>
      </c>
      <c r="E2675" t="s">
        <v>3385</v>
      </c>
      <c r="F2675" s="26" t="s">
        <v>210</v>
      </c>
      <c r="G2675">
        <v>931514180</v>
      </c>
      <c r="H2675"/>
      <c r="I2675"/>
      <c r="J2675"/>
      <c r="K2675" t="s">
        <v>3325</v>
      </c>
    </row>
    <row r="2676" spans="1:11">
      <c r="A2676"/>
      <c r="B2676" s="20"/>
      <c r="C2676"/>
      <c r="D2676" s="24" t="s">
        <v>967</v>
      </c>
      <c r="E2676" t="s">
        <v>3386</v>
      </c>
      <c r="F2676"/>
      <c r="G2676"/>
      <c r="H2676"/>
      <c r="I2676"/>
      <c r="J2676"/>
      <c r="K2676" t="s">
        <v>3325</v>
      </c>
    </row>
    <row r="2677" spans="1:11">
      <c r="A2677"/>
      <c r="B2677" s="20"/>
      <c r="C2677"/>
      <c r="D2677" s="24" t="s">
        <v>969</v>
      </c>
      <c r="E2677" t="s">
        <v>3387</v>
      </c>
      <c r="F2677"/>
      <c r="G2677"/>
      <c r="H2677"/>
      <c r="I2677"/>
      <c r="J2677"/>
      <c r="K2677" t="s">
        <v>3325</v>
      </c>
    </row>
    <row r="2678" spans="1:11">
      <c r="A2678"/>
      <c r="B2678" s="20"/>
      <c r="C2678"/>
      <c r="D2678" s="24" t="s">
        <v>971</v>
      </c>
      <c r="E2678" t="s">
        <v>3388</v>
      </c>
      <c r="F2678"/>
      <c r="G2678"/>
      <c r="H2678"/>
      <c r="I2678"/>
      <c r="J2678"/>
      <c r="K2678" t="s">
        <v>3325</v>
      </c>
    </row>
    <row r="2679" spans="1:11">
      <c r="A2679"/>
      <c r="B2679" s="20"/>
      <c r="C2679"/>
      <c r="D2679" s="24" t="s">
        <v>975</v>
      </c>
      <c r="E2679" t="s">
        <v>3389</v>
      </c>
      <c r="F2679"/>
      <c r="G2679"/>
      <c r="H2679"/>
      <c r="I2679"/>
      <c r="J2679"/>
      <c r="K2679" t="s">
        <v>3325</v>
      </c>
    </row>
    <row r="2680" spans="1:11">
      <c r="A2680" s="28"/>
      <c r="B2680" s="29"/>
      <c r="C2680" s="28"/>
      <c r="D2680" s="46" t="s">
        <v>17</v>
      </c>
      <c r="E2680" s="28" t="s">
        <v>3390</v>
      </c>
      <c r="F2680" s="28"/>
      <c r="G2680" s="28"/>
      <c r="H2680" s="28"/>
      <c r="I2680" s="28"/>
      <c r="J2680" s="28"/>
      <c r="K2680" s="28" t="s">
        <v>3325</v>
      </c>
    </row>
    <row r="2681" spans="1:11">
      <c r="A2681" s="6">
        <v>44732</v>
      </c>
      <c r="B2681" s="20" t="s">
        <v>3316</v>
      </c>
      <c r="C2681" s="6">
        <v>44727</v>
      </c>
      <c r="D2681" t="s">
        <v>2852</v>
      </c>
      <c r="E2681" t="s">
        <v>3391</v>
      </c>
      <c r="F2681" t="s">
        <v>2592</v>
      </c>
      <c r="G2681">
        <v>3136656</v>
      </c>
      <c r="H2681"/>
      <c r="I2681"/>
      <c r="J2681"/>
      <c r="K2681" t="s">
        <v>3326</v>
      </c>
    </row>
    <row r="2682" spans="1:11">
      <c r="A2682" s="6">
        <v>44732</v>
      </c>
      <c r="B2682" s="20" t="s">
        <v>3316</v>
      </c>
      <c r="C2682" s="6">
        <v>44727</v>
      </c>
      <c r="D2682" t="s">
        <v>2852</v>
      </c>
      <c r="E2682" t="s">
        <v>3392</v>
      </c>
      <c r="F2682" t="s">
        <v>2592</v>
      </c>
      <c r="G2682">
        <v>3136656</v>
      </c>
      <c r="H2682"/>
      <c r="I2682"/>
      <c r="J2682"/>
      <c r="K2682" t="s">
        <v>3326</v>
      </c>
    </row>
    <row r="2683" spans="1:11">
      <c r="A2683" s="6">
        <v>44736</v>
      </c>
      <c r="B2683" s="20">
        <v>1.0247833887508101E+21</v>
      </c>
      <c r="C2683" s="6">
        <v>44735</v>
      </c>
      <c r="D2683" t="s">
        <v>3048</v>
      </c>
      <c r="E2683" t="s">
        <v>3393</v>
      </c>
      <c r="F2683" t="s">
        <v>264</v>
      </c>
      <c r="G2683" t="s">
        <v>3311</v>
      </c>
      <c r="H2683"/>
      <c r="I2683"/>
      <c r="J2683"/>
      <c r="K2683" t="s">
        <v>3326</v>
      </c>
    </row>
    <row r="2684" spans="1:11">
      <c r="A2684" s="6">
        <v>44770</v>
      </c>
      <c r="B2684" s="20" t="s">
        <v>3362</v>
      </c>
      <c r="C2684" s="6">
        <v>44769</v>
      </c>
      <c r="D2684" t="s">
        <v>3302</v>
      </c>
      <c r="E2684" t="s">
        <v>3394</v>
      </c>
      <c r="F2684" t="s">
        <v>2835</v>
      </c>
      <c r="G2684">
        <v>2514033</v>
      </c>
      <c r="H2684"/>
      <c r="I2684"/>
      <c r="J2684"/>
      <c r="K2684" t="s">
        <v>3326</v>
      </c>
    </row>
    <row r="2685" spans="1:11">
      <c r="A2685" s="26" t="s">
        <v>3364</v>
      </c>
      <c r="B2685" s="27" t="s">
        <v>954</v>
      </c>
      <c r="C2685" s="38">
        <v>44778</v>
      </c>
      <c r="D2685" t="s">
        <v>965</v>
      </c>
      <c r="E2685" t="s">
        <v>3395</v>
      </c>
      <c r="F2685" s="26" t="s">
        <v>210</v>
      </c>
      <c r="G2685">
        <v>931514179</v>
      </c>
      <c r="H2685"/>
      <c r="I2685"/>
      <c r="J2685"/>
      <c r="K2685" t="s">
        <v>3326</v>
      </c>
    </row>
    <row r="2686" spans="1:11">
      <c r="A2686"/>
      <c r="B2686" s="20"/>
      <c r="C2686"/>
      <c r="D2686" s="24" t="s">
        <v>967</v>
      </c>
      <c r="E2686" t="s">
        <v>3396</v>
      </c>
      <c r="F2686"/>
      <c r="G2686"/>
      <c r="H2686"/>
      <c r="I2686"/>
      <c r="J2686"/>
      <c r="K2686" t="s">
        <v>3326</v>
      </c>
    </row>
    <row r="2687" spans="1:11">
      <c r="A2687"/>
      <c r="B2687" s="20"/>
      <c r="C2687"/>
      <c r="D2687" s="24" t="s">
        <v>969</v>
      </c>
      <c r="E2687" t="s">
        <v>3397</v>
      </c>
      <c r="F2687"/>
      <c r="G2687"/>
      <c r="H2687"/>
      <c r="I2687"/>
      <c r="J2687"/>
      <c r="K2687" t="s">
        <v>3326</v>
      </c>
    </row>
    <row r="2688" spans="1:11">
      <c r="A2688"/>
      <c r="B2688" s="20"/>
      <c r="C2688"/>
      <c r="D2688" s="24" t="s">
        <v>971</v>
      </c>
      <c r="E2688" t="s">
        <v>3398</v>
      </c>
      <c r="F2688"/>
      <c r="G2688"/>
      <c r="H2688"/>
      <c r="I2688"/>
      <c r="J2688"/>
      <c r="K2688" t="s">
        <v>3326</v>
      </c>
    </row>
    <row r="2689" spans="1:11">
      <c r="A2689"/>
      <c r="B2689" s="20"/>
      <c r="C2689"/>
      <c r="D2689" s="24" t="s">
        <v>975</v>
      </c>
      <c r="E2689" t="s">
        <v>3399</v>
      </c>
      <c r="F2689"/>
      <c r="G2689"/>
      <c r="H2689"/>
      <c r="I2689"/>
      <c r="J2689"/>
      <c r="K2689" t="s">
        <v>3326</v>
      </c>
    </row>
    <row r="2690" spans="1:11">
      <c r="A2690" s="28"/>
      <c r="B2690" s="29"/>
      <c r="C2690" s="28"/>
      <c r="D2690" s="46" t="s">
        <v>17</v>
      </c>
      <c r="E2690" s="28" t="s">
        <v>3400</v>
      </c>
      <c r="F2690" s="28"/>
      <c r="G2690" s="28"/>
      <c r="H2690" s="28"/>
      <c r="I2690" s="28"/>
      <c r="J2690" s="28"/>
      <c r="K2690" s="28" t="s">
        <v>3326</v>
      </c>
    </row>
    <row r="2691" spans="1:11">
      <c r="A2691" s="6">
        <v>44732</v>
      </c>
      <c r="B2691" s="20" t="s">
        <v>3316</v>
      </c>
      <c r="C2691" s="6">
        <v>44727</v>
      </c>
      <c r="D2691" t="s">
        <v>2852</v>
      </c>
      <c r="E2691" t="s">
        <v>3401</v>
      </c>
      <c r="F2691" t="s">
        <v>2592</v>
      </c>
      <c r="G2691">
        <v>3136656</v>
      </c>
      <c r="H2691"/>
      <c r="I2691"/>
      <c r="J2691"/>
      <c r="K2691" t="s">
        <v>3327</v>
      </c>
    </row>
    <row r="2692" spans="1:11">
      <c r="A2692" s="6">
        <v>44732</v>
      </c>
      <c r="B2692" s="20" t="s">
        <v>3316</v>
      </c>
      <c r="C2692" s="6">
        <v>44727</v>
      </c>
      <c r="D2692" t="s">
        <v>2852</v>
      </c>
      <c r="E2692" t="s">
        <v>3402</v>
      </c>
      <c r="F2692" t="s">
        <v>2592</v>
      </c>
      <c r="G2692">
        <v>3136656</v>
      </c>
      <c r="H2692"/>
      <c r="I2692"/>
      <c r="J2692"/>
      <c r="K2692" t="s">
        <v>3327</v>
      </c>
    </row>
    <row r="2693" spans="1:11">
      <c r="A2693" s="6">
        <v>44736</v>
      </c>
      <c r="B2693" s="20">
        <v>1.0247833887508101E+21</v>
      </c>
      <c r="C2693" s="6">
        <v>44735</v>
      </c>
      <c r="D2693" t="s">
        <v>3048</v>
      </c>
      <c r="E2693" t="s">
        <v>3403</v>
      </c>
      <c r="F2693" t="s">
        <v>264</v>
      </c>
      <c r="G2693" t="s">
        <v>3311</v>
      </c>
      <c r="H2693"/>
      <c r="I2693"/>
      <c r="J2693"/>
      <c r="K2693" t="s">
        <v>3327</v>
      </c>
    </row>
    <row r="2694" spans="1:11">
      <c r="A2694" s="6">
        <v>44770</v>
      </c>
      <c r="B2694" s="20" t="s">
        <v>3362</v>
      </c>
      <c r="C2694" s="6">
        <v>44769</v>
      </c>
      <c r="D2694" t="s">
        <v>3302</v>
      </c>
      <c r="E2694" t="s">
        <v>3404</v>
      </c>
      <c r="F2694" t="s">
        <v>2835</v>
      </c>
      <c r="G2694">
        <v>2514033</v>
      </c>
      <c r="H2694"/>
      <c r="I2694"/>
      <c r="J2694"/>
      <c r="K2694" t="s">
        <v>3327</v>
      </c>
    </row>
    <row r="2695" spans="1:11">
      <c r="A2695" s="26" t="s">
        <v>3364</v>
      </c>
      <c r="B2695" s="27" t="s">
        <v>954</v>
      </c>
      <c r="C2695" s="38">
        <v>44778</v>
      </c>
      <c r="D2695" t="s">
        <v>965</v>
      </c>
      <c r="E2695" t="s">
        <v>3405</v>
      </c>
      <c r="F2695" s="26" t="s">
        <v>210</v>
      </c>
      <c r="G2695">
        <v>931514179</v>
      </c>
      <c r="H2695"/>
      <c r="I2695"/>
      <c r="J2695"/>
      <c r="K2695" t="s">
        <v>3327</v>
      </c>
    </row>
    <row r="2696" spans="1:11">
      <c r="A2696"/>
      <c r="B2696" s="20"/>
      <c r="C2696"/>
      <c r="D2696" s="24" t="s">
        <v>967</v>
      </c>
      <c r="E2696" t="s">
        <v>3406</v>
      </c>
      <c r="F2696"/>
      <c r="G2696"/>
      <c r="H2696"/>
      <c r="I2696"/>
      <c r="J2696"/>
      <c r="K2696" t="s">
        <v>3327</v>
      </c>
    </row>
    <row r="2697" spans="1:11">
      <c r="A2697"/>
      <c r="B2697" s="20"/>
      <c r="C2697"/>
      <c r="D2697" s="24" t="s">
        <v>969</v>
      </c>
      <c r="E2697" t="s">
        <v>3407</v>
      </c>
      <c r="F2697"/>
      <c r="G2697"/>
      <c r="H2697"/>
      <c r="I2697"/>
      <c r="J2697"/>
      <c r="K2697" t="s">
        <v>3327</v>
      </c>
    </row>
    <row r="2698" spans="1:11">
      <c r="A2698"/>
      <c r="B2698" s="20"/>
      <c r="C2698"/>
      <c r="D2698" s="24" t="s">
        <v>971</v>
      </c>
      <c r="E2698" t="s">
        <v>3408</v>
      </c>
      <c r="F2698"/>
      <c r="G2698"/>
      <c r="H2698"/>
      <c r="I2698"/>
      <c r="J2698"/>
      <c r="K2698" t="s">
        <v>3327</v>
      </c>
    </row>
    <row r="2699" spans="1:11">
      <c r="A2699"/>
      <c r="B2699" s="20"/>
      <c r="C2699"/>
      <c r="D2699" s="24" t="s">
        <v>975</v>
      </c>
      <c r="E2699" t="s">
        <v>3409</v>
      </c>
      <c r="F2699"/>
      <c r="G2699"/>
      <c r="H2699"/>
      <c r="I2699"/>
      <c r="J2699"/>
      <c r="K2699" t="s">
        <v>3327</v>
      </c>
    </row>
    <row r="2700" spans="1:11">
      <c r="A2700" s="28"/>
      <c r="B2700" s="29"/>
      <c r="C2700" s="28"/>
      <c r="D2700" s="46" t="s">
        <v>17</v>
      </c>
      <c r="E2700" s="28" t="s">
        <v>3410</v>
      </c>
      <c r="F2700" s="28"/>
      <c r="G2700" s="28"/>
      <c r="H2700" s="28"/>
      <c r="I2700" s="28"/>
      <c r="J2700" s="28"/>
      <c r="K2700" s="28" t="s">
        <v>3327</v>
      </c>
    </row>
    <row r="2701" spans="1:11">
      <c r="A2701" s="6">
        <v>44732</v>
      </c>
      <c r="B2701" s="20" t="s">
        <v>3316</v>
      </c>
      <c r="C2701" s="6">
        <v>44727</v>
      </c>
      <c r="D2701" t="s">
        <v>2852</v>
      </c>
      <c r="E2701" t="s">
        <v>3411</v>
      </c>
      <c r="F2701" t="s">
        <v>2592</v>
      </c>
      <c r="G2701">
        <v>3136656</v>
      </c>
      <c r="H2701"/>
      <c r="I2701"/>
      <c r="J2701"/>
      <c r="K2701" t="s">
        <v>3328</v>
      </c>
    </row>
    <row r="2702" spans="1:11">
      <c r="A2702" s="6">
        <v>44732</v>
      </c>
      <c r="B2702" s="20" t="s">
        <v>3316</v>
      </c>
      <c r="C2702" s="45">
        <v>44727</v>
      </c>
      <c r="D2702" s="28" t="s">
        <v>2852</v>
      </c>
      <c r="E2702" s="28" t="s">
        <v>3412</v>
      </c>
      <c r="F2702" s="28" t="s">
        <v>2592</v>
      </c>
      <c r="G2702" s="28">
        <v>3136656</v>
      </c>
      <c r="H2702" s="28"/>
      <c r="I2702" s="28"/>
      <c r="J2702" s="28"/>
      <c r="K2702" s="28" t="s">
        <v>3328</v>
      </c>
    </row>
    <row r="2703" spans="1:11">
      <c r="A2703" s="6">
        <v>44736</v>
      </c>
      <c r="B2703" s="20">
        <v>1.0247833887508101E+21</v>
      </c>
      <c r="C2703" s="6">
        <v>44735</v>
      </c>
      <c r="D2703" t="s">
        <v>3048</v>
      </c>
      <c r="E2703" t="s">
        <v>3413</v>
      </c>
      <c r="F2703" t="s">
        <v>264</v>
      </c>
      <c r="G2703" t="s">
        <v>3311</v>
      </c>
      <c r="H2703"/>
      <c r="I2703"/>
      <c r="J2703"/>
      <c r="K2703" t="s">
        <v>3328</v>
      </c>
    </row>
    <row r="2704" spans="1:11">
      <c r="A2704" s="6">
        <v>44770</v>
      </c>
      <c r="B2704" s="20" t="s">
        <v>3362</v>
      </c>
      <c r="C2704" s="6">
        <v>44769</v>
      </c>
      <c r="D2704" t="s">
        <v>3302</v>
      </c>
      <c r="E2704" t="s">
        <v>3414</v>
      </c>
      <c r="F2704" t="s">
        <v>2835</v>
      </c>
      <c r="G2704">
        <v>2514033</v>
      </c>
      <c r="H2704"/>
      <c r="I2704"/>
      <c r="J2704"/>
      <c r="K2704" t="s">
        <v>3328</v>
      </c>
    </row>
    <row r="2705" spans="1:11">
      <c r="A2705" s="26" t="s">
        <v>3364</v>
      </c>
      <c r="B2705" s="27" t="s">
        <v>954</v>
      </c>
      <c r="C2705" s="38">
        <v>44778</v>
      </c>
      <c r="D2705" t="s">
        <v>965</v>
      </c>
      <c r="E2705" t="s">
        <v>3415</v>
      </c>
      <c r="F2705" s="26" t="s">
        <v>210</v>
      </c>
      <c r="G2705">
        <v>931514180</v>
      </c>
      <c r="H2705"/>
      <c r="I2705"/>
      <c r="J2705"/>
      <c r="K2705" t="s">
        <v>3328</v>
      </c>
    </row>
    <row r="2706" spans="1:11">
      <c r="A2706"/>
      <c r="B2706" s="20"/>
      <c r="C2706"/>
      <c r="D2706" s="24" t="s">
        <v>967</v>
      </c>
      <c r="E2706" t="s">
        <v>3416</v>
      </c>
      <c r="F2706"/>
      <c r="G2706"/>
      <c r="H2706"/>
      <c r="I2706"/>
      <c r="J2706"/>
      <c r="K2706" t="s">
        <v>3328</v>
      </c>
    </row>
    <row r="2707" spans="1:11">
      <c r="A2707"/>
      <c r="B2707" s="20"/>
      <c r="C2707"/>
      <c r="D2707" s="24" t="s">
        <v>969</v>
      </c>
      <c r="E2707" t="s">
        <v>3417</v>
      </c>
      <c r="F2707"/>
      <c r="G2707"/>
      <c r="H2707"/>
      <c r="I2707"/>
      <c r="J2707"/>
      <c r="K2707" t="s">
        <v>3328</v>
      </c>
    </row>
    <row r="2708" spans="1:11">
      <c r="A2708"/>
      <c r="B2708" s="20"/>
      <c r="C2708"/>
      <c r="D2708" s="24" t="s">
        <v>971</v>
      </c>
      <c r="E2708" t="s">
        <v>3418</v>
      </c>
      <c r="F2708"/>
      <c r="G2708"/>
      <c r="H2708"/>
      <c r="I2708"/>
      <c r="J2708"/>
      <c r="K2708" t="s">
        <v>3328</v>
      </c>
    </row>
    <row r="2709" spans="1:11">
      <c r="A2709"/>
      <c r="B2709" s="20"/>
      <c r="C2709"/>
      <c r="D2709" s="24" t="s">
        <v>975</v>
      </c>
      <c r="E2709" t="s">
        <v>3419</v>
      </c>
      <c r="F2709"/>
      <c r="G2709"/>
      <c r="H2709"/>
      <c r="I2709"/>
      <c r="J2709"/>
      <c r="K2709" t="s">
        <v>3328</v>
      </c>
    </row>
    <row r="2710" spans="1:11">
      <c r="A2710" s="28"/>
      <c r="B2710" s="29"/>
      <c r="C2710" s="28"/>
      <c r="D2710" s="46" t="s">
        <v>17</v>
      </c>
      <c r="E2710" s="28" t="s">
        <v>3420</v>
      </c>
      <c r="F2710" s="28"/>
      <c r="G2710" s="28"/>
      <c r="H2710" s="28"/>
      <c r="I2710" s="28"/>
      <c r="J2710" s="28"/>
      <c r="K2710" s="28" t="s">
        <v>3328</v>
      </c>
    </row>
    <row r="2711" spans="1:11">
      <c r="A2711"/>
      <c r="B2711"/>
      <c r="C2711"/>
      <c r="D2711" t="s">
        <v>976</v>
      </c>
      <c r="E2711" s="20">
        <v>2219145923987</v>
      </c>
      <c r="F2711"/>
      <c r="G2711"/>
      <c r="H2711"/>
      <c r="I2711"/>
      <c r="J2711"/>
      <c r="K2711" t="s">
        <v>3421</v>
      </c>
    </row>
    <row r="2712" spans="1:11">
      <c r="A2712"/>
      <c r="B2712"/>
      <c r="C2712"/>
      <c r="D2712" t="s">
        <v>976</v>
      </c>
      <c r="E2712" s="20">
        <v>2219145923986</v>
      </c>
      <c r="F2712"/>
      <c r="G2712"/>
      <c r="H2712"/>
      <c r="I2712"/>
      <c r="J2712"/>
      <c r="K2712" t="s">
        <v>3422</v>
      </c>
    </row>
    <row r="2713" spans="1:11">
      <c r="A2713"/>
      <c r="B2713"/>
      <c r="C2713"/>
      <c r="D2713" t="s">
        <v>976</v>
      </c>
      <c r="E2713" s="20">
        <v>2219145923988</v>
      </c>
      <c r="F2713"/>
      <c r="G2713"/>
      <c r="H2713"/>
      <c r="I2713"/>
      <c r="J2713"/>
      <c r="K2713" t="s">
        <v>3423</v>
      </c>
    </row>
    <row r="2714" spans="1:11">
      <c r="A2714"/>
      <c r="B2714"/>
      <c r="C2714"/>
      <c r="D2714" t="s">
        <v>976</v>
      </c>
      <c r="E2714" s="20">
        <v>2219145923989</v>
      </c>
      <c r="F2714"/>
      <c r="G2714"/>
      <c r="H2714"/>
      <c r="I2714"/>
      <c r="J2714"/>
      <c r="K2714" t="s">
        <v>3424</v>
      </c>
    </row>
    <row r="2715" spans="1:11">
      <c r="A2715"/>
      <c r="B2715"/>
      <c r="C2715"/>
      <c r="D2715" t="s">
        <v>976</v>
      </c>
      <c r="E2715" s="20">
        <v>2219145923990</v>
      </c>
      <c r="F2715"/>
      <c r="G2715"/>
      <c r="H2715"/>
      <c r="I2715"/>
      <c r="J2715"/>
      <c r="K2715" t="s">
        <v>3425</v>
      </c>
    </row>
    <row r="2716" spans="1:11">
      <c r="A2716"/>
      <c r="B2716"/>
      <c r="C2716"/>
      <c r="D2716" t="s">
        <v>976</v>
      </c>
      <c r="E2716" s="20">
        <v>2219145923991</v>
      </c>
      <c r="F2716"/>
      <c r="G2716"/>
      <c r="H2716"/>
      <c r="I2716"/>
      <c r="J2716"/>
      <c r="K2716" t="s">
        <v>3426</v>
      </c>
    </row>
    <row r="2717" spans="1:11">
      <c r="A2717"/>
      <c r="B2717"/>
      <c r="C2717"/>
      <c r="D2717" t="s">
        <v>976</v>
      </c>
      <c r="E2717" s="20">
        <v>2219145923992</v>
      </c>
      <c r="F2717"/>
      <c r="G2717"/>
      <c r="H2717"/>
      <c r="I2717"/>
      <c r="J2717"/>
      <c r="K2717" t="s">
        <v>3427</v>
      </c>
    </row>
    <row r="2718" spans="1:11">
      <c r="A2718"/>
      <c r="B2718"/>
      <c r="C2718"/>
      <c r="D2718" t="s">
        <v>976</v>
      </c>
      <c r="E2718" s="20">
        <v>2219145923993</v>
      </c>
      <c r="F2718"/>
      <c r="G2718"/>
      <c r="H2718"/>
      <c r="I2718"/>
      <c r="J2718"/>
      <c r="K2718" t="s">
        <v>3428</v>
      </c>
    </row>
    <row r="2719" spans="1:11">
      <c r="A2719"/>
      <c r="B2719"/>
      <c r="C2719"/>
      <c r="D2719" t="s">
        <v>976</v>
      </c>
      <c r="E2719" s="20">
        <v>2219145923994</v>
      </c>
      <c r="F2719"/>
      <c r="G2719"/>
      <c r="H2719"/>
      <c r="I2719"/>
      <c r="J2719"/>
      <c r="K2719" t="s">
        <v>3429</v>
      </c>
    </row>
    <row r="2720" spans="1:11">
      <c r="A2720"/>
      <c r="B2720"/>
      <c r="C2720"/>
      <c r="D2720" t="s">
        <v>976</v>
      </c>
      <c r="E2720" s="20">
        <v>2219145923995</v>
      </c>
      <c r="F2720"/>
      <c r="G2720"/>
      <c r="H2720"/>
      <c r="I2720"/>
      <c r="J2720"/>
      <c r="K2720" t="s">
        <v>3430</v>
      </c>
    </row>
    <row r="2721" spans="1:11">
      <c r="A2721" s="6">
        <v>44739</v>
      </c>
      <c r="B2721" s="20" t="s">
        <v>223</v>
      </c>
      <c r="C2721" s="6">
        <v>44736</v>
      </c>
      <c r="D2721" t="s">
        <v>3052</v>
      </c>
      <c r="E2721" t="s">
        <v>3444</v>
      </c>
      <c r="F2721" t="s">
        <v>210</v>
      </c>
      <c r="G2721">
        <v>931492681</v>
      </c>
      <c r="H2721"/>
      <c r="I2721"/>
      <c r="J2721"/>
      <c r="K2721" t="s">
        <v>3430</v>
      </c>
    </row>
    <row r="2722" spans="1:11">
      <c r="A2722" s="6">
        <v>44739</v>
      </c>
      <c r="B2722" s="20" t="s">
        <v>223</v>
      </c>
      <c r="C2722" s="6">
        <v>44736</v>
      </c>
      <c r="D2722" t="s">
        <v>3052</v>
      </c>
      <c r="E2722" t="s">
        <v>3445</v>
      </c>
      <c r="F2722" t="s">
        <v>210</v>
      </c>
      <c r="G2722">
        <v>931492681</v>
      </c>
      <c r="H2722"/>
      <c r="I2722"/>
      <c r="J2722"/>
      <c r="K2722" t="s">
        <v>3426</v>
      </c>
    </row>
    <row r="2723" spans="1:11">
      <c r="A2723" s="6">
        <v>44739</v>
      </c>
      <c r="B2723" s="20" t="s">
        <v>223</v>
      </c>
      <c r="C2723" s="6">
        <v>44736</v>
      </c>
      <c r="D2723" t="s">
        <v>3052</v>
      </c>
      <c r="E2723" t="s">
        <v>3446</v>
      </c>
      <c r="F2723" t="s">
        <v>210</v>
      </c>
      <c r="G2723">
        <v>931492681</v>
      </c>
      <c r="H2723"/>
      <c r="I2723"/>
      <c r="J2723"/>
      <c r="K2723" t="s">
        <v>3428</v>
      </c>
    </row>
    <row r="2724" spans="1:11">
      <c r="A2724" s="6">
        <v>44739</v>
      </c>
      <c r="B2724" s="20" t="s">
        <v>223</v>
      </c>
      <c r="C2724" s="6">
        <v>44736</v>
      </c>
      <c r="D2724" t="s">
        <v>3052</v>
      </c>
      <c r="E2724" t="s">
        <v>3447</v>
      </c>
      <c r="F2724" t="s">
        <v>210</v>
      </c>
      <c r="G2724">
        <v>931492681</v>
      </c>
      <c r="H2724"/>
      <c r="I2724"/>
      <c r="J2724"/>
      <c r="K2724" t="s">
        <v>3427</v>
      </c>
    </row>
    <row r="2725" spans="1:11">
      <c r="A2725" s="6">
        <v>44739</v>
      </c>
      <c r="B2725" s="20" t="s">
        <v>223</v>
      </c>
      <c r="C2725" s="6">
        <v>44736</v>
      </c>
      <c r="D2725" t="s">
        <v>3052</v>
      </c>
      <c r="E2725" t="s">
        <v>3448</v>
      </c>
      <c r="F2725" t="s">
        <v>210</v>
      </c>
      <c r="G2725">
        <v>931492681</v>
      </c>
      <c r="H2725"/>
      <c r="I2725"/>
      <c r="J2725"/>
      <c r="K2725" t="s">
        <v>3430</v>
      </c>
    </row>
    <row r="2726" spans="1:11">
      <c r="A2726" s="6">
        <v>44739</v>
      </c>
      <c r="B2726" s="20" t="s">
        <v>223</v>
      </c>
      <c r="C2726" s="6">
        <v>44736</v>
      </c>
      <c r="D2726" t="s">
        <v>3052</v>
      </c>
      <c r="E2726" t="s">
        <v>3449</v>
      </c>
      <c r="F2726" t="s">
        <v>210</v>
      </c>
      <c r="G2726">
        <v>931492681</v>
      </c>
      <c r="H2726"/>
      <c r="I2726"/>
      <c r="J2726"/>
      <c r="K2726" t="s">
        <v>3427</v>
      </c>
    </row>
    <row r="2727" spans="1:11">
      <c r="A2727" s="6">
        <v>44739</v>
      </c>
      <c r="B2727" s="20" t="s">
        <v>223</v>
      </c>
      <c r="C2727" s="6">
        <v>44736</v>
      </c>
      <c r="D2727" t="s">
        <v>3052</v>
      </c>
      <c r="E2727" t="s">
        <v>3450</v>
      </c>
      <c r="F2727" t="s">
        <v>210</v>
      </c>
      <c r="G2727">
        <v>931492681</v>
      </c>
      <c r="H2727"/>
      <c r="I2727"/>
      <c r="J2727"/>
      <c r="K2727" t="s">
        <v>3426</v>
      </c>
    </row>
    <row r="2728" spans="1:11">
      <c r="A2728" s="6">
        <v>44739</v>
      </c>
      <c r="B2728" s="20" t="s">
        <v>223</v>
      </c>
      <c r="C2728" s="6">
        <v>44736</v>
      </c>
      <c r="D2728" t="s">
        <v>3052</v>
      </c>
      <c r="E2728" t="s">
        <v>3451</v>
      </c>
      <c r="F2728" t="s">
        <v>210</v>
      </c>
      <c r="G2728">
        <v>931492681</v>
      </c>
      <c r="H2728"/>
      <c r="I2728"/>
      <c r="J2728"/>
      <c r="K2728" t="s">
        <v>3424</v>
      </c>
    </row>
    <row r="2729" spans="1:11">
      <c r="A2729" s="6">
        <v>44739</v>
      </c>
      <c r="B2729" s="20" t="s">
        <v>223</v>
      </c>
      <c r="C2729" s="6">
        <v>44736</v>
      </c>
      <c r="D2729" t="s">
        <v>3052</v>
      </c>
      <c r="E2729" t="s">
        <v>3452</v>
      </c>
      <c r="F2729" t="s">
        <v>210</v>
      </c>
      <c r="G2729">
        <v>931492681</v>
      </c>
      <c r="H2729"/>
      <c r="I2729"/>
      <c r="J2729"/>
      <c r="K2729" t="s">
        <v>3424</v>
      </c>
    </row>
    <row r="2730" spans="1:11">
      <c r="A2730" s="6">
        <v>44739</v>
      </c>
      <c r="B2730" s="20" t="s">
        <v>223</v>
      </c>
      <c r="C2730" s="6">
        <v>44736</v>
      </c>
      <c r="D2730" t="s">
        <v>3052</v>
      </c>
      <c r="E2730" t="s">
        <v>3453</v>
      </c>
      <c r="F2730" t="s">
        <v>210</v>
      </c>
      <c r="G2730">
        <v>931492681</v>
      </c>
      <c r="H2730"/>
      <c r="I2730"/>
      <c r="J2730"/>
      <c r="K2730" t="s">
        <v>3425</v>
      </c>
    </row>
    <row r="2731" spans="1:11">
      <c r="A2731" s="6">
        <v>44739</v>
      </c>
      <c r="B2731" s="20" t="s">
        <v>223</v>
      </c>
      <c r="C2731" s="6">
        <v>44736</v>
      </c>
      <c r="D2731" t="s">
        <v>3052</v>
      </c>
      <c r="E2731" t="s">
        <v>3454</v>
      </c>
      <c r="F2731" t="s">
        <v>210</v>
      </c>
      <c r="G2731">
        <v>931492681</v>
      </c>
      <c r="H2731"/>
      <c r="I2731"/>
      <c r="J2731"/>
      <c r="K2731" t="s">
        <v>3425</v>
      </c>
    </row>
    <row r="2732" spans="1:11">
      <c r="A2732" s="6">
        <v>44739</v>
      </c>
      <c r="B2732" s="20" t="s">
        <v>223</v>
      </c>
      <c r="C2732" s="6">
        <v>44736</v>
      </c>
      <c r="D2732" t="s">
        <v>3052</v>
      </c>
      <c r="E2732" t="s">
        <v>3455</v>
      </c>
      <c r="F2732" t="s">
        <v>210</v>
      </c>
      <c r="G2732">
        <v>931492677</v>
      </c>
      <c r="H2732"/>
      <c r="I2732"/>
      <c r="J2732"/>
      <c r="K2732" t="s">
        <v>3422</v>
      </c>
    </row>
    <row r="2733" spans="1:11">
      <c r="A2733" s="6">
        <v>44739</v>
      </c>
      <c r="B2733" s="20" t="s">
        <v>223</v>
      </c>
      <c r="C2733" s="6">
        <v>44736</v>
      </c>
      <c r="D2733" t="s">
        <v>3052</v>
      </c>
      <c r="E2733" t="s">
        <v>3431</v>
      </c>
      <c r="F2733" t="s">
        <v>210</v>
      </c>
      <c r="G2733">
        <v>931492677</v>
      </c>
      <c r="H2733"/>
      <c r="I2733"/>
      <c r="J2733"/>
      <c r="K2733" t="s">
        <v>3421</v>
      </c>
    </row>
    <row r="2734" spans="1:11">
      <c r="A2734" s="6">
        <v>44739</v>
      </c>
      <c r="B2734" s="20" t="s">
        <v>223</v>
      </c>
      <c r="C2734" s="6">
        <v>44736</v>
      </c>
      <c r="D2734" t="s">
        <v>3052</v>
      </c>
      <c r="E2734" t="s">
        <v>3432</v>
      </c>
      <c r="F2734" t="s">
        <v>210</v>
      </c>
      <c r="G2734">
        <v>931492677</v>
      </c>
      <c r="H2734"/>
      <c r="I2734"/>
      <c r="J2734"/>
      <c r="K2734" t="s">
        <v>3421</v>
      </c>
    </row>
    <row r="2735" spans="1:11">
      <c r="A2735" s="6">
        <v>44739</v>
      </c>
      <c r="B2735" s="20" t="s">
        <v>223</v>
      </c>
      <c r="C2735" s="6">
        <v>44736</v>
      </c>
      <c r="D2735" t="s">
        <v>3052</v>
      </c>
      <c r="E2735" t="s">
        <v>3456</v>
      </c>
      <c r="F2735" t="s">
        <v>210</v>
      </c>
      <c r="G2735">
        <v>931492677</v>
      </c>
      <c r="H2735"/>
      <c r="I2735"/>
      <c r="J2735"/>
      <c r="K2735" t="s">
        <v>3422</v>
      </c>
    </row>
    <row r="2736" spans="1:11">
      <c r="A2736" s="6">
        <v>44739</v>
      </c>
      <c r="B2736" s="20" t="s">
        <v>223</v>
      </c>
      <c r="C2736" s="6">
        <v>44736</v>
      </c>
      <c r="D2736" t="s">
        <v>3052</v>
      </c>
      <c r="E2736" t="s">
        <v>3457</v>
      </c>
      <c r="F2736" t="s">
        <v>210</v>
      </c>
      <c r="G2736">
        <v>931492677</v>
      </c>
      <c r="H2736"/>
      <c r="I2736"/>
      <c r="J2736"/>
      <c r="K2736" t="s">
        <v>3428</v>
      </c>
    </row>
    <row r="2737" spans="1:11">
      <c r="A2737" s="6">
        <v>44739</v>
      </c>
      <c r="B2737" s="20" t="s">
        <v>223</v>
      </c>
      <c r="C2737" s="6">
        <v>44736</v>
      </c>
      <c r="D2737" t="s">
        <v>3052</v>
      </c>
      <c r="E2737" t="s">
        <v>3458</v>
      </c>
      <c r="F2737" t="s">
        <v>210</v>
      </c>
      <c r="G2737">
        <v>931492677</v>
      </c>
      <c r="H2737"/>
      <c r="I2737"/>
      <c r="J2737"/>
      <c r="K2737" t="s">
        <v>3429</v>
      </c>
    </row>
    <row r="2738" spans="1:11">
      <c r="A2738" s="6">
        <v>44739</v>
      </c>
      <c r="B2738" s="20" t="s">
        <v>223</v>
      </c>
      <c r="C2738" s="6">
        <v>44736</v>
      </c>
      <c r="D2738" t="s">
        <v>3052</v>
      </c>
      <c r="E2738" t="s">
        <v>3459</v>
      </c>
      <c r="F2738" t="s">
        <v>210</v>
      </c>
      <c r="G2738">
        <v>931492677</v>
      </c>
      <c r="H2738"/>
      <c r="I2738"/>
      <c r="J2738"/>
      <c r="K2738" t="s">
        <v>3429</v>
      </c>
    </row>
    <row r="2739" spans="1:11">
      <c r="A2739" s="6">
        <v>44739</v>
      </c>
      <c r="B2739" s="20" t="s">
        <v>223</v>
      </c>
      <c r="C2739" s="6">
        <v>44736</v>
      </c>
      <c r="D2739" t="s">
        <v>3052</v>
      </c>
      <c r="E2739" t="s">
        <v>3460</v>
      </c>
      <c r="F2739" t="s">
        <v>210</v>
      </c>
      <c r="G2739">
        <v>931492677</v>
      </c>
      <c r="H2739"/>
      <c r="I2739"/>
      <c r="J2739"/>
      <c r="K2739" t="s">
        <v>3423</v>
      </c>
    </row>
    <row r="2740" spans="1:11">
      <c r="A2740" s="6">
        <v>44739</v>
      </c>
      <c r="B2740" s="20" t="s">
        <v>223</v>
      </c>
      <c r="C2740" s="6">
        <v>44736</v>
      </c>
      <c r="D2740" t="s">
        <v>3052</v>
      </c>
      <c r="E2740" t="s">
        <v>3461</v>
      </c>
      <c r="F2740" t="s">
        <v>210</v>
      </c>
      <c r="G2740">
        <v>931492677</v>
      </c>
      <c r="H2740"/>
      <c r="I2740"/>
      <c r="J2740"/>
      <c r="K2740" t="s">
        <v>3423</v>
      </c>
    </row>
    <row r="2741" spans="1:11">
      <c r="A2741" s="6">
        <v>44770</v>
      </c>
      <c r="B2741" s="20" t="s">
        <v>3362</v>
      </c>
      <c r="C2741" s="6">
        <v>44769</v>
      </c>
      <c r="D2741" t="s">
        <v>3302</v>
      </c>
      <c r="E2741" t="s">
        <v>3462</v>
      </c>
      <c r="F2741" t="s">
        <v>2835</v>
      </c>
      <c r="G2741">
        <v>2514033</v>
      </c>
      <c r="H2741"/>
      <c r="I2741"/>
      <c r="J2741"/>
      <c r="K2741" t="s">
        <v>3422</v>
      </c>
    </row>
    <row r="2742" spans="1:11">
      <c r="A2742" s="6">
        <v>44770</v>
      </c>
      <c r="B2742" s="20" t="s">
        <v>3362</v>
      </c>
      <c r="C2742" s="6">
        <v>44769</v>
      </c>
      <c r="D2742" t="s">
        <v>3302</v>
      </c>
      <c r="E2742" t="s">
        <v>3463</v>
      </c>
      <c r="F2742" t="s">
        <v>2835</v>
      </c>
      <c r="G2742">
        <v>2514033</v>
      </c>
      <c r="H2742"/>
      <c r="I2742"/>
      <c r="J2742"/>
      <c r="K2742" t="s">
        <v>3423</v>
      </c>
    </row>
    <row r="2743" spans="1:11">
      <c r="A2743" s="6">
        <v>44770</v>
      </c>
      <c r="B2743" s="20" t="s">
        <v>3362</v>
      </c>
      <c r="C2743" s="6">
        <v>44769</v>
      </c>
      <c r="D2743" t="s">
        <v>3302</v>
      </c>
      <c r="E2743" t="s">
        <v>3464</v>
      </c>
      <c r="F2743" t="s">
        <v>2835</v>
      </c>
      <c r="G2743">
        <v>2514033</v>
      </c>
      <c r="H2743"/>
      <c r="I2743"/>
      <c r="J2743"/>
      <c r="K2743" t="s">
        <v>3428</v>
      </c>
    </row>
    <row r="2744" spans="1:11">
      <c r="A2744" s="6">
        <v>44770</v>
      </c>
      <c r="B2744" s="20" t="s">
        <v>3362</v>
      </c>
      <c r="C2744" s="6">
        <v>44769</v>
      </c>
      <c r="D2744" t="s">
        <v>3302</v>
      </c>
      <c r="E2744" t="s">
        <v>3465</v>
      </c>
      <c r="F2744" t="s">
        <v>2835</v>
      </c>
      <c r="G2744">
        <v>2514033</v>
      </c>
      <c r="H2744"/>
      <c r="I2744"/>
      <c r="J2744"/>
      <c r="K2744" t="s">
        <v>3429</v>
      </c>
    </row>
    <row r="2745" spans="1:11">
      <c r="A2745" s="6">
        <v>44770</v>
      </c>
      <c r="B2745" s="20" t="s">
        <v>3362</v>
      </c>
      <c r="C2745" s="6">
        <v>44769</v>
      </c>
      <c r="D2745" t="s">
        <v>3302</v>
      </c>
      <c r="E2745" t="s">
        <v>3466</v>
      </c>
      <c r="F2745" t="s">
        <v>2835</v>
      </c>
      <c r="G2745">
        <v>2514033</v>
      </c>
      <c r="H2745"/>
      <c r="I2745"/>
      <c r="J2745"/>
      <c r="K2745" t="s">
        <v>3426</v>
      </c>
    </row>
    <row r="2746" spans="1:11">
      <c r="A2746" s="6">
        <v>44770</v>
      </c>
      <c r="B2746" s="20" t="s">
        <v>3362</v>
      </c>
      <c r="C2746" s="6">
        <v>44769</v>
      </c>
      <c r="D2746" t="s">
        <v>3302</v>
      </c>
      <c r="E2746" t="s">
        <v>3467</v>
      </c>
      <c r="F2746" t="s">
        <v>2835</v>
      </c>
      <c r="G2746">
        <v>2514033</v>
      </c>
      <c r="H2746"/>
      <c r="I2746"/>
      <c r="J2746"/>
      <c r="K2746" t="s">
        <v>3427</v>
      </c>
    </row>
    <row r="2747" spans="1:11">
      <c r="A2747" s="6">
        <v>44770</v>
      </c>
      <c r="B2747" s="20" t="s">
        <v>3362</v>
      </c>
      <c r="C2747" s="6">
        <v>44769</v>
      </c>
      <c r="D2747" t="s">
        <v>3302</v>
      </c>
      <c r="E2747" t="s">
        <v>3468</v>
      </c>
      <c r="F2747" t="s">
        <v>2835</v>
      </c>
      <c r="G2747">
        <v>2514033</v>
      </c>
      <c r="H2747"/>
      <c r="I2747"/>
      <c r="J2747"/>
      <c r="K2747" t="s">
        <v>3425</v>
      </c>
    </row>
    <row r="2748" spans="1:11">
      <c r="A2748" s="6">
        <v>44770</v>
      </c>
      <c r="B2748" s="20" t="s">
        <v>3362</v>
      </c>
      <c r="C2748" s="6">
        <v>44769</v>
      </c>
      <c r="D2748" t="s">
        <v>3302</v>
      </c>
      <c r="E2748" t="s">
        <v>3469</v>
      </c>
      <c r="F2748" t="s">
        <v>2835</v>
      </c>
      <c r="G2748">
        <v>2514033</v>
      </c>
      <c r="H2748"/>
      <c r="I2748"/>
      <c r="J2748"/>
      <c r="K2748" t="s">
        <v>3430</v>
      </c>
    </row>
    <row r="2749" spans="1:11">
      <c r="A2749" s="6">
        <v>44770</v>
      </c>
      <c r="B2749" s="20" t="s">
        <v>3362</v>
      </c>
      <c r="C2749" s="6">
        <v>44769</v>
      </c>
      <c r="D2749" t="s">
        <v>3302</v>
      </c>
      <c r="E2749" t="s">
        <v>3470</v>
      </c>
      <c r="F2749" t="s">
        <v>2835</v>
      </c>
      <c r="G2749">
        <v>2514033</v>
      </c>
      <c r="H2749"/>
      <c r="I2749"/>
      <c r="J2749"/>
      <c r="K2749" t="s">
        <v>3424</v>
      </c>
    </row>
    <row r="2750" spans="1:11">
      <c r="A2750" s="6">
        <v>44770</v>
      </c>
      <c r="B2750" s="20" t="s">
        <v>3362</v>
      </c>
      <c r="C2750" s="6">
        <v>44769</v>
      </c>
      <c r="D2750" t="s">
        <v>3302</v>
      </c>
      <c r="E2750" t="s">
        <v>3433</v>
      </c>
      <c r="F2750" t="s">
        <v>2835</v>
      </c>
      <c r="G2750">
        <v>2514033</v>
      </c>
      <c r="H2750"/>
      <c r="I2750"/>
      <c r="J2750"/>
      <c r="K2750" t="s">
        <v>3421</v>
      </c>
    </row>
    <row r="2751" spans="1:11">
      <c r="A2751" s="26" t="s">
        <v>3364</v>
      </c>
      <c r="B2751" s="27" t="s">
        <v>954</v>
      </c>
      <c r="C2751" s="38">
        <v>44778</v>
      </c>
      <c r="D2751" t="s">
        <v>965</v>
      </c>
      <c r="E2751" t="s">
        <v>3471</v>
      </c>
      <c r="F2751" s="26" t="s">
        <v>210</v>
      </c>
      <c r="G2751">
        <v>931514180</v>
      </c>
      <c r="H2751"/>
      <c r="I2751"/>
      <c r="J2751"/>
      <c r="K2751" t="s">
        <v>3428</v>
      </c>
    </row>
    <row r="2752" spans="1:11">
      <c r="A2752"/>
      <c r="B2752" s="20"/>
      <c r="C2752"/>
      <c r="D2752" s="24" t="s">
        <v>967</v>
      </c>
      <c r="E2752" t="s">
        <v>3472</v>
      </c>
      <c r="F2752"/>
      <c r="G2752"/>
      <c r="H2752"/>
      <c r="I2752"/>
      <c r="J2752"/>
      <c r="K2752" t="s">
        <v>3428</v>
      </c>
    </row>
    <row r="2753" spans="1:11">
      <c r="A2753"/>
      <c r="B2753" s="20"/>
      <c r="C2753"/>
      <c r="D2753" s="24" t="s">
        <v>969</v>
      </c>
      <c r="E2753" t="s">
        <v>3473</v>
      </c>
      <c r="F2753"/>
      <c r="G2753"/>
      <c r="H2753"/>
      <c r="I2753"/>
      <c r="J2753"/>
      <c r="K2753" t="s">
        <v>3428</v>
      </c>
    </row>
    <row r="2754" spans="1:11">
      <c r="A2754"/>
      <c r="B2754" s="20"/>
      <c r="C2754"/>
      <c r="D2754" s="24" t="s">
        <v>971</v>
      </c>
      <c r="E2754" t="s">
        <v>3474</v>
      </c>
      <c r="F2754"/>
      <c r="G2754"/>
      <c r="H2754"/>
      <c r="I2754"/>
      <c r="J2754"/>
      <c r="K2754" t="s">
        <v>3428</v>
      </c>
    </row>
    <row r="2755" spans="1:11">
      <c r="A2755"/>
      <c r="B2755" s="20"/>
      <c r="C2755"/>
      <c r="D2755" s="24" t="s">
        <v>975</v>
      </c>
      <c r="E2755" t="s">
        <v>3475</v>
      </c>
      <c r="F2755"/>
      <c r="G2755"/>
      <c r="H2755"/>
      <c r="I2755"/>
      <c r="J2755"/>
      <c r="K2755" t="s">
        <v>3428</v>
      </c>
    </row>
    <row r="2756" spans="1:11">
      <c r="A2756" s="28"/>
      <c r="B2756" s="29"/>
      <c r="C2756" s="28"/>
      <c r="D2756" s="46" t="s">
        <v>17</v>
      </c>
      <c r="E2756" s="28" t="s">
        <v>3476</v>
      </c>
      <c r="F2756" s="28"/>
      <c r="G2756" s="28"/>
      <c r="H2756" s="28"/>
      <c r="I2756" s="28"/>
      <c r="J2756" s="28"/>
      <c r="K2756" s="28" t="s">
        <v>3428</v>
      </c>
    </row>
    <row r="2757" spans="1:11">
      <c r="A2757" s="26" t="s">
        <v>3364</v>
      </c>
      <c r="B2757" s="27" t="s">
        <v>954</v>
      </c>
      <c r="C2757" s="38">
        <v>44778</v>
      </c>
      <c r="D2757" t="s">
        <v>965</v>
      </c>
      <c r="E2757" t="s">
        <v>3477</v>
      </c>
      <c r="F2757" s="26" t="s">
        <v>210</v>
      </c>
      <c r="G2757">
        <v>931514180</v>
      </c>
      <c r="H2757"/>
      <c r="I2757"/>
      <c r="J2757"/>
      <c r="K2757" t="s">
        <v>3423</v>
      </c>
    </row>
    <row r="2758" spans="1:11">
      <c r="A2758"/>
      <c r="B2758" s="20"/>
      <c r="C2758"/>
      <c r="D2758" s="24" t="s">
        <v>967</v>
      </c>
      <c r="E2758" t="s">
        <v>3478</v>
      </c>
      <c r="F2758"/>
      <c r="G2758"/>
      <c r="H2758"/>
      <c r="I2758"/>
      <c r="J2758"/>
      <c r="K2758" t="s">
        <v>3423</v>
      </c>
    </row>
    <row r="2759" spans="1:11">
      <c r="A2759"/>
      <c r="B2759" s="20"/>
      <c r="C2759"/>
      <c r="D2759" s="24" t="s">
        <v>969</v>
      </c>
      <c r="E2759" t="s">
        <v>3479</v>
      </c>
      <c r="F2759"/>
      <c r="G2759"/>
      <c r="H2759"/>
      <c r="I2759"/>
      <c r="J2759"/>
      <c r="K2759" t="s">
        <v>3423</v>
      </c>
    </row>
    <row r="2760" spans="1:11">
      <c r="A2760"/>
      <c r="B2760" s="20"/>
      <c r="C2760"/>
      <c r="D2760" s="24" t="s">
        <v>971</v>
      </c>
      <c r="E2760" t="s">
        <v>3480</v>
      </c>
      <c r="F2760"/>
      <c r="G2760"/>
      <c r="H2760"/>
      <c r="I2760"/>
      <c r="J2760"/>
      <c r="K2760" t="s">
        <v>3423</v>
      </c>
    </row>
    <row r="2761" spans="1:11">
      <c r="A2761"/>
      <c r="B2761" s="20"/>
      <c r="C2761"/>
      <c r="D2761" s="24" t="s">
        <v>975</v>
      </c>
      <c r="E2761" t="s">
        <v>3481</v>
      </c>
      <c r="F2761"/>
      <c r="G2761"/>
      <c r="H2761"/>
      <c r="I2761"/>
      <c r="J2761"/>
      <c r="K2761" t="s">
        <v>3423</v>
      </c>
    </row>
    <row r="2762" spans="1:11">
      <c r="A2762" s="28"/>
      <c r="B2762" s="29"/>
      <c r="C2762" s="28"/>
      <c r="D2762" s="46" t="s">
        <v>17</v>
      </c>
      <c r="E2762" s="28" t="s">
        <v>3482</v>
      </c>
      <c r="F2762" s="28"/>
      <c r="G2762" s="28"/>
      <c r="H2762" s="28"/>
      <c r="I2762" s="28"/>
      <c r="J2762" s="28"/>
      <c r="K2762" s="28" t="s">
        <v>3423</v>
      </c>
    </row>
    <row r="2763" spans="1:11">
      <c r="A2763" s="26" t="s">
        <v>3364</v>
      </c>
      <c r="B2763" s="27" t="s">
        <v>954</v>
      </c>
      <c r="C2763" s="38">
        <v>44778</v>
      </c>
      <c r="D2763" t="s">
        <v>965</v>
      </c>
      <c r="E2763" t="s">
        <v>3483</v>
      </c>
      <c r="F2763" s="26" t="s">
        <v>210</v>
      </c>
      <c r="G2763">
        <v>931514180</v>
      </c>
      <c r="H2763"/>
      <c r="I2763"/>
      <c r="J2763"/>
      <c r="K2763" t="s">
        <v>3429</v>
      </c>
    </row>
    <row r="2764" spans="1:11">
      <c r="A2764"/>
      <c r="B2764" s="20"/>
      <c r="C2764"/>
      <c r="D2764" s="24" t="s">
        <v>967</v>
      </c>
      <c r="E2764" t="s">
        <v>3484</v>
      </c>
      <c r="F2764"/>
      <c r="G2764"/>
      <c r="H2764"/>
      <c r="I2764"/>
      <c r="J2764"/>
      <c r="K2764" t="s">
        <v>3429</v>
      </c>
    </row>
    <row r="2765" spans="1:11">
      <c r="A2765"/>
      <c r="B2765" s="20"/>
      <c r="C2765"/>
      <c r="D2765" s="24" t="s">
        <v>969</v>
      </c>
      <c r="E2765" t="s">
        <v>3485</v>
      </c>
      <c r="F2765"/>
      <c r="G2765"/>
      <c r="H2765"/>
      <c r="I2765"/>
      <c r="J2765"/>
      <c r="K2765" t="s">
        <v>3429</v>
      </c>
    </row>
    <row r="2766" spans="1:11">
      <c r="A2766"/>
      <c r="B2766" s="20"/>
      <c r="C2766"/>
      <c r="D2766" s="24" t="s">
        <v>971</v>
      </c>
      <c r="E2766" t="s">
        <v>3486</v>
      </c>
      <c r="F2766"/>
      <c r="G2766"/>
      <c r="H2766"/>
      <c r="I2766"/>
      <c r="J2766"/>
      <c r="K2766" t="s">
        <v>3429</v>
      </c>
    </row>
    <row r="2767" spans="1:11">
      <c r="A2767"/>
      <c r="B2767" s="20"/>
      <c r="C2767"/>
      <c r="D2767" s="24" t="s">
        <v>975</v>
      </c>
      <c r="E2767" t="s">
        <v>3487</v>
      </c>
      <c r="F2767"/>
      <c r="G2767"/>
      <c r="H2767"/>
      <c r="I2767"/>
      <c r="J2767"/>
      <c r="K2767" t="s">
        <v>3429</v>
      </c>
    </row>
    <row r="2768" spans="1:11">
      <c r="A2768" s="28"/>
      <c r="B2768" s="29"/>
      <c r="C2768" s="28"/>
      <c r="D2768" s="46" t="s">
        <v>17</v>
      </c>
      <c r="E2768" s="28" t="s">
        <v>3488</v>
      </c>
      <c r="F2768" s="28"/>
      <c r="G2768" s="28"/>
      <c r="H2768" s="28"/>
      <c r="I2768" s="28"/>
      <c r="J2768" s="28"/>
      <c r="K2768" s="28" t="s">
        <v>3429</v>
      </c>
    </row>
    <row r="2769" spans="1:11">
      <c r="A2769" s="26" t="s">
        <v>3364</v>
      </c>
      <c r="B2769" s="27" t="s">
        <v>954</v>
      </c>
      <c r="C2769" s="38">
        <v>44778</v>
      </c>
      <c r="D2769" t="s">
        <v>965</v>
      </c>
      <c r="E2769" t="s">
        <v>3434</v>
      </c>
      <c r="F2769" s="26" t="s">
        <v>210</v>
      </c>
      <c r="G2769">
        <v>931514180</v>
      </c>
      <c r="H2769"/>
      <c r="I2769"/>
      <c r="J2769"/>
      <c r="K2769" t="s">
        <v>3421</v>
      </c>
    </row>
    <row r="2770" spans="1:11">
      <c r="A2770"/>
      <c r="B2770" s="20"/>
      <c r="C2770"/>
      <c r="D2770" s="24" t="s">
        <v>967</v>
      </c>
      <c r="E2770" t="s">
        <v>3435</v>
      </c>
      <c r="F2770"/>
      <c r="G2770"/>
      <c r="H2770"/>
      <c r="I2770"/>
      <c r="J2770"/>
      <c r="K2770" t="s">
        <v>3421</v>
      </c>
    </row>
    <row r="2771" spans="1:11">
      <c r="A2771"/>
      <c r="B2771" s="20"/>
      <c r="C2771"/>
      <c r="D2771" s="24" t="s">
        <v>969</v>
      </c>
      <c r="E2771" t="s">
        <v>3436</v>
      </c>
      <c r="F2771"/>
      <c r="G2771"/>
      <c r="H2771"/>
      <c r="I2771"/>
      <c r="J2771"/>
      <c r="K2771" t="s">
        <v>3421</v>
      </c>
    </row>
    <row r="2772" spans="1:11">
      <c r="A2772"/>
      <c r="B2772" s="20"/>
      <c r="C2772"/>
      <c r="D2772" s="24" t="s">
        <v>971</v>
      </c>
      <c r="E2772" t="s">
        <v>3437</v>
      </c>
      <c r="F2772"/>
      <c r="G2772"/>
      <c r="H2772"/>
      <c r="I2772"/>
      <c r="J2772"/>
      <c r="K2772" t="s">
        <v>3421</v>
      </c>
    </row>
    <row r="2773" spans="1:11">
      <c r="A2773"/>
      <c r="B2773" s="20"/>
      <c r="C2773"/>
      <c r="D2773" s="24" t="s">
        <v>975</v>
      </c>
      <c r="E2773" t="s">
        <v>3438</v>
      </c>
      <c r="F2773"/>
      <c r="G2773"/>
      <c r="H2773"/>
      <c r="I2773"/>
      <c r="J2773"/>
      <c r="K2773" t="s">
        <v>3421</v>
      </c>
    </row>
    <row r="2774" spans="1:11">
      <c r="A2774" s="28"/>
      <c r="B2774" s="29"/>
      <c r="C2774" s="28"/>
      <c r="D2774" s="46" t="s">
        <v>17</v>
      </c>
      <c r="E2774" s="28" t="s">
        <v>3439</v>
      </c>
      <c r="F2774" s="28"/>
      <c r="G2774" s="28"/>
      <c r="H2774" s="28"/>
      <c r="I2774" s="28"/>
      <c r="J2774" s="28"/>
      <c r="K2774" s="28" t="s">
        <v>3421</v>
      </c>
    </row>
    <row r="2775" spans="1:11">
      <c r="A2775" s="26" t="s">
        <v>3364</v>
      </c>
      <c r="B2775" s="27" t="s">
        <v>954</v>
      </c>
      <c r="C2775" s="38">
        <v>44778</v>
      </c>
      <c r="D2775" t="s">
        <v>965</v>
      </c>
      <c r="E2775" t="s">
        <v>3489</v>
      </c>
      <c r="F2775" s="26" t="s">
        <v>210</v>
      </c>
      <c r="G2775">
        <v>931514180</v>
      </c>
      <c r="H2775"/>
      <c r="I2775"/>
      <c r="J2775"/>
      <c r="K2775" t="s">
        <v>3422</v>
      </c>
    </row>
    <row r="2776" spans="1:11">
      <c r="A2776"/>
      <c r="B2776" s="20"/>
      <c r="C2776"/>
      <c r="D2776" s="24" t="s">
        <v>967</v>
      </c>
      <c r="E2776" t="s">
        <v>3490</v>
      </c>
      <c r="F2776"/>
      <c r="G2776"/>
      <c r="H2776"/>
      <c r="I2776"/>
      <c r="J2776"/>
      <c r="K2776" t="s">
        <v>3422</v>
      </c>
    </row>
    <row r="2777" spans="1:11">
      <c r="A2777"/>
      <c r="B2777" s="20"/>
      <c r="C2777"/>
      <c r="D2777" s="24" t="s">
        <v>969</v>
      </c>
      <c r="E2777" t="s">
        <v>3491</v>
      </c>
      <c r="F2777"/>
      <c r="G2777"/>
      <c r="H2777"/>
      <c r="I2777"/>
      <c r="J2777"/>
      <c r="K2777" t="s">
        <v>3422</v>
      </c>
    </row>
    <row r="2778" spans="1:11">
      <c r="A2778"/>
      <c r="B2778" s="20"/>
      <c r="C2778"/>
      <c r="D2778" s="24" t="s">
        <v>971</v>
      </c>
      <c r="E2778" t="s">
        <v>3492</v>
      </c>
      <c r="F2778"/>
      <c r="G2778"/>
      <c r="H2778"/>
      <c r="I2778"/>
      <c r="J2778"/>
      <c r="K2778" t="s">
        <v>3422</v>
      </c>
    </row>
    <row r="2779" spans="1:11">
      <c r="A2779"/>
      <c r="B2779" s="20"/>
      <c r="C2779"/>
      <c r="D2779" s="24" t="s">
        <v>975</v>
      </c>
      <c r="E2779" t="s">
        <v>3493</v>
      </c>
      <c r="F2779"/>
      <c r="G2779"/>
      <c r="H2779"/>
      <c r="I2779"/>
      <c r="J2779"/>
      <c r="K2779" t="s">
        <v>3422</v>
      </c>
    </row>
    <row r="2780" spans="1:11">
      <c r="A2780" s="28"/>
      <c r="B2780" s="29"/>
      <c r="C2780" s="28"/>
      <c r="D2780" s="46" t="s">
        <v>17</v>
      </c>
      <c r="E2780" s="28" t="s">
        <v>3494</v>
      </c>
      <c r="F2780" s="28"/>
      <c r="G2780" s="28"/>
      <c r="H2780" s="28"/>
      <c r="I2780" s="28"/>
      <c r="J2780" s="28"/>
      <c r="K2780" s="28" t="s">
        <v>3422</v>
      </c>
    </row>
    <row r="2781" spans="1:11">
      <c r="A2781" s="26" t="s">
        <v>3364</v>
      </c>
      <c r="B2781" s="27" t="s">
        <v>954</v>
      </c>
      <c r="C2781" s="38">
        <v>44778</v>
      </c>
      <c r="D2781" t="s">
        <v>965</v>
      </c>
      <c r="E2781" t="s">
        <v>3495</v>
      </c>
      <c r="F2781" s="26" t="s">
        <v>210</v>
      </c>
      <c r="G2781">
        <v>931514179</v>
      </c>
      <c r="H2781"/>
      <c r="I2781"/>
      <c r="J2781"/>
      <c r="K2781" t="s">
        <v>3427</v>
      </c>
    </row>
    <row r="2782" spans="1:11">
      <c r="A2782"/>
      <c r="B2782" s="20"/>
      <c r="C2782"/>
      <c r="D2782" s="24" t="s">
        <v>967</v>
      </c>
      <c r="E2782" t="s">
        <v>3496</v>
      </c>
      <c r="F2782"/>
      <c r="G2782"/>
      <c r="H2782"/>
      <c r="I2782"/>
      <c r="J2782"/>
      <c r="K2782" t="s">
        <v>3427</v>
      </c>
    </row>
    <row r="2783" spans="1:11">
      <c r="A2783"/>
      <c r="B2783" s="20"/>
      <c r="C2783"/>
      <c r="D2783" s="24" t="s">
        <v>969</v>
      </c>
      <c r="E2783" t="s">
        <v>3497</v>
      </c>
      <c r="F2783"/>
      <c r="G2783"/>
      <c r="H2783"/>
      <c r="I2783"/>
      <c r="J2783"/>
      <c r="K2783" t="s">
        <v>3427</v>
      </c>
    </row>
    <row r="2784" spans="1:11">
      <c r="A2784"/>
      <c r="B2784" s="20"/>
      <c r="C2784"/>
      <c r="D2784" s="24" t="s">
        <v>971</v>
      </c>
      <c r="E2784" t="s">
        <v>3498</v>
      </c>
      <c r="F2784"/>
      <c r="G2784"/>
      <c r="H2784"/>
      <c r="I2784"/>
      <c r="J2784"/>
      <c r="K2784" t="s">
        <v>3427</v>
      </c>
    </row>
    <row r="2785" spans="1:11">
      <c r="A2785"/>
      <c r="B2785" s="20"/>
      <c r="C2785"/>
      <c r="D2785" s="24" t="s">
        <v>975</v>
      </c>
      <c r="E2785" t="s">
        <v>3499</v>
      </c>
      <c r="F2785"/>
      <c r="G2785"/>
      <c r="H2785"/>
      <c r="I2785"/>
      <c r="J2785"/>
      <c r="K2785" t="s">
        <v>3427</v>
      </c>
    </row>
    <row r="2786" spans="1:11">
      <c r="A2786" s="28"/>
      <c r="B2786" s="29"/>
      <c r="C2786" s="28"/>
      <c r="D2786" s="46" t="s">
        <v>17</v>
      </c>
      <c r="E2786" s="28" t="s">
        <v>3500</v>
      </c>
      <c r="F2786" s="28"/>
      <c r="G2786" s="28"/>
      <c r="H2786" s="28"/>
      <c r="I2786" s="28"/>
      <c r="J2786" s="28"/>
      <c r="K2786" s="28" t="s">
        <v>3427</v>
      </c>
    </row>
    <row r="2787" spans="1:11">
      <c r="A2787" s="26" t="s">
        <v>3364</v>
      </c>
      <c r="B2787" s="27" t="s">
        <v>954</v>
      </c>
      <c r="C2787" s="38">
        <v>44778</v>
      </c>
      <c r="D2787" t="s">
        <v>965</v>
      </c>
      <c r="E2787" t="s">
        <v>3501</v>
      </c>
      <c r="F2787" s="26" t="s">
        <v>210</v>
      </c>
      <c r="G2787">
        <v>931514179</v>
      </c>
      <c r="H2787"/>
      <c r="I2787"/>
      <c r="J2787"/>
      <c r="K2787" t="s">
        <v>3430</v>
      </c>
    </row>
    <row r="2788" spans="1:11">
      <c r="A2788"/>
      <c r="B2788" s="20"/>
      <c r="C2788"/>
      <c r="D2788" s="24" t="s">
        <v>967</v>
      </c>
      <c r="E2788" t="s">
        <v>3502</v>
      </c>
      <c r="F2788"/>
      <c r="G2788"/>
      <c r="H2788"/>
      <c r="I2788"/>
      <c r="J2788"/>
      <c r="K2788" t="s">
        <v>3430</v>
      </c>
    </row>
    <row r="2789" spans="1:11">
      <c r="A2789"/>
      <c r="B2789" s="20"/>
      <c r="C2789"/>
      <c r="D2789" s="24" t="s">
        <v>969</v>
      </c>
      <c r="E2789" t="s">
        <v>3503</v>
      </c>
      <c r="F2789"/>
      <c r="G2789"/>
      <c r="H2789"/>
      <c r="I2789"/>
      <c r="J2789"/>
      <c r="K2789" t="s">
        <v>3430</v>
      </c>
    </row>
    <row r="2790" spans="1:11">
      <c r="A2790"/>
      <c r="B2790" s="20"/>
      <c r="C2790"/>
      <c r="D2790" s="24" t="s">
        <v>971</v>
      </c>
      <c r="E2790" t="s">
        <v>3504</v>
      </c>
      <c r="F2790"/>
      <c r="G2790"/>
      <c r="H2790"/>
      <c r="I2790"/>
      <c r="J2790"/>
      <c r="K2790" t="s">
        <v>3430</v>
      </c>
    </row>
    <row r="2791" spans="1:11">
      <c r="A2791"/>
      <c r="B2791" s="20"/>
      <c r="C2791"/>
      <c r="D2791" s="24" t="s">
        <v>975</v>
      </c>
      <c r="E2791" t="s">
        <v>3505</v>
      </c>
      <c r="F2791"/>
      <c r="G2791"/>
      <c r="H2791"/>
      <c r="I2791"/>
      <c r="J2791"/>
      <c r="K2791" t="s">
        <v>3430</v>
      </c>
    </row>
    <row r="2792" spans="1:11">
      <c r="A2792" s="28"/>
      <c r="B2792" s="29"/>
      <c r="C2792" s="28"/>
      <c r="D2792" s="46" t="s">
        <v>17</v>
      </c>
      <c r="E2792" s="28" t="s">
        <v>3506</v>
      </c>
      <c r="F2792" s="28"/>
      <c r="G2792" s="28"/>
      <c r="H2792" s="28"/>
      <c r="I2792" s="28"/>
      <c r="J2792" s="28"/>
      <c r="K2792" s="28" t="s">
        <v>3430</v>
      </c>
    </row>
    <row r="2793" spans="1:11">
      <c r="A2793" s="26" t="s">
        <v>3364</v>
      </c>
      <c r="B2793" s="27" t="s">
        <v>954</v>
      </c>
      <c r="C2793" s="38">
        <v>44778</v>
      </c>
      <c r="D2793" t="s">
        <v>965</v>
      </c>
      <c r="E2793" t="s">
        <v>3507</v>
      </c>
      <c r="F2793" s="26" t="s">
        <v>210</v>
      </c>
      <c r="G2793">
        <v>931514179</v>
      </c>
      <c r="H2793"/>
      <c r="I2793"/>
      <c r="J2793"/>
      <c r="K2793" t="s">
        <v>3425</v>
      </c>
    </row>
    <row r="2794" spans="1:11">
      <c r="A2794"/>
      <c r="B2794" s="20"/>
      <c r="C2794"/>
      <c r="D2794" s="24" t="s">
        <v>967</v>
      </c>
      <c r="E2794" t="s">
        <v>3508</v>
      </c>
      <c r="F2794"/>
      <c r="G2794"/>
      <c r="H2794"/>
      <c r="I2794"/>
      <c r="J2794"/>
      <c r="K2794" t="s">
        <v>3425</v>
      </c>
    </row>
    <row r="2795" spans="1:11">
      <c r="A2795"/>
      <c r="B2795" s="20"/>
      <c r="C2795"/>
      <c r="D2795" s="24" t="s">
        <v>969</v>
      </c>
      <c r="E2795" t="s">
        <v>3509</v>
      </c>
      <c r="F2795"/>
      <c r="G2795"/>
      <c r="H2795"/>
      <c r="I2795"/>
      <c r="J2795"/>
      <c r="K2795" t="s">
        <v>3425</v>
      </c>
    </row>
    <row r="2796" spans="1:11">
      <c r="A2796"/>
      <c r="B2796" s="20"/>
      <c r="C2796"/>
      <c r="D2796" s="24" t="s">
        <v>971</v>
      </c>
      <c r="E2796" t="s">
        <v>3510</v>
      </c>
      <c r="F2796"/>
      <c r="G2796"/>
      <c r="H2796"/>
      <c r="I2796"/>
      <c r="J2796"/>
      <c r="K2796" t="s">
        <v>3425</v>
      </c>
    </row>
    <row r="2797" spans="1:11">
      <c r="A2797"/>
      <c r="B2797" s="20"/>
      <c r="C2797"/>
      <c r="D2797" s="24" t="s">
        <v>975</v>
      </c>
      <c r="E2797" t="s">
        <v>3511</v>
      </c>
      <c r="F2797"/>
      <c r="G2797"/>
      <c r="H2797"/>
      <c r="I2797"/>
      <c r="J2797"/>
      <c r="K2797" t="s">
        <v>3425</v>
      </c>
    </row>
    <row r="2798" spans="1:11">
      <c r="A2798" s="28"/>
      <c r="B2798" s="29"/>
      <c r="C2798" s="28"/>
      <c r="D2798" s="46" t="s">
        <v>17</v>
      </c>
      <c r="E2798" s="28" t="s">
        <v>3512</v>
      </c>
      <c r="F2798" s="28"/>
      <c r="G2798" s="28"/>
      <c r="H2798" s="28"/>
      <c r="I2798" s="28"/>
      <c r="J2798" s="28"/>
      <c r="K2798" s="28" t="s">
        <v>3425</v>
      </c>
    </row>
    <row r="2799" spans="1:11">
      <c r="A2799" s="26" t="s">
        <v>3364</v>
      </c>
      <c r="B2799" s="27" t="s">
        <v>954</v>
      </c>
      <c r="C2799" s="38">
        <v>44778</v>
      </c>
      <c r="D2799" t="s">
        <v>965</v>
      </c>
      <c r="E2799" t="s">
        <v>3513</v>
      </c>
      <c r="F2799" s="26" t="s">
        <v>210</v>
      </c>
      <c r="G2799">
        <v>931514179</v>
      </c>
      <c r="H2799"/>
      <c r="I2799"/>
      <c r="J2799"/>
      <c r="K2799" t="s">
        <v>3426</v>
      </c>
    </row>
    <row r="2800" spans="1:11">
      <c r="A2800"/>
      <c r="B2800" s="20"/>
      <c r="C2800"/>
      <c r="D2800" s="24" t="s">
        <v>967</v>
      </c>
      <c r="E2800" t="s">
        <v>3514</v>
      </c>
      <c r="F2800"/>
      <c r="G2800"/>
      <c r="H2800"/>
      <c r="I2800"/>
      <c r="J2800"/>
      <c r="K2800" t="s">
        <v>3426</v>
      </c>
    </row>
    <row r="2801" spans="1:11">
      <c r="A2801"/>
      <c r="B2801" s="20"/>
      <c r="C2801"/>
      <c r="D2801" s="24" t="s">
        <v>969</v>
      </c>
      <c r="E2801" t="s">
        <v>3515</v>
      </c>
      <c r="F2801"/>
      <c r="G2801"/>
      <c r="H2801"/>
      <c r="I2801"/>
      <c r="J2801"/>
      <c r="K2801" t="s">
        <v>3426</v>
      </c>
    </row>
    <row r="2802" spans="1:11">
      <c r="A2802"/>
      <c r="B2802" s="20"/>
      <c r="C2802"/>
      <c r="D2802" s="24" t="s">
        <v>971</v>
      </c>
      <c r="E2802" t="s">
        <v>3516</v>
      </c>
      <c r="F2802"/>
      <c r="G2802"/>
      <c r="H2802"/>
      <c r="I2802"/>
      <c r="J2802"/>
      <c r="K2802" t="s">
        <v>3426</v>
      </c>
    </row>
    <row r="2803" spans="1:11">
      <c r="A2803"/>
      <c r="B2803" s="20"/>
      <c r="C2803"/>
      <c r="D2803" s="24" t="s">
        <v>975</v>
      </c>
      <c r="E2803" t="s">
        <v>3517</v>
      </c>
      <c r="F2803"/>
      <c r="G2803"/>
      <c r="H2803"/>
      <c r="I2803"/>
      <c r="J2803"/>
      <c r="K2803" t="s">
        <v>3426</v>
      </c>
    </row>
    <row r="2804" spans="1:11">
      <c r="A2804" s="28"/>
      <c r="B2804" s="29"/>
      <c r="C2804" s="28"/>
      <c r="D2804" s="46" t="s">
        <v>17</v>
      </c>
      <c r="E2804" s="28" t="s">
        <v>3518</v>
      </c>
      <c r="F2804" s="28"/>
      <c r="G2804" s="28"/>
      <c r="H2804" s="28"/>
      <c r="I2804" s="28"/>
      <c r="J2804" s="28"/>
      <c r="K2804" s="28" t="s">
        <v>3426</v>
      </c>
    </row>
    <row r="2805" spans="1:11">
      <c r="A2805" s="26" t="s">
        <v>3364</v>
      </c>
      <c r="B2805" s="27" t="s">
        <v>954</v>
      </c>
      <c r="C2805" s="38">
        <v>44778</v>
      </c>
      <c r="D2805" t="s">
        <v>965</v>
      </c>
      <c r="E2805" t="s">
        <v>3519</v>
      </c>
      <c r="F2805" s="26" t="s">
        <v>210</v>
      </c>
      <c r="G2805">
        <v>931514179</v>
      </c>
      <c r="H2805"/>
      <c r="I2805"/>
      <c r="J2805"/>
      <c r="K2805" t="s">
        <v>3424</v>
      </c>
    </row>
    <row r="2806" spans="1:11">
      <c r="A2806"/>
      <c r="B2806" s="20"/>
      <c r="C2806"/>
      <c r="D2806" s="24" t="s">
        <v>967</v>
      </c>
      <c r="E2806" t="s">
        <v>3520</v>
      </c>
      <c r="F2806"/>
      <c r="G2806"/>
      <c r="H2806"/>
      <c r="I2806"/>
      <c r="J2806"/>
      <c r="K2806" t="s">
        <v>3424</v>
      </c>
    </row>
    <row r="2807" spans="1:11">
      <c r="A2807"/>
      <c r="B2807" s="20"/>
      <c r="C2807"/>
      <c r="D2807" s="24" t="s">
        <v>969</v>
      </c>
      <c r="E2807" t="s">
        <v>3521</v>
      </c>
      <c r="F2807"/>
      <c r="G2807"/>
      <c r="H2807"/>
      <c r="I2807"/>
      <c r="J2807"/>
      <c r="K2807" t="s">
        <v>3424</v>
      </c>
    </row>
    <row r="2808" spans="1:11">
      <c r="A2808"/>
      <c r="B2808" s="20"/>
      <c r="C2808"/>
      <c r="D2808" s="24" t="s">
        <v>971</v>
      </c>
      <c r="E2808" t="s">
        <v>3522</v>
      </c>
      <c r="F2808"/>
      <c r="G2808"/>
      <c r="H2808"/>
      <c r="I2808"/>
      <c r="J2808"/>
      <c r="K2808" t="s">
        <v>3424</v>
      </c>
    </row>
    <row r="2809" spans="1:11">
      <c r="A2809"/>
      <c r="B2809" s="20"/>
      <c r="C2809"/>
      <c r="D2809" s="24" t="s">
        <v>975</v>
      </c>
      <c r="E2809" t="s">
        <v>3523</v>
      </c>
      <c r="F2809"/>
      <c r="G2809"/>
      <c r="H2809"/>
      <c r="I2809"/>
      <c r="J2809"/>
      <c r="K2809" t="s">
        <v>3424</v>
      </c>
    </row>
    <row r="2810" spans="1:11">
      <c r="A2810" s="28"/>
      <c r="B2810" s="29"/>
      <c r="C2810" s="28"/>
      <c r="D2810" s="46" t="s">
        <v>17</v>
      </c>
      <c r="E2810" s="28" t="s">
        <v>3524</v>
      </c>
      <c r="F2810" s="28"/>
      <c r="G2810" s="28"/>
      <c r="H2810" s="28"/>
      <c r="I2810" s="28"/>
      <c r="J2810" s="28"/>
      <c r="K2810" s="28" t="s">
        <v>3424</v>
      </c>
    </row>
    <row r="2811" spans="1:11">
      <c r="A2811" s="6">
        <v>44781</v>
      </c>
      <c r="B2811" s="20" t="s">
        <v>3440</v>
      </c>
      <c r="C2811" s="6">
        <v>44778</v>
      </c>
      <c r="D2811" t="s">
        <v>3441</v>
      </c>
      <c r="E2811" t="s">
        <v>3525</v>
      </c>
      <c r="F2811" t="s">
        <v>264</v>
      </c>
      <c r="G2811" t="s">
        <v>3443</v>
      </c>
      <c r="H2811"/>
      <c r="I2811"/>
      <c r="J2811"/>
      <c r="K2811" t="s">
        <v>3423</v>
      </c>
    </row>
    <row r="2812" spans="1:11">
      <c r="A2812" s="6">
        <v>44781</v>
      </c>
      <c r="B2812" s="20" t="s">
        <v>3440</v>
      </c>
      <c r="C2812" s="6">
        <v>44778</v>
      </c>
      <c r="D2812" t="s">
        <v>3441</v>
      </c>
      <c r="E2812" t="s">
        <v>3526</v>
      </c>
      <c r="F2812" t="s">
        <v>264</v>
      </c>
      <c r="G2812" t="s">
        <v>3443</v>
      </c>
      <c r="H2812"/>
      <c r="I2812"/>
      <c r="J2812"/>
      <c r="K2812" t="s">
        <v>3429</v>
      </c>
    </row>
    <row r="2813" spans="1:11">
      <c r="A2813" s="6">
        <v>44781</v>
      </c>
      <c r="B2813" s="20" t="s">
        <v>3440</v>
      </c>
      <c r="C2813" s="6">
        <v>44778</v>
      </c>
      <c r="D2813" t="s">
        <v>3441</v>
      </c>
      <c r="E2813" t="s">
        <v>3527</v>
      </c>
      <c r="F2813" t="s">
        <v>264</v>
      </c>
      <c r="G2813" t="s">
        <v>3443</v>
      </c>
      <c r="H2813"/>
      <c r="I2813"/>
      <c r="J2813"/>
      <c r="K2813" t="s">
        <v>3428</v>
      </c>
    </row>
    <row r="2814" spans="1:11">
      <c r="A2814" s="6">
        <v>44781</v>
      </c>
      <c r="B2814" s="20" t="s">
        <v>3440</v>
      </c>
      <c r="C2814" s="6">
        <v>44778</v>
      </c>
      <c r="D2814" t="s">
        <v>3441</v>
      </c>
      <c r="E2814" t="s">
        <v>3528</v>
      </c>
      <c r="F2814" t="s">
        <v>264</v>
      </c>
      <c r="G2814" t="s">
        <v>3443</v>
      </c>
      <c r="H2814"/>
      <c r="I2814"/>
      <c r="J2814"/>
      <c r="K2814" t="s">
        <v>3424</v>
      </c>
    </row>
    <row r="2815" spans="1:11">
      <c r="A2815" s="6">
        <v>44781</v>
      </c>
      <c r="B2815" s="20" t="s">
        <v>3440</v>
      </c>
      <c r="C2815" s="6">
        <v>44778</v>
      </c>
      <c r="D2815" t="s">
        <v>3441</v>
      </c>
      <c r="E2815" t="s">
        <v>3529</v>
      </c>
      <c r="F2815" t="s">
        <v>264</v>
      </c>
      <c r="G2815" t="s">
        <v>3443</v>
      </c>
      <c r="H2815"/>
      <c r="I2815"/>
      <c r="J2815"/>
      <c r="K2815" t="s">
        <v>3422</v>
      </c>
    </row>
    <row r="2816" spans="1:11">
      <c r="A2816" s="6">
        <v>44781</v>
      </c>
      <c r="B2816" s="20" t="s">
        <v>3440</v>
      </c>
      <c r="C2816" s="6">
        <v>44778</v>
      </c>
      <c r="D2816" t="s">
        <v>3441</v>
      </c>
      <c r="E2816" t="s">
        <v>3442</v>
      </c>
      <c r="F2816" t="s">
        <v>264</v>
      </c>
      <c r="G2816" t="s">
        <v>3443</v>
      </c>
      <c r="H2816"/>
      <c r="I2816"/>
      <c r="J2816"/>
      <c r="K2816" t="s">
        <v>3421</v>
      </c>
    </row>
    <row r="2817" spans="1:11">
      <c r="A2817" s="6">
        <v>44781</v>
      </c>
      <c r="B2817" s="20" t="s">
        <v>3440</v>
      </c>
      <c r="C2817" s="6">
        <v>44778</v>
      </c>
      <c r="D2817" t="s">
        <v>3441</v>
      </c>
      <c r="E2817" t="s">
        <v>3530</v>
      </c>
      <c r="F2817" t="s">
        <v>264</v>
      </c>
      <c r="G2817" t="s">
        <v>3443</v>
      </c>
      <c r="H2817"/>
      <c r="I2817"/>
      <c r="J2817"/>
      <c r="K2817" t="s">
        <v>3425</v>
      </c>
    </row>
    <row r="2818" spans="1:11">
      <c r="A2818" s="6">
        <v>44781</v>
      </c>
      <c r="B2818" s="20" t="s">
        <v>3440</v>
      </c>
      <c r="C2818" s="6">
        <v>44778</v>
      </c>
      <c r="D2818" t="s">
        <v>3441</v>
      </c>
      <c r="E2818" t="s">
        <v>3531</v>
      </c>
      <c r="F2818" t="s">
        <v>264</v>
      </c>
      <c r="G2818" t="s">
        <v>3443</v>
      </c>
      <c r="H2818"/>
      <c r="I2818"/>
      <c r="J2818"/>
      <c r="K2818" t="s">
        <v>3426</v>
      </c>
    </row>
    <row r="2819" spans="1:11">
      <c r="A2819" s="6">
        <v>44781</v>
      </c>
      <c r="B2819" s="20" t="s">
        <v>3440</v>
      </c>
      <c r="C2819" s="6">
        <v>44778</v>
      </c>
      <c r="D2819" t="s">
        <v>3441</v>
      </c>
      <c r="E2819" t="s">
        <v>3532</v>
      </c>
      <c r="F2819" t="s">
        <v>264</v>
      </c>
      <c r="G2819" t="s">
        <v>3443</v>
      </c>
      <c r="H2819"/>
      <c r="I2819"/>
      <c r="J2819"/>
      <c r="K2819" t="s">
        <v>3427</v>
      </c>
    </row>
    <row r="2820" spans="1:11">
      <c r="A2820" s="6">
        <v>44781</v>
      </c>
      <c r="B2820" s="20" t="s">
        <v>3440</v>
      </c>
      <c r="C2820" s="6">
        <v>44778</v>
      </c>
      <c r="D2820" t="s">
        <v>3441</v>
      </c>
      <c r="E2820" t="s">
        <v>3533</v>
      </c>
      <c r="F2820" t="s">
        <v>264</v>
      </c>
      <c r="G2820" t="s">
        <v>3443</v>
      </c>
      <c r="H2820"/>
      <c r="I2820"/>
      <c r="J2820"/>
      <c r="K2820" t="s">
        <v>3430</v>
      </c>
    </row>
    <row r="2821" spans="1:11">
      <c r="A2821" s="6">
        <v>44771</v>
      </c>
      <c r="B2821" s="20" t="s">
        <v>954</v>
      </c>
      <c r="C2821" s="6">
        <v>44770</v>
      </c>
      <c r="D2821" t="s">
        <v>3553</v>
      </c>
      <c r="E2821" t="s">
        <v>3554</v>
      </c>
      <c r="F2821" t="s">
        <v>210</v>
      </c>
      <c r="G2821">
        <v>931509124</v>
      </c>
      <c r="H2821"/>
      <c r="I2821"/>
      <c r="J2821"/>
      <c r="K2821" t="s">
        <v>3535</v>
      </c>
    </row>
    <row r="2822" spans="1:11">
      <c r="A2822" s="6">
        <v>44771</v>
      </c>
      <c r="B2822" s="20" t="s">
        <v>954</v>
      </c>
      <c r="C2822" s="6">
        <v>44770</v>
      </c>
      <c r="D2822" t="s">
        <v>3553</v>
      </c>
      <c r="E2822" t="s">
        <v>3555</v>
      </c>
      <c r="F2822" t="s">
        <v>210</v>
      </c>
      <c r="G2822">
        <v>931509124</v>
      </c>
      <c r="H2822"/>
      <c r="I2822"/>
      <c r="J2822"/>
      <c r="K2822" t="s">
        <v>3536</v>
      </c>
    </row>
    <row r="2823" spans="1:11">
      <c r="A2823" s="6">
        <v>44771</v>
      </c>
      <c r="B2823" s="20" t="s">
        <v>954</v>
      </c>
      <c r="C2823" s="6">
        <v>44770</v>
      </c>
      <c r="D2823" t="s">
        <v>3553</v>
      </c>
      <c r="E2823" t="s">
        <v>3556</v>
      </c>
      <c r="F2823" t="s">
        <v>210</v>
      </c>
      <c r="G2823">
        <v>931509124</v>
      </c>
      <c r="H2823"/>
      <c r="I2823"/>
      <c r="J2823"/>
      <c r="K2823" t="s">
        <v>3536</v>
      </c>
    </row>
    <row r="2824" spans="1:11">
      <c r="A2824" s="6">
        <v>44771</v>
      </c>
      <c r="B2824" s="20" t="s">
        <v>954</v>
      </c>
      <c r="C2824" s="6">
        <v>44770</v>
      </c>
      <c r="D2824" t="s">
        <v>3553</v>
      </c>
      <c r="E2824" t="s">
        <v>3557</v>
      </c>
      <c r="F2824" t="s">
        <v>210</v>
      </c>
      <c r="G2824">
        <v>931509124</v>
      </c>
      <c r="H2824"/>
      <c r="I2824"/>
      <c r="J2824"/>
      <c r="K2824" t="s">
        <v>3537</v>
      </c>
    </row>
    <row r="2825" spans="1:11">
      <c r="A2825" s="6">
        <v>44771</v>
      </c>
      <c r="B2825" s="20" t="s">
        <v>954</v>
      </c>
      <c r="C2825" s="6">
        <v>44770</v>
      </c>
      <c r="D2825" t="s">
        <v>3553</v>
      </c>
      <c r="E2825" t="s">
        <v>3558</v>
      </c>
      <c r="F2825" t="s">
        <v>210</v>
      </c>
      <c r="G2825">
        <v>931509124</v>
      </c>
      <c r="H2825"/>
      <c r="I2825"/>
      <c r="J2825"/>
      <c r="K2825" t="s">
        <v>3537</v>
      </c>
    </row>
    <row r="2826" spans="1:11">
      <c r="A2826" s="6">
        <v>44771</v>
      </c>
      <c r="B2826" s="20" t="s">
        <v>954</v>
      </c>
      <c r="C2826" s="6">
        <v>44770</v>
      </c>
      <c r="D2826" t="s">
        <v>3553</v>
      </c>
      <c r="E2826" t="s">
        <v>3559</v>
      </c>
      <c r="F2826" t="s">
        <v>210</v>
      </c>
      <c r="G2826">
        <v>931509124</v>
      </c>
      <c r="H2826"/>
      <c r="I2826"/>
      <c r="J2826"/>
      <c r="K2826" t="s">
        <v>3538</v>
      </c>
    </row>
    <row r="2827" spans="1:11">
      <c r="A2827" s="6">
        <v>44771</v>
      </c>
      <c r="B2827" s="20" t="s">
        <v>954</v>
      </c>
      <c r="C2827" s="6">
        <v>44770</v>
      </c>
      <c r="D2827" t="s">
        <v>3553</v>
      </c>
      <c r="E2827" t="s">
        <v>3560</v>
      </c>
      <c r="F2827" t="s">
        <v>210</v>
      </c>
      <c r="G2827">
        <v>931509124</v>
      </c>
      <c r="H2827"/>
      <c r="I2827"/>
      <c r="J2827"/>
      <c r="K2827" t="s">
        <v>3538</v>
      </c>
    </row>
    <row r="2828" spans="1:11">
      <c r="A2828" s="6">
        <v>44771</v>
      </c>
      <c r="B2828" s="20" t="s">
        <v>954</v>
      </c>
      <c r="C2828" s="6">
        <v>44770</v>
      </c>
      <c r="D2828" t="s">
        <v>3553</v>
      </c>
      <c r="E2828" t="s">
        <v>3561</v>
      </c>
      <c r="F2828" t="s">
        <v>210</v>
      </c>
      <c r="G2828">
        <v>931509124</v>
      </c>
      <c r="H2828"/>
      <c r="I2828"/>
      <c r="J2828"/>
      <c r="K2828" t="s">
        <v>3539</v>
      </c>
    </row>
    <row r="2829" spans="1:11">
      <c r="A2829" s="6">
        <v>44771</v>
      </c>
      <c r="B2829" s="20" t="s">
        <v>954</v>
      </c>
      <c r="C2829" s="6">
        <v>44770</v>
      </c>
      <c r="D2829" t="s">
        <v>3553</v>
      </c>
      <c r="E2829" t="s">
        <v>3562</v>
      </c>
      <c r="F2829" t="s">
        <v>210</v>
      </c>
      <c r="G2829">
        <v>931509124</v>
      </c>
      <c r="H2829"/>
      <c r="I2829"/>
      <c r="J2829"/>
      <c r="K2829" t="s">
        <v>3539</v>
      </c>
    </row>
    <row r="2830" spans="1:11">
      <c r="A2830" s="6">
        <v>44771</v>
      </c>
      <c r="B2830" s="20" t="s">
        <v>954</v>
      </c>
      <c r="C2830" s="6">
        <v>44770</v>
      </c>
      <c r="D2830" t="s">
        <v>3553</v>
      </c>
      <c r="E2830" t="s">
        <v>3563</v>
      </c>
      <c r="F2830" t="s">
        <v>210</v>
      </c>
      <c r="G2830">
        <v>931509124</v>
      </c>
      <c r="H2830"/>
      <c r="I2830"/>
      <c r="J2830"/>
      <c r="K2830" t="s">
        <v>3540</v>
      </c>
    </row>
    <row r="2831" spans="1:11">
      <c r="A2831" s="6">
        <v>44771</v>
      </c>
      <c r="B2831" s="20" t="s">
        <v>954</v>
      </c>
      <c r="C2831" s="6">
        <v>44770</v>
      </c>
      <c r="D2831" t="s">
        <v>3553</v>
      </c>
      <c r="E2831" t="s">
        <v>3564</v>
      </c>
      <c r="F2831" t="s">
        <v>210</v>
      </c>
      <c r="G2831">
        <v>931509124</v>
      </c>
      <c r="H2831"/>
      <c r="I2831"/>
      <c r="J2831"/>
      <c r="K2831" t="s">
        <v>3540</v>
      </c>
    </row>
    <row r="2832" spans="1:11">
      <c r="A2832" s="6">
        <v>44771</v>
      </c>
      <c r="B2832" s="20" t="s">
        <v>954</v>
      </c>
      <c r="C2832" s="6">
        <v>44770</v>
      </c>
      <c r="D2832" t="s">
        <v>3553</v>
      </c>
      <c r="E2832" t="s">
        <v>3565</v>
      </c>
      <c r="F2832" t="s">
        <v>210</v>
      </c>
      <c r="G2832">
        <v>931509124</v>
      </c>
      <c r="H2832"/>
      <c r="I2832"/>
      <c r="J2832"/>
      <c r="K2832" t="s">
        <v>3541</v>
      </c>
    </row>
    <row r="2833" spans="1:11">
      <c r="A2833" s="6">
        <v>44771</v>
      </c>
      <c r="B2833" s="20" t="s">
        <v>954</v>
      </c>
      <c r="C2833" s="6">
        <v>44770</v>
      </c>
      <c r="D2833" t="s">
        <v>3553</v>
      </c>
      <c r="E2833" t="s">
        <v>3566</v>
      </c>
      <c r="F2833" t="s">
        <v>210</v>
      </c>
      <c r="G2833">
        <v>931509124</v>
      </c>
      <c r="H2833"/>
      <c r="I2833"/>
      <c r="J2833"/>
      <c r="K2833" t="s">
        <v>3541</v>
      </c>
    </row>
    <row r="2834" spans="1:11">
      <c r="A2834" s="6">
        <v>44771</v>
      </c>
      <c r="B2834" s="20" t="s">
        <v>954</v>
      </c>
      <c r="C2834" s="6">
        <v>44770</v>
      </c>
      <c r="D2834" t="s">
        <v>3553</v>
      </c>
      <c r="E2834" t="s">
        <v>3567</v>
      </c>
      <c r="F2834" t="s">
        <v>210</v>
      </c>
      <c r="G2834">
        <v>931509124</v>
      </c>
      <c r="H2834"/>
      <c r="I2834"/>
      <c r="J2834"/>
      <c r="K2834" t="s">
        <v>3542</v>
      </c>
    </row>
    <row r="2835" spans="1:11">
      <c r="A2835" s="6">
        <v>44771</v>
      </c>
      <c r="B2835" s="20" t="s">
        <v>954</v>
      </c>
      <c r="C2835" s="6">
        <v>44770</v>
      </c>
      <c r="D2835" t="s">
        <v>3553</v>
      </c>
      <c r="E2835" t="s">
        <v>3568</v>
      </c>
      <c r="F2835" t="s">
        <v>210</v>
      </c>
      <c r="G2835">
        <v>931509124</v>
      </c>
      <c r="H2835"/>
      <c r="I2835"/>
      <c r="J2835"/>
      <c r="K2835" t="s">
        <v>3542</v>
      </c>
    </row>
    <row r="2836" spans="1:11">
      <c r="A2836" s="6">
        <v>44771</v>
      </c>
      <c r="B2836" s="20" t="s">
        <v>954</v>
      </c>
      <c r="C2836" s="6">
        <v>44770</v>
      </c>
      <c r="D2836" t="s">
        <v>3553</v>
      </c>
      <c r="E2836" t="s">
        <v>3569</v>
      </c>
      <c r="F2836" t="s">
        <v>210</v>
      </c>
      <c r="G2836">
        <v>931509124</v>
      </c>
      <c r="H2836"/>
      <c r="I2836"/>
      <c r="J2836"/>
      <c r="K2836" t="s">
        <v>3543</v>
      </c>
    </row>
    <row r="2837" spans="1:11">
      <c r="A2837" s="6">
        <v>44771</v>
      </c>
      <c r="B2837" s="20" t="s">
        <v>954</v>
      </c>
      <c r="C2837" s="6">
        <v>44770</v>
      </c>
      <c r="D2837" t="s">
        <v>3553</v>
      </c>
      <c r="E2837" t="s">
        <v>3570</v>
      </c>
      <c r="F2837" t="s">
        <v>210</v>
      </c>
      <c r="G2837">
        <v>931509124</v>
      </c>
      <c r="H2837"/>
      <c r="I2837"/>
      <c r="J2837"/>
      <c r="K2837" t="s">
        <v>3543</v>
      </c>
    </row>
    <row r="2838" spans="1:11">
      <c r="A2838" s="6">
        <v>44771</v>
      </c>
      <c r="B2838" s="20" t="s">
        <v>954</v>
      </c>
      <c r="C2838" s="6">
        <v>44770</v>
      </c>
      <c r="D2838" t="s">
        <v>3553</v>
      </c>
      <c r="E2838" t="s">
        <v>3571</v>
      </c>
      <c r="F2838" t="s">
        <v>210</v>
      </c>
      <c r="G2838">
        <v>931509124</v>
      </c>
      <c r="H2838"/>
      <c r="I2838"/>
      <c r="J2838"/>
      <c r="K2838" t="s">
        <v>3544</v>
      </c>
    </row>
    <row r="2839" spans="1:11">
      <c r="A2839" s="6">
        <v>44771</v>
      </c>
      <c r="B2839" s="20" t="s">
        <v>954</v>
      </c>
      <c r="C2839" s="6">
        <v>44770</v>
      </c>
      <c r="D2839" t="s">
        <v>3553</v>
      </c>
      <c r="E2839" t="s">
        <v>3572</v>
      </c>
      <c r="F2839" t="s">
        <v>210</v>
      </c>
      <c r="G2839">
        <v>931509124</v>
      </c>
      <c r="H2839"/>
      <c r="I2839"/>
      <c r="J2839"/>
      <c r="K2839" t="s">
        <v>3544</v>
      </c>
    </row>
    <row r="2840" spans="1:11">
      <c r="A2840" s="6">
        <v>44771</v>
      </c>
      <c r="B2840" s="20" t="s">
        <v>954</v>
      </c>
      <c r="C2840" s="6">
        <v>44770</v>
      </c>
      <c r="D2840" t="s">
        <v>3553</v>
      </c>
      <c r="E2840" t="s">
        <v>3573</v>
      </c>
      <c r="F2840" t="s">
        <v>210</v>
      </c>
      <c r="G2840">
        <v>931509124</v>
      </c>
      <c r="H2840"/>
      <c r="I2840"/>
      <c r="J2840"/>
      <c r="K2840" t="s">
        <v>3545</v>
      </c>
    </row>
    <row r="2841" spans="1:11">
      <c r="A2841" s="6">
        <v>44771</v>
      </c>
      <c r="B2841" s="20" t="s">
        <v>954</v>
      </c>
      <c r="C2841" s="6">
        <v>44770</v>
      </c>
      <c r="D2841" t="s">
        <v>3553</v>
      </c>
      <c r="E2841" t="s">
        <v>3574</v>
      </c>
      <c r="F2841" t="s">
        <v>210</v>
      </c>
      <c r="G2841">
        <v>931509124</v>
      </c>
      <c r="H2841"/>
      <c r="I2841"/>
      <c r="J2841"/>
      <c r="K2841" t="s">
        <v>3545</v>
      </c>
    </row>
    <row r="2842" spans="1:11">
      <c r="A2842" s="6">
        <v>44771</v>
      </c>
      <c r="B2842" s="20" t="s">
        <v>954</v>
      </c>
      <c r="C2842" s="6">
        <v>44770</v>
      </c>
      <c r="D2842" t="s">
        <v>3553</v>
      </c>
      <c r="E2842" t="s">
        <v>3575</v>
      </c>
      <c r="F2842" t="s">
        <v>210</v>
      </c>
      <c r="G2842">
        <v>931509124</v>
      </c>
      <c r="H2842"/>
      <c r="I2842"/>
      <c r="J2842"/>
      <c r="K2842" t="s">
        <v>3546</v>
      </c>
    </row>
    <row r="2843" spans="1:11">
      <c r="A2843" s="6">
        <v>44771</v>
      </c>
      <c r="B2843" s="20" t="s">
        <v>954</v>
      </c>
      <c r="C2843" s="6">
        <v>44770</v>
      </c>
      <c r="D2843" t="s">
        <v>3553</v>
      </c>
      <c r="E2843" t="s">
        <v>3576</v>
      </c>
      <c r="F2843" t="s">
        <v>210</v>
      </c>
      <c r="G2843">
        <v>931509124</v>
      </c>
      <c r="H2843"/>
      <c r="I2843"/>
      <c r="J2843"/>
      <c r="K2843" t="s">
        <v>3546</v>
      </c>
    </row>
    <row r="2844" spans="1:11">
      <c r="A2844" s="6">
        <v>44771</v>
      </c>
      <c r="B2844" s="20" t="s">
        <v>954</v>
      </c>
      <c r="C2844" s="6">
        <v>44770</v>
      </c>
      <c r="D2844" t="s">
        <v>3553</v>
      </c>
      <c r="E2844" t="s">
        <v>3577</v>
      </c>
      <c r="F2844" t="s">
        <v>210</v>
      </c>
      <c r="G2844">
        <v>931509124</v>
      </c>
      <c r="H2844"/>
      <c r="I2844"/>
      <c r="J2844"/>
      <c r="K2844" t="s">
        <v>3547</v>
      </c>
    </row>
    <row r="2845" spans="1:11">
      <c r="A2845" s="6">
        <v>44771</v>
      </c>
      <c r="B2845" s="20" t="s">
        <v>954</v>
      </c>
      <c r="C2845" s="6">
        <v>44770</v>
      </c>
      <c r="D2845" t="s">
        <v>3553</v>
      </c>
      <c r="E2845" t="s">
        <v>3578</v>
      </c>
      <c r="F2845" t="s">
        <v>210</v>
      </c>
      <c r="G2845">
        <v>931509124</v>
      </c>
      <c r="H2845"/>
      <c r="I2845"/>
      <c r="J2845"/>
      <c r="K2845" t="s">
        <v>3547</v>
      </c>
    </row>
    <row r="2846" spans="1:11">
      <c r="A2846" s="6">
        <v>44771</v>
      </c>
      <c r="B2846" s="20" t="s">
        <v>954</v>
      </c>
      <c r="C2846" s="6">
        <v>44770</v>
      </c>
      <c r="D2846" t="s">
        <v>3553</v>
      </c>
      <c r="E2846" t="s">
        <v>3579</v>
      </c>
      <c r="F2846" t="s">
        <v>210</v>
      </c>
      <c r="G2846">
        <v>931509124</v>
      </c>
      <c r="H2846"/>
      <c r="I2846"/>
      <c r="J2846"/>
      <c r="K2846" t="s">
        <v>3552</v>
      </c>
    </row>
    <row r="2847" spans="1:11">
      <c r="A2847" s="6">
        <v>44771</v>
      </c>
      <c r="B2847" s="20" t="s">
        <v>954</v>
      </c>
      <c r="C2847" s="6">
        <v>44770</v>
      </c>
      <c r="D2847" t="s">
        <v>3553</v>
      </c>
      <c r="E2847" t="s">
        <v>3580</v>
      </c>
      <c r="F2847" t="s">
        <v>210</v>
      </c>
      <c r="G2847">
        <v>931509124</v>
      </c>
      <c r="H2847"/>
      <c r="I2847"/>
      <c r="J2847"/>
      <c r="K2847" t="s">
        <v>3552</v>
      </c>
    </row>
    <row r="2848" spans="1:11">
      <c r="A2848" s="6">
        <v>44771</v>
      </c>
      <c r="B2848" s="20" t="s">
        <v>954</v>
      </c>
      <c r="C2848" s="6">
        <v>44770</v>
      </c>
      <c r="D2848" t="s">
        <v>3553</v>
      </c>
      <c r="E2848" t="s">
        <v>3581</v>
      </c>
      <c r="F2848" t="s">
        <v>210</v>
      </c>
      <c r="G2848">
        <v>931509124</v>
      </c>
      <c r="H2848"/>
      <c r="I2848"/>
      <c r="J2848"/>
      <c r="K2848" t="s">
        <v>3551</v>
      </c>
    </row>
    <row r="2849" spans="1:11">
      <c r="A2849" s="6">
        <v>44771</v>
      </c>
      <c r="B2849" s="20" t="s">
        <v>954</v>
      </c>
      <c r="C2849" s="6">
        <v>44770</v>
      </c>
      <c r="D2849" t="s">
        <v>3553</v>
      </c>
      <c r="E2849" t="s">
        <v>3582</v>
      </c>
      <c r="F2849" t="s">
        <v>210</v>
      </c>
      <c r="G2849">
        <v>931509124</v>
      </c>
      <c r="H2849"/>
      <c r="I2849"/>
      <c r="J2849"/>
      <c r="K2849" t="s">
        <v>3551</v>
      </c>
    </row>
    <row r="2850" spans="1:11">
      <c r="A2850" s="6">
        <v>44771</v>
      </c>
      <c r="B2850" s="20" t="s">
        <v>954</v>
      </c>
      <c r="C2850" s="6">
        <v>44770</v>
      </c>
      <c r="D2850" t="s">
        <v>3553</v>
      </c>
      <c r="E2850" t="s">
        <v>3583</v>
      </c>
      <c r="F2850" t="s">
        <v>210</v>
      </c>
      <c r="G2850">
        <v>931509124</v>
      </c>
      <c r="H2850"/>
      <c r="I2850"/>
      <c r="J2850"/>
      <c r="K2850" t="s">
        <v>3550</v>
      </c>
    </row>
    <row r="2851" spans="1:11">
      <c r="A2851" s="6">
        <v>44771</v>
      </c>
      <c r="B2851" s="20" t="s">
        <v>954</v>
      </c>
      <c r="C2851" s="6">
        <v>44770</v>
      </c>
      <c r="D2851" t="s">
        <v>3553</v>
      </c>
      <c r="E2851" t="s">
        <v>3584</v>
      </c>
      <c r="F2851" t="s">
        <v>210</v>
      </c>
      <c r="G2851">
        <v>931509124</v>
      </c>
      <c r="H2851"/>
      <c r="I2851"/>
      <c r="J2851"/>
      <c r="K2851" t="s">
        <v>3550</v>
      </c>
    </row>
    <row r="2852" spans="1:11">
      <c r="A2852" s="6">
        <v>44771</v>
      </c>
      <c r="B2852" s="20" t="s">
        <v>954</v>
      </c>
      <c r="C2852" s="6">
        <v>44770</v>
      </c>
      <c r="D2852" t="s">
        <v>3553</v>
      </c>
      <c r="E2852" t="s">
        <v>3585</v>
      </c>
      <c r="F2852" t="s">
        <v>210</v>
      </c>
      <c r="G2852">
        <v>931509124</v>
      </c>
      <c r="H2852"/>
      <c r="I2852"/>
      <c r="J2852"/>
      <c r="K2852" t="s">
        <v>3549</v>
      </c>
    </row>
    <row r="2853" spans="1:11">
      <c r="A2853" s="6">
        <v>44771</v>
      </c>
      <c r="B2853" s="20" t="s">
        <v>954</v>
      </c>
      <c r="C2853" s="6">
        <v>44770</v>
      </c>
      <c r="D2853" t="s">
        <v>3553</v>
      </c>
      <c r="E2853" t="s">
        <v>3586</v>
      </c>
      <c r="F2853" t="s">
        <v>210</v>
      </c>
      <c r="G2853">
        <v>931509124</v>
      </c>
      <c r="H2853"/>
      <c r="I2853"/>
      <c r="J2853"/>
      <c r="K2853" t="s">
        <v>3549</v>
      </c>
    </row>
    <row r="2854" spans="1:11">
      <c r="A2854" s="6">
        <v>44771</v>
      </c>
      <c r="B2854" s="20" t="s">
        <v>954</v>
      </c>
      <c r="C2854" s="6">
        <v>44770</v>
      </c>
      <c r="D2854" t="s">
        <v>3553</v>
      </c>
      <c r="E2854" t="s">
        <v>3587</v>
      </c>
      <c r="F2854" t="s">
        <v>210</v>
      </c>
      <c r="G2854">
        <v>931509124</v>
      </c>
      <c r="H2854"/>
      <c r="I2854"/>
      <c r="J2854"/>
      <c r="K2854" t="s">
        <v>3548</v>
      </c>
    </row>
    <row r="2855" spans="1:11">
      <c r="A2855" s="6">
        <v>44771</v>
      </c>
      <c r="B2855" s="20" t="s">
        <v>954</v>
      </c>
      <c r="C2855" s="6">
        <v>44770</v>
      </c>
      <c r="D2855" t="s">
        <v>3553</v>
      </c>
      <c r="E2855" t="s">
        <v>3588</v>
      </c>
      <c r="F2855" t="s">
        <v>210</v>
      </c>
      <c r="G2855">
        <v>931509124</v>
      </c>
      <c r="H2855"/>
      <c r="I2855"/>
      <c r="J2855"/>
      <c r="K2855" t="s">
        <v>3548</v>
      </c>
    </row>
    <row r="2856" spans="1:11">
      <c r="A2856" s="6">
        <v>44771</v>
      </c>
      <c r="B2856" s="20" t="s">
        <v>954</v>
      </c>
      <c r="C2856" s="6">
        <v>44770</v>
      </c>
      <c r="D2856" t="s">
        <v>3553</v>
      </c>
      <c r="E2856" t="s">
        <v>3589</v>
      </c>
      <c r="F2856" t="s">
        <v>210</v>
      </c>
      <c r="G2856">
        <v>931509124</v>
      </c>
      <c r="H2856"/>
      <c r="I2856"/>
      <c r="J2856"/>
      <c r="K2856" t="s">
        <v>3535</v>
      </c>
    </row>
    <row r="2857" spans="1:11">
      <c r="A2857" s="26" t="s">
        <v>3364</v>
      </c>
      <c r="B2857" s="27" t="s">
        <v>954</v>
      </c>
      <c r="C2857" s="38">
        <v>44778</v>
      </c>
      <c r="D2857" t="s">
        <v>965</v>
      </c>
      <c r="E2857" t="s">
        <v>3552</v>
      </c>
      <c r="F2857" s="26" t="s">
        <v>210</v>
      </c>
      <c r="G2857">
        <v>931514180</v>
      </c>
      <c r="H2857"/>
      <c r="I2857"/>
      <c r="J2857"/>
      <c r="K2857" t="s">
        <v>3552</v>
      </c>
    </row>
    <row r="2858" spans="1:11">
      <c r="A2858"/>
      <c r="B2858" s="20"/>
      <c r="C2858"/>
      <c r="D2858" s="24" t="s">
        <v>967</v>
      </c>
      <c r="E2858" t="s">
        <v>3590</v>
      </c>
      <c r="F2858"/>
      <c r="G2858"/>
      <c r="H2858"/>
      <c r="I2858"/>
      <c r="J2858"/>
      <c r="K2858" t="s">
        <v>3552</v>
      </c>
    </row>
    <row r="2859" spans="1:11">
      <c r="A2859"/>
      <c r="B2859" s="20"/>
      <c r="C2859"/>
      <c r="D2859" s="24" t="s">
        <v>969</v>
      </c>
      <c r="E2859" t="s">
        <v>3591</v>
      </c>
      <c r="F2859"/>
      <c r="G2859"/>
      <c r="H2859"/>
      <c r="I2859"/>
      <c r="J2859"/>
      <c r="K2859" t="s">
        <v>3552</v>
      </c>
    </row>
    <row r="2860" spans="1:11">
      <c r="A2860"/>
      <c r="B2860" s="20"/>
      <c r="C2860"/>
      <c r="D2860" s="24" t="s">
        <v>971</v>
      </c>
      <c r="E2860" t="s">
        <v>3592</v>
      </c>
      <c r="F2860"/>
      <c r="G2860"/>
      <c r="H2860"/>
      <c r="I2860"/>
      <c r="J2860"/>
      <c r="K2860" t="s">
        <v>3552</v>
      </c>
    </row>
    <row r="2861" spans="1:11">
      <c r="A2861"/>
      <c r="B2861" s="20"/>
      <c r="C2861"/>
      <c r="D2861" s="24" t="s">
        <v>975</v>
      </c>
      <c r="E2861" t="s">
        <v>3593</v>
      </c>
      <c r="F2861"/>
      <c r="G2861"/>
      <c r="H2861"/>
      <c r="I2861"/>
      <c r="J2861"/>
      <c r="K2861" t="s">
        <v>3552</v>
      </c>
    </row>
    <row r="2862" spans="1:11">
      <c r="A2862" s="28"/>
      <c r="B2862" s="29"/>
      <c r="C2862" s="28"/>
      <c r="D2862" s="46" t="s">
        <v>17</v>
      </c>
      <c r="E2862" s="28" t="s">
        <v>3594</v>
      </c>
      <c r="F2862" s="28"/>
      <c r="G2862" s="28"/>
      <c r="H2862" s="28"/>
      <c r="I2862" s="28"/>
      <c r="J2862" s="28"/>
      <c r="K2862" s="28" t="s">
        <v>3552</v>
      </c>
    </row>
    <row r="2863" spans="1:11">
      <c r="A2863" s="26" t="s">
        <v>3364</v>
      </c>
      <c r="B2863" s="27" t="s">
        <v>954</v>
      </c>
      <c r="C2863" s="38">
        <v>44778</v>
      </c>
      <c r="D2863" t="s">
        <v>965</v>
      </c>
      <c r="E2863" t="s">
        <v>3536</v>
      </c>
      <c r="F2863" s="26" t="s">
        <v>210</v>
      </c>
      <c r="G2863">
        <v>931514179</v>
      </c>
      <c r="H2863"/>
      <c r="I2863"/>
      <c r="J2863"/>
      <c r="K2863" t="s">
        <v>3536</v>
      </c>
    </row>
    <row r="2864" spans="1:11">
      <c r="A2864"/>
      <c r="B2864" s="20"/>
      <c r="C2864"/>
      <c r="D2864" s="24" t="s">
        <v>967</v>
      </c>
      <c r="E2864" t="s">
        <v>3595</v>
      </c>
      <c r="F2864"/>
      <c r="G2864"/>
      <c r="H2864"/>
      <c r="I2864"/>
      <c r="J2864"/>
      <c r="K2864" t="s">
        <v>3536</v>
      </c>
    </row>
    <row r="2865" spans="1:11">
      <c r="A2865"/>
      <c r="B2865" s="20"/>
      <c r="C2865"/>
      <c r="D2865" s="24" t="s">
        <v>969</v>
      </c>
      <c r="E2865" t="s">
        <v>3596</v>
      </c>
      <c r="F2865"/>
      <c r="G2865"/>
      <c r="H2865"/>
      <c r="I2865"/>
      <c r="J2865"/>
      <c r="K2865" t="s">
        <v>3536</v>
      </c>
    </row>
    <row r="2866" spans="1:11">
      <c r="A2866"/>
      <c r="B2866" s="20"/>
      <c r="C2866"/>
      <c r="D2866" s="24" t="s">
        <v>971</v>
      </c>
      <c r="E2866" t="s">
        <v>3597</v>
      </c>
      <c r="F2866"/>
      <c r="G2866"/>
      <c r="H2866"/>
      <c r="I2866"/>
      <c r="J2866"/>
      <c r="K2866" t="s">
        <v>3536</v>
      </c>
    </row>
    <row r="2867" spans="1:11">
      <c r="A2867"/>
      <c r="B2867" s="20"/>
      <c r="C2867"/>
      <c r="D2867" s="24" t="s">
        <v>975</v>
      </c>
      <c r="E2867" t="s">
        <v>3598</v>
      </c>
      <c r="F2867"/>
      <c r="G2867"/>
      <c r="H2867"/>
      <c r="I2867"/>
      <c r="J2867"/>
      <c r="K2867" t="s">
        <v>3536</v>
      </c>
    </row>
    <row r="2868" spans="1:11">
      <c r="A2868" s="28"/>
      <c r="B2868" s="29"/>
      <c r="C2868" s="28"/>
      <c r="D2868" s="46" t="s">
        <v>17</v>
      </c>
      <c r="E2868" s="28" t="s">
        <v>3599</v>
      </c>
      <c r="F2868" s="28"/>
      <c r="G2868" s="28"/>
      <c r="H2868" s="28"/>
      <c r="I2868" s="28"/>
      <c r="J2868" s="28"/>
      <c r="K2868" s="28" t="s">
        <v>3536</v>
      </c>
    </row>
    <row r="2869" spans="1:11">
      <c r="A2869" s="26" t="s">
        <v>3364</v>
      </c>
      <c r="B2869" s="27" t="s">
        <v>954</v>
      </c>
      <c r="C2869" s="38">
        <v>44778</v>
      </c>
      <c r="D2869" t="s">
        <v>965</v>
      </c>
      <c r="E2869" t="s">
        <v>3535</v>
      </c>
      <c r="F2869" s="26" t="s">
        <v>210</v>
      </c>
      <c r="G2869">
        <v>931514179</v>
      </c>
      <c r="H2869"/>
      <c r="I2869"/>
      <c r="J2869"/>
      <c r="K2869" t="s">
        <v>3535</v>
      </c>
    </row>
    <row r="2870" spans="1:11">
      <c r="A2870"/>
      <c r="B2870" s="20"/>
      <c r="C2870"/>
      <c r="D2870" s="24" t="s">
        <v>967</v>
      </c>
      <c r="E2870" t="s">
        <v>3600</v>
      </c>
      <c r="F2870"/>
      <c r="G2870"/>
      <c r="H2870"/>
      <c r="I2870"/>
      <c r="J2870"/>
      <c r="K2870" t="s">
        <v>3535</v>
      </c>
    </row>
    <row r="2871" spans="1:11">
      <c r="A2871"/>
      <c r="B2871" s="20"/>
      <c r="C2871"/>
      <c r="D2871" s="24" t="s">
        <v>969</v>
      </c>
      <c r="E2871" t="s">
        <v>3601</v>
      </c>
      <c r="F2871"/>
      <c r="G2871"/>
      <c r="H2871"/>
      <c r="I2871"/>
      <c r="J2871"/>
      <c r="K2871" t="s">
        <v>3535</v>
      </c>
    </row>
    <row r="2872" spans="1:11">
      <c r="A2872"/>
      <c r="B2872" s="20"/>
      <c r="C2872"/>
      <c r="D2872" s="24" t="s">
        <v>971</v>
      </c>
      <c r="E2872" t="s">
        <v>3602</v>
      </c>
      <c r="F2872"/>
      <c r="G2872"/>
      <c r="H2872"/>
      <c r="I2872"/>
      <c r="J2872"/>
      <c r="K2872" t="s">
        <v>3535</v>
      </c>
    </row>
    <row r="2873" spans="1:11">
      <c r="A2873"/>
      <c r="B2873" s="20"/>
      <c r="C2873"/>
      <c r="D2873" s="24" t="s">
        <v>975</v>
      </c>
      <c r="E2873" t="s">
        <v>3603</v>
      </c>
      <c r="F2873"/>
      <c r="G2873"/>
      <c r="H2873"/>
      <c r="I2873"/>
      <c r="J2873"/>
      <c r="K2873" t="s">
        <v>3535</v>
      </c>
    </row>
    <row r="2874" spans="1:11">
      <c r="A2874" s="28"/>
      <c r="B2874" s="29"/>
      <c r="C2874" s="28"/>
      <c r="D2874" s="46" t="s">
        <v>17</v>
      </c>
      <c r="E2874" s="28" t="s">
        <v>3604</v>
      </c>
      <c r="F2874" s="28"/>
      <c r="G2874" s="28"/>
      <c r="H2874" s="28"/>
      <c r="I2874" s="28"/>
      <c r="J2874" s="28"/>
      <c r="K2874" s="28" t="s">
        <v>3535</v>
      </c>
    </row>
    <row r="2875" spans="1:11">
      <c r="A2875" s="26" t="s">
        <v>3364</v>
      </c>
      <c r="B2875" s="27" t="s">
        <v>954</v>
      </c>
      <c r="C2875" s="38">
        <v>44778</v>
      </c>
      <c r="D2875" t="s">
        <v>965</v>
      </c>
      <c r="E2875" t="s">
        <v>3538</v>
      </c>
      <c r="F2875" s="26" t="s">
        <v>210</v>
      </c>
      <c r="G2875">
        <v>931514179</v>
      </c>
      <c r="H2875"/>
      <c r="I2875"/>
      <c r="J2875"/>
      <c r="K2875" t="s">
        <v>3538</v>
      </c>
    </row>
    <row r="2876" spans="1:11">
      <c r="A2876"/>
      <c r="B2876" s="20"/>
      <c r="C2876"/>
      <c r="D2876" s="24" t="s">
        <v>967</v>
      </c>
      <c r="E2876" t="s">
        <v>3605</v>
      </c>
      <c r="F2876"/>
      <c r="G2876"/>
      <c r="H2876"/>
      <c r="I2876"/>
      <c r="J2876"/>
      <c r="K2876" t="s">
        <v>3538</v>
      </c>
    </row>
    <row r="2877" spans="1:11">
      <c r="A2877"/>
      <c r="B2877" s="20"/>
      <c r="C2877"/>
      <c r="D2877" s="24" t="s">
        <v>969</v>
      </c>
      <c r="E2877" t="s">
        <v>3606</v>
      </c>
      <c r="F2877"/>
      <c r="G2877"/>
      <c r="H2877"/>
      <c r="I2877"/>
      <c r="J2877"/>
      <c r="K2877" t="s">
        <v>3538</v>
      </c>
    </row>
    <row r="2878" spans="1:11">
      <c r="A2878"/>
      <c r="B2878" s="20"/>
      <c r="C2878"/>
      <c r="D2878" s="24" t="s">
        <v>971</v>
      </c>
      <c r="E2878" t="s">
        <v>3607</v>
      </c>
      <c r="F2878"/>
      <c r="G2878"/>
      <c r="H2878"/>
      <c r="I2878"/>
      <c r="J2878"/>
      <c r="K2878" t="s">
        <v>3538</v>
      </c>
    </row>
    <row r="2879" spans="1:11">
      <c r="A2879"/>
      <c r="B2879" s="20"/>
      <c r="C2879"/>
      <c r="D2879" s="24" t="s">
        <v>975</v>
      </c>
      <c r="E2879" t="s">
        <v>3608</v>
      </c>
      <c r="F2879"/>
      <c r="G2879"/>
      <c r="H2879"/>
      <c r="I2879"/>
      <c r="J2879"/>
      <c r="K2879" t="s">
        <v>3538</v>
      </c>
    </row>
    <row r="2880" spans="1:11">
      <c r="A2880" s="28"/>
      <c r="B2880" s="29"/>
      <c r="C2880" s="28"/>
      <c r="D2880" s="46" t="s">
        <v>17</v>
      </c>
      <c r="E2880" s="28" t="s">
        <v>3609</v>
      </c>
      <c r="F2880" s="28"/>
      <c r="G2880" s="28"/>
      <c r="H2880" s="28"/>
      <c r="I2880" s="28"/>
      <c r="J2880" s="28"/>
      <c r="K2880" s="28" t="s">
        <v>3538</v>
      </c>
    </row>
    <row r="2881" spans="1:11">
      <c r="A2881" s="26" t="s">
        <v>3364</v>
      </c>
      <c r="B2881" s="27" t="s">
        <v>954</v>
      </c>
      <c r="C2881" s="38">
        <v>44778</v>
      </c>
      <c r="D2881" t="s">
        <v>965</v>
      </c>
      <c r="E2881" t="s">
        <v>3537</v>
      </c>
      <c r="F2881" s="26" t="s">
        <v>210</v>
      </c>
      <c r="G2881">
        <v>931514179</v>
      </c>
      <c r="H2881"/>
      <c r="I2881"/>
      <c r="J2881"/>
      <c r="K2881" t="s">
        <v>3537</v>
      </c>
    </row>
    <row r="2882" spans="1:11">
      <c r="A2882"/>
      <c r="B2882" s="20"/>
      <c r="C2882"/>
      <c r="D2882" s="24" t="s">
        <v>967</v>
      </c>
      <c r="E2882" t="s">
        <v>3610</v>
      </c>
      <c r="F2882"/>
      <c r="G2882"/>
      <c r="H2882"/>
      <c r="I2882"/>
      <c r="J2882"/>
      <c r="K2882" t="s">
        <v>3537</v>
      </c>
    </row>
    <row r="2883" spans="1:11">
      <c r="A2883"/>
      <c r="B2883" s="20"/>
      <c r="C2883"/>
      <c r="D2883" s="24" t="s">
        <v>969</v>
      </c>
      <c r="E2883" t="s">
        <v>3611</v>
      </c>
      <c r="F2883"/>
      <c r="G2883"/>
      <c r="H2883"/>
      <c r="I2883"/>
      <c r="J2883"/>
      <c r="K2883" t="s">
        <v>3537</v>
      </c>
    </row>
    <row r="2884" spans="1:11">
      <c r="A2884"/>
      <c r="B2884" s="20"/>
      <c r="C2884"/>
      <c r="D2884" s="24" t="s">
        <v>971</v>
      </c>
      <c r="E2884" t="s">
        <v>3612</v>
      </c>
      <c r="F2884"/>
      <c r="G2884"/>
      <c r="H2884"/>
      <c r="I2884"/>
      <c r="J2884"/>
      <c r="K2884" t="s">
        <v>3537</v>
      </c>
    </row>
    <row r="2885" spans="1:11">
      <c r="A2885"/>
      <c r="B2885" s="20"/>
      <c r="C2885"/>
      <c r="D2885" s="24" t="s">
        <v>975</v>
      </c>
      <c r="E2885" t="s">
        <v>3613</v>
      </c>
      <c r="F2885"/>
      <c r="G2885"/>
      <c r="H2885"/>
      <c r="I2885"/>
      <c r="J2885"/>
      <c r="K2885" t="s">
        <v>3537</v>
      </c>
    </row>
    <row r="2886" spans="1:11">
      <c r="A2886" s="28"/>
      <c r="B2886" s="29"/>
      <c r="C2886" s="28"/>
      <c r="D2886" s="46" t="s">
        <v>17</v>
      </c>
      <c r="E2886" s="28" t="s">
        <v>3614</v>
      </c>
      <c r="F2886" s="28"/>
      <c r="G2886" s="28"/>
      <c r="H2886" s="28"/>
      <c r="I2886" s="28"/>
      <c r="J2886" s="28"/>
      <c r="K2886" s="28" t="s">
        <v>3537</v>
      </c>
    </row>
    <row r="2887" spans="1:11">
      <c r="A2887" s="26" t="s">
        <v>3364</v>
      </c>
      <c r="B2887" s="27" t="s">
        <v>954</v>
      </c>
      <c r="C2887" s="38">
        <v>44778</v>
      </c>
      <c r="D2887" t="s">
        <v>965</v>
      </c>
      <c r="E2887" t="s">
        <v>3540</v>
      </c>
      <c r="F2887" s="26" t="s">
        <v>210</v>
      </c>
      <c r="G2887">
        <v>931514179</v>
      </c>
      <c r="H2887"/>
      <c r="I2887"/>
      <c r="J2887"/>
      <c r="K2887" t="s">
        <v>3540</v>
      </c>
    </row>
    <row r="2888" spans="1:11">
      <c r="A2888"/>
      <c r="B2888" s="20"/>
      <c r="C2888"/>
      <c r="D2888" s="24" t="s">
        <v>967</v>
      </c>
      <c r="E2888" t="s">
        <v>3615</v>
      </c>
      <c r="F2888"/>
      <c r="G2888"/>
      <c r="H2888"/>
      <c r="I2888"/>
      <c r="J2888"/>
      <c r="K2888" t="s">
        <v>3540</v>
      </c>
    </row>
    <row r="2889" spans="1:11">
      <c r="A2889"/>
      <c r="B2889" s="20"/>
      <c r="C2889"/>
      <c r="D2889" s="24" t="s">
        <v>969</v>
      </c>
      <c r="E2889" t="s">
        <v>3616</v>
      </c>
      <c r="F2889"/>
      <c r="G2889"/>
      <c r="H2889"/>
      <c r="I2889"/>
      <c r="J2889"/>
      <c r="K2889" t="s">
        <v>3540</v>
      </c>
    </row>
    <row r="2890" spans="1:11">
      <c r="A2890"/>
      <c r="B2890" s="20"/>
      <c r="C2890"/>
      <c r="D2890" s="24" t="s">
        <v>971</v>
      </c>
      <c r="E2890" t="s">
        <v>3617</v>
      </c>
      <c r="F2890"/>
      <c r="G2890"/>
      <c r="H2890"/>
      <c r="I2890"/>
      <c r="J2890"/>
      <c r="K2890" t="s">
        <v>3540</v>
      </c>
    </row>
    <row r="2891" spans="1:11">
      <c r="A2891"/>
      <c r="B2891" s="20"/>
      <c r="C2891"/>
      <c r="D2891" s="24" t="s">
        <v>975</v>
      </c>
      <c r="E2891" t="s">
        <v>3618</v>
      </c>
      <c r="F2891"/>
      <c r="G2891"/>
      <c r="H2891"/>
      <c r="I2891"/>
      <c r="J2891"/>
      <c r="K2891" t="s">
        <v>3540</v>
      </c>
    </row>
    <row r="2892" spans="1:11">
      <c r="A2892" s="28"/>
      <c r="B2892" s="29"/>
      <c r="C2892" s="28"/>
      <c r="D2892" s="46" t="s">
        <v>17</v>
      </c>
      <c r="E2892" s="28" t="s">
        <v>3619</v>
      </c>
      <c r="F2892" s="28"/>
      <c r="G2892" s="28"/>
      <c r="H2892" s="28"/>
      <c r="I2892" s="28"/>
      <c r="J2892" s="28"/>
      <c r="K2892" s="28" t="s">
        <v>3540</v>
      </c>
    </row>
    <row r="2893" spans="1:11">
      <c r="A2893" s="26" t="s">
        <v>3364</v>
      </c>
      <c r="B2893" s="27" t="s">
        <v>954</v>
      </c>
      <c r="C2893" s="38">
        <v>44778</v>
      </c>
      <c r="D2893" t="s">
        <v>965</v>
      </c>
      <c r="E2893" t="s">
        <v>3539</v>
      </c>
      <c r="F2893" s="26" t="s">
        <v>210</v>
      </c>
      <c r="G2893">
        <v>931514179</v>
      </c>
      <c r="H2893"/>
      <c r="I2893"/>
      <c r="J2893"/>
      <c r="K2893" t="s">
        <v>3539</v>
      </c>
    </row>
    <row r="2894" spans="1:11">
      <c r="A2894"/>
      <c r="B2894" s="20"/>
      <c r="C2894"/>
      <c r="D2894" s="24" t="s">
        <v>967</v>
      </c>
      <c r="E2894" t="s">
        <v>3620</v>
      </c>
      <c r="F2894"/>
      <c r="G2894"/>
      <c r="H2894"/>
      <c r="I2894"/>
      <c r="J2894"/>
      <c r="K2894" t="s">
        <v>3539</v>
      </c>
    </row>
    <row r="2895" spans="1:11">
      <c r="A2895"/>
      <c r="B2895" s="20"/>
      <c r="C2895"/>
      <c r="D2895" s="24" t="s">
        <v>969</v>
      </c>
      <c r="E2895" t="s">
        <v>3621</v>
      </c>
      <c r="F2895"/>
      <c r="G2895"/>
      <c r="H2895"/>
      <c r="I2895"/>
      <c r="J2895"/>
      <c r="K2895" t="s">
        <v>3539</v>
      </c>
    </row>
    <row r="2896" spans="1:11">
      <c r="A2896"/>
      <c r="B2896" s="20"/>
      <c r="C2896"/>
      <c r="D2896" s="24" t="s">
        <v>971</v>
      </c>
      <c r="E2896" t="s">
        <v>3622</v>
      </c>
      <c r="F2896"/>
      <c r="G2896"/>
      <c r="H2896"/>
      <c r="I2896"/>
      <c r="J2896"/>
      <c r="K2896" t="s">
        <v>3539</v>
      </c>
    </row>
    <row r="2897" spans="1:11">
      <c r="A2897"/>
      <c r="B2897" s="20"/>
      <c r="C2897"/>
      <c r="D2897" s="24" t="s">
        <v>975</v>
      </c>
      <c r="E2897" t="s">
        <v>3623</v>
      </c>
      <c r="F2897"/>
      <c r="G2897"/>
      <c r="H2897"/>
      <c r="I2897"/>
      <c r="J2897"/>
      <c r="K2897" t="s">
        <v>3539</v>
      </c>
    </row>
    <row r="2898" spans="1:11">
      <c r="A2898" s="28"/>
      <c r="B2898" s="29"/>
      <c r="C2898" s="28"/>
      <c r="D2898" s="46" t="s">
        <v>17</v>
      </c>
      <c r="E2898" s="28" t="s">
        <v>3624</v>
      </c>
      <c r="F2898" s="28"/>
      <c r="G2898" s="28"/>
      <c r="H2898" s="28"/>
      <c r="I2898" s="28"/>
      <c r="J2898" s="28"/>
      <c r="K2898" s="28" t="s">
        <v>3539</v>
      </c>
    </row>
    <row r="2899" spans="1:11">
      <c r="A2899" s="26" t="s">
        <v>3364</v>
      </c>
      <c r="B2899" s="27" t="s">
        <v>954</v>
      </c>
      <c r="C2899" s="38">
        <v>44778</v>
      </c>
      <c r="D2899" t="s">
        <v>965</v>
      </c>
      <c r="E2899" t="s">
        <v>3541</v>
      </c>
      <c r="F2899" s="26" t="s">
        <v>210</v>
      </c>
      <c r="G2899">
        <v>931514179</v>
      </c>
      <c r="H2899"/>
      <c r="I2899"/>
      <c r="J2899"/>
      <c r="K2899" t="s">
        <v>3541</v>
      </c>
    </row>
    <row r="2900" spans="1:11">
      <c r="A2900"/>
      <c r="B2900" s="20"/>
      <c r="C2900"/>
      <c r="D2900" s="24" t="s">
        <v>967</v>
      </c>
      <c r="E2900" t="s">
        <v>3625</v>
      </c>
      <c r="F2900"/>
      <c r="G2900"/>
      <c r="H2900"/>
      <c r="I2900"/>
      <c r="J2900"/>
      <c r="K2900" t="s">
        <v>3541</v>
      </c>
    </row>
    <row r="2901" spans="1:11">
      <c r="A2901"/>
      <c r="B2901" s="20"/>
      <c r="C2901"/>
      <c r="D2901" s="24" t="s">
        <v>969</v>
      </c>
      <c r="E2901" t="s">
        <v>3626</v>
      </c>
      <c r="F2901"/>
      <c r="G2901"/>
      <c r="H2901"/>
      <c r="I2901"/>
      <c r="J2901"/>
      <c r="K2901" t="s">
        <v>3541</v>
      </c>
    </row>
    <row r="2902" spans="1:11">
      <c r="A2902"/>
      <c r="B2902" s="20"/>
      <c r="C2902"/>
      <c r="D2902" s="24" t="s">
        <v>971</v>
      </c>
      <c r="E2902" t="s">
        <v>3627</v>
      </c>
      <c r="F2902"/>
      <c r="G2902"/>
      <c r="H2902"/>
      <c r="I2902"/>
      <c r="J2902"/>
      <c r="K2902" t="s">
        <v>3541</v>
      </c>
    </row>
    <row r="2903" spans="1:11">
      <c r="A2903"/>
      <c r="B2903" s="20"/>
      <c r="C2903"/>
      <c r="D2903" s="24" t="s">
        <v>975</v>
      </c>
      <c r="E2903" t="s">
        <v>3628</v>
      </c>
      <c r="F2903"/>
      <c r="G2903"/>
      <c r="H2903"/>
      <c r="I2903"/>
      <c r="J2903"/>
      <c r="K2903" t="s">
        <v>3541</v>
      </c>
    </row>
    <row r="2904" spans="1:11">
      <c r="A2904" s="28"/>
      <c r="B2904" s="29"/>
      <c r="C2904" s="28"/>
      <c r="D2904" s="46" t="s">
        <v>17</v>
      </c>
      <c r="E2904" s="28" t="s">
        <v>3629</v>
      </c>
      <c r="F2904" s="28"/>
      <c r="G2904" s="28"/>
      <c r="H2904" s="28"/>
      <c r="I2904" s="28"/>
      <c r="J2904" s="28"/>
      <c r="K2904" s="28" t="s">
        <v>3541</v>
      </c>
    </row>
    <row r="2905" spans="1:11">
      <c r="A2905" s="26" t="s">
        <v>3364</v>
      </c>
      <c r="B2905" s="27" t="s">
        <v>954</v>
      </c>
      <c r="C2905" s="38">
        <v>44778</v>
      </c>
      <c r="D2905" t="s">
        <v>965</v>
      </c>
      <c r="E2905" t="s">
        <v>3542</v>
      </c>
      <c r="F2905" s="26" t="s">
        <v>210</v>
      </c>
      <c r="G2905">
        <v>931514179</v>
      </c>
      <c r="H2905"/>
      <c r="I2905"/>
      <c r="J2905"/>
      <c r="K2905" t="s">
        <v>3542</v>
      </c>
    </row>
    <row r="2906" spans="1:11">
      <c r="A2906"/>
      <c r="B2906" s="20"/>
      <c r="C2906"/>
      <c r="D2906" s="24" t="s">
        <v>967</v>
      </c>
      <c r="E2906" t="s">
        <v>3630</v>
      </c>
      <c r="F2906"/>
      <c r="G2906"/>
      <c r="H2906"/>
      <c r="I2906"/>
      <c r="J2906"/>
      <c r="K2906" t="s">
        <v>3542</v>
      </c>
    </row>
    <row r="2907" spans="1:11">
      <c r="A2907"/>
      <c r="B2907" s="20"/>
      <c r="C2907"/>
      <c r="D2907" s="24" t="s">
        <v>969</v>
      </c>
      <c r="E2907" t="s">
        <v>3631</v>
      </c>
      <c r="F2907"/>
      <c r="G2907"/>
      <c r="H2907"/>
      <c r="I2907"/>
      <c r="J2907"/>
      <c r="K2907" t="s">
        <v>3542</v>
      </c>
    </row>
    <row r="2908" spans="1:11">
      <c r="A2908"/>
      <c r="B2908" s="20"/>
      <c r="C2908"/>
      <c r="D2908" s="24" t="s">
        <v>971</v>
      </c>
      <c r="E2908" t="s">
        <v>3632</v>
      </c>
      <c r="F2908"/>
      <c r="G2908"/>
      <c r="H2908"/>
      <c r="I2908"/>
      <c r="J2908"/>
      <c r="K2908" t="s">
        <v>3542</v>
      </c>
    </row>
    <row r="2909" spans="1:11">
      <c r="A2909"/>
      <c r="B2909" s="20"/>
      <c r="C2909"/>
      <c r="D2909" s="24" t="s">
        <v>975</v>
      </c>
      <c r="E2909" t="s">
        <v>3633</v>
      </c>
      <c r="F2909"/>
      <c r="G2909"/>
      <c r="H2909"/>
      <c r="I2909"/>
      <c r="J2909"/>
      <c r="K2909" t="s">
        <v>3542</v>
      </c>
    </row>
    <row r="2910" spans="1:11">
      <c r="A2910" s="28"/>
      <c r="B2910" s="29"/>
      <c r="C2910" s="28"/>
      <c r="D2910" s="46" t="s">
        <v>17</v>
      </c>
      <c r="E2910" s="28" t="s">
        <v>3634</v>
      </c>
      <c r="F2910" s="28"/>
      <c r="G2910" s="28"/>
      <c r="H2910" s="28"/>
      <c r="I2910" s="28"/>
      <c r="J2910" s="28"/>
      <c r="K2910" s="28" t="s">
        <v>3542</v>
      </c>
    </row>
    <row r="2911" spans="1:11">
      <c r="A2911" s="26" t="s">
        <v>3364</v>
      </c>
      <c r="B2911" s="27" t="s">
        <v>954</v>
      </c>
      <c r="C2911" s="38">
        <v>44778</v>
      </c>
      <c r="D2911" t="s">
        <v>965</v>
      </c>
      <c r="E2911" t="s">
        <v>3543</v>
      </c>
      <c r="F2911" s="26" t="s">
        <v>210</v>
      </c>
      <c r="G2911">
        <v>931514179</v>
      </c>
      <c r="H2911"/>
      <c r="I2911"/>
      <c r="J2911"/>
      <c r="K2911" t="s">
        <v>3543</v>
      </c>
    </row>
    <row r="2912" spans="1:11">
      <c r="A2912"/>
      <c r="B2912" s="20"/>
      <c r="C2912"/>
      <c r="D2912" s="24" t="s">
        <v>967</v>
      </c>
      <c r="E2912" t="s">
        <v>3635</v>
      </c>
      <c r="F2912"/>
      <c r="G2912"/>
      <c r="H2912"/>
      <c r="I2912"/>
      <c r="J2912"/>
      <c r="K2912" t="s">
        <v>3543</v>
      </c>
    </row>
    <row r="2913" spans="1:11">
      <c r="A2913"/>
      <c r="B2913" s="20"/>
      <c r="C2913"/>
      <c r="D2913" s="24" t="s">
        <v>969</v>
      </c>
      <c r="E2913" t="s">
        <v>3636</v>
      </c>
      <c r="F2913"/>
      <c r="G2913"/>
      <c r="H2913"/>
      <c r="I2913"/>
      <c r="J2913"/>
      <c r="K2913" t="s">
        <v>3543</v>
      </c>
    </row>
    <row r="2914" spans="1:11">
      <c r="A2914"/>
      <c r="B2914" s="20"/>
      <c r="C2914"/>
      <c r="D2914" s="24" t="s">
        <v>971</v>
      </c>
      <c r="E2914" t="s">
        <v>3637</v>
      </c>
      <c r="F2914"/>
      <c r="G2914"/>
      <c r="H2914"/>
      <c r="I2914"/>
      <c r="J2914"/>
      <c r="K2914" t="s">
        <v>3543</v>
      </c>
    </row>
    <row r="2915" spans="1:11">
      <c r="A2915"/>
      <c r="B2915" s="20"/>
      <c r="C2915"/>
      <c r="D2915" s="24" t="s">
        <v>975</v>
      </c>
      <c r="E2915" t="s">
        <v>3638</v>
      </c>
      <c r="F2915"/>
      <c r="G2915"/>
      <c r="H2915"/>
      <c r="I2915"/>
      <c r="J2915"/>
      <c r="K2915" t="s">
        <v>3543</v>
      </c>
    </row>
    <row r="2916" spans="1:11">
      <c r="A2916" s="28"/>
      <c r="B2916" s="29"/>
      <c r="C2916" s="28"/>
      <c r="D2916" s="46" t="s">
        <v>17</v>
      </c>
      <c r="E2916" s="28" t="s">
        <v>3639</v>
      </c>
      <c r="F2916" s="28"/>
      <c r="G2916" s="28"/>
      <c r="H2916" s="28"/>
      <c r="I2916" s="28"/>
      <c r="J2916" s="28"/>
      <c r="K2916" s="28" t="s">
        <v>3543</v>
      </c>
    </row>
    <row r="2917" spans="1:11">
      <c r="A2917" s="26" t="s">
        <v>3364</v>
      </c>
      <c r="B2917" s="27" t="s">
        <v>954</v>
      </c>
      <c r="C2917" s="38">
        <v>44778</v>
      </c>
      <c r="D2917" t="s">
        <v>965</v>
      </c>
      <c r="E2917" t="s">
        <v>3551</v>
      </c>
      <c r="F2917" s="26" t="s">
        <v>210</v>
      </c>
      <c r="G2917">
        <v>931514179</v>
      </c>
      <c r="H2917"/>
      <c r="I2917"/>
      <c r="J2917"/>
      <c r="K2917" t="s">
        <v>3551</v>
      </c>
    </row>
    <row r="2918" spans="1:11">
      <c r="A2918"/>
      <c r="B2918" s="20"/>
      <c r="C2918"/>
      <c r="D2918" s="24" t="s">
        <v>967</v>
      </c>
      <c r="E2918" t="s">
        <v>3640</v>
      </c>
      <c r="F2918"/>
      <c r="G2918"/>
      <c r="H2918"/>
      <c r="I2918"/>
      <c r="J2918"/>
      <c r="K2918" t="s">
        <v>3551</v>
      </c>
    </row>
    <row r="2919" spans="1:11">
      <c r="A2919"/>
      <c r="B2919" s="20"/>
      <c r="C2919"/>
      <c r="D2919" s="24" t="s">
        <v>969</v>
      </c>
      <c r="E2919" t="s">
        <v>3641</v>
      </c>
      <c r="F2919"/>
      <c r="G2919"/>
      <c r="H2919"/>
      <c r="I2919"/>
      <c r="J2919"/>
      <c r="K2919" t="s">
        <v>3551</v>
      </c>
    </row>
    <row r="2920" spans="1:11">
      <c r="A2920"/>
      <c r="B2920" s="20"/>
      <c r="C2920"/>
      <c r="D2920" s="24" t="s">
        <v>971</v>
      </c>
      <c r="E2920" t="s">
        <v>3642</v>
      </c>
      <c r="F2920"/>
      <c r="G2920"/>
      <c r="H2920"/>
      <c r="I2920"/>
      <c r="J2920"/>
      <c r="K2920" t="s">
        <v>3551</v>
      </c>
    </row>
    <row r="2921" spans="1:11">
      <c r="A2921"/>
      <c r="B2921" s="20"/>
      <c r="C2921"/>
      <c r="D2921" s="24" t="s">
        <v>975</v>
      </c>
      <c r="E2921" t="s">
        <v>3643</v>
      </c>
      <c r="F2921"/>
      <c r="G2921"/>
      <c r="H2921"/>
      <c r="I2921"/>
      <c r="J2921"/>
      <c r="K2921" t="s">
        <v>3551</v>
      </c>
    </row>
    <row r="2922" spans="1:11">
      <c r="A2922" s="28"/>
      <c r="B2922" s="29"/>
      <c r="C2922" s="28"/>
      <c r="D2922" s="46" t="s">
        <v>17</v>
      </c>
      <c r="E2922" s="28" t="s">
        <v>3644</v>
      </c>
      <c r="F2922" s="28"/>
      <c r="G2922" s="28"/>
      <c r="H2922" s="28"/>
      <c r="I2922" s="28"/>
      <c r="J2922" s="28"/>
      <c r="K2922" s="28" t="s">
        <v>3551</v>
      </c>
    </row>
    <row r="2923" spans="1:11">
      <c r="A2923" s="26" t="s">
        <v>3364</v>
      </c>
      <c r="B2923" s="27" t="s">
        <v>954</v>
      </c>
      <c r="C2923" s="38">
        <v>44778</v>
      </c>
      <c r="D2923" t="s">
        <v>965</v>
      </c>
      <c r="E2923" t="s">
        <v>3550</v>
      </c>
      <c r="F2923" s="26" t="s">
        <v>210</v>
      </c>
      <c r="G2923">
        <v>931514179</v>
      </c>
      <c r="H2923"/>
      <c r="I2923"/>
      <c r="J2923"/>
      <c r="K2923" t="s">
        <v>3550</v>
      </c>
    </row>
    <row r="2924" spans="1:11">
      <c r="A2924"/>
      <c r="B2924" s="20"/>
      <c r="C2924"/>
      <c r="D2924" s="24" t="s">
        <v>967</v>
      </c>
      <c r="E2924" t="s">
        <v>3645</v>
      </c>
      <c r="F2924"/>
      <c r="G2924"/>
      <c r="H2924"/>
      <c r="I2924"/>
      <c r="J2924"/>
      <c r="K2924" t="s">
        <v>3550</v>
      </c>
    </row>
    <row r="2925" spans="1:11">
      <c r="A2925"/>
      <c r="B2925" s="20"/>
      <c r="C2925"/>
      <c r="D2925" s="24" t="s">
        <v>969</v>
      </c>
      <c r="E2925" t="s">
        <v>3646</v>
      </c>
      <c r="F2925"/>
      <c r="G2925"/>
      <c r="H2925"/>
      <c r="I2925"/>
      <c r="J2925"/>
      <c r="K2925" t="s">
        <v>3550</v>
      </c>
    </row>
    <row r="2926" spans="1:11">
      <c r="A2926"/>
      <c r="B2926" s="20"/>
      <c r="C2926"/>
      <c r="D2926" s="24" t="s">
        <v>971</v>
      </c>
      <c r="E2926" t="s">
        <v>3647</v>
      </c>
      <c r="F2926"/>
      <c r="G2926"/>
      <c r="H2926"/>
      <c r="I2926"/>
      <c r="J2926"/>
      <c r="K2926" t="s">
        <v>3550</v>
      </c>
    </row>
    <row r="2927" spans="1:11">
      <c r="A2927"/>
      <c r="B2927" s="20"/>
      <c r="C2927"/>
      <c r="D2927" s="24" t="s">
        <v>975</v>
      </c>
      <c r="E2927" t="s">
        <v>3648</v>
      </c>
      <c r="F2927"/>
      <c r="G2927"/>
      <c r="H2927"/>
      <c r="I2927"/>
      <c r="J2927"/>
      <c r="K2927" t="s">
        <v>3550</v>
      </c>
    </row>
    <row r="2928" spans="1:11">
      <c r="A2928" s="28"/>
      <c r="B2928" s="29"/>
      <c r="C2928" s="28"/>
      <c r="D2928" s="46" t="s">
        <v>17</v>
      </c>
      <c r="E2928" s="28" t="s">
        <v>3649</v>
      </c>
      <c r="F2928" s="28"/>
      <c r="G2928" s="28"/>
      <c r="H2928" s="28"/>
      <c r="I2928" s="28"/>
      <c r="J2928" s="28"/>
      <c r="K2928" s="28" t="s">
        <v>3550</v>
      </c>
    </row>
    <row r="2929" spans="1:11">
      <c r="A2929" s="26" t="s">
        <v>3364</v>
      </c>
      <c r="B2929" s="27" t="s">
        <v>954</v>
      </c>
      <c r="C2929" s="38">
        <v>44778</v>
      </c>
      <c r="D2929" t="s">
        <v>965</v>
      </c>
      <c r="E2929" t="s">
        <v>3549</v>
      </c>
      <c r="F2929" s="26" t="s">
        <v>210</v>
      </c>
      <c r="G2929">
        <v>931514179</v>
      </c>
      <c r="H2929"/>
      <c r="I2929"/>
      <c r="J2929"/>
      <c r="K2929" t="s">
        <v>3549</v>
      </c>
    </row>
    <row r="2930" spans="1:11">
      <c r="A2930"/>
      <c r="B2930" s="20"/>
      <c r="C2930"/>
      <c r="D2930" s="24" t="s">
        <v>967</v>
      </c>
      <c r="E2930" t="s">
        <v>3650</v>
      </c>
      <c r="F2930"/>
      <c r="G2930"/>
      <c r="H2930"/>
      <c r="I2930"/>
      <c r="J2930"/>
      <c r="K2930" t="s">
        <v>3549</v>
      </c>
    </row>
    <row r="2931" spans="1:11">
      <c r="A2931"/>
      <c r="B2931" s="20"/>
      <c r="C2931"/>
      <c r="D2931" s="24" t="s">
        <v>969</v>
      </c>
      <c r="E2931" t="s">
        <v>3651</v>
      </c>
      <c r="F2931"/>
      <c r="G2931"/>
      <c r="H2931"/>
      <c r="I2931"/>
      <c r="J2931"/>
      <c r="K2931" t="s">
        <v>3549</v>
      </c>
    </row>
    <row r="2932" spans="1:11">
      <c r="A2932"/>
      <c r="B2932" s="20"/>
      <c r="C2932"/>
      <c r="D2932" s="24" t="s">
        <v>971</v>
      </c>
      <c r="E2932" t="s">
        <v>3652</v>
      </c>
      <c r="F2932"/>
      <c r="G2932"/>
      <c r="H2932"/>
      <c r="I2932"/>
      <c r="J2932"/>
      <c r="K2932" t="s">
        <v>3549</v>
      </c>
    </row>
    <row r="2933" spans="1:11">
      <c r="A2933"/>
      <c r="B2933" s="20"/>
      <c r="C2933"/>
      <c r="D2933" s="24" t="s">
        <v>975</v>
      </c>
      <c r="E2933" t="s">
        <v>3653</v>
      </c>
      <c r="F2933"/>
      <c r="G2933"/>
      <c r="H2933"/>
      <c r="I2933"/>
      <c r="J2933"/>
      <c r="K2933" t="s">
        <v>3549</v>
      </c>
    </row>
    <row r="2934" spans="1:11">
      <c r="A2934" s="28"/>
      <c r="B2934" s="29"/>
      <c r="C2934" s="28"/>
      <c r="D2934" s="46" t="s">
        <v>17</v>
      </c>
      <c r="E2934" s="28" t="s">
        <v>3654</v>
      </c>
      <c r="F2934" s="28"/>
      <c r="G2934" s="28"/>
      <c r="H2934" s="28"/>
      <c r="I2934" s="28"/>
      <c r="J2934" s="28"/>
      <c r="K2934" s="28" t="s">
        <v>3549</v>
      </c>
    </row>
    <row r="2935" spans="1:11">
      <c r="A2935" s="26" t="s">
        <v>3364</v>
      </c>
      <c r="B2935" s="27" t="s">
        <v>954</v>
      </c>
      <c r="C2935" s="38">
        <v>44778</v>
      </c>
      <c r="D2935" t="s">
        <v>965</v>
      </c>
      <c r="E2935" t="s">
        <v>3548</v>
      </c>
      <c r="F2935" s="26" t="s">
        <v>210</v>
      </c>
      <c r="G2935">
        <v>931514179</v>
      </c>
      <c r="H2935"/>
      <c r="I2935"/>
      <c r="J2935"/>
      <c r="K2935" t="s">
        <v>3548</v>
      </c>
    </row>
    <row r="2936" spans="1:11">
      <c r="A2936"/>
      <c r="B2936" s="20"/>
      <c r="C2936"/>
      <c r="D2936" s="24" t="s">
        <v>967</v>
      </c>
      <c r="E2936" t="s">
        <v>3655</v>
      </c>
      <c r="F2936"/>
      <c r="G2936"/>
      <c r="H2936"/>
      <c r="I2936"/>
      <c r="J2936"/>
      <c r="K2936" t="s">
        <v>3548</v>
      </c>
    </row>
    <row r="2937" spans="1:11">
      <c r="A2937"/>
      <c r="B2937" s="20"/>
      <c r="C2937"/>
      <c r="D2937" s="24" t="s">
        <v>969</v>
      </c>
      <c r="E2937" t="s">
        <v>3656</v>
      </c>
      <c r="F2937"/>
      <c r="G2937"/>
      <c r="H2937"/>
      <c r="I2937"/>
      <c r="J2937"/>
      <c r="K2937" t="s">
        <v>3548</v>
      </c>
    </row>
    <row r="2938" spans="1:11">
      <c r="A2938"/>
      <c r="B2938" s="20"/>
      <c r="C2938"/>
      <c r="D2938" s="24" t="s">
        <v>971</v>
      </c>
      <c r="E2938" t="s">
        <v>3657</v>
      </c>
      <c r="F2938"/>
      <c r="G2938"/>
      <c r="H2938"/>
      <c r="I2938"/>
      <c r="J2938"/>
      <c r="K2938" t="s">
        <v>3548</v>
      </c>
    </row>
    <row r="2939" spans="1:11">
      <c r="A2939"/>
      <c r="B2939" s="20"/>
      <c r="C2939"/>
      <c r="D2939" s="24" t="s">
        <v>975</v>
      </c>
      <c r="E2939" t="s">
        <v>3658</v>
      </c>
      <c r="F2939"/>
      <c r="G2939"/>
      <c r="H2939"/>
      <c r="I2939"/>
      <c r="J2939"/>
      <c r="K2939" t="s">
        <v>3548</v>
      </c>
    </row>
    <row r="2940" spans="1:11">
      <c r="A2940" s="28"/>
      <c r="B2940" s="29"/>
      <c r="C2940" s="28"/>
      <c r="D2940" s="46" t="s">
        <v>17</v>
      </c>
      <c r="E2940" s="28" t="s">
        <v>3659</v>
      </c>
      <c r="F2940" s="28"/>
      <c r="G2940" s="28"/>
      <c r="H2940" s="28"/>
      <c r="I2940" s="28"/>
      <c r="J2940" s="28"/>
      <c r="K2940" s="28" t="s">
        <v>3548</v>
      </c>
    </row>
    <row r="2941" spans="1:11">
      <c r="A2941" s="26" t="s">
        <v>3364</v>
      </c>
      <c r="B2941" s="27" t="s">
        <v>954</v>
      </c>
      <c r="C2941" s="38">
        <v>44778</v>
      </c>
      <c r="D2941" t="s">
        <v>965</v>
      </c>
      <c r="E2941" t="s">
        <v>3547</v>
      </c>
      <c r="F2941" s="26" t="s">
        <v>210</v>
      </c>
      <c r="G2941">
        <v>931514179</v>
      </c>
      <c r="H2941"/>
      <c r="I2941"/>
      <c r="J2941"/>
      <c r="K2941" t="s">
        <v>3547</v>
      </c>
    </row>
    <row r="2942" spans="1:11">
      <c r="A2942"/>
      <c r="B2942" s="20"/>
      <c r="C2942"/>
      <c r="D2942" s="24" t="s">
        <v>967</v>
      </c>
      <c r="E2942" t="s">
        <v>3660</v>
      </c>
      <c r="F2942"/>
      <c r="G2942"/>
      <c r="H2942"/>
      <c r="I2942"/>
      <c r="J2942"/>
      <c r="K2942" t="s">
        <v>3547</v>
      </c>
    </row>
    <row r="2943" spans="1:11">
      <c r="A2943"/>
      <c r="B2943" s="20"/>
      <c r="C2943"/>
      <c r="D2943" s="24" t="s">
        <v>969</v>
      </c>
      <c r="E2943" t="s">
        <v>3661</v>
      </c>
      <c r="F2943"/>
      <c r="G2943"/>
      <c r="H2943"/>
      <c r="I2943"/>
      <c r="J2943"/>
      <c r="K2943" t="s">
        <v>3547</v>
      </c>
    </row>
    <row r="2944" spans="1:11">
      <c r="A2944"/>
      <c r="B2944" s="20"/>
      <c r="C2944"/>
      <c r="D2944" s="24" t="s">
        <v>971</v>
      </c>
      <c r="E2944" t="s">
        <v>3662</v>
      </c>
      <c r="F2944"/>
      <c r="G2944"/>
      <c r="H2944"/>
      <c r="I2944"/>
      <c r="J2944"/>
      <c r="K2944" t="s">
        <v>3547</v>
      </c>
    </row>
    <row r="2945" spans="1:11">
      <c r="A2945"/>
      <c r="B2945" s="20"/>
      <c r="C2945"/>
      <c r="D2945" s="24" t="s">
        <v>975</v>
      </c>
      <c r="E2945" t="s">
        <v>3663</v>
      </c>
      <c r="F2945"/>
      <c r="G2945"/>
      <c r="H2945"/>
      <c r="I2945"/>
      <c r="J2945"/>
      <c r="K2945" t="s">
        <v>3547</v>
      </c>
    </row>
    <row r="2946" spans="1:11">
      <c r="A2946" s="28"/>
      <c r="B2946" s="29"/>
      <c r="C2946" s="28"/>
      <c r="D2946" s="46" t="s">
        <v>17</v>
      </c>
      <c r="E2946" s="28" t="s">
        <v>3664</v>
      </c>
      <c r="F2946" s="28"/>
      <c r="G2946" s="28"/>
      <c r="H2946" s="28"/>
      <c r="I2946" s="28"/>
      <c r="J2946" s="28"/>
      <c r="K2946" s="28" t="s">
        <v>3547</v>
      </c>
    </row>
    <row r="2947" spans="1:11">
      <c r="A2947" s="26" t="s">
        <v>3364</v>
      </c>
      <c r="B2947" s="27" t="s">
        <v>954</v>
      </c>
      <c r="C2947" s="38">
        <v>44778</v>
      </c>
      <c r="D2947" t="s">
        <v>965</v>
      </c>
      <c r="E2947" t="s">
        <v>3546</v>
      </c>
      <c r="F2947" s="26" t="s">
        <v>210</v>
      </c>
      <c r="G2947">
        <v>931514179</v>
      </c>
      <c r="H2947"/>
      <c r="I2947"/>
      <c r="J2947"/>
      <c r="K2947" t="s">
        <v>3546</v>
      </c>
    </row>
    <row r="2948" spans="1:11">
      <c r="A2948"/>
      <c r="B2948" s="20"/>
      <c r="C2948"/>
      <c r="D2948" s="24" t="s">
        <v>967</v>
      </c>
      <c r="E2948" t="s">
        <v>3665</v>
      </c>
      <c r="F2948"/>
      <c r="G2948"/>
      <c r="H2948"/>
      <c r="I2948"/>
      <c r="J2948"/>
      <c r="K2948" t="s">
        <v>3546</v>
      </c>
    </row>
    <row r="2949" spans="1:11">
      <c r="A2949"/>
      <c r="B2949" s="20"/>
      <c r="C2949"/>
      <c r="D2949" s="24" t="s">
        <v>969</v>
      </c>
      <c r="E2949" t="s">
        <v>3666</v>
      </c>
      <c r="F2949"/>
      <c r="G2949"/>
      <c r="H2949"/>
      <c r="I2949"/>
      <c r="J2949"/>
      <c r="K2949" t="s">
        <v>3546</v>
      </c>
    </row>
    <row r="2950" spans="1:11">
      <c r="A2950"/>
      <c r="B2950" s="20"/>
      <c r="C2950"/>
      <c r="D2950" s="24" t="s">
        <v>971</v>
      </c>
      <c r="E2950" t="s">
        <v>3667</v>
      </c>
      <c r="F2950"/>
      <c r="G2950"/>
      <c r="H2950"/>
      <c r="I2950"/>
      <c r="J2950"/>
      <c r="K2950" t="s">
        <v>3546</v>
      </c>
    </row>
    <row r="2951" spans="1:11">
      <c r="A2951"/>
      <c r="B2951" s="20"/>
      <c r="C2951"/>
      <c r="D2951" s="24" t="s">
        <v>975</v>
      </c>
      <c r="E2951" t="s">
        <v>3668</v>
      </c>
      <c r="F2951"/>
      <c r="G2951"/>
      <c r="H2951"/>
      <c r="I2951"/>
      <c r="J2951"/>
      <c r="K2951" t="s">
        <v>3546</v>
      </c>
    </row>
    <row r="2952" spans="1:11">
      <c r="A2952" s="28"/>
      <c r="B2952" s="29"/>
      <c r="C2952" s="28"/>
      <c r="D2952" s="46" t="s">
        <v>17</v>
      </c>
      <c r="E2952" s="28" t="s">
        <v>3669</v>
      </c>
      <c r="F2952" s="28"/>
      <c r="G2952" s="28"/>
      <c r="H2952" s="28"/>
      <c r="I2952" s="28"/>
      <c r="J2952" s="28"/>
      <c r="K2952" s="28" t="s">
        <v>3546</v>
      </c>
    </row>
    <row r="2953" spans="1:11">
      <c r="A2953" s="26" t="s">
        <v>3364</v>
      </c>
      <c r="B2953" s="27" t="s">
        <v>954</v>
      </c>
      <c r="C2953" s="38">
        <v>44778</v>
      </c>
      <c r="D2953" t="s">
        <v>965</v>
      </c>
      <c r="E2953" t="s">
        <v>3545</v>
      </c>
      <c r="F2953" s="26" t="s">
        <v>210</v>
      </c>
      <c r="G2953">
        <v>931514179</v>
      </c>
      <c r="H2953"/>
      <c r="I2953"/>
      <c r="J2953"/>
      <c r="K2953" t="s">
        <v>3545</v>
      </c>
    </row>
    <row r="2954" spans="1:11">
      <c r="A2954"/>
      <c r="B2954" s="20"/>
      <c r="C2954"/>
      <c r="D2954" s="24" t="s">
        <v>967</v>
      </c>
      <c r="E2954" t="s">
        <v>3670</v>
      </c>
      <c r="F2954"/>
      <c r="G2954"/>
      <c r="H2954"/>
      <c r="I2954"/>
      <c r="J2954"/>
      <c r="K2954" t="s">
        <v>3545</v>
      </c>
    </row>
    <row r="2955" spans="1:11">
      <c r="A2955"/>
      <c r="B2955" s="20"/>
      <c r="C2955"/>
      <c r="D2955" s="24" t="s">
        <v>969</v>
      </c>
      <c r="E2955" t="s">
        <v>3671</v>
      </c>
      <c r="F2955"/>
      <c r="G2955"/>
      <c r="H2955"/>
      <c r="I2955"/>
      <c r="J2955"/>
      <c r="K2955" t="s">
        <v>3545</v>
      </c>
    </row>
    <row r="2956" spans="1:11">
      <c r="A2956"/>
      <c r="B2956" s="20"/>
      <c r="C2956"/>
      <c r="D2956" s="24" t="s">
        <v>971</v>
      </c>
      <c r="E2956" t="s">
        <v>3672</v>
      </c>
      <c r="F2956"/>
      <c r="G2956"/>
      <c r="H2956"/>
      <c r="I2956"/>
      <c r="J2956"/>
      <c r="K2956" t="s">
        <v>3545</v>
      </c>
    </row>
    <row r="2957" spans="1:11">
      <c r="A2957"/>
      <c r="B2957" s="20"/>
      <c r="C2957"/>
      <c r="D2957" s="24" t="s">
        <v>975</v>
      </c>
      <c r="E2957" t="s">
        <v>3673</v>
      </c>
      <c r="F2957"/>
      <c r="G2957"/>
      <c r="H2957"/>
      <c r="I2957"/>
      <c r="J2957"/>
      <c r="K2957" t="s">
        <v>3545</v>
      </c>
    </row>
    <row r="2958" spans="1:11">
      <c r="A2958" s="28"/>
      <c r="B2958" s="29"/>
      <c r="C2958" s="28"/>
      <c r="D2958" s="46" t="s">
        <v>17</v>
      </c>
      <c r="E2958" s="28" t="s">
        <v>3674</v>
      </c>
      <c r="F2958" s="28"/>
      <c r="G2958" s="28"/>
      <c r="H2958" s="28"/>
      <c r="I2958" s="28"/>
      <c r="J2958" s="28"/>
      <c r="K2958" s="28" t="s">
        <v>3545</v>
      </c>
    </row>
    <row r="2959" spans="1:11">
      <c r="A2959" s="26" t="s">
        <v>3364</v>
      </c>
      <c r="B2959" s="27" t="s">
        <v>954</v>
      </c>
      <c r="C2959" s="38">
        <v>44778</v>
      </c>
      <c r="D2959" t="s">
        <v>965</v>
      </c>
      <c r="E2959" t="s">
        <v>3544</v>
      </c>
      <c r="F2959" s="26" t="s">
        <v>210</v>
      </c>
      <c r="G2959">
        <v>931514179</v>
      </c>
      <c r="H2959"/>
      <c r="I2959"/>
      <c r="J2959"/>
      <c r="K2959" t="s">
        <v>3544</v>
      </c>
    </row>
    <row r="2960" spans="1:11">
      <c r="A2960"/>
      <c r="B2960" s="20"/>
      <c r="C2960"/>
      <c r="D2960" s="24" t="s">
        <v>967</v>
      </c>
      <c r="E2960" t="s">
        <v>3675</v>
      </c>
      <c r="F2960"/>
      <c r="G2960"/>
      <c r="H2960"/>
      <c r="I2960"/>
      <c r="J2960"/>
      <c r="K2960" t="s">
        <v>3544</v>
      </c>
    </row>
    <row r="2961" spans="1:11">
      <c r="A2961"/>
      <c r="B2961" s="20"/>
      <c r="C2961"/>
      <c r="D2961" s="24" t="s">
        <v>969</v>
      </c>
      <c r="E2961" t="s">
        <v>3676</v>
      </c>
      <c r="F2961"/>
      <c r="G2961"/>
      <c r="H2961"/>
      <c r="I2961"/>
      <c r="J2961"/>
      <c r="K2961" t="s">
        <v>3544</v>
      </c>
    </row>
    <row r="2962" spans="1:11">
      <c r="A2962"/>
      <c r="B2962" s="20"/>
      <c r="C2962"/>
      <c r="D2962" s="24" t="s">
        <v>971</v>
      </c>
      <c r="E2962" t="s">
        <v>3677</v>
      </c>
      <c r="F2962"/>
      <c r="G2962"/>
      <c r="H2962"/>
      <c r="I2962"/>
      <c r="J2962"/>
      <c r="K2962" t="s">
        <v>3544</v>
      </c>
    </row>
    <row r="2963" spans="1:11">
      <c r="A2963"/>
      <c r="B2963" s="20"/>
      <c r="C2963"/>
      <c r="D2963" s="24" t="s">
        <v>975</v>
      </c>
      <c r="E2963" t="s">
        <v>3678</v>
      </c>
      <c r="F2963"/>
      <c r="G2963"/>
      <c r="H2963"/>
      <c r="I2963"/>
      <c r="J2963"/>
      <c r="K2963" t="s">
        <v>3544</v>
      </c>
    </row>
    <row r="2964" spans="1:11">
      <c r="A2964" s="28"/>
      <c r="B2964" s="29"/>
      <c r="C2964" s="28"/>
      <c r="D2964" s="46" t="s">
        <v>17</v>
      </c>
      <c r="E2964" s="28" t="s">
        <v>3679</v>
      </c>
      <c r="F2964" s="28"/>
      <c r="G2964" s="28"/>
      <c r="H2964" s="28"/>
      <c r="I2964" s="28"/>
      <c r="J2964" s="28"/>
      <c r="K2964" s="28" t="s">
        <v>3544</v>
      </c>
    </row>
    <row r="2965" spans="1:11">
      <c r="A2965" s="6">
        <v>44781</v>
      </c>
      <c r="B2965" s="20">
        <v>4344792631</v>
      </c>
      <c r="C2965" s="6">
        <v>44778</v>
      </c>
      <c r="D2965" t="s">
        <v>3302</v>
      </c>
      <c r="E2965" t="s">
        <v>3680</v>
      </c>
      <c r="F2965" t="s">
        <v>2835</v>
      </c>
      <c r="G2965">
        <v>2514189</v>
      </c>
      <c r="H2965"/>
      <c r="I2965"/>
      <c r="J2965"/>
      <c r="K2965" t="s">
        <v>3547</v>
      </c>
    </row>
    <row r="2966" spans="1:11">
      <c r="A2966" s="6">
        <v>44781</v>
      </c>
      <c r="B2966" s="20">
        <v>4344792631</v>
      </c>
      <c r="C2966" s="6">
        <v>44778</v>
      </c>
      <c r="D2966" t="s">
        <v>3302</v>
      </c>
      <c r="E2966" t="s">
        <v>3681</v>
      </c>
      <c r="F2966" t="s">
        <v>2835</v>
      </c>
      <c r="G2966">
        <v>2514189</v>
      </c>
      <c r="H2966"/>
      <c r="I2966"/>
      <c r="J2966"/>
      <c r="K2966" t="s">
        <v>3548</v>
      </c>
    </row>
    <row r="2967" spans="1:11">
      <c r="A2967" s="6">
        <v>44781</v>
      </c>
      <c r="B2967" s="20">
        <v>4344792631</v>
      </c>
      <c r="C2967" s="6">
        <v>44778</v>
      </c>
      <c r="D2967" t="s">
        <v>3302</v>
      </c>
      <c r="E2967" t="s">
        <v>3682</v>
      </c>
      <c r="F2967" t="s">
        <v>2835</v>
      </c>
      <c r="G2967">
        <v>2514189</v>
      </c>
      <c r="H2967"/>
      <c r="I2967"/>
      <c r="J2967"/>
      <c r="K2967" t="s">
        <v>3549</v>
      </c>
    </row>
    <row r="2968" spans="1:11">
      <c r="A2968" s="6">
        <v>44781</v>
      </c>
      <c r="B2968" s="20">
        <v>4344792631</v>
      </c>
      <c r="C2968" s="6">
        <v>44778</v>
      </c>
      <c r="D2968" t="s">
        <v>3302</v>
      </c>
      <c r="E2968" t="s">
        <v>3683</v>
      </c>
      <c r="F2968" t="s">
        <v>2835</v>
      </c>
      <c r="G2968">
        <v>2514189</v>
      </c>
      <c r="H2968"/>
      <c r="I2968"/>
      <c r="J2968"/>
      <c r="K2968" t="s">
        <v>3550</v>
      </c>
    </row>
    <row r="2969" spans="1:11">
      <c r="A2969" s="6">
        <v>44781</v>
      </c>
      <c r="B2969" s="20">
        <v>4344792631</v>
      </c>
      <c r="C2969" s="6">
        <v>44778</v>
      </c>
      <c r="D2969" t="s">
        <v>3302</v>
      </c>
      <c r="E2969" t="s">
        <v>3684</v>
      </c>
      <c r="F2969" t="s">
        <v>2835</v>
      </c>
      <c r="G2969">
        <v>2514189</v>
      </c>
      <c r="H2969"/>
      <c r="I2969"/>
      <c r="J2969"/>
      <c r="K2969" t="s">
        <v>3551</v>
      </c>
    </row>
    <row r="2970" spans="1:11">
      <c r="A2970" s="6">
        <v>44781</v>
      </c>
      <c r="B2970" s="20">
        <v>4344792631</v>
      </c>
      <c r="C2970" s="6">
        <v>44778</v>
      </c>
      <c r="D2970" t="s">
        <v>3302</v>
      </c>
      <c r="E2970" t="s">
        <v>3685</v>
      </c>
      <c r="F2970" t="s">
        <v>2835</v>
      </c>
      <c r="G2970">
        <v>2514189</v>
      </c>
      <c r="H2970"/>
      <c r="I2970"/>
      <c r="J2970"/>
      <c r="K2970" t="s">
        <v>3552</v>
      </c>
    </row>
    <row r="2971" spans="1:11">
      <c r="A2971" s="6">
        <v>44781</v>
      </c>
      <c r="B2971" s="20">
        <v>4344792631</v>
      </c>
      <c r="C2971" s="6">
        <v>44778</v>
      </c>
      <c r="D2971" t="s">
        <v>3302</v>
      </c>
      <c r="E2971" t="s">
        <v>3686</v>
      </c>
      <c r="F2971" t="s">
        <v>2835</v>
      </c>
      <c r="G2971">
        <v>2514189</v>
      </c>
      <c r="H2971"/>
      <c r="I2971"/>
      <c r="J2971"/>
      <c r="K2971" t="s">
        <v>3541</v>
      </c>
    </row>
    <row r="2972" spans="1:11">
      <c r="A2972" s="6">
        <v>44781</v>
      </c>
      <c r="B2972" s="20">
        <v>4344792631</v>
      </c>
      <c r="C2972" s="6">
        <v>44778</v>
      </c>
      <c r="D2972" t="s">
        <v>3302</v>
      </c>
      <c r="E2972" t="s">
        <v>3687</v>
      </c>
      <c r="F2972" t="s">
        <v>2835</v>
      </c>
      <c r="G2972">
        <v>2514189</v>
      </c>
      <c r="H2972"/>
      <c r="I2972"/>
      <c r="J2972"/>
      <c r="K2972" t="s">
        <v>3542</v>
      </c>
    </row>
    <row r="2973" spans="1:11">
      <c r="A2973" s="6">
        <v>44781</v>
      </c>
      <c r="B2973" s="20">
        <v>4344792631</v>
      </c>
      <c r="C2973" s="6">
        <v>44778</v>
      </c>
      <c r="D2973" t="s">
        <v>3302</v>
      </c>
      <c r="E2973" t="s">
        <v>3688</v>
      </c>
      <c r="F2973" t="s">
        <v>2835</v>
      </c>
      <c r="G2973">
        <v>2514189</v>
      </c>
      <c r="H2973"/>
      <c r="I2973"/>
      <c r="J2973"/>
      <c r="K2973" t="s">
        <v>3543</v>
      </c>
    </row>
    <row r="2974" spans="1:11">
      <c r="A2974" s="6">
        <v>44781</v>
      </c>
      <c r="B2974" s="20">
        <v>4344792631</v>
      </c>
      <c r="C2974" s="6">
        <v>44778</v>
      </c>
      <c r="D2974" t="s">
        <v>3302</v>
      </c>
      <c r="E2974" t="s">
        <v>3689</v>
      </c>
      <c r="F2974" t="s">
        <v>2835</v>
      </c>
      <c r="G2974">
        <v>2514189</v>
      </c>
      <c r="H2974"/>
      <c r="I2974"/>
      <c r="J2974"/>
      <c r="K2974" t="s">
        <v>3544</v>
      </c>
    </row>
    <row r="2975" spans="1:11">
      <c r="A2975" s="6">
        <v>44781</v>
      </c>
      <c r="B2975" s="20">
        <v>4344792631</v>
      </c>
      <c r="C2975" s="6">
        <v>44778</v>
      </c>
      <c r="D2975" t="s">
        <v>3302</v>
      </c>
      <c r="E2975" t="s">
        <v>3690</v>
      </c>
      <c r="F2975" t="s">
        <v>2835</v>
      </c>
      <c r="G2975">
        <v>2514189</v>
      </c>
      <c r="H2975"/>
      <c r="I2975"/>
      <c r="J2975"/>
      <c r="K2975" t="s">
        <v>3545</v>
      </c>
    </row>
    <row r="2976" spans="1:11">
      <c r="A2976" s="6">
        <v>44781</v>
      </c>
      <c r="B2976" s="20">
        <v>4344792631</v>
      </c>
      <c r="C2976" s="6">
        <v>44778</v>
      </c>
      <c r="D2976" t="s">
        <v>3302</v>
      </c>
      <c r="E2976" t="s">
        <v>3691</v>
      </c>
      <c r="F2976" t="s">
        <v>2835</v>
      </c>
      <c r="G2976">
        <v>2514189</v>
      </c>
      <c r="H2976"/>
      <c r="I2976"/>
      <c r="J2976"/>
      <c r="K2976" t="s">
        <v>3546</v>
      </c>
    </row>
    <row r="2977" spans="1:11">
      <c r="A2977" s="6">
        <v>44781</v>
      </c>
      <c r="B2977" s="20">
        <v>4344792631</v>
      </c>
      <c r="C2977" s="6">
        <v>44778</v>
      </c>
      <c r="D2977" t="s">
        <v>3302</v>
      </c>
      <c r="E2977" t="s">
        <v>3692</v>
      </c>
      <c r="F2977" t="s">
        <v>2835</v>
      </c>
      <c r="G2977">
        <v>2514189</v>
      </c>
      <c r="H2977"/>
      <c r="I2977"/>
      <c r="J2977"/>
      <c r="K2977" t="s">
        <v>3535</v>
      </c>
    </row>
    <row r="2978" spans="1:11">
      <c r="A2978" s="6">
        <v>44781</v>
      </c>
      <c r="B2978" s="20">
        <v>4344792631</v>
      </c>
      <c r="C2978" s="6">
        <v>44778</v>
      </c>
      <c r="D2978" t="s">
        <v>3302</v>
      </c>
      <c r="E2978" t="s">
        <v>3693</v>
      </c>
      <c r="F2978" t="s">
        <v>2835</v>
      </c>
      <c r="G2978">
        <v>2514189</v>
      </c>
      <c r="H2978"/>
      <c r="I2978"/>
      <c r="J2978"/>
      <c r="K2978" t="s">
        <v>3536</v>
      </c>
    </row>
    <row r="2979" spans="1:11">
      <c r="A2979" s="6">
        <v>44781</v>
      </c>
      <c r="B2979" s="20">
        <v>4344792631</v>
      </c>
      <c r="C2979" s="6">
        <v>44778</v>
      </c>
      <c r="D2979" t="s">
        <v>3302</v>
      </c>
      <c r="E2979" t="s">
        <v>3694</v>
      </c>
      <c r="F2979" t="s">
        <v>2835</v>
      </c>
      <c r="G2979">
        <v>2514189</v>
      </c>
      <c r="H2979"/>
      <c r="I2979"/>
      <c r="J2979"/>
      <c r="K2979" t="s">
        <v>3537</v>
      </c>
    </row>
    <row r="2980" spans="1:11">
      <c r="A2980" s="6">
        <v>44781</v>
      </c>
      <c r="B2980" s="20">
        <v>4344792631</v>
      </c>
      <c r="C2980" s="6">
        <v>44778</v>
      </c>
      <c r="D2980" t="s">
        <v>3302</v>
      </c>
      <c r="E2980" t="s">
        <v>3695</v>
      </c>
      <c r="F2980" t="s">
        <v>2835</v>
      </c>
      <c r="G2980">
        <v>2514189</v>
      </c>
      <c r="H2980"/>
      <c r="I2980"/>
      <c r="J2980"/>
      <c r="K2980" t="s">
        <v>3538</v>
      </c>
    </row>
    <row r="2981" spans="1:11">
      <c r="A2981" s="6">
        <v>44781</v>
      </c>
      <c r="B2981" s="20">
        <v>4344792631</v>
      </c>
      <c r="C2981" s="6">
        <v>44778</v>
      </c>
      <c r="D2981" t="s">
        <v>3302</v>
      </c>
      <c r="E2981" t="s">
        <v>3696</v>
      </c>
      <c r="F2981" t="s">
        <v>2835</v>
      </c>
      <c r="G2981">
        <v>2514189</v>
      </c>
      <c r="H2981"/>
      <c r="I2981"/>
      <c r="J2981"/>
      <c r="K2981" t="s">
        <v>3539</v>
      </c>
    </row>
    <row r="2982" spans="1:11">
      <c r="A2982" s="6">
        <v>44781</v>
      </c>
      <c r="B2982" s="20">
        <v>4344792631</v>
      </c>
      <c r="C2982" s="6">
        <v>44778</v>
      </c>
      <c r="D2982" t="s">
        <v>3302</v>
      </c>
      <c r="E2982" t="s">
        <v>3697</v>
      </c>
      <c r="F2982" t="s">
        <v>2835</v>
      </c>
      <c r="G2982">
        <v>2514189</v>
      </c>
      <c r="H2982"/>
      <c r="I2982"/>
      <c r="J2982"/>
      <c r="K2982" t="s">
        <v>3540</v>
      </c>
    </row>
    <row r="2983" spans="1:11">
      <c r="A2983" s="6">
        <v>44792</v>
      </c>
      <c r="B2983" s="20" t="s">
        <v>3698</v>
      </c>
      <c r="C2983" s="6">
        <v>44784</v>
      </c>
      <c r="D2983" t="s">
        <v>3441</v>
      </c>
      <c r="E2983" t="s">
        <v>3699</v>
      </c>
      <c r="F2983" t="s">
        <v>2690</v>
      </c>
      <c r="G2983">
        <v>11073756</v>
      </c>
      <c r="H2983"/>
      <c r="I2983"/>
      <c r="J2983"/>
      <c r="K2983" t="s">
        <v>3535</v>
      </c>
    </row>
    <row r="2984" spans="1:11">
      <c r="A2984" s="6">
        <v>44792</v>
      </c>
      <c r="B2984" s="20" t="s">
        <v>3698</v>
      </c>
      <c r="C2984" s="6">
        <v>44784</v>
      </c>
      <c r="D2984" t="s">
        <v>3441</v>
      </c>
      <c r="E2984" t="s">
        <v>3700</v>
      </c>
      <c r="F2984" t="s">
        <v>2690</v>
      </c>
      <c r="G2984">
        <v>11073756</v>
      </c>
      <c r="H2984"/>
      <c r="I2984"/>
      <c r="J2984"/>
      <c r="K2984" t="s">
        <v>3536</v>
      </c>
    </row>
    <row r="2985" spans="1:11">
      <c r="A2985" s="6">
        <v>44792</v>
      </c>
      <c r="B2985" s="20" t="s">
        <v>3698</v>
      </c>
      <c r="C2985" s="6">
        <v>44784</v>
      </c>
      <c r="D2985" t="s">
        <v>3441</v>
      </c>
      <c r="E2985" t="s">
        <v>3701</v>
      </c>
      <c r="F2985" t="s">
        <v>2690</v>
      </c>
      <c r="G2985">
        <v>11073756</v>
      </c>
      <c r="H2985"/>
      <c r="I2985"/>
      <c r="J2985"/>
      <c r="K2985" t="s">
        <v>3537</v>
      </c>
    </row>
    <row r="2986" spans="1:11">
      <c r="A2986" s="6">
        <v>44792</v>
      </c>
      <c r="B2986" s="20" t="s">
        <v>3698</v>
      </c>
      <c r="C2986" s="6">
        <v>44784</v>
      </c>
      <c r="D2986" t="s">
        <v>3441</v>
      </c>
      <c r="E2986" t="s">
        <v>3702</v>
      </c>
      <c r="F2986" t="s">
        <v>2690</v>
      </c>
      <c r="G2986">
        <v>11073756</v>
      </c>
      <c r="H2986"/>
      <c r="I2986"/>
      <c r="J2986"/>
      <c r="K2986" t="s">
        <v>3538</v>
      </c>
    </row>
    <row r="2987" spans="1:11">
      <c r="A2987" s="6">
        <v>44792</v>
      </c>
      <c r="B2987" s="20" t="s">
        <v>3698</v>
      </c>
      <c r="C2987" s="6">
        <v>44784</v>
      </c>
      <c r="D2987" t="s">
        <v>3441</v>
      </c>
      <c r="E2987" t="s">
        <v>3703</v>
      </c>
      <c r="F2987" t="s">
        <v>2690</v>
      </c>
      <c r="G2987">
        <v>11073756</v>
      </c>
      <c r="H2987"/>
      <c r="I2987"/>
      <c r="J2987"/>
      <c r="K2987" t="s">
        <v>3539</v>
      </c>
    </row>
    <row r="2988" spans="1:11">
      <c r="A2988" s="6">
        <v>44792</v>
      </c>
      <c r="B2988" s="20" t="s">
        <v>3698</v>
      </c>
      <c r="C2988" s="6">
        <v>44784</v>
      </c>
      <c r="D2988" t="s">
        <v>3441</v>
      </c>
      <c r="E2988" t="s">
        <v>3704</v>
      </c>
      <c r="F2988" t="s">
        <v>2690</v>
      </c>
      <c r="G2988">
        <v>11073756</v>
      </c>
      <c r="H2988"/>
      <c r="I2988"/>
      <c r="J2988"/>
      <c r="K2988" t="s">
        <v>3540</v>
      </c>
    </row>
    <row r="2989" spans="1:11">
      <c r="A2989" s="6">
        <v>44792</v>
      </c>
      <c r="B2989" s="20" t="s">
        <v>3698</v>
      </c>
      <c r="C2989" s="6">
        <v>44784</v>
      </c>
      <c r="D2989" t="s">
        <v>3441</v>
      </c>
      <c r="E2989" t="s">
        <v>3705</v>
      </c>
      <c r="F2989" t="s">
        <v>2690</v>
      </c>
      <c r="G2989">
        <v>11073756</v>
      </c>
      <c r="H2989"/>
      <c r="I2989"/>
      <c r="J2989"/>
      <c r="K2989" t="s">
        <v>3541</v>
      </c>
    </row>
    <row r="2990" spans="1:11">
      <c r="A2990" s="6">
        <v>44792</v>
      </c>
      <c r="B2990" s="20" t="s">
        <v>3698</v>
      </c>
      <c r="C2990" s="6">
        <v>44784</v>
      </c>
      <c r="D2990" t="s">
        <v>3441</v>
      </c>
      <c r="E2990" t="s">
        <v>3706</v>
      </c>
      <c r="F2990" t="s">
        <v>2690</v>
      </c>
      <c r="G2990">
        <v>11073756</v>
      </c>
      <c r="H2990"/>
      <c r="I2990"/>
      <c r="J2990"/>
      <c r="K2990" t="s">
        <v>3542</v>
      </c>
    </row>
    <row r="2991" spans="1:11">
      <c r="A2991" s="6">
        <v>44792</v>
      </c>
      <c r="B2991" s="20" t="s">
        <v>3698</v>
      </c>
      <c r="C2991" s="6">
        <v>44784</v>
      </c>
      <c r="D2991" t="s">
        <v>3441</v>
      </c>
      <c r="E2991" t="s">
        <v>3707</v>
      </c>
      <c r="F2991" t="s">
        <v>2690</v>
      </c>
      <c r="G2991">
        <v>11073756</v>
      </c>
      <c r="H2991"/>
      <c r="I2991"/>
      <c r="J2991"/>
      <c r="K2991" t="s">
        <v>3543</v>
      </c>
    </row>
    <row r="2992" spans="1:11">
      <c r="A2992" s="6">
        <v>44792</v>
      </c>
      <c r="B2992" s="20" t="s">
        <v>3698</v>
      </c>
      <c r="C2992" s="6">
        <v>44784</v>
      </c>
      <c r="D2992" t="s">
        <v>3441</v>
      </c>
      <c r="E2992" t="s">
        <v>3708</v>
      </c>
      <c r="F2992" t="s">
        <v>2690</v>
      </c>
      <c r="G2992">
        <v>11073756</v>
      </c>
      <c r="H2992"/>
      <c r="I2992"/>
      <c r="J2992"/>
      <c r="K2992" t="s">
        <v>3544</v>
      </c>
    </row>
    <row r="2993" spans="1:11">
      <c r="A2993" s="6">
        <v>44792</v>
      </c>
      <c r="B2993" s="20" t="s">
        <v>3698</v>
      </c>
      <c r="C2993" s="6">
        <v>44784</v>
      </c>
      <c r="D2993" t="s">
        <v>3441</v>
      </c>
      <c r="E2993" t="s">
        <v>3709</v>
      </c>
      <c r="F2993" t="s">
        <v>2690</v>
      </c>
      <c r="G2993">
        <v>11073756</v>
      </c>
      <c r="H2993"/>
      <c r="I2993"/>
      <c r="J2993"/>
      <c r="K2993" t="s">
        <v>3545</v>
      </c>
    </row>
    <row r="2994" spans="1:11">
      <c r="A2994" s="6">
        <v>44792</v>
      </c>
      <c r="B2994" s="20" t="s">
        <v>3698</v>
      </c>
      <c r="C2994" s="6">
        <v>44784</v>
      </c>
      <c r="D2994" t="s">
        <v>3441</v>
      </c>
      <c r="E2994" t="s">
        <v>3710</v>
      </c>
      <c r="F2994" t="s">
        <v>2690</v>
      </c>
      <c r="G2994">
        <v>11073756</v>
      </c>
      <c r="H2994"/>
      <c r="I2994"/>
      <c r="J2994"/>
      <c r="K2994" t="s">
        <v>3546</v>
      </c>
    </row>
    <row r="2995" spans="1:11">
      <c r="A2995" s="6">
        <v>44792</v>
      </c>
      <c r="B2995" s="20" t="s">
        <v>3698</v>
      </c>
      <c r="C2995" s="6">
        <v>44784</v>
      </c>
      <c r="D2995" t="s">
        <v>3441</v>
      </c>
      <c r="E2995" t="s">
        <v>3711</v>
      </c>
      <c r="F2995" t="s">
        <v>2690</v>
      </c>
      <c r="G2995">
        <v>11073756</v>
      </c>
      <c r="H2995"/>
      <c r="I2995"/>
      <c r="J2995"/>
      <c r="K2995" t="s">
        <v>3547</v>
      </c>
    </row>
    <row r="2996" spans="1:11">
      <c r="A2996" s="6">
        <v>44792</v>
      </c>
      <c r="B2996" s="20" t="s">
        <v>3698</v>
      </c>
      <c r="C2996" s="6">
        <v>44784</v>
      </c>
      <c r="D2996" t="s">
        <v>3441</v>
      </c>
      <c r="E2996" t="s">
        <v>3712</v>
      </c>
      <c r="F2996" t="s">
        <v>2690</v>
      </c>
      <c r="G2996">
        <v>11073756</v>
      </c>
      <c r="H2996"/>
      <c r="I2996"/>
      <c r="J2996"/>
      <c r="K2996" t="s">
        <v>3548</v>
      </c>
    </row>
    <row r="2997" spans="1:11">
      <c r="A2997" s="6">
        <v>44792</v>
      </c>
      <c r="B2997" s="20" t="s">
        <v>3698</v>
      </c>
      <c r="C2997" s="6">
        <v>44784</v>
      </c>
      <c r="D2997" t="s">
        <v>3441</v>
      </c>
      <c r="E2997" t="s">
        <v>3713</v>
      </c>
      <c r="F2997" t="s">
        <v>2690</v>
      </c>
      <c r="G2997">
        <v>11073756</v>
      </c>
      <c r="H2997"/>
      <c r="I2997"/>
      <c r="J2997"/>
      <c r="K2997" t="s">
        <v>3549</v>
      </c>
    </row>
    <row r="2998" spans="1:11">
      <c r="A2998" s="6">
        <v>44792</v>
      </c>
      <c r="B2998" s="20" t="s">
        <v>3698</v>
      </c>
      <c r="C2998" s="6">
        <v>44784</v>
      </c>
      <c r="D2998" t="s">
        <v>3441</v>
      </c>
      <c r="E2998" t="s">
        <v>3714</v>
      </c>
      <c r="F2998" t="s">
        <v>2690</v>
      </c>
      <c r="G2998">
        <v>11073756</v>
      </c>
      <c r="H2998"/>
      <c r="I2998"/>
      <c r="J2998"/>
      <c r="K2998" t="s">
        <v>3550</v>
      </c>
    </row>
    <row r="2999" spans="1:11">
      <c r="A2999" s="6">
        <v>44792</v>
      </c>
      <c r="B2999" s="20" t="s">
        <v>3698</v>
      </c>
      <c r="C2999" s="6">
        <v>44784</v>
      </c>
      <c r="D2999" t="s">
        <v>3441</v>
      </c>
      <c r="E2999" t="s">
        <v>3715</v>
      </c>
      <c r="F2999" t="s">
        <v>2690</v>
      </c>
      <c r="G2999">
        <v>11073756</v>
      </c>
      <c r="H2999"/>
      <c r="I2999"/>
      <c r="J2999"/>
      <c r="K2999" t="s">
        <v>3551</v>
      </c>
    </row>
    <row r="3000" spans="1:11">
      <c r="A3000" s="6">
        <v>44792</v>
      </c>
      <c r="B3000" s="20" t="s">
        <v>3698</v>
      </c>
      <c r="C3000" s="6">
        <v>44784</v>
      </c>
      <c r="D3000" t="s">
        <v>3441</v>
      </c>
      <c r="E3000" t="s">
        <v>3716</v>
      </c>
      <c r="F3000" t="s">
        <v>2690</v>
      </c>
      <c r="G3000">
        <v>11073756</v>
      </c>
      <c r="H3000"/>
      <c r="I3000"/>
      <c r="J3000"/>
      <c r="K3000" t="s">
        <v>3552</v>
      </c>
    </row>
    <row r="3001" spans="1:11">
      <c r="A3001"/>
      <c r="B3001"/>
      <c r="C3001"/>
      <c r="D3001" t="s">
        <v>976</v>
      </c>
      <c r="E3001" s="47">
        <v>2219145923985</v>
      </c>
      <c r="F3001"/>
      <c r="G3001"/>
      <c r="H3001"/>
      <c r="I3001"/>
      <c r="J3001"/>
      <c r="K3001" t="s">
        <v>3535</v>
      </c>
    </row>
    <row r="3002" spans="1:11">
      <c r="A3002"/>
      <c r="B3002"/>
      <c r="C3002"/>
      <c r="D3002" t="s">
        <v>976</v>
      </c>
      <c r="E3002" s="47">
        <v>2219145923984</v>
      </c>
      <c r="F3002"/>
      <c r="G3002"/>
      <c r="H3002"/>
      <c r="I3002"/>
      <c r="J3002"/>
      <c r="K3002" t="s">
        <v>3536</v>
      </c>
    </row>
    <row r="3003" spans="1:11">
      <c r="A3003"/>
      <c r="B3003"/>
      <c r="C3003"/>
      <c r="D3003" t="s">
        <v>976</v>
      </c>
      <c r="E3003" s="47">
        <v>2219145923983</v>
      </c>
      <c r="F3003"/>
      <c r="G3003"/>
      <c r="H3003"/>
      <c r="I3003"/>
      <c r="J3003"/>
      <c r="K3003" t="s">
        <v>3537</v>
      </c>
    </row>
    <row r="3004" spans="1:11">
      <c r="A3004"/>
      <c r="B3004"/>
      <c r="C3004"/>
      <c r="D3004" t="s">
        <v>976</v>
      </c>
      <c r="E3004" s="47">
        <v>2219145923982</v>
      </c>
      <c r="F3004"/>
      <c r="G3004"/>
      <c r="H3004"/>
      <c r="I3004"/>
      <c r="J3004"/>
      <c r="K3004" t="s">
        <v>3538</v>
      </c>
    </row>
    <row r="3005" spans="1:11">
      <c r="A3005"/>
      <c r="B3005"/>
      <c r="C3005"/>
      <c r="D3005" t="s">
        <v>976</v>
      </c>
      <c r="E3005" s="47">
        <v>2219145923981</v>
      </c>
      <c r="F3005"/>
      <c r="G3005"/>
      <c r="H3005"/>
      <c r="I3005"/>
      <c r="J3005"/>
      <c r="K3005" t="s">
        <v>3539</v>
      </c>
    </row>
    <row r="3006" spans="1:11">
      <c r="A3006"/>
      <c r="B3006"/>
      <c r="C3006"/>
      <c r="D3006" t="s">
        <v>976</v>
      </c>
      <c r="E3006" s="47">
        <v>2219145923980</v>
      </c>
      <c r="F3006"/>
      <c r="G3006"/>
      <c r="H3006"/>
      <c r="I3006"/>
      <c r="J3006"/>
      <c r="K3006" t="s">
        <v>3540</v>
      </c>
    </row>
    <row r="3007" spans="1:11">
      <c r="A3007"/>
      <c r="B3007"/>
      <c r="C3007"/>
      <c r="D3007" t="s">
        <v>976</v>
      </c>
      <c r="E3007" s="47">
        <v>2219145923978</v>
      </c>
      <c r="F3007"/>
      <c r="G3007"/>
      <c r="H3007"/>
      <c r="I3007"/>
      <c r="J3007"/>
      <c r="K3007" t="s">
        <v>3541</v>
      </c>
    </row>
    <row r="3008" spans="1:11">
      <c r="A3008"/>
      <c r="B3008"/>
      <c r="C3008"/>
      <c r="D3008" t="s">
        <v>976</v>
      </c>
      <c r="E3008" s="47">
        <v>2219145923979</v>
      </c>
      <c r="F3008"/>
      <c r="G3008"/>
      <c r="H3008"/>
      <c r="I3008"/>
      <c r="J3008"/>
      <c r="K3008" t="s">
        <v>3542</v>
      </c>
    </row>
    <row r="3009" spans="1:11">
      <c r="A3009"/>
      <c r="B3009"/>
      <c r="C3009"/>
      <c r="D3009" t="s">
        <v>976</v>
      </c>
      <c r="E3009" s="47">
        <v>2219145923977</v>
      </c>
      <c r="F3009"/>
      <c r="G3009"/>
      <c r="H3009"/>
      <c r="I3009"/>
      <c r="J3009"/>
      <c r="K3009" t="s">
        <v>3543</v>
      </c>
    </row>
    <row r="3010" spans="1:11">
      <c r="A3010"/>
      <c r="B3010"/>
      <c r="C3010"/>
      <c r="D3010" t="s">
        <v>976</v>
      </c>
      <c r="E3010" s="47">
        <v>2219145923976</v>
      </c>
      <c r="F3010"/>
      <c r="G3010"/>
      <c r="H3010"/>
      <c r="I3010"/>
      <c r="J3010"/>
      <c r="K3010" t="s">
        <v>3544</v>
      </c>
    </row>
    <row r="3011" spans="1:11">
      <c r="A3011"/>
      <c r="B3011"/>
      <c r="C3011"/>
      <c r="D3011" t="s">
        <v>976</v>
      </c>
      <c r="E3011" s="47">
        <v>2219145923975</v>
      </c>
      <c r="F3011"/>
      <c r="G3011"/>
      <c r="H3011"/>
      <c r="I3011"/>
      <c r="J3011"/>
      <c r="K3011" t="s">
        <v>3545</v>
      </c>
    </row>
    <row r="3012" spans="1:11">
      <c r="A3012"/>
      <c r="B3012"/>
      <c r="C3012"/>
      <c r="D3012" t="s">
        <v>976</v>
      </c>
      <c r="E3012" s="47">
        <v>2219145923974</v>
      </c>
      <c r="F3012"/>
      <c r="G3012"/>
      <c r="H3012"/>
      <c r="I3012"/>
      <c r="J3012"/>
      <c r="K3012" t="s">
        <v>3546</v>
      </c>
    </row>
    <row r="3013" spans="1:11">
      <c r="A3013"/>
      <c r="B3013"/>
      <c r="C3013"/>
      <c r="D3013" t="s">
        <v>976</v>
      </c>
      <c r="E3013" s="47">
        <v>2219145923973</v>
      </c>
      <c r="F3013"/>
      <c r="G3013"/>
      <c r="H3013"/>
      <c r="I3013"/>
      <c r="J3013"/>
      <c r="K3013" t="s">
        <v>3547</v>
      </c>
    </row>
    <row r="3014" spans="1:11">
      <c r="A3014"/>
      <c r="B3014"/>
      <c r="C3014"/>
      <c r="D3014" t="s">
        <v>976</v>
      </c>
      <c r="E3014" s="47">
        <v>2219145924006</v>
      </c>
      <c r="F3014"/>
      <c r="G3014"/>
      <c r="H3014"/>
      <c r="I3014"/>
      <c r="J3014"/>
      <c r="K3014" t="s">
        <v>3548</v>
      </c>
    </row>
    <row r="3015" spans="1:11">
      <c r="A3015"/>
      <c r="B3015"/>
      <c r="C3015"/>
      <c r="D3015" t="s">
        <v>976</v>
      </c>
      <c r="E3015" s="47">
        <v>2219145924005</v>
      </c>
      <c r="F3015"/>
      <c r="G3015"/>
      <c r="H3015"/>
      <c r="I3015"/>
      <c r="J3015"/>
      <c r="K3015" t="s">
        <v>3549</v>
      </c>
    </row>
    <row r="3016" spans="1:11">
      <c r="A3016"/>
      <c r="B3016"/>
      <c r="C3016"/>
      <c r="D3016" t="s">
        <v>976</v>
      </c>
      <c r="E3016" s="47">
        <v>2219145924004</v>
      </c>
      <c r="F3016"/>
      <c r="G3016"/>
      <c r="H3016"/>
      <c r="I3016"/>
      <c r="J3016"/>
      <c r="K3016" t="s">
        <v>3550</v>
      </c>
    </row>
    <row r="3017" spans="1:11">
      <c r="A3017"/>
      <c r="B3017"/>
      <c r="C3017"/>
      <c r="D3017" t="s">
        <v>976</v>
      </c>
      <c r="E3017" s="47">
        <v>2219145924002</v>
      </c>
      <c r="F3017"/>
      <c r="G3017"/>
      <c r="H3017"/>
      <c r="I3017"/>
      <c r="J3017"/>
      <c r="K3017" t="s">
        <v>3551</v>
      </c>
    </row>
    <row r="3018" spans="1:11">
      <c r="A3018"/>
      <c r="B3018"/>
      <c r="C3018"/>
      <c r="D3018" t="s">
        <v>976</v>
      </c>
      <c r="E3018" s="47">
        <v>2219145924003</v>
      </c>
      <c r="F3018"/>
      <c r="G3018"/>
      <c r="H3018"/>
      <c r="I3018"/>
      <c r="J3018"/>
      <c r="K3018" t="s">
        <v>3552</v>
      </c>
    </row>
    <row r="3019" spans="1:11">
      <c r="A3019"/>
      <c r="B3019"/>
      <c r="C3019"/>
      <c r="D3019" t="s">
        <v>3717</v>
      </c>
      <c r="E3019" s="20">
        <v>4537000005176</v>
      </c>
      <c r="F3019"/>
      <c r="G3019"/>
      <c r="H3019"/>
      <c r="I3019"/>
      <c r="J3019"/>
      <c r="K3019" t="s">
        <v>3727</v>
      </c>
    </row>
    <row r="3020" spans="1:11">
      <c r="A3020"/>
      <c r="B3020"/>
      <c r="C3020"/>
      <c r="D3020" t="s">
        <v>3718</v>
      </c>
      <c r="E3020" s="20">
        <v>2219144320214</v>
      </c>
      <c r="F3020"/>
      <c r="G3020"/>
      <c r="H3020"/>
      <c r="I3020"/>
      <c r="J3020"/>
      <c r="K3020" t="s">
        <v>3727</v>
      </c>
    </row>
    <row r="3021" spans="1:11">
      <c r="A3021"/>
      <c r="B3021"/>
      <c r="C3021"/>
      <c r="D3021" t="s">
        <v>3718</v>
      </c>
      <c r="E3021" s="20">
        <v>2219144320211</v>
      </c>
      <c r="F3021"/>
      <c r="G3021"/>
      <c r="H3021"/>
      <c r="I3021"/>
      <c r="J3021"/>
      <c r="K3021" t="s">
        <v>3727</v>
      </c>
    </row>
    <row r="3022" spans="1:11">
      <c r="A3022"/>
      <c r="B3022"/>
      <c r="C3022"/>
      <c r="D3022" t="s">
        <v>3717</v>
      </c>
      <c r="E3022" s="20">
        <v>4537000022600</v>
      </c>
      <c r="F3022"/>
      <c r="G3022"/>
      <c r="H3022"/>
      <c r="I3022"/>
      <c r="J3022"/>
      <c r="K3022" t="s">
        <v>3722</v>
      </c>
    </row>
    <row r="3023" spans="1:11">
      <c r="A3023"/>
      <c r="B3023"/>
      <c r="C3023"/>
      <c r="D3023" t="s">
        <v>3718</v>
      </c>
      <c r="E3023" s="20">
        <v>2219144320212</v>
      </c>
      <c r="F3023"/>
      <c r="G3023"/>
      <c r="H3023"/>
      <c r="I3023"/>
      <c r="J3023"/>
      <c r="K3023" t="s">
        <v>3722</v>
      </c>
    </row>
    <row r="3024" spans="1:11">
      <c r="A3024"/>
      <c r="B3024"/>
      <c r="C3024"/>
      <c r="D3024" t="s">
        <v>3718</v>
      </c>
      <c r="E3024" s="20">
        <v>2219144320213</v>
      </c>
      <c r="F3024"/>
      <c r="G3024"/>
      <c r="H3024"/>
      <c r="I3024"/>
      <c r="J3024"/>
      <c r="K3024" t="s">
        <v>3722</v>
      </c>
    </row>
    <row r="3025" spans="1:11">
      <c r="A3025" s="6">
        <v>44781</v>
      </c>
      <c r="B3025" s="20" t="s">
        <v>3719</v>
      </c>
      <c r="C3025" s="6">
        <v>44777</v>
      </c>
      <c r="D3025" t="s">
        <v>2990</v>
      </c>
      <c r="E3025" t="s">
        <v>3720</v>
      </c>
      <c r="F3025" t="s">
        <v>113</v>
      </c>
      <c r="G3025" t="s">
        <v>3721</v>
      </c>
      <c r="H3025"/>
      <c r="I3025"/>
      <c r="J3025"/>
      <c r="K3025" t="s">
        <v>3722</v>
      </c>
    </row>
    <row r="3026" spans="1:11">
      <c r="A3026" s="6">
        <v>44781</v>
      </c>
      <c r="B3026" s="20" t="s">
        <v>3719</v>
      </c>
      <c r="C3026" s="6">
        <v>44777</v>
      </c>
      <c r="D3026" t="s">
        <v>2990</v>
      </c>
      <c r="E3026" t="s">
        <v>3723</v>
      </c>
      <c r="F3026" t="s">
        <v>113</v>
      </c>
      <c r="G3026" t="s">
        <v>3721</v>
      </c>
      <c r="H3026"/>
      <c r="I3026"/>
      <c r="J3026"/>
      <c r="K3026" t="s">
        <v>3722</v>
      </c>
    </row>
    <row r="3027" spans="1:11">
      <c r="A3027" s="6">
        <v>44781</v>
      </c>
      <c r="B3027" s="20" t="s">
        <v>3719</v>
      </c>
      <c r="C3027" s="6">
        <v>44777</v>
      </c>
      <c r="D3027" t="s">
        <v>2990</v>
      </c>
      <c r="E3027" t="s">
        <v>3724</v>
      </c>
      <c r="F3027" t="s">
        <v>113</v>
      </c>
      <c r="G3027" t="s">
        <v>3721</v>
      </c>
      <c r="H3027"/>
      <c r="I3027"/>
      <c r="J3027"/>
      <c r="K3027" t="s">
        <v>3722</v>
      </c>
    </row>
    <row r="3028" spans="1:11">
      <c r="A3028" s="6">
        <v>44781</v>
      </c>
      <c r="B3028" s="20" t="s">
        <v>3719</v>
      </c>
      <c r="C3028" s="6">
        <v>44777</v>
      </c>
      <c r="D3028" t="s">
        <v>2990</v>
      </c>
      <c r="E3028" t="s">
        <v>3725</v>
      </c>
      <c r="F3028" t="s">
        <v>113</v>
      </c>
      <c r="G3028" t="s">
        <v>3721</v>
      </c>
      <c r="H3028"/>
      <c r="I3028"/>
      <c r="J3028"/>
      <c r="K3028" t="s">
        <v>3722</v>
      </c>
    </row>
    <row r="3029" spans="1:11">
      <c r="A3029" s="6">
        <v>44781</v>
      </c>
      <c r="B3029" s="20" t="s">
        <v>3719</v>
      </c>
      <c r="C3029" s="6">
        <v>44777</v>
      </c>
      <c r="D3029" t="s">
        <v>2990</v>
      </c>
      <c r="E3029" t="s">
        <v>3726</v>
      </c>
      <c r="F3029" t="s">
        <v>113</v>
      </c>
      <c r="G3029" t="s">
        <v>3721</v>
      </c>
      <c r="H3029"/>
      <c r="I3029"/>
      <c r="J3029"/>
      <c r="K3029" t="s">
        <v>3727</v>
      </c>
    </row>
    <row r="3030" spans="1:11">
      <c r="A3030" s="6">
        <v>44781</v>
      </c>
      <c r="B3030" s="20" t="s">
        <v>3719</v>
      </c>
      <c r="C3030" s="6">
        <v>44777</v>
      </c>
      <c r="D3030" t="s">
        <v>2990</v>
      </c>
      <c r="E3030" t="s">
        <v>3728</v>
      </c>
      <c r="F3030" t="s">
        <v>113</v>
      </c>
      <c r="G3030" t="s">
        <v>3721</v>
      </c>
      <c r="H3030"/>
      <c r="I3030"/>
      <c r="J3030"/>
      <c r="K3030" t="s">
        <v>3727</v>
      </c>
    </row>
    <row r="3031" spans="1:11">
      <c r="A3031" s="6">
        <v>44781</v>
      </c>
      <c r="B3031" s="20" t="s">
        <v>3719</v>
      </c>
      <c r="C3031" s="6">
        <v>44777</v>
      </c>
      <c r="D3031" t="s">
        <v>2990</v>
      </c>
      <c r="E3031" t="s">
        <v>3729</v>
      </c>
      <c r="F3031" t="s">
        <v>113</v>
      </c>
      <c r="G3031" t="s">
        <v>3721</v>
      </c>
      <c r="H3031"/>
      <c r="I3031"/>
      <c r="J3031"/>
      <c r="K3031" t="s">
        <v>3727</v>
      </c>
    </row>
    <row r="3032" spans="1:11">
      <c r="A3032" s="6">
        <v>44781</v>
      </c>
      <c r="B3032" s="20" t="s">
        <v>3719</v>
      </c>
      <c r="C3032" s="6">
        <v>44777</v>
      </c>
      <c r="D3032" t="s">
        <v>2990</v>
      </c>
      <c r="E3032" t="s">
        <v>3730</v>
      </c>
      <c r="F3032" t="s">
        <v>113</v>
      </c>
      <c r="G3032" t="s">
        <v>3721</v>
      </c>
      <c r="H3032"/>
      <c r="I3032"/>
      <c r="J3032"/>
      <c r="K3032" t="s">
        <v>3727</v>
      </c>
    </row>
    <row r="3033" spans="1:11">
      <c r="A3033" s="6">
        <v>44781</v>
      </c>
      <c r="B3033" s="20" t="s">
        <v>3719</v>
      </c>
      <c r="C3033" s="6">
        <v>44777</v>
      </c>
      <c r="D3033" t="s">
        <v>3731</v>
      </c>
      <c r="E3033" t="s">
        <v>3732</v>
      </c>
      <c r="F3033" t="s">
        <v>113</v>
      </c>
      <c r="G3033" t="s">
        <v>3721</v>
      </c>
      <c r="H3033"/>
      <c r="I3033"/>
      <c r="J3033"/>
      <c r="K3033" t="s">
        <v>3727</v>
      </c>
    </row>
    <row r="3034" spans="1:11">
      <c r="A3034" s="6">
        <v>44781</v>
      </c>
      <c r="B3034" s="20" t="s">
        <v>3719</v>
      </c>
      <c r="C3034" s="6">
        <v>44777</v>
      </c>
      <c r="D3034" t="s">
        <v>3731</v>
      </c>
      <c r="E3034" t="s">
        <v>3733</v>
      </c>
      <c r="F3034" t="s">
        <v>113</v>
      </c>
      <c r="G3034" t="s">
        <v>3721</v>
      </c>
      <c r="H3034"/>
      <c r="I3034"/>
      <c r="J3034"/>
      <c r="K3034" t="s">
        <v>3722</v>
      </c>
    </row>
    <row r="3035" spans="1:11">
      <c r="A3035" s="6">
        <v>44781</v>
      </c>
      <c r="B3035" s="20" t="s">
        <v>3719</v>
      </c>
      <c r="C3035" s="6">
        <v>44777</v>
      </c>
      <c r="D3035" t="s">
        <v>3731</v>
      </c>
      <c r="E3035" t="s">
        <v>3734</v>
      </c>
      <c r="F3035" t="s">
        <v>113</v>
      </c>
      <c r="G3035" t="s">
        <v>3721</v>
      </c>
      <c r="H3035"/>
      <c r="I3035"/>
      <c r="J3035"/>
      <c r="K3035" t="s">
        <v>3727</v>
      </c>
    </row>
    <row r="3036" spans="1:11">
      <c r="A3036" s="6">
        <v>44781</v>
      </c>
      <c r="B3036" s="20" t="s">
        <v>3719</v>
      </c>
      <c r="C3036" s="6">
        <v>44777</v>
      </c>
      <c r="D3036" t="s">
        <v>3731</v>
      </c>
      <c r="E3036" t="s">
        <v>3735</v>
      </c>
      <c r="F3036" t="s">
        <v>113</v>
      </c>
      <c r="G3036" t="s">
        <v>3721</v>
      </c>
      <c r="H3036"/>
      <c r="I3036"/>
      <c r="J3036"/>
      <c r="K3036" t="s">
        <v>3722</v>
      </c>
    </row>
    <row r="3037" spans="1:11">
      <c r="A3037" s="6">
        <v>44781</v>
      </c>
      <c r="B3037" s="20" t="s">
        <v>3719</v>
      </c>
      <c r="C3037" s="6">
        <v>44777</v>
      </c>
      <c r="D3037" t="s">
        <v>3736</v>
      </c>
      <c r="E3037" t="s">
        <v>3737</v>
      </c>
      <c r="F3037" t="s">
        <v>113</v>
      </c>
      <c r="G3037" t="s">
        <v>3721</v>
      </c>
      <c r="H3037"/>
      <c r="I3037"/>
      <c r="J3037"/>
      <c r="K3037" t="s">
        <v>3727</v>
      </c>
    </row>
    <row r="3038" spans="1:11">
      <c r="A3038" s="6">
        <v>44781</v>
      </c>
      <c r="B3038" s="20" t="s">
        <v>3719</v>
      </c>
      <c r="C3038" s="6">
        <v>44777</v>
      </c>
      <c r="D3038" t="s">
        <v>3736</v>
      </c>
      <c r="E3038" t="s">
        <v>3738</v>
      </c>
      <c r="F3038" t="s">
        <v>113</v>
      </c>
      <c r="G3038" t="s">
        <v>3721</v>
      </c>
      <c r="H3038"/>
      <c r="I3038"/>
      <c r="J3038"/>
      <c r="K3038" t="s">
        <v>3722</v>
      </c>
    </row>
    <row r="3039" spans="1:11">
      <c r="A3039" s="6">
        <v>44781</v>
      </c>
      <c r="B3039" s="20" t="s">
        <v>3719</v>
      </c>
      <c r="C3039" s="6">
        <v>44777</v>
      </c>
      <c r="D3039" t="s">
        <v>3736</v>
      </c>
      <c r="E3039" t="s">
        <v>3739</v>
      </c>
      <c r="F3039" t="s">
        <v>113</v>
      </c>
      <c r="G3039" t="s">
        <v>3721</v>
      </c>
      <c r="H3039"/>
      <c r="I3039"/>
      <c r="J3039"/>
      <c r="K3039" t="s">
        <v>3722</v>
      </c>
    </row>
    <row r="3040" spans="1:11">
      <c r="A3040" s="6">
        <v>44781</v>
      </c>
      <c r="B3040" s="20" t="s">
        <v>3719</v>
      </c>
      <c r="C3040" s="6">
        <v>44777</v>
      </c>
      <c r="D3040" t="s">
        <v>3736</v>
      </c>
      <c r="E3040" t="s">
        <v>3740</v>
      </c>
      <c r="F3040" t="s">
        <v>113</v>
      </c>
      <c r="G3040" t="s">
        <v>3721</v>
      </c>
      <c r="H3040"/>
      <c r="I3040"/>
      <c r="J3040"/>
      <c r="K3040" t="s">
        <v>3727</v>
      </c>
    </row>
    <row r="3041" spans="1:11">
      <c r="A3041" s="6">
        <v>44781</v>
      </c>
      <c r="B3041" s="20" t="s">
        <v>3719</v>
      </c>
      <c r="C3041" s="48">
        <v>44777</v>
      </c>
      <c r="D3041" s="49" t="s">
        <v>3736</v>
      </c>
      <c r="E3041" s="49" t="s">
        <v>3741</v>
      </c>
      <c r="F3041" s="49" t="s">
        <v>113</v>
      </c>
      <c r="G3041" s="49" t="s">
        <v>3721</v>
      </c>
      <c r="H3041" s="49"/>
      <c r="I3041"/>
      <c r="J3041"/>
      <c r="K3041" t="s">
        <v>3727</v>
      </c>
    </row>
    <row r="3042" spans="1:11">
      <c r="A3042" s="6">
        <v>44781</v>
      </c>
      <c r="B3042" s="20" t="s">
        <v>3719</v>
      </c>
      <c r="C3042" s="48">
        <v>44777</v>
      </c>
      <c r="D3042" s="49" t="s">
        <v>3736</v>
      </c>
      <c r="E3042" s="49" t="s">
        <v>3742</v>
      </c>
      <c r="F3042" s="49" t="s">
        <v>113</v>
      </c>
      <c r="G3042" s="49" t="s">
        <v>3721</v>
      </c>
      <c r="H3042" s="49"/>
      <c r="I3042"/>
      <c r="J3042"/>
      <c r="K3042" t="s">
        <v>3722</v>
      </c>
    </row>
    <row r="3043" spans="1:11">
      <c r="A3043" s="6">
        <v>44782</v>
      </c>
      <c r="B3043" s="20">
        <v>10812723267</v>
      </c>
      <c r="C3043" s="6">
        <v>44781</v>
      </c>
      <c r="D3043" t="s">
        <v>3743</v>
      </c>
      <c r="E3043" t="s">
        <v>3744</v>
      </c>
      <c r="F3043" t="s">
        <v>753</v>
      </c>
      <c r="G3043">
        <v>40083572</v>
      </c>
      <c r="H3043"/>
      <c r="I3043"/>
      <c r="J3043"/>
      <c r="K3043" t="s">
        <v>3722</v>
      </c>
    </row>
    <row r="3044" spans="1:11">
      <c r="A3044" s="6">
        <v>44782</v>
      </c>
      <c r="B3044" s="20">
        <v>10812723267</v>
      </c>
      <c r="C3044" s="6">
        <v>44781</v>
      </c>
      <c r="D3044" t="s">
        <v>3743</v>
      </c>
      <c r="E3044" t="s">
        <v>3745</v>
      </c>
      <c r="F3044" t="s">
        <v>753</v>
      </c>
      <c r="G3044">
        <v>40083572</v>
      </c>
      <c r="H3044"/>
      <c r="I3044"/>
      <c r="J3044"/>
      <c r="K3044" t="s">
        <v>3727</v>
      </c>
    </row>
    <row r="3045" spans="1:11">
      <c r="A3045" s="38">
        <v>44789</v>
      </c>
      <c r="B3045" s="27" t="s">
        <v>954</v>
      </c>
      <c r="C3045" s="38">
        <v>44785</v>
      </c>
      <c r="D3045" s="26" t="s">
        <v>3746</v>
      </c>
      <c r="E3045" s="26" t="s">
        <v>3727</v>
      </c>
      <c r="F3045" s="26" t="s">
        <v>210</v>
      </c>
      <c r="G3045" s="26">
        <v>931517886</v>
      </c>
      <c r="H3045" s="26"/>
      <c r="I3045" s="26"/>
      <c r="J3045" s="26"/>
      <c r="K3045" t="s">
        <v>3727</v>
      </c>
    </row>
    <row r="3046" spans="1:11">
      <c r="A3046" s="6">
        <v>44789</v>
      </c>
      <c r="B3046" s="20"/>
      <c r="C3046"/>
      <c r="D3046" t="s">
        <v>2700</v>
      </c>
      <c r="E3046" t="s">
        <v>3747</v>
      </c>
      <c r="F3046"/>
      <c r="G3046"/>
      <c r="H3046"/>
      <c r="I3046"/>
      <c r="J3046"/>
      <c r="K3046" t="s">
        <v>3727</v>
      </c>
    </row>
    <row r="3047" spans="1:11">
      <c r="A3047" s="6">
        <v>44789</v>
      </c>
      <c r="B3047" s="20"/>
      <c r="C3047"/>
      <c r="D3047" t="s">
        <v>2700</v>
      </c>
      <c r="E3047" t="s">
        <v>3748</v>
      </c>
      <c r="F3047"/>
      <c r="G3047"/>
      <c r="H3047"/>
      <c r="I3047"/>
      <c r="J3047"/>
      <c r="K3047" t="s">
        <v>3727</v>
      </c>
    </row>
    <row r="3048" spans="1:11">
      <c r="A3048" s="45">
        <v>44789</v>
      </c>
      <c r="B3048" s="29"/>
      <c r="C3048" s="28"/>
      <c r="D3048" s="28" t="s">
        <v>3356</v>
      </c>
      <c r="E3048" s="28" t="s">
        <v>3749</v>
      </c>
      <c r="F3048" s="28"/>
      <c r="G3048" s="28"/>
      <c r="H3048" s="28"/>
      <c r="I3048" s="28"/>
      <c r="J3048" s="28"/>
      <c r="K3048" t="s">
        <v>3727</v>
      </c>
    </row>
    <row r="3049" spans="1:11">
      <c r="A3049" s="6">
        <v>44789</v>
      </c>
      <c r="B3049" s="20" t="s">
        <v>954</v>
      </c>
      <c r="C3049" s="6">
        <v>44785</v>
      </c>
      <c r="D3049" t="s">
        <v>3746</v>
      </c>
      <c r="E3049" t="s">
        <v>3722</v>
      </c>
      <c r="F3049" t="s">
        <v>210</v>
      </c>
      <c r="G3049">
        <v>931517886</v>
      </c>
      <c r="H3049"/>
      <c r="I3049"/>
      <c r="J3049"/>
      <c r="K3049" t="s">
        <v>3722</v>
      </c>
    </row>
    <row r="3050" spans="1:11">
      <c r="A3050" s="6">
        <v>44789</v>
      </c>
      <c r="B3050" s="20"/>
      <c r="C3050"/>
      <c r="D3050" t="s">
        <v>2700</v>
      </c>
      <c r="E3050" t="s">
        <v>3750</v>
      </c>
      <c r="F3050"/>
      <c r="G3050"/>
      <c r="H3050"/>
      <c r="I3050"/>
      <c r="J3050"/>
      <c r="K3050" t="s">
        <v>3722</v>
      </c>
    </row>
    <row r="3051" spans="1:11">
      <c r="A3051" s="6">
        <v>44789</v>
      </c>
      <c r="B3051" s="20"/>
      <c r="C3051"/>
      <c r="D3051" t="s">
        <v>2700</v>
      </c>
      <c r="E3051" t="s">
        <v>3751</v>
      </c>
      <c r="F3051"/>
      <c r="G3051"/>
      <c r="H3051"/>
      <c r="I3051"/>
      <c r="J3051"/>
      <c r="K3051" t="s">
        <v>3722</v>
      </c>
    </row>
    <row r="3052" spans="1:11">
      <c r="A3052" s="45">
        <v>44789</v>
      </c>
      <c r="B3052" s="29"/>
      <c r="C3052" s="28"/>
      <c r="D3052" s="28" t="s">
        <v>3356</v>
      </c>
      <c r="E3052" s="28" t="s">
        <v>3752</v>
      </c>
      <c r="F3052" s="28"/>
      <c r="G3052" s="28"/>
      <c r="H3052" s="28"/>
      <c r="I3052" s="28"/>
      <c r="J3052" s="28"/>
      <c r="K3052" s="28" t="s">
        <v>3722</v>
      </c>
    </row>
    <row r="3053" spans="1:11">
      <c r="A3053" s="6">
        <v>44789</v>
      </c>
      <c r="B3053" s="20" t="s">
        <v>954</v>
      </c>
      <c r="C3053" s="6">
        <v>44785</v>
      </c>
      <c r="D3053" t="s">
        <v>773</v>
      </c>
      <c r="E3053" t="s">
        <v>3753</v>
      </c>
      <c r="F3053" t="s">
        <v>210</v>
      </c>
      <c r="G3053">
        <v>931517886</v>
      </c>
      <c r="H3053"/>
      <c r="I3053"/>
      <c r="J3053"/>
      <c r="K3053" t="s">
        <v>3727</v>
      </c>
    </row>
    <row r="3054" spans="1:11">
      <c r="A3054" s="6">
        <v>44789</v>
      </c>
      <c r="B3054" s="20" t="s">
        <v>954</v>
      </c>
      <c r="C3054" s="6">
        <v>44785</v>
      </c>
      <c r="D3054" t="s">
        <v>773</v>
      </c>
      <c r="E3054" t="s">
        <v>3754</v>
      </c>
      <c r="F3054" t="s">
        <v>210</v>
      </c>
      <c r="G3054">
        <v>931517886</v>
      </c>
      <c r="H3054"/>
      <c r="I3054"/>
      <c r="J3054"/>
      <c r="K3054" t="s">
        <v>3722</v>
      </c>
    </row>
    <row r="3055" spans="1:11">
      <c r="A3055" s="6">
        <v>44789</v>
      </c>
      <c r="B3055" s="20" t="s">
        <v>954</v>
      </c>
      <c r="C3055" s="6">
        <v>44785</v>
      </c>
      <c r="D3055" t="s">
        <v>293</v>
      </c>
      <c r="E3055" t="s">
        <v>3755</v>
      </c>
      <c r="F3055" t="s">
        <v>210</v>
      </c>
      <c r="G3055">
        <v>931517886</v>
      </c>
      <c r="H3055"/>
      <c r="I3055"/>
      <c r="J3055"/>
      <c r="K3055" t="s">
        <v>3727</v>
      </c>
    </row>
    <row r="3056" spans="1:11">
      <c r="A3056" s="6">
        <v>44789</v>
      </c>
      <c r="B3056" s="20" t="s">
        <v>954</v>
      </c>
      <c r="C3056" s="6">
        <v>44785</v>
      </c>
      <c r="D3056" t="s">
        <v>293</v>
      </c>
      <c r="E3056" t="s">
        <v>3756</v>
      </c>
      <c r="F3056" t="s">
        <v>210</v>
      </c>
      <c r="G3056">
        <v>931517886</v>
      </c>
      <c r="H3056"/>
      <c r="I3056"/>
      <c r="J3056"/>
      <c r="K3056" t="s">
        <v>3722</v>
      </c>
    </row>
    <row r="3057" spans="1:11">
      <c r="A3057" s="6">
        <v>44789</v>
      </c>
      <c r="B3057" s="20" t="s">
        <v>954</v>
      </c>
      <c r="C3057" s="6">
        <v>44785</v>
      </c>
      <c r="D3057" t="s">
        <v>3757</v>
      </c>
      <c r="E3057" t="s">
        <v>3758</v>
      </c>
      <c r="F3057" t="s">
        <v>210</v>
      </c>
      <c r="G3057">
        <v>931517886</v>
      </c>
      <c r="H3057"/>
      <c r="I3057"/>
      <c r="J3057"/>
      <c r="K3057" t="s">
        <v>3727</v>
      </c>
    </row>
    <row r="3058" spans="1:11">
      <c r="A3058" s="6">
        <v>44789</v>
      </c>
      <c r="B3058" s="20" t="s">
        <v>954</v>
      </c>
      <c r="C3058" s="6">
        <v>44785</v>
      </c>
      <c r="D3058" t="s">
        <v>3757</v>
      </c>
      <c r="E3058" t="s">
        <v>3759</v>
      </c>
      <c r="F3058" t="s">
        <v>210</v>
      </c>
      <c r="G3058">
        <v>931517886</v>
      </c>
      <c r="H3058"/>
      <c r="I3058"/>
      <c r="J3058"/>
      <c r="K3058" t="s">
        <v>3722</v>
      </c>
    </row>
    <row r="3059" spans="1:11">
      <c r="A3059" s="6">
        <v>44789</v>
      </c>
      <c r="B3059" s="20" t="s">
        <v>954</v>
      </c>
      <c r="C3059" s="6">
        <v>44785</v>
      </c>
      <c r="D3059" t="s">
        <v>3760</v>
      </c>
      <c r="E3059" t="s">
        <v>3761</v>
      </c>
      <c r="F3059" t="s">
        <v>210</v>
      </c>
      <c r="G3059">
        <v>931517886</v>
      </c>
      <c r="H3059"/>
      <c r="I3059"/>
      <c r="J3059"/>
      <c r="K3059" t="s">
        <v>3727</v>
      </c>
    </row>
    <row r="3060" spans="1:11">
      <c r="A3060" s="6">
        <v>44789</v>
      </c>
      <c r="B3060" s="20" t="s">
        <v>954</v>
      </c>
      <c r="C3060" s="6">
        <v>44785</v>
      </c>
      <c r="D3060" t="s">
        <v>3760</v>
      </c>
      <c r="E3060" t="s">
        <v>3762</v>
      </c>
      <c r="F3060" t="s">
        <v>210</v>
      </c>
      <c r="G3060">
        <v>931517886</v>
      </c>
      <c r="H3060"/>
      <c r="I3060"/>
      <c r="J3060"/>
      <c r="K3060" t="s">
        <v>3722</v>
      </c>
    </row>
    <row r="3061" spans="1:11">
      <c r="A3061" s="6">
        <v>44792</v>
      </c>
      <c r="B3061" s="20" t="s">
        <v>3698</v>
      </c>
      <c r="C3061" s="6">
        <v>44784</v>
      </c>
      <c r="D3061" t="s">
        <v>3763</v>
      </c>
      <c r="E3061" t="s">
        <v>3764</v>
      </c>
      <c r="F3061" t="s">
        <v>2690</v>
      </c>
      <c r="G3061">
        <v>11073756</v>
      </c>
      <c r="H3061"/>
      <c r="I3061"/>
      <c r="J3061"/>
      <c r="K3061" t="s">
        <v>3727</v>
      </c>
    </row>
    <row r="3062" spans="1:11">
      <c r="A3062" s="6">
        <v>44792</v>
      </c>
      <c r="B3062" s="20" t="s">
        <v>3698</v>
      </c>
      <c r="C3062" s="6">
        <v>44784</v>
      </c>
      <c r="D3062" t="s">
        <v>3763</v>
      </c>
      <c r="E3062" t="s">
        <v>3765</v>
      </c>
      <c r="F3062" t="s">
        <v>2690</v>
      </c>
      <c r="G3062">
        <v>11073756</v>
      </c>
      <c r="H3062"/>
      <c r="I3062"/>
      <c r="J3062"/>
      <c r="K3062" t="s">
        <v>3727</v>
      </c>
    </row>
    <row r="3063" spans="1:11">
      <c r="A3063" s="6">
        <v>44792</v>
      </c>
      <c r="B3063" s="20" t="s">
        <v>3698</v>
      </c>
      <c r="C3063" s="6">
        <v>44784</v>
      </c>
      <c r="D3063" t="s">
        <v>3763</v>
      </c>
      <c r="E3063" t="s">
        <v>3766</v>
      </c>
      <c r="F3063" t="s">
        <v>2690</v>
      </c>
      <c r="G3063">
        <v>11073756</v>
      </c>
      <c r="H3063"/>
      <c r="I3063"/>
      <c r="J3063"/>
      <c r="K3063" t="s">
        <v>3722</v>
      </c>
    </row>
    <row r="3064" spans="1:11">
      <c r="A3064" s="6">
        <v>44792</v>
      </c>
      <c r="B3064" s="20" t="s">
        <v>3698</v>
      </c>
      <c r="C3064" s="6">
        <v>44784</v>
      </c>
      <c r="D3064" t="s">
        <v>3763</v>
      </c>
      <c r="E3064" t="s">
        <v>3767</v>
      </c>
      <c r="F3064" t="s">
        <v>2690</v>
      </c>
      <c r="G3064">
        <v>11073756</v>
      </c>
      <c r="H3064"/>
      <c r="I3064"/>
      <c r="J3064"/>
      <c r="K3064" t="s">
        <v>3722</v>
      </c>
    </row>
    <row r="3065" spans="1:11">
      <c r="A3065"/>
      <c r="B3065"/>
      <c r="C3065"/>
      <c r="D3065"/>
      <c r="E3065"/>
      <c r="F3065"/>
      <c r="G3065"/>
      <c r="H3065"/>
      <c r="I3065"/>
      <c r="J3065"/>
      <c r="K3065"/>
    </row>
    <row r="3066" spans="1:11">
      <c r="A3066"/>
      <c r="B3066"/>
      <c r="C3066"/>
      <c r="D3066"/>
      <c r="E3066"/>
      <c r="F3066"/>
      <c r="G3066"/>
      <c r="H3066"/>
      <c r="I3066"/>
      <c r="J3066"/>
      <c r="K3066"/>
    </row>
    <row r="3067" spans="1:11">
      <c r="A3067"/>
      <c r="B3067"/>
      <c r="C3067"/>
      <c r="D3067"/>
      <c r="E3067"/>
      <c r="F3067"/>
      <c r="G3067"/>
      <c r="H3067"/>
      <c r="I3067"/>
      <c r="J3067"/>
      <c r="K3067"/>
    </row>
    <row r="3068" spans="1:11">
      <c r="A3068"/>
      <c r="B3068"/>
      <c r="C3068"/>
      <c r="D3068"/>
      <c r="E3068"/>
      <c r="F3068"/>
      <c r="G3068"/>
      <c r="H3068"/>
      <c r="I3068"/>
      <c r="J3068"/>
      <c r="K3068"/>
    </row>
    <row r="3069" spans="1:11">
      <c r="A3069"/>
      <c r="B3069"/>
      <c r="C3069"/>
      <c r="D3069"/>
      <c r="E3069"/>
      <c r="F3069"/>
      <c r="G3069"/>
      <c r="H3069"/>
      <c r="I3069"/>
      <c r="J3069"/>
      <c r="K3069"/>
    </row>
    <row r="3070" spans="1:11">
      <c r="A3070"/>
      <c r="B3070"/>
      <c r="C3070"/>
      <c r="D3070"/>
      <c r="E3070"/>
      <c r="F3070"/>
      <c r="G3070"/>
      <c r="H3070"/>
      <c r="I3070"/>
      <c r="J3070"/>
      <c r="K3070"/>
    </row>
    <row r="3071" spans="1:11">
      <c r="A3071"/>
      <c r="B3071"/>
      <c r="C3071"/>
      <c r="D3071"/>
      <c r="E3071"/>
      <c r="F3071"/>
      <c r="G3071"/>
      <c r="H3071"/>
      <c r="I3071"/>
      <c r="J3071"/>
      <c r="K3071"/>
    </row>
    <row r="3072" spans="1:11">
      <c r="A3072"/>
      <c r="B3072"/>
      <c r="C3072"/>
      <c r="D3072"/>
      <c r="E3072"/>
      <c r="F3072"/>
      <c r="G3072"/>
      <c r="H3072"/>
      <c r="I3072"/>
      <c r="J3072"/>
      <c r="K3072"/>
    </row>
    <row r="3073" spans="1:11">
      <c r="A3073"/>
      <c r="B3073"/>
      <c r="C3073"/>
      <c r="D3073"/>
      <c r="E3073"/>
      <c r="F3073"/>
      <c r="G3073"/>
      <c r="H3073"/>
      <c r="I3073"/>
      <c r="J3073"/>
      <c r="K3073"/>
    </row>
    <row r="3074" spans="1:11">
      <c r="A3074"/>
      <c r="B3074"/>
      <c r="C3074"/>
      <c r="D3074"/>
      <c r="E3074"/>
      <c r="F3074"/>
      <c r="G3074"/>
      <c r="H3074"/>
      <c r="I3074"/>
      <c r="J3074"/>
      <c r="K3074"/>
    </row>
    <row r="3075" spans="1:11">
      <c r="A3075"/>
      <c r="B3075"/>
      <c r="C3075"/>
      <c r="D3075"/>
      <c r="E3075"/>
      <c r="F3075"/>
      <c r="G3075"/>
      <c r="H3075"/>
      <c r="I3075"/>
      <c r="J3075"/>
      <c r="K3075"/>
    </row>
    <row r="3076" spans="1:11">
      <c r="A3076"/>
      <c r="B3076"/>
      <c r="C3076"/>
      <c r="D3076"/>
      <c r="E3076"/>
      <c r="F3076"/>
      <c r="G3076"/>
      <c r="H3076"/>
      <c r="I3076"/>
      <c r="J3076"/>
      <c r="K3076"/>
    </row>
    <row r="3077" spans="1:11">
      <c r="A3077"/>
      <c r="B3077"/>
      <c r="C3077"/>
      <c r="D3077"/>
      <c r="E3077"/>
      <c r="F3077"/>
      <c r="G3077"/>
      <c r="H3077"/>
      <c r="I3077"/>
      <c r="J3077"/>
      <c r="K3077"/>
    </row>
    <row r="3078" spans="1:11">
      <c r="A3078"/>
      <c r="B3078"/>
      <c r="C3078"/>
      <c r="D3078"/>
      <c r="E3078"/>
      <c r="F3078"/>
      <c r="G3078"/>
      <c r="H3078"/>
      <c r="I3078"/>
      <c r="J3078"/>
      <c r="K3078"/>
    </row>
    <row r="3079" spans="1:11">
      <c r="A3079"/>
      <c r="B3079"/>
      <c r="C3079"/>
      <c r="D3079"/>
      <c r="E3079"/>
      <c r="F3079"/>
      <c r="G3079"/>
      <c r="H3079"/>
      <c r="I3079"/>
      <c r="J3079"/>
      <c r="K3079"/>
    </row>
    <row r="3080" spans="1:11">
      <c r="A3080"/>
      <c r="B3080"/>
      <c r="C3080"/>
      <c r="D3080"/>
      <c r="E3080"/>
      <c r="F3080"/>
      <c r="G3080"/>
      <c r="H3080"/>
      <c r="I3080"/>
      <c r="J3080"/>
      <c r="K3080"/>
    </row>
    <row r="3081" spans="1:11">
      <c r="A3081"/>
      <c r="B3081"/>
      <c r="C3081"/>
      <c r="D3081"/>
      <c r="E3081"/>
      <c r="F3081"/>
      <c r="G3081"/>
      <c r="H3081"/>
      <c r="I3081"/>
      <c r="J3081"/>
      <c r="K3081"/>
    </row>
    <row r="3082" spans="1:11">
      <c r="A3082"/>
      <c r="B3082"/>
      <c r="C3082"/>
      <c r="D3082"/>
      <c r="E3082"/>
      <c r="F3082"/>
      <c r="G3082"/>
      <c r="H3082"/>
      <c r="I3082"/>
      <c r="J3082"/>
      <c r="K3082"/>
    </row>
    <row r="3083" spans="1:11">
      <c r="A3083"/>
      <c r="B3083"/>
      <c r="C3083"/>
      <c r="D3083"/>
      <c r="E3083"/>
      <c r="F3083"/>
      <c r="G3083"/>
      <c r="H3083"/>
      <c r="I3083"/>
      <c r="J3083"/>
      <c r="K3083"/>
    </row>
    <row r="3084" spans="1:11">
      <c r="A3084"/>
      <c r="B3084"/>
      <c r="C3084"/>
      <c r="D3084"/>
      <c r="E3084"/>
      <c r="F3084"/>
      <c r="G3084"/>
      <c r="H3084"/>
      <c r="I3084"/>
      <c r="J3084"/>
      <c r="K3084"/>
    </row>
    <row r="3085" spans="1:11">
      <c r="A3085"/>
      <c r="B3085"/>
      <c r="C3085"/>
      <c r="D3085"/>
      <c r="E3085"/>
      <c r="F3085"/>
      <c r="G3085"/>
      <c r="H3085"/>
      <c r="I3085"/>
      <c r="J3085"/>
      <c r="K3085"/>
    </row>
    <row r="3086" spans="1:11">
      <c r="A3086"/>
      <c r="B3086"/>
      <c r="C3086"/>
      <c r="D3086"/>
      <c r="E3086"/>
      <c r="F3086"/>
      <c r="G3086"/>
      <c r="H3086"/>
      <c r="I3086"/>
      <c r="J3086"/>
      <c r="K3086"/>
    </row>
    <row r="3087" spans="1:11">
      <c r="A3087"/>
      <c r="B3087"/>
      <c r="C3087"/>
      <c r="D3087"/>
      <c r="E3087"/>
      <c r="F3087"/>
      <c r="G3087"/>
      <c r="H3087"/>
      <c r="I3087"/>
      <c r="J3087"/>
      <c r="K3087"/>
    </row>
    <row r="3088" spans="1:11">
      <c r="A3088"/>
      <c r="B3088"/>
      <c r="C3088"/>
      <c r="D3088"/>
      <c r="E3088"/>
      <c r="F3088"/>
      <c r="G3088"/>
      <c r="H3088"/>
      <c r="I3088"/>
      <c r="J3088"/>
      <c r="K3088"/>
    </row>
    <row r="3089" spans="1:11">
      <c r="A3089"/>
      <c r="B3089"/>
      <c r="C3089"/>
      <c r="D3089"/>
      <c r="E3089"/>
      <c r="F3089"/>
      <c r="G3089"/>
      <c r="H3089"/>
      <c r="I3089"/>
      <c r="J3089"/>
      <c r="K3089"/>
    </row>
    <row r="3090" spans="1:11">
      <c r="A3090"/>
      <c r="B3090"/>
      <c r="C3090"/>
      <c r="D3090"/>
      <c r="E3090"/>
      <c r="F3090"/>
      <c r="G3090"/>
      <c r="H3090"/>
      <c r="I3090"/>
      <c r="J3090"/>
      <c r="K3090"/>
    </row>
    <row r="3091" spans="1:11">
      <c r="A3091"/>
      <c r="B3091"/>
      <c r="C3091"/>
      <c r="D3091"/>
      <c r="E3091"/>
      <c r="F3091"/>
      <c r="G3091"/>
      <c r="H3091"/>
      <c r="I3091"/>
      <c r="J3091"/>
      <c r="K3091"/>
    </row>
    <row r="3092" spans="1:11">
      <c r="A3092"/>
      <c r="B3092"/>
      <c r="C3092"/>
      <c r="D3092"/>
      <c r="E3092"/>
      <c r="F3092"/>
      <c r="G3092"/>
      <c r="H3092"/>
      <c r="I3092"/>
      <c r="J3092"/>
      <c r="K3092"/>
    </row>
    <row r="3093" spans="1:11">
      <c r="A3093"/>
      <c r="B3093"/>
      <c r="C3093"/>
      <c r="D3093"/>
      <c r="E3093"/>
      <c r="F3093"/>
      <c r="G3093"/>
      <c r="H3093"/>
      <c r="I3093"/>
      <c r="J3093"/>
      <c r="K3093"/>
    </row>
    <row r="3094" spans="1:11">
      <c r="A3094"/>
      <c r="B3094"/>
      <c r="C3094"/>
      <c r="D3094"/>
      <c r="E3094"/>
      <c r="F3094"/>
      <c r="G3094"/>
      <c r="H3094"/>
      <c r="I3094"/>
      <c r="J3094"/>
      <c r="K3094"/>
    </row>
    <row r="3095" spans="1:11">
      <c r="A3095"/>
      <c r="B3095"/>
      <c r="C3095"/>
      <c r="D3095"/>
      <c r="E3095"/>
      <c r="F3095"/>
      <c r="G3095"/>
      <c r="H3095"/>
      <c r="I3095"/>
      <c r="J3095"/>
      <c r="K3095"/>
    </row>
    <row r="3096" spans="1:11">
      <c r="A3096"/>
      <c r="B3096"/>
      <c r="C3096"/>
      <c r="D3096"/>
      <c r="E3096"/>
      <c r="F3096"/>
      <c r="G3096"/>
      <c r="H3096"/>
      <c r="I3096"/>
      <c r="J3096"/>
      <c r="K3096"/>
    </row>
    <row r="3097" spans="1:11">
      <c r="A3097"/>
      <c r="B3097"/>
      <c r="C3097"/>
      <c r="D3097"/>
      <c r="E3097"/>
      <c r="F3097"/>
      <c r="G3097"/>
      <c r="H3097"/>
      <c r="I3097"/>
      <c r="J3097"/>
      <c r="K3097"/>
    </row>
    <row r="3098" spans="1:11">
      <c r="A3098"/>
      <c r="B3098"/>
      <c r="C3098"/>
      <c r="D3098"/>
      <c r="E3098"/>
      <c r="F3098"/>
      <c r="G3098"/>
      <c r="H3098"/>
      <c r="I3098"/>
      <c r="J3098"/>
      <c r="K3098"/>
    </row>
    <row r="3099" spans="1:11">
      <c r="A3099"/>
      <c r="B3099"/>
      <c r="C3099"/>
      <c r="D3099"/>
      <c r="E3099"/>
      <c r="F3099"/>
      <c r="G3099"/>
      <c r="H3099"/>
      <c r="I3099"/>
      <c r="J3099"/>
      <c r="K3099"/>
    </row>
    <row r="3100" spans="1:11">
      <c r="A3100"/>
      <c r="B3100"/>
      <c r="C3100"/>
      <c r="D3100"/>
      <c r="E3100"/>
      <c r="F3100"/>
      <c r="G3100"/>
      <c r="H3100"/>
      <c r="I3100"/>
      <c r="J3100"/>
      <c r="K3100"/>
    </row>
    <row r="3101" spans="1:11">
      <c r="A3101"/>
      <c r="B3101"/>
      <c r="C3101"/>
      <c r="D3101"/>
      <c r="E3101"/>
      <c r="F3101"/>
      <c r="G3101"/>
      <c r="H3101"/>
      <c r="I3101"/>
      <c r="J3101"/>
      <c r="K3101"/>
    </row>
    <row r="3102" spans="1:11">
      <c r="A3102"/>
      <c r="B3102"/>
      <c r="C3102"/>
      <c r="D3102"/>
      <c r="E3102"/>
      <c r="F3102"/>
      <c r="G3102"/>
      <c r="H3102"/>
      <c r="I3102"/>
      <c r="J3102"/>
      <c r="K3102"/>
    </row>
    <row r="3103" spans="1:11">
      <c r="A3103"/>
      <c r="B3103"/>
      <c r="C3103"/>
      <c r="D3103"/>
      <c r="E3103"/>
      <c r="F3103"/>
      <c r="G3103"/>
      <c r="H3103"/>
      <c r="I3103"/>
      <c r="J3103"/>
      <c r="K3103"/>
    </row>
    <row r="3104" spans="1:11">
      <c r="A3104"/>
      <c r="B3104"/>
      <c r="C3104"/>
      <c r="D3104"/>
      <c r="E3104"/>
      <c r="F3104"/>
      <c r="G3104"/>
      <c r="H3104"/>
      <c r="I3104"/>
      <c r="J3104"/>
      <c r="K3104"/>
    </row>
    <row r="3105" spans="1:11">
      <c r="A3105"/>
      <c r="B3105"/>
      <c r="C3105"/>
      <c r="D3105"/>
      <c r="E3105"/>
      <c r="F3105"/>
      <c r="G3105"/>
      <c r="H3105"/>
      <c r="I3105"/>
      <c r="J3105"/>
      <c r="K3105"/>
    </row>
    <row r="3106" spans="1:11">
      <c r="A3106"/>
      <c r="B3106"/>
      <c r="C3106"/>
      <c r="D3106"/>
      <c r="E3106"/>
      <c r="F3106"/>
      <c r="G3106"/>
      <c r="H3106"/>
      <c r="I3106"/>
      <c r="J3106"/>
      <c r="K3106"/>
    </row>
    <row r="3107" spans="1:11">
      <c r="A3107"/>
      <c r="B3107"/>
      <c r="C3107"/>
      <c r="D3107"/>
      <c r="E3107"/>
      <c r="F3107"/>
      <c r="G3107"/>
      <c r="H3107"/>
      <c r="I3107"/>
      <c r="J3107"/>
      <c r="K3107"/>
    </row>
    <row r="3108" spans="1:11">
      <c r="A3108"/>
      <c r="B3108"/>
      <c r="C3108"/>
      <c r="D3108"/>
      <c r="E3108"/>
      <c r="F3108"/>
      <c r="G3108"/>
      <c r="H3108"/>
      <c r="I3108"/>
      <c r="J3108"/>
      <c r="K3108"/>
    </row>
    <row r="3109" spans="1:11">
      <c r="A3109"/>
      <c r="B3109"/>
      <c r="C3109"/>
      <c r="D3109"/>
      <c r="E3109"/>
      <c r="F3109"/>
      <c r="G3109"/>
      <c r="H3109"/>
      <c r="I3109"/>
      <c r="J3109"/>
      <c r="K3109"/>
    </row>
    <row r="3110" spans="1:11">
      <c r="A3110"/>
      <c r="B3110"/>
      <c r="C3110"/>
      <c r="D3110"/>
      <c r="E3110"/>
      <c r="F3110"/>
      <c r="G3110"/>
      <c r="H3110"/>
      <c r="I3110"/>
      <c r="J3110"/>
      <c r="K3110"/>
    </row>
    <row r="3111" spans="1:11">
      <c r="A3111"/>
      <c r="B3111"/>
      <c r="C3111"/>
      <c r="D3111"/>
      <c r="E3111"/>
      <c r="F3111"/>
      <c r="G3111"/>
      <c r="H3111"/>
      <c r="I3111"/>
      <c r="J3111"/>
      <c r="K3111"/>
    </row>
    <row r="3112" spans="1:11">
      <c r="A3112"/>
      <c r="B3112"/>
      <c r="C3112"/>
      <c r="D3112"/>
      <c r="E3112"/>
      <c r="F3112"/>
      <c r="G3112"/>
      <c r="H3112"/>
      <c r="I3112"/>
      <c r="J3112"/>
      <c r="K3112"/>
    </row>
    <row r="3113" spans="1:11">
      <c r="A3113"/>
      <c r="B3113"/>
      <c r="C3113"/>
      <c r="D3113"/>
      <c r="E3113"/>
      <c r="F3113"/>
      <c r="G3113"/>
      <c r="H3113"/>
      <c r="I3113"/>
      <c r="J3113"/>
      <c r="K3113"/>
    </row>
    <row r="3114" spans="1:11">
      <c r="A3114"/>
      <c r="B3114"/>
      <c r="C3114"/>
      <c r="D3114"/>
      <c r="E3114"/>
      <c r="F3114"/>
      <c r="G3114"/>
      <c r="H3114"/>
      <c r="I3114"/>
      <c r="J3114"/>
      <c r="K3114"/>
    </row>
    <row r="3115" spans="1:11">
      <c r="A3115"/>
      <c r="B3115"/>
      <c r="C3115"/>
      <c r="D3115"/>
      <c r="E3115"/>
      <c r="F3115"/>
      <c r="G3115"/>
      <c r="H3115"/>
      <c r="I3115"/>
      <c r="J3115"/>
      <c r="K3115"/>
    </row>
    <row r="3116" spans="1:11">
      <c r="A3116"/>
      <c r="B3116"/>
      <c r="C3116"/>
      <c r="D3116"/>
      <c r="E3116"/>
      <c r="F3116"/>
      <c r="G3116"/>
      <c r="H3116"/>
      <c r="I3116"/>
      <c r="J3116"/>
      <c r="K3116"/>
    </row>
    <row r="3117" spans="1:11">
      <c r="A3117"/>
      <c r="B3117"/>
      <c r="C3117"/>
      <c r="D3117"/>
      <c r="E3117"/>
      <c r="F3117"/>
      <c r="G3117"/>
      <c r="H3117"/>
      <c r="I3117"/>
      <c r="J3117"/>
      <c r="K3117"/>
    </row>
    <row r="3118" spans="1:11">
      <c r="A3118"/>
      <c r="B3118"/>
      <c r="C3118"/>
      <c r="D3118"/>
      <c r="E3118"/>
      <c r="F3118"/>
      <c r="G3118"/>
      <c r="H3118"/>
      <c r="I3118"/>
      <c r="J3118"/>
      <c r="K3118"/>
    </row>
    <row r="3119" spans="1:11">
      <c r="A3119"/>
      <c r="B3119"/>
      <c r="C3119"/>
      <c r="D3119"/>
      <c r="E3119"/>
      <c r="F3119"/>
      <c r="G3119"/>
      <c r="H3119"/>
      <c r="I3119"/>
      <c r="J3119"/>
      <c r="K3119"/>
    </row>
    <row r="3120" spans="1:11">
      <c r="A3120"/>
      <c r="B3120"/>
      <c r="C3120"/>
      <c r="D3120"/>
      <c r="E3120"/>
      <c r="F3120"/>
      <c r="G3120"/>
      <c r="H3120"/>
      <c r="I3120"/>
      <c r="J3120"/>
      <c r="K3120"/>
    </row>
    <row r="3121" spans="1:11">
      <c r="A3121"/>
      <c r="B3121"/>
      <c r="C3121"/>
      <c r="D3121"/>
      <c r="E3121"/>
      <c r="F3121"/>
      <c r="G3121"/>
      <c r="H3121"/>
      <c r="I3121"/>
      <c r="J3121"/>
      <c r="K3121"/>
    </row>
    <row r="3122" spans="1:11">
      <c r="A3122"/>
      <c r="B3122"/>
      <c r="C3122"/>
      <c r="D3122"/>
      <c r="E3122"/>
      <c r="F3122"/>
      <c r="G3122"/>
      <c r="H3122"/>
      <c r="I3122"/>
      <c r="J3122"/>
      <c r="K3122"/>
    </row>
    <row r="3123" spans="1:11">
      <c r="A3123"/>
      <c r="B3123"/>
      <c r="C3123"/>
      <c r="D3123"/>
      <c r="E3123"/>
      <c r="F3123"/>
      <c r="G3123"/>
      <c r="H3123"/>
      <c r="I3123"/>
      <c r="J3123"/>
      <c r="K3123"/>
    </row>
    <row r="3124" spans="1:11">
      <c r="A3124"/>
      <c r="B3124"/>
      <c r="C3124"/>
      <c r="D3124"/>
      <c r="E3124"/>
      <c r="F3124"/>
      <c r="G3124"/>
      <c r="H3124"/>
      <c r="I3124"/>
      <c r="J3124"/>
      <c r="K3124"/>
    </row>
    <row r="3125" spans="1:11">
      <c r="A3125"/>
      <c r="B3125"/>
      <c r="C3125"/>
      <c r="D3125"/>
      <c r="E3125"/>
      <c r="F3125"/>
      <c r="G3125"/>
      <c r="H3125"/>
      <c r="I3125"/>
      <c r="J3125"/>
      <c r="K3125"/>
    </row>
    <row r="3126" spans="1:11">
      <c r="A3126"/>
      <c r="B3126"/>
      <c r="C3126"/>
      <c r="D3126"/>
      <c r="E3126"/>
      <c r="F3126"/>
      <c r="G3126"/>
      <c r="H3126"/>
      <c r="I3126"/>
      <c r="J3126"/>
      <c r="K3126"/>
    </row>
    <row r="3127" spans="1:11">
      <c r="A3127"/>
      <c r="B3127"/>
      <c r="C3127"/>
      <c r="D3127"/>
      <c r="E3127"/>
      <c r="F3127"/>
      <c r="G3127"/>
      <c r="H3127"/>
      <c r="I3127"/>
      <c r="J3127"/>
      <c r="K3127"/>
    </row>
    <row r="3128" spans="1:11">
      <c r="A3128"/>
      <c r="B3128"/>
      <c r="C3128"/>
      <c r="D3128"/>
      <c r="E3128"/>
      <c r="F3128"/>
      <c r="G3128"/>
      <c r="H3128"/>
      <c r="I3128"/>
      <c r="J3128"/>
      <c r="K3128"/>
    </row>
    <row r="3129" spans="1:11">
      <c r="A3129"/>
      <c r="B3129"/>
      <c r="C3129"/>
      <c r="D3129"/>
      <c r="E3129"/>
      <c r="F3129"/>
      <c r="G3129"/>
      <c r="H3129"/>
      <c r="I3129"/>
      <c r="J3129"/>
      <c r="K3129"/>
    </row>
    <row r="3130" spans="1:11">
      <c r="A3130"/>
      <c r="B3130"/>
      <c r="C3130"/>
      <c r="D3130"/>
      <c r="E3130"/>
      <c r="F3130"/>
      <c r="G3130"/>
      <c r="H3130"/>
      <c r="I3130"/>
      <c r="J3130"/>
      <c r="K3130"/>
    </row>
    <row r="3131" spans="1:11">
      <c r="A3131"/>
      <c r="B3131"/>
      <c r="C3131"/>
      <c r="D3131"/>
      <c r="E3131"/>
      <c r="F3131"/>
      <c r="G3131"/>
      <c r="H3131"/>
      <c r="I3131"/>
      <c r="J3131"/>
      <c r="K3131"/>
    </row>
    <row r="3132" spans="1:11">
      <c r="A3132"/>
      <c r="B3132"/>
      <c r="C3132"/>
      <c r="D3132"/>
      <c r="E3132"/>
      <c r="F3132"/>
      <c r="G3132"/>
      <c r="H3132"/>
      <c r="I3132"/>
      <c r="J3132"/>
      <c r="K3132"/>
    </row>
    <row r="3133" spans="1:11">
      <c r="A3133"/>
      <c r="B3133"/>
      <c r="C3133"/>
      <c r="D3133"/>
      <c r="E3133"/>
      <c r="F3133"/>
      <c r="G3133"/>
      <c r="H3133"/>
      <c r="I3133"/>
      <c r="J3133"/>
      <c r="K3133"/>
    </row>
    <row r="3134" spans="1:11">
      <c r="A3134"/>
      <c r="B3134"/>
      <c r="C3134"/>
      <c r="D3134"/>
      <c r="E3134"/>
      <c r="F3134"/>
      <c r="G3134"/>
      <c r="H3134"/>
      <c r="I3134"/>
      <c r="J3134"/>
      <c r="K3134"/>
    </row>
    <row r="3135" spans="1:11">
      <c r="A3135"/>
      <c r="B3135"/>
      <c r="C3135"/>
      <c r="D3135"/>
      <c r="E3135"/>
      <c r="F3135"/>
      <c r="G3135"/>
      <c r="H3135"/>
      <c r="I3135"/>
      <c r="J3135"/>
      <c r="K3135"/>
    </row>
    <row r="3136" spans="1:11">
      <c r="A3136"/>
      <c r="B3136"/>
      <c r="C3136"/>
      <c r="D3136"/>
      <c r="E3136"/>
      <c r="F3136"/>
      <c r="G3136"/>
      <c r="H3136"/>
      <c r="I3136"/>
      <c r="J3136"/>
      <c r="K3136"/>
    </row>
    <row r="3137" spans="1:11">
      <c r="A3137"/>
      <c r="B3137"/>
      <c r="C3137"/>
      <c r="D3137"/>
      <c r="E3137"/>
      <c r="F3137"/>
      <c r="G3137"/>
      <c r="H3137"/>
      <c r="I3137"/>
      <c r="J3137"/>
      <c r="K3137"/>
    </row>
    <row r="3138" spans="1:11">
      <c r="A3138"/>
      <c r="B3138"/>
      <c r="C3138"/>
      <c r="D3138"/>
      <c r="E3138"/>
      <c r="F3138"/>
      <c r="G3138"/>
      <c r="H3138"/>
      <c r="I3138"/>
      <c r="J3138"/>
      <c r="K3138"/>
    </row>
    <row r="3139" spans="1:11">
      <c r="A3139"/>
      <c r="B3139"/>
      <c r="C3139"/>
      <c r="D3139"/>
      <c r="E3139"/>
      <c r="F3139"/>
      <c r="G3139"/>
      <c r="H3139"/>
      <c r="I3139"/>
      <c r="J3139"/>
      <c r="K3139"/>
    </row>
    <row r="3140" spans="1:11">
      <c r="A3140"/>
      <c r="B3140"/>
      <c r="C3140"/>
      <c r="D3140"/>
      <c r="E3140"/>
      <c r="F3140"/>
      <c r="G3140"/>
      <c r="H3140"/>
      <c r="I3140"/>
      <c r="J3140"/>
      <c r="K3140"/>
    </row>
    <row r="3141" spans="1:11">
      <c r="A3141"/>
      <c r="B3141"/>
      <c r="C3141"/>
      <c r="D3141"/>
      <c r="E3141"/>
      <c r="F3141"/>
      <c r="G3141"/>
      <c r="H3141"/>
      <c r="I3141"/>
      <c r="J3141"/>
      <c r="K3141"/>
    </row>
    <row r="3142" spans="1:11">
      <c r="A3142"/>
      <c r="B3142"/>
      <c r="C3142"/>
      <c r="D3142"/>
      <c r="E3142"/>
      <c r="F3142"/>
      <c r="G3142"/>
      <c r="H3142"/>
      <c r="I3142"/>
      <c r="J3142"/>
      <c r="K3142"/>
    </row>
    <row r="3143" spans="1:11">
      <c r="A3143"/>
      <c r="B3143"/>
      <c r="C3143"/>
      <c r="D3143"/>
      <c r="E3143"/>
      <c r="F3143"/>
      <c r="G3143"/>
      <c r="H3143"/>
      <c r="I3143"/>
      <c r="J3143"/>
      <c r="K3143"/>
    </row>
    <row r="3144" spans="1:11">
      <c r="A3144"/>
      <c r="B3144"/>
      <c r="C3144"/>
      <c r="D3144"/>
      <c r="E3144"/>
      <c r="F3144"/>
      <c r="G3144"/>
      <c r="H3144"/>
      <c r="I3144"/>
      <c r="J3144"/>
      <c r="K3144"/>
    </row>
    <row r="3145" spans="1:11">
      <c r="A3145"/>
      <c r="B3145"/>
      <c r="C3145"/>
      <c r="D3145"/>
      <c r="E3145"/>
      <c r="F3145"/>
      <c r="G3145"/>
      <c r="H3145"/>
      <c r="I3145"/>
      <c r="J3145"/>
      <c r="K3145"/>
    </row>
    <row r="3146" spans="1:11">
      <c r="A3146"/>
      <c r="B3146"/>
      <c r="C3146"/>
      <c r="D3146"/>
      <c r="E3146"/>
      <c r="F3146"/>
      <c r="G3146"/>
      <c r="H3146"/>
      <c r="I3146"/>
      <c r="J3146"/>
      <c r="K3146"/>
    </row>
    <row r="3147" spans="1:11">
      <c r="A3147"/>
      <c r="B3147"/>
      <c r="C3147"/>
      <c r="D3147"/>
      <c r="E3147"/>
      <c r="F3147"/>
      <c r="G3147"/>
      <c r="H3147"/>
      <c r="I3147"/>
      <c r="J3147"/>
      <c r="K3147"/>
    </row>
    <row r="3148" spans="1:11">
      <c r="A3148"/>
      <c r="B3148"/>
      <c r="C3148"/>
      <c r="D3148"/>
      <c r="E3148"/>
      <c r="F3148"/>
      <c r="G3148"/>
      <c r="H3148"/>
      <c r="I3148"/>
      <c r="J3148"/>
      <c r="K3148"/>
    </row>
    <row r="3149" spans="1:11">
      <c r="A3149"/>
      <c r="B3149"/>
      <c r="C3149"/>
      <c r="D3149"/>
      <c r="E3149"/>
      <c r="F3149"/>
      <c r="G3149"/>
      <c r="H3149"/>
      <c r="I3149"/>
      <c r="J3149"/>
      <c r="K3149"/>
    </row>
    <row r="3150" spans="1:11">
      <c r="A3150"/>
      <c r="B3150"/>
      <c r="C3150"/>
      <c r="D3150"/>
      <c r="E3150"/>
      <c r="F3150"/>
      <c r="G3150"/>
      <c r="H3150"/>
      <c r="I3150"/>
      <c r="J3150"/>
      <c r="K3150"/>
    </row>
    <row r="3151" spans="1:11">
      <c r="A3151"/>
      <c r="B3151"/>
      <c r="C3151"/>
      <c r="D3151"/>
      <c r="E3151"/>
      <c r="F3151"/>
      <c r="G3151"/>
      <c r="H3151"/>
      <c r="I3151"/>
      <c r="J3151"/>
      <c r="K3151"/>
    </row>
    <row r="3152" spans="1:11">
      <c r="A3152"/>
      <c r="B3152"/>
      <c r="C3152"/>
      <c r="D3152"/>
      <c r="E3152"/>
      <c r="F3152"/>
      <c r="G3152"/>
      <c r="H3152"/>
      <c r="I3152"/>
      <c r="J3152"/>
      <c r="K3152"/>
    </row>
    <row r="3153" spans="1:11">
      <c r="A3153"/>
      <c r="B3153"/>
      <c r="C3153"/>
      <c r="D3153"/>
      <c r="E3153"/>
      <c r="F3153"/>
      <c r="G3153"/>
      <c r="H3153"/>
      <c r="I3153"/>
      <c r="J3153"/>
      <c r="K3153"/>
    </row>
    <row r="3154" spans="1:11">
      <c r="A3154"/>
      <c r="B3154"/>
      <c r="C3154"/>
      <c r="D3154"/>
      <c r="E3154"/>
      <c r="F3154"/>
      <c r="G3154"/>
      <c r="H3154"/>
      <c r="I3154"/>
      <c r="J3154"/>
      <c r="K3154"/>
    </row>
    <row r="3155" spans="1:11">
      <c r="A3155"/>
      <c r="B3155"/>
      <c r="C3155"/>
      <c r="D3155"/>
      <c r="E3155"/>
      <c r="F3155"/>
      <c r="G3155"/>
      <c r="H3155"/>
      <c r="I3155"/>
      <c r="J3155"/>
      <c r="K3155"/>
    </row>
    <row r="3156" spans="1:11">
      <c r="A3156"/>
      <c r="B3156"/>
      <c r="C3156"/>
      <c r="D3156"/>
      <c r="E3156"/>
      <c r="F3156"/>
      <c r="G3156"/>
      <c r="H3156"/>
      <c r="I3156"/>
      <c r="J3156"/>
      <c r="K3156"/>
    </row>
    <row r="3157" spans="1:11">
      <c r="A3157"/>
      <c r="B3157"/>
      <c r="C3157"/>
      <c r="D3157"/>
      <c r="E3157"/>
      <c r="F3157"/>
      <c r="G3157"/>
      <c r="H3157"/>
      <c r="I3157"/>
      <c r="J3157"/>
      <c r="K3157"/>
    </row>
    <row r="3158" spans="1:11">
      <c r="A3158"/>
      <c r="B3158"/>
      <c r="C3158"/>
      <c r="D3158"/>
      <c r="E3158"/>
      <c r="F3158"/>
      <c r="G3158"/>
      <c r="H3158"/>
      <c r="I3158"/>
      <c r="J3158"/>
      <c r="K3158"/>
    </row>
    <row r="3159" spans="1:11">
      <c r="A3159"/>
      <c r="B3159"/>
      <c r="C3159"/>
      <c r="D3159"/>
      <c r="E3159"/>
      <c r="F3159"/>
      <c r="G3159"/>
      <c r="H3159"/>
      <c r="I3159"/>
      <c r="J3159"/>
      <c r="K3159"/>
    </row>
    <row r="3160" spans="1:11">
      <c r="A3160"/>
      <c r="B3160"/>
      <c r="C3160"/>
      <c r="D3160"/>
      <c r="E3160"/>
      <c r="F3160"/>
      <c r="G3160"/>
      <c r="H3160"/>
      <c r="I3160"/>
      <c r="J3160"/>
      <c r="K3160"/>
    </row>
    <row r="3161" spans="1:11">
      <c r="A3161"/>
      <c r="B3161"/>
      <c r="C3161"/>
      <c r="D3161"/>
      <c r="E3161"/>
      <c r="F3161"/>
      <c r="G3161"/>
      <c r="H3161"/>
      <c r="I3161"/>
      <c r="J3161"/>
      <c r="K3161"/>
    </row>
    <row r="3162" spans="1:11">
      <c r="A3162"/>
      <c r="B3162"/>
      <c r="C3162"/>
      <c r="D3162"/>
      <c r="E3162"/>
      <c r="F3162"/>
      <c r="G3162"/>
      <c r="H3162"/>
      <c r="I3162"/>
      <c r="J3162"/>
      <c r="K3162"/>
    </row>
    <row r="3163" spans="1:11">
      <c r="A3163"/>
      <c r="B3163"/>
      <c r="C3163"/>
      <c r="D3163"/>
      <c r="E3163"/>
      <c r="F3163"/>
      <c r="G3163"/>
      <c r="H3163"/>
      <c r="I3163"/>
      <c r="J3163"/>
      <c r="K3163"/>
    </row>
    <row r="3164" spans="1:11">
      <c r="A3164"/>
      <c r="B3164"/>
      <c r="C3164"/>
      <c r="D3164"/>
      <c r="E3164"/>
      <c r="F3164"/>
      <c r="G3164"/>
      <c r="H3164"/>
      <c r="I3164"/>
      <c r="J3164"/>
      <c r="K3164"/>
    </row>
    <row r="3165" spans="1:11">
      <c r="A3165"/>
      <c r="B3165"/>
      <c r="C3165"/>
      <c r="D3165"/>
      <c r="E3165"/>
      <c r="F3165"/>
      <c r="G3165"/>
      <c r="H3165"/>
      <c r="I3165"/>
      <c r="J3165"/>
      <c r="K3165"/>
    </row>
    <row r="3166" spans="1:11">
      <c r="A3166"/>
      <c r="B3166"/>
      <c r="C3166"/>
      <c r="D3166"/>
      <c r="E3166"/>
      <c r="F3166"/>
      <c r="G3166"/>
      <c r="H3166"/>
      <c r="I3166"/>
      <c r="J3166"/>
      <c r="K3166"/>
    </row>
    <row r="3167" spans="1:11">
      <c r="A3167"/>
      <c r="B3167"/>
      <c r="C3167"/>
      <c r="D3167"/>
      <c r="E3167"/>
      <c r="F3167"/>
      <c r="G3167"/>
      <c r="H3167"/>
      <c r="I3167"/>
      <c r="J3167"/>
      <c r="K3167"/>
    </row>
    <row r="3168" spans="1:11">
      <c r="A3168"/>
      <c r="B3168"/>
      <c r="C3168"/>
      <c r="D3168"/>
      <c r="E3168"/>
      <c r="F3168"/>
      <c r="G3168"/>
      <c r="H3168"/>
      <c r="I3168"/>
      <c r="J3168"/>
      <c r="K3168"/>
    </row>
    <row r="3169" spans="1:11">
      <c r="A3169"/>
      <c r="B3169"/>
      <c r="C3169"/>
      <c r="D3169"/>
      <c r="E3169"/>
      <c r="F3169"/>
      <c r="G3169"/>
      <c r="H3169"/>
      <c r="I3169"/>
      <c r="J3169"/>
      <c r="K3169"/>
    </row>
    <row r="3170" spans="1:11">
      <c r="A3170"/>
      <c r="B3170"/>
      <c r="C3170"/>
      <c r="D3170"/>
      <c r="E3170"/>
      <c r="F3170"/>
      <c r="G3170"/>
      <c r="H3170"/>
      <c r="I3170"/>
      <c r="J3170"/>
      <c r="K3170"/>
    </row>
    <row r="3171" spans="1:11">
      <c r="A3171"/>
      <c r="B3171"/>
      <c r="C3171"/>
      <c r="D3171"/>
      <c r="E3171"/>
      <c r="F3171"/>
      <c r="G3171"/>
      <c r="H3171"/>
      <c r="I3171"/>
      <c r="J3171"/>
      <c r="K3171"/>
    </row>
    <row r="3172" spans="1:11">
      <c r="A3172"/>
      <c r="B3172"/>
      <c r="C3172"/>
      <c r="D3172"/>
      <c r="E3172"/>
      <c r="F3172"/>
      <c r="G3172"/>
      <c r="H3172"/>
      <c r="I3172"/>
      <c r="J3172"/>
      <c r="K3172"/>
    </row>
    <row r="3173" spans="1:11">
      <c r="A3173"/>
      <c r="B3173"/>
      <c r="C3173"/>
      <c r="D3173"/>
      <c r="E3173"/>
      <c r="F3173"/>
      <c r="G3173"/>
      <c r="H3173"/>
      <c r="I3173"/>
      <c r="J3173"/>
      <c r="K3173"/>
    </row>
    <row r="3174" spans="1:11">
      <c r="A3174"/>
      <c r="B3174"/>
      <c r="C3174"/>
      <c r="D3174"/>
      <c r="E3174"/>
      <c r="F3174"/>
      <c r="G3174"/>
      <c r="H3174"/>
      <c r="I3174"/>
      <c r="J3174"/>
      <c r="K3174"/>
    </row>
    <row r="3175" spans="1:11">
      <c r="A3175"/>
      <c r="B3175"/>
      <c r="C3175"/>
      <c r="D3175"/>
      <c r="E3175"/>
      <c r="F3175"/>
      <c r="G3175"/>
      <c r="H3175"/>
      <c r="I3175"/>
      <c r="J3175"/>
      <c r="K3175"/>
    </row>
    <row r="3176" spans="1:11">
      <c r="A3176"/>
      <c r="B3176"/>
      <c r="C3176"/>
      <c r="D3176"/>
      <c r="E3176"/>
      <c r="F3176"/>
      <c r="G3176"/>
      <c r="H3176"/>
      <c r="I3176"/>
      <c r="J3176"/>
      <c r="K3176"/>
    </row>
    <row r="3177" spans="1:11">
      <c r="A3177"/>
      <c r="B3177"/>
      <c r="C3177"/>
      <c r="D3177"/>
      <c r="E3177"/>
      <c r="F3177"/>
      <c r="G3177"/>
      <c r="H3177"/>
      <c r="I3177"/>
      <c r="J3177"/>
      <c r="K3177"/>
    </row>
    <row r="3178" spans="1:11">
      <c r="A3178"/>
      <c r="B3178"/>
      <c r="C3178"/>
      <c r="D3178"/>
      <c r="E3178"/>
      <c r="F3178"/>
      <c r="G3178"/>
      <c r="H3178"/>
      <c r="I3178"/>
      <c r="J3178"/>
      <c r="K3178"/>
    </row>
    <row r="3179" spans="1:11">
      <c r="A3179"/>
      <c r="B3179"/>
      <c r="C3179"/>
      <c r="D3179"/>
      <c r="E3179"/>
      <c r="F3179"/>
      <c r="G3179"/>
      <c r="H3179"/>
      <c r="I3179"/>
      <c r="J3179"/>
      <c r="K3179"/>
    </row>
    <row r="3180" spans="1:11">
      <c r="A3180"/>
      <c r="B3180"/>
      <c r="C3180"/>
      <c r="D3180"/>
      <c r="E3180"/>
      <c r="F3180"/>
      <c r="G3180"/>
      <c r="H3180"/>
      <c r="I3180"/>
      <c r="J3180"/>
      <c r="K3180"/>
    </row>
    <row r="3181" spans="1:11">
      <c r="A3181"/>
      <c r="B3181"/>
      <c r="C3181"/>
      <c r="D3181"/>
      <c r="E3181"/>
      <c r="F3181"/>
      <c r="G3181"/>
      <c r="H3181"/>
      <c r="I3181"/>
      <c r="J3181"/>
      <c r="K3181"/>
    </row>
    <row r="3182" spans="1:11">
      <c r="A3182"/>
      <c r="B3182"/>
      <c r="C3182"/>
      <c r="D3182"/>
      <c r="E3182"/>
      <c r="F3182"/>
      <c r="G3182"/>
      <c r="H3182"/>
      <c r="I3182"/>
      <c r="J3182"/>
      <c r="K3182"/>
    </row>
    <row r="3183" spans="1:11">
      <c r="A3183"/>
      <c r="B3183"/>
      <c r="C3183"/>
      <c r="D3183"/>
      <c r="E3183"/>
      <c r="F3183"/>
      <c r="G3183"/>
      <c r="H3183"/>
      <c r="I3183"/>
      <c r="J3183"/>
      <c r="K3183"/>
    </row>
    <row r="3184" spans="1:11">
      <c r="A3184"/>
      <c r="B3184"/>
      <c r="C3184"/>
      <c r="D3184"/>
      <c r="E3184"/>
      <c r="F3184"/>
      <c r="G3184"/>
      <c r="H3184"/>
      <c r="I3184"/>
      <c r="J3184"/>
      <c r="K3184"/>
    </row>
    <row r="3185" spans="1:11">
      <c r="A3185"/>
      <c r="B3185"/>
      <c r="C3185"/>
      <c r="D3185"/>
      <c r="E3185"/>
      <c r="F3185"/>
      <c r="G3185"/>
      <c r="H3185"/>
      <c r="I3185"/>
      <c r="J3185"/>
      <c r="K3185"/>
    </row>
    <row r="3186" spans="1:11">
      <c r="A3186"/>
      <c r="B3186"/>
      <c r="C3186"/>
      <c r="D3186"/>
      <c r="E3186"/>
      <c r="F3186"/>
      <c r="G3186"/>
      <c r="H3186"/>
      <c r="I3186"/>
      <c r="J3186"/>
      <c r="K3186"/>
    </row>
    <row r="3187" spans="1:11">
      <c r="A3187"/>
      <c r="B3187"/>
      <c r="C3187"/>
      <c r="D3187"/>
      <c r="E3187"/>
      <c r="F3187"/>
      <c r="G3187"/>
      <c r="H3187"/>
      <c r="I3187"/>
      <c r="J3187"/>
      <c r="K3187"/>
    </row>
    <row r="3188" spans="1:11">
      <c r="A3188"/>
      <c r="B3188"/>
      <c r="C3188"/>
      <c r="D3188"/>
      <c r="E3188"/>
      <c r="F3188"/>
      <c r="G3188"/>
      <c r="H3188"/>
      <c r="I3188"/>
      <c r="J3188"/>
      <c r="K3188"/>
    </row>
    <row r="3189" spans="1:11">
      <c r="A3189"/>
      <c r="B3189"/>
      <c r="C3189"/>
      <c r="D3189"/>
      <c r="E3189"/>
      <c r="F3189"/>
      <c r="G3189"/>
      <c r="H3189"/>
      <c r="I3189"/>
      <c r="J3189"/>
      <c r="K3189"/>
    </row>
    <row r="3190" spans="1:11">
      <c r="A3190"/>
      <c r="B3190"/>
      <c r="C3190"/>
      <c r="D3190"/>
      <c r="E3190"/>
      <c r="F3190"/>
      <c r="G3190"/>
      <c r="H3190"/>
      <c r="I3190"/>
      <c r="J3190"/>
      <c r="K3190"/>
    </row>
    <row r="3191" spans="1:11">
      <c r="A3191"/>
      <c r="B3191"/>
      <c r="C3191"/>
      <c r="D3191"/>
      <c r="E3191"/>
      <c r="F3191"/>
      <c r="G3191"/>
      <c r="H3191"/>
      <c r="I3191"/>
      <c r="J3191"/>
      <c r="K3191"/>
    </row>
    <row r="3192" spans="1:11">
      <c r="A3192"/>
      <c r="B3192"/>
      <c r="C3192"/>
      <c r="D3192"/>
      <c r="E3192"/>
      <c r="F3192"/>
      <c r="G3192"/>
      <c r="H3192"/>
      <c r="I3192"/>
      <c r="J3192"/>
      <c r="K3192"/>
    </row>
    <row r="3193" spans="1:11">
      <c r="A3193"/>
      <c r="B3193"/>
      <c r="C3193"/>
      <c r="D3193"/>
      <c r="E3193"/>
      <c r="F3193"/>
      <c r="G3193"/>
      <c r="H3193"/>
      <c r="I3193"/>
      <c r="J3193"/>
      <c r="K3193"/>
    </row>
    <row r="3194" spans="1:11">
      <c r="A3194"/>
      <c r="B3194"/>
      <c r="C3194"/>
      <c r="D3194"/>
      <c r="E3194"/>
      <c r="F3194"/>
      <c r="G3194"/>
      <c r="H3194"/>
      <c r="I3194"/>
      <c r="J3194"/>
      <c r="K3194"/>
    </row>
    <row r="3195" spans="1:11">
      <c r="A3195"/>
      <c r="B3195"/>
      <c r="C3195"/>
      <c r="D3195"/>
      <c r="E3195"/>
      <c r="F3195"/>
      <c r="G3195"/>
      <c r="H3195"/>
      <c r="I3195"/>
      <c r="J3195"/>
      <c r="K3195"/>
    </row>
    <row r="3196" spans="1:11">
      <c r="A3196"/>
      <c r="B3196"/>
      <c r="C3196"/>
      <c r="D3196"/>
      <c r="E3196"/>
      <c r="F3196"/>
      <c r="G3196"/>
      <c r="H3196"/>
      <c r="I3196"/>
      <c r="J3196"/>
      <c r="K3196"/>
    </row>
    <row r="3197" spans="1:11">
      <c r="A3197"/>
      <c r="B3197"/>
      <c r="C3197"/>
      <c r="D3197"/>
      <c r="E3197"/>
      <c r="F3197"/>
      <c r="G3197"/>
      <c r="H3197"/>
      <c r="I3197"/>
      <c r="J3197"/>
      <c r="K3197"/>
    </row>
    <row r="3198" spans="1:11">
      <c r="A3198"/>
      <c r="B3198"/>
      <c r="C3198"/>
      <c r="D3198"/>
      <c r="E3198"/>
      <c r="F3198"/>
      <c r="G3198"/>
      <c r="H3198"/>
      <c r="I3198"/>
      <c r="J3198"/>
      <c r="K3198"/>
    </row>
    <row r="3199" spans="1:11">
      <c r="A3199"/>
      <c r="B3199"/>
      <c r="C3199"/>
      <c r="D3199"/>
      <c r="E3199"/>
      <c r="F3199"/>
      <c r="G3199"/>
      <c r="H3199"/>
      <c r="I3199"/>
      <c r="J3199"/>
      <c r="K3199"/>
    </row>
    <row r="3200" spans="1:11">
      <c r="A3200"/>
      <c r="B3200"/>
      <c r="C3200"/>
      <c r="D3200"/>
      <c r="E3200"/>
      <c r="F3200"/>
      <c r="G3200"/>
      <c r="H3200"/>
      <c r="I3200"/>
      <c r="J3200"/>
      <c r="K3200"/>
    </row>
    <row r="3201" spans="1:11">
      <c r="A3201"/>
      <c r="B3201"/>
      <c r="C3201"/>
      <c r="D3201"/>
      <c r="E3201"/>
      <c r="F3201"/>
      <c r="G3201"/>
      <c r="H3201"/>
      <c r="I3201"/>
      <c r="J3201"/>
      <c r="K3201"/>
    </row>
    <row r="3202" spans="1:11">
      <c r="A3202"/>
      <c r="B3202"/>
      <c r="C3202"/>
      <c r="D3202"/>
      <c r="E3202"/>
      <c r="F3202"/>
      <c r="G3202"/>
      <c r="H3202"/>
      <c r="I3202"/>
      <c r="J3202"/>
      <c r="K3202"/>
    </row>
    <row r="3203" spans="1:11">
      <c r="A3203"/>
      <c r="B3203"/>
      <c r="C3203"/>
      <c r="D3203"/>
      <c r="E3203"/>
      <c r="F3203"/>
      <c r="G3203"/>
      <c r="H3203"/>
      <c r="I3203"/>
      <c r="J3203"/>
      <c r="K3203"/>
    </row>
    <row r="3204" spans="1:11">
      <c r="A3204"/>
      <c r="B3204"/>
      <c r="C3204"/>
      <c r="D3204"/>
      <c r="E3204"/>
      <c r="F3204"/>
      <c r="G3204"/>
      <c r="H3204"/>
      <c r="I3204"/>
      <c r="J3204"/>
      <c r="K3204"/>
    </row>
    <row r="3205" spans="1:11">
      <c r="A3205"/>
      <c r="B3205"/>
      <c r="C3205"/>
      <c r="D3205"/>
      <c r="E3205"/>
      <c r="F3205"/>
      <c r="G3205"/>
      <c r="H3205"/>
      <c r="I3205"/>
      <c r="J3205"/>
      <c r="K3205"/>
    </row>
    <row r="3206" spans="1:11">
      <c r="A3206"/>
      <c r="B3206"/>
      <c r="C3206"/>
      <c r="D3206"/>
      <c r="E3206"/>
      <c r="F3206"/>
      <c r="G3206"/>
      <c r="H3206"/>
      <c r="I3206"/>
      <c r="J3206"/>
      <c r="K3206"/>
    </row>
    <row r="3207" spans="1:11">
      <c r="A3207"/>
      <c r="B3207"/>
      <c r="C3207"/>
      <c r="D3207"/>
      <c r="E3207"/>
      <c r="F3207"/>
      <c r="G3207"/>
      <c r="H3207"/>
      <c r="I3207"/>
      <c r="J3207"/>
      <c r="K3207"/>
    </row>
    <row r="3208" spans="1:11">
      <c r="A3208"/>
      <c r="B3208"/>
      <c r="C3208"/>
      <c r="D3208"/>
      <c r="E3208"/>
      <c r="F3208"/>
      <c r="G3208"/>
      <c r="H3208"/>
      <c r="I3208"/>
      <c r="J3208"/>
      <c r="K3208"/>
    </row>
    <row r="3209" spans="1:11">
      <c r="A3209"/>
      <c r="B3209"/>
      <c r="C3209"/>
      <c r="D3209"/>
      <c r="E3209"/>
      <c r="F3209"/>
      <c r="G3209"/>
      <c r="H3209"/>
      <c r="I3209"/>
      <c r="J3209"/>
      <c r="K3209"/>
    </row>
    <row r="3210" spans="1:11">
      <c r="A3210"/>
      <c r="B3210"/>
      <c r="C3210"/>
      <c r="D3210"/>
      <c r="E3210"/>
      <c r="F3210"/>
      <c r="G3210"/>
      <c r="H3210"/>
      <c r="I3210"/>
      <c r="J3210"/>
      <c r="K3210"/>
    </row>
    <row r="3211" spans="1:11">
      <c r="A3211"/>
      <c r="B3211"/>
      <c r="C3211"/>
      <c r="D3211"/>
      <c r="E3211"/>
      <c r="F3211"/>
      <c r="G3211"/>
      <c r="H3211"/>
      <c r="I3211"/>
      <c r="J3211"/>
      <c r="K3211"/>
    </row>
    <row r="3212" spans="1:11">
      <c r="A3212"/>
      <c r="B3212"/>
      <c r="C3212"/>
      <c r="D3212"/>
      <c r="E3212"/>
      <c r="F3212"/>
      <c r="G3212"/>
      <c r="H3212"/>
      <c r="I3212"/>
      <c r="J3212"/>
      <c r="K3212"/>
    </row>
    <row r="3213" spans="1:11">
      <c r="A3213"/>
      <c r="B3213"/>
      <c r="C3213"/>
      <c r="D3213"/>
      <c r="E3213"/>
      <c r="F3213"/>
      <c r="G3213"/>
      <c r="H3213"/>
      <c r="I3213"/>
      <c r="J3213"/>
      <c r="K3213"/>
    </row>
    <row r="3214" spans="1:11">
      <c r="A3214"/>
      <c r="B3214"/>
      <c r="C3214"/>
      <c r="D3214"/>
      <c r="E3214"/>
      <c r="F3214"/>
      <c r="G3214"/>
      <c r="H3214"/>
      <c r="I3214"/>
      <c r="J3214"/>
      <c r="K3214"/>
    </row>
    <row r="3215" spans="1:11">
      <c r="A3215"/>
      <c r="B3215"/>
      <c r="C3215"/>
      <c r="D3215"/>
      <c r="E3215"/>
      <c r="F3215"/>
      <c r="G3215"/>
      <c r="H3215"/>
      <c r="I3215"/>
      <c r="J3215"/>
      <c r="K3215"/>
    </row>
    <row r="3216" spans="1:11">
      <c r="A3216"/>
      <c r="B3216"/>
      <c r="C3216"/>
      <c r="D3216"/>
      <c r="E3216"/>
      <c r="F3216"/>
      <c r="G3216"/>
      <c r="H3216"/>
      <c r="I3216"/>
      <c r="J3216"/>
      <c r="K3216"/>
    </row>
    <row r="3217" spans="1:11">
      <c r="A3217"/>
      <c r="B3217"/>
      <c r="C3217"/>
      <c r="D3217"/>
      <c r="E3217"/>
      <c r="F3217"/>
      <c r="G3217"/>
      <c r="H3217"/>
      <c r="I3217"/>
      <c r="J3217"/>
      <c r="K3217"/>
    </row>
    <row r="3218" spans="1:11">
      <c r="A3218"/>
      <c r="B3218"/>
      <c r="C3218"/>
      <c r="D3218"/>
      <c r="E3218"/>
      <c r="F3218"/>
      <c r="G3218"/>
      <c r="H3218"/>
      <c r="I3218"/>
      <c r="J3218"/>
      <c r="K3218"/>
    </row>
    <row r="3219" spans="1:11">
      <c r="A3219"/>
      <c r="B3219"/>
      <c r="C3219"/>
      <c r="D3219"/>
      <c r="E3219"/>
      <c r="F3219"/>
      <c r="G3219"/>
      <c r="H3219"/>
      <c r="I3219"/>
      <c r="J3219"/>
      <c r="K3219"/>
    </row>
    <row r="3220" spans="1:11">
      <c r="A3220"/>
      <c r="B3220"/>
      <c r="C3220"/>
      <c r="D3220"/>
      <c r="E3220"/>
      <c r="F3220"/>
      <c r="G3220"/>
      <c r="H3220"/>
      <c r="I3220"/>
      <c r="J3220"/>
      <c r="K3220"/>
    </row>
    <row r="3221" spans="1:11">
      <c r="A3221"/>
      <c r="B3221"/>
      <c r="C3221"/>
      <c r="D3221"/>
      <c r="E3221"/>
      <c r="F3221"/>
      <c r="G3221"/>
      <c r="H3221"/>
      <c r="I3221"/>
      <c r="J3221"/>
      <c r="K3221"/>
    </row>
    <row r="3222" spans="1:11">
      <c r="A3222"/>
      <c r="B3222"/>
      <c r="C3222"/>
      <c r="D3222"/>
      <c r="E3222"/>
      <c r="F3222"/>
      <c r="G3222"/>
      <c r="H3222"/>
      <c r="I3222"/>
      <c r="J3222"/>
      <c r="K3222"/>
    </row>
    <row r="3223" spans="1:11">
      <c r="A3223"/>
      <c r="B3223"/>
      <c r="C3223"/>
      <c r="D3223"/>
      <c r="E3223"/>
      <c r="F3223"/>
      <c r="G3223"/>
      <c r="H3223"/>
      <c r="I3223"/>
      <c r="J3223"/>
      <c r="K3223"/>
    </row>
    <row r="3224" spans="1:11">
      <c r="A3224"/>
      <c r="B3224"/>
      <c r="C3224"/>
      <c r="D3224"/>
      <c r="E3224"/>
      <c r="F3224"/>
      <c r="G3224"/>
      <c r="H3224"/>
      <c r="I3224"/>
      <c r="J3224"/>
      <c r="K3224"/>
    </row>
    <row r="3225" spans="1:11">
      <c r="A3225"/>
      <c r="B3225"/>
      <c r="C3225"/>
      <c r="D3225"/>
      <c r="E3225"/>
      <c r="F3225"/>
      <c r="G3225"/>
      <c r="H3225"/>
      <c r="I3225"/>
      <c r="J3225"/>
      <c r="K3225"/>
    </row>
    <row r="3226" spans="1:11">
      <c r="A3226"/>
      <c r="B3226"/>
      <c r="C3226"/>
      <c r="D3226"/>
      <c r="E3226"/>
      <c r="F3226"/>
      <c r="G3226"/>
      <c r="H3226"/>
      <c r="I3226"/>
      <c r="J3226"/>
      <c r="K3226"/>
    </row>
    <row r="3227" spans="1:11">
      <c r="A3227"/>
      <c r="B3227"/>
      <c r="C3227"/>
      <c r="D3227"/>
      <c r="E3227"/>
      <c r="F3227"/>
      <c r="G3227"/>
      <c r="H3227"/>
      <c r="I3227"/>
      <c r="J3227"/>
      <c r="K3227"/>
    </row>
    <row r="3228" spans="1:11">
      <c r="A3228"/>
      <c r="B3228"/>
      <c r="C3228"/>
      <c r="D3228"/>
      <c r="E3228"/>
      <c r="F3228"/>
      <c r="G3228"/>
      <c r="H3228"/>
      <c r="I3228"/>
      <c r="J3228"/>
      <c r="K3228"/>
    </row>
    <row r="3229" spans="1:11">
      <c r="A3229"/>
      <c r="B3229"/>
      <c r="C3229"/>
      <c r="D3229"/>
      <c r="E3229"/>
      <c r="F3229"/>
      <c r="G3229"/>
      <c r="H3229"/>
      <c r="I3229"/>
      <c r="J3229"/>
      <c r="K3229"/>
    </row>
    <row r="3230" spans="1:11">
      <c r="A3230"/>
      <c r="B3230"/>
      <c r="C3230"/>
      <c r="D3230"/>
      <c r="E3230"/>
      <c r="F3230"/>
      <c r="G3230"/>
      <c r="H3230"/>
      <c r="I3230"/>
      <c r="J3230"/>
      <c r="K3230"/>
    </row>
    <row r="3231" spans="1:11">
      <c r="A3231"/>
      <c r="B3231"/>
      <c r="C3231"/>
      <c r="D3231"/>
      <c r="E3231"/>
      <c r="F3231"/>
      <c r="G3231"/>
      <c r="H3231"/>
      <c r="I3231"/>
      <c r="J3231"/>
      <c r="K3231"/>
    </row>
    <row r="3232" spans="1:11">
      <c r="A3232"/>
      <c r="B3232"/>
      <c r="C3232"/>
      <c r="D3232"/>
      <c r="E3232"/>
      <c r="F3232"/>
      <c r="G3232"/>
      <c r="H3232"/>
      <c r="I3232"/>
      <c r="J3232"/>
      <c r="K3232"/>
    </row>
    <row r="3233" spans="1:11">
      <c r="A3233"/>
      <c r="B3233"/>
      <c r="C3233"/>
      <c r="D3233"/>
      <c r="E3233"/>
      <c r="F3233"/>
      <c r="G3233"/>
      <c r="H3233"/>
      <c r="I3233"/>
      <c r="J3233"/>
      <c r="K3233"/>
    </row>
    <row r="3234" spans="1:11">
      <c r="A3234"/>
      <c r="B3234"/>
      <c r="C3234"/>
      <c r="D3234"/>
      <c r="E3234"/>
      <c r="F3234"/>
      <c r="G3234"/>
      <c r="H3234"/>
      <c r="I3234"/>
      <c r="J3234"/>
      <c r="K3234"/>
    </row>
    <row r="3235" spans="1:11">
      <c r="A3235"/>
      <c r="B3235"/>
      <c r="C3235"/>
      <c r="D3235"/>
      <c r="E3235"/>
      <c r="F3235"/>
      <c r="G3235"/>
      <c r="H3235"/>
      <c r="I3235"/>
      <c r="J3235"/>
      <c r="K3235"/>
    </row>
    <row r="3236" spans="1:11">
      <c r="A3236"/>
      <c r="B3236"/>
      <c r="C3236"/>
      <c r="D3236"/>
      <c r="E3236"/>
      <c r="F3236"/>
      <c r="G3236"/>
      <c r="H3236"/>
      <c r="I3236"/>
      <c r="J3236"/>
      <c r="K3236"/>
    </row>
    <row r="3237" spans="1:11">
      <c r="A3237"/>
      <c r="B3237"/>
      <c r="C3237"/>
      <c r="D3237"/>
      <c r="E3237"/>
      <c r="F3237"/>
      <c r="G3237"/>
      <c r="H3237"/>
      <c r="I3237"/>
      <c r="J3237"/>
      <c r="K3237"/>
    </row>
    <row r="3238" spans="1:11">
      <c r="A3238"/>
      <c r="B3238"/>
      <c r="C3238"/>
      <c r="D3238"/>
      <c r="E3238"/>
      <c r="F3238"/>
      <c r="G3238"/>
      <c r="H3238"/>
      <c r="I3238"/>
      <c r="J3238"/>
      <c r="K3238"/>
    </row>
    <row r="3239" spans="1:11">
      <c r="A3239"/>
      <c r="B3239"/>
      <c r="C3239"/>
      <c r="D3239"/>
      <c r="E3239"/>
      <c r="F3239"/>
      <c r="G3239"/>
      <c r="H3239"/>
      <c r="I3239"/>
      <c r="J3239"/>
      <c r="K3239"/>
    </row>
    <row r="3240" spans="1:11">
      <c r="A3240"/>
      <c r="B3240"/>
      <c r="C3240"/>
      <c r="D3240"/>
      <c r="E3240"/>
      <c r="F3240"/>
      <c r="G3240"/>
      <c r="H3240"/>
      <c r="I3240"/>
      <c r="J3240"/>
      <c r="K3240"/>
    </row>
    <row r="3241" spans="1:11">
      <c r="A3241"/>
      <c r="B3241"/>
      <c r="C3241"/>
      <c r="D3241"/>
      <c r="E3241"/>
      <c r="F3241"/>
      <c r="G3241"/>
      <c r="H3241"/>
      <c r="I3241"/>
      <c r="J3241"/>
      <c r="K3241"/>
    </row>
    <row r="3242" spans="1:11">
      <c r="A3242"/>
      <c r="B3242"/>
      <c r="C3242"/>
      <c r="D3242"/>
      <c r="E3242"/>
      <c r="F3242"/>
      <c r="G3242"/>
      <c r="H3242"/>
      <c r="I3242"/>
      <c r="J3242"/>
      <c r="K3242"/>
    </row>
    <row r="3243" spans="1:11">
      <c r="A3243"/>
      <c r="B3243"/>
      <c r="C3243"/>
      <c r="D3243"/>
      <c r="E3243"/>
      <c r="F3243"/>
      <c r="G3243"/>
      <c r="H3243"/>
      <c r="I3243"/>
      <c r="J3243"/>
      <c r="K3243"/>
    </row>
    <row r="3244" spans="1:11">
      <c r="A3244"/>
      <c r="B3244"/>
      <c r="C3244"/>
      <c r="D3244"/>
      <c r="E3244"/>
      <c r="F3244"/>
      <c r="G3244"/>
      <c r="H3244"/>
      <c r="I3244"/>
      <c r="J3244"/>
      <c r="K3244"/>
    </row>
    <row r="3245" spans="1:11">
      <c r="A3245"/>
      <c r="B3245"/>
      <c r="C3245"/>
      <c r="D3245"/>
      <c r="E3245"/>
      <c r="F3245"/>
      <c r="G3245"/>
      <c r="H3245"/>
      <c r="I3245"/>
      <c r="J3245"/>
      <c r="K3245"/>
    </row>
    <row r="3246" spans="1:11">
      <c r="A3246"/>
      <c r="B3246"/>
      <c r="C3246"/>
      <c r="D3246"/>
      <c r="E3246"/>
      <c r="F3246"/>
      <c r="G3246"/>
      <c r="H3246"/>
      <c r="I3246"/>
      <c r="J3246"/>
      <c r="K3246"/>
    </row>
    <row r="3247" spans="1:11">
      <c r="A3247"/>
      <c r="B3247"/>
      <c r="C3247"/>
      <c r="D3247"/>
      <c r="E3247"/>
      <c r="F3247"/>
      <c r="G3247"/>
      <c r="H3247"/>
      <c r="I3247"/>
      <c r="J3247"/>
      <c r="K3247"/>
    </row>
    <row r="3248" spans="1:11">
      <c r="A3248"/>
      <c r="B3248"/>
      <c r="C3248"/>
      <c r="D3248"/>
      <c r="E3248"/>
      <c r="F3248"/>
      <c r="G3248"/>
      <c r="H3248"/>
      <c r="I3248"/>
      <c r="J3248"/>
      <c r="K3248"/>
    </row>
    <row r="3249" spans="1:11">
      <c r="A3249"/>
      <c r="B3249"/>
      <c r="C3249"/>
      <c r="D3249"/>
      <c r="E3249"/>
      <c r="F3249"/>
      <c r="G3249"/>
      <c r="H3249"/>
      <c r="I3249"/>
      <c r="J3249"/>
      <c r="K3249"/>
    </row>
    <row r="3250" spans="1:11">
      <c r="A3250"/>
      <c r="B3250"/>
      <c r="C3250"/>
      <c r="D3250"/>
      <c r="E3250"/>
      <c r="F3250"/>
      <c r="G3250"/>
      <c r="H3250"/>
      <c r="I3250"/>
      <c r="J3250"/>
      <c r="K3250"/>
    </row>
    <row r="3251" spans="1:11">
      <c r="A3251"/>
      <c r="B3251"/>
      <c r="C3251"/>
      <c r="D3251"/>
      <c r="E3251"/>
      <c r="F3251"/>
      <c r="G3251"/>
      <c r="H3251"/>
      <c r="I3251"/>
      <c r="J3251"/>
      <c r="K3251"/>
    </row>
    <row r="3252" spans="1:11">
      <c r="A3252"/>
      <c r="B3252"/>
      <c r="C3252"/>
      <c r="D3252"/>
      <c r="E3252"/>
      <c r="F3252"/>
      <c r="G3252"/>
      <c r="H3252"/>
      <c r="I3252"/>
      <c r="J3252"/>
      <c r="K3252"/>
    </row>
    <row r="3253" spans="1:11">
      <c r="A3253"/>
      <c r="B3253"/>
      <c r="C3253"/>
      <c r="D3253"/>
      <c r="E3253"/>
      <c r="F3253"/>
      <c r="G3253"/>
      <c r="H3253"/>
      <c r="I3253"/>
      <c r="J3253"/>
      <c r="K3253"/>
    </row>
    <row r="3254" spans="1:11">
      <c r="A3254"/>
      <c r="B3254"/>
      <c r="C3254"/>
      <c r="D3254"/>
      <c r="E3254"/>
      <c r="F3254"/>
      <c r="G3254"/>
      <c r="H3254"/>
      <c r="I3254"/>
      <c r="J3254"/>
      <c r="K3254"/>
    </row>
    <row r="3255" spans="1:11">
      <c r="A3255"/>
      <c r="B3255"/>
      <c r="C3255"/>
      <c r="D3255"/>
      <c r="E3255"/>
      <c r="F3255"/>
      <c r="G3255"/>
      <c r="H3255"/>
      <c r="I3255"/>
      <c r="J3255"/>
      <c r="K3255"/>
    </row>
    <row r="3256" spans="1:11">
      <c r="A3256"/>
      <c r="B3256"/>
      <c r="C3256"/>
      <c r="D3256"/>
      <c r="E3256"/>
      <c r="F3256"/>
      <c r="G3256"/>
      <c r="H3256"/>
      <c r="I3256"/>
      <c r="J3256"/>
      <c r="K3256"/>
    </row>
    <row r="3257" spans="1:11">
      <c r="A3257"/>
      <c r="B3257"/>
      <c r="C3257"/>
      <c r="D3257"/>
      <c r="E3257"/>
      <c r="F3257"/>
      <c r="G3257"/>
      <c r="H3257"/>
      <c r="I3257"/>
      <c r="J3257"/>
      <c r="K3257"/>
    </row>
    <row r="3258" spans="1:11">
      <c r="A3258"/>
      <c r="B3258"/>
      <c r="C3258"/>
      <c r="D3258"/>
      <c r="E3258"/>
      <c r="F3258"/>
      <c r="G3258"/>
      <c r="H3258"/>
      <c r="I3258"/>
      <c r="J3258"/>
      <c r="K3258"/>
    </row>
    <row r="3259" spans="1:11">
      <c r="A3259"/>
      <c r="B3259"/>
      <c r="C3259"/>
      <c r="D3259"/>
      <c r="E3259"/>
      <c r="F3259"/>
      <c r="G3259"/>
      <c r="H3259"/>
      <c r="I3259"/>
      <c r="J3259"/>
      <c r="K3259"/>
    </row>
    <row r="3260" spans="1:11">
      <c r="A3260"/>
      <c r="B3260"/>
      <c r="C3260"/>
      <c r="D3260"/>
      <c r="E3260"/>
      <c r="F3260"/>
      <c r="G3260"/>
      <c r="H3260"/>
      <c r="I3260"/>
      <c r="J3260"/>
      <c r="K3260"/>
    </row>
    <row r="3261" spans="1:11">
      <c r="A3261"/>
      <c r="B3261"/>
      <c r="C3261"/>
      <c r="D3261"/>
      <c r="E3261"/>
      <c r="F3261"/>
      <c r="G3261"/>
      <c r="H3261"/>
      <c r="I3261"/>
      <c r="J3261"/>
      <c r="K3261"/>
    </row>
    <row r="3262" spans="1:11">
      <c r="A3262"/>
      <c r="B3262"/>
      <c r="C3262"/>
      <c r="D3262"/>
      <c r="E3262"/>
      <c r="F3262"/>
      <c r="G3262"/>
      <c r="H3262"/>
      <c r="I3262"/>
      <c r="J3262"/>
      <c r="K3262"/>
    </row>
    <row r="3263" spans="1:11">
      <c r="A3263"/>
      <c r="B3263"/>
      <c r="C3263"/>
      <c r="D3263"/>
      <c r="E3263"/>
      <c r="F3263"/>
      <c r="G3263"/>
      <c r="H3263"/>
      <c r="I3263"/>
      <c r="J3263"/>
      <c r="K3263"/>
    </row>
    <row r="3264" spans="1:11">
      <c r="A3264"/>
      <c r="B3264"/>
      <c r="C3264"/>
      <c r="D3264"/>
      <c r="E3264"/>
      <c r="F3264"/>
      <c r="G3264"/>
      <c r="H3264"/>
      <c r="I3264"/>
      <c r="J3264"/>
      <c r="K3264"/>
    </row>
    <row r="3265" spans="1:11">
      <c r="A3265"/>
      <c r="B3265"/>
      <c r="C3265"/>
      <c r="D3265"/>
      <c r="E3265"/>
      <c r="F3265"/>
      <c r="G3265"/>
      <c r="H3265"/>
      <c r="I3265"/>
      <c r="J3265"/>
      <c r="K3265"/>
    </row>
    <row r="3266" spans="1:11">
      <c r="A3266"/>
      <c r="B3266"/>
      <c r="C3266"/>
      <c r="D3266"/>
      <c r="E3266"/>
      <c r="F3266"/>
      <c r="G3266"/>
      <c r="H3266"/>
      <c r="I3266"/>
      <c r="J3266"/>
      <c r="K3266"/>
    </row>
    <row r="3267" spans="1:11">
      <c r="A3267"/>
      <c r="B3267"/>
      <c r="C3267"/>
      <c r="D3267"/>
      <c r="E3267"/>
      <c r="F3267"/>
      <c r="G3267"/>
      <c r="H3267"/>
      <c r="I3267"/>
      <c r="J3267"/>
      <c r="K3267"/>
    </row>
    <row r="3268" spans="1:11">
      <c r="A3268"/>
      <c r="B3268"/>
      <c r="C3268"/>
      <c r="D3268"/>
      <c r="E3268"/>
      <c r="F3268"/>
      <c r="G3268"/>
      <c r="H3268"/>
      <c r="I3268"/>
      <c r="J3268"/>
      <c r="K3268"/>
    </row>
    <row r="3269" spans="1:11">
      <c r="A3269"/>
      <c r="B3269"/>
      <c r="C3269"/>
      <c r="D3269"/>
      <c r="E3269"/>
      <c r="F3269"/>
      <c r="G3269"/>
      <c r="H3269"/>
      <c r="I3269"/>
      <c r="J3269"/>
      <c r="K3269"/>
    </row>
    <row r="3270" spans="1:11">
      <c r="A3270"/>
      <c r="B3270"/>
      <c r="C3270"/>
      <c r="D3270"/>
      <c r="E3270"/>
      <c r="F3270"/>
      <c r="G3270"/>
      <c r="H3270"/>
      <c r="I3270"/>
      <c r="J3270"/>
      <c r="K3270"/>
    </row>
    <row r="3271" spans="1:11">
      <c r="A3271"/>
      <c r="B3271"/>
      <c r="C3271"/>
      <c r="D3271"/>
      <c r="E3271"/>
      <c r="F3271"/>
      <c r="G3271"/>
      <c r="H3271"/>
      <c r="I3271"/>
      <c r="J3271"/>
      <c r="K3271"/>
    </row>
    <row r="3272" spans="1:11">
      <c r="A3272"/>
      <c r="B3272"/>
      <c r="C3272"/>
      <c r="D3272"/>
      <c r="E3272"/>
      <c r="F3272"/>
      <c r="G3272"/>
      <c r="H3272"/>
      <c r="I3272"/>
      <c r="J3272"/>
      <c r="K3272"/>
    </row>
    <row r="3273" spans="1:11">
      <c r="A3273"/>
      <c r="B3273"/>
      <c r="C3273"/>
      <c r="D3273"/>
      <c r="E3273"/>
      <c r="F3273"/>
      <c r="G3273"/>
      <c r="H3273"/>
      <c r="I3273"/>
      <c r="J3273"/>
      <c r="K3273"/>
    </row>
    <row r="3274" spans="1:11">
      <c r="A3274"/>
      <c r="B3274"/>
      <c r="C3274"/>
      <c r="D3274"/>
      <c r="E3274"/>
      <c r="F3274"/>
      <c r="G3274"/>
      <c r="H3274"/>
      <c r="I3274"/>
      <c r="J3274"/>
      <c r="K3274"/>
    </row>
    <row r="3275" spans="1:11">
      <c r="A3275"/>
      <c r="B3275"/>
      <c r="C3275"/>
      <c r="D3275"/>
      <c r="E3275"/>
      <c r="F3275"/>
      <c r="G3275"/>
      <c r="H3275"/>
      <c r="I3275"/>
      <c r="J3275"/>
      <c r="K3275"/>
    </row>
    <row r="3276" spans="1:11">
      <c r="A3276"/>
      <c r="B3276"/>
      <c r="C3276"/>
      <c r="D3276"/>
      <c r="E3276"/>
      <c r="F3276"/>
      <c r="G3276"/>
      <c r="H3276"/>
      <c r="I3276"/>
      <c r="J3276"/>
      <c r="K3276"/>
    </row>
    <row r="3277" spans="1:11">
      <c r="A3277"/>
      <c r="B3277"/>
      <c r="C3277"/>
      <c r="D3277"/>
      <c r="E3277"/>
      <c r="F3277"/>
      <c r="G3277"/>
      <c r="H3277"/>
      <c r="I3277"/>
      <c r="J3277"/>
      <c r="K3277"/>
    </row>
    <row r="3278" spans="1:11">
      <c r="A3278"/>
      <c r="B3278"/>
      <c r="C3278"/>
      <c r="D3278"/>
      <c r="E3278"/>
      <c r="F3278"/>
      <c r="G3278"/>
      <c r="H3278"/>
      <c r="I3278"/>
      <c r="J3278"/>
      <c r="K3278"/>
    </row>
    <row r="3279" spans="1:11">
      <c r="A3279"/>
      <c r="B3279"/>
      <c r="C3279"/>
      <c r="D3279"/>
      <c r="E3279"/>
      <c r="F3279"/>
      <c r="G3279"/>
      <c r="H3279"/>
      <c r="I3279"/>
      <c r="J3279"/>
      <c r="K3279"/>
    </row>
    <row r="3280" spans="1:11">
      <c r="A3280"/>
      <c r="B3280"/>
      <c r="C3280"/>
      <c r="D3280"/>
      <c r="E3280"/>
      <c r="F3280"/>
      <c r="G3280"/>
      <c r="H3280"/>
      <c r="I3280"/>
      <c r="J3280"/>
      <c r="K3280"/>
    </row>
    <row r="3281" spans="1:11">
      <c r="A3281"/>
      <c r="B3281"/>
      <c r="C3281"/>
      <c r="D3281"/>
      <c r="E3281"/>
      <c r="F3281"/>
      <c r="G3281"/>
      <c r="H3281"/>
      <c r="I3281"/>
      <c r="J3281"/>
      <c r="K3281"/>
    </row>
    <row r="3282" spans="1:11">
      <c r="A3282"/>
      <c r="B3282"/>
      <c r="C3282"/>
      <c r="D3282"/>
      <c r="E3282"/>
      <c r="F3282"/>
      <c r="G3282"/>
      <c r="H3282"/>
      <c r="I3282"/>
      <c r="J3282"/>
      <c r="K3282"/>
    </row>
    <row r="3283" spans="1:11">
      <c r="A3283"/>
      <c r="B3283"/>
      <c r="C3283"/>
      <c r="D3283"/>
      <c r="E3283"/>
      <c r="F3283"/>
      <c r="G3283"/>
      <c r="H3283"/>
      <c r="I3283"/>
      <c r="J3283"/>
      <c r="K3283"/>
    </row>
    <row r="3284" spans="1:11">
      <c r="A3284"/>
      <c r="B3284"/>
      <c r="C3284"/>
      <c r="D3284"/>
      <c r="E3284"/>
      <c r="F3284"/>
      <c r="G3284"/>
      <c r="H3284"/>
      <c r="I3284"/>
      <c r="J3284"/>
      <c r="K3284"/>
    </row>
    <row r="3285" spans="1:11">
      <c r="A3285"/>
      <c r="B3285"/>
      <c r="C3285"/>
      <c r="D3285"/>
      <c r="E3285"/>
      <c r="F3285"/>
      <c r="G3285"/>
      <c r="H3285"/>
      <c r="I3285"/>
      <c r="J3285"/>
      <c r="K3285"/>
    </row>
    <row r="3286" spans="1:11">
      <c r="A3286"/>
      <c r="B3286"/>
      <c r="C3286"/>
      <c r="D3286"/>
      <c r="E3286"/>
      <c r="F3286"/>
      <c r="G3286"/>
      <c r="H3286"/>
      <c r="I3286"/>
      <c r="J3286"/>
      <c r="K3286"/>
    </row>
    <row r="3287" spans="1:11">
      <c r="A3287"/>
      <c r="B3287"/>
      <c r="C3287"/>
      <c r="D3287"/>
      <c r="E3287"/>
      <c r="F3287"/>
      <c r="G3287"/>
      <c r="H3287"/>
      <c r="I3287"/>
      <c r="J3287"/>
      <c r="K3287"/>
    </row>
    <row r="3288" spans="1:11">
      <c r="A3288"/>
      <c r="B3288"/>
      <c r="C3288"/>
      <c r="D3288"/>
      <c r="E3288"/>
      <c r="F3288"/>
      <c r="G3288"/>
      <c r="H3288"/>
      <c r="I3288"/>
      <c r="J3288"/>
      <c r="K3288"/>
    </row>
    <row r="3289" spans="1:11">
      <c r="A3289"/>
      <c r="B3289"/>
      <c r="C3289"/>
      <c r="D3289"/>
      <c r="E3289"/>
      <c r="F3289"/>
      <c r="G3289"/>
      <c r="H3289"/>
      <c r="I3289"/>
      <c r="J3289"/>
      <c r="K3289"/>
    </row>
    <row r="3290" spans="1:11">
      <c r="A3290"/>
      <c r="B3290"/>
      <c r="C3290"/>
      <c r="D3290"/>
      <c r="E3290"/>
      <c r="F3290"/>
      <c r="G3290"/>
      <c r="H3290"/>
      <c r="I3290"/>
      <c r="J3290"/>
      <c r="K3290"/>
    </row>
    <row r="3291" spans="1:11">
      <c r="A3291"/>
      <c r="B3291"/>
      <c r="C3291"/>
      <c r="D3291"/>
      <c r="E3291"/>
      <c r="F3291"/>
      <c r="G3291"/>
      <c r="H3291"/>
      <c r="I3291"/>
      <c r="J3291"/>
      <c r="K3291"/>
    </row>
    <row r="3292" spans="1:11">
      <c r="A3292"/>
      <c r="B3292"/>
      <c r="C3292"/>
      <c r="D3292"/>
      <c r="E3292"/>
      <c r="F3292"/>
      <c r="G3292"/>
      <c r="H3292"/>
      <c r="I3292"/>
      <c r="J3292"/>
      <c r="K3292"/>
    </row>
    <row r="3293" spans="1:11">
      <c r="A3293"/>
      <c r="B3293"/>
      <c r="C3293"/>
      <c r="D3293"/>
      <c r="E3293"/>
      <c r="F3293"/>
      <c r="G3293"/>
      <c r="H3293"/>
      <c r="I3293"/>
      <c r="J3293"/>
      <c r="K3293"/>
    </row>
    <row r="3294" spans="1:11">
      <c r="A3294"/>
      <c r="B3294"/>
      <c r="C3294"/>
      <c r="D3294"/>
      <c r="E3294"/>
      <c r="F3294"/>
      <c r="G3294"/>
      <c r="H3294"/>
      <c r="I3294"/>
      <c r="J3294"/>
      <c r="K3294"/>
    </row>
    <row r="3295" spans="1:11">
      <c r="A3295"/>
      <c r="B3295"/>
      <c r="C3295"/>
      <c r="D3295"/>
      <c r="E3295"/>
      <c r="F3295"/>
      <c r="G3295"/>
      <c r="H3295"/>
      <c r="I3295"/>
      <c r="J3295"/>
      <c r="K3295"/>
    </row>
    <row r="3296" spans="1:11">
      <c r="A3296"/>
      <c r="B3296"/>
      <c r="C3296"/>
      <c r="D3296"/>
      <c r="E3296"/>
      <c r="F3296"/>
      <c r="G3296"/>
      <c r="H3296"/>
      <c r="I3296"/>
      <c r="J3296"/>
      <c r="K3296"/>
    </row>
    <row r="3297" spans="1:11">
      <c r="A3297"/>
      <c r="B3297"/>
      <c r="C3297"/>
      <c r="D3297"/>
      <c r="E3297"/>
      <c r="F3297"/>
      <c r="G3297"/>
      <c r="H3297"/>
      <c r="I3297"/>
      <c r="J3297"/>
      <c r="K3297"/>
    </row>
    <row r="3298" spans="1:11">
      <c r="A3298"/>
      <c r="B3298"/>
      <c r="C3298"/>
      <c r="D3298"/>
      <c r="E3298"/>
      <c r="F3298"/>
      <c r="G3298"/>
      <c r="H3298"/>
      <c r="I3298"/>
      <c r="J3298"/>
      <c r="K3298"/>
    </row>
    <row r="3299" spans="1:11">
      <c r="A3299"/>
      <c r="B3299"/>
      <c r="C3299"/>
      <c r="D3299"/>
      <c r="E3299"/>
      <c r="F3299"/>
      <c r="G3299"/>
      <c r="H3299"/>
      <c r="I3299"/>
      <c r="J3299"/>
      <c r="K3299"/>
    </row>
    <row r="3300" spans="1:11">
      <c r="A3300"/>
      <c r="B3300"/>
      <c r="C3300"/>
      <c r="D3300"/>
      <c r="E3300"/>
      <c r="F3300"/>
      <c r="G3300"/>
      <c r="H3300"/>
      <c r="I3300"/>
      <c r="J3300"/>
      <c r="K3300"/>
    </row>
    <row r="3301" spans="1:11">
      <c r="A3301"/>
      <c r="B3301"/>
      <c r="C3301"/>
      <c r="D3301"/>
      <c r="E3301"/>
      <c r="F3301"/>
      <c r="G3301"/>
      <c r="H3301"/>
      <c r="I3301"/>
      <c r="J3301"/>
      <c r="K3301"/>
    </row>
    <row r="3302" spans="1:11">
      <c r="A3302"/>
      <c r="B3302"/>
      <c r="C3302"/>
      <c r="D3302"/>
      <c r="E3302"/>
      <c r="F3302"/>
      <c r="G3302"/>
      <c r="H3302"/>
      <c r="I3302"/>
      <c r="J3302"/>
      <c r="K3302"/>
    </row>
    <row r="3303" spans="1:11">
      <c r="A3303"/>
      <c r="B3303"/>
      <c r="C3303"/>
      <c r="D3303"/>
      <c r="E3303"/>
      <c r="F3303"/>
      <c r="G3303"/>
      <c r="H3303"/>
      <c r="I3303"/>
      <c r="J3303"/>
      <c r="K3303"/>
    </row>
    <row r="3304" spans="1:11">
      <c r="A3304"/>
      <c r="B3304"/>
      <c r="C3304"/>
      <c r="D3304"/>
      <c r="E3304"/>
      <c r="F3304"/>
      <c r="G3304"/>
      <c r="H3304"/>
      <c r="I3304"/>
      <c r="J3304"/>
      <c r="K3304"/>
    </row>
    <row r="3305" spans="1:11">
      <c r="A3305"/>
      <c r="B3305"/>
      <c r="C3305"/>
      <c r="D3305"/>
      <c r="E3305"/>
      <c r="F3305"/>
      <c r="G3305"/>
      <c r="H3305"/>
      <c r="I3305"/>
      <c r="J3305"/>
      <c r="K3305"/>
    </row>
    <row r="3306" spans="1:11">
      <c r="A3306"/>
      <c r="B3306"/>
      <c r="C3306"/>
      <c r="D3306"/>
      <c r="E3306"/>
      <c r="F3306"/>
      <c r="G3306"/>
      <c r="H3306"/>
      <c r="I3306"/>
      <c r="J3306"/>
      <c r="K3306"/>
    </row>
    <row r="3307" spans="1:11">
      <c r="A3307"/>
      <c r="B3307"/>
      <c r="C3307"/>
      <c r="D3307"/>
      <c r="E3307"/>
      <c r="F3307"/>
      <c r="G3307"/>
      <c r="H3307"/>
      <c r="I3307"/>
      <c r="J3307"/>
      <c r="K3307"/>
    </row>
    <row r="3308" spans="1:11">
      <c r="A3308"/>
      <c r="B3308"/>
      <c r="C3308"/>
      <c r="D3308"/>
      <c r="E3308"/>
      <c r="F3308"/>
      <c r="G3308"/>
      <c r="H3308"/>
      <c r="I3308"/>
      <c r="J3308"/>
      <c r="K3308"/>
    </row>
    <row r="3309" spans="1:11">
      <c r="A3309"/>
      <c r="B3309"/>
      <c r="C3309"/>
      <c r="D3309"/>
      <c r="E3309"/>
      <c r="F3309"/>
      <c r="G3309"/>
      <c r="H3309"/>
      <c r="I3309"/>
      <c r="J3309"/>
      <c r="K3309"/>
    </row>
    <row r="3310" spans="1:11">
      <c r="A3310"/>
      <c r="B3310"/>
      <c r="C3310"/>
      <c r="D3310"/>
      <c r="E3310"/>
      <c r="F3310"/>
      <c r="G3310"/>
      <c r="H3310"/>
      <c r="I3310"/>
      <c r="J3310"/>
      <c r="K3310"/>
    </row>
    <row r="3311" spans="1:11">
      <c r="A3311"/>
      <c r="B3311"/>
      <c r="C3311"/>
      <c r="D3311"/>
      <c r="E3311"/>
      <c r="F3311"/>
      <c r="G3311"/>
      <c r="H3311"/>
      <c r="I3311"/>
      <c r="J3311"/>
      <c r="K3311"/>
    </row>
    <row r="3312" spans="1:11">
      <c r="A3312"/>
      <c r="B3312"/>
      <c r="C3312"/>
      <c r="D3312"/>
      <c r="E3312"/>
      <c r="F3312"/>
      <c r="G3312"/>
      <c r="H3312"/>
      <c r="I3312"/>
      <c r="J3312"/>
      <c r="K3312"/>
    </row>
    <row r="3313" spans="1:11">
      <c r="A3313"/>
      <c r="B3313"/>
      <c r="C3313"/>
      <c r="D3313"/>
      <c r="E3313"/>
      <c r="F3313"/>
      <c r="G3313"/>
      <c r="H3313"/>
      <c r="I3313"/>
      <c r="J3313"/>
      <c r="K3313"/>
    </row>
    <row r="3314" spans="1:11">
      <c r="A3314"/>
      <c r="B3314"/>
      <c r="C3314"/>
      <c r="D3314"/>
      <c r="E3314"/>
      <c r="F3314"/>
      <c r="G3314"/>
      <c r="H3314"/>
      <c r="I3314"/>
      <c r="J3314"/>
      <c r="K3314"/>
    </row>
    <row r="3315" spans="1:11">
      <c r="A3315"/>
      <c r="B3315"/>
      <c r="C3315"/>
      <c r="D3315"/>
      <c r="E3315"/>
      <c r="F3315"/>
      <c r="G3315"/>
      <c r="H3315"/>
      <c r="I3315"/>
      <c r="J3315"/>
      <c r="K3315"/>
    </row>
    <row r="3316" spans="1:11">
      <c r="A3316"/>
      <c r="B3316"/>
      <c r="C3316"/>
      <c r="D3316"/>
      <c r="E3316"/>
      <c r="F3316"/>
      <c r="G3316"/>
      <c r="H3316"/>
      <c r="I3316"/>
      <c r="J3316"/>
      <c r="K3316"/>
    </row>
    <row r="3317" spans="1:11">
      <c r="A3317"/>
      <c r="B3317"/>
      <c r="C3317"/>
      <c r="D3317"/>
      <c r="E3317"/>
      <c r="F3317"/>
      <c r="G3317"/>
      <c r="H3317"/>
      <c r="I3317"/>
      <c r="J3317"/>
      <c r="K3317"/>
    </row>
    <row r="3318" spans="1:11">
      <c r="A3318"/>
      <c r="B3318"/>
      <c r="C3318"/>
      <c r="D3318"/>
      <c r="E3318"/>
      <c r="F3318"/>
      <c r="G3318"/>
      <c r="H3318"/>
      <c r="I3318"/>
      <c r="J3318"/>
      <c r="K3318"/>
    </row>
    <row r="3319" spans="1:11">
      <c r="A3319"/>
      <c r="B3319"/>
      <c r="C3319"/>
      <c r="D3319"/>
      <c r="E3319"/>
      <c r="F3319"/>
      <c r="G3319"/>
      <c r="H3319"/>
      <c r="I3319"/>
      <c r="J3319"/>
      <c r="K3319"/>
    </row>
    <row r="3320" spans="1:11">
      <c r="A3320"/>
      <c r="B3320"/>
      <c r="C3320"/>
      <c r="D3320"/>
      <c r="E3320"/>
      <c r="F3320"/>
      <c r="G3320"/>
      <c r="H3320"/>
      <c r="I3320"/>
      <c r="J3320"/>
      <c r="K3320"/>
    </row>
    <row r="3321" spans="1:11">
      <c r="A3321"/>
      <c r="B3321"/>
      <c r="C3321"/>
      <c r="D3321"/>
      <c r="E3321"/>
      <c r="F3321"/>
      <c r="G3321"/>
      <c r="H3321"/>
      <c r="I3321"/>
      <c r="J3321"/>
      <c r="K3321"/>
    </row>
    <row r="3322" spans="1:11">
      <c r="A3322"/>
      <c r="B3322"/>
      <c r="C3322"/>
      <c r="D3322"/>
      <c r="E3322"/>
      <c r="F3322"/>
      <c r="G3322"/>
      <c r="H3322"/>
      <c r="I3322"/>
      <c r="J3322"/>
      <c r="K3322"/>
    </row>
    <row r="3323" spans="1:11">
      <c r="A3323"/>
      <c r="B3323"/>
      <c r="C3323"/>
      <c r="D3323"/>
      <c r="E3323"/>
      <c r="F3323"/>
      <c r="G3323"/>
      <c r="H3323"/>
      <c r="I3323"/>
      <c r="J3323"/>
      <c r="K3323"/>
    </row>
    <row r="3324" spans="1:11">
      <c r="A3324"/>
      <c r="B3324"/>
      <c r="C3324"/>
      <c r="D3324"/>
      <c r="E3324"/>
      <c r="F3324"/>
      <c r="G3324"/>
      <c r="H3324"/>
      <c r="I3324"/>
      <c r="J3324"/>
      <c r="K3324"/>
    </row>
    <row r="3325" spans="1:11">
      <c r="A3325"/>
      <c r="B3325"/>
      <c r="C3325"/>
      <c r="D3325"/>
      <c r="E3325"/>
      <c r="F3325"/>
      <c r="G3325"/>
      <c r="H3325"/>
      <c r="I3325"/>
      <c r="J3325"/>
      <c r="K3325"/>
    </row>
    <row r="3326" spans="1:11">
      <c r="A3326"/>
      <c r="B3326"/>
      <c r="C3326"/>
      <c r="D3326"/>
      <c r="E3326"/>
      <c r="F3326"/>
      <c r="G3326"/>
      <c r="H3326"/>
      <c r="I3326"/>
      <c r="J3326"/>
      <c r="K3326"/>
    </row>
    <row r="3327" spans="1:11">
      <c r="A3327"/>
      <c r="B3327"/>
      <c r="C3327"/>
      <c r="D3327"/>
      <c r="E3327"/>
      <c r="F3327"/>
      <c r="G3327"/>
      <c r="H3327"/>
      <c r="I3327"/>
      <c r="J3327"/>
      <c r="K3327"/>
    </row>
    <row r="3328" spans="1:11">
      <c r="A3328"/>
      <c r="B3328"/>
      <c r="C3328"/>
      <c r="D3328"/>
      <c r="E3328"/>
      <c r="F3328"/>
      <c r="G3328"/>
      <c r="H3328"/>
      <c r="I3328"/>
      <c r="J3328"/>
      <c r="K3328"/>
    </row>
    <row r="3329" spans="1:11">
      <c r="A3329"/>
      <c r="B3329"/>
      <c r="C3329"/>
      <c r="D3329"/>
      <c r="E3329"/>
      <c r="F3329"/>
      <c r="G3329"/>
      <c r="H3329"/>
      <c r="I3329"/>
      <c r="J3329"/>
      <c r="K3329"/>
    </row>
    <row r="3330" spans="1:11">
      <c r="A3330"/>
      <c r="B3330"/>
      <c r="C3330"/>
      <c r="D3330"/>
      <c r="E3330"/>
      <c r="F3330"/>
      <c r="G3330"/>
      <c r="H3330"/>
      <c r="I3330"/>
      <c r="J3330"/>
      <c r="K3330"/>
    </row>
    <row r="3331" spans="1:11">
      <c r="A3331"/>
      <c r="B3331"/>
      <c r="C3331"/>
      <c r="D3331"/>
      <c r="E3331"/>
      <c r="F3331"/>
      <c r="G3331"/>
      <c r="H3331"/>
      <c r="I3331"/>
      <c r="J3331"/>
      <c r="K3331"/>
    </row>
    <row r="3332" spans="1:11">
      <c r="A3332"/>
      <c r="B3332"/>
      <c r="C3332"/>
      <c r="D3332"/>
      <c r="E3332"/>
      <c r="F3332"/>
      <c r="G3332"/>
      <c r="H3332"/>
      <c r="I3332"/>
      <c r="J3332"/>
      <c r="K3332"/>
    </row>
    <row r="3333" spans="1:11">
      <c r="A3333"/>
      <c r="B3333"/>
      <c r="C3333"/>
      <c r="D3333"/>
      <c r="E3333"/>
      <c r="F3333"/>
      <c r="G3333"/>
      <c r="H3333"/>
      <c r="I3333"/>
      <c r="J3333"/>
      <c r="K3333"/>
    </row>
    <row r="3334" spans="1:11">
      <c r="A3334"/>
      <c r="B3334"/>
      <c r="C3334"/>
      <c r="D3334"/>
      <c r="E3334"/>
      <c r="F3334"/>
      <c r="G3334"/>
      <c r="H3334"/>
      <c r="I3334"/>
      <c r="J3334"/>
      <c r="K3334"/>
    </row>
    <row r="3335" spans="1:11">
      <c r="A3335"/>
      <c r="B3335"/>
      <c r="C3335"/>
      <c r="D3335"/>
      <c r="E3335"/>
      <c r="F3335"/>
      <c r="G3335"/>
      <c r="H3335"/>
      <c r="I3335"/>
      <c r="J3335"/>
      <c r="K3335"/>
    </row>
    <row r="3336" spans="1:11">
      <c r="A3336"/>
      <c r="B3336"/>
      <c r="C3336"/>
      <c r="D3336"/>
      <c r="E3336"/>
      <c r="F3336"/>
      <c r="G3336"/>
      <c r="H3336"/>
      <c r="I3336"/>
      <c r="J3336"/>
      <c r="K3336"/>
    </row>
    <row r="3337" spans="1:11">
      <c r="A3337"/>
      <c r="B3337"/>
      <c r="C3337"/>
      <c r="D3337"/>
      <c r="E3337"/>
      <c r="F3337"/>
      <c r="G3337"/>
      <c r="H3337"/>
      <c r="I3337"/>
      <c r="J3337"/>
      <c r="K3337"/>
    </row>
    <row r="3338" spans="1:11">
      <c r="A3338"/>
      <c r="B3338"/>
      <c r="C3338"/>
      <c r="D3338"/>
      <c r="E3338"/>
      <c r="F3338"/>
      <c r="G3338"/>
      <c r="H3338"/>
      <c r="I3338"/>
      <c r="J3338"/>
      <c r="K3338"/>
    </row>
    <row r="3339" spans="1:11">
      <c r="A3339"/>
      <c r="B3339"/>
      <c r="C3339"/>
      <c r="D3339"/>
      <c r="E3339"/>
      <c r="F3339"/>
      <c r="G3339"/>
      <c r="H3339"/>
      <c r="I3339"/>
      <c r="J3339"/>
      <c r="K3339"/>
    </row>
    <row r="3340" spans="1:11">
      <c r="A3340"/>
      <c r="B3340"/>
      <c r="C3340"/>
      <c r="D3340"/>
      <c r="E3340"/>
      <c r="F3340"/>
      <c r="G3340"/>
      <c r="H3340"/>
      <c r="I3340"/>
      <c r="J3340"/>
      <c r="K3340"/>
    </row>
    <row r="3341" spans="1:11">
      <c r="A3341"/>
      <c r="B3341"/>
      <c r="C3341"/>
      <c r="D3341"/>
      <c r="E3341"/>
      <c r="F3341"/>
      <c r="G3341"/>
      <c r="H3341"/>
      <c r="I3341"/>
      <c r="J3341"/>
      <c r="K3341"/>
    </row>
    <row r="3342" spans="1:11">
      <c r="A3342"/>
      <c r="B3342"/>
      <c r="C3342"/>
      <c r="D3342"/>
      <c r="E3342"/>
      <c r="F3342"/>
      <c r="G3342"/>
      <c r="H3342"/>
      <c r="I3342"/>
      <c r="J3342"/>
      <c r="K3342"/>
    </row>
    <row r="3343" spans="1:11">
      <c r="A3343"/>
      <c r="B3343"/>
      <c r="C3343"/>
      <c r="D3343"/>
      <c r="E3343"/>
      <c r="F3343"/>
      <c r="G3343"/>
      <c r="H3343"/>
      <c r="I3343"/>
      <c r="J3343"/>
      <c r="K3343"/>
    </row>
    <row r="3344" spans="1:11">
      <c r="A3344"/>
      <c r="B3344"/>
      <c r="C3344"/>
      <c r="D3344"/>
      <c r="E3344"/>
      <c r="F3344"/>
      <c r="G3344"/>
      <c r="H3344"/>
      <c r="I3344"/>
      <c r="J3344"/>
      <c r="K3344"/>
    </row>
    <row r="3345" spans="1:11">
      <c r="A3345"/>
      <c r="B3345"/>
      <c r="C3345"/>
      <c r="D3345"/>
      <c r="E3345"/>
      <c r="F3345"/>
      <c r="G3345"/>
      <c r="H3345"/>
      <c r="I3345"/>
      <c r="J3345"/>
      <c r="K3345"/>
    </row>
    <row r="3346" spans="1:11">
      <c r="A3346"/>
      <c r="B3346"/>
      <c r="C3346"/>
      <c r="D3346"/>
      <c r="E3346"/>
      <c r="F3346"/>
      <c r="G3346"/>
      <c r="H3346"/>
      <c r="I3346"/>
      <c r="J3346"/>
      <c r="K3346"/>
    </row>
    <row r="3347" spans="1:11">
      <c r="A3347"/>
      <c r="B3347"/>
      <c r="C3347"/>
      <c r="D3347"/>
      <c r="E3347"/>
      <c r="F3347"/>
      <c r="G3347"/>
      <c r="H3347"/>
      <c r="I3347"/>
      <c r="J3347"/>
      <c r="K3347"/>
    </row>
    <row r="3348" spans="1:11">
      <c r="A3348"/>
      <c r="B3348"/>
      <c r="C3348"/>
      <c r="D3348"/>
      <c r="E3348"/>
      <c r="F3348"/>
      <c r="G3348"/>
      <c r="H3348"/>
      <c r="I3348"/>
      <c r="J3348"/>
      <c r="K3348"/>
    </row>
    <row r="3349" spans="1:11">
      <c r="A3349"/>
      <c r="B3349"/>
      <c r="C3349"/>
      <c r="D3349"/>
      <c r="E3349"/>
      <c r="F3349"/>
      <c r="G3349"/>
      <c r="H3349"/>
      <c r="I3349"/>
      <c r="J3349"/>
      <c r="K3349"/>
    </row>
    <row r="3350" spans="1:11">
      <c r="A3350"/>
      <c r="B3350"/>
      <c r="C3350"/>
      <c r="D3350"/>
      <c r="E3350"/>
      <c r="F3350"/>
      <c r="G3350"/>
      <c r="H3350"/>
      <c r="I3350"/>
      <c r="J3350"/>
      <c r="K3350"/>
    </row>
    <row r="3351" spans="1:11">
      <c r="A3351"/>
      <c r="B3351"/>
      <c r="C3351"/>
      <c r="D3351"/>
      <c r="E3351"/>
      <c r="F3351"/>
      <c r="G3351"/>
      <c r="H3351"/>
      <c r="I3351"/>
      <c r="J3351"/>
      <c r="K3351"/>
    </row>
    <row r="3352" spans="1:11">
      <c r="A3352"/>
      <c r="B3352"/>
      <c r="C3352"/>
      <c r="D3352"/>
      <c r="E3352"/>
      <c r="F3352"/>
      <c r="G3352"/>
      <c r="H3352"/>
      <c r="I3352"/>
      <c r="J3352"/>
      <c r="K3352"/>
    </row>
    <row r="3353" spans="1:11">
      <c r="A3353"/>
      <c r="B3353"/>
      <c r="C3353"/>
      <c r="D3353"/>
      <c r="E3353"/>
      <c r="F3353"/>
      <c r="G3353"/>
      <c r="H3353"/>
      <c r="I3353"/>
      <c r="J3353"/>
      <c r="K3353"/>
    </row>
    <row r="3354" spans="1:11">
      <c r="A3354"/>
      <c r="B3354"/>
      <c r="C3354"/>
      <c r="D3354"/>
      <c r="E3354"/>
      <c r="F3354"/>
      <c r="G3354"/>
      <c r="H3354"/>
      <c r="I3354"/>
      <c r="J3354"/>
      <c r="K3354"/>
    </row>
    <row r="3355" spans="1:11">
      <c r="A3355"/>
      <c r="B3355"/>
      <c r="C3355"/>
      <c r="D3355"/>
      <c r="E3355"/>
      <c r="F3355"/>
      <c r="G3355"/>
      <c r="H3355"/>
      <c r="I3355"/>
      <c r="J3355"/>
      <c r="K3355"/>
    </row>
    <row r="3356" spans="1:11">
      <c r="A3356"/>
      <c r="B3356"/>
      <c r="C3356"/>
      <c r="D3356"/>
      <c r="E3356"/>
      <c r="F3356"/>
      <c r="G3356"/>
      <c r="H3356"/>
      <c r="I3356"/>
      <c r="J3356"/>
      <c r="K3356"/>
    </row>
    <row r="3357" spans="1:11">
      <c r="A3357"/>
      <c r="B3357"/>
      <c r="C3357"/>
      <c r="D3357"/>
      <c r="E3357"/>
      <c r="F3357"/>
      <c r="G3357"/>
      <c r="H3357"/>
      <c r="I3357"/>
      <c r="J3357"/>
      <c r="K3357"/>
    </row>
    <row r="3358" spans="1:11">
      <c r="A3358"/>
      <c r="B3358"/>
      <c r="C3358"/>
      <c r="D3358"/>
      <c r="E3358"/>
      <c r="F3358"/>
      <c r="G3358"/>
      <c r="H3358"/>
      <c r="I3358"/>
      <c r="J3358"/>
      <c r="K3358"/>
    </row>
    <row r="3359" spans="1:11">
      <c r="A3359"/>
      <c r="B3359"/>
      <c r="C3359"/>
      <c r="D3359"/>
      <c r="E3359"/>
      <c r="F3359"/>
      <c r="G3359"/>
      <c r="H3359"/>
      <c r="I3359"/>
      <c r="J3359"/>
      <c r="K3359"/>
    </row>
    <row r="3360" spans="1:11">
      <c r="A3360"/>
      <c r="B3360"/>
      <c r="C3360"/>
      <c r="D3360"/>
      <c r="E3360"/>
      <c r="F3360"/>
      <c r="G3360"/>
      <c r="H3360"/>
      <c r="I3360"/>
      <c r="J3360"/>
      <c r="K3360"/>
    </row>
    <row r="3361" spans="1:11">
      <c r="A3361"/>
      <c r="B3361"/>
      <c r="C3361"/>
      <c r="D3361"/>
      <c r="E3361"/>
      <c r="F3361"/>
      <c r="G3361"/>
      <c r="H3361"/>
      <c r="I3361"/>
      <c r="J3361"/>
      <c r="K3361"/>
    </row>
    <row r="3362" spans="1:11">
      <c r="A3362"/>
      <c r="B3362"/>
      <c r="C3362"/>
      <c r="D3362"/>
      <c r="E3362"/>
      <c r="F3362"/>
      <c r="G3362"/>
      <c r="H3362"/>
      <c r="I3362"/>
      <c r="J3362"/>
      <c r="K3362"/>
    </row>
    <row r="3363" spans="1:11">
      <c r="A3363"/>
      <c r="B3363"/>
      <c r="C3363"/>
      <c r="D3363"/>
      <c r="E3363"/>
      <c r="F3363"/>
      <c r="G3363"/>
      <c r="H3363"/>
      <c r="I3363"/>
      <c r="J3363"/>
      <c r="K3363"/>
    </row>
    <row r="3364" spans="1:11">
      <c r="A3364"/>
      <c r="B3364"/>
      <c r="C3364"/>
      <c r="D3364"/>
      <c r="E3364"/>
      <c r="F3364"/>
      <c r="G3364"/>
      <c r="H3364"/>
      <c r="I3364"/>
      <c r="J3364"/>
      <c r="K3364"/>
    </row>
    <row r="3365" spans="1:11">
      <c r="A3365"/>
      <c r="B3365"/>
      <c r="C3365"/>
      <c r="D3365"/>
      <c r="E3365"/>
      <c r="F3365"/>
      <c r="G3365"/>
      <c r="H3365"/>
      <c r="I3365"/>
      <c r="J3365"/>
      <c r="K3365"/>
    </row>
    <row r="3366" spans="1:11">
      <c r="A3366"/>
      <c r="B3366"/>
      <c r="C3366"/>
      <c r="D3366"/>
      <c r="E3366"/>
      <c r="F3366"/>
      <c r="G3366"/>
      <c r="H3366"/>
      <c r="I3366"/>
      <c r="J3366"/>
      <c r="K3366"/>
    </row>
    <row r="3367" spans="1:11">
      <c r="A3367"/>
      <c r="B3367"/>
      <c r="C3367"/>
      <c r="D3367"/>
      <c r="E3367"/>
      <c r="F3367"/>
      <c r="G3367"/>
      <c r="H3367"/>
      <c r="I3367"/>
      <c r="J3367"/>
      <c r="K3367"/>
    </row>
    <row r="3368" spans="1:11">
      <c r="A3368"/>
      <c r="B3368"/>
      <c r="C3368"/>
      <c r="D3368"/>
      <c r="E3368"/>
      <c r="F3368"/>
      <c r="G3368"/>
      <c r="H3368"/>
      <c r="I3368"/>
      <c r="J3368"/>
      <c r="K3368"/>
    </row>
    <row r="3369" spans="1:11">
      <c r="A3369"/>
      <c r="B3369"/>
      <c r="C3369"/>
      <c r="D3369"/>
      <c r="E3369"/>
      <c r="F3369"/>
      <c r="G3369"/>
      <c r="H3369"/>
      <c r="I3369"/>
      <c r="J3369"/>
      <c r="K3369"/>
    </row>
    <row r="3370" spans="1:11">
      <c r="A3370"/>
      <c r="B3370"/>
      <c r="C3370"/>
      <c r="D3370"/>
      <c r="E3370"/>
      <c r="F3370"/>
      <c r="G3370"/>
      <c r="H3370"/>
      <c r="I3370"/>
      <c r="J3370"/>
      <c r="K3370"/>
    </row>
    <row r="3371" spans="1:11">
      <c r="A3371"/>
      <c r="B3371"/>
      <c r="C3371"/>
      <c r="D3371"/>
      <c r="E3371"/>
      <c r="F3371"/>
      <c r="G3371"/>
      <c r="H3371"/>
      <c r="I3371"/>
      <c r="J3371"/>
      <c r="K3371"/>
    </row>
    <row r="3372" spans="1:11">
      <c r="A3372"/>
      <c r="B3372"/>
      <c r="C3372"/>
      <c r="D3372"/>
      <c r="E3372"/>
      <c r="F3372"/>
      <c r="G3372"/>
      <c r="H3372"/>
      <c r="I3372"/>
      <c r="J3372"/>
      <c r="K3372"/>
    </row>
    <row r="3373" spans="1:11">
      <c r="A3373"/>
      <c r="B3373"/>
      <c r="C3373"/>
      <c r="D3373"/>
      <c r="E3373"/>
      <c r="F3373"/>
      <c r="G3373"/>
      <c r="H3373"/>
      <c r="I3373"/>
      <c r="J3373"/>
      <c r="K3373"/>
    </row>
    <row r="3374" spans="1:11">
      <c r="A3374"/>
      <c r="B3374"/>
      <c r="C3374"/>
      <c r="D3374"/>
      <c r="E3374"/>
      <c r="F3374"/>
      <c r="G3374"/>
      <c r="H3374"/>
      <c r="I3374"/>
      <c r="J3374"/>
      <c r="K3374"/>
    </row>
    <row r="3375" spans="1:11">
      <c r="A3375"/>
      <c r="B3375"/>
      <c r="C3375"/>
      <c r="D3375"/>
      <c r="E3375"/>
      <c r="F3375"/>
      <c r="G3375"/>
      <c r="H3375"/>
      <c r="I3375"/>
      <c r="J3375"/>
      <c r="K3375"/>
    </row>
    <row r="3376" spans="1:11">
      <c r="A3376"/>
      <c r="B3376"/>
      <c r="C3376"/>
      <c r="D3376"/>
      <c r="E3376"/>
      <c r="F3376"/>
      <c r="G3376"/>
      <c r="H3376"/>
      <c r="I3376"/>
      <c r="J3376"/>
      <c r="K3376"/>
    </row>
    <row r="3377" spans="1:11">
      <c r="A3377"/>
      <c r="B3377"/>
      <c r="C3377"/>
      <c r="D3377"/>
      <c r="E3377"/>
      <c r="F3377"/>
      <c r="G3377"/>
      <c r="H3377"/>
      <c r="I3377"/>
      <c r="J3377"/>
      <c r="K3377"/>
    </row>
    <row r="3378" spans="1:11">
      <c r="A3378"/>
      <c r="B3378"/>
      <c r="C3378"/>
      <c r="D3378"/>
      <c r="E3378"/>
      <c r="F3378"/>
      <c r="G3378"/>
      <c r="H3378"/>
      <c r="I3378"/>
      <c r="J3378"/>
      <c r="K3378"/>
    </row>
    <row r="3379" spans="1:11">
      <c r="A3379"/>
      <c r="B3379"/>
      <c r="C3379"/>
      <c r="D3379"/>
      <c r="E3379"/>
      <c r="F3379"/>
      <c r="G3379"/>
      <c r="H3379"/>
      <c r="I3379"/>
      <c r="J3379"/>
      <c r="K3379"/>
    </row>
    <row r="3380" spans="1:11">
      <c r="A3380"/>
      <c r="B3380"/>
      <c r="C3380"/>
      <c r="D3380"/>
      <c r="E3380"/>
      <c r="F3380"/>
      <c r="G3380"/>
      <c r="H3380"/>
      <c r="I3380"/>
      <c r="J3380"/>
      <c r="K3380"/>
    </row>
    <row r="3381" spans="1:11">
      <c r="A3381"/>
      <c r="B3381"/>
      <c r="C3381"/>
      <c r="D3381"/>
      <c r="E3381"/>
      <c r="F3381"/>
      <c r="G3381"/>
      <c r="H3381"/>
      <c r="I3381"/>
      <c r="J3381"/>
      <c r="K3381"/>
    </row>
    <row r="3382" spans="1:11">
      <c r="A3382"/>
      <c r="B3382"/>
      <c r="C3382"/>
      <c r="D3382"/>
      <c r="E3382"/>
      <c r="F3382"/>
      <c r="G3382"/>
      <c r="H3382"/>
      <c r="I3382"/>
      <c r="J3382"/>
      <c r="K3382"/>
    </row>
    <row r="3383" spans="1:11">
      <c r="A3383"/>
      <c r="B3383"/>
      <c r="C3383"/>
      <c r="D3383"/>
      <c r="E3383"/>
      <c r="F3383"/>
      <c r="G3383"/>
      <c r="H3383"/>
      <c r="I3383"/>
      <c r="J3383"/>
      <c r="K3383"/>
    </row>
    <row r="3384" spans="1:11">
      <c r="A3384"/>
      <c r="B3384"/>
      <c r="C3384"/>
      <c r="D3384"/>
      <c r="E3384"/>
      <c r="F3384"/>
      <c r="G3384"/>
      <c r="H3384"/>
      <c r="I3384"/>
      <c r="J3384"/>
      <c r="K3384"/>
    </row>
    <row r="3385" spans="1:11">
      <c r="A3385"/>
      <c r="B3385"/>
      <c r="C3385"/>
      <c r="D3385"/>
      <c r="E3385"/>
      <c r="F3385"/>
      <c r="G3385"/>
      <c r="H3385"/>
      <c r="I3385"/>
      <c r="J3385"/>
      <c r="K3385"/>
    </row>
    <row r="3386" spans="1:11">
      <c r="A3386"/>
      <c r="B3386"/>
      <c r="C3386"/>
      <c r="D3386"/>
      <c r="E3386"/>
      <c r="F3386"/>
      <c r="G3386"/>
      <c r="H3386"/>
      <c r="I3386"/>
      <c r="J3386"/>
      <c r="K3386"/>
    </row>
    <row r="3387" spans="1:11">
      <c r="A3387"/>
      <c r="B3387"/>
      <c r="C3387"/>
      <c r="D3387"/>
      <c r="E3387"/>
      <c r="F3387"/>
      <c r="G3387"/>
      <c r="H3387"/>
      <c r="I3387"/>
      <c r="J3387"/>
      <c r="K3387"/>
    </row>
    <row r="3388" spans="1:11">
      <c r="A3388"/>
      <c r="B3388"/>
      <c r="C3388"/>
      <c r="D3388"/>
      <c r="E3388"/>
      <c r="F3388"/>
      <c r="G3388"/>
      <c r="H3388"/>
      <c r="I3388"/>
      <c r="J3388"/>
      <c r="K3388"/>
    </row>
    <row r="3389" spans="1:11">
      <c r="A3389"/>
      <c r="B3389"/>
      <c r="C3389"/>
      <c r="D3389"/>
      <c r="E3389"/>
      <c r="F3389"/>
      <c r="G3389"/>
      <c r="H3389"/>
      <c r="I3389"/>
      <c r="J3389"/>
      <c r="K3389"/>
    </row>
    <row r="3390" spans="1:11">
      <c r="A3390"/>
      <c r="B3390"/>
      <c r="C3390"/>
      <c r="D3390"/>
      <c r="E3390"/>
      <c r="F3390"/>
      <c r="G3390"/>
      <c r="H3390"/>
      <c r="I3390"/>
      <c r="J3390"/>
      <c r="K3390"/>
    </row>
    <row r="3391" spans="1:11">
      <c r="A3391"/>
      <c r="B3391"/>
      <c r="C3391"/>
      <c r="D3391"/>
      <c r="E3391"/>
      <c r="F3391"/>
      <c r="G3391"/>
      <c r="H3391"/>
      <c r="I3391"/>
      <c r="J3391"/>
      <c r="K3391"/>
    </row>
    <row r="3392" spans="1:11">
      <c r="A3392"/>
      <c r="B3392"/>
      <c r="C3392"/>
      <c r="D3392"/>
      <c r="E3392"/>
      <c r="F3392"/>
      <c r="G3392"/>
      <c r="H3392"/>
      <c r="I3392"/>
      <c r="J3392"/>
      <c r="K3392"/>
    </row>
    <row r="3393" spans="1:11">
      <c r="A3393"/>
      <c r="B3393"/>
      <c r="C3393"/>
      <c r="D3393"/>
      <c r="E3393"/>
      <c r="F3393"/>
      <c r="G3393"/>
      <c r="H3393"/>
      <c r="I3393"/>
      <c r="J3393"/>
      <c r="K3393"/>
    </row>
    <row r="3394" spans="1:11">
      <c r="A3394"/>
      <c r="B3394"/>
      <c r="C3394"/>
      <c r="D3394"/>
      <c r="E3394"/>
      <c r="F3394"/>
      <c r="G3394"/>
      <c r="H3394"/>
      <c r="I3394"/>
      <c r="J3394"/>
      <c r="K3394"/>
    </row>
    <row r="3395" spans="1:11">
      <c r="A3395"/>
      <c r="B3395"/>
      <c r="C3395"/>
      <c r="D3395"/>
      <c r="E3395"/>
      <c r="F3395"/>
      <c r="G3395"/>
      <c r="H3395"/>
      <c r="I3395"/>
      <c r="J3395"/>
      <c r="K3395"/>
    </row>
    <row r="3396" spans="1:11">
      <c r="A3396"/>
      <c r="B3396"/>
      <c r="C3396"/>
      <c r="D3396"/>
      <c r="E3396"/>
      <c r="F3396"/>
      <c r="G3396"/>
      <c r="H3396"/>
      <c r="I3396"/>
      <c r="J3396"/>
      <c r="K3396"/>
    </row>
    <row r="3397" spans="1:11">
      <c r="A3397"/>
      <c r="B3397"/>
      <c r="C3397"/>
      <c r="D3397"/>
      <c r="E3397"/>
      <c r="F3397"/>
      <c r="G3397"/>
      <c r="H3397"/>
      <c r="I3397"/>
      <c r="J3397"/>
      <c r="K3397"/>
    </row>
    <row r="3398" spans="1:11">
      <c r="A3398"/>
      <c r="B3398"/>
      <c r="C3398"/>
      <c r="D3398"/>
      <c r="E3398"/>
      <c r="F3398"/>
      <c r="G3398"/>
      <c r="H3398"/>
      <c r="I3398"/>
      <c r="J3398"/>
      <c r="K3398"/>
    </row>
    <row r="3399" spans="1:11">
      <c r="A3399"/>
      <c r="B3399"/>
      <c r="C3399"/>
      <c r="D3399"/>
      <c r="E3399"/>
      <c r="F3399"/>
      <c r="G3399"/>
      <c r="H3399"/>
      <c r="I3399"/>
      <c r="J3399"/>
      <c r="K3399"/>
    </row>
    <row r="3400" spans="1:11">
      <c r="A3400"/>
      <c r="B3400"/>
      <c r="C3400"/>
      <c r="D3400"/>
      <c r="E3400"/>
      <c r="F3400"/>
      <c r="G3400"/>
      <c r="H3400"/>
      <c r="I3400"/>
      <c r="J3400"/>
      <c r="K3400"/>
    </row>
    <row r="3401" spans="1:11">
      <c r="A3401"/>
      <c r="B3401"/>
      <c r="C3401"/>
      <c r="D3401"/>
      <c r="E3401"/>
      <c r="F3401"/>
      <c r="G3401"/>
      <c r="H3401"/>
      <c r="I3401"/>
      <c r="J3401"/>
      <c r="K3401"/>
    </row>
    <row r="3402" spans="1:11">
      <c r="A3402"/>
      <c r="B3402"/>
      <c r="C3402"/>
      <c r="D3402"/>
      <c r="E3402"/>
      <c r="F3402"/>
      <c r="G3402"/>
      <c r="H3402"/>
      <c r="I3402"/>
      <c r="J3402"/>
      <c r="K3402"/>
    </row>
    <row r="3403" spans="1:11">
      <c r="A3403"/>
      <c r="B3403"/>
      <c r="C3403"/>
      <c r="D3403"/>
      <c r="E3403"/>
      <c r="F3403"/>
      <c r="G3403"/>
      <c r="H3403"/>
      <c r="I3403"/>
      <c r="J3403"/>
      <c r="K3403"/>
    </row>
    <row r="3404" spans="1:11">
      <c r="A3404"/>
      <c r="B3404"/>
      <c r="C3404"/>
      <c r="D3404"/>
      <c r="E3404"/>
      <c r="F3404"/>
      <c r="G3404"/>
      <c r="H3404"/>
      <c r="I3404"/>
      <c r="J3404"/>
      <c r="K3404"/>
    </row>
    <row r="3405" spans="1:11">
      <c r="A3405"/>
      <c r="B3405"/>
      <c r="C3405"/>
      <c r="D3405"/>
      <c r="E3405"/>
      <c r="F3405"/>
      <c r="G3405"/>
      <c r="H3405"/>
      <c r="I3405"/>
      <c r="J3405"/>
      <c r="K3405"/>
    </row>
    <row r="3406" spans="1:11">
      <c r="A3406"/>
      <c r="B3406"/>
      <c r="C3406"/>
      <c r="D3406"/>
      <c r="E3406"/>
      <c r="F3406"/>
      <c r="G3406"/>
      <c r="H3406"/>
      <c r="I3406"/>
      <c r="J3406"/>
      <c r="K3406"/>
    </row>
    <row r="3407" spans="1:11">
      <c r="A3407"/>
      <c r="B3407"/>
      <c r="C3407"/>
      <c r="D3407"/>
      <c r="E3407"/>
      <c r="F3407"/>
      <c r="G3407"/>
      <c r="H3407"/>
      <c r="I3407"/>
      <c r="J3407"/>
      <c r="K3407"/>
    </row>
    <row r="3408" spans="1:11">
      <c r="A3408"/>
      <c r="B3408"/>
      <c r="C3408"/>
      <c r="D3408"/>
      <c r="E3408"/>
      <c r="F3408"/>
      <c r="G3408"/>
      <c r="H3408"/>
      <c r="I3408"/>
      <c r="J3408"/>
      <c r="K3408"/>
    </row>
    <row r="3409" spans="1:11">
      <c r="A3409"/>
      <c r="B3409"/>
      <c r="C3409"/>
      <c r="D3409"/>
      <c r="E3409"/>
      <c r="F3409"/>
      <c r="G3409"/>
      <c r="H3409"/>
      <c r="I3409"/>
      <c r="J3409"/>
      <c r="K3409"/>
    </row>
    <row r="3410" spans="1:11">
      <c r="A3410"/>
      <c r="B3410"/>
      <c r="C3410"/>
      <c r="D3410"/>
      <c r="E3410"/>
      <c r="F3410"/>
      <c r="G3410"/>
      <c r="H3410"/>
      <c r="I3410"/>
      <c r="J3410"/>
      <c r="K3410"/>
    </row>
    <row r="3411" spans="1:11">
      <c r="A3411"/>
      <c r="B3411"/>
      <c r="C3411"/>
      <c r="D3411"/>
      <c r="E3411"/>
      <c r="F3411"/>
      <c r="G3411"/>
      <c r="H3411"/>
      <c r="I3411"/>
      <c r="J3411"/>
      <c r="K3411"/>
    </row>
    <row r="3412" spans="1:11">
      <c r="A3412"/>
      <c r="B3412"/>
      <c r="C3412"/>
      <c r="D3412"/>
      <c r="E3412"/>
      <c r="F3412"/>
      <c r="G3412"/>
      <c r="H3412"/>
      <c r="I3412"/>
      <c r="J3412"/>
      <c r="K3412"/>
    </row>
    <row r="3413" spans="1:11">
      <c r="A3413"/>
      <c r="B3413"/>
      <c r="C3413"/>
      <c r="D3413"/>
      <c r="E3413"/>
      <c r="F3413"/>
      <c r="G3413"/>
      <c r="H3413"/>
      <c r="I3413"/>
      <c r="J3413"/>
      <c r="K3413"/>
    </row>
    <row r="3414" spans="1:11">
      <c r="A3414"/>
      <c r="B3414"/>
      <c r="C3414"/>
      <c r="D3414"/>
      <c r="E3414"/>
      <c r="F3414"/>
      <c r="G3414"/>
      <c r="H3414"/>
      <c r="I3414"/>
      <c r="J3414"/>
      <c r="K3414"/>
    </row>
    <row r="3415" spans="1:11">
      <c r="A3415"/>
      <c r="B3415"/>
      <c r="C3415"/>
      <c r="D3415"/>
      <c r="E3415"/>
      <c r="F3415"/>
      <c r="G3415"/>
      <c r="H3415"/>
      <c r="I3415"/>
      <c r="J3415"/>
      <c r="K3415"/>
    </row>
    <row r="3416" spans="1:11">
      <c r="A3416"/>
      <c r="B3416"/>
      <c r="C3416"/>
      <c r="D3416"/>
      <c r="E3416"/>
      <c r="F3416"/>
      <c r="G3416"/>
      <c r="H3416"/>
      <c r="I3416"/>
      <c r="J3416"/>
      <c r="K3416"/>
    </row>
    <row r="3417" spans="1:11">
      <c r="A3417"/>
      <c r="B3417"/>
      <c r="C3417"/>
      <c r="D3417"/>
      <c r="E3417"/>
      <c r="F3417"/>
      <c r="G3417"/>
      <c r="H3417"/>
      <c r="I3417"/>
      <c r="J3417"/>
      <c r="K3417"/>
    </row>
    <row r="3418" spans="1:11">
      <c r="A3418"/>
      <c r="B3418"/>
      <c r="C3418"/>
      <c r="D3418"/>
      <c r="E3418"/>
      <c r="F3418"/>
      <c r="G3418"/>
      <c r="H3418"/>
      <c r="I3418"/>
      <c r="J3418"/>
      <c r="K3418"/>
    </row>
    <row r="3419" spans="1:11">
      <c r="A3419"/>
      <c r="B3419"/>
      <c r="C3419"/>
      <c r="D3419"/>
      <c r="E3419"/>
      <c r="F3419"/>
      <c r="G3419"/>
      <c r="H3419"/>
      <c r="I3419"/>
      <c r="J3419"/>
      <c r="K3419"/>
    </row>
    <row r="3420" spans="1:11">
      <c r="A3420"/>
      <c r="B3420"/>
      <c r="C3420"/>
      <c r="D3420"/>
      <c r="E3420"/>
      <c r="F3420"/>
      <c r="G3420"/>
      <c r="H3420"/>
      <c r="I3420"/>
      <c r="J3420"/>
      <c r="K3420"/>
    </row>
    <row r="3421" spans="1:11">
      <c r="A3421"/>
      <c r="B3421"/>
      <c r="C3421"/>
      <c r="D3421"/>
      <c r="E3421"/>
      <c r="F3421"/>
      <c r="G3421"/>
      <c r="H3421"/>
      <c r="I3421"/>
      <c r="J3421"/>
      <c r="K3421"/>
    </row>
    <row r="3422" spans="1:11">
      <c r="A3422"/>
      <c r="B3422"/>
      <c r="C3422"/>
      <c r="D3422"/>
      <c r="E3422"/>
      <c r="F3422"/>
      <c r="G3422"/>
      <c r="H3422"/>
      <c r="I3422"/>
      <c r="J3422"/>
      <c r="K3422"/>
    </row>
    <row r="3423" spans="1:11">
      <c r="A3423"/>
      <c r="B3423"/>
      <c r="C3423"/>
      <c r="D3423"/>
      <c r="E3423"/>
      <c r="F3423"/>
      <c r="G3423"/>
      <c r="H3423"/>
      <c r="I3423"/>
      <c r="J3423"/>
      <c r="K3423"/>
    </row>
    <row r="3424" spans="1:11">
      <c r="A3424"/>
      <c r="B3424"/>
      <c r="C3424"/>
      <c r="D3424"/>
      <c r="E3424"/>
      <c r="F3424"/>
      <c r="G3424"/>
      <c r="H3424"/>
      <c r="I3424"/>
      <c r="J3424"/>
      <c r="K3424"/>
    </row>
    <row r="3425" spans="1:11">
      <c r="A3425"/>
      <c r="B3425"/>
      <c r="C3425"/>
      <c r="D3425"/>
      <c r="E3425"/>
      <c r="F3425"/>
      <c r="G3425"/>
      <c r="H3425"/>
      <c r="I3425"/>
      <c r="J3425"/>
      <c r="K3425"/>
    </row>
    <row r="3426" spans="1:11">
      <c r="A3426"/>
      <c r="B3426"/>
      <c r="C3426"/>
      <c r="D3426"/>
      <c r="E3426"/>
      <c r="F3426"/>
      <c r="G3426"/>
      <c r="H3426"/>
      <c r="I3426"/>
      <c r="J3426"/>
      <c r="K3426"/>
    </row>
    <row r="3427" spans="1:11">
      <c r="A3427"/>
      <c r="B3427"/>
      <c r="C3427"/>
      <c r="D3427"/>
      <c r="E3427"/>
      <c r="F3427"/>
      <c r="G3427"/>
      <c r="H3427"/>
      <c r="I3427"/>
      <c r="J3427"/>
      <c r="K3427"/>
    </row>
    <row r="3428" spans="1:11">
      <c r="A3428"/>
      <c r="B3428"/>
      <c r="C3428"/>
      <c r="D3428"/>
      <c r="E3428"/>
      <c r="F3428"/>
      <c r="G3428"/>
      <c r="H3428"/>
      <c r="I3428"/>
      <c r="J3428"/>
      <c r="K3428"/>
    </row>
    <row r="3429" spans="1:11">
      <c r="A3429"/>
      <c r="B3429"/>
      <c r="C3429"/>
      <c r="D3429"/>
      <c r="E3429"/>
      <c r="F3429"/>
      <c r="G3429"/>
      <c r="H3429"/>
      <c r="I3429"/>
      <c r="J3429"/>
      <c r="K3429"/>
    </row>
    <row r="3430" spans="1:11">
      <c r="A3430"/>
      <c r="B3430"/>
      <c r="C3430"/>
      <c r="D3430"/>
      <c r="E3430"/>
      <c r="F3430"/>
      <c r="G3430"/>
      <c r="H3430"/>
      <c r="I3430"/>
      <c r="J3430"/>
      <c r="K3430"/>
    </row>
    <row r="3431" spans="1:11">
      <c r="A3431"/>
      <c r="B3431"/>
      <c r="C3431"/>
      <c r="D3431"/>
      <c r="E3431"/>
      <c r="F3431"/>
      <c r="G3431"/>
      <c r="H3431"/>
      <c r="I3431"/>
      <c r="J3431"/>
      <c r="K3431"/>
    </row>
    <row r="3432" spans="1:11">
      <c r="A3432"/>
      <c r="B3432"/>
      <c r="C3432"/>
      <c r="D3432"/>
      <c r="E3432"/>
      <c r="F3432"/>
      <c r="G3432"/>
      <c r="H3432"/>
      <c r="I3432"/>
      <c r="J3432"/>
      <c r="K3432"/>
    </row>
    <row r="3433" spans="1:11">
      <c r="A3433"/>
      <c r="B3433"/>
      <c r="C3433"/>
      <c r="D3433"/>
      <c r="E3433"/>
      <c r="F3433"/>
      <c r="G3433"/>
      <c r="H3433"/>
      <c r="I3433"/>
      <c r="J3433"/>
      <c r="K3433"/>
    </row>
    <row r="3434" spans="1:11">
      <c r="A3434"/>
      <c r="B3434"/>
      <c r="C3434"/>
      <c r="D3434"/>
      <c r="E3434"/>
      <c r="F3434"/>
      <c r="G3434"/>
      <c r="H3434"/>
      <c r="I3434"/>
      <c r="J3434"/>
      <c r="K3434"/>
    </row>
    <row r="3435" spans="1:11">
      <c r="A3435"/>
      <c r="B3435"/>
      <c r="C3435"/>
      <c r="D3435"/>
      <c r="E3435"/>
      <c r="F3435"/>
      <c r="G3435"/>
      <c r="H3435"/>
      <c r="I3435"/>
      <c r="J3435"/>
      <c r="K3435"/>
    </row>
    <row r="3436" spans="1:11">
      <c r="A3436"/>
      <c r="B3436"/>
      <c r="C3436"/>
      <c r="D3436"/>
      <c r="E3436"/>
      <c r="F3436"/>
      <c r="G3436"/>
      <c r="H3436"/>
      <c r="I3436"/>
      <c r="J3436"/>
      <c r="K3436"/>
    </row>
    <row r="3437" spans="1:11">
      <c r="A3437"/>
      <c r="B3437"/>
      <c r="C3437"/>
      <c r="D3437"/>
      <c r="E3437"/>
      <c r="F3437"/>
      <c r="G3437"/>
      <c r="H3437"/>
      <c r="I3437"/>
      <c r="J3437"/>
      <c r="K3437"/>
    </row>
    <row r="3438" spans="1:11">
      <c r="A3438"/>
      <c r="B3438"/>
      <c r="C3438"/>
      <c r="D3438"/>
      <c r="E3438"/>
      <c r="F3438"/>
      <c r="G3438"/>
      <c r="H3438"/>
      <c r="I3438"/>
      <c r="J3438"/>
      <c r="K3438"/>
    </row>
    <row r="3439" spans="1:11">
      <c r="A3439"/>
      <c r="B3439"/>
      <c r="C3439"/>
      <c r="D3439"/>
      <c r="E3439"/>
      <c r="F3439"/>
      <c r="G3439"/>
      <c r="H3439"/>
      <c r="I3439"/>
      <c r="J3439"/>
      <c r="K3439"/>
    </row>
    <row r="3440" spans="1:11">
      <c r="A3440"/>
      <c r="B3440"/>
      <c r="C3440"/>
      <c r="D3440"/>
      <c r="E3440"/>
      <c r="F3440"/>
      <c r="G3440"/>
      <c r="H3440"/>
      <c r="I3440"/>
      <c r="J3440"/>
      <c r="K3440"/>
    </row>
    <row r="3441" spans="1:11">
      <c r="A3441"/>
      <c r="B3441"/>
      <c r="C3441"/>
      <c r="D3441"/>
      <c r="E3441"/>
      <c r="F3441"/>
      <c r="G3441"/>
      <c r="H3441"/>
      <c r="I3441"/>
      <c r="J3441"/>
      <c r="K3441"/>
    </row>
    <row r="3442" spans="1:11">
      <c r="A3442"/>
      <c r="B3442"/>
      <c r="C3442"/>
      <c r="D3442"/>
      <c r="E3442"/>
      <c r="F3442"/>
      <c r="G3442"/>
      <c r="H3442"/>
      <c r="I3442"/>
      <c r="J3442"/>
      <c r="K3442"/>
    </row>
    <row r="3443" spans="1:11">
      <c r="A3443"/>
      <c r="B3443"/>
      <c r="C3443"/>
      <c r="D3443"/>
      <c r="E3443"/>
      <c r="F3443"/>
      <c r="G3443"/>
      <c r="H3443"/>
      <c r="I3443"/>
      <c r="J3443"/>
      <c r="K3443"/>
    </row>
    <row r="3444" spans="1:11">
      <c r="A3444"/>
      <c r="B3444"/>
      <c r="C3444"/>
      <c r="D3444"/>
      <c r="E3444"/>
      <c r="F3444"/>
      <c r="G3444"/>
      <c r="H3444"/>
      <c r="I3444"/>
      <c r="J3444"/>
      <c r="K3444"/>
    </row>
    <row r="3445" spans="1:11">
      <c r="A3445"/>
      <c r="B3445"/>
      <c r="C3445"/>
      <c r="D3445"/>
      <c r="E3445"/>
      <c r="F3445"/>
      <c r="G3445"/>
      <c r="H3445"/>
      <c r="I3445"/>
      <c r="J3445"/>
      <c r="K3445"/>
    </row>
    <row r="3446" spans="1:11">
      <c r="A3446"/>
      <c r="B3446"/>
      <c r="C3446"/>
      <c r="D3446"/>
      <c r="E3446"/>
      <c r="F3446"/>
      <c r="G3446"/>
      <c r="H3446"/>
      <c r="I3446"/>
      <c r="J3446"/>
      <c r="K3446"/>
    </row>
    <row r="3447" spans="1:11">
      <c r="A3447"/>
      <c r="B3447"/>
      <c r="C3447"/>
      <c r="D3447"/>
      <c r="E3447"/>
      <c r="F3447"/>
      <c r="G3447"/>
      <c r="H3447"/>
      <c r="I3447"/>
      <c r="J3447"/>
      <c r="K3447"/>
    </row>
    <row r="3448" spans="1:11">
      <c r="A3448"/>
      <c r="B3448"/>
      <c r="C3448"/>
      <c r="D3448"/>
      <c r="E3448"/>
      <c r="F3448"/>
      <c r="G3448"/>
      <c r="H3448"/>
      <c r="I3448"/>
      <c r="J3448"/>
      <c r="K3448"/>
    </row>
    <row r="3449" spans="1:11">
      <c r="A3449"/>
      <c r="B3449"/>
      <c r="C3449"/>
      <c r="D3449"/>
      <c r="E3449"/>
      <c r="F3449"/>
      <c r="G3449"/>
      <c r="H3449"/>
      <c r="I3449"/>
      <c r="J3449"/>
      <c r="K3449"/>
    </row>
    <row r="3450" spans="1:11">
      <c r="A3450"/>
      <c r="B3450"/>
      <c r="C3450"/>
      <c r="D3450"/>
      <c r="E3450"/>
      <c r="F3450"/>
      <c r="G3450"/>
      <c r="H3450"/>
      <c r="I3450"/>
      <c r="J3450"/>
      <c r="K3450"/>
    </row>
    <row r="3451" spans="1:11">
      <c r="A3451"/>
      <c r="B3451"/>
      <c r="C3451"/>
      <c r="D3451"/>
      <c r="E3451"/>
      <c r="F3451"/>
      <c r="G3451"/>
      <c r="H3451"/>
      <c r="I3451"/>
      <c r="J3451"/>
      <c r="K3451"/>
    </row>
    <row r="3452" spans="1:11">
      <c r="A3452"/>
      <c r="B3452"/>
      <c r="C3452"/>
      <c r="D3452"/>
      <c r="E3452"/>
      <c r="F3452"/>
      <c r="G3452"/>
      <c r="H3452"/>
      <c r="I3452"/>
      <c r="J3452"/>
      <c r="K3452"/>
    </row>
    <row r="3453" spans="1:11">
      <c r="A3453"/>
      <c r="B3453"/>
      <c r="C3453"/>
      <c r="D3453"/>
      <c r="E3453"/>
      <c r="F3453"/>
      <c r="G3453"/>
      <c r="H3453"/>
      <c r="I3453"/>
      <c r="J3453"/>
      <c r="K3453"/>
    </row>
    <row r="3454" spans="1:11">
      <c r="A3454"/>
      <c r="B3454"/>
      <c r="C3454"/>
      <c r="D3454"/>
      <c r="E3454"/>
      <c r="F3454"/>
      <c r="G3454"/>
      <c r="H3454"/>
      <c r="I3454"/>
      <c r="J3454"/>
      <c r="K3454"/>
    </row>
    <row r="3455" spans="1:11">
      <c r="A3455"/>
      <c r="B3455"/>
      <c r="C3455"/>
      <c r="D3455"/>
      <c r="E3455"/>
      <c r="F3455"/>
      <c r="G3455"/>
      <c r="H3455"/>
      <c r="I3455"/>
      <c r="J3455"/>
      <c r="K3455"/>
    </row>
    <row r="3456" spans="1:11">
      <c r="A3456"/>
      <c r="B3456"/>
      <c r="C3456"/>
      <c r="D3456"/>
      <c r="E3456"/>
      <c r="F3456"/>
      <c r="G3456"/>
      <c r="H3456"/>
      <c r="I3456"/>
      <c r="J3456"/>
      <c r="K3456"/>
    </row>
    <row r="3457" spans="1:11">
      <c r="A3457"/>
      <c r="B3457"/>
      <c r="C3457"/>
      <c r="D3457"/>
      <c r="E3457"/>
      <c r="F3457"/>
      <c r="G3457"/>
      <c r="H3457"/>
      <c r="I3457"/>
      <c r="J3457"/>
      <c r="K3457"/>
    </row>
    <row r="3458" spans="1:11">
      <c r="A3458"/>
      <c r="B3458"/>
      <c r="C3458"/>
      <c r="D3458"/>
      <c r="E3458"/>
      <c r="F3458"/>
      <c r="G3458"/>
      <c r="H3458"/>
      <c r="I3458"/>
      <c r="J3458"/>
      <c r="K3458"/>
    </row>
    <row r="3459" spans="1:11">
      <c r="A3459"/>
      <c r="B3459"/>
      <c r="C3459"/>
      <c r="D3459"/>
      <c r="E3459"/>
      <c r="F3459"/>
      <c r="G3459"/>
      <c r="H3459"/>
      <c r="I3459"/>
      <c r="J3459"/>
      <c r="K3459"/>
    </row>
    <row r="3460" spans="1:11">
      <c r="A3460"/>
      <c r="B3460"/>
      <c r="C3460"/>
      <c r="D3460"/>
      <c r="E3460"/>
      <c r="F3460"/>
      <c r="G3460"/>
      <c r="H3460"/>
      <c r="I3460"/>
      <c r="J3460"/>
      <c r="K3460"/>
    </row>
    <row r="3461" spans="1:11">
      <c r="A3461"/>
      <c r="B3461"/>
      <c r="C3461"/>
      <c r="D3461"/>
      <c r="E3461"/>
      <c r="F3461"/>
      <c r="G3461"/>
      <c r="H3461"/>
      <c r="I3461"/>
      <c r="J3461"/>
      <c r="K3461"/>
    </row>
    <row r="3462" spans="1:11">
      <c r="A3462"/>
      <c r="B3462"/>
      <c r="C3462"/>
      <c r="D3462"/>
      <c r="E3462"/>
      <c r="F3462"/>
      <c r="G3462"/>
      <c r="H3462"/>
      <c r="I3462"/>
      <c r="J3462"/>
      <c r="K3462"/>
    </row>
    <row r="3463" spans="1:11">
      <c r="A3463"/>
      <c r="B3463"/>
      <c r="C3463"/>
      <c r="D3463"/>
      <c r="E3463"/>
      <c r="F3463"/>
      <c r="G3463"/>
      <c r="H3463"/>
      <c r="I3463"/>
      <c r="J3463"/>
      <c r="K3463"/>
    </row>
    <row r="3464" spans="1:11">
      <c r="A3464"/>
      <c r="B3464"/>
      <c r="C3464"/>
      <c r="D3464"/>
      <c r="E3464"/>
      <c r="F3464"/>
      <c r="G3464"/>
      <c r="H3464"/>
      <c r="I3464"/>
      <c r="J3464"/>
      <c r="K3464"/>
    </row>
    <row r="3465" spans="1:11">
      <c r="A3465"/>
      <c r="B3465"/>
      <c r="C3465"/>
      <c r="D3465"/>
      <c r="E3465"/>
      <c r="F3465"/>
      <c r="G3465"/>
      <c r="H3465"/>
      <c r="I3465"/>
      <c r="J3465"/>
      <c r="K3465"/>
    </row>
    <row r="3466" spans="1:11">
      <c r="A3466"/>
      <c r="B3466"/>
      <c r="C3466"/>
      <c r="D3466"/>
      <c r="E3466"/>
      <c r="F3466"/>
      <c r="G3466"/>
      <c r="H3466"/>
      <c r="I3466"/>
      <c r="J3466"/>
      <c r="K3466"/>
    </row>
    <row r="3467" spans="1:11">
      <c r="A3467"/>
      <c r="B3467"/>
      <c r="C3467"/>
      <c r="D3467"/>
      <c r="E3467"/>
      <c r="F3467"/>
      <c r="G3467"/>
      <c r="H3467"/>
      <c r="I3467"/>
      <c r="J3467"/>
      <c r="K3467"/>
    </row>
    <row r="3468" spans="1:11">
      <c r="A3468"/>
      <c r="B3468"/>
      <c r="C3468"/>
      <c r="D3468"/>
      <c r="E3468"/>
      <c r="F3468"/>
      <c r="G3468"/>
      <c r="H3468"/>
      <c r="I3468"/>
      <c r="J3468"/>
      <c r="K3468"/>
    </row>
    <row r="3469" spans="1:11">
      <c r="A3469"/>
      <c r="B3469"/>
      <c r="C3469"/>
      <c r="D3469"/>
      <c r="E3469"/>
      <c r="F3469"/>
      <c r="G3469"/>
      <c r="H3469"/>
      <c r="I3469"/>
      <c r="J3469"/>
      <c r="K3469"/>
    </row>
    <row r="3470" spans="1:11">
      <c r="A3470"/>
      <c r="B3470"/>
      <c r="C3470"/>
      <c r="D3470"/>
      <c r="E3470"/>
      <c r="F3470"/>
      <c r="G3470"/>
      <c r="H3470"/>
      <c r="I3470"/>
      <c r="J3470"/>
      <c r="K3470"/>
    </row>
    <row r="3471" spans="1:11">
      <c r="A3471"/>
      <c r="B3471"/>
      <c r="C3471"/>
      <c r="D3471"/>
      <c r="E3471"/>
      <c r="F3471"/>
      <c r="G3471"/>
      <c r="H3471"/>
      <c r="I3471"/>
      <c r="J3471"/>
      <c r="K3471"/>
    </row>
    <row r="3472" spans="1:11">
      <c r="A3472"/>
      <c r="B3472"/>
      <c r="C3472"/>
      <c r="D3472"/>
      <c r="E3472"/>
      <c r="F3472"/>
      <c r="G3472"/>
      <c r="H3472"/>
      <c r="I3472"/>
      <c r="J3472"/>
      <c r="K3472"/>
    </row>
    <row r="3473" spans="1:11">
      <c r="A3473"/>
      <c r="B3473"/>
      <c r="C3473"/>
      <c r="D3473"/>
      <c r="E3473"/>
      <c r="F3473"/>
      <c r="G3473"/>
      <c r="H3473"/>
      <c r="I3473"/>
      <c r="J3473"/>
      <c r="K3473"/>
    </row>
    <row r="3474" spans="1:11">
      <c r="A3474"/>
      <c r="B3474"/>
      <c r="C3474"/>
      <c r="D3474"/>
      <c r="E3474"/>
      <c r="F3474"/>
      <c r="G3474"/>
      <c r="H3474"/>
      <c r="I3474"/>
      <c r="J3474"/>
      <c r="K3474"/>
    </row>
    <row r="3475" spans="1:11">
      <c r="A3475"/>
      <c r="B3475"/>
      <c r="C3475"/>
      <c r="D3475"/>
      <c r="E3475"/>
      <c r="F3475"/>
      <c r="G3475"/>
      <c r="H3475"/>
      <c r="I3475"/>
      <c r="J3475"/>
      <c r="K3475"/>
    </row>
    <row r="3476" spans="1:11">
      <c r="A3476"/>
      <c r="B3476"/>
      <c r="C3476"/>
      <c r="D3476"/>
      <c r="E3476"/>
      <c r="F3476"/>
      <c r="G3476"/>
      <c r="H3476"/>
      <c r="I3476"/>
      <c r="J3476"/>
      <c r="K3476"/>
    </row>
    <row r="3477" spans="1:11">
      <c r="A3477"/>
      <c r="B3477"/>
      <c r="C3477"/>
      <c r="D3477"/>
      <c r="E3477"/>
      <c r="F3477"/>
      <c r="G3477"/>
      <c r="H3477"/>
      <c r="I3477"/>
      <c r="J3477"/>
      <c r="K3477"/>
    </row>
    <row r="3478" spans="1:11">
      <c r="A3478"/>
      <c r="B3478"/>
      <c r="C3478"/>
      <c r="D3478"/>
      <c r="E3478"/>
      <c r="F3478"/>
      <c r="G3478"/>
      <c r="H3478"/>
      <c r="I3478"/>
      <c r="J3478"/>
      <c r="K3478"/>
    </row>
    <row r="3479" spans="1:11">
      <c r="A3479"/>
      <c r="B3479"/>
      <c r="C3479"/>
      <c r="D3479"/>
      <c r="E3479"/>
      <c r="F3479"/>
      <c r="G3479"/>
      <c r="H3479"/>
      <c r="I3479"/>
      <c r="J3479"/>
      <c r="K3479"/>
    </row>
    <row r="3480" spans="1:11">
      <c r="A3480"/>
      <c r="B3480"/>
      <c r="C3480"/>
      <c r="D3480"/>
      <c r="E3480"/>
      <c r="F3480"/>
      <c r="G3480"/>
      <c r="H3480"/>
      <c r="I3480"/>
      <c r="J3480"/>
      <c r="K3480"/>
    </row>
    <row r="3481" spans="1:11">
      <c r="A3481"/>
      <c r="B3481"/>
      <c r="C3481"/>
      <c r="D3481"/>
      <c r="E3481"/>
      <c r="F3481"/>
      <c r="G3481"/>
      <c r="H3481"/>
      <c r="I3481"/>
      <c r="J3481"/>
      <c r="K3481"/>
    </row>
    <row r="3482" spans="1:11">
      <c r="A3482"/>
      <c r="B3482"/>
      <c r="C3482"/>
      <c r="D3482"/>
      <c r="E3482"/>
      <c r="F3482"/>
      <c r="G3482"/>
      <c r="H3482"/>
      <c r="I3482"/>
      <c r="J3482"/>
      <c r="K3482"/>
    </row>
    <row r="3483" spans="1:11">
      <c r="A3483"/>
      <c r="B3483"/>
      <c r="C3483"/>
      <c r="D3483"/>
      <c r="E3483"/>
      <c r="F3483"/>
      <c r="G3483"/>
      <c r="H3483"/>
      <c r="I3483"/>
      <c r="J3483"/>
      <c r="K3483"/>
    </row>
    <row r="3484" spans="1:11">
      <c r="A3484"/>
      <c r="B3484"/>
      <c r="C3484"/>
      <c r="D3484"/>
      <c r="E3484"/>
      <c r="F3484"/>
      <c r="G3484"/>
      <c r="H3484"/>
      <c r="I3484"/>
      <c r="J3484"/>
      <c r="K3484"/>
    </row>
    <row r="3485" spans="1:11">
      <c r="A3485"/>
      <c r="B3485"/>
      <c r="C3485"/>
      <c r="D3485"/>
      <c r="E3485"/>
      <c r="F3485"/>
      <c r="G3485"/>
      <c r="H3485"/>
      <c r="I3485"/>
      <c r="J3485"/>
      <c r="K3485"/>
    </row>
    <row r="3486" spans="1:11">
      <c r="A3486"/>
      <c r="B3486"/>
      <c r="C3486"/>
      <c r="D3486"/>
      <c r="E3486"/>
      <c r="F3486"/>
      <c r="G3486"/>
      <c r="H3486"/>
      <c r="I3486"/>
      <c r="J3486"/>
      <c r="K3486"/>
    </row>
    <row r="3487" spans="1:11">
      <c r="A3487"/>
      <c r="B3487"/>
      <c r="C3487"/>
      <c r="D3487"/>
      <c r="E3487"/>
      <c r="F3487"/>
      <c r="G3487"/>
      <c r="H3487"/>
      <c r="I3487"/>
      <c r="J3487"/>
      <c r="K3487"/>
    </row>
    <row r="3488" spans="1:11">
      <c r="A3488"/>
      <c r="B3488"/>
      <c r="C3488"/>
      <c r="D3488"/>
      <c r="E3488"/>
      <c r="F3488"/>
      <c r="G3488"/>
      <c r="H3488"/>
      <c r="I3488"/>
      <c r="J3488"/>
      <c r="K3488"/>
    </row>
    <row r="3489" spans="1:11">
      <c r="A3489"/>
      <c r="B3489"/>
      <c r="C3489"/>
      <c r="D3489"/>
      <c r="E3489"/>
      <c r="F3489"/>
      <c r="G3489"/>
      <c r="H3489"/>
      <c r="I3489"/>
      <c r="J3489"/>
      <c r="K3489"/>
    </row>
    <row r="3490" spans="1:11">
      <c r="A3490"/>
      <c r="B3490"/>
      <c r="C3490"/>
      <c r="D3490"/>
      <c r="E3490"/>
      <c r="F3490"/>
      <c r="G3490"/>
      <c r="H3490"/>
      <c r="I3490"/>
      <c r="J3490"/>
      <c r="K3490"/>
    </row>
    <row r="3491" spans="1:11">
      <c r="A3491"/>
      <c r="B3491"/>
      <c r="C3491"/>
      <c r="D3491"/>
      <c r="E3491"/>
      <c r="F3491"/>
      <c r="G3491"/>
      <c r="H3491"/>
      <c r="I3491"/>
      <c r="J3491"/>
      <c r="K3491"/>
    </row>
    <row r="3492" spans="1:11">
      <c r="A3492"/>
      <c r="B3492"/>
      <c r="C3492"/>
      <c r="D3492"/>
      <c r="E3492"/>
      <c r="F3492"/>
      <c r="G3492"/>
      <c r="H3492"/>
      <c r="I3492"/>
      <c r="J3492"/>
      <c r="K3492"/>
    </row>
    <row r="3493" spans="1:11">
      <c r="A3493"/>
      <c r="B3493"/>
      <c r="C3493"/>
      <c r="D3493"/>
      <c r="E3493"/>
      <c r="F3493"/>
      <c r="G3493"/>
      <c r="H3493"/>
      <c r="I3493"/>
      <c r="J3493"/>
      <c r="K3493"/>
    </row>
    <row r="3494" spans="1:11">
      <c r="A3494"/>
      <c r="B3494"/>
      <c r="C3494"/>
      <c r="D3494"/>
      <c r="E3494"/>
      <c r="F3494"/>
      <c r="G3494"/>
      <c r="H3494"/>
      <c r="I3494"/>
      <c r="J3494"/>
      <c r="K3494"/>
    </row>
    <row r="3495" spans="1:11">
      <c r="A3495"/>
      <c r="B3495"/>
      <c r="C3495"/>
      <c r="D3495"/>
      <c r="E3495"/>
      <c r="F3495"/>
      <c r="G3495"/>
      <c r="H3495"/>
      <c r="I3495"/>
      <c r="J3495"/>
      <c r="K3495"/>
    </row>
    <row r="3496" spans="1:11">
      <c r="A3496"/>
      <c r="B3496"/>
      <c r="C3496"/>
      <c r="D3496"/>
      <c r="E3496"/>
      <c r="F3496"/>
      <c r="G3496"/>
      <c r="H3496"/>
      <c r="I3496"/>
      <c r="J3496"/>
      <c r="K3496"/>
    </row>
    <row r="3497" spans="1:11">
      <c r="A3497"/>
      <c r="B3497"/>
      <c r="C3497"/>
      <c r="D3497"/>
      <c r="E3497"/>
      <c r="F3497"/>
      <c r="G3497"/>
      <c r="H3497"/>
      <c r="I3497"/>
      <c r="J3497"/>
      <c r="K3497"/>
    </row>
    <row r="3498" spans="1:11">
      <c r="A3498"/>
      <c r="B3498"/>
      <c r="C3498"/>
      <c r="D3498"/>
      <c r="E3498"/>
      <c r="F3498"/>
      <c r="G3498"/>
      <c r="H3498"/>
      <c r="I3498"/>
      <c r="J3498"/>
      <c r="K3498"/>
    </row>
    <row r="3499" spans="1:11">
      <c r="A3499"/>
      <c r="B3499"/>
      <c r="C3499"/>
      <c r="D3499"/>
      <c r="E3499"/>
      <c r="F3499"/>
      <c r="G3499"/>
      <c r="H3499"/>
      <c r="I3499"/>
      <c r="J3499"/>
      <c r="K3499"/>
    </row>
    <row r="3500" spans="1:11">
      <c r="A3500"/>
      <c r="B3500"/>
      <c r="C3500"/>
      <c r="D3500"/>
      <c r="E3500"/>
      <c r="F3500"/>
      <c r="G3500"/>
      <c r="H3500"/>
      <c r="I3500"/>
      <c r="J3500"/>
      <c r="K3500"/>
    </row>
    <row r="3501" spans="1:11">
      <c r="A3501"/>
      <c r="B3501"/>
      <c r="C3501"/>
      <c r="D3501"/>
      <c r="E3501"/>
      <c r="F3501"/>
      <c r="G3501"/>
      <c r="H3501"/>
      <c r="I3501"/>
      <c r="J3501"/>
      <c r="K3501"/>
    </row>
    <row r="3502" spans="1:11">
      <c r="A3502"/>
      <c r="B3502"/>
      <c r="C3502"/>
      <c r="D3502"/>
      <c r="E3502"/>
      <c r="F3502"/>
      <c r="G3502"/>
      <c r="H3502"/>
      <c r="I3502"/>
      <c r="J3502"/>
      <c r="K3502"/>
    </row>
    <row r="3503" spans="1:11">
      <c r="A3503"/>
      <c r="B3503"/>
      <c r="C3503"/>
      <c r="D3503"/>
      <c r="E3503"/>
      <c r="F3503"/>
      <c r="G3503"/>
      <c r="H3503"/>
      <c r="I3503"/>
      <c r="J3503"/>
      <c r="K3503"/>
    </row>
    <row r="3504" spans="1:11">
      <c r="A3504"/>
      <c r="B3504"/>
      <c r="C3504"/>
      <c r="D3504"/>
      <c r="E3504"/>
      <c r="F3504"/>
      <c r="G3504"/>
      <c r="H3504"/>
      <c r="I3504"/>
      <c r="J3504"/>
      <c r="K3504"/>
    </row>
    <row r="3505" spans="1:11">
      <c r="A3505"/>
      <c r="B3505"/>
      <c r="C3505"/>
      <c r="D3505"/>
      <c r="E3505"/>
      <c r="F3505"/>
      <c r="G3505"/>
      <c r="H3505"/>
      <c r="I3505"/>
      <c r="J3505"/>
      <c r="K3505"/>
    </row>
    <row r="3506" spans="1:11">
      <c r="A3506"/>
      <c r="B3506"/>
      <c r="C3506"/>
      <c r="D3506"/>
      <c r="E3506"/>
      <c r="F3506"/>
      <c r="G3506"/>
      <c r="H3506"/>
      <c r="I3506"/>
      <c r="J3506"/>
      <c r="K3506"/>
    </row>
    <row r="3507" spans="1:11">
      <c r="A3507"/>
      <c r="B3507"/>
      <c r="C3507"/>
      <c r="D3507"/>
      <c r="E3507"/>
      <c r="F3507"/>
      <c r="G3507"/>
      <c r="H3507"/>
      <c r="I3507"/>
      <c r="J3507"/>
      <c r="K3507"/>
    </row>
    <row r="3508" spans="1:11">
      <c r="A3508"/>
      <c r="B3508"/>
      <c r="C3508"/>
      <c r="D3508"/>
      <c r="E3508"/>
      <c r="F3508"/>
      <c r="G3508"/>
      <c r="H3508"/>
      <c r="I3508"/>
      <c r="J3508"/>
      <c r="K3508"/>
    </row>
    <row r="3509" spans="1:11">
      <c r="A3509"/>
      <c r="B3509"/>
      <c r="C3509"/>
      <c r="D3509"/>
      <c r="E3509"/>
      <c r="F3509"/>
      <c r="G3509"/>
      <c r="H3509"/>
      <c r="I3509"/>
      <c r="J3509"/>
      <c r="K3509"/>
    </row>
    <row r="3510" spans="1:11">
      <c r="A3510"/>
      <c r="B3510"/>
      <c r="C3510"/>
      <c r="D3510"/>
      <c r="E3510"/>
      <c r="F3510"/>
      <c r="G3510"/>
      <c r="H3510"/>
      <c r="I3510"/>
      <c r="J3510"/>
      <c r="K3510"/>
    </row>
    <row r="3511" spans="1:11">
      <c r="A3511"/>
      <c r="B3511"/>
      <c r="C3511"/>
      <c r="D3511"/>
      <c r="E3511"/>
      <c r="F3511"/>
      <c r="G3511"/>
      <c r="H3511"/>
      <c r="I3511"/>
      <c r="J3511"/>
      <c r="K3511"/>
    </row>
    <row r="3512" spans="1:11">
      <c r="A3512"/>
      <c r="B3512"/>
      <c r="C3512"/>
      <c r="D3512"/>
      <c r="E3512"/>
      <c r="F3512"/>
      <c r="G3512"/>
      <c r="H3512"/>
      <c r="I3512"/>
      <c r="J3512"/>
      <c r="K3512"/>
    </row>
    <row r="3513" spans="1:11">
      <c r="A3513"/>
      <c r="B3513"/>
      <c r="C3513"/>
      <c r="D3513"/>
      <c r="E3513"/>
      <c r="F3513"/>
      <c r="G3513"/>
      <c r="H3513"/>
      <c r="I3513"/>
      <c r="J3513"/>
      <c r="K3513"/>
    </row>
    <row r="3514" spans="1:11">
      <c r="A3514"/>
      <c r="B3514"/>
      <c r="C3514"/>
      <c r="D3514"/>
      <c r="E3514"/>
      <c r="F3514"/>
      <c r="G3514"/>
      <c r="H3514"/>
      <c r="I3514"/>
      <c r="J3514"/>
      <c r="K3514"/>
    </row>
    <row r="3515" spans="1:11">
      <c r="A3515"/>
      <c r="B3515"/>
      <c r="C3515"/>
      <c r="D3515"/>
      <c r="E3515"/>
      <c r="F3515"/>
      <c r="G3515"/>
      <c r="H3515"/>
      <c r="I3515"/>
      <c r="J3515"/>
      <c r="K3515"/>
    </row>
    <row r="3516" spans="1:11">
      <c r="A3516"/>
      <c r="B3516"/>
      <c r="C3516"/>
      <c r="D3516"/>
      <c r="E3516"/>
      <c r="F3516"/>
      <c r="G3516"/>
      <c r="H3516"/>
      <c r="I3516"/>
      <c r="J3516"/>
      <c r="K3516"/>
    </row>
    <row r="3517" spans="1:11">
      <c r="A3517"/>
      <c r="B3517"/>
      <c r="C3517"/>
      <c r="D3517"/>
      <c r="E3517"/>
      <c r="F3517"/>
      <c r="G3517"/>
      <c r="H3517"/>
      <c r="I3517"/>
      <c r="J3517"/>
      <c r="K3517"/>
    </row>
    <row r="3518" spans="1:11">
      <c r="A3518"/>
      <c r="B3518"/>
      <c r="C3518"/>
      <c r="D3518"/>
      <c r="E3518"/>
      <c r="F3518"/>
      <c r="G3518"/>
      <c r="H3518"/>
      <c r="I3518"/>
      <c r="J3518"/>
      <c r="K3518"/>
    </row>
    <row r="3519" spans="1:11">
      <c r="A3519"/>
      <c r="B3519"/>
      <c r="C3519"/>
      <c r="D3519"/>
      <c r="E3519"/>
      <c r="F3519"/>
      <c r="G3519"/>
      <c r="H3519"/>
      <c r="I3519"/>
      <c r="J3519"/>
      <c r="K3519"/>
    </row>
    <row r="3520" spans="1:11">
      <c r="A3520"/>
      <c r="B3520"/>
      <c r="C3520"/>
      <c r="D3520"/>
      <c r="E3520"/>
      <c r="F3520"/>
      <c r="G3520"/>
      <c r="H3520"/>
      <c r="I3520"/>
      <c r="J3520"/>
      <c r="K3520"/>
    </row>
    <row r="3521" spans="1:11">
      <c r="A3521"/>
      <c r="B3521"/>
      <c r="C3521"/>
      <c r="D3521"/>
      <c r="E3521"/>
      <c r="F3521"/>
      <c r="G3521"/>
      <c r="H3521"/>
      <c r="I3521"/>
      <c r="J3521"/>
      <c r="K3521"/>
    </row>
    <row r="3522" spans="1:11">
      <c r="A3522"/>
      <c r="B3522"/>
      <c r="C3522"/>
      <c r="D3522"/>
      <c r="E3522"/>
      <c r="F3522"/>
      <c r="G3522"/>
      <c r="H3522"/>
      <c r="I3522"/>
      <c r="J3522"/>
      <c r="K3522"/>
    </row>
    <row r="3523" spans="1:11">
      <c r="A3523"/>
      <c r="B3523"/>
      <c r="C3523"/>
      <c r="D3523"/>
      <c r="E3523"/>
      <c r="F3523"/>
      <c r="G3523"/>
      <c r="H3523"/>
      <c r="I3523"/>
      <c r="J3523"/>
      <c r="K3523"/>
    </row>
    <row r="3524" spans="1:11">
      <c r="A3524"/>
      <c r="B3524"/>
      <c r="C3524"/>
      <c r="D3524"/>
      <c r="E3524"/>
      <c r="F3524"/>
      <c r="G3524"/>
      <c r="H3524"/>
      <c r="I3524"/>
      <c r="J3524"/>
      <c r="K3524"/>
    </row>
    <row r="3525" spans="1:11">
      <c r="A3525"/>
      <c r="B3525"/>
      <c r="C3525"/>
      <c r="D3525"/>
      <c r="E3525"/>
      <c r="F3525"/>
      <c r="G3525"/>
      <c r="H3525"/>
      <c r="I3525"/>
      <c r="J3525"/>
      <c r="K3525"/>
    </row>
    <row r="3526" spans="1:11">
      <c r="A3526"/>
      <c r="B3526"/>
      <c r="C3526"/>
      <c r="D3526"/>
      <c r="E3526"/>
      <c r="F3526"/>
      <c r="G3526"/>
      <c r="H3526"/>
      <c r="I3526"/>
      <c r="J3526"/>
      <c r="K3526"/>
    </row>
    <row r="3527" spans="1:11">
      <c r="A3527"/>
      <c r="B3527"/>
      <c r="C3527"/>
      <c r="D3527"/>
      <c r="E3527"/>
      <c r="F3527"/>
      <c r="G3527"/>
      <c r="H3527"/>
      <c r="I3527"/>
      <c r="J3527"/>
      <c r="K3527"/>
    </row>
    <row r="3528" spans="1:11">
      <c r="A3528"/>
      <c r="B3528"/>
      <c r="C3528"/>
      <c r="D3528"/>
      <c r="E3528"/>
      <c r="F3528"/>
      <c r="G3528"/>
      <c r="H3528"/>
      <c r="I3528"/>
      <c r="J3528"/>
      <c r="K3528"/>
    </row>
    <row r="3529" spans="1:11">
      <c r="A3529"/>
      <c r="B3529"/>
      <c r="C3529"/>
      <c r="D3529"/>
      <c r="E3529"/>
      <c r="F3529"/>
      <c r="G3529"/>
      <c r="H3529"/>
      <c r="I3529"/>
      <c r="J3529"/>
      <c r="K3529"/>
    </row>
    <row r="3530" spans="1:11">
      <c r="A3530"/>
      <c r="B3530"/>
      <c r="C3530"/>
      <c r="D3530"/>
      <c r="E3530"/>
      <c r="F3530"/>
      <c r="G3530"/>
      <c r="H3530"/>
      <c r="I3530"/>
      <c r="J3530"/>
      <c r="K3530"/>
    </row>
    <row r="3531" spans="1:11">
      <c r="A3531"/>
      <c r="B3531"/>
      <c r="C3531"/>
      <c r="D3531"/>
      <c r="E3531"/>
      <c r="F3531"/>
      <c r="G3531"/>
      <c r="H3531"/>
      <c r="I3531"/>
      <c r="J3531"/>
      <c r="K3531"/>
    </row>
    <row r="3532" spans="1:11">
      <c r="A3532"/>
      <c r="B3532"/>
      <c r="C3532"/>
      <c r="D3532"/>
      <c r="E3532"/>
      <c r="F3532"/>
      <c r="G3532"/>
      <c r="H3532"/>
      <c r="I3532"/>
      <c r="J3532"/>
      <c r="K3532"/>
    </row>
    <row r="3533" spans="1:11">
      <c r="A3533"/>
      <c r="B3533"/>
      <c r="C3533"/>
      <c r="D3533"/>
      <c r="E3533"/>
      <c r="F3533"/>
      <c r="G3533"/>
      <c r="H3533"/>
      <c r="I3533"/>
      <c r="J3533"/>
      <c r="K3533"/>
    </row>
    <row r="3534" spans="1:11">
      <c r="A3534"/>
      <c r="B3534"/>
      <c r="C3534"/>
      <c r="D3534"/>
      <c r="E3534"/>
      <c r="F3534"/>
      <c r="G3534"/>
      <c r="H3534"/>
      <c r="I3534"/>
      <c r="J3534"/>
      <c r="K3534"/>
    </row>
    <row r="3535" spans="1:11">
      <c r="A3535"/>
      <c r="B3535"/>
      <c r="C3535"/>
      <c r="D3535"/>
      <c r="E3535"/>
      <c r="F3535"/>
      <c r="G3535"/>
      <c r="H3535"/>
      <c r="I3535"/>
      <c r="J3535"/>
      <c r="K3535"/>
    </row>
    <row r="3536" spans="1:11">
      <c r="A3536"/>
      <c r="B3536"/>
      <c r="C3536"/>
      <c r="D3536"/>
      <c r="E3536"/>
      <c r="F3536"/>
      <c r="G3536"/>
      <c r="H3536"/>
      <c r="I3536"/>
      <c r="J3536"/>
      <c r="K3536"/>
    </row>
    <row r="3537" spans="1:11">
      <c r="A3537"/>
      <c r="B3537"/>
      <c r="C3537"/>
      <c r="D3537"/>
      <c r="E3537"/>
      <c r="F3537"/>
      <c r="G3537"/>
      <c r="H3537"/>
      <c r="I3537"/>
      <c r="J3537"/>
      <c r="K3537"/>
    </row>
    <row r="3538" spans="1:11">
      <c r="A3538"/>
      <c r="B3538"/>
      <c r="C3538"/>
      <c r="D3538"/>
      <c r="E3538"/>
      <c r="F3538"/>
      <c r="G3538"/>
      <c r="H3538"/>
      <c r="I3538"/>
      <c r="J3538"/>
      <c r="K3538"/>
    </row>
    <row r="3539" spans="1:11">
      <c r="A3539"/>
      <c r="B3539"/>
      <c r="C3539"/>
      <c r="D3539"/>
      <c r="E3539"/>
      <c r="F3539"/>
      <c r="G3539"/>
      <c r="H3539"/>
      <c r="I3539"/>
      <c r="J3539"/>
      <c r="K3539"/>
    </row>
    <row r="3540" spans="1:11">
      <c r="A3540"/>
      <c r="B3540"/>
      <c r="C3540"/>
      <c r="D3540"/>
      <c r="E3540"/>
      <c r="F3540"/>
      <c r="G3540"/>
      <c r="H3540"/>
      <c r="I3540"/>
      <c r="J3540"/>
      <c r="K3540"/>
    </row>
    <row r="3541" spans="1:11">
      <c r="A3541"/>
      <c r="B3541"/>
      <c r="C3541"/>
      <c r="D3541"/>
      <c r="E3541"/>
      <c r="F3541"/>
      <c r="G3541"/>
      <c r="H3541"/>
      <c r="I3541"/>
      <c r="J3541"/>
      <c r="K3541"/>
    </row>
    <row r="3542" spans="1:11">
      <c r="A3542"/>
      <c r="B3542"/>
      <c r="C3542"/>
      <c r="D3542"/>
      <c r="E3542"/>
      <c r="F3542"/>
      <c r="G3542"/>
      <c r="H3542"/>
      <c r="I3542"/>
      <c r="J3542"/>
      <c r="K3542"/>
    </row>
    <row r="3543" spans="1:11">
      <c r="A3543"/>
      <c r="B3543"/>
      <c r="C3543"/>
      <c r="D3543"/>
      <c r="E3543"/>
      <c r="F3543"/>
      <c r="G3543"/>
      <c r="H3543"/>
      <c r="I3543"/>
      <c r="J3543"/>
      <c r="K3543"/>
    </row>
    <row r="3544" spans="1:11">
      <c r="A3544"/>
      <c r="B3544"/>
      <c r="C3544"/>
      <c r="D3544"/>
      <c r="E3544"/>
      <c r="F3544"/>
      <c r="G3544"/>
      <c r="H3544"/>
      <c r="I3544"/>
      <c r="J3544"/>
      <c r="K3544"/>
    </row>
    <row r="3545" spans="1:11">
      <c r="A3545"/>
      <c r="B3545"/>
      <c r="C3545"/>
      <c r="D3545"/>
      <c r="E3545"/>
      <c r="F3545"/>
      <c r="G3545"/>
      <c r="H3545"/>
      <c r="I3545"/>
      <c r="J3545"/>
      <c r="K3545"/>
    </row>
    <row r="3546" spans="1:11">
      <c r="A3546"/>
      <c r="B3546"/>
      <c r="C3546"/>
      <c r="D3546"/>
      <c r="E3546"/>
      <c r="F3546"/>
      <c r="G3546"/>
      <c r="H3546"/>
      <c r="I3546"/>
      <c r="J3546"/>
      <c r="K3546"/>
    </row>
    <row r="3547" spans="1:11">
      <c r="A3547"/>
      <c r="B3547"/>
      <c r="C3547"/>
      <c r="D3547"/>
      <c r="E3547"/>
      <c r="F3547"/>
      <c r="G3547"/>
      <c r="H3547"/>
      <c r="I3547"/>
      <c r="J3547"/>
      <c r="K3547"/>
    </row>
    <row r="3548" spans="1:11">
      <c r="A3548"/>
      <c r="B3548"/>
      <c r="C3548"/>
      <c r="D3548"/>
      <c r="E3548"/>
      <c r="F3548"/>
      <c r="G3548"/>
      <c r="H3548"/>
      <c r="I3548"/>
      <c r="J3548"/>
      <c r="K3548"/>
    </row>
    <row r="3549" spans="1:11">
      <c r="A3549"/>
      <c r="B3549"/>
      <c r="C3549"/>
      <c r="D3549"/>
      <c r="E3549"/>
      <c r="F3549"/>
      <c r="G3549"/>
      <c r="H3549"/>
      <c r="I3549"/>
      <c r="J3549"/>
      <c r="K3549"/>
    </row>
    <row r="3550" spans="1:11">
      <c r="A3550"/>
      <c r="B3550"/>
      <c r="C3550"/>
      <c r="D3550"/>
      <c r="E3550"/>
      <c r="F3550"/>
      <c r="G3550"/>
      <c r="H3550"/>
      <c r="I3550"/>
      <c r="J3550"/>
      <c r="K3550"/>
    </row>
    <row r="3551" spans="1:11">
      <c r="A3551"/>
      <c r="B3551"/>
      <c r="C3551"/>
      <c r="D3551"/>
      <c r="E3551"/>
      <c r="F3551"/>
      <c r="G3551"/>
      <c r="H3551"/>
      <c r="I3551"/>
      <c r="J3551"/>
      <c r="K3551"/>
    </row>
    <row r="3552" spans="1:11">
      <c r="A3552"/>
      <c r="B3552"/>
      <c r="C3552"/>
      <c r="D3552"/>
      <c r="E3552"/>
      <c r="F3552"/>
      <c r="G3552"/>
      <c r="H3552"/>
      <c r="I3552"/>
      <c r="J3552"/>
      <c r="K3552"/>
    </row>
    <row r="3553" spans="1:11">
      <c r="A3553"/>
      <c r="B3553"/>
      <c r="C3553"/>
      <c r="D3553"/>
      <c r="E3553"/>
      <c r="F3553"/>
      <c r="G3553"/>
      <c r="H3553"/>
      <c r="I3553"/>
      <c r="J3553"/>
      <c r="K3553"/>
    </row>
    <row r="3554" spans="1:11">
      <c r="A3554"/>
      <c r="B3554"/>
      <c r="C3554"/>
      <c r="D3554"/>
      <c r="E3554"/>
      <c r="F3554"/>
      <c r="G3554"/>
      <c r="H3554"/>
      <c r="I3554"/>
      <c r="J3554"/>
      <c r="K3554"/>
    </row>
    <row r="3555" spans="1:11">
      <c r="A3555"/>
      <c r="B3555"/>
      <c r="C3555"/>
      <c r="D3555"/>
      <c r="E3555"/>
      <c r="F3555"/>
      <c r="G3555"/>
      <c r="H3555"/>
      <c r="I3555"/>
      <c r="J3555"/>
      <c r="K3555"/>
    </row>
    <row r="3556" spans="1:11">
      <c r="A3556"/>
      <c r="B3556"/>
      <c r="C3556"/>
      <c r="D3556"/>
      <c r="E3556"/>
      <c r="F3556"/>
      <c r="G3556"/>
      <c r="H3556"/>
      <c r="I3556"/>
      <c r="J3556"/>
      <c r="K3556"/>
    </row>
    <row r="3557" spans="1:11">
      <c r="A3557"/>
      <c r="B3557"/>
      <c r="C3557"/>
      <c r="D3557"/>
      <c r="E3557"/>
      <c r="F3557"/>
      <c r="G3557"/>
      <c r="H3557"/>
      <c r="I3557"/>
      <c r="J3557"/>
      <c r="K3557"/>
    </row>
    <row r="3558" spans="1:11">
      <c r="A3558"/>
      <c r="B3558"/>
      <c r="C3558"/>
      <c r="D3558"/>
      <c r="E3558"/>
      <c r="F3558"/>
      <c r="G3558"/>
      <c r="H3558"/>
      <c r="I3558"/>
      <c r="J3558"/>
      <c r="K3558"/>
    </row>
    <row r="3559" spans="1:11">
      <c r="A3559"/>
      <c r="B3559"/>
      <c r="C3559"/>
      <c r="D3559"/>
      <c r="E3559"/>
      <c r="F3559"/>
      <c r="G3559"/>
      <c r="H3559"/>
      <c r="I3559"/>
      <c r="J3559"/>
      <c r="K3559"/>
    </row>
    <row r="3560" spans="1:11">
      <c r="A3560"/>
      <c r="B3560"/>
      <c r="C3560"/>
      <c r="D3560"/>
      <c r="E3560"/>
      <c r="F3560"/>
      <c r="G3560"/>
      <c r="H3560"/>
      <c r="I3560"/>
      <c r="J3560"/>
      <c r="K3560"/>
    </row>
    <row r="3561" spans="1:11">
      <c r="A3561"/>
      <c r="B3561"/>
      <c r="C3561"/>
      <c r="D3561"/>
      <c r="E3561"/>
      <c r="F3561"/>
      <c r="G3561"/>
      <c r="H3561"/>
      <c r="I3561"/>
      <c r="J3561"/>
      <c r="K3561"/>
    </row>
    <row r="3562" spans="1:11">
      <c r="A3562"/>
      <c r="B3562"/>
      <c r="C3562"/>
      <c r="D3562"/>
      <c r="E3562"/>
      <c r="F3562"/>
      <c r="G3562"/>
      <c r="H3562"/>
      <c r="I3562"/>
      <c r="J3562"/>
      <c r="K3562"/>
    </row>
    <row r="3563" spans="1:11">
      <c r="A3563"/>
      <c r="B3563"/>
      <c r="C3563"/>
      <c r="D3563"/>
      <c r="E3563"/>
      <c r="F3563"/>
      <c r="G3563"/>
      <c r="H3563"/>
      <c r="I3563"/>
      <c r="J3563"/>
      <c r="K3563"/>
    </row>
    <row r="3564" spans="1:11">
      <c r="A3564"/>
      <c r="B3564"/>
      <c r="C3564"/>
      <c r="D3564"/>
      <c r="E3564"/>
      <c r="F3564"/>
      <c r="G3564"/>
      <c r="H3564"/>
      <c r="I3564"/>
      <c r="J3564"/>
      <c r="K3564"/>
    </row>
    <row r="3565" spans="1:11">
      <c r="A3565"/>
      <c r="B3565"/>
      <c r="C3565"/>
      <c r="D3565"/>
      <c r="E3565"/>
      <c r="F3565"/>
      <c r="G3565"/>
      <c r="H3565"/>
      <c r="I3565"/>
      <c r="J3565"/>
      <c r="K3565"/>
    </row>
    <row r="3566" spans="1:11">
      <c r="A3566"/>
      <c r="B3566"/>
      <c r="C3566"/>
      <c r="D3566"/>
      <c r="E3566"/>
      <c r="F3566"/>
      <c r="G3566"/>
      <c r="H3566"/>
      <c r="I3566"/>
      <c r="J3566"/>
      <c r="K3566"/>
    </row>
    <row r="3567" spans="1:11">
      <c r="A3567"/>
      <c r="B3567"/>
      <c r="C3567"/>
      <c r="D3567"/>
      <c r="E3567"/>
      <c r="F3567"/>
      <c r="G3567"/>
      <c r="H3567"/>
      <c r="I3567"/>
      <c r="J3567"/>
      <c r="K3567"/>
    </row>
    <row r="3568" spans="1:11">
      <c r="A3568"/>
      <c r="B3568"/>
      <c r="C3568"/>
      <c r="D3568"/>
      <c r="E3568"/>
      <c r="F3568"/>
      <c r="G3568"/>
      <c r="H3568"/>
      <c r="I3568"/>
      <c r="J3568"/>
      <c r="K3568"/>
    </row>
    <row r="3569" spans="1:11">
      <c r="A3569"/>
      <c r="B3569"/>
      <c r="C3569"/>
      <c r="D3569"/>
      <c r="E3569"/>
      <c r="F3569"/>
      <c r="G3569"/>
      <c r="H3569"/>
      <c r="I3569"/>
      <c r="J3569"/>
      <c r="K3569"/>
    </row>
    <row r="3570" spans="1:11">
      <c r="A3570"/>
      <c r="B3570"/>
      <c r="C3570"/>
      <c r="D3570"/>
      <c r="E3570"/>
      <c r="F3570"/>
      <c r="G3570"/>
      <c r="H3570"/>
      <c r="I3570"/>
      <c r="J3570"/>
      <c r="K3570"/>
    </row>
    <row r="3571" spans="1:11">
      <c r="A3571"/>
      <c r="B3571"/>
      <c r="C3571"/>
      <c r="D3571"/>
      <c r="E3571"/>
      <c r="F3571"/>
      <c r="G3571"/>
      <c r="H3571"/>
      <c r="I3571"/>
      <c r="J3571"/>
      <c r="K3571"/>
    </row>
    <row r="3572" spans="1:11">
      <c r="A3572"/>
      <c r="B3572"/>
      <c r="C3572"/>
      <c r="D3572"/>
      <c r="E3572"/>
      <c r="F3572"/>
      <c r="G3572"/>
      <c r="H3572"/>
      <c r="I3572"/>
      <c r="J3572"/>
      <c r="K3572"/>
    </row>
    <row r="3573" spans="1:11">
      <c r="A3573"/>
      <c r="B3573"/>
      <c r="C3573"/>
      <c r="D3573"/>
      <c r="E3573"/>
      <c r="F3573"/>
      <c r="G3573"/>
      <c r="H3573"/>
      <c r="I3573"/>
      <c r="J3573"/>
      <c r="K3573"/>
    </row>
    <row r="3574" spans="1:11">
      <c r="A3574"/>
      <c r="B3574"/>
      <c r="C3574"/>
      <c r="D3574"/>
      <c r="E3574"/>
      <c r="F3574"/>
      <c r="G3574"/>
      <c r="H3574"/>
      <c r="I3574"/>
      <c r="J3574"/>
      <c r="K3574"/>
    </row>
    <row r="3575" spans="1:11">
      <c r="A3575"/>
      <c r="B3575"/>
      <c r="C3575"/>
      <c r="D3575"/>
      <c r="E3575"/>
      <c r="F3575"/>
      <c r="G3575"/>
      <c r="H3575"/>
      <c r="I3575"/>
      <c r="J3575"/>
      <c r="K3575"/>
    </row>
    <row r="3576" spans="1:11">
      <c r="A3576"/>
      <c r="B3576"/>
      <c r="C3576"/>
      <c r="D3576"/>
      <c r="E3576"/>
      <c r="F3576"/>
      <c r="G3576"/>
      <c r="H3576"/>
      <c r="I3576"/>
      <c r="J3576"/>
      <c r="K3576"/>
    </row>
    <row r="3577" spans="1:11">
      <c r="A3577"/>
      <c r="B3577"/>
      <c r="C3577"/>
      <c r="D3577"/>
      <c r="E3577"/>
      <c r="F3577"/>
      <c r="G3577"/>
      <c r="H3577"/>
      <c r="I3577"/>
      <c r="J3577"/>
      <c r="K3577"/>
    </row>
    <row r="3578" spans="1:11">
      <c r="A3578"/>
      <c r="B3578"/>
      <c r="C3578"/>
      <c r="D3578"/>
      <c r="E3578"/>
      <c r="F3578"/>
      <c r="G3578"/>
      <c r="H3578"/>
      <c r="I3578"/>
      <c r="J3578"/>
      <c r="K3578"/>
    </row>
    <row r="3579" spans="1:11">
      <c r="A3579"/>
      <c r="B3579"/>
      <c r="C3579"/>
      <c r="D3579"/>
      <c r="E3579"/>
      <c r="F3579"/>
      <c r="G3579"/>
      <c r="H3579"/>
      <c r="I3579"/>
      <c r="J3579"/>
      <c r="K3579"/>
    </row>
    <row r="3580" spans="1:11">
      <c r="A3580"/>
      <c r="B3580"/>
      <c r="C3580"/>
      <c r="D3580"/>
      <c r="E3580"/>
      <c r="F3580"/>
      <c r="G3580"/>
      <c r="H3580"/>
      <c r="I3580"/>
      <c r="J3580"/>
      <c r="K3580"/>
    </row>
    <row r="3581" spans="1:11">
      <c r="A3581"/>
      <c r="B3581"/>
      <c r="C3581"/>
      <c r="D3581"/>
      <c r="E3581"/>
      <c r="F3581"/>
      <c r="G3581"/>
      <c r="H3581"/>
      <c r="I3581"/>
      <c r="J3581"/>
      <c r="K3581"/>
    </row>
    <row r="3582" spans="1:11">
      <c r="A3582"/>
      <c r="B3582"/>
      <c r="C3582"/>
      <c r="D3582"/>
      <c r="E3582"/>
      <c r="F3582"/>
      <c r="G3582"/>
      <c r="H3582"/>
      <c r="I3582"/>
      <c r="J3582"/>
      <c r="K3582"/>
    </row>
    <row r="3583" spans="1:11">
      <c r="A3583"/>
      <c r="B3583"/>
      <c r="C3583"/>
      <c r="D3583"/>
      <c r="E3583"/>
      <c r="F3583"/>
      <c r="G3583"/>
      <c r="H3583"/>
      <c r="I3583"/>
      <c r="J3583"/>
      <c r="K3583"/>
    </row>
    <row r="3584" spans="1:11">
      <c r="A3584"/>
      <c r="B3584"/>
      <c r="C3584"/>
      <c r="D3584"/>
      <c r="E3584"/>
      <c r="F3584"/>
      <c r="G3584"/>
      <c r="H3584"/>
      <c r="I3584"/>
      <c r="J3584"/>
      <c r="K3584"/>
    </row>
    <row r="3585" spans="1:11">
      <c r="A3585"/>
      <c r="B3585"/>
      <c r="C3585"/>
      <c r="D3585"/>
      <c r="E3585"/>
      <c r="F3585"/>
      <c r="G3585"/>
      <c r="H3585"/>
      <c r="I3585"/>
      <c r="J3585"/>
      <c r="K3585"/>
    </row>
    <row r="3586" spans="1:11">
      <c r="A3586"/>
      <c r="B3586"/>
      <c r="C3586"/>
      <c r="D3586"/>
      <c r="E3586"/>
      <c r="F3586"/>
      <c r="G3586"/>
      <c r="H3586"/>
      <c r="I3586"/>
      <c r="J3586"/>
      <c r="K3586"/>
    </row>
    <row r="3587" spans="1:11">
      <c r="A3587"/>
      <c r="B3587"/>
      <c r="C3587"/>
      <c r="D3587"/>
      <c r="E3587"/>
      <c r="F3587"/>
      <c r="G3587"/>
      <c r="H3587"/>
      <c r="I3587"/>
      <c r="J3587"/>
      <c r="K3587"/>
    </row>
    <row r="3588" spans="1:11">
      <c r="A3588"/>
      <c r="B3588"/>
      <c r="C3588"/>
      <c r="D3588"/>
      <c r="E3588"/>
      <c r="F3588"/>
      <c r="G3588"/>
      <c r="H3588"/>
      <c r="I3588"/>
      <c r="J3588"/>
      <c r="K3588"/>
    </row>
    <row r="3589" spans="1:11">
      <c r="A3589"/>
      <c r="B3589"/>
      <c r="C3589"/>
      <c r="D3589"/>
      <c r="E3589"/>
      <c r="F3589"/>
      <c r="G3589"/>
      <c r="H3589"/>
      <c r="I3589"/>
      <c r="J3589"/>
      <c r="K3589"/>
    </row>
    <row r="3590" spans="1:11">
      <c r="A3590"/>
      <c r="B3590"/>
      <c r="C3590"/>
      <c r="D3590"/>
      <c r="E3590"/>
      <c r="F3590"/>
      <c r="G3590"/>
      <c r="H3590"/>
      <c r="I3590"/>
      <c r="J3590"/>
      <c r="K3590"/>
    </row>
    <row r="3591" spans="1:11">
      <c r="A3591"/>
      <c r="B3591"/>
      <c r="C3591"/>
      <c r="D3591"/>
      <c r="E3591"/>
      <c r="F3591"/>
      <c r="G3591"/>
      <c r="H3591"/>
      <c r="I3591"/>
      <c r="J3591"/>
      <c r="K3591"/>
    </row>
    <row r="3592" spans="1:11">
      <c r="A3592"/>
      <c r="B3592"/>
      <c r="C3592"/>
      <c r="D3592"/>
      <c r="E3592"/>
      <c r="F3592"/>
      <c r="G3592"/>
      <c r="H3592"/>
      <c r="I3592"/>
      <c r="J3592"/>
      <c r="K3592"/>
    </row>
    <row r="3593" spans="1:11">
      <c r="A3593"/>
      <c r="B3593"/>
      <c r="C3593"/>
      <c r="D3593"/>
      <c r="E3593"/>
      <c r="F3593"/>
      <c r="G3593"/>
      <c r="H3593"/>
      <c r="I3593"/>
      <c r="J3593"/>
      <c r="K3593"/>
    </row>
    <row r="3594" spans="1:11">
      <c r="A3594"/>
      <c r="B3594"/>
      <c r="C3594"/>
      <c r="D3594"/>
      <c r="E3594"/>
      <c r="F3594"/>
      <c r="G3594"/>
      <c r="H3594"/>
      <c r="I3594"/>
      <c r="J3594"/>
      <c r="K3594"/>
    </row>
    <row r="3595" spans="1:11">
      <c r="A3595"/>
      <c r="B3595"/>
      <c r="C3595"/>
      <c r="D3595"/>
      <c r="E3595"/>
      <c r="F3595"/>
      <c r="G3595"/>
      <c r="H3595"/>
      <c r="I3595"/>
      <c r="J3595"/>
      <c r="K3595"/>
    </row>
    <row r="3596" spans="1:11">
      <c r="A3596"/>
      <c r="B3596"/>
      <c r="C3596"/>
      <c r="D3596"/>
      <c r="E3596"/>
      <c r="F3596"/>
      <c r="G3596"/>
      <c r="H3596"/>
      <c r="I3596"/>
      <c r="J3596"/>
      <c r="K3596"/>
    </row>
    <row r="3597" spans="1:11">
      <c r="A3597"/>
      <c r="B3597"/>
      <c r="C3597"/>
      <c r="D3597"/>
      <c r="E3597"/>
      <c r="F3597"/>
      <c r="G3597"/>
      <c r="H3597"/>
      <c r="I3597"/>
      <c r="J3597"/>
      <c r="K3597"/>
    </row>
    <row r="3598" spans="1:11">
      <c r="A3598"/>
      <c r="B3598"/>
      <c r="C3598"/>
      <c r="D3598"/>
      <c r="E3598"/>
      <c r="F3598"/>
      <c r="G3598"/>
      <c r="H3598"/>
      <c r="I3598"/>
      <c r="J3598"/>
      <c r="K3598"/>
    </row>
    <row r="3599" spans="1:11">
      <c r="A3599"/>
      <c r="B3599"/>
      <c r="C3599"/>
      <c r="D3599"/>
      <c r="E3599"/>
      <c r="F3599"/>
      <c r="G3599"/>
      <c r="H3599"/>
      <c r="I3599"/>
      <c r="J3599"/>
      <c r="K3599"/>
    </row>
    <row r="3600" spans="1:11">
      <c r="A3600"/>
      <c r="B3600"/>
      <c r="C3600"/>
      <c r="D3600"/>
      <c r="E3600"/>
      <c r="F3600"/>
      <c r="G3600"/>
      <c r="H3600"/>
      <c r="I3600"/>
      <c r="J3600"/>
      <c r="K3600"/>
    </row>
    <row r="3601" spans="1:11">
      <c r="A3601"/>
      <c r="B3601"/>
      <c r="C3601"/>
      <c r="D3601"/>
      <c r="E3601"/>
      <c r="F3601"/>
      <c r="G3601"/>
      <c r="H3601"/>
      <c r="I3601"/>
      <c r="J3601"/>
      <c r="K3601"/>
    </row>
    <row r="3602" spans="1:11">
      <c r="A3602"/>
      <c r="B3602"/>
      <c r="C3602"/>
      <c r="D3602"/>
      <c r="E3602"/>
      <c r="F3602"/>
      <c r="G3602"/>
      <c r="H3602"/>
      <c r="I3602"/>
      <c r="J3602"/>
      <c r="K3602"/>
    </row>
    <row r="3603" spans="1:11">
      <c r="A3603"/>
      <c r="B3603"/>
      <c r="C3603"/>
      <c r="D3603"/>
      <c r="E3603"/>
      <c r="F3603"/>
      <c r="G3603"/>
      <c r="H3603"/>
      <c r="I3603"/>
      <c r="J3603"/>
      <c r="K3603"/>
    </row>
    <row r="3604" spans="1:11">
      <c r="A3604"/>
      <c r="B3604"/>
      <c r="C3604"/>
      <c r="D3604"/>
      <c r="E3604"/>
      <c r="F3604"/>
      <c r="G3604"/>
      <c r="H3604"/>
      <c r="I3604"/>
      <c r="J3604"/>
      <c r="K3604"/>
    </row>
    <row r="3605" spans="1:11">
      <c r="A3605"/>
      <c r="B3605"/>
      <c r="C3605"/>
      <c r="D3605"/>
      <c r="E3605"/>
      <c r="F3605"/>
      <c r="G3605"/>
      <c r="H3605"/>
      <c r="I3605"/>
      <c r="J3605"/>
      <c r="K3605"/>
    </row>
    <row r="3606" spans="1:11">
      <c r="A3606"/>
      <c r="B3606"/>
      <c r="C3606"/>
      <c r="D3606"/>
      <c r="E3606"/>
      <c r="F3606"/>
      <c r="G3606"/>
      <c r="H3606"/>
      <c r="I3606"/>
      <c r="J3606"/>
      <c r="K3606"/>
    </row>
    <row r="3607" spans="1:11">
      <c r="A3607"/>
      <c r="B3607"/>
      <c r="C3607"/>
      <c r="D3607"/>
      <c r="E3607"/>
      <c r="F3607"/>
      <c r="G3607"/>
      <c r="H3607"/>
      <c r="I3607"/>
      <c r="J3607"/>
      <c r="K3607"/>
    </row>
    <row r="3608" spans="1:11">
      <c r="A3608"/>
      <c r="B3608"/>
      <c r="C3608"/>
      <c r="D3608"/>
      <c r="E3608"/>
      <c r="F3608"/>
      <c r="G3608"/>
      <c r="H3608"/>
      <c r="I3608"/>
      <c r="J3608"/>
      <c r="K3608"/>
    </row>
    <row r="3609" spans="1:11">
      <c r="A3609"/>
      <c r="B3609"/>
      <c r="C3609"/>
      <c r="D3609"/>
      <c r="E3609"/>
      <c r="F3609"/>
      <c r="G3609"/>
      <c r="H3609"/>
      <c r="I3609"/>
      <c r="J3609"/>
      <c r="K3609"/>
    </row>
    <row r="3610" spans="1:11">
      <c r="A3610"/>
      <c r="B3610"/>
      <c r="C3610"/>
      <c r="D3610"/>
      <c r="E3610"/>
      <c r="F3610"/>
      <c r="G3610"/>
      <c r="H3610"/>
      <c r="I3610"/>
      <c r="J3610"/>
      <c r="K3610"/>
    </row>
    <row r="3611" spans="1:11">
      <c r="A3611"/>
      <c r="B3611"/>
      <c r="C3611"/>
      <c r="D3611"/>
      <c r="E3611"/>
      <c r="F3611"/>
      <c r="G3611"/>
      <c r="H3611"/>
      <c r="I3611"/>
      <c r="J3611"/>
      <c r="K3611"/>
    </row>
    <row r="3612" spans="1:11">
      <c r="A3612"/>
      <c r="B3612"/>
      <c r="C3612"/>
      <c r="D3612"/>
      <c r="E3612"/>
      <c r="F3612"/>
      <c r="G3612"/>
      <c r="H3612"/>
      <c r="I3612"/>
      <c r="J3612"/>
      <c r="K3612"/>
    </row>
    <row r="3613" spans="1:11">
      <c r="A3613"/>
      <c r="B3613"/>
      <c r="C3613"/>
      <c r="D3613"/>
      <c r="E3613"/>
      <c r="F3613"/>
      <c r="G3613"/>
      <c r="H3613"/>
      <c r="I3613"/>
      <c r="J3613"/>
      <c r="K3613"/>
    </row>
    <row r="3614" spans="1:11">
      <c r="A3614"/>
      <c r="B3614"/>
      <c r="C3614"/>
      <c r="D3614"/>
      <c r="E3614"/>
      <c r="F3614"/>
      <c r="G3614"/>
      <c r="H3614"/>
      <c r="I3614"/>
      <c r="J3614"/>
      <c r="K3614"/>
    </row>
    <row r="3615" spans="1:11">
      <c r="A3615"/>
      <c r="B3615"/>
      <c r="C3615"/>
      <c r="D3615"/>
      <c r="E3615"/>
      <c r="F3615"/>
      <c r="G3615"/>
      <c r="H3615"/>
      <c r="I3615"/>
      <c r="J3615"/>
      <c r="K3615"/>
    </row>
    <row r="3616" spans="1:11">
      <c r="A3616"/>
      <c r="B3616"/>
      <c r="C3616"/>
      <c r="D3616"/>
      <c r="E3616"/>
      <c r="F3616"/>
      <c r="G3616"/>
      <c r="H3616"/>
      <c r="I3616"/>
      <c r="J3616"/>
      <c r="K3616"/>
    </row>
    <row r="3617" spans="1:11">
      <c r="A3617"/>
      <c r="B3617"/>
      <c r="C3617"/>
      <c r="D3617"/>
      <c r="E3617"/>
      <c r="F3617"/>
      <c r="G3617"/>
      <c r="H3617"/>
      <c r="I3617"/>
      <c r="J3617"/>
      <c r="K3617"/>
    </row>
    <row r="3618" spans="1:11">
      <c r="A3618"/>
      <c r="B3618"/>
      <c r="C3618"/>
      <c r="D3618"/>
      <c r="E3618"/>
      <c r="F3618"/>
      <c r="G3618"/>
      <c r="H3618"/>
      <c r="I3618"/>
      <c r="J3618"/>
      <c r="K3618"/>
    </row>
    <row r="3619" spans="1:11">
      <c r="A3619"/>
      <c r="B3619"/>
      <c r="C3619"/>
      <c r="D3619"/>
      <c r="E3619"/>
      <c r="F3619"/>
      <c r="G3619"/>
      <c r="H3619"/>
      <c r="I3619"/>
      <c r="J3619"/>
      <c r="K3619"/>
    </row>
    <row r="3620" spans="1:11">
      <c r="A3620"/>
      <c r="B3620"/>
      <c r="C3620"/>
      <c r="D3620"/>
      <c r="E3620"/>
      <c r="F3620"/>
      <c r="G3620"/>
      <c r="H3620"/>
      <c r="I3620"/>
      <c r="J3620"/>
      <c r="K3620"/>
    </row>
    <row r="3621" spans="1:11">
      <c r="A3621"/>
      <c r="B3621"/>
      <c r="C3621"/>
      <c r="D3621"/>
      <c r="E3621"/>
      <c r="F3621"/>
      <c r="G3621"/>
      <c r="H3621"/>
      <c r="I3621"/>
      <c r="J3621"/>
      <c r="K3621"/>
    </row>
    <row r="3622" spans="1:11">
      <c r="A3622"/>
      <c r="B3622"/>
      <c r="C3622"/>
      <c r="D3622"/>
      <c r="E3622"/>
      <c r="F3622"/>
      <c r="G3622"/>
      <c r="H3622"/>
      <c r="I3622"/>
      <c r="J3622"/>
      <c r="K3622"/>
    </row>
    <row r="3623" spans="1:11">
      <c r="A3623"/>
      <c r="B3623"/>
      <c r="C3623"/>
      <c r="D3623"/>
      <c r="E3623"/>
      <c r="F3623"/>
      <c r="G3623"/>
      <c r="H3623"/>
      <c r="I3623"/>
      <c r="J3623"/>
      <c r="K3623"/>
    </row>
    <row r="3624" spans="1:11">
      <c r="A3624"/>
      <c r="B3624"/>
      <c r="C3624"/>
      <c r="D3624"/>
      <c r="E3624"/>
      <c r="F3624"/>
      <c r="G3624"/>
      <c r="H3624"/>
      <c r="I3624"/>
      <c r="J3624"/>
      <c r="K3624"/>
    </row>
    <row r="3625" spans="1:11">
      <c r="A3625"/>
      <c r="B3625"/>
      <c r="C3625"/>
      <c r="D3625"/>
      <c r="E3625"/>
      <c r="F3625"/>
      <c r="G3625"/>
      <c r="H3625"/>
      <c r="I3625"/>
      <c r="J3625"/>
      <c r="K3625"/>
    </row>
    <row r="3626" spans="1:11">
      <c r="A3626"/>
      <c r="B3626"/>
      <c r="C3626"/>
      <c r="D3626"/>
      <c r="E3626"/>
      <c r="F3626"/>
      <c r="G3626"/>
      <c r="H3626"/>
      <c r="I3626"/>
      <c r="J3626"/>
      <c r="K3626"/>
    </row>
    <row r="3627" spans="1:11">
      <c r="A3627"/>
      <c r="B3627"/>
      <c r="C3627"/>
      <c r="D3627"/>
      <c r="E3627"/>
      <c r="F3627"/>
      <c r="G3627"/>
      <c r="H3627"/>
      <c r="I3627"/>
      <c r="J3627"/>
      <c r="K3627"/>
    </row>
    <row r="3628" spans="1:11">
      <c r="A3628"/>
      <c r="B3628"/>
      <c r="C3628"/>
      <c r="D3628"/>
      <c r="E3628"/>
      <c r="F3628"/>
      <c r="G3628"/>
      <c r="H3628"/>
      <c r="I3628"/>
      <c r="J3628"/>
      <c r="K3628"/>
    </row>
    <row r="3629" spans="1:11">
      <c r="A3629"/>
      <c r="B3629"/>
      <c r="C3629"/>
      <c r="D3629"/>
      <c r="E3629"/>
      <c r="F3629"/>
      <c r="G3629"/>
      <c r="H3629"/>
      <c r="I3629"/>
      <c r="J3629"/>
      <c r="K3629"/>
    </row>
    <row r="3630" spans="1:11">
      <c r="A3630"/>
      <c r="B3630"/>
      <c r="C3630"/>
      <c r="D3630"/>
      <c r="E3630"/>
      <c r="F3630"/>
      <c r="G3630"/>
      <c r="H3630"/>
      <c r="I3630"/>
      <c r="J3630"/>
      <c r="K3630"/>
    </row>
    <row r="3631" spans="1:11">
      <c r="A3631"/>
      <c r="B3631"/>
      <c r="C3631"/>
      <c r="D3631"/>
      <c r="E3631"/>
      <c r="F3631"/>
      <c r="G3631"/>
      <c r="H3631"/>
      <c r="I3631"/>
      <c r="J3631"/>
      <c r="K3631"/>
    </row>
    <row r="3632" spans="1:11">
      <c r="A3632"/>
      <c r="B3632"/>
      <c r="C3632"/>
      <c r="D3632"/>
      <c r="E3632"/>
      <c r="F3632"/>
      <c r="G3632"/>
      <c r="H3632"/>
      <c r="I3632"/>
      <c r="J3632"/>
      <c r="K3632"/>
    </row>
    <row r="3633" spans="1:11">
      <c r="A3633"/>
      <c r="B3633"/>
      <c r="C3633"/>
      <c r="D3633"/>
      <c r="E3633"/>
      <c r="F3633"/>
      <c r="G3633"/>
      <c r="H3633"/>
      <c r="I3633"/>
      <c r="J3633"/>
      <c r="K3633"/>
    </row>
    <row r="3634" spans="1:11">
      <c r="A3634"/>
      <c r="B3634"/>
      <c r="C3634"/>
      <c r="D3634"/>
      <c r="E3634"/>
      <c r="F3634"/>
      <c r="G3634"/>
      <c r="H3634"/>
      <c r="I3634"/>
      <c r="J3634"/>
      <c r="K3634"/>
    </row>
    <row r="3635" spans="1:11">
      <c r="A3635"/>
      <c r="B3635"/>
      <c r="C3635"/>
      <c r="D3635"/>
      <c r="E3635"/>
      <c r="F3635"/>
      <c r="G3635"/>
      <c r="H3635"/>
      <c r="I3635"/>
      <c r="J3635"/>
      <c r="K3635"/>
    </row>
    <row r="3636" spans="1:11">
      <c r="A3636"/>
      <c r="B3636"/>
      <c r="C3636"/>
      <c r="D3636"/>
      <c r="E3636"/>
      <c r="F3636"/>
      <c r="G3636"/>
      <c r="H3636"/>
      <c r="I3636"/>
      <c r="J3636"/>
      <c r="K3636"/>
    </row>
    <row r="3637" spans="1:11">
      <c r="A3637"/>
      <c r="B3637"/>
      <c r="C3637"/>
      <c r="D3637"/>
      <c r="E3637"/>
      <c r="F3637"/>
      <c r="G3637"/>
      <c r="H3637"/>
      <c r="I3637"/>
      <c r="J3637"/>
      <c r="K3637"/>
    </row>
    <row r="3638" spans="1:11">
      <c r="A3638"/>
      <c r="B3638"/>
      <c r="C3638"/>
      <c r="D3638"/>
      <c r="E3638"/>
      <c r="F3638"/>
      <c r="G3638"/>
      <c r="H3638"/>
      <c r="I3638"/>
      <c r="J3638"/>
      <c r="K3638"/>
    </row>
    <row r="3639" spans="1:11">
      <c r="A3639"/>
      <c r="B3639"/>
      <c r="C3639"/>
      <c r="D3639"/>
      <c r="E3639"/>
      <c r="F3639"/>
      <c r="G3639"/>
      <c r="H3639"/>
      <c r="I3639"/>
      <c r="J3639"/>
      <c r="K3639"/>
    </row>
    <row r="3640" spans="1:11">
      <c r="A3640"/>
      <c r="B3640"/>
      <c r="C3640"/>
      <c r="D3640"/>
      <c r="E3640"/>
      <c r="F3640"/>
      <c r="G3640"/>
      <c r="H3640"/>
      <c r="I3640"/>
      <c r="J3640"/>
      <c r="K3640"/>
    </row>
    <row r="3641" spans="1:11">
      <c r="A3641"/>
      <c r="B3641"/>
      <c r="C3641"/>
      <c r="D3641"/>
      <c r="E3641"/>
      <c r="F3641"/>
      <c r="G3641"/>
      <c r="H3641"/>
      <c r="I3641"/>
      <c r="J3641"/>
      <c r="K3641"/>
    </row>
    <row r="3642" spans="1:11">
      <c r="A3642"/>
      <c r="B3642"/>
      <c r="C3642"/>
      <c r="D3642"/>
      <c r="E3642"/>
      <c r="F3642"/>
      <c r="G3642"/>
      <c r="H3642"/>
      <c r="I3642"/>
      <c r="J3642"/>
      <c r="K3642"/>
    </row>
    <row r="3643" spans="1:11">
      <c r="A3643"/>
      <c r="B3643"/>
      <c r="C3643"/>
      <c r="D3643"/>
      <c r="E3643"/>
      <c r="F3643"/>
      <c r="G3643"/>
      <c r="H3643"/>
      <c r="I3643"/>
      <c r="J3643"/>
      <c r="K3643"/>
    </row>
    <row r="3644" spans="1:11">
      <c r="A3644"/>
      <c r="B3644"/>
      <c r="C3644"/>
      <c r="D3644"/>
      <c r="E3644"/>
      <c r="F3644"/>
      <c r="G3644"/>
      <c r="H3644"/>
      <c r="I3644"/>
      <c r="J3644"/>
      <c r="K3644"/>
    </row>
    <row r="3645" spans="1:11">
      <c r="A3645"/>
      <c r="B3645"/>
      <c r="C3645"/>
      <c r="D3645"/>
      <c r="E3645"/>
      <c r="F3645"/>
      <c r="G3645"/>
      <c r="H3645"/>
      <c r="I3645"/>
      <c r="J3645"/>
      <c r="K3645"/>
    </row>
    <row r="3646" spans="1:11">
      <c r="A3646"/>
      <c r="B3646"/>
      <c r="C3646"/>
      <c r="D3646"/>
      <c r="E3646"/>
      <c r="F3646"/>
      <c r="G3646"/>
      <c r="H3646"/>
      <c r="I3646"/>
      <c r="J3646"/>
      <c r="K3646"/>
    </row>
    <row r="3647" spans="1:11">
      <c r="A3647"/>
      <c r="B3647"/>
      <c r="C3647"/>
      <c r="D3647"/>
      <c r="E3647"/>
      <c r="F3647"/>
      <c r="G3647"/>
      <c r="H3647"/>
      <c r="I3647"/>
      <c r="J3647"/>
      <c r="K3647"/>
    </row>
    <row r="3648" spans="1:11">
      <c r="A3648"/>
      <c r="B3648"/>
      <c r="C3648"/>
      <c r="D3648"/>
      <c r="E3648"/>
      <c r="F3648"/>
      <c r="G3648"/>
      <c r="H3648"/>
      <c r="I3648"/>
      <c r="J3648"/>
      <c r="K3648"/>
    </row>
    <row r="3649" spans="1:11">
      <c r="A3649"/>
      <c r="B3649"/>
      <c r="C3649"/>
      <c r="D3649"/>
      <c r="E3649"/>
      <c r="F3649"/>
      <c r="G3649"/>
      <c r="H3649"/>
      <c r="I3649"/>
      <c r="J3649"/>
      <c r="K3649"/>
    </row>
    <row r="3650" spans="1:11">
      <c r="A3650"/>
      <c r="B3650"/>
      <c r="C3650"/>
      <c r="D3650"/>
      <c r="E3650"/>
      <c r="F3650"/>
      <c r="G3650"/>
      <c r="H3650"/>
      <c r="I3650"/>
      <c r="J3650"/>
      <c r="K3650"/>
    </row>
    <row r="3651" spans="1:11">
      <c r="A3651"/>
      <c r="B3651"/>
      <c r="C3651"/>
      <c r="D3651"/>
      <c r="E3651"/>
      <c r="F3651"/>
      <c r="G3651"/>
      <c r="H3651"/>
      <c r="I3651"/>
      <c r="J3651"/>
      <c r="K3651"/>
    </row>
    <row r="3652" spans="1:11">
      <c r="A3652"/>
      <c r="B3652"/>
      <c r="C3652"/>
      <c r="D3652"/>
      <c r="E3652"/>
      <c r="F3652"/>
      <c r="G3652"/>
      <c r="H3652"/>
      <c r="I3652"/>
      <c r="J3652"/>
      <c r="K3652"/>
    </row>
    <row r="3653" spans="1:11">
      <c r="A3653"/>
      <c r="B3653"/>
      <c r="C3653"/>
      <c r="D3653"/>
      <c r="E3653"/>
      <c r="F3653"/>
      <c r="G3653"/>
      <c r="H3653"/>
      <c r="I3653"/>
      <c r="J3653"/>
      <c r="K3653"/>
    </row>
    <row r="3654" spans="1:11">
      <c r="A3654"/>
      <c r="B3654"/>
      <c r="C3654"/>
      <c r="D3654"/>
      <c r="E3654"/>
      <c r="F3654"/>
      <c r="G3654"/>
      <c r="H3654"/>
      <c r="I3654"/>
      <c r="J3654"/>
      <c r="K3654"/>
    </row>
    <row r="3655" spans="1:11">
      <c r="A3655"/>
      <c r="B3655"/>
      <c r="C3655"/>
      <c r="D3655"/>
      <c r="E3655"/>
      <c r="F3655"/>
      <c r="G3655"/>
      <c r="H3655"/>
      <c r="I3655"/>
      <c r="J3655"/>
      <c r="K3655"/>
    </row>
    <row r="3656" spans="1:11">
      <c r="A3656"/>
      <c r="B3656"/>
      <c r="C3656"/>
      <c r="D3656"/>
      <c r="E3656"/>
      <c r="F3656"/>
      <c r="G3656"/>
      <c r="H3656"/>
      <c r="I3656"/>
      <c r="J3656"/>
      <c r="K3656"/>
    </row>
    <row r="3657" spans="1:11">
      <c r="A3657"/>
      <c r="B3657"/>
      <c r="C3657"/>
      <c r="D3657"/>
      <c r="E3657"/>
      <c r="F3657"/>
      <c r="G3657"/>
      <c r="H3657"/>
      <c r="I3657"/>
      <c r="J3657"/>
      <c r="K3657"/>
    </row>
    <row r="3658" spans="1:11">
      <c r="A3658"/>
      <c r="B3658"/>
      <c r="C3658"/>
      <c r="D3658"/>
      <c r="E3658"/>
      <c r="F3658"/>
      <c r="G3658"/>
      <c r="H3658"/>
      <c r="I3658"/>
      <c r="J3658"/>
      <c r="K3658"/>
    </row>
    <row r="3659" spans="1:11">
      <c r="A3659"/>
      <c r="B3659"/>
      <c r="C3659"/>
      <c r="D3659"/>
      <c r="E3659"/>
      <c r="F3659"/>
      <c r="G3659"/>
      <c r="H3659"/>
      <c r="I3659"/>
      <c r="J3659"/>
      <c r="K3659"/>
    </row>
    <row r="3660" spans="1:11">
      <c r="A3660"/>
      <c r="B3660"/>
      <c r="C3660"/>
      <c r="D3660"/>
      <c r="E3660"/>
      <c r="F3660"/>
      <c r="G3660"/>
      <c r="H3660"/>
      <c r="I3660"/>
      <c r="J3660"/>
      <c r="K3660"/>
    </row>
    <row r="3661" spans="1:11">
      <c r="A3661"/>
      <c r="B3661"/>
      <c r="C3661"/>
      <c r="D3661"/>
      <c r="E3661"/>
      <c r="F3661"/>
      <c r="G3661"/>
      <c r="H3661"/>
      <c r="I3661"/>
      <c r="J3661"/>
      <c r="K3661"/>
    </row>
    <row r="3662" spans="1:11">
      <c r="A3662"/>
      <c r="B3662"/>
      <c r="C3662"/>
      <c r="D3662"/>
      <c r="E3662"/>
      <c r="F3662"/>
      <c r="G3662"/>
      <c r="H3662"/>
      <c r="I3662"/>
      <c r="J3662"/>
      <c r="K3662"/>
    </row>
    <row r="3663" spans="1:11">
      <c r="A3663"/>
      <c r="B3663"/>
      <c r="C3663"/>
      <c r="D3663"/>
      <c r="E3663"/>
      <c r="F3663"/>
      <c r="G3663"/>
      <c r="H3663"/>
      <c r="I3663"/>
      <c r="J3663"/>
      <c r="K3663"/>
    </row>
    <row r="3664" spans="1:11">
      <c r="A3664"/>
      <c r="B3664"/>
      <c r="C3664"/>
      <c r="D3664"/>
      <c r="E3664"/>
      <c r="F3664"/>
      <c r="G3664"/>
      <c r="H3664"/>
      <c r="I3664"/>
      <c r="J3664"/>
      <c r="K3664"/>
    </row>
    <row r="3665" spans="1:11">
      <c r="A3665"/>
      <c r="B3665"/>
      <c r="C3665"/>
      <c r="D3665"/>
      <c r="E3665"/>
      <c r="F3665"/>
      <c r="G3665"/>
      <c r="H3665"/>
      <c r="I3665"/>
      <c r="J3665"/>
      <c r="K3665"/>
    </row>
    <row r="3666" spans="1:11">
      <c r="A3666"/>
      <c r="B3666"/>
      <c r="C3666"/>
      <c r="D3666"/>
      <c r="E3666"/>
      <c r="F3666"/>
      <c r="G3666"/>
      <c r="H3666"/>
      <c r="I3666"/>
      <c r="J3666"/>
      <c r="K3666"/>
    </row>
    <row r="3667" spans="1:11">
      <c r="A3667"/>
      <c r="B3667"/>
      <c r="C3667"/>
      <c r="D3667"/>
      <c r="E3667"/>
      <c r="F3667"/>
      <c r="G3667"/>
      <c r="H3667"/>
      <c r="I3667"/>
      <c r="J3667"/>
      <c r="K3667"/>
    </row>
    <row r="3668" spans="1:11">
      <c r="A3668"/>
      <c r="B3668"/>
      <c r="C3668"/>
      <c r="D3668"/>
      <c r="E3668"/>
      <c r="F3668"/>
      <c r="G3668"/>
      <c r="H3668"/>
      <c r="I3668"/>
      <c r="J3668"/>
      <c r="K3668"/>
    </row>
    <row r="3669" spans="1:11">
      <c r="A3669"/>
      <c r="B3669"/>
      <c r="C3669"/>
      <c r="D3669"/>
      <c r="E3669"/>
      <c r="F3669"/>
      <c r="G3669"/>
      <c r="H3669"/>
      <c r="I3669"/>
      <c r="J3669"/>
      <c r="K3669"/>
    </row>
    <row r="3670" spans="1:11">
      <c r="A3670"/>
      <c r="B3670"/>
      <c r="C3670"/>
      <c r="D3670"/>
      <c r="E3670"/>
      <c r="F3670"/>
      <c r="G3670"/>
      <c r="H3670"/>
      <c r="I3670"/>
      <c r="J3670"/>
      <c r="K3670"/>
    </row>
    <row r="3671" spans="1:11">
      <c r="A3671"/>
      <c r="B3671"/>
      <c r="C3671"/>
      <c r="D3671"/>
      <c r="E3671"/>
      <c r="F3671"/>
      <c r="G3671"/>
      <c r="H3671"/>
      <c r="I3671"/>
      <c r="J3671"/>
      <c r="K3671"/>
    </row>
    <row r="3672" spans="1:11">
      <c r="A3672"/>
      <c r="B3672"/>
      <c r="C3672"/>
      <c r="D3672"/>
      <c r="E3672"/>
      <c r="F3672"/>
      <c r="G3672"/>
      <c r="H3672"/>
      <c r="I3672"/>
      <c r="J3672"/>
      <c r="K3672"/>
    </row>
    <row r="3673" spans="1:11">
      <c r="A3673"/>
      <c r="B3673"/>
      <c r="C3673"/>
      <c r="D3673"/>
      <c r="E3673"/>
      <c r="F3673"/>
      <c r="G3673"/>
      <c r="H3673"/>
      <c r="I3673"/>
      <c r="J3673"/>
      <c r="K3673"/>
    </row>
    <row r="3674" spans="1:11">
      <c r="A3674"/>
      <c r="B3674"/>
      <c r="C3674"/>
      <c r="D3674"/>
      <c r="E3674"/>
      <c r="F3674"/>
      <c r="G3674"/>
      <c r="H3674"/>
      <c r="I3674"/>
      <c r="J3674"/>
      <c r="K3674"/>
    </row>
    <row r="3675" spans="1:11">
      <c r="A3675"/>
      <c r="B3675"/>
      <c r="C3675"/>
      <c r="D3675"/>
      <c r="E3675"/>
      <c r="F3675"/>
      <c r="G3675"/>
      <c r="H3675"/>
      <c r="I3675"/>
      <c r="J3675"/>
      <c r="K3675"/>
    </row>
    <row r="3676" spans="1:11">
      <c r="A3676"/>
      <c r="B3676"/>
      <c r="C3676"/>
      <c r="D3676"/>
      <c r="E3676"/>
      <c r="F3676"/>
      <c r="G3676"/>
      <c r="H3676"/>
      <c r="I3676"/>
      <c r="J3676"/>
      <c r="K3676"/>
    </row>
    <row r="3677" spans="1:11">
      <c r="A3677"/>
      <c r="B3677"/>
      <c r="C3677"/>
      <c r="D3677"/>
      <c r="E3677"/>
      <c r="F3677"/>
      <c r="G3677"/>
      <c r="H3677"/>
      <c r="I3677"/>
      <c r="J3677"/>
      <c r="K3677"/>
    </row>
    <row r="3678" spans="1:11">
      <c r="A3678"/>
      <c r="B3678"/>
      <c r="C3678"/>
      <c r="D3678"/>
      <c r="E3678"/>
      <c r="F3678"/>
      <c r="G3678"/>
      <c r="H3678"/>
      <c r="I3678"/>
      <c r="J3678"/>
      <c r="K3678"/>
    </row>
    <row r="3679" spans="1:11">
      <c r="A3679"/>
      <c r="B3679"/>
      <c r="C3679"/>
      <c r="D3679"/>
      <c r="E3679"/>
      <c r="F3679"/>
      <c r="G3679"/>
      <c r="H3679"/>
      <c r="I3679"/>
      <c r="J3679"/>
      <c r="K3679"/>
    </row>
    <row r="3680" spans="1:11">
      <c r="A3680"/>
      <c r="B3680"/>
      <c r="C3680"/>
      <c r="D3680"/>
      <c r="E3680"/>
      <c r="F3680"/>
      <c r="G3680"/>
      <c r="H3680"/>
      <c r="I3680"/>
      <c r="J3680"/>
      <c r="K3680"/>
    </row>
    <row r="3681" spans="1:11">
      <c r="A3681"/>
      <c r="B3681"/>
      <c r="C3681"/>
      <c r="D3681"/>
      <c r="E3681"/>
      <c r="F3681"/>
      <c r="G3681"/>
      <c r="H3681"/>
      <c r="I3681"/>
      <c r="J3681"/>
      <c r="K3681"/>
    </row>
    <row r="3682" spans="1:11">
      <c r="A3682"/>
      <c r="B3682"/>
      <c r="C3682"/>
      <c r="D3682"/>
      <c r="E3682"/>
      <c r="F3682"/>
      <c r="G3682"/>
      <c r="H3682"/>
      <c r="I3682"/>
      <c r="J3682"/>
      <c r="K3682"/>
    </row>
    <row r="3683" spans="1:11">
      <c r="A3683"/>
      <c r="B3683"/>
      <c r="C3683"/>
      <c r="D3683"/>
      <c r="E3683"/>
      <c r="F3683"/>
      <c r="G3683"/>
      <c r="H3683"/>
      <c r="I3683"/>
      <c r="J3683"/>
      <c r="K3683"/>
    </row>
    <row r="3684" spans="1:11">
      <c r="A3684"/>
      <c r="B3684"/>
      <c r="C3684"/>
      <c r="D3684"/>
      <c r="E3684"/>
      <c r="F3684"/>
      <c r="G3684"/>
      <c r="H3684"/>
      <c r="I3684"/>
      <c r="J3684"/>
      <c r="K3684"/>
    </row>
    <row r="3685" spans="1:11">
      <c r="A3685"/>
      <c r="B3685"/>
      <c r="C3685"/>
      <c r="D3685"/>
      <c r="E3685"/>
      <c r="F3685"/>
      <c r="G3685"/>
      <c r="H3685"/>
      <c r="I3685"/>
      <c r="J3685"/>
      <c r="K3685"/>
    </row>
    <row r="3686" spans="1:11">
      <c r="A3686"/>
      <c r="B3686"/>
      <c r="C3686"/>
      <c r="D3686"/>
      <c r="E3686"/>
      <c r="F3686"/>
      <c r="G3686"/>
      <c r="H3686"/>
      <c r="I3686"/>
      <c r="J3686"/>
      <c r="K3686"/>
    </row>
    <row r="3687" spans="1:11">
      <c r="A3687"/>
      <c r="B3687"/>
      <c r="C3687"/>
      <c r="D3687"/>
      <c r="E3687"/>
      <c r="F3687"/>
      <c r="G3687"/>
      <c r="H3687"/>
      <c r="I3687"/>
      <c r="J3687"/>
      <c r="K3687"/>
    </row>
    <row r="3688" spans="1:11">
      <c r="A3688"/>
      <c r="B3688"/>
      <c r="C3688"/>
      <c r="D3688"/>
      <c r="E3688"/>
      <c r="F3688"/>
      <c r="G3688"/>
      <c r="H3688"/>
      <c r="I3688"/>
      <c r="J3688"/>
      <c r="K3688"/>
    </row>
    <row r="3689" spans="1:11">
      <c r="A3689"/>
      <c r="B3689"/>
      <c r="C3689"/>
      <c r="D3689"/>
      <c r="E3689"/>
      <c r="F3689"/>
      <c r="G3689"/>
      <c r="H3689"/>
      <c r="I3689"/>
      <c r="J3689"/>
      <c r="K3689"/>
    </row>
    <row r="3690" spans="1:11">
      <c r="A3690"/>
      <c r="B3690"/>
      <c r="C3690"/>
      <c r="D3690"/>
      <c r="E3690"/>
      <c r="F3690"/>
      <c r="G3690"/>
      <c r="H3690"/>
      <c r="I3690"/>
      <c r="J3690"/>
      <c r="K3690"/>
    </row>
    <row r="3691" spans="1:11">
      <c r="A3691"/>
      <c r="B3691"/>
      <c r="C3691"/>
      <c r="D3691"/>
      <c r="E3691"/>
      <c r="F3691"/>
      <c r="G3691"/>
      <c r="H3691"/>
      <c r="I3691"/>
      <c r="J3691"/>
      <c r="K3691"/>
    </row>
    <row r="3692" spans="1:11">
      <c r="A3692"/>
      <c r="B3692"/>
      <c r="C3692"/>
      <c r="D3692"/>
      <c r="E3692"/>
      <c r="F3692"/>
      <c r="G3692"/>
      <c r="H3692"/>
      <c r="I3692"/>
      <c r="J3692"/>
      <c r="K3692"/>
    </row>
    <row r="3693" spans="1:11">
      <c r="A3693"/>
      <c r="B3693"/>
      <c r="C3693"/>
      <c r="D3693"/>
      <c r="E3693"/>
      <c r="F3693"/>
      <c r="G3693"/>
      <c r="H3693"/>
      <c r="I3693"/>
      <c r="J3693"/>
      <c r="K3693"/>
    </row>
    <row r="3694" spans="1:11">
      <c r="A3694"/>
      <c r="B3694"/>
      <c r="C3694"/>
      <c r="D3694"/>
      <c r="E3694"/>
      <c r="F3694"/>
      <c r="G3694"/>
      <c r="H3694"/>
      <c r="I3694"/>
      <c r="J3694"/>
      <c r="K3694"/>
    </row>
    <row r="3695" spans="1:11">
      <c r="A3695"/>
      <c r="B3695"/>
      <c r="C3695"/>
      <c r="D3695"/>
      <c r="E3695"/>
      <c r="F3695"/>
      <c r="G3695"/>
      <c r="H3695"/>
      <c r="I3695"/>
      <c r="J3695"/>
      <c r="K3695"/>
    </row>
    <row r="3696" spans="1:11">
      <c r="A3696"/>
      <c r="B3696"/>
      <c r="C3696"/>
      <c r="D3696"/>
      <c r="E3696"/>
      <c r="F3696"/>
      <c r="G3696"/>
      <c r="H3696"/>
      <c r="I3696"/>
      <c r="J3696"/>
      <c r="K3696"/>
    </row>
    <row r="3697" spans="1:11">
      <c r="A3697"/>
      <c r="B3697"/>
      <c r="C3697"/>
      <c r="D3697"/>
      <c r="E3697"/>
      <c r="F3697"/>
      <c r="G3697"/>
      <c r="H3697"/>
      <c r="I3697"/>
      <c r="J3697"/>
      <c r="K3697"/>
    </row>
    <row r="3698" spans="1:11">
      <c r="A3698"/>
      <c r="B3698"/>
      <c r="C3698"/>
      <c r="D3698"/>
      <c r="E3698"/>
      <c r="F3698"/>
      <c r="G3698"/>
      <c r="H3698"/>
      <c r="I3698"/>
      <c r="J3698"/>
      <c r="K3698"/>
    </row>
    <row r="3699" spans="1:11">
      <c r="A3699"/>
      <c r="B3699"/>
      <c r="C3699"/>
      <c r="D3699"/>
      <c r="E3699"/>
      <c r="F3699"/>
      <c r="G3699"/>
      <c r="H3699"/>
      <c r="I3699"/>
      <c r="J3699"/>
      <c r="K3699"/>
    </row>
    <row r="3700" spans="1:11">
      <c r="A3700"/>
      <c r="B3700"/>
      <c r="C3700"/>
      <c r="D3700"/>
      <c r="E3700"/>
      <c r="F3700"/>
      <c r="G3700"/>
      <c r="H3700"/>
      <c r="I3700"/>
      <c r="J3700"/>
      <c r="K3700"/>
    </row>
    <row r="3701" spans="1:11">
      <c r="A3701"/>
      <c r="B3701"/>
      <c r="C3701"/>
      <c r="D3701"/>
      <c r="E3701"/>
      <c r="F3701"/>
      <c r="G3701"/>
      <c r="H3701"/>
      <c r="I3701"/>
      <c r="J3701"/>
      <c r="K3701"/>
    </row>
    <row r="3702" spans="1:11">
      <c r="A3702"/>
      <c r="B3702"/>
      <c r="C3702"/>
      <c r="D3702"/>
      <c r="E3702"/>
      <c r="F3702"/>
      <c r="G3702"/>
      <c r="H3702"/>
      <c r="I3702"/>
      <c r="J3702"/>
      <c r="K3702"/>
    </row>
    <row r="3703" spans="1:11">
      <c r="A3703"/>
      <c r="B3703"/>
      <c r="C3703"/>
      <c r="D3703"/>
      <c r="E3703"/>
      <c r="F3703"/>
      <c r="G3703"/>
      <c r="H3703"/>
      <c r="I3703"/>
      <c r="J3703"/>
      <c r="K3703"/>
    </row>
    <row r="3704" spans="1:11">
      <c r="A3704"/>
      <c r="B3704"/>
      <c r="C3704"/>
      <c r="D3704"/>
      <c r="E3704"/>
      <c r="F3704"/>
      <c r="G3704"/>
      <c r="H3704"/>
      <c r="I3704"/>
      <c r="J3704"/>
      <c r="K3704"/>
    </row>
    <row r="3705" spans="1:11">
      <c r="A3705"/>
      <c r="B3705"/>
      <c r="C3705"/>
      <c r="D3705"/>
      <c r="E3705"/>
      <c r="F3705"/>
      <c r="G3705"/>
      <c r="H3705"/>
      <c r="I3705"/>
      <c r="J3705"/>
      <c r="K3705"/>
    </row>
    <row r="3706" spans="1:11">
      <c r="A3706"/>
      <c r="B3706"/>
      <c r="C3706"/>
      <c r="D3706"/>
      <c r="E3706"/>
      <c r="F3706"/>
      <c r="G3706"/>
      <c r="H3706"/>
      <c r="I3706"/>
      <c r="J3706"/>
      <c r="K3706"/>
    </row>
    <row r="3707" spans="1:11">
      <c r="A3707"/>
      <c r="B3707"/>
      <c r="C3707"/>
      <c r="D3707"/>
      <c r="E3707"/>
      <c r="F3707"/>
      <c r="G3707"/>
      <c r="H3707"/>
      <c r="I3707"/>
      <c r="J3707"/>
      <c r="K3707"/>
    </row>
    <row r="3708" spans="1:11">
      <c r="A3708"/>
      <c r="B3708"/>
      <c r="C3708"/>
      <c r="D3708"/>
      <c r="E3708"/>
      <c r="F3708"/>
      <c r="G3708"/>
      <c r="H3708"/>
      <c r="I3708"/>
      <c r="J3708"/>
      <c r="K3708"/>
    </row>
    <row r="3709" spans="1:11">
      <c r="A3709"/>
      <c r="B3709"/>
      <c r="C3709"/>
      <c r="D3709"/>
      <c r="E3709"/>
      <c r="F3709"/>
      <c r="G3709"/>
      <c r="H3709"/>
      <c r="I3709"/>
      <c r="J3709"/>
      <c r="K3709"/>
    </row>
    <row r="3710" spans="1:11">
      <c r="A3710"/>
      <c r="B3710"/>
      <c r="C3710"/>
      <c r="D3710"/>
      <c r="E3710"/>
      <c r="F3710"/>
      <c r="G3710"/>
      <c r="H3710"/>
      <c r="I3710"/>
      <c r="J3710"/>
      <c r="K3710"/>
    </row>
    <row r="3711" spans="1:11">
      <c r="A3711"/>
      <c r="B3711"/>
      <c r="C3711"/>
      <c r="D3711"/>
      <c r="E3711"/>
      <c r="F3711"/>
      <c r="G3711"/>
      <c r="H3711"/>
      <c r="I3711"/>
      <c r="J3711"/>
      <c r="K3711"/>
    </row>
    <row r="3712" spans="1:11">
      <c r="A3712"/>
      <c r="B3712"/>
      <c r="C3712"/>
      <c r="D3712"/>
      <c r="E3712"/>
      <c r="F3712"/>
      <c r="G3712"/>
      <c r="H3712"/>
      <c r="I3712"/>
      <c r="J3712"/>
      <c r="K3712"/>
    </row>
    <row r="3713" spans="1:11">
      <c r="A3713"/>
      <c r="B3713"/>
      <c r="C3713"/>
      <c r="D3713"/>
      <c r="E3713"/>
      <c r="F3713"/>
      <c r="G3713"/>
      <c r="H3713"/>
      <c r="I3713"/>
      <c r="J3713"/>
      <c r="K3713"/>
    </row>
    <row r="3714" spans="1:11">
      <c r="A3714"/>
      <c r="B3714"/>
      <c r="C3714"/>
      <c r="D3714"/>
      <c r="E3714"/>
      <c r="F3714"/>
      <c r="G3714"/>
      <c r="H3714"/>
      <c r="I3714"/>
      <c r="J3714"/>
      <c r="K3714"/>
    </row>
    <row r="3715" spans="1:11">
      <c r="A3715"/>
      <c r="B3715"/>
      <c r="C3715"/>
      <c r="D3715"/>
      <c r="E3715"/>
      <c r="F3715"/>
      <c r="G3715"/>
      <c r="H3715"/>
      <c r="I3715"/>
      <c r="J3715"/>
      <c r="K3715"/>
    </row>
    <row r="3716" spans="1:11">
      <c r="A3716"/>
      <c r="B3716"/>
      <c r="C3716"/>
      <c r="D3716"/>
      <c r="E3716"/>
      <c r="F3716"/>
      <c r="G3716"/>
      <c r="H3716"/>
      <c r="I3716"/>
      <c r="J3716"/>
      <c r="K3716"/>
    </row>
    <row r="3717" spans="1:11">
      <c r="A3717"/>
      <c r="B3717"/>
      <c r="C3717"/>
      <c r="D3717"/>
      <c r="E3717"/>
      <c r="F3717"/>
      <c r="G3717"/>
      <c r="H3717"/>
      <c r="I3717"/>
      <c r="J3717"/>
      <c r="K3717"/>
    </row>
    <row r="3718" spans="1:11">
      <c r="A3718"/>
      <c r="B3718"/>
      <c r="C3718"/>
      <c r="D3718"/>
      <c r="E3718"/>
      <c r="F3718"/>
      <c r="G3718"/>
      <c r="H3718"/>
      <c r="I3718"/>
      <c r="J3718"/>
      <c r="K3718"/>
    </row>
    <row r="3719" spans="1:11">
      <c r="A3719"/>
      <c r="B3719"/>
      <c r="C3719"/>
      <c r="D3719"/>
      <c r="E3719"/>
      <c r="F3719"/>
      <c r="G3719"/>
      <c r="H3719"/>
      <c r="I3719"/>
      <c r="J3719"/>
      <c r="K3719"/>
    </row>
    <row r="3720" spans="1:11">
      <c r="A3720"/>
      <c r="B3720"/>
      <c r="C3720"/>
      <c r="D3720"/>
      <c r="E3720"/>
      <c r="F3720"/>
      <c r="G3720"/>
      <c r="H3720"/>
      <c r="I3720"/>
      <c r="J3720"/>
      <c r="K3720"/>
    </row>
    <row r="3721" spans="1:11">
      <c r="A3721"/>
      <c r="B3721"/>
      <c r="C3721"/>
      <c r="D3721"/>
      <c r="E3721"/>
      <c r="F3721"/>
      <c r="G3721"/>
      <c r="H3721"/>
      <c r="I3721"/>
      <c r="J3721"/>
      <c r="K3721"/>
    </row>
    <row r="3722" spans="1:11">
      <c r="A3722"/>
      <c r="B3722"/>
      <c r="C3722"/>
      <c r="D3722"/>
      <c r="E3722"/>
      <c r="F3722"/>
      <c r="G3722"/>
      <c r="H3722"/>
      <c r="I3722"/>
      <c r="J3722"/>
      <c r="K3722"/>
    </row>
    <row r="3723" spans="1:11">
      <c r="A3723"/>
      <c r="B3723"/>
      <c r="C3723"/>
      <c r="D3723"/>
      <c r="E3723"/>
      <c r="F3723"/>
      <c r="G3723"/>
      <c r="H3723"/>
      <c r="I3723"/>
      <c r="J3723"/>
      <c r="K3723"/>
    </row>
    <row r="3724" spans="1:11">
      <c r="A3724"/>
      <c r="B3724"/>
      <c r="C3724"/>
      <c r="D3724"/>
      <c r="E3724"/>
      <c r="F3724"/>
      <c r="G3724"/>
      <c r="H3724"/>
      <c r="I3724"/>
      <c r="J3724"/>
      <c r="K3724"/>
    </row>
    <row r="3725" spans="1:11">
      <c r="A3725"/>
      <c r="B3725"/>
      <c r="C3725"/>
      <c r="D3725"/>
      <c r="E3725"/>
      <c r="F3725"/>
      <c r="G3725"/>
      <c r="H3725"/>
      <c r="I3725"/>
      <c r="J3725"/>
      <c r="K3725"/>
    </row>
    <row r="3726" spans="1:11">
      <c r="A3726"/>
      <c r="B3726"/>
      <c r="C3726"/>
      <c r="D3726"/>
      <c r="E3726"/>
      <c r="F3726"/>
      <c r="G3726"/>
      <c r="H3726"/>
      <c r="I3726"/>
      <c r="J3726"/>
      <c r="K3726"/>
    </row>
    <row r="3727" spans="1:11">
      <c r="A3727"/>
      <c r="B3727"/>
      <c r="C3727"/>
      <c r="D3727"/>
      <c r="E3727"/>
      <c r="F3727"/>
      <c r="G3727"/>
      <c r="H3727"/>
      <c r="I3727"/>
      <c r="J3727"/>
      <c r="K3727"/>
    </row>
    <row r="3728" spans="1:11">
      <c r="A3728"/>
      <c r="B3728"/>
      <c r="C3728"/>
      <c r="D3728"/>
      <c r="E3728"/>
      <c r="F3728"/>
      <c r="G3728"/>
      <c r="H3728"/>
      <c r="I3728"/>
      <c r="J3728"/>
      <c r="K3728"/>
    </row>
    <row r="3729" spans="1:11">
      <c r="A3729"/>
      <c r="B3729"/>
      <c r="C3729"/>
      <c r="D3729"/>
      <c r="E3729"/>
      <c r="F3729"/>
      <c r="G3729"/>
      <c r="H3729"/>
      <c r="I3729"/>
      <c r="J3729"/>
      <c r="K3729"/>
    </row>
    <row r="3730" spans="1:11">
      <c r="A3730"/>
      <c r="B3730"/>
      <c r="C3730"/>
      <c r="D3730"/>
      <c r="E3730"/>
      <c r="F3730"/>
      <c r="G3730"/>
      <c r="H3730"/>
      <c r="I3730"/>
      <c r="J3730"/>
      <c r="K3730"/>
    </row>
    <row r="3731" spans="1:11">
      <c r="A3731"/>
      <c r="B3731"/>
      <c r="C3731"/>
      <c r="D3731"/>
      <c r="E3731"/>
      <c r="F3731"/>
      <c r="G3731"/>
      <c r="H3731"/>
      <c r="I3731"/>
      <c r="J3731"/>
      <c r="K3731"/>
    </row>
    <row r="3732" spans="1:11">
      <c r="A3732"/>
      <c r="B3732"/>
      <c r="C3732"/>
      <c r="D3732"/>
      <c r="E3732"/>
      <c r="F3732"/>
      <c r="G3732"/>
      <c r="H3732"/>
      <c r="I3732"/>
      <c r="J3732"/>
      <c r="K3732"/>
    </row>
    <row r="3733" spans="1:11">
      <c r="A3733"/>
      <c r="B3733"/>
      <c r="C3733"/>
      <c r="D3733"/>
      <c r="E3733"/>
      <c r="F3733"/>
      <c r="G3733"/>
      <c r="H3733"/>
      <c r="I3733"/>
      <c r="J3733"/>
      <c r="K3733"/>
    </row>
    <row r="3734" spans="1:11">
      <c r="A3734"/>
      <c r="B3734"/>
      <c r="C3734"/>
      <c r="D3734"/>
      <c r="E3734"/>
      <c r="F3734"/>
      <c r="G3734"/>
      <c r="H3734"/>
      <c r="I3734"/>
      <c r="J3734"/>
      <c r="K3734"/>
    </row>
    <row r="3735" spans="1:11">
      <c r="A3735"/>
      <c r="B3735"/>
      <c r="C3735"/>
      <c r="D3735"/>
      <c r="E3735"/>
      <c r="F3735"/>
      <c r="G3735"/>
      <c r="H3735"/>
      <c r="I3735"/>
      <c r="J3735"/>
      <c r="K3735"/>
    </row>
    <row r="3736" spans="1:11">
      <c r="A3736"/>
      <c r="B3736"/>
      <c r="C3736"/>
      <c r="D3736"/>
      <c r="E3736"/>
      <c r="F3736"/>
      <c r="G3736"/>
      <c r="H3736"/>
      <c r="I3736"/>
      <c r="J3736"/>
      <c r="K3736"/>
    </row>
    <row r="3737" spans="1:11">
      <c r="A3737"/>
      <c r="B3737"/>
      <c r="C3737"/>
      <c r="D3737"/>
      <c r="E3737"/>
      <c r="F3737"/>
      <c r="G3737"/>
      <c r="H3737"/>
      <c r="I3737"/>
      <c r="J3737"/>
      <c r="K3737"/>
    </row>
    <row r="3738" spans="1:11">
      <c r="A3738"/>
      <c r="B3738"/>
      <c r="C3738"/>
      <c r="D3738"/>
      <c r="E3738"/>
      <c r="F3738"/>
      <c r="G3738"/>
      <c r="H3738"/>
      <c r="I3738"/>
      <c r="J3738"/>
      <c r="K3738"/>
    </row>
    <row r="3739" spans="1:11">
      <c r="A3739"/>
      <c r="B3739"/>
      <c r="C3739"/>
      <c r="D3739"/>
      <c r="E3739"/>
      <c r="F3739"/>
      <c r="G3739"/>
      <c r="H3739"/>
      <c r="I3739"/>
      <c r="J3739"/>
      <c r="K3739"/>
    </row>
    <row r="3740" spans="1:11">
      <c r="A3740"/>
      <c r="B3740"/>
      <c r="C3740"/>
      <c r="D3740"/>
      <c r="E3740"/>
      <c r="F3740"/>
      <c r="G3740"/>
      <c r="H3740"/>
      <c r="I3740"/>
      <c r="J3740"/>
      <c r="K3740"/>
    </row>
    <row r="3741" spans="1:11">
      <c r="A3741"/>
      <c r="B3741"/>
      <c r="C3741"/>
      <c r="D3741"/>
      <c r="E3741"/>
      <c r="F3741"/>
      <c r="G3741"/>
      <c r="H3741"/>
      <c r="I3741"/>
      <c r="J3741"/>
      <c r="K3741"/>
    </row>
    <row r="3742" spans="1:11">
      <c r="A3742"/>
      <c r="B3742"/>
      <c r="C3742"/>
      <c r="D3742"/>
      <c r="E3742"/>
      <c r="F3742"/>
      <c r="G3742"/>
      <c r="H3742"/>
      <c r="I3742"/>
      <c r="J3742"/>
      <c r="K3742"/>
    </row>
    <row r="3743" spans="1:11">
      <c r="A3743"/>
      <c r="B3743"/>
      <c r="C3743"/>
      <c r="D3743"/>
      <c r="E3743"/>
      <c r="F3743"/>
      <c r="G3743"/>
      <c r="H3743"/>
      <c r="I3743"/>
      <c r="J3743"/>
      <c r="K3743"/>
    </row>
    <row r="3744" spans="1:11">
      <c r="A3744"/>
      <c r="B3744"/>
      <c r="C3744"/>
      <c r="D3744"/>
      <c r="E3744"/>
      <c r="F3744"/>
      <c r="G3744"/>
      <c r="H3744"/>
      <c r="I3744"/>
      <c r="J3744"/>
      <c r="K3744"/>
    </row>
    <row r="3745" spans="1:11">
      <c r="A3745"/>
      <c r="B3745"/>
      <c r="C3745"/>
      <c r="D3745"/>
      <c r="E3745"/>
      <c r="F3745"/>
      <c r="G3745"/>
      <c r="H3745"/>
      <c r="I3745"/>
      <c r="J3745"/>
      <c r="K3745"/>
    </row>
    <row r="3746" spans="1:11">
      <c r="A3746"/>
      <c r="B3746"/>
      <c r="C3746"/>
      <c r="D3746"/>
      <c r="E3746"/>
      <c r="F3746"/>
      <c r="G3746"/>
      <c r="H3746"/>
      <c r="I3746"/>
      <c r="J3746"/>
      <c r="K3746"/>
    </row>
    <row r="3747" spans="1:11">
      <c r="A3747"/>
      <c r="B3747"/>
      <c r="C3747"/>
      <c r="D3747"/>
      <c r="E3747"/>
      <c r="F3747"/>
      <c r="G3747"/>
      <c r="H3747"/>
      <c r="I3747"/>
      <c r="J3747"/>
      <c r="K3747"/>
    </row>
    <row r="3748" spans="1:11">
      <c r="A3748"/>
      <c r="B3748"/>
      <c r="C3748"/>
      <c r="D3748"/>
      <c r="E3748"/>
      <c r="F3748"/>
      <c r="G3748"/>
      <c r="H3748"/>
      <c r="I3748"/>
      <c r="J3748"/>
      <c r="K3748"/>
    </row>
    <row r="3749" spans="1:11">
      <c r="A3749"/>
      <c r="B3749"/>
      <c r="C3749"/>
      <c r="D3749"/>
      <c r="E3749"/>
      <c r="F3749"/>
      <c r="G3749"/>
      <c r="H3749"/>
      <c r="I3749"/>
      <c r="J3749"/>
      <c r="K3749"/>
    </row>
    <row r="3750" spans="1:11">
      <c r="A3750"/>
      <c r="B3750"/>
      <c r="C3750"/>
      <c r="D3750"/>
      <c r="E3750"/>
      <c r="F3750"/>
      <c r="G3750"/>
      <c r="H3750"/>
      <c r="I3750"/>
      <c r="J3750"/>
      <c r="K3750"/>
    </row>
    <row r="3751" spans="1:11">
      <c r="A3751"/>
      <c r="B3751"/>
      <c r="C3751"/>
      <c r="D3751"/>
      <c r="E3751"/>
      <c r="F3751"/>
      <c r="G3751"/>
      <c r="H3751"/>
      <c r="I3751"/>
      <c r="J3751"/>
      <c r="K3751"/>
    </row>
    <row r="3752" spans="1:11">
      <c r="A3752"/>
      <c r="B3752"/>
      <c r="C3752"/>
      <c r="D3752"/>
      <c r="E3752"/>
      <c r="F3752"/>
      <c r="G3752"/>
      <c r="H3752"/>
      <c r="I3752"/>
      <c r="J3752"/>
      <c r="K3752"/>
    </row>
    <row r="3753" spans="1:11">
      <c r="A3753"/>
      <c r="B3753"/>
      <c r="C3753"/>
      <c r="D3753"/>
      <c r="E3753"/>
      <c r="F3753"/>
      <c r="G3753"/>
      <c r="H3753"/>
      <c r="I3753"/>
      <c r="J3753"/>
      <c r="K3753"/>
    </row>
    <row r="3754" spans="1:11">
      <c r="A3754"/>
      <c r="B3754"/>
      <c r="C3754"/>
      <c r="D3754"/>
      <c r="E3754"/>
      <c r="F3754"/>
      <c r="G3754"/>
      <c r="H3754"/>
      <c r="I3754"/>
      <c r="J3754"/>
      <c r="K3754"/>
    </row>
    <row r="3755" spans="1:11">
      <c r="A3755"/>
      <c r="B3755"/>
      <c r="C3755"/>
      <c r="D3755"/>
      <c r="E3755"/>
      <c r="F3755"/>
      <c r="G3755"/>
      <c r="H3755"/>
      <c r="I3755"/>
      <c r="J3755"/>
      <c r="K3755"/>
    </row>
    <row r="3756" spans="1:11">
      <c r="A3756"/>
      <c r="B3756"/>
      <c r="C3756"/>
      <c r="D3756"/>
      <c r="E3756"/>
      <c r="F3756"/>
      <c r="G3756"/>
      <c r="H3756"/>
      <c r="I3756"/>
      <c r="J3756"/>
      <c r="K3756"/>
    </row>
    <row r="3757" spans="1:11">
      <c r="A3757"/>
      <c r="B3757"/>
      <c r="C3757"/>
      <c r="D3757"/>
      <c r="E3757"/>
      <c r="F3757"/>
      <c r="G3757"/>
      <c r="H3757"/>
      <c r="I3757"/>
      <c r="J3757"/>
      <c r="K3757"/>
    </row>
    <row r="3758" spans="1:11">
      <c r="A3758"/>
      <c r="B3758"/>
      <c r="C3758"/>
      <c r="D3758"/>
      <c r="E3758"/>
      <c r="F3758"/>
      <c r="G3758"/>
      <c r="H3758"/>
      <c r="I3758"/>
      <c r="J3758"/>
      <c r="K3758"/>
    </row>
    <row r="3759" spans="1:11">
      <c r="A3759"/>
      <c r="B3759"/>
      <c r="C3759"/>
      <c r="D3759"/>
      <c r="E3759"/>
      <c r="F3759"/>
      <c r="G3759"/>
      <c r="H3759"/>
      <c r="I3759"/>
      <c r="J3759"/>
      <c r="K3759"/>
    </row>
    <row r="3760" spans="1:11">
      <c r="A3760"/>
      <c r="B3760"/>
      <c r="C3760"/>
      <c r="D3760"/>
      <c r="E3760"/>
      <c r="F3760"/>
      <c r="G3760"/>
      <c r="H3760"/>
      <c r="I3760"/>
      <c r="J3760"/>
      <c r="K3760"/>
    </row>
    <row r="3761" spans="1:11">
      <c r="A3761"/>
      <c r="B3761"/>
      <c r="C3761"/>
      <c r="D3761"/>
      <c r="E3761"/>
      <c r="F3761"/>
      <c r="G3761"/>
      <c r="H3761"/>
      <c r="I3761"/>
      <c r="J3761"/>
      <c r="K3761"/>
    </row>
    <row r="3762" spans="1:11">
      <c r="A3762"/>
      <c r="B3762"/>
      <c r="C3762"/>
      <c r="D3762"/>
      <c r="E3762"/>
      <c r="F3762"/>
      <c r="G3762"/>
      <c r="H3762"/>
      <c r="I3762"/>
      <c r="J3762"/>
      <c r="K3762"/>
    </row>
    <row r="3763" spans="1:11">
      <c r="A3763"/>
      <c r="B3763"/>
      <c r="C3763"/>
      <c r="D3763"/>
      <c r="E3763"/>
      <c r="F3763"/>
      <c r="G3763"/>
      <c r="H3763"/>
      <c r="I3763"/>
      <c r="J3763"/>
      <c r="K3763"/>
    </row>
    <row r="3764" spans="1:11">
      <c r="A3764"/>
      <c r="B3764"/>
      <c r="C3764"/>
      <c r="D3764"/>
      <c r="E3764"/>
      <c r="F3764"/>
      <c r="G3764"/>
      <c r="H3764"/>
      <c r="I3764"/>
      <c r="J3764"/>
      <c r="K3764"/>
    </row>
    <row r="3765" spans="1:11">
      <c r="A3765"/>
      <c r="B3765"/>
      <c r="C3765"/>
      <c r="D3765"/>
      <c r="E3765"/>
      <c r="F3765"/>
      <c r="G3765"/>
      <c r="H3765"/>
      <c r="I3765"/>
      <c r="J3765"/>
      <c r="K3765"/>
    </row>
    <row r="3766" spans="1:11">
      <c r="A3766"/>
      <c r="B3766"/>
      <c r="C3766"/>
      <c r="D3766"/>
      <c r="E3766"/>
      <c r="F3766"/>
      <c r="G3766"/>
      <c r="H3766"/>
      <c r="I3766"/>
      <c r="J3766"/>
      <c r="K3766"/>
    </row>
    <row r="3767" spans="1:11">
      <c r="A3767"/>
      <c r="B3767"/>
      <c r="C3767"/>
      <c r="D3767"/>
      <c r="E3767"/>
      <c r="F3767"/>
      <c r="G3767"/>
      <c r="H3767"/>
      <c r="I3767"/>
      <c r="J3767"/>
      <c r="K3767"/>
    </row>
    <row r="3768" spans="1:11">
      <c r="A3768"/>
      <c r="B3768"/>
      <c r="C3768"/>
      <c r="D3768"/>
      <c r="E3768"/>
      <c r="F3768"/>
      <c r="G3768"/>
      <c r="H3768"/>
      <c r="I3768"/>
      <c r="J3768"/>
      <c r="K3768"/>
    </row>
    <row r="3769" spans="1:11">
      <c r="A3769"/>
      <c r="B3769"/>
      <c r="C3769"/>
      <c r="D3769"/>
      <c r="E3769"/>
      <c r="F3769"/>
      <c r="G3769"/>
      <c r="H3769"/>
      <c r="I3769"/>
      <c r="J3769"/>
      <c r="K3769"/>
    </row>
    <row r="3770" spans="1:11">
      <c r="A3770"/>
      <c r="B3770"/>
      <c r="C3770"/>
      <c r="D3770"/>
      <c r="E3770"/>
      <c r="F3770"/>
      <c r="G3770"/>
      <c r="H3770"/>
      <c r="I3770"/>
      <c r="J3770"/>
      <c r="K3770"/>
    </row>
    <row r="3771" spans="1:11">
      <c r="A3771"/>
      <c r="B3771"/>
      <c r="C3771"/>
      <c r="D3771"/>
      <c r="E3771"/>
      <c r="F3771"/>
      <c r="G3771"/>
      <c r="H3771"/>
      <c r="I3771"/>
      <c r="J3771"/>
      <c r="K3771"/>
    </row>
    <row r="3772" spans="1:11">
      <c r="A3772"/>
      <c r="B3772"/>
      <c r="C3772"/>
      <c r="D3772"/>
      <c r="E3772"/>
      <c r="F3772"/>
      <c r="G3772"/>
      <c r="H3772"/>
      <c r="I3772"/>
      <c r="J3772"/>
      <c r="K3772"/>
    </row>
    <row r="3773" spans="1:11">
      <c r="A3773"/>
      <c r="B3773"/>
      <c r="C3773"/>
      <c r="D3773"/>
      <c r="E3773"/>
      <c r="F3773"/>
      <c r="G3773"/>
      <c r="H3773"/>
      <c r="I3773"/>
      <c r="J3773"/>
      <c r="K3773"/>
    </row>
    <row r="3774" spans="1:11">
      <c r="A3774"/>
      <c r="B3774"/>
      <c r="C3774"/>
      <c r="D3774"/>
      <c r="E3774"/>
      <c r="F3774"/>
      <c r="G3774"/>
      <c r="H3774"/>
      <c r="I3774"/>
      <c r="J3774"/>
      <c r="K3774"/>
    </row>
    <row r="3775" spans="1:11">
      <c r="A3775"/>
      <c r="B3775"/>
      <c r="C3775"/>
      <c r="D3775"/>
      <c r="E3775"/>
      <c r="F3775"/>
      <c r="G3775"/>
      <c r="H3775"/>
      <c r="I3775"/>
      <c r="J3775"/>
      <c r="K3775"/>
    </row>
    <row r="3776" spans="1:11">
      <c r="A3776"/>
      <c r="B3776"/>
      <c r="C3776"/>
      <c r="D3776"/>
      <c r="E3776"/>
      <c r="F3776"/>
      <c r="G3776"/>
      <c r="H3776"/>
      <c r="I3776"/>
      <c r="J3776"/>
      <c r="K3776"/>
    </row>
    <row r="3777" spans="1:11">
      <c r="A3777"/>
      <c r="B3777"/>
      <c r="C3777"/>
      <c r="D3777"/>
      <c r="E3777"/>
      <c r="F3777"/>
      <c r="G3777"/>
      <c r="H3777"/>
      <c r="I3777"/>
      <c r="J3777"/>
      <c r="K3777"/>
    </row>
    <row r="3778" spans="1:11">
      <c r="A3778"/>
      <c r="B3778"/>
      <c r="C3778"/>
      <c r="D3778"/>
      <c r="E3778"/>
      <c r="F3778"/>
      <c r="G3778"/>
      <c r="H3778"/>
      <c r="I3778"/>
      <c r="J3778"/>
      <c r="K3778"/>
    </row>
    <row r="3779" spans="1:11">
      <c r="A3779"/>
      <c r="B3779"/>
      <c r="C3779"/>
      <c r="D3779"/>
      <c r="E3779"/>
      <c r="F3779"/>
      <c r="G3779"/>
      <c r="H3779"/>
      <c r="I3779"/>
      <c r="J3779"/>
      <c r="K3779"/>
    </row>
    <row r="3780" spans="1:11">
      <c r="A3780"/>
      <c r="B3780"/>
      <c r="C3780"/>
      <c r="D3780"/>
      <c r="E3780"/>
      <c r="F3780"/>
      <c r="G3780"/>
      <c r="H3780"/>
      <c r="I3780"/>
      <c r="J3780"/>
      <c r="K3780"/>
    </row>
    <row r="3781" spans="1:11">
      <c r="A3781"/>
      <c r="B3781"/>
      <c r="C3781"/>
      <c r="D3781"/>
      <c r="E3781"/>
      <c r="F3781"/>
      <c r="G3781"/>
      <c r="H3781"/>
      <c r="I3781"/>
      <c r="J3781"/>
      <c r="K3781"/>
    </row>
    <row r="3782" spans="1:11">
      <c r="A3782"/>
      <c r="B3782"/>
      <c r="C3782"/>
      <c r="D3782"/>
      <c r="E3782"/>
      <c r="F3782"/>
      <c r="G3782"/>
      <c r="H3782"/>
      <c r="I3782"/>
      <c r="J3782"/>
      <c r="K3782"/>
    </row>
    <row r="3783" spans="1:11">
      <c r="A3783"/>
      <c r="B3783"/>
      <c r="C3783"/>
      <c r="D3783"/>
      <c r="E3783"/>
      <c r="F3783"/>
      <c r="G3783"/>
      <c r="H3783"/>
      <c r="I3783"/>
      <c r="J3783"/>
      <c r="K3783"/>
    </row>
    <row r="3784" spans="1:11">
      <c r="A3784"/>
      <c r="B3784"/>
      <c r="C3784"/>
      <c r="D3784"/>
      <c r="E3784"/>
      <c r="F3784"/>
      <c r="G3784"/>
      <c r="H3784"/>
      <c r="I3784"/>
      <c r="J3784"/>
      <c r="K3784"/>
    </row>
    <row r="3785" spans="1:11">
      <c r="A3785"/>
      <c r="B3785"/>
      <c r="C3785"/>
      <c r="D3785"/>
      <c r="E3785"/>
      <c r="F3785"/>
      <c r="G3785"/>
      <c r="H3785"/>
      <c r="I3785"/>
      <c r="J3785"/>
      <c r="K3785"/>
    </row>
    <row r="3786" spans="1:11">
      <c r="A3786"/>
      <c r="B3786"/>
      <c r="C3786"/>
      <c r="D3786"/>
      <c r="E3786"/>
      <c r="F3786"/>
      <c r="G3786"/>
      <c r="H3786"/>
      <c r="I3786"/>
      <c r="J3786"/>
      <c r="K3786"/>
    </row>
    <row r="3787" spans="1:11">
      <c r="A3787"/>
      <c r="B3787"/>
      <c r="C3787"/>
      <c r="D3787"/>
      <c r="E3787"/>
      <c r="F3787"/>
      <c r="G3787"/>
      <c r="H3787"/>
      <c r="I3787"/>
      <c r="J3787"/>
      <c r="K3787"/>
    </row>
    <row r="3788" spans="1:11">
      <c r="A3788"/>
      <c r="B3788"/>
      <c r="C3788"/>
      <c r="D3788"/>
      <c r="E3788"/>
      <c r="F3788"/>
      <c r="G3788"/>
      <c r="H3788"/>
      <c r="I3788"/>
      <c r="J3788"/>
      <c r="K3788"/>
    </row>
    <row r="3789" spans="1:11">
      <c r="A3789"/>
      <c r="B3789"/>
      <c r="C3789"/>
      <c r="D3789"/>
      <c r="E3789"/>
      <c r="F3789"/>
      <c r="G3789"/>
      <c r="H3789"/>
      <c r="I3789"/>
      <c r="J3789"/>
      <c r="K3789"/>
    </row>
    <row r="3790" spans="1:11">
      <c r="A3790"/>
      <c r="B3790"/>
      <c r="C3790"/>
      <c r="D3790"/>
      <c r="E3790"/>
      <c r="F3790"/>
      <c r="G3790"/>
      <c r="H3790"/>
      <c r="I3790"/>
      <c r="J3790"/>
      <c r="K3790"/>
    </row>
    <row r="3791" spans="1:11">
      <c r="A3791"/>
      <c r="B3791"/>
      <c r="C3791"/>
      <c r="D3791"/>
      <c r="E3791"/>
      <c r="F3791"/>
      <c r="G3791"/>
      <c r="H3791"/>
      <c r="I3791"/>
      <c r="J3791"/>
      <c r="K3791"/>
    </row>
    <row r="3792" spans="1:11">
      <c r="A3792"/>
      <c r="B3792"/>
      <c r="C3792"/>
      <c r="D3792"/>
      <c r="E3792"/>
      <c r="F3792"/>
      <c r="G3792"/>
      <c r="H3792"/>
      <c r="I3792"/>
      <c r="J3792"/>
      <c r="K3792"/>
    </row>
    <row r="3793" spans="1:11">
      <c r="A3793"/>
      <c r="B3793"/>
      <c r="C3793"/>
      <c r="D3793"/>
      <c r="E3793"/>
      <c r="F3793"/>
      <c r="G3793"/>
      <c r="H3793"/>
      <c r="I3793"/>
      <c r="J3793"/>
      <c r="K3793"/>
    </row>
    <row r="3794" spans="1:11">
      <c r="A3794"/>
      <c r="B3794"/>
      <c r="C3794"/>
      <c r="D3794"/>
      <c r="E3794"/>
      <c r="F3794"/>
      <c r="G3794"/>
      <c r="H3794"/>
      <c r="I3794"/>
      <c r="J3794"/>
      <c r="K3794"/>
    </row>
    <row r="3795" spans="1:11">
      <c r="A3795"/>
      <c r="B3795"/>
      <c r="C3795"/>
      <c r="D3795"/>
      <c r="E3795"/>
      <c r="F3795"/>
      <c r="G3795"/>
      <c r="H3795"/>
      <c r="I3795"/>
      <c r="J3795"/>
      <c r="K3795"/>
    </row>
    <row r="3796" spans="1:11">
      <c r="A3796"/>
      <c r="B3796"/>
      <c r="C3796"/>
      <c r="D3796"/>
      <c r="E3796"/>
      <c r="F3796"/>
      <c r="G3796"/>
      <c r="H3796"/>
      <c r="I3796"/>
      <c r="J3796"/>
      <c r="K3796"/>
    </row>
    <row r="3797" spans="1:11">
      <c r="A3797"/>
      <c r="B3797"/>
      <c r="C3797"/>
      <c r="D3797"/>
      <c r="E3797"/>
      <c r="F3797"/>
      <c r="G3797"/>
      <c r="H3797"/>
      <c r="I3797"/>
      <c r="J3797"/>
      <c r="K3797"/>
    </row>
    <row r="3798" spans="1:11">
      <c r="A3798"/>
      <c r="B3798"/>
      <c r="C3798"/>
      <c r="D3798"/>
      <c r="E3798"/>
      <c r="F3798"/>
      <c r="G3798"/>
      <c r="H3798"/>
      <c r="I3798"/>
      <c r="J3798"/>
      <c r="K3798"/>
    </row>
    <row r="3799" spans="1:11">
      <c r="A3799"/>
      <c r="B3799"/>
      <c r="C3799"/>
      <c r="D3799"/>
      <c r="E3799"/>
      <c r="F3799"/>
      <c r="G3799"/>
      <c r="H3799"/>
      <c r="I3799"/>
      <c r="J3799"/>
      <c r="K3799"/>
    </row>
    <row r="3800" spans="1:11">
      <c r="A3800"/>
      <c r="B3800"/>
      <c r="C3800"/>
      <c r="D3800"/>
      <c r="E3800"/>
      <c r="F3800"/>
      <c r="G3800"/>
      <c r="H3800"/>
      <c r="I3800"/>
      <c r="J3800"/>
      <c r="K3800"/>
    </row>
    <row r="3801" spans="1:11">
      <c r="A3801"/>
      <c r="B3801"/>
      <c r="C3801"/>
      <c r="D3801"/>
      <c r="E3801"/>
      <c r="F3801"/>
      <c r="G3801"/>
      <c r="H3801"/>
      <c r="I3801"/>
      <c r="J3801"/>
      <c r="K3801"/>
    </row>
    <row r="3802" spans="1:11">
      <c r="A3802"/>
      <c r="B3802"/>
      <c r="C3802"/>
      <c r="D3802"/>
      <c r="E3802"/>
      <c r="F3802"/>
      <c r="G3802"/>
      <c r="H3802"/>
      <c r="I3802"/>
      <c r="J3802"/>
      <c r="K3802"/>
    </row>
    <row r="3803" spans="1:11">
      <c r="A3803"/>
      <c r="B3803"/>
      <c r="C3803"/>
      <c r="D3803"/>
      <c r="E3803"/>
      <c r="F3803"/>
      <c r="G3803"/>
      <c r="H3803"/>
      <c r="I3803"/>
      <c r="J3803"/>
      <c r="K3803"/>
    </row>
    <row r="3804" spans="1:11">
      <c r="A3804"/>
      <c r="B3804"/>
      <c r="C3804"/>
      <c r="D3804"/>
      <c r="E3804"/>
      <c r="F3804"/>
      <c r="G3804"/>
      <c r="H3804"/>
      <c r="I3804"/>
      <c r="J3804"/>
      <c r="K3804"/>
    </row>
    <row r="3805" spans="1:11">
      <c r="A3805"/>
      <c r="B3805"/>
      <c r="C3805"/>
      <c r="D3805"/>
      <c r="E3805"/>
      <c r="F3805"/>
      <c r="G3805"/>
      <c r="H3805"/>
      <c r="I3805"/>
      <c r="J3805"/>
      <c r="K3805"/>
    </row>
    <row r="3806" spans="1:11">
      <c r="A3806"/>
      <c r="B3806"/>
      <c r="C3806"/>
      <c r="D3806"/>
      <c r="E3806"/>
      <c r="F3806"/>
      <c r="G3806"/>
      <c r="H3806"/>
      <c r="I3806"/>
      <c r="J3806"/>
      <c r="K3806"/>
    </row>
    <row r="3807" spans="1:11">
      <c r="A3807"/>
      <c r="B3807"/>
      <c r="C3807"/>
      <c r="D3807"/>
      <c r="E3807"/>
      <c r="F3807"/>
      <c r="G3807"/>
      <c r="H3807"/>
      <c r="I3807"/>
      <c r="J3807"/>
      <c r="K3807"/>
    </row>
    <row r="3808" spans="1:11">
      <c r="A3808"/>
      <c r="B3808"/>
      <c r="C3808"/>
      <c r="D3808"/>
      <c r="E3808"/>
      <c r="F3808"/>
      <c r="G3808"/>
      <c r="H3808"/>
      <c r="I3808"/>
      <c r="J3808"/>
      <c r="K3808"/>
    </row>
    <row r="3809" spans="1:11">
      <c r="A3809"/>
      <c r="B3809"/>
      <c r="C3809"/>
      <c r="D3809"/>
      <c r="E3809"/>
      <c r="F3809"/>
      <c r="G3809"/>
      <c r="H3809"/>
      <c r="I3809"/>
      <c r="J3809"/>
      <c r="K3809"/>
    </row>
    <row r="3810" spans="1:11">
      <c r="A3810"/>
      <c r="B3810"/>
      <c r="C3810"/>
      <c r="D3810"/>
      <c r="E3810"/>
      <c r="F3810"/>
      <c r="G3810"/>
      <c r="H3810"/>
      <c r="I3810"/>
      <c r="J3810"/>
      <c r="K3810"/>
    </row>
    <row r="3811" spans="1:11">
      <c r="A3811"/>
      <c r="B3811"/>
      <c r="C3811"/>
      <c r="D3811"/>
      <c r="E3811"/>
      <c r="F3811"/>
      <c r="G3811"/>
      <c r="H3811"/>
      <c r="I3811"/>
      <c r="J3811"/>
      <c r="K3811"/>
    </row>
    <row r="3812" spans="1:11">
      <c r="A3812"/>
      <c r="B3812"/>
      <c r="C3812"/>
      <c r="D3812"/>
      <c r="E3812"/>
      <c r="F3812"/>
      <c r="G3812"/>
      <c r="H3812"/>
      <c r="I3812"/>
      <c r="J3812"/>
      <c r="K3812"/>
    </row>
    <row r="3813" spans="1:11">
      <c r="A3813"/>
      <c r="B3813"/>
      <c r="C3813"/>
      <c r="D3813"/>
      <c r="E3813"/>
      <c r="F3813"/>
      <c r="G3813"/>
      <c r="H3813"/>
      <c r="I3813"/>
      <c r="J3813"/>
      <c r="K3813"/>
    </row>
    <row r="3814" spans="1:11">
      <c r="A3814"/>
      <c r="B3814"/>
      <c r="C3814"/>
      <c r="D3814"/>
      <c r="E3814"/>
      <c r="F3814"/>
      <c r="G3814"/>
      <c r="H3814"/>
      <c r="I3814"/>
      <c r="J3814"/>
      <c r="K3814"/>
    </row>
    <row r="3815" spans="1:11">
      <c r="A3815"/>
      <c r="B3815"/>
      <c r="C3815"/>
      <c r="D3815"/>
      <c r="E3815"/>
      <c r="F3815"/>
      <c r="G3815"/>
      <c r="H3815"/>
      <c r="I3815"/>
      <c r="J3815"/>
      <c r="K3815"/>
    </row>
    <row r="3816" spans="1:11">
      <c r="A3816"/>
      <c r="B3816"/>
      <c r="C3816"/>
      <c r="D3816"/>
      <c r="E3816"/>
      <c r="F3816"/>
      <c r="G3816"/>
      <c r="H3816"/>
      <c r="I3816"/>
      <c r="J3816"/>
      <c r="K3816"/>
    </row>
    <row r="3817" spans="1:11">
      <c r="A3817"/>
      <c r="B3817"/>
      <c r="C3817"/>
      <c r="D3817"/>
      <c r="E3817"/>
      <c r="F3817"/>
      <c r="G3817"/>
      <c r="H3817"/>
      <c r="I3817"/>
      <c r="J3817"/>
      <c r="K3817"/>
    </row>
    <row r="3818" spans="1:11">
      <c r="A3818"/>
      <c r="B3818"/>
      <c r="C3818"/>
      <c r="D3818"/>
      <c r="E3818"/>
      <c r="F3818"/>
      <c r="G3818"/>
      <c r="H3818"/>
      <c r="I3818"/>
      <c r="J3818"/>
      <c r="K3818"/>
    </row>
    <row r="3819" spans="1:11">
      <c r="A3819"/>
      <c r="B3819"/>
      <c r="C3819"/>
      <c r="D3819"/>
      <c r="E3819"/>
      <c r="F3819"/>
      <c r="G3819"/>
      <c r="H3819"/>
      <c r="I3819"/>
      <c r="J3819"/>
      <c r="K3819"/>
    </row>
    <row r="3820" spans="1:11">
      <c r="A3820"/>
      <c r="B3820"/>
      <c r="C3820"/>
      <c r="D3820"/>
      <c r="E3820"/>
      <c r="F3820"/>
      <c r="G3820"/>
      <c r="H3820"/>
      <c r="I3820"/>
      <c r="J3820"/>
      <c r="K3820"/>
    </row>
    <row r="3821" spans="1:11">
      <c r="A3821"/>
      <c r="B3821"/>
      <c r="C3821"/>
      <c r="D3821"/>
      <c r="E3821"/>
      <c r="F3821"/>
      <c r="G3821"/>
      <c r="H3821"/>
      <c r="I3821"/>
      <c r="J3821"/>
      <c r="K3821"/>
    </row>
    <row r="3822" spans="1:11">
      <c r="A3822"/>
      <c r="B3822"/>
      <c r="C3822"/>
      <c r="D3822"/>
      <c r="E3822"/>
      <c r="F3822"/>
      <c r="G3822"/>
      <c r="H3822"/>
      <c r="I3822"/>
      <c r="J3822"/>
      <c r="K3822"/>
    </row>
    <row r="3823" spans="1:11">
      <c r="A3823"/>
      <c r="B3823"/>
      <c r="C3823"/>
      <c r="D3823"/>
      <c r="E3823"/>
      <c r="F3823"/>
      <c r="G3823"/>
      <c r="H3823"/>
      <c r="I3823"/>
      <c r="J3823"/>
      <c r="K3823"/>
    </row>
    <row r="3824" spans="1:11">
      <c r="A3824"/>
      <c r="B3824"/>
      <c r="C3824"/>
      <c r="D3824"/>
      <c r="E3824"/>
      <c r="F3824"/>
      <c r="G3824"/>
      <c r="H3824"/>
      <c r="I3824"/>
      <c r="J3824"/>
      <c r="K3824"/>
    </row>
    <row r="3825" spans="1:11">
      <c r="A3825"/>
      <c r="B3825"/>
      <c r="C3825"/>
      <c r="D3825"/>
      <c r="E3825"/>
      <c r="F3825"/>
      <c r="G3825"/>
      <c r="H3825"/>
      <c r="I3825"/>
      <c r="J3825"/>
      <c r="K3825"/>
    </row>
    <row r="3826" spans="1:11">
      <c r="A3826"/>
      <c r="B3826"/>
      <c r="C3826"/>
      <c r="D3826"/>
      <c r="E3826"/>
      <c r="F3826"/>
      <c r="G3826"/>
      <c r="H3826"/>
      <c r="I3826"/>
      <c r="J3826"/>
      <c r="K3826"/>
    </row>
    <row r="3827" spans="1:11">
      <c r="A3827"/>
      <c r="B3827"/>
      <c r="C3827"/>
      <c r="D3827"/>
      <c r="E3827"/>
      <c r="F3827"/>
      <c r="G3827"/>
      <c r="H3827"/>
      <c r="I3827"/>
      <c r="J3827"/>
      <c r="K3827"/>
    </row>
    <row r="3828" spans="1:11">
      <c r="A3828"/>
      <c r="B3828"/>
      <c r="C3828"/>
      <c r="D3828"/>
      <c r="E3828"/>
      <c r="F3828"/>
      <c r="G3828"/>
      <c r="H3828"/>
      <c r="I3828"/>
      <c r="J3828"/>
      <c r="K3828"/>
    </row>
    <row r="3829" spans="1:11">
      <c r="A3829"/>
      <c r="B3829"/>
      <c r="C3829"/>
      <c r="D3829"/>
      <c r="E3829"/>
      <c r="F3829"/>
      <c r="G3829"/>
      <c r="H3829"/>
      <c r="I3829"/>
      <c r="J3829"/>
      <c r="K3829"/>
    </row>
    <row r="3830" spans="1:11">
      <c r="A3830"/>
      <c r="B3830"/>
      <c r="C3830"/>
      <c r="D3830"/>
      <c r="E3830"/>
      <c r="F3830"/>
      <c r="G3830"/>
      <c r="H3830"/>
      <c r="I3830"/>
      <c r="J3830"/>
      <c r="K3830"/>
    </row>
    <row r="3831" spans="1:11">
      <c r="A3831"/>
      <c r="B3831"/>
      <c r="C3831"/>
      <c r="D3831"/>
      <c r="E3831"/>
      <c r="F3831"/>
      <c r="G3831"/>
      <c r="H3831"/>
      <c r="I3831"/>
      <c r="J3831"/>
      <c r="K3831"/>
    </row>
    <row r="3832" spans="1:11">
      <c r="A3832"/>
      <c r="B3832"/>
      <c r="C3832"/>
      <c r="D3832"/>
      <c r="E3832"/>
      <c r="F3832"/>
      <c r="G3832"/>
      <c r="H3832"/>
      <c r="I3832"/>
      <c r="J3832"/>
      <c r="K3832"/>
    </row>
    <row r="3833" spans="1:11">
      <c r="A3833"/>
      <c r="B3833"/>
      <c r="C3833"/>
      <c r="D3833"/>
      <c r="E3833"/>
      <c r="F3833"/>
      <c r="G3833"/>
      <c r="H3833"/>
      <c r="I3833"/>
      <c r="J3833"/>
      <c r="K3833"/>
    </row>
    <row r="3834" spans="1:11">
      <c r="A3834"/>
      <c r="B3834"/>
      <c r="C3834"/>
      <c r="D3834"/>
      <c r="E3834"/>
      <c r="F3834"/>
      <c r="G3834"/>
      <c r="H3834"/>
      <c r="I3834"/>
      <c r="J3834"/>
      <c r="K3834"/>
    </row>
    <row r="3835" spans="1:11">
      <c r="A3835"/>
      <c r="B3835"/>
      <c r="C3835"/>
      <c r="D3835"/>
      <c r="E3835"/>
      <c r="F3835"/>
      <c r="G3835"/>
      <c r="H3835"/>
      <c r="I3835"/>
      <c r="J3835"/>
      <c r="K3835"/>
    </row>
    <row r="3836" spans="1:11">
      <c r="A3836"/>
      <c r="B3836"/>
      <c r="C3836"/>
      <c r="D3836"/>
      <c r="E3836"/>
      <c r="F3836"/>
      <c r="G3836"/>
      <c r="H3836"/>
      <c r="I3836"/>
      <c r="J3836"/>
      <c r="K3836"/>
    </row>
    <row r="3837" spans="1:11">
      <c r="A3837"/>
      <c r="B3837"/>
      <c r="C3837"/>
      <c r="D3837"/>
      <c r="E3837"/>
      <c r="F3837"/>
      <c r="G3837"/>
      <c r="H3837"/>
      <c r="I3837"/>
      <c r="J3837"/>
      <c r="K3837"/>
    </row>
    <row r="3838" spans="1:11">
      <c r="A3838"/>
      <c r="B3838"/>
      <c r="C3838"/>
      <c r="D3838"/>
      <c r="E3838"/>
      <c r="F3838"/>
      <c r="G3838"/>
      <c r="H3838"/>
      <c r="I3838"/>
      <c r="J3838"/>
      <c r="K3838"/>
    </row>
    <row r="3839" spans="1:11">
      <c r="A3839"/>
      <c r="B3839"/>
      <c r="C3839"/>
      <c r="D3839"/>
      <c r="E3839"/>
      <c r="F3839"/>
      <c r="G3839"/>
      <c r="H3839"/>
      <c r="I3839"/>
      <c r="J3839"/>
      <c r="K3839"/>
    </row>
    <row r="3840" spans="1:11">
      <c r="A3840"/>
      <c r="B3840"/>
      <c r="C3840"/>
      <c r="D3840"/>
      <c r="E3840"/>
      <c r="F3840"/>
      <c r="G3840"/>
      <c r="H3840"/>
      <c r="I3840"/>
      <c r="J3840"/>
      <c r="K3840"/>
    </row>
    <row r="3841" spans="1:11">
      <c r="A3841"/>
      <c r="B3841"/>
      <c r="C3841"/>
      <c r="D3841"/>
      <c r="E3841"/>
      <c r="F3841"/>
      <c r="G3841"/>
      <c r="H3841"/>
      <c r="I3841"/>
      <c r="J3841"/>
      <c r="K3841"/>
    </row>
    <row r="3842" spans="1:11">
      <c r="A3842"/>
      <c r="B3842"/>
      <c r="C3842"/>
      <c r="D3842"/>
      <c r="E3842"/>
      <c r="F3842"/>
      <c r="G3842"/>
      <c r="H3842"/>
      <c r="I3842"/>
      <c r="J3842"/>
      <c r="K3842"/>
    </row>
    <row r="3843" spans="1:11">
      <c r="A3843"/>
      <c r="B3843"/>
      <c r="C3843"/>
      <c r="D3843"/>
      <c r="E3843"/>
      <c r="F3843"/>
      <c r="G3843"/>
      <c r="H3843"/>
      <c r="I3843"/>
      <c r="J3843"/>
      <c r="K3843"/>
    </row>
    <row r="3844" spans="1:11">
      <c r="A3844"/>
      <c r="B3844"/>
      <c r="C3844"/>
      <c r="D3844"/>
      <c r="E3844"/>
      <c r="F3844"/>
      <c r="G3844"/>
      <c r="H3844"/>
      <c r="I3844"/>
      <c r="J3844"/>
      <c r="K3844"/>
    </row>
    <row r="3845" spans="1:11">
      <c r="A3845"/>
      <c r="B3845"/>
      <c r="C3845"/>
      <c r="D3845"/>
      <c r="E3845"/>
      <c r="F3845"/>
      <c r="G3845"/>
      <c r="H3845"/>
      <c r="I3845"/>
      <c r="J3845"/>
      <c r="K3845"/>
    </row>
    <row r="3846" spans="1:11">
      <c r="A3846"/>
      <c r="B3846"/>
      <c r="C3846"/>
      <c r="D3846"/>
      <c r="E3846"/>
      <c r="F3846"/>
      <c r="G3846"/>
      <c r="H3846"/>
      <c r="I3846"/>
      <c r="J3846"/>
      <c r="K3846"/>
    </row>
    <row r="3847" spans="1:11">
      <c r="A3847"/>
      <c r="B3847"/>
      <c r="C3847"/>
      <c r="D3847"/>
      <c r="E3847"/>
      <c r="F3847"/>
      <c r="G3847"/>
      <c r="H3847"/>
      <c r="I3847"/>
      <c r="J3847"/>
      <c r="K3847"/>
    </row>
    <row r="3848" spans="1:11">
      <c r="A3848"/>
      <c r="B3848"/>
      <c r="C3848"/>
      <c r="D3848"/>
      <c r="E3848"/>
      <c r="F3848"/>
      <c r="G3848"/>
      <c r="H3848"/>
      <c r="I3848"/>
      <c r="J3848"/>
      <c r="K3848"/>
    </row>
    <row r="3849" spans="1:11">
      <c r="A3849"/>
      <c r="B3849"/>
      <c r="C3849"/>
      <c r="D3849"/>
      <c r="E3849"/>
      <c r="F3849"/>
      <c r="G3849"/>
      <c r="H3849"/>
      <c r="I3849"/>
      <c r="J3849"/>
      <c r="K3849"/>
    </row>
    <row r="3850" spans="1:11">
      <c r="A3850"/>
      <c r="B3850"/>
      <c r="C3850"/>
      <c r="D3850"/>
      <c r="E3850"/>
      <c r="F3850"/>
      <c r="G3850"/>
      <c r="H3850"/>
      <c r="I3850"/>
      <c r="J3850"/>
      <c r="K3850"/>
    </row>
    <row r="3851" spans="1:11">
      <c r="A3851"/>
      <c r="B3851"/>
      <c r="C3851"/>
      <c r="D3851"/>
      <c r="E3851"/>
      <c r="F3851"/>
      <c r="G3851"/>
      <c r="H3851"/>
      <c r="I3851"/>
      <c r="J3851"/>
      <c r="K3851"/>
    </row>
    <row r="3852" spans="1:11">
      <c r="A3852"/>
      <c r="B3852"/>
      <c r="C3852"/>
      <c r="D3852"/>
      <c r="E3852"/>
      <c r="F3852"/>
      <c r="G3852"/>
      <c r="H3852"/>
      <c r="I3852"/>
      <c r="J3852"/>
      <c r="K3852"/>
    </row>
    <row r="3853" spans="1:11">
      <c r="A3853"/>
      <c r="B3853"/>
      <c r="C3853"/>
      <c r="D3853"/>
      <c r="E3853"/>
      <c r="F3853"/>
      <c r="G3853"/>
      <c r="H3853"/>
      <c r="I3853"/>
      <c r="J3853"/>
      <c r="K3853"/>
    </row>
    <row r="3854" spans="1:11">
      <c r="A3854"/>
      <c r="B3854"/>
      <c r="C3854"/>
      <c r="D3854"/>
      <c r="E3854"/>
      <c r="F3854"/>
      <c r="G3854"/>
      <c r="H3854"/>
      <c r="I3854"/>
      <c r="J3854"/>
      <c r="K3854"/>
    </row>
    <row r="3855" spans="1:11">
      <c r="A3855"/>
      <c r="B3855"/>
      <c r="C3855"/>
      <c r="D3855"/>
      <c r="E3855"/>
      <c r="F3855"/>
      <c r="G3855"/>
      <c r="H3855"/>
      <c r="I3855"/>
      <c r="J3855"/>
      <c r="K3855"/>
    </row>
    <row r="3856" spans="1:11">
      <c r="A3856"/>
      <c r="B3856"/>
      <c r="C3856"/>
      <c r="D3856"/>
      <c r="E3856"/>
      <c r="F3856"/>
      <c r="G3856"/>
      <c r="H3856"/>
      <c r="I3856"/>
      <c r="J3856"/>
      <c r="K3856"/>
    </row>
    <row r="3857" spans="1:11">
      <c r="A3857"/>
      <c r="B3857"/>
      <c r="C3857"/>
      <c r="D3857"/>
      <c r="E3857"/>
      <c r="F3857"/>
      <c r="G3857"/>
      <c r="H3857"/>
      <c r="I3857"/>
      <c r="J3857"/>
      <c r="K3857"/>
    </row>
    <row r="3858" spans="1:11">
      <c r="A3858"/>
      <c r="B3858"/>
      <c r="C3858"/>
      <c r="D3858"/>
      <c r="E3858"/>
      <c r="F3858"/>
      <c r="G3858"/>
      <c r="H3858"/>
      <c r="I3858"/>
      <c r="J3858"/>
      <c r="K3858"/>
    </row>
    <row r="3859" spans="1:11">
      <c r="A3859"/>
      <c r="B3859"/>
      <c r="C3859"/>
      <c r="D3859"/>
      <c r="E3859"/>
      <c r="F3859"/>
      <c r="G3859"/>
      <c r="H3859"/>
      <c r="I3859"/>
      <c r="J3859"/>
      <c r="K3859"/>
    </row>
    <row r="3860" spans="1:11">
      <c r="A3860"/>
      <c r="B3860"/>
      <c r="C3860"/>
      <c r="D3860"/>
      <c r="E3860"/>
      <c r="F3860"/>
      <c r="G3860"/>
      <c r="H3860"/>
      <c r="I3860"/>
      <c r="J3860"/>
      <c r="K3860"/>
    </row>
    <row r="3861" spans="1:11">
      <c r="A3861"/>
      <c r="B3861"/>
      <c r="C3861"/>
      <c r="D3861"/>
      <c r="E3861"/>
      <c r="F3861"/>
      <c r="G3861"/>
      <c r="H3861"/>
      <c r="I3861"/>
      <c r="J3861"/>
      <c r="K3861"/>
    </row>
    <row r="3862" spans="1:11">
      <c r="A3862"/>
      <c r="B3862"/>
      <c r="C3862"/>
      <c r="D3862"/>
      <c r="E3862"/>
      <c r="F3862"/>
      <c r="G3862"/>
      <c r="H3862"/>
      <c r="I3862"/>
      <c r="J3862"/>
      <c r="K3862"/>
    </row>
    <row r="3863" spans="1:11">
      <c r="A3863"/>
      <c r="B3863"/>
      <c r="C3863"/>
      <c r="D3863"/>
      <c r="E3863"/>
      <c r="F3863"/>
      <c r="G3863"/>
      <c r="H3863"/>
      <c r="I3863"/>
      <c r="J3863"/>
      <c r="K3863"/>
    </row>
    <row r="3864" spans="1:11">
      <c r="A3864"/>
      <c r="B3864"/>
      <c r="C3864"/>
      <c r="D3864"/>
      <c r="E3864"/>
      <c r="F3864"/>
      <c r="G3864"/>
      <c r="H3864"/>
      <c r="I3864"/>
      <c r="J3864"/>
      <c r="K3864"/>
    </row>
    <row r="3865" spans="1:11">
      <c r="A3865"/>
      <c r="B3865"/>
      <c r="C3865"/>
      <c r="D3865"/>
      <c r="E3865"/>
      <c r="F3865"/>
      <c r="G3865"/>
      <c r="H3865"/>
      <c r="I3865"/>
      <c r="J3865"/>
      <c r="K3865"/>
    </row>
    <row r="3866" spans="1:11">
      <c r="A3866"/>
      <c r="B3866"/>
      <c r="C3866"/>
      <c r="D3866"/>
      <c r="E3866"/>
      <c r="F3866"/>
      <c r="G3866"/>
      <c r="H3866"/>
      <c r="I3866"/>
      <c r="J3866"/>
      <c r="K3866"/>
    </row>
    <row r="3867" spans="1:11">
      <c r="A3867"/>
      <c r="B3867"/>
      <c r="C3867"/>
      <c r="D3867"/>
      <c r="E3867"/>
      <c r="F3867"/>
      <c r="G3867"/>
      <c r="H3867"/>
      <c r="I3867"/>
      <c r="J3867"/>
      <c r="K3867"/>
    </row>
    <row r="3868" spans="1:11">
      <c r="A3868"/>
      <c r="B3868"/>
      <c r="C3868"/>
      <c r="D3868"/>
      <c r="E3868"/>
      <c r="F3868"/>
      <c r="G3868"/>
      <c r="H3868"/>
      <c r="I3868"/>
      <c r="J3868"/>
      <c r="K3868"/>
    </row>
    <row r="3869" spans="1:11">
      <c r="A3869"/>
      <c r="B3869"/>
      <c r="C3869"/>
      <c r="D3869"/>
      <c r="E3869"/>
      <c r="F3869"/>
      <c r="G3869"/>
      <c r="H3869"/>
      <c r="I3869"/>
      <c r="J3869"/>
      <c r="K3869"/>
    </row>
    <row r="3870" spans="1:11">
      <c r="A3870"/>
      <c r="B3870"/>
      <c r="C3870"/>
      <c r="D3870"/>
      <c r="E3870"/>
      <c r="F3870"/>
      <c r="G3870"/>
      <c r="H3870"/>
      <c r="I3870"/>
      <c r="J3870"/>
      <c r="K3870"/>
    </row>
    <row r="3871" spans="1:11">
      <c r="A3871"/>
      <c r="B3871"/>
      <c r="C3871"/>
      <c r="D3871"/>
      <c r="E3871"/>
      <c r="F3871"/>
      <c r="G3871"/>
      <c r="H3871"/>
      <c r="I3871"/>
      <c r="J3871"/>
      <c r="K3871"/>
    </row>
    <row r="3872" spans="1:11">
      <c r="A3872"/>
      <c r="B3872"/>
      <c r="C3872"/>
      <c r="D3872"/>
      <c r="E3872"/>
      <c r="F3872"/>
      <c r="G3872"/>
      <c r="H3872"/>
      <c r="I3872"/>
      <c r="J3872"/>
      <c r="K3872"/>
    </row>
    <row r="3873" spans="1:11">
      <c r="A3873"/>
      <c r="B3873"/>
      <c r="C3873"/>
      <c r="D3873"/>
      <c r="E3873"/>
      <c r="F3873"/>
      <c r="G3873"/>
      <c r="H3873"/>
      <c r="I3873"/>
      <c r="J3873"/>
      <c r="K3873"/>
    </row>
    <row r="3874" spans="1:11">
      <c r="A3874"/>
      <c r="B3874"/>
      <c r="C3874"/>
      <c r="D3874"/>
      <c r="E3874"/>
      <c r="F3874"/>
      <c r="G3874"/>
      <c r="H3874"/>
      <c r="I3874"/>
      <c r="J3874"/>
      <c r="K3874"/>
    </row>
    <row r="3875" spans="1:11">
      <c r="A3875"/>
      <c r="B3875"/>
      <c r="C3875"/>
      <c r="D3875"/>
      <c r="E3875"/>
      <c r="F3875"/>
      <c r="G3875"/>
      <c r="H3875"/>
      <c r="I3875"/>
      <c r="J3875"/>
      <c r="K3875"/>
    </row>
    <row r="3876" spans="1:11">
      <c r="A3876"/>
      <c r="B3876"/>
      <c r="C3876"/>
      <c r="D3876"/>
      <c r="E3876"/>
      <c r="F3876"/>
      <c r="G3876"/>
      <c r="H3876"/>
      <c r="I3876"/>
      <c r="J3876"/>
      <c r="K3876"/>
    </row>
    <row r="3877" spans="1:11">
      <c r="A3877"/>
      <c r="B3877"/>
      <c r="C3877"/>
      <c r="D3877"/>
      <c r="E3877"/>
      <c r="F3877"/>
      <c r="G3877"/>
      <c r="H3877"/>
      <c r="I3877"/>
      <c r="J3877"/>
      <c r="K3877"/>
    </row>
    <row r="3878" spans="1:11">
      <c r="A3878"/>
      <c r="B3878"/>
      <c r="C3878"/>
      <c r="D3878"/>
      <c r="E3878"/>
      <c r="F3878"/>
      <c r="G3878"/>
      <c r="H3878"/>
      <c r="I3878"/>
      <c r="J3878"/>
      <c r="K3878"/>
    </row>
    <row r="3879" spans="1:11">
      <c r="A3879"/>
      <c r="B3879"/>
      <c r="C3879"/>
      <c r="D3879"/>
      <c r="E3879"/>
      <c r="F3879"/>
      <c r="G3879"/>
      <c r="H3879"/>
      <c r="I3879"/>
      <c r="J3879"/>
      <c r="K3879"/>
    </row>
    <row r="3880" spans="1:11">
      <c r="A3880"/>
      <c r="B3880"/>
      <c r="C3880"/>
      <c r="D3880"/>
      <c r="E3880"/>
      <c r="F3880"/>
      <c r="G3880"/>
      <c r="H3880"/>
      <c r="I3880"/>
      <c r="J3880"/>
      <c r="K3880"/>
    </row>
    <row r="3881" spans="1:11">
      <c r="A3881"/>
      <c r="B3881"/>
      <c r="C3881"/>
      <c r="D3881"/>
      <c r="E3881"/>
      <c r="F3881"/>
      <c r="G3881"/>
      <c r="H3881"/>
      <c r="I3881"/>
      <c r="J3881"/>
      <c r="K3881"/>
    </row>
    <row r="3882" spans="1:11">
      <c r="A3882"/>
      <c r="B3882"/>
      <c r="C3882"/>
      <c r="D3882"/>
      <c r="E3882"/>
      <c r="F3882"/>
      <c r="G3882"/>
      <c r="H3882"/>
      <c r="I3882"/>
      <c r="J3882"/>
      <c r="K3882"/>
    </row>
    <row r="3883" spans="1:11">
      <c r="A3883"/>
      <c r="B3883"/>
      <c r="C3883"/>
      <c r="D3883"/>
      <c r="E3883"/>
      <c r="F3883"/>
      <c r="G3883"/>
      <c r="H3883"/>
      <c r="I3883"/>
      <c r="J3883"/>
      <c r="K3883"/>
    </row>
    <row r="3884" spans="1:11">
      <c r="A3884"/>
      <c r="B3884"/>
      <c r="C3884"/>
      <c r="D3884"/>
      <c r="E3884"/>
      <c r="F3884"/>
      <c r="G3884"/>
      <c r="H3884"/>
      <c r="I3884"/>
      <c r="J3884"/>
      <c r="K3884"/>
    </row>
    <row r="3885" spans="1:11">
      <c r="A3885"/>
      <c r="B3885"/>
      <c r="C3885"/>
      <c r="D3885"/>
      <c r="E3885"/>
      <c r="F3885"/>
      <c r="G3885"/>
      <c r="H3885"/>
      <c r="I3885"/>
      <c r="J3885"/>
      <c r="K3885"/>
    </row>
    <row r="3886" spans="1:11">
      <c r="A3886"/>
      <c r="B3886"/>
      <c r="C3886"/>
      <c r="D3886"/>
      <c r="E3886"/>
      <c r="F3886"/>
      <c r="G3886"/>
      <c r="H3886"/>
      <c r="I3886"/>
      <c r="J3886"/>
      <c r="K3886"/>
    </row>
    <row r="3887" spans="1:11">
      <c r="A3887"/>
      <c r="B3887"/>
      <c r="C3887"/>
      <c r="D3887"/>
      <c r="E3887"/>
      <c r="F3887"/>
      <c r="G3887"/>
      <c r="H3887"/>
      <c r="I3887"/>
      <c r="J3887"/>
      <c r="K3887"/>
    </row>
    <row r="3888" spans="1:11">
      <c r="A3888"/>
      <c r="B3888"/>
      <c r="C3888"/>
      <c r="D3888"/>
      <c r="E3888"/>
      <c r="F3888"/>
      <c r="G3888"/>
      <c r="H3888"/>
      <c r="I3888"/>
      <c r="J3888"/>
      <c r="K3888"/>
    </row>
    <row r="3889" spans="1:11">
      <c r="A3889"/>
      <c r="B3889"/>
      <c r="C3889"/>
      <c r="D3889"/>
      <c r="E3889"/>
      <c r="F3889"/>
      <c r="G3889"/>
      <c r="H3889"/>
      <c r="I3889"/>
      <c r="J3889"/>
      <c r="K3889"/>
    </row>
    <row r="3890" spans="1:11">
      <c r="A3890"/>
      <c r="B3890"/>
      <c r="C3890"/>
      <c r="D3890"/>
      <c r="E3890"/>
      <c r="F3890"/>
      <c r="G3890"/>
      <c r="H3890"/>
      <c r="I3890"/>
      <c r="J3890"/>
      <c r="K3890"/>
    </row>
    <row r="3891" spans="1:11">
      <c r="A3891"/>
      <c r="B3891"/>
      <c r="C3891"/>
      <c r="D3891"/>
      <c r="E3891"/>
      <c r="F3891"/>
      <c r="G3891"/>
      <c r="H3891"/>
      <c r="I3891"/>
      <c r="J3891"/>
      <c r="K3891"/>
    </row>
    <row r="3892" spans="1:11">
      <c r="A3892"/>
      <c r="B3892"/>
      <c r="C3892"/>
      <c r="D3892"/>
      <c r="E3892"/>
      <c r="F3892"/>
      <c r="G3892"/>
      <c r="H3892"/>
      <c r="I3892"/>
      <c r="J3892"/>
      <c r="K3892"/>
    </row>
    <row r="3893" spans="1:11">
      <c r="A3893"/>
      <c r="B3893"/>
      <c r="C3893"/>
      <c r="D3893"/>
      <c r="E3893"/>
      <c r="F3893"/>
      <c r="G3893"/>
      <c r="H3893"/>
      <c r="I3893"/>
      <c r="J3893"/>
      <c r="K3893"/>
    </row>
    <row r="3894" spans="1:11">
      <c r="A3894"/>
      <c r="B3894"/>
      <c r="C3894"/>
      <c r="D3894"/>
      <c r="E3894"/>
      <c r="F3894"/>
      <c r="G3894"/>
      <c r="H3894"/>
      <c r="I3894"/>
      <c r="J3894"/>
      <c r="K3894"/>
    </row>
    <row r="3895" spans="1:11">
      <c r="A3895"/>
      <c r="B3895"/>
      <c r="C3895"/>
      <c r="D3895"/>
      <c r="E3895"/>
      <c r="F3895"/>
      <c r="G3895"/>
      <c r="H3895"/>
      <c r="I3895"/>
      <c r="J3895"/>
      <c r="K3895"/>
    </row>
    <row r="3896" spans="1:11">
      <c r="A3896"/>
      <c r="B3896"/>
      <c r="C3896"/>
      <c r="D3896"/>
      <c r="E3896"/>
      <c r="F3896"/>
      <c r="G3896"/>
      <c r="H3896"/>
      <c r="I3896"/>
      <c r="J3896"/>
      <c r="K3896"/>
    </row>
    <row r="3897" spans="1:11">
      <c r="A3897"/>
      <c r="B3897"/>
      <c r="C3897"/>
      <c r="D3897"/>
      <c r="E3897"/>
      <c r="F3897"/>
      <c r="G3897"/>
      <c r="H3897"/>
      <c r="I3897"/>
      <c r="J3897"/>
      <c r="K3897"/>
    </row>
    <row r="3898" spans="1:11">
      <c r="A3898"/>
      <c r="B3898"/>
      <c r="C3898"/>
      <c r="D3898"/>
      <c r="E3898"/>
      <c r="F3898"/>
      <c r="G3898"/>
      <c r="H3898"/>
      <c r="I3898"/>
      <c r="J3898"/>
      <c r="K3898"/>
    </row>
    <row r="3899" spans="1:11">
      <c r="A3899"/>
      <c r="B3899"/>
      <c r="C3899"/>
      <c r="D3899"/>
      <c r="E3899"/>
      <c r="F3899"/>
      <c r="G3899"/>
      <c r="H3899"/>
      <c r="I3899"/>
      <c r="J3899"/>
      <c r="K3899"/>
    </row>
    <row r="3900" spans="1:11">
      <c r="A3900"/>
      <c r="B3900"/>
      <c r="C3900"/>
      <c r="D3900"/>
      <c r="E3900"/>
      <c r="F3900"/>
      <c r="G3900"/>
      <c r="H3900"/>
      <c r="I3900"/>
      <c r="J3900"/>
      <c r="K3900"/>
    </row>
    <row r="3901" spans="1:11">
      <c r="A3901"/>
      <c r="B3901"/>
      <c r="C3901"/>
      <c r="D3901"/>
      <c r="E3901"/>
      <c r="F3901"/>
      <c r="G3901"/>
      <c r="H3901"/>
      <c r="I3901"/>
      <c r="J3901"/>
      <c r="K3901"/>
    </row>
    <row r="3902" spans="1:11">
      <c r="A3902"/>
      <c r="B3902"/>
      <c r="C3902"/>
      <c r="D3902"/>
      <c r="E3902"/>
      <c r="F3902"/>
      <c r="G3902"/>
      <c r="H3902"/>
      <c r="I3902"/>
      <c r="J3902"/>
      <c r="K3902"/>
    </row>
    <row r="3903" spans="1:11">
      <c r="A3903"/>
      <c r="B3903"/>
      <c r="C3903"/>
      <c r="D3903"/>
      <c r="E3903"/>
      <c r="F3903"/>
      <c r="G3903"/>
      <c r="H3903"/>
      <c r="I3903"/>
      <c r="J3903"/>
      <c r="K3903"/>
    </row>
    <row r="3904" spans="1:11">
      <c r="A3904"/>
      <c r="B3904"/>
      <c r="C3904"/>
      <c r="D3904"/>
      <c r="E3904"/>
      <c r="F3904"/>
      <c r="G3904"/>
      <c r="H3904"/>
      <c r="I3904"/>
      <c r="J3904"/>
      <c r="K3904"/>
    </row>
    <row r="3905" spans="1:11">
      <c r="A3905"/>
      <c r="B3905"/>
      <c r="C3905"/>
      <c r="D3905"/>
      <c r="E3905"/>
      <c r="F3905"/>
      <c r="G3905"/>
      <c r="H3905"/>
      <c r="I3905"/>
      <c r="J3905"/>
      <c r="K3905"/>
    </row>
    <row r="3906" spans="1:11">
      <c r="A3906"/>
      <c r="B3906"/>
      <c r="C3906"/>
      <c r="D3906"/>
      <c r="E3906"/>
      <c r="F3906"/>
      <c r="G3906"/>
      <c r="H3906"/>
      <c r="I3906"/>
      <c r="J3906"/>
      <c r="K3906"/>
    </row>
    <row r="3907" spans="1:11">
      <c r="A3907"/>
      <c r="B3907"/>
      <c r="C3907"/>
      <c r="D3907"/>
      <c r="E3907"/>
      <c r="F3907"/>
      <c r="G3907"/>
      <c r="H3907"/>
      <c r="I3907"/>
      <c r="J3907"/>
      <c r="K3907"/>
    </row>
    <row r="3908" spans="1:11">
      <c r="A3908"/>
      <c r="B3908"/>
      <c r="C3908"/>
      <c r="D3908"/>
      <c r="E3908"/>
      <c r="F3908"/>
      <c r="G3908"/>
      <c r="H3908"/>
      <c r="I3908"/>
      <c r="J3908"/>
      <c r="K3908"/>
    </row>
    <row r="3909" spans="1:11">
      <c r="A3909"/>
      <c r="B3909"/>
      <c r="C3909"/>
      <c r="D3909"/>
      <c r="E3909"/>
      <c r="F3909"/>
      <c r="G3909"/>
      <c r="H3909"/>
      <c r="I3909"/>
      <c r="J3909"/>
      <c r="K3909"/>
    </row>
    <row r="3910" spans="1:11">
      <c r="A3910"/>
      <c r="B3910"/>
      <c r="C3910"/>
      <c r="D3910"/>
      <c r="E3910"/>
      <c r="F3910"/>
      <c r="G3910"/>
      <c r="H3910"/>
      <c r="I3910"/>
      <c r="J3910"/>
      <c r="K3910"/>
    </row>
    <row r="3911" spans="1:11">
      <c r="A3911"/>
      <c r="B3911"/>
      <c r="C3911"/>
      <c r="D3911"/>
      <c r="E3911"/>
      <c r="F3911"/>
      <c r="G3911"/>
      <c r="H3911"/>
      <c r="I3911"/>
      <c r="J3911"/>
      <c r="K3911"/>
    </row>
    <row r="3912" spans="1:11">
      <c r="A3912"/>
      <c r="B3912"/>
      <c r="C3912"/>
      <c r="D3912"/>
      <c r="E3912"/>
      <c r="F3912"/>
      <c r="G3912"/>
      <c r="H3912"/>
      <c r="I3912"/>
      <c r="J3912"/>
      <c r="K3912"/>
    </row>
    <row r="3913" spans="1:11">
      <c r="A3913"/>
      <c r="B3913"/>
      <c r="C3913"/>
      <c r="D3913"/>
      <c r="E3913"/>
      <c r="F3913"/>
      <c r="G3913"/>
      <c r="H3913"/>
      <c r="I3913"/>
      <c r="J3913"/>
      <c r="K3913"/>
    </row>
    <row r="3914" spans="1:11">
      <c r="A3914"/>
      <c r="B3914"/>
      <c r="C3914"/>
      <c r="D3914"/>
      <c r="E3914"/>
      <c r="F3914"/>
      <c r="G3914"/>
      <c r="H3914"/>
      <c r="I3914"/>
      <c r="J3914"/>
      <c r="K3914"/>
    </row>
    <row r="3915" spans="1:11">
      <c r="A3915"/>
      <c r="B3915"/>
      <c r="C3915"/>
      <c r="D3915"/>
      <c r="E3915"/>
      <c r="F3915"/>
      <c r="G3915"/>
      <c r="H3915"/>
      <c r="I3915"/>
      <c r="J3915"/>
      <c r="K3915"/>
    </row>
    <row r="3916" spans="1:11">
      <c r="A3916"/>
      <c r="B3916"/>
      <c r="C3916"/>
      <c r="D3916"/>
      <c r="E3916"/>
      <c r="F3916"/>
      <c r="G3916"/>
      <c r="H3916"/>
      <c r="I3916"/>
      <c r="J3916"/>
      <c r="K3916"/>
    </row>
    <row r="3917" spans="1:11">
      <c r="A3917"/>
      <c r="B3917"/>
      <c r="C3917"/>
      <c r="D3917"/>
      <c r="E3917"/>
      <c r="F3917"/>
      <c r="G3917"/>
      <c r="H3917"/>
      <c r="I3917"/>
      <c r="J3917"/>
      <c r="K3917"/>
    </row>
    <row r="3918" spans="1:11">
      <c r="A3918"/>
      <c r="B3918"/>
      <c r="C3918"/>
      <c r="D3918"/>
      <c r="E3918"/>
      <c r="F3918"/>
      <c r="G3918"/>
      <c r="H3918"/>
      <c r="I3918"/>
      <c r="J3918"/>
      <c r="K3918"/>
    </row>
    <row r="3919" spans="1:11">
      <c r="A3919"/>
      <c r="B3919"/>
      <c r="C3919"/>
      <c r="D3919"/>
      <c r="E3919"/>
      <c r="F3919"/>
      <c r="G3919"/>
      <c r="H3919"/>
      <c r="I3919"/>
      <c r="J3919"/>
      <c r="K3919"/>
    </row>
    <row r="3920" spans="1:11">
      <c r="A3920"/>
      <c r="B3920"/>
      <c r="C3920"/>
      <c r="D3920"/>
      <c r="E3920"/>
      <c r="F3920"/>
      <c r="G3920"/>
      <c r="H3920"/>
      <c r="I3920"/>
      <c r="J3920"/>
      <c r="K3920"/>
    </row>
    <row r="3921" spans="1:11">
      <c r="A3921"/>
      <c r="B3921"/>
      <c r="C3921"/>
      <c r="D3921"/>
      <c r="E3921"/>
      <c r="F3921"/>
      <c r="G3921"/>
      <c r="H3921"/>
      <c r="I3921"/>
      <c r="J3921"/>
      <c r="K3921"/>
    </row>
    <row r="3922" spans="1:11">
      <c r="A3922"/>
      <c r="B3922"/>
      <c r="C3922"/>
      <c r="D3922"/>
      <c r="E3922"/>
      <c r="F3922"/>
      <c r="G3922"/>
      <c r="H3922"/>
      <c r="I3922"/>
      <c r="J3922"/>
      <c r="K3922"/>
    </row>
    <row r="3923" spans="1:11">
      <c r="A3923"/>
      <c r="B3923"/>
      <c r="C3923"/>
      <c r="D3923"/>
      <c r="E3923"/>
      <c r="F3923"/>
      <c r="G3923"/>
      <c r="H3923"/>
      <c r="I3923"/>
      <c r="J3923"/>
      <c r="K3923"/>
    </row>
    <row r="3924" spans="1:11">
      <c r="A3924"/>
      <c r="B3924"/>
      <c r="C3924"/>
      <c r="D3924"/>
      <c r="E3924"/>
      <c r="F3924"/>
      <c r="G3924"/>
      <c r="H3924"/>
      <c r="I3924"/>
      <c r="J3924"/>
      <c r="K3924"/>
    </row>
    <row r="3925" spans="1:11">
      <c r="A3925"/>
      <c r="B3925"/>
      <c r="C3925"/>
      <c r="D3925"/>
      <c r="E3925"/>
      <c r="F3925"/>
      <c r="G3925"/>
      <c r="H3925"/>
      <c r="I3925"/>
      <c r="J3925"/>
      <c r="K3925"/>
    </row>
    <row r="3926" spans="1:11">
      <c r="A3926"/>
      <c r="B3926"/>
      <c r="C3926"/>
      <c r="D3926"/>
      <c r="E3926"/>
      <c r="F3926"/>
      <c r="G3926"/>
      <c r="H3926"/>
      <c r="I3926"/>
      <c r="J3926"/>
      <c r="K3926"/>
    </row>
    <row r="3927" spans="1:11">
      <c r="A3927"/>
      <c r="B3927"/>
      <c r="C3927"/>
      <c r="D3927"/>
      <c r="E3927"/>
      <c r="F3927"/>
      <c r="G3927"/>
      <c r="H3927"/>
      <c r="I3927"/>
      <c r="J3927"/>
      <c r="K3927"/>
    </row>
    <row r="3928" spans="1:11">
      <c r="A3928"/>
      <c r="B3928"/>
      <c r="C3928"/>
      <c r="D3928"/>
      <c r="E3928"/>
      <c r="F3928"/>
      <c r="G3928"/>
      <c r="H3928"/>
      <c r="I3928"/>
      <c r="J3928"/>
      <c r="K3928"/>
    </row>
    <row r="3929" spans="1:11">
      <c r="A3929"/>
      <c r="B3929"/>
      <c r="C3929"/>
      <c r="D3929"/>
      <c r="E3929"/>
      <c r="F3929"/>
      <c r="G3929"/>
      <c r="H3929"/>
      <c r="I3929"/>
      <c r="J3929"/>
      <c r="K3929"/>
    </row>
    <row r="3930" spans="1:11">
      <c r="A3930"/>
      <c r="B3930"/>
      <c r="C3930"/>
      <c r="D3930"/>
      <c r="E3930"/>
      <c r="F3930"/>
      <c r="G3930"/>
      <c r="H3930"/>
      <c r="I3930"/>
      <c r="J3930"/>
      <c r="K3930"/>
    </row>
    <row r="3931" spans="1:11">
      <c r="A3931"/>
      <c r="B3931"/>
      <c r="C3931"/>
      <c r="D3931"/>
      <c r="E3931"/>
      <c r="F3931"/>
      <c r="G3931"/>
      <c r="H3931"/>
      <c r="I3931"/>
      <c r="J3931"/>
      <c r="K3931"/>
    </row>
    <row r="3932" spans="1:11">
      <c r="A3932"/>
      <c r="B3932"/>
      <c r="C3932"/>
      <c r="D3932"/>
      <c r="E3932"/>
      <c r="F3932"/>
      <c r="G3932"/>
      <c r="H3932"/>
      <c r="I3932"/>
      <c r="J3932"/>
      <c r="K3932"/>
    </row>
    <row r="3933" spans="1:11">
      <c r="A3933"/>
      <c r="B3933"/>
      <c r="C3933"/>
      <c r="D3933"/>
      <c r="E3933"/>
      <c r="F3933"/>
      <c r="G3933"/>
      <c r="H3933"/>
      <c r="I3933"/>
      <c r="J3933"/>
      <c r="K3933"/>
    </row>
    <row r="3934" spans="1:11">
      <c r="A3934"/>
      <c r="B3934"/>
      <c r="C3934"/>
      <c r="D3934"/>
      <c r="E3934"/>
      <c r="F3934"/>
      <c r="G3934"/>
      <c r="H3934"/>
      <c r="I3934"/>
      <c r="J3934"/>
      <c r="K3934"/>
    </row>
    <row r="3935" spans="1:11">
      <c r="A3935"/>
      <c r="B3935"/>
      <c r="C3935"/>
      <c r="D3935"/>
      <c r="E3935"/>
      <c r="F3935"/>
      <c r="G3935"/>
      <c r="H3935"/>
      <c r="I3935"/>
      <c r="J3935"/>
      <c r="K3935"/>
    </row>
    <row r="3936" spans="1:11">
      <c r="A3936"/>
      <c r="B3936"/>
      <c r="C3936"/>
      <c r="D3936"/>
      <c r="E3936"/>
      <c r="F3936"/>
      <c r="G3936"/>
      <c r="H3936"/>
      <c r="I3936"/>
      <c r="J3936"/>
      <c r="K3936"/>
    </row>
    <row r="3937" spans="1:11">
      <c r="A3937"/>
      <c r="B3937"/>
      <c r="C3937"/>
      <c r="D3937"/>
      <c r="E3937"/>
      <c r="F3937"/>
      <c r="G3937"/>
      <c r="H3937"/>
      <c r="I3937"/>
      <c r="J3937"/>
      <c r="K3937"/>
    </row>
    <row r="3938" spans="1:11">
      <c r="A3938"/>
      <c r="B3938"/>
      <c r="C3938"/>
      <c r="D3938"/>
      <c r="E3938"/>
      <c r="F3938"/>
      <c r="G3938"/>
      <c r="H3938"/>
      <c r="I3938"/>
      <c r="J3938"/>
      <c r="K3938"/>
    </row>
    <row r="3939" spans="1:11">
      <c r="A3939"/>
      <c r="B3939"/>
      <c r="C3939"/>
      <c r="D3939"/>
      <c r="E3939"/>
      <c r="F3939"/>
      <c r="G3939"/>
      <c r="H3939"/>
      <c r="I3939"/>
      <c r="J3939"/>
      <c r="K3939"/>
    </row>
    <row r="3940" spans="1:11">
      <c r="A3940"/>
      <c r="B3940"/>
      <c r="C3940"/>
      <c r="D3940"/>
      <c r="E3940"/>
      <c r="F3940"/>
      <c r="G3940"/>
      <c r="H3940"/>
      <c r="I3940"/>
      <c r="J3940"/>
      <c r="K3940"/>
    </row>
    <row r="3941" spans="1:11">
      <c r="A3941"/>
      <c r="B3941"/>
      <c r="C3941"/>
      <c r="D3941"/>
      <c r="E3941"/>
      <c r="F3941"/>
      <c r="G3941"/>
      <c r="H3941"/>
      <c r="I3941"/>
      <c r="J3941"/>
      <c r="K3941"/>
    </row>
    <row r="3942" spans="1:11">
      <c r="A3942"/>
      <c r="B3942"/>
      <c r="C3942"/>
      <c r="D3942"/>
      <c r="E3942"/>
      <c r="F3942"/>
      <c r="G3942"/>
      <c r="H3942"/>
      <c r="I3942"/>
      <c r="J3942"/>
      <c r="K3942"/>
    </row>
    <row r="3943" spans="1:11">
      <c r="A3943"/>
      <c r="B3943"/>
      <c r="C3943"/>
      <c r="D3943"/>
      <c r="E3943"/>
      <c r="F3943"/>
      <c r="G3943"/>
      <c r="H3943"/>
      <c r="I3943"/>
      <c r="J3943"/>
      <c r="K3943"/>
    </row>
    <row r="3944" spans="1:11">
      <c r="A3944"/>
      <c r="B3944"/>
      <c r="C3944"/>
      <c r="D3944"/>
      <c r="E3944"/>
      <c r="F3944"/>
      <c r="G3944"/>
      <c r="H3944"/>
      <c r="I3944"/>
      <c r="J3944"/>
      <c r="K3944"/>
    </row>
    <row r="3945" spans="1:11">
      <c r="A3945"/>
      <c r="B3945"/>
      <c r="C3945"/>
      <c r="D3945"/>
      <c r="E3945"/>
      <c r="F3945"/>
      <c r="G3945"/>
      <c r="H3945"/>
      <c r="I3945"/>
      <c r="J3945"/>
      <c r="K3945"/>
    </row>
    <row r="3946" spans="1:11">
      <c r="A3946"/>
      <c r="B3946"/>
      <c r="C3946"/>
      <c r="D3946"/>
      <c r="E3946"/>
      <c r="F3946"/>
      <c r="G3946"/>
      <c r="H3946"/>
      <c r="I3946"/>
      <c r="J3946"/>
      <c r="K3946"/>
    </row>
    <row r="3947" spans="1:11">
      <c r="A3947"/>
      <c r="B3947"/>
      <c r="C3947"/>
      <c r="D3947"/>
      <c r="E3947"/>
      <c r="F3947"/>
      <c r="G3947"/>
      <c r="H3947"/>
      <c r="I3947"/>
      <c r="J3947"/>
      <c r="K3947"/>
    </row>
    <row r="3948" spans="1:11">
      <c r="A3948"/>
      <c r="B3948"/>
      <c r="C3948"/>
      <c r="D3948"/>
      <c r="E3948"/>
      <c r="F3948"/>
      <c r="G3948"/>
      <c r="H3948"/>
      <c r="I3948"/>
      <c r="J3948"/>
      <c r="K3948"/>
    </row>
    <row r="3949" spans="1:11">
      <c r="A3949"/>
      <c r="B3949"/>
      <c r="C3949"/>
      <c r="D3949"/>
      <c r="E3949"/>
      <c r="F3949"/>
      <c r="G3949"/>
      <c r="H3949"/>
      <c r="I3949"/>
      <c r="J3949"/>
      <c r="K3949"/>
    </row>
    <row r="3950" spans="1:11">
      <c r="A3950"/>
      <c r="B3950"/>
      <c r="C3950"/>
      <c r="D3950"/>
      <c r="E3950"/>
      <c r="F3950"/>
      <c r="G3950"/>
      <c r="H3950"/>
      <c r="I3950"/>
      <c r="J3950"/>
      <c r="K3950"/>
    </row>
    <row r="3951" spans="1:11">
      <c r="A3951"/>
      <c r="B3951"/>
      <c r="C3951"/>
      <c r="D3951"/>
      <c r="E3951"/>
      <c r="F3951"/>
      <c r="G3951"/>
      <c r="H3951"/>
      <c r="I3951"/>
      <c r="J3951"/>
      <c r="K3951"/>
    </row>
    <row r="3952" spans="1:11">
      <c r="A3952"/>
      <c r="B3952"/>
      <c r="C3952"/>
      <c r="D3952"/>
      <c r="E3952"/>
      <c r="F3952"/>
      <c r="G3952"/>
      <c r="H3952"/>
      <c r="I3952"/>
      <c r="J3952"/>
      <c r="K3952"/>
    </row>
    <row r="3953" spans="1:11">
      <c r="A3953"/>
      <c r="B3953"/>
      <c r="C3953"/>
      <c r="D3953"/>
      <c r="E3953"/>
      <c r="F3953"/>
      <c r="G3953"/>
      <c r="H3953"/>
      <c r="I3953"/>
      <c r="J3953"/>
      <c r="K3953"/>
    </row>
    <row r="3954" spans="1:11">
      <c r="A3954"/>
      <c r="B3954"/>
      <c r="C3954"/>
      <c r="D3954"/>
      <c r="E3954"/>
      <c r="F3954"/>
      <c r="G3954"/>
      <c r="H3954"/>
      <c r="I3954"/>
      <c r="J3954"/>
      <c r="K3954"/>
    </row>
    <row r="3955" spans="1:11">
      <c r="A3955"/>
      <c r="B3955"/>
      <c r="C3955"/>
      <c r="D3955"/>
      <c r="E3955"/>
      <c r="F3955"/>
      <c r="G3955"/>
      <c r="H3955"/>
      <c r="I3955"/>
      <c r="J3955"/>
      <c r="K3955"/>
    </row>
    <row r="3956" spans="1:11">
      <c r="A3956"/>
      <c r="B3956"/>
      <c r="C3956"/>
      <c r="D3956"/>
      <c r="E3956"/>
      <c r="F3956"/>
      <c r="G3956"/>
      <c r="H3956"/>
      <c r="I3956"/>
      <c r="J3956"/>
      <c r="K3956"/>
    </row>
    <row r="3957" spans="1:11">
      <c r="A3957"/>
      <c r="B3957"/>
      <c r="C3957"/>
      <c r="D3957"/>
      <c r="E3957"/>
      <c r="F3957"/>
      <c r="G3957"/>
      <c r="H3957"/>
      <c r="I3957"/>
      <c r="J3957"/>
      <c r="K3957"/>
    </row>
    <row r="3958" spans="1:11">
      <c r="A3958"/>
      <c r="B3958"/>
      <c r="C3958"/>
      <c r="D3958"/>
      <c r="E3958"/>
      <c r="F3958"/>
      <c r="G3958"/>
      <c r="H3958"/>
      <c r="I3958"/>
      <c r="J3958"/>
      <c r="K3958"/>
    </row>
    <row r="3959" spans="1:11">
      <c r="A3959"/>
      <c r="B3959"/>
      <c r="C3959"/>
      <c r="D3959"/>
      <c r="E3959"/>
      <c r="F3959"/>
      <c r="G3959"/>
      <c r="H3959"/>
      <c r="I3959"/>
      <c r="J3959"/>
      <c r="K3959"/>
    </row>
    <row r="3960" spans="1:11">
      <c r="A3960"/>
      <c r="B3960"/>
      <c r="C3960"/>
      <c r="D3960"/>
      <c r="E3960"/>
      <c r="F3960"/>
      <c r="G3960"/>
      <c r="H3960"/>
      <c r="I3960"/>
      <c r="J3960"/>
      <c r="K3960"/>
    </row>
    <row r="3961" spans="1:11">
      <c r="A3961"/>
      <c r="B3961"/>
      <c r="C3961"/>
      <c r="D3961"/>
      <c r="E3961"/>
      <c r="F3961"/>
      <c r="G3961"/>
      <c r="H3961"/>
      <c r="I3961"/>
      <c r="J3961"/>
      <c r="K3961"/>
    </row>
    <row r="3962" spans="1:11">
      <c r="A3962"/>
      <c r="B3962"/>
      <c r="C3962"/>
      <c r="D3962"/>
      <c r="E3962"/>
      <c r="F3962"/>
      <c r="G3962"/>
      <c r="H3962"/>
      <c r="I3962"/>
      <c r="J3962"/>
      <c r="K3962"/>
    </row>
    <row r="3963" spans="1:11">
      <c r="A3963"/>
      <c r="B3963"/>
      <c r="C3963"/>
      <c r="D3963"/>
      <c r="E3963"/>
      <c r="F3963"/>
      <c r="G3963"/>
      <c r="H3963"/>
      <c r="I3963"/>
      <c r="J3963"/>
      <c r="K3963"/>
    </row>
    <row r="3964" spans="1:11">
      <c r="A3964"/>
      <c r="B3964"/>
      <c r="C3964"/>
      <c r="D3964"/>
      <c r="E3964"/>
      <c r="F3964"/>
      <c r="G3964"/>
      <c r="H3964"/>
      <c r="I3964"/>
      <c r="J3964"/>
      <c r="K3964"/>
    </row>
    <row r="3965" spans="1:11">
      <c r="A3965"/>
      <c r="B3965"/>
      <c r="C3965"/>
      <c r="D3965"/>
      <c r="E3965"/>
      <c r="F3965"/>
      <c r="G3965"/>
      <c r="H3965"/>
      <c r="I3965"/>
      <c r="J3965"/>
      <c r="K3965"/>
    </row>
    <row r="3966" spans="1:11">
      <c r="A3966"/>
      <c r="B3966"/>
      <c r="C3966"/>
      <c r="D3966"/>
      <c r="E3966"/>
      <c r="F3966"/>
      <c r="G3966"/>
      <c r="H3966"/>
      <c r="I3966"/>
      <c r="J3966"/>
      <c r="K3966"/>
    </row>
    <row r="3967" spans="1:11">
      <c r="A3967"/>
      <c r="B3967"/>
      <c r="C3967"/>
      <c r="D3967"/>
      <c r="E3967"/>
      <c r="F3967"/>
      <c r="G3967"/>
      <c r="H3967"/>
      <c r="I3967"/>
      <c r="J3967"/>
      <c r="K3967"/>
    </row>
    <row r="3968" spans="1:11">
      <c r="A3968"/>
      <c r="B3968"/>
      <c r="C3968"/>
      <c r="D3968"/>
      <c r="E3968"/>
      <c r="F3968"/>
      <c r="G3968"/>
      <c r="H3968"/>
      <c r="I3968"/>
      <c r="J3968"/>
      <c r="K3968"/>
    </row>
    <row r="3969" spans="1:11">
      <c r="A3969"/>
      <c r="B3969"/>
      <c r="C3969"/>
      <c r="D3969"/>
      <c r="E3969"/>
      <c r="F3969"/>
      <c r="G3969"/>
      <c r="H3969"/>
      <c r="I3969"/>
      <c r="J3969"/>
      <c r="K3969"/>
    </row>
    <row r="3970" spans="1:11">
      <c r="A3970"/>
      <c r="B3970"/>
      <c r="C3970"/>
      <c r="D3970"/>
      <c r="E3970"/>
      <c r="F3970"/>
      <c r="G3970"/>
      <c r="H3970"/>
      <c r="I3970"/>
      <c r="J3970"/>
      <c r="K3970"/>
    </row>
    <row r="3971" spans="1:11">
      <c r="A3971"/>
      <c r="B3971"/>
      <c r="C3971"/>
      <c r="D3971"/>
      <c r="E3971"/>
      <c r="F3971"/>
      <c r="G3971"/>
      <c r="H3971"/>
      <c r="I3971"/>
      <c r="J3971"/>
      <c r="K3971"/>
    </row>
    <row r="3972" spans="1:11">
      <c r="A3972"/>
      <c r="B3972"/>
      <c r="C3972"/>
      <c r="D3972"/>
      <c r="E3972"/>
      <c r="F3972"/>
      <c r="G3972"/>
      <c r="H3972"/>
      <c r="I3972"/>
      <c r="J3972"/>
      <c r="K3972"/>
    </row>
    <row r="3973" spans="1:11">
      <c r="A3973"/>
      <c r="B3973"/>
      <c r="C3973"/>
      <c r="D3973"/>
      <c r="E3973"/>
      <c r="F3973"/>
      <c r="G3973"/>
      <c r="H3973"/>
      <c r="I3973"/>
      <c r="J3973"/>
      <c r="K3973"/>
    </row>
    <row r="3974" spans="1:11">
      <c r="A3974"/>
      <c r="B3974"/>
      <c r="C3974"/>
      <c r="D3974"/>
      <c r="E3974"/>
      <c r="F3974"/>
      <c r="G3974"/>
      <c r="H3974"/>
      <c r="I3974"/>
      <c r="J3974"/>
      <c r="K3974"/>
    </row>
    <row r="3975" spans="1:11">
      <c r="A3975"/>
      <c r="B3975"/>
      <c r="C3975"/>
      <c r="D3975"/>
      <c r="E3975"/>
      <c r="F3975"/>
      <c r="G3975"/>
      <c r="H3975"/>
      <c r="I3975"/>
      <c r="J3975"/>
      <c r="K3975"/>
    </row>
    <row r="3976" spans="1:11">
      <c r="A3976"/>
      <c r="B3976"/>
      <c r="C3976"/>
      <c r="D3976"/>
      <c r="E3976"/>
      <c r="F3976"/>
      <c r="G3976"/>
      <c r="H3976"/>
      <c r="I3976"/>
      <c r="J3976"/>
      <c r="K3976"/>
    </row>
    <row r="3977" spans="1:11">
      <c r="A3977"/>
      <c r="B3977"/>
      <c r="C3977"/>
      <c r="D3977"/>
      <c r="E3977"/>
      <c r="F3977"/>
      <c r="G3977"/>
      <c r="H3977"/>
      <c r="I3977"/>
      <c r="J3977"/>
      <c r="K3977"/>
    </row>
    <row r="3978" spans="1:11">
      <c r="A3978"/>
      <c r="B3978"/>
      <c r="C3978"/>
      <c r="D3978"/>
      <c r="E3978"/>
      <c r="F3978"/>
      <c r="G3978"/>
      <c r="H3978"/>
      <c r="I3978"/>
      <c r="J3978"/>
      <c r="K3978"/>
    </row>
    <row r="3979" spans="1:11">
      <c r="A3979"/>
      <c r="B3979"/>
      <c r="C3979"/>
      <c r="D3979"/>
      <c r="E3979"/>
      <c r="F3979"/>
      <c r="G3979"/>
      <c r="H3979"/>
      <c r="I3979"/>
      <c r="J3979"/>
      <c r="K3979"/>
    </row>
    <row r="3980" spans="1:11">
      <c r="A3980"/>
      <c r="B3980"/>
      <c r="C3980"/>
      <c r="D3980"/>
      <c r="E3980"/>
      <c r="F3980"/>
      <c r="G3980"/>
      <c r="H3980"/>
      <c r="I3980"/>
      <c r="J3980"/>
      <c r="K3980"/>
    </row>
    <row r="3981" spans="1:11">
      <c r="A3981"/>
      <c r="B3981"/>
      <c r="C3981"/>
      <c r="D3981"/>
      <c r="E3981"/>
      <c r="F3981"/>
      <c r="G3981"/>
      <c r="H3981"/>
      <c r="I3981"/>
      <c r="J3981"/>
      <c r="K3981"/>
    </row>
    <row r="3982" spans="1:11">
      <c r="A3982"/>
      <c r="B3982"/>
      <c r="C3982"/>
      <c r="D3982"/>
      <c r="E3982"/>
      <c r="F3982"/>
      <c r="G3982"/>
      <c r="H3982"/>
      <c r="I3982"/>
      <c r="J3982"/>
      <c r="K3982"/>
    </row>
    <row r="3983" spans="1:11">
      <c r="A3983"/>
      <c r="B3983"/>
      <c r="C3983"/>
      <c r="D3983"/>
      <c r="E3983"/>
      <c r="F3983"/>
      <c r="G3983"/>
      <c r="H3983"/>
      <c r="I3983"/>
      <c r="J3983"/>
      <c r="K3983"/>
    </row>
    <row r="3984" spans="1:11">
      <c r="A3984"/>
      <c r="B3984"/>
      <c r="C3984"/>
      <c r="D3984"/>
      <c r="E3984"/>
      <c r="F3984"/>
      <c r="G3984"/>
      <c r="H3984"/>
      <c r="I3984"/>
      <c r="J3984"/>
      <c r="K3984"/>
    </row>
    <row r="3985" spans="1:11">
      <c r="A3985"/>
      <c r="B3985"/>
      <c r="C3985"/>
      <c r="D3985"/>
      <c r="E3985"/>
      <c r="F3985"/>
      <c r="G3985"/>
      <c r="H3985"/>
      <c r="I3985"/>
      <c r="J3985"/>
      <c r="K3985"/>
    </row>
    <row r="3986" spans="1:11">
      <c r="A3986"/>
      <c r="B3986"/>
      <c r="C3986"/>
      <c r="D3986"/>
      <c r="E3986"/>
      <c r="F3986"/>
      <c r="G3986"/>
      <c r="H3986"/>
      <c r="I3986"/>
      <c r="J3986"/>
      <c r="K3986"/>
    </row>
    <row r="3987" spans="1:11">
      <c r="A3987"/>
      <c r="B3987"/>
      <c r="C3987"/>
      <c r="D3987"/>
      <c r="E3987"/>
      <c r="F3987"/>
      <c r="G3987"/>
      <c r="H3987"/>
      <c r="I3987"/>
      <c r="J3987"/>
      <c r="K3987"/>
    </row>
    <row r="3988" spans="1:11">
      <c r="A3988"/>
      <c r="B3988"/>
      <c r="C3988"/>
      <c r="D3988"/>
      <c r="E3988"/>
      <c r="F3988"/>
      <c r="G3988"/>
      <c r="H3988"/>
      <c r="I3988"/>
      <c r="J3988"/>
      <c r="K3988"/>
    </row>
    <row r="3989" spans="1:11">
      <c r="A3989"/>
      <c r="B3989"/>
      <c r="C3989"/>
      <c r="D3989"/>
      <c r="E3989"/>
      <c r="F3989"/>
      <c r="G3989"/>
      <c r="H3989"/>
      <c r="I3989"/>
      <c r="J3989"/>
      <c r="K3989"/>
    </row>
    <row r="3990" spans="1:11">
      <c r="A3990"/>
      <c r="B3990"/>
      <c r="C3990"/>
      <c r="D3990"/>
      <c r="E3990"/>
      <c r="F3990"/>
      <c r="G3990"/>
      <c r="H3990"/>
      <c r="I3990"/>
      <c r="J3990"/>
      <c r="K3990"/>
    </row>
    <row r="3991" spans="1:11">
      <c r="A3991"/>
      <c r="B3991"/>
      <c r="C3991"/>
      <c r="D3991"/>
      <c r="E3991"/>
      <c r="F3991"/>
      <c r="G3991"/>
      <c r="H3991"/>
      <c r="I3991"/>
      <c r="J3991"/>
      <c r="K3991"/>
    </row>
    <row r="3992" spans="1:11">
      <c r="A3992"/>
      <c r="B3992"/>
      <c r="C3992"/>
      <c r="D3992"/>
      <c r="E3992"/>
      <c r="F3992"/>
      <c r="G3992"/>
      <c r="H3992"/>
      <c r="I3992"/>
      <c r="J3992"/>
      <c r="K3992"/>
    </row>
    <row r="3993" spans="1:11">
      <c r="A3993"/>
      <c r="B3993"/>
      <c r="C3993"/>
      <c r="D3993"/>
      <c r="E3993"/>
      <c r="F3993"/>
      <c r="G3993"/>
      <c r="H3993"/>
      <c r="I3993"/>
      <c r="J3993"/>
      <c r="K3993"/>
    </row>
    <row r="3994" spans="1:11">
      <c r="A3994"/>
      <c r="B3994"/>
      <c r="C3994"/>
      <c r="D3994"/>
      <c r="E3994"/>
      <c r="F3994"/>
      <c r="G3994"/>
      <c r="H3994"/>
      <c r="I3994"/>
      <c r="J3994"/>
      <c r="K3994"/>
    </row>
    <row r="3995" spans="1:11">
      <c r="A3995"/>
      <c r="B3995"/>
      <c r="C3995"/>
      <c r="D3995"/>
      <c r="E3995"/>
      <c r="F3995"/>
      <c r="G3995"/>
      <c r="H3995"/>
      <c r="I3995"/>
      <c r="J3995"/>
      <c r="K3995"/>
    </row>
    <row r="3996" spans="1:11">
      <c r="A3996"/>
      <c r="B3996"/>
      <c r="C3996"/>
      <c r="D3996"/>
      <c r="E3996"/>
      <c r="F3996"/>
      <c r="G3996"/>
      <c r="H3996"/>
      <c r="I3996"/>
      <c r="J3996"/>
      <c r="K3996"/>
    </row>
    <row r="3997" spans="1:11">
      <c r="A3997"/>
      <c r="B3997"/>
      <c r="C3997"/>
      <c r="D3997"/>
      <c r="E3997"/>
      <c r="F3997"/>
      <c r="G3997"/>
      <c r="H3997"/>
      <c r="I3997"/>
      <c r="J3997"/>
      <c r="K3997"/>
    </row>
    <row r="3998" spans="1:11">
      <c r="A3998"/>
      <c r="B3998"/>
      <c r="C3998"/>
      <c r="D3998"/>
      <c r="E3998"/>
      <c r="F3998"/>
      <c r="G3998"/>
      <c r="H3998"/>
      <c r="I3998"/>
      <c r="J3998"/>
      <c r="K3998"/>
    </row>
    <row r="3999" spans="1:11">
      <c r="A3999"/>
      <c r="B3999"/>
      <c r="C3999"/>
      <c r="D3999"/>
      <c r="E3999"/>
      <c r="F3999"/>
      <c r="G3999"/>
      <c r="H3999"/>
      <c r="I3999"/>
      <c r="J3999"/>
      <c r="K3999"/>
    </row>
    <row r="4000" spans="1:11">
      <c r="A4000"/>
      <c r="B4000"/>
      <c r="C4000"/>
      <c r="D4000"/>
      <c r="E4000"/>
      <c r="F4000"/>
      <c r="G4000"/>
      <c r="H4000"/>
      <c r="I4000"/>
      <c r="J4000"/>
      <c r="K4000"/>
    </row>
    <row r="4001" spans="1:11">
      <c r="A4001"/>
      <c r="B4001"/>
      <c r="C4001"/>
      <c r="D4001"/>
      <c r="E4001"/>
      <c r="F4001"/>
      <c r="G4001"/>
      <c r="H4001"/>
      <c r="I4001"/>
      <c r="J4001"/>
      <c r="K4001"/>
    </row>
    <row r="4002" spans="1:11">
      <c r="A4002"/>
      <c r="B4002"/>
      <c r="C4002"/>
      <c r="D4002"/>
      <c r="E4002"/>
      <c r="F4002"/>
      <c r="G4002"/>
      <c r="H4002"/>
      <c r="I4002"/>
      <c r="J4002"/>
      <c r="K4002"/>
    </row>
    <row r="4003" spans="1:11">
      <c r="A4003"/>
      <c r="B4003"/>
      <c r="C4003"/>
      <c r="D4003"/>
      <c r="E4003"/>
      <c r="F4003"/>
      <c r="G4003"/>
      <c r="H4003"/>
      <c r="I4003"/>
      <c r="J4003"/>
      <c r="K4003"/>
    </row>
    <row r="4004" spans="1:11">
      <c r="A4004"/>
      <c r="B4004"/>
      <c r="C4004"/>
      <c r="D4004"/>
      <c r="E4004"/>
      <c r="F4004"/>
      <c r="G4004"/>
      <c r="H4004"/>
      <c r="I4004"/>
      <c r="J4004"/>
      <c r="K4004"/>
    </row>
    <row r="4005" spans="1:11">
      <c r="A4005"/>
      <c r="B4005"/>
      <c r="C4005"/>
      <c r="D4005"/>
      <c r="E4005"/>
      <c r="F4005"/>
      <c r="G4005"/>
      <c r="H4005"/>
      <c r="I4005"/>
      <c r="J4005"/>
      <c r="K4005"/>
    </row>
    <row r="4006" spans="1:11">
      <c r="A4006"/>
      <c r="B4006"/>
      <c r="C4006"/>
      <c r="D4006"/>
      <c r="E4006"/>
      <c r="F4006"/>
      <c r="G4006"/>
      <c r="H4006"/>
      <c r="I4006"/>
      <c r="J4006"/>
      <c r="K4006"/>
    </row>
    <row r="4007" spans="1:11">
      <c r="A4007"/>
      <c r="B4007"/>
      <c r="C4007"/>
      <c r="D4007"/>
      <c r="E4007"/>
      <c r="F4007"/>
      <c r="G4007"/>
      <c r="H4007"/>
      <c r="I4007"/>
      <c r="J4007"/>
      <c r="K4007"/>
    </row>
    <row r="4008" spans="1:11">
      <c r="A4008"/>
      <c r="B4008"/>
      <c r="C4008"/>
      <c r="D4008"/>
      <c r="E4008"/>
      <c r="F4008"/>
      <c r="G4008"/>
      <c r="H4008"/>
      <c r="I4008"/>
      <c r="J4008"/>
      <c r="K4008"/>
    </row>
    <row r="4009" spans="1:11">
      <c r="A4009"/>
      <c r="B4009"/>
      <c r="C4009"/>
      <c r="D4009"/>
      <c r="E4009"/>
      <c r="F4009"/>
      <c r="G4009"/>
      <c r="H4009"/>
      <c r="I4009"/>
      <c r="J4009"/>
      <c r="K4009"/>
    </row>
    <row r="4010" spans="1:11">
      <c r="A4010"/>
      <c r="B4010"/>
      <c r="C4010"/>
      <c r="D4010"/>
      <c r="E4010"/>
      <c r="F4010"/>
      <c r="G4010"/>
      <c r="H4010"/>
      <c r="I4010"/>
      <c r="J4010"/>
      <c r="K4010"/>
    </row>
    <row r="4011" spans="1:11">
      <c r="A4011"/>
      <c r="B4011"/>
      <c r="C4011"/>
      <c r="D4011"/>
      <c r="E4011"/>
      <c r="F4011"/>
      <c r="G4011"/>
      <c r="H4011"/>
      <c r="I4011"/>
      <c r="J4011"/>
      <c r="K4011"/>
    </row>
    <row r="4012" spans="1:11">
      <c r="A4012"/>
      <c r="B4012"/>
      <c r="C4012"/>
      <c r="D4012"/>
      <c r="E4012"/>
      <c r="F4012"/>
      <c r="G4012"/>
      <c r="H4012"/>
      <c r="I4012"/>
      <c r="J4012"/>
      <c r="K4012"/>
    </row>
    <row r="4013" spans="1:11">
      <c r="A4013"/>
      <c r="B4013"/>
      <c r="C4013"/>
      <c r="D4013"/>
      <c r="E4013"/>
      <c r="F4013"/>
      <c r="G4013"/>
      <c r="H4013"/>
      <c r="I4013"/>
      <c r="J4013"/>
      <c r="K4013"/>
    </row>
    <row r="4014" spans="1:11">
      <c r="A4014"/>
      <c r="B4014"/>
      <c r="C4014"/>
      <c r="D4014"/>
      <c r="E4014"/>
      <c r="F4014"/>
      <c r="G4014"/>
      <c r="H4014"/>
      <c r="I4014"/>
      <c r="J4014"/>
      <c r="K4014"/>
    </row>
    <row r="4015" spans="1:11">
      <c r="A4015"/>
      <c r="B4015"/>
      <c r="C4015"/>
      <c r="D4015"/>
      <c r="E4015"/>
      <c r="F4015"/>
      <c r="G4015"/>
      <c r="H4015"/>
      <c r="I4015"/>
      <c r="J4015"/>
      <c r="K4015"/>
    </row>
    <row r="4016" spans="1:11">
      <c r="A4016"/>
      <c r="B4016"/>
      <c r="C4016"/>
      <c r="D4016"/>
      <c r="E4016"/>
      <c r="F4016"/>
      <c r="G4016"/>
      <c r="H4016"/>
      <c r="I4016"/>
      <c r="J4016"/>
      <c r="K4016"/>
    </row>
    <row r="4017" spans="1:11">
      <c r="A4017"/>
      <c r="B4017"/>
      <c r="C4017"/>
      <c r="D4017"/>
      <c r="E4017"/>
      <c r="F4017"/>
      <c r="G4017"/>
      <c r="H4017"/>
      <c r="I4017"/>
      <c r="J4017"/>
      <c r="K4017"/>
    </row>
    <row r="4018" spans="1:11">
      <c r="A4018"/>
      <c r="B4018"/>
      <c r="C4018"/>
      <c r="D4018"/>
      <c r="E4018"/>
      <c r="F4018"/>
      <c r="G4018"/>
      <c r="H4018"/>
      <c r="I4018"/>
      <c r="J4018"/>
      <c r="K4018"/>
    </row>
    <row r="4019" spans="1:11">
      <c r="A4019"/>
      <c r="B4019"/>
      <c r="C4019"/>
      <c r="D4019"/>
      <c r="E4019"/>
      <c r="F4019"/>
      <c r="G4019"/>
      <c r="H4019"/>
      <c r="I4019"/>
      <c r="J4019"/>
      <c r="K4019"/>
    </row>
    <row r="4020" spans="1:11">
      <c r="A4020"/>
      <c r="B4020"/>
      <c r="C4020"/>
      <c r="D4020"/>
      <c r="E4020"/>
      <c r="F4020"/>
      <c r="G4020"/>
      <c r="H4020"/>
      <c r="I4020"/>
      <c r="J4020"/>
      <c r="K4020"/>
    </row>
    <row r="4021" spans="1:11">
      <c r="A4021"/>
      <c r="B4021"/>
      <c r="C4021"/>
      <c r="D4021"/>
      <c r="E4021"/>
      <c r="F4021"/>
      <c r="G4021"/>
      <c r="H4021"/>
      <c r="I4021"/>
      <c r="J4021"/>
      <c r="K4021"/>
    </row>
    <row r="4022" spans="1:11">
      <c r="A4022"/>
      <c r="B4022"/>
      <c r="C4022"/>
      <c r="D4022"/>
      <c r="E4022"/>
      <c r="F4022"/>
      <c r="G4022"/>
      <c r="H4022"/>
      <c r="I4022"/>
      <c r="J4022"/>
      <c r="K4022"/>
    </row>
    <row r="4023" spans="1:11">
      <c r="A4023"/>
      <c r="B4023"/>
      <c r="C4023"/>
      <c r="D4023"/>
      <c r="E4023"/>
      <c r="F4023"/>
      <c r="G4023"/>
      <c r="H4023"/>
      <c r="I4023"/>
      <c r="J4023"/>
      <c r="K4023"/>
    </row>
    <row r="4024" spans="1:11">
      <c r="A4024"/>
      <c r="B4024"/>
      <c r="C4024"/>
      <c r="D4024"/>
      <c r="E4024"/>
      <c r="F4024"/>
      <c r="G4024"/>
      <c r="H4024"/>
      <c r="I4024"/>
      <c r="J4024"/>
      <c r="K4024"/>
    </row>
    <row r="4025" spans="1:11">
      <c r="A4025"/>
      <c r="B4025"/>
      <c r="C4025"/>
      <c r="D4025"/>
      <c r="E4025"/>
      <c r="F4025"/>
      <c r="G4025"/>
      <c r="H4025"/>
      <c r="I4025"/>
      <c r="J4025"/>
      <c r="K4025"/>
    </row>
    <row r="4026" spans="1:11">
      <c r="A4026"/>
      <c r="B4026"/>
      <c r="C4026"/>
      <c r="D4026"/>
      <c r="E4026"/>
      <c r="F4026"/>
      <c r="G4026"/>
      <c r="H4026"/>
      <c r="I4026"/>
      <c r="J4026"/>
      <c r="K4026"/>
    </row>
    <row r="4027" spans="1:11">
      <c r="A4027"/>
      <c r="B4027"/>
      <c r="C4027"/>
      <c r="D4027"/>
      <c r="E4027"/>
      <c r="F4027"/>
      <c r="G4027"/>
      <c r="H4027"/>
      <c r="I4027"/>
      <c r="J4027"/>
      <c r="K4027"/>
    </row>
    <row r="4028" spans="1:11">
      <c r="A4028"/>
      <c r="B4028"/>
      <c r="C4028"/>
      <c r="D4028"/>
      <c r="E4028"/>
      <c r="F4028"/>
      <c r="G4028"/>
      <c r="H4028"/>
      <c r="I4028"/>
      <c r="J4028"/>
      <c r="K4028"/>
    </row>
    <row r="4029" spans="1:11">
      <c r="A4029"/>
      <c r="B4029"/>
      <c r="C4029"/>
      <c r="D4029"/>
      <c r="E4029"/>
      <c r="F4029"/>
      <c r="G4029"/>
      <c r="H4029"/>
      <c r="I4029"/>
      <c r="J4029"/>
      <c r="K4029"/>
    </row>
    <row r="4030" spans="1:11">
      <c r="A4030"/>
      <c r="B4030"/>
      <c r="C4030"/>
      <c r="D4030"/>
      <c r="E4030"/>
      <c r="F4030"/>
      <c r="G4030"/>
      <c r="H4030"/>
      <c r="I4030"/>
      <c r="J4030"/>
      <c r="K4030"/>
    </row>
    <row r="4031" spans="1:11">
      <c r="A4031"/>
      <c r="B4031"/>
      <c r="C4031"/>
      <c r="D4031"/>
      <c r="E4031"/>
      <c r="F4031"/>
      <c r="G4031"/>
      <c r="H4031"/>
      <c r="I4031"/>
      <c r="J4031"/>
      <c r="K4031"/>
    </row>
    <row r="4032" spans="1:11">
      <c r="A4032"/>
      <c r="B4032"/>
      <c r="C4032"/>
      <c r="D4032"/>
      <c r="E4032"/>
      <c r="F4032"/>
      <c r="G4032"/>
      <c r="H4032"/>
      <c r="I4032"/>
      <c r="J4032"/>
      <c r="K4032"/>
    </row>
    <row r="4033" spans="1:11">
      <c r="A4033"/>
      <c r="B4033"/>
      <c r="C4033"/>
      <c r="D4033"/>
      <c r="E4033"/>
      <c r="F4033"/>
      <c r="G4033"/>
      <c r="H4033"/>
      <c r="I4033"/>
      <c r="J4033"/>
      <c r="K4033"/>
    </row>
    <row r="4034" spans="1:11">
      <c r="A4034"/>
      <c r="B4034"/>
      <c r="C4034"/>
      <c r="D4034"/>
      <c r="E4034"/>
      <c r="F4034"/>
      <c r="G4034"/>
      <c r="H4034"/>
      <c r="I4034"/>
      <c r="J4034"/>
      <c r="K4034"/>
    </row>
    <row r="4035" spans="1:11">
      <c r="A4035"/>
      <c r="B4035"/>
      <c r="C4035"/>
      <c r="D4035"/>
      <c r="E4035"/>
      <c r="F4035"/>
      <c r="G4035"/>
      <c r="H4035"/>
      <c r="I4035"/>
      <c r="J4035"/>
      <c r="K4035"/>
    </row>
    <row r="4036" spans="1:11">
      <c r="A4036"/>
      <c r="B4036"/>
      <c r="C4036"/>
      <c r="D4036"/>
      <c r="E4036"/>
      <c r="F4036"/>
      <c r="G4036"/>
      <c r="H4036"/>
      <c r="I4036"/>
      <c r="J4036"/>
      <c r="K4036"/>
    </row>
    <row r="4037" spans="1:11">
      <c r="A4037"/>
      <c r="B4037"/>
      <c r="C4037"/>
      <c r="D4037"/>
      <c r="E4037"/>
      <c r="F4037"/>
      <c r="G4037"/>
      <c r="H4037"/>
      <c r="I4037"/>
      <c r="J4037"/>
      <c r="K4037"/>
    </row>
    <row r="4038" spans="1:11">
      <c r="A4038"/>
      <c r="B4038"/>
      <c r="C4038"/>
      <c r="D4038"/>
      <c r="E4038"/>
      <c r="F4038"/>
      <c r="G4038"/>
      <c r="H4038"/>
      <c r="I4038"/>
      <c r="J4038"/>
      <c r="K4038"/>
    </row>
    <row r="4039" spans="1:11">
      <c r="A4039"/>
      <c r="B4039"/>
      <c r="C4039"/>
      <c r="D4039"/>
      <c r="E4039"/>
      <c r="F4039"/>
      <c r="G4039"/>
      <c r="H4039"/>
      <c r="I4039"/>
      <c r="J4039"/>
      <c r="K4039"/>
    </row>
    <row r="4040" spans="1:11">
      <c r="A4040"/>
      <c r="B4040"/>
      <c r="C4040"/>
      <c r="D4040"/>
      <c r="E4040"/>
      <c r="F4040"/>
      <c r="G4040"/>
      <c r="H4040"/>
      <c r="I4040"/>
      <c r="J4040"/>
      <c r="K4040"/>
    </row>
    <row r="4041" spans="1:11">
      <c r="A4041"/>
      <c r="B4041"/>
      <c r="C4041"/>
      <c r="D4041"/>
      <c r="E4041"/>
      <c r="F4041"/>
      <c r="G4041"/>
      <c r="H4041"/>
      <c r="I4041"/>
      <c r="J4041"/>
      <c r="K4041"/>
    </row>
    <row r="4042" spans="1:11">
      <c r="A4042"/>
      <c r="B4042"/>
      <c r="C4042"/>
      <c r="D4042"/>
      <c r="E4042"/>
      <c r="F4042"/>
      <c r="G4042"/>
      <c r="H4042"/>
      <c r="I4042"/>
      <c r="J4042"/>
      <c r="K4042"/>
    </row>
    <row r="4043" spans="1:11">
      <c r="A4043"/>
      <c r="B4043"/>
      <c r="C4043"/>
      <c r="D4043"/>
      <c r="E4043"/>
      <c r="F4043"/>
      <c r="G4043"/>
      <c r="H4043"/>
      <c r="I4043"/>
      <c r="J4043"/>
      <c r="K4043"/>
    </row>
    <row r="4044" spans="1:11">
      <c r="A4044"/>
      <c r="B4044"/>
      <c r="C4044"/>
      <c r="D4044"/>
      <c r="E4044"/>
      <c r="F4044"/>
      <c r="G4044"/>
      <c r="H4044"/>
      <c r="I4044"/>
      <c r="J4044"/>
      <c r="K4044"/>
    </row>
    <row r="4045" spans="1:11">
      <c r="A4045"/>
      <c r="B4045"/>
      <c r="C4045"/>
      <c r="D4045"/>
      <c r="E4045"/>
      <c r="F4045"/>
      <c r="G4045"/>
      <c r="H4045"/>
      <c r="I4045"/>
      <c r="J4045"/>
      <c r="K4045"/>
    </row>
    <row r="4046" spans="1:11">
      <c r="A4046"/>
      <c r="B4046"/>
      <c r="C4046"/>
      <c r="D4046"/>
      <c r="E4046"/>
      <c r="F4046"/>
      <c r="G4046"/>
      <c r="H4046"/>
      <c r="I4046"/>
      <c r="J4046"/>
      <c r="K4046"/>
    </row>
    <row r="4047" spans="1:11">
      <c r="A4047"/>
      <c r="B4047"/>
      <c r="C4047"/>
      <c r="D4047"/>
      <c r="E4047"/>
      <c r="F4047"/>
      <c r="G4047"/>
      <c r="H4047"/>
      <c r="I4047"/>
      <c r="J4047"/>
      <c r="K4047"/>
    </row>
    <row r="4048" spans="1:11">
      <c r="A4048"/>
      <c r="B4048"/>
      <c r="C4048"/>
      <c r="D4048"/>
      <c r="E4048"/>
      <c r="F4048"/>
      <c r="G4048"/>
      <c r="H4048"/>
      <c r="I4048"/>
      <c r="J4048"/>
      <c r="K4048"/>
    </row>
    <row r="4049" spans="1:11">
      <c r="A4049"/>
      <c r="B4049"/>
      <c r="C4049"/>
      <c r="D4049"/>
      <c r="E4049"/>
      <c r="F4049"/>
      <c r="G4049"/>
      <c r="H4049"/>
      <c r="I4049"/>
      <c r="J4049"/>
      <c r="K4049"/>
    </row>
    <row r="4050" spans="1:11">
      <c r="A4050"/>
      <c r="B4050"/>
      <c r="C4050"/>
      <c r="D4050"/>
      <c r="E4050"/>
      <c r="F4050"/>
      <c r="G4050"/>
      <c r="H4050"/>
      <c r="I4050"/>
      <c r="J4050"/>
      <c r="K4050"/>
    </row>
    <row r="4051" spans="1:11">
      <c r="A4051"/>
      <c r="B4051"/>
      <c r="C4051"/>
      <c r="D4051"/>
      <c r="E4051"/>
      <c r="F4051"/>
      <c r="G4051"/>
      <c r="H4051"/>
      <c r="I4051"/>
      <c r="J4051"/>
      <c r="K4051"/>
    </row>
    <row r="4052" spans="1:11">
      <c r="A4052"/>
      <c r="B4052"/>
      <c r="C4052"/>
      <c r="D4052"/>
      <c r="E4052"/>
      <c r="F4052"/>
      <c r="G4052"/>
      <c r="H4052"/>
      <c r="I4052"/>
      <c r="J4052"/>
      <c r="K4052"/>
    </row>
    <row r="4053" spans="1:11">
      <c r="A4053"/>
      <c r="B4053"/>
      <c r="C4053"/>
      <c r="D4053"/>
      <c r="E4053"/>
      <c r="F4053"/>
      <c r="G4053"/>
      <c r="H4053"/>
      <c r="I4053"/>
      <c r="J4053"/>
      <c r="K4053"/>
    </row>
    <row r="4054" spans="1:11">
      <c r="A4054"/>
      <c r="B4054"/>
      <c r="C4054"/>
      <c r="D4054"/>
      <c r="E4054"/>
      <c r="F4054"/>
      <c r="G4054"/>
      <c r="H4054"/>
      <c r="I4054"/>
      <c r="J4054"/>
      <c r="K4054"/>
    </row>
    <row r="4055" spans="1:11">
      <c r="A4055"/>
      <c r="B4055"/>
      <c r="C4055"/>
      <c r="D4055"/>
      <c r="E4055"/>
      <c r="F4055"/>
      <c r="G4055"/>
      <c r="H4055"/>
      <c r="I4055"/>
      <c r="J4055"/>
      <c r="K4055"/>
    </row>
    <row r="4056" spans="1:11">
      <c r="A4056"/>
      <c r="B4056"/>
      <c r="C4056"/>
      <c r="D4056"/>
      <c r="E4056"/>
      <c r="F4056"/>
      <c r="G4056"/>
      <c r="H4056"/>
      <c r="I4056"/>
      <c r="J4056"/>
      <c r="K4056"/>
    </row>
    <row r="4057" spans="1:11">
      <c r="A4057"/>
      <c r="B4057"/>
      <c r="C4057"/>
      <c r="D4057"/>
      <c r="E4057"/>
      <c r="F4057"/>
      <c r="G4057"/>
      <c r="H4057"/>
      <c r="I4057"/>
      <c r="J4057"/>
      <c r="K4057"/>
    </row>
    <row r="4058" spans="1:11">
      <c r="A4058"/>
      <c r="B4058"/>
      <c r="C4058"/>
      <c r="D4058"/>
      <c r="E4058"/>
      <c r="F4058"/>
      <c r="G4058"/>
      <c r="H4058"/>
      <c r="I4058"/>
      <c r="J4058"/>
      <c r="K4058"/>
    </row>
    <row r="4059" spans="1:11">
      <c r="A4059"/>
      <c r="B4059"/>
      <c r="C4059"/>
      <c r="D4059"/>
      <c r="E4059"/>
      <c r="F4059"/>
      <c r="G4059"/>
      <c r="H4059"/>
      <c r="I4059"/>
      <c r="J4059"/>
      <c r="K4059"/>
    </row>
    <row r="4060" spans="1:11">
      <c r="A4060"/>
      <c r="B4060"/>
      <c r="C4060"/>
      <c r="D4060"/>
      <c r="E4060"/>
      <c r="F4060"/>
      <c r="G4060"/>
      <c r="H4060"/>
      <c r="I4060"/>
      <c r="J4060"/>
      <c r="K4060"/>
    </row>
    <row r="4061" spans="1:11">
      <c r="A4061"/>
      <c r="B4061"/>
      <c r="C4061"/>
      <c r="D4061"/>
      <c r="E4061"/>
      <c r="F4061"/>
      <c r="G4061"/>
      <c r="H4061"/>
      <c r="I4061"/>
      <c r="J4061"/>
      <c r="K4061"/>
    </row>
    <row r="4062" spans="1:11">
      <c r="A4062"/>
      <c r="B4062"/>
      <c r="C4062"/>
      <c r="D4062"/>
      <c r="E4062"/>
      <c r="F4062"/>
      <c r="G4062"/>
      <c r="H4062"/>
      <c r="I4062"/>
      <c r="J4062"/>
      <c r="K4062"/>
    </row>
    <row r="4063" spans="1:11">
      <c r="A4063"/>
      <c r="B4063"/>
      <c r="C4063"/>
      <c r="D4063"/>
      <c r="E4063"/>
      <c r="F4063"/>
      <c r="G4063"/>
      <c r="H4063"/>
      <c r="I4063"/>
      <c r="J4063"/>
      <c r="K4063"/>
    </row>
    <row r="4064" spans="1:11">
      <c r="A4064"/>
      <c r="B4064"/>
      <c r="C4064"/>
      <c r="D4064"/>
      <c r="E4064"/>
      <c r="F4064"/>
      <c r="G4064"/>
      <c r="H4064"/>
      <c r="I4064"/>
      <c r="J4064"/>
      <c r="K4064"/>
    </row>
    <row r="4065" spans="1:11">
      <c r="A4065"/>
      <c r="B4065"/>
      <c r="C4065"/>
      <c r="D4065"/>
      <c r="E4065"/>
      <c r="F4065"/>
      <c r="G4065"/>
      <c r="H4065"/>
      <c r="I4065"/>
      <c r="J4065"/>
      <c r="K4065"/>
    </row>
    <row r="4066" spans="1:11">
      <c r="A4066"/>
      <c r="B4066"/>
      <c r="C4066"/>
      <c r="D4066"/>
      <c r="E4066"/>
      <c r="F4066"/>
      <c r="G4066"/>
      <c r="H4066"/>
      <c r="I4066"/>
      <c r="J4066"/>
      <c r="K4066"/>
    </row>
    <row r="4067" spans="1:11">
      <c r="A4067"/>
      <c r="B4067"/>
      <c r="C4067"/>
      <c r="D4067"/>
      <c r="E4067"/>
      <c r="F4067"/>
      <c r="G4067"/>
      <c r="H4067"/>
      <c r="I4067"/>
      <c r="J4067"/>
      <c r="K4067"/>
    </row>
    <row r="4068" spans="1:11">
      <c r="A4068"/>
      <c r="B4068"/>
      <c r="C4068"/>
      <c r="D4068"/>
      <c r="E4068"/>
      <c r="F4068"/>
      <c r="G4068"/>
      <c r="H4068"/>
      <c r="I4068"/>
      <c r="J4068"/>
      <c r="K4068"/>
    </row>
    <row r="4069" spans="1:11">
      <c r="A4069"/>
      <c r="B4069"/>
      <c r="C4069"/>
      <c r="D4069"/>
      <c r="E4069"/>
      <c r="F4069"/>
      <c r="G4069"/>
      <c r="H4069"/>
      <c r="I4069"/>
      <c r="J4069"/>
      <c r="K4069"/>
    </row>
    <row r="4070" spans="1:11">
      <c r="A4070"/>
      <c r="B4070"/>
      <c r="C4070"/>
      <c r="D4070"/>
      <c r="E4070"/>
      <c r="F4070"/>
      <c r="G4070"/>
      <c r="H4070"/>
      <c r="I4070"/>
      <c r="J4070"/>
      <c r="K4070"/>
    </row>
    <row r="4071" spans="1:11">
      <c r="A4071"/>
      <c r="B4071"/>
      <c r="C4071"/>
      <c r="D4071"/>
      <c r="E4071"/>
      <c r="F4071"/>
      <c r="G4071"/>
      <c r="H4071"/>
      <c r="I4071"/>
      <c r="J4071"/>
      <c r="K4071"/>
    </row>
    <row r="4072" spans="1:11">
      <c r="A4072"/>
      <c r="B4072"/>
      <c r="C4072"/>
      <c r="D4072"/>
      <c r="E4072"/>
      <c r="F4072"/>
      <c r="G4072"/>
      <c r="H4072"/>
      <c r="I4072"/>
      <c r="J4072"/>
      <c r="K4072"/>
    </row>
    <row r="4073" spans="1:11">
      <c r="A4073"/>
      <c r="B4073"/>
      <c r="C4073"/>
      <c r="D4073"/>
      <c r="E4073"/>
      <c r="F4073"/>
      <c r="G4073"/>
      <c r="H4073"/>
      <c r="I4073"/>
      <c r="J4073"/>
      <c r="K4073"/>
    </row>
    <row r="4074" spans="1:11">
      <c r="A4074"/>
      <c r="B4074"/>
      <c r="C4074"/>
      <c r="D4074"/>
      <c r="E4074"/>
      <c r="F4074"/>
      <c r="G4074"/>
      <c r="H4074"/>
      <c r="I4074"/>
      <c r="J4074"/>
      <c r="K4074"/>
    </row>
    <row r="4075" spans="1:11">
      <c r="A4075"/>
      <c r="B4075"/>
      <c r="C4075"/>
      <c r="D4075"/>
      <c r="E4075"/>
      <c r="F4075"/>
      <c r="G4075"/>
      <c r="H4075"/>
      <c r="I4075"/>
      <c r="J4075"/>
      <c r="K4075"/>
    </row>
    <row r="4076" spans="1:11">
      <c r="A4076"/>
      <c r="B4076"/>
      <c r="C4076"/>
      <c r="D4076"/>
      <c r="E4076"/>
      <c r="F4076"/>
      <c r="G4076"/>
      <c r="H4076"/>
      <c r="I4076"/>
      <c r="J4076"/>
      <c r="K4076"/>
    </row>
    <row r="4077" spans="1:11">
      <c r="A4077"/>
      <c r="B4077"/>
      <c r="C4077"/>
      <c r="D4077"/>
      <c r="E4077"/>
      <c r="F4077"/>
      <c r="G4077"/>
      <c r="H4077"/>
      <c r="I4077"/>
      <c r="J4077"/>
      <c r="K4077"/>
    </row>
    <row r="4078" spans="1:11">
      <c r="A4078"/>
      <c r="B4078"/>
      <c r="C4078"/>
      <c r="D4078"/>
      <c r="E4078"/>
      <c r="F4078"/>
      <c r="G4078"/>
      <c r="H4078"/>
      <c r="I4078"/>
      <c r="J4078"/>
      <c r="K4078"/>
    </row>
    <row r="4079" spans="1:11">
      <c r="A4079"/>
      <c r="B4079"/>
      <c r="C4079"/>
      <c r="D4079"/>
      <c r="E4079"/>
      <c r="F4079"/>
      <c r="G4079"/>
      <c r="H4079"/>
      <c r="I4079"/>
      <c r="J4079"/>
      <c r="K4079"/>
    </row>
    <row r="4080" spans="1:11">
      <c r="A4080"/>
      <c r="B4080"/>
      <c r="C4080"/>
      <c r="D4080"/>
      <c r="E4080"/>
      <c r="F4080"/>
      <c r="G4080"/>
      <c r="H4080"/>
      <c r="I4080"/>
      <c r="J4080"/>
      <c r="K4080"/>
    </row>
    <row r="4081" spans="1:11">
      <c r="A4081"/>
      <c r="B4081"/>
      <c r="C4081"/>
      <c r="D4081"/>
      <c r="E4081"/>
      <c r="F4081"/>
      <c r="G4081"/>
      <c r="H4081"/>
      <c r="I4081"/>
      <c r="J4081"/>
      <c r="K4081"/>
    </row>
    <row r="4082" spans="1:11">
      <c r="A4082"/>
      <c r="B4082"/>
      <c r="C4082"/>
      <c r="D4082"/>
      <c r="E4082"/>
      <c r="F4082"/>
      <c r="G4082"/>
      <c r="H4082"/>
      <c r="I4082"/>
      <c r="J4082"/>
      <c r="K4082"/>
    </row>
    <row r="4083" spans="1:11">
      <c r="A4083"/>
      <c r="B4083"/>
      <c r="C4083"/>
      <c r="D4083"/>
      <c r="E4083"/>
      <c r="F4083"/>
      <c r="G4083"/>
      <c r="H4083"/>
      <c r="I4083"/>
      <c r="J4083"/>
      <c r="K4083"/>
    </row>
    <row r="4084" spans="1:11">
      <c r="A4084"/>
      <c r="B4084"/>
      <c r="C4084"/>
      <c r="D4084"/>
      <c r="E4084"/>
      <c r="F4084"/>
      <c r="G4084"/>
      <c r="H4084"/>
      <c r="I4084"/>
      <c r="J4084"/>
      <c r="K4084"/>
    </row>
    <row r="4085" spans="1:11">
      <c r="A4085"/>
      <c r="B4085"/>
      <c r="C4085"/>
      <c r="D4085"/>
      <c r="E4085"/>
      <c r="F4085"/>
      <c r="G4085"/>
      <c r="H4085"/>
      <c r="I4085"/>
      <c r="J4085"/>
      <c r="K4085"/>
    </row>
    <row r="4086" spans="1:11">
      <c r="A4086"/>
      <c r="B4086"/>
      <c r="C4086"/>
      <c r="D4086"/>
      <c r="E4086"/>
      <c r="F4086"/>
      <c r="G4086"/>
      <c r="H4086"/>
      <c r="I4086"/>
      <c r="J4086"/>
      <c r="K4086"/>
    </row>
    <row r="4087" spans="1:11">
      <c r="A4087"/>
      <c r="B4087"/>
      <c r="C4087"/>
      <c r="D4087"/>
      <c r="E4087"/>
      <c r="F4087"/>
      <c r="G4087"/>
      <c r="H4087"/>
      <c r="I4087"/>
      <c r="J4087"/>
      <c r="K4087"/>
    </row>
    <row r="4088" spans="1:11">
      <c r="A4088"/>
      <c r="B4088"/>
      <c r="C4088"/>
      <c r="D4088"/>
      <c r="E4088"/>
      <c r="F4088"/>
      <c r="G4088"/>
      <c r="H4088"/>
      <c r="I4088"/>
      <c r="J4088"/>
      <c r="K4088"/>
    </row>
    <row r="4089" spans="1:11">
      <c r="A4089"/>
      <c r="B4089"/>
      <c r="C4089"/>
      <c r="D4089"/>
      <c r="E4089"/>
      <c r="F4089"/>
      <c r="G4089"/>
      <c r="H4089"/>
      <c r="I4089"/>
      <c r="J4089"/>
      <c r="K4089"/>
    </row>
    <row r="4090" spans="1:11">
      <c r="A4090"/>
      <c r="B4090"/>
      <c r="C4090"/>
      <c r="D4090"/>
      <c r="E4090"/>
      <c r="F4090"/>
      <c r="G4090"/>
      <c r="H4090"/>
      <c r="I4090"/>
      <c r="J4090"/>
      <c r="K4090"/>
    </row>
    <row r="4091" spans="1:11">
      <c r="A4091"/>
      <c r="B4091"/>
      <c r="C4091"/>
      <c r="D4091"/>
      <c r="E4091"/>
      <c r="F4091"/>
      <c r="G4091"/>
      <c r="H4091"/>
      <c r="I4091"/>
      <c r="J4091"/>
      <c r="K4091"/>
    </row>
    <row r="4092" spans="1:11">
      <c r="A4092"/>
      <c r="B4092"/>
      <c r="C4092"/>
      <c r="D4092"/>
      <c r="E4092"/>
      <c r="F4092"/>
      <c r="G4092"/>
      <c r="H4092"/>
      <c r="I4092"/>
      <c r="J4092"/>
      <c r="K4092"/>
    </row>
    <row r="4093" spans="1:11">
      <c r="A4093"/>
      <c r="B4093"/>
      <c r="C4093"/>
      <c r="D4093"/>
      <c r="E4093"/>
      <c r="F4093"/>
      <c r="G4093"/>
      <c r="H4093"/>
      <c r="I4093"/>
      <c r="J4093"/>
      <c r="K4093"/>
    </row>
    <row r="4094" spans="1:11">
      <c r="A4094"/>
      <c r="B4094"/>
      <c r="C4094"/>
      <c r="D4094"/>
      <c r="E4094"/>
      <c r="F4094"/>
      <c r="G4094"/>
      <c r="H4094"/>
      <c r="I4094"/>
      <c r="J4094"/>
      <c r="K4094"/>
    </row>
    <row r="4095" spans="1:11">
      <c r="A4095"/>
      <c r="B4095"/>
      <c r="C4095"/>
      <c r="D4095"/>
      <c r="E4095"/>
      <c r="F4095"/>
      <c r="G4095"/>
      <c r="H4095"/>
      <c r="I4095"/>
      <c r="J4095"/>
      <c r="K4095"/>
    </row>
    <row r="4096" spans="1:11">
      <c r="A4096"/>
      <c r="B4096"/>
      <c r="C4096"/>
      <c r="D4096"/>
      <c r="E4096"/>
      <c r="F4096"/>
      <c r="G4096"/>
      <c r="H4096"/>
      <c r="I4096"/>
      <c r="J4096"/>
      <c r="K4096"/>
    </row>
    <row r="4097" spans="1:11">
      <c r="A4097"/>
      <c r="B4097"/>
      <c r="C4097"/>
      <c r="D4097"/>
      <c r="E4097"/>
      <c r="F4097"/>
      <c r="G4097"/>
      <c r="H4097"/>
      <c r="I4097"/>
      <c r="J4097"/>
      <c r="K4097"/>
    </row>
    <row r="4098" spans="1:11">
      <c r="A4098"/>
      <c r="B4098"/>
      <c r="C4098"/>
      <c r="D4098"/>
      <c r="E4098"/>
      <c r="F4098"/>
      <c r="G4098"/>
      <c r="H4098"/>
      <c r="I4098"/>
      <c r="J4098"/>
      <c r="K4098"/>
    </row>
    <row r="4099" spans="1:11">
      <c r="A4099"/>
      <c r="B4099"/>
      <c r="C4099"/>
      <c r="D4099"/>
      <c r="E4099"/>
      <c r="F4099"/>
      <c r="G4099"/>
      <c r="H4099"/>
      <c r="I4099"/>
      <c r="J4099"/>
      <c r="K4099"/>
    </row>
    <row r="4100" spans="1:11">
      <c r="A4100"/>
      <c r="B4100"/>
      <c r="C4100"/>
      <c r="D4100"/>
      <c r="E4100"/>
      <c r="F4100"/>
      <c r="G4100"/>
      <c r="H4100"/>
      <c r="I4100"/>
      <c r="J4100"/>
      <c r="K4100"/>
    </row>
    <row r="4101" spans="1:11">
      <c r="A4101"/>
      <c r="B4101"/>
      <c r="C4101"/>
      <c r="D4101"/>
      <c r="E4101"/>
      <c r="F4101"/>
      <c r="G4101"/>
      <c r="H4101"/>
      <c r="I4101"/>
      <c r="J4101"/>
      <c r="K4101"/>
    </row>
    <row r="4102" spans="1:11">
      <c r="A4102"/>
      <c r="B4102"/>
      <c r="C4102"/>
      <c r="D4102"/>
      <c r="E4102"/>
      <c r="F4102"/>
      <c r="G4102"/>
      <c r="H4102"/>
      <c r="I4102"/>
      <c r="J4102"/>
      <c r="K4102"/>
    </row>
    <row r="4103" spans="1:11">
      <c r="A4103"/>
      <c r="B4103"/>
      <c r="C4103"/>
      <c r="D4103"/>
      <c r="E4103"/>
      <c r="F4103"/>
      <c r="G4103"/>
      <c r="H4103"/>
      <c r="I4103"/>
      <c r="J4103"/>
      <c r="K4103"/>
    </row>
    <row r="4104" spans="1:11">
      <c r="A4104"/>
      <c r="B4104"/>
      <c r="C4104"/>
      <c r="D4104"/>
      <c r="E4104"/>
      <c r="F4104"/>
      <c r="G4104"/>
      <c r="H4104"/>
      <c r="I4104"/>
      <c r="J4104"/>
      <c r="K4104"/>
    </row>
    <row r="4105" spans="1:11">
      <c r="A4105"/>
      <c r="B4105"/>
      <c r="C4105"/>
      <c r="D4105"/>
      <c r="E4105"/>
      <c r="F4105"/>
      <c r="G4105"/>
      <c r="H4105"/>
      <c r="I4105"/>
      <c r="J4105"/>
      <c r="K4105"/>
    </row>
    <row r="4106" spans="1:11">
      <c r="A4106"/>
      <c r="B4106"/>
      <c r="C4106"/>
      <c r="D4106"/>
      <c r="E4106"/>
      <c r="F4106"/>
      <c r="G4106"/>
      <c r="H4106"/>
      <c r="I4106"/>
      <c r="J4106"/>
      <c r="K4106"/>
    </row>
    <row r="4107" spans="1:11">
      <c r="A4107"/>
      <c r="B4107"/>
      <c r="C4107"/>
      <c r="D4107"/>
      <c r="E4107"/>
      <c r="F4107"/>
      <c r="G4107"/>
      <c r="H4107"/>
      <c r="I4107"/>
      <c r="J4107"/>
      <c r="K4107"/>
    </row>
    <row r="4108" spans="1:11">
      <c r="A4108"/>
      <c r="B4108"/>
      <c r="C4108"/>
      <c r="D4108"/>
      <c r="E4108"/>
      <c r="F4108"/>
      <c r="G4108"/>
      <c r="H4108"/>
      <c r="I4108"/>
      <c r="J4108"/>
      <c r="K4108"/>
    </row>
    <row r="4109" spans="1:11">
      <c r="A4109"/>
      <c r="B4109"/>
      <c r="C4109"/>
      <c r="D4109"/>
      <c r="E4109"/>
      <c r="F4109"/>
      <c r="G4109"/>
      <c r="H4109"/>
      <c r="I4109"/>
      <c r="J4109"/>
      <c r="K4109"/>
    </row>
    <row r="4110" spans="1:11">
      <c r="A4110"/>
      <c r="B4110"/>
      <c r="C4110"/>
      <c r="D4110"/>
      <c r="E4110"/>
      <c r="F4110"/>
      <c r="G4110"/>
      <c r="H4110"/>
      <c r="I4110"/>
      <c r="J4110"/>
      <c r="K4110"/>
    </row>
    <row r="4111" spans="1:11">
      <c r="A4111"/>
      <c r="B4111"/>
      <c r="C4111"/>
      <c r="D4111"/>
      <c r="E4111"/>
      <c r="F4111"/>
      <c r="G4111"/>
      <c r="H4111"/>
      <c r="I4111"/>
      <c r="J4111"/>
      <c r="K4111"/>
    </row>
    <row r="4112" spans="1:11">
      <c r="A4112"/>
      <c r="B4112"/>
      <c r="C4112"/>
      <c r="D4112"/>
      <c r="E4112"/>
      <c r="F4112"/>
      <c r="G4112"/>
      <c r="H4112"/>
      <c r="I4112"/>
      <c r="J4112"/>
      <c r="K4112"/>
    </row>
    <row r="4113" spans="1:11">
      <c r="A4113"/>
      <c r="B4113"/>
      <c r="C4113"/>
      <c r="D4113"/>
      <c r="E4113"/>
      <c r="F4113"/>
      <c r="G4113"/>
      <c r="H4113"/>
      <c r="I4113"/>
      <c r="J4113"/>
      <c r="K4113"/>
    </row>
    <row r="4114" spans="1:11">
      <c r="A4114"/>
      <c r="B4114"/>
      <c r="C4114"/>
      <c r="D4114"/>
      <c r="E4114"/>
      <c r="F4114"/>
      <c r="G4114"/>
      <c r="H4114"/>
      <c r="I4114"/>
      <c r="J4114"/>
      <c r="K4114"/>
    </row>
    <row r="4115" spans="1:11">
      <c r="A4115"/>
      <c r="B4115"/>
      <c r="C4115"/>
      <c r="D4115"/>
      <c r="E4115"/>
      <c r="F4115"/>
      <c r="G4115"/>
      <c r="H4115"/>
      <c r="I4115"/>
      <c r="J4115"/>
      <c r="K4115"/>
    </row>
    <row r="4116" spans="1:11">
      <c r="A4116"/>
      <c r="B4116"/>
      <c r="C4116"/>
      <c r="D4116"/>
      <c r="E4116"/>
      <c r="F4116"/>
      <c r="G4116"/>
      <c r="H4116"/>
      <c r="I4116"/>
      <c r="J4116"/>
      <c r="K4116"/>
    </row>
    <row r="4117" spans="1:11">
      <c r="A4117"/>
      <c r="B4117"/>
      <c r="C4117"/>
      <c r="D4117"/>
      <c r="E4117"/>
      <c r="F4117"/>
      <c r="G4117"/>
      <c r="H4117"/>
      <c r="I4117"/>
      <c r="J4117"/>
      <c r="K4117"/>
    </row>
    <row r="4118" spans="1:11">
      <c r="A4118"/>
      <c r="B4118"/>
      <c r="C4118"/>
      <c r="D4118"/>
      <c r="E4118"/>
      <c r="F4118"/>
      <c r="G4118"/>
      <c r="H4118"/>
      <c r="I4118"/>
      <c r="J4118"/>
      <c r="K4118"/>
    </row>
    <row r="4119" spans="1:11">
      <c r="A4119"/>
      <c r="B4119"/>
      <c r="C4119"/>
      <c r="D4119"/>
      <c r="E4119"/>
      <c r="F4119"/>
      <c r="G4119"/>
      <c r="H4119"/>
      <c r="I4119"/>
      <c r="J4119"/>
      <c r="K4119"/>
    </row>
    <row r="4120" spans="1:11">
      <c r="A4120"/>
      <c r="B4120"/>
      <c r="C4120"/>
      <c r="D4120"/>
      <c r="E4120"/>
      <c r="F4120"/>
      <c r="G4120"/>
      <c r="H4120"/>
      <c r="I4120"/>
      <c r="J4120"/>
      <c r="K4120"/>
    </row>
    <row r="4121" spans="1:11">
      <c r="A4121"/>
      <c r="B4121"/>
      <c r="C4121"/>
      <c r="D4121"/>
      <c r="E4121"/>
      <c r="F4121"/>
      <c r="G4121"/>
      <c r="H4121"/>
      <c r="I4121"/>
      <c r="J4121"/>
      <c r="K4121"/>
    </row>
    <row r="4122" spans="1:11">
      <c r="A4122"/>
      <c r="B4122"/>
      <c r="C4122"/>
      <c r="D4122"/>
      <c r="E4122"/>
      <c r="F4122"/>
      <c r="G4122"/>
      <c r="H4122"/>
      <c r="I4122"/>
      <c r="J4122"/>
      <c r="K4122"/>
    </row>
    <row r="4123" spans="1:11">
      <c r="A4123"/>
      <c r="B4123"/>
      <c r="C4123"/>
      <c r="D4123"/>
      <c r="E4123"/>
      <c r="F4123"/>
      <c r="G4123"/>
      <c r="H4123"/>
      <c r="I4123"/>
      <c r="J4123"/>
      <c r="K4123"/>
    </row>
    <row r="4124" spans="1:11">
      <c r="A4124"/>
      <c r="B4124"/>
      <c r="C4124"/>
      <c r="D4124"/>
      <c r="E4124"/>
      <c r="F4124"/>
      <c r="G4124"/>
      <c r="H4124"/>
      <c r="I4124"/>
      <c r="J4124"/>
      <c r="K4124"/>
    </row>
    <row r="4125" spans="1:11">
      <c r="A4125"/>
      <c r="B4125"/>
      <c r="C4125"/>
      <c r="D4125"/>
      <c r="E4125"/>
      <c r="F4125"/>
      <c r="G4125"/>
      <c r="H4125"/>
      <c r="I4125"/>
      <c r="J4125"/>
      <c r="K4125"/>
    </row>
    <row r="4126" spans="1:11">
      <c r="A4126"/>
      <c r="B4126"/>
      <c r="C4126"/>
      <c r="D4126"/>
      <c r="E4126"/>
      <c r="F4126"/>
      <c r="G4126"/>
      <c r="H4126"/>
      <c r="I4126"/>
      <c r="J4126"/>
      <c r="K4126"/>
    </row>
    <row r="4127" spans="1:11">
      <c r="A4127"/>
      <c r="B4127"/>
      <c r="C4127"/>
      <c r="D4127"/>
      <c r="E4127"/>
      <c r="F4127"/>
      <c r="G4127"/>
      <c r="H4127"/>
      <c r="I4127"/>
      <c r="J4127"/>
      <c r="K4127"/>
    </row>
    <row r="4128" spans="1:11">
      <c r="A4128"/>
      <c r="B4128"/>
      <c r="C4128"/>
      <c r="D4128"/>
      <c r="E4128"/>
      <c r="F4128"/>
      <c r="G4128"/>
      <c r="H4128"/>
      <c r="I4128"/>
      <c r="J4128"/>
      <c r="K4128"/>
    </row>
    <row r="4129" spans="1:11">
      <c r="A4129"/>
      <c r="B4129"/>
      <c r="C4129"/>
      <c r="D4129"/>
      <c r="E4129"/>
      <c r="F4129"/>
      <c r="G4129"/>
      <c r="H4129"/>
      <c r="I4129"/>
      <c r="J4129"/>
      <c r="K4129"/>
    </row>
    <row r="4130" spans="1:11">
      <c r="A4130"/>
      <c r="B4130"/>
      <c r="C4130"/>
      <c r="D4130"/>
      <c r="E4130"/>
      <c r="F4130"/>
      <c r="G4130"/>
      <c r="H4130"/>
      <c r="I4130"/>
      <c r="J4130"/>
      <c r="K4130"/>
    </row>
    <row r="4131" spans="1:11">
      <c r="A4131"/>
      <c r="B4131"/>
      <c r="C4131"/>
      <c r="D4131"/>
      <c r="E4131"/>
      <c r="F4131"/>
      <c r="G4131"/>
      <c r="H4131"/>
      <c r="I4131"/>
      <c r="J4131"/>
      <c r="K4131"/>
    </row>
    <row r="4132" spans="1:11">
      <c r="A4132"/>
      <c r="B4132"/>
      <c r="C4132"/>
      <c r="D4132"/>
      <c r="E4132"/>
      <c r="F4132"/>
      <c r="G4132"/>
      <c r="H4132"/>
      <c r="I4132"/>
      <c r="J4132"/>
      <c r="K4132"/>
    </row>
    <row r="4133" spans="1:11">
      <c r="A4133"/>
      <c r="B4133"/>
      <c r="C4133"/>
      <c r="D4133"/>
      <c r="E4133"/>
      <c r="F4133"/>
      <c r="G4133"/>
      <c r="H4133"/>
      <c r="I4133"/>
      <c r="J4133"/>
      <c r="K4133"/>
    </row>
    <row r="4134" spans="1:11">
      <c r="A4134"/>
      <c r="B4134"/>
      <c r="C4134"/>
      <c r="D4134"/>
      <c r="E4134"/>
      <c r="F4134"/>
      <c r="G4134"/>
      <c r="H4134"/>
      <c r="I4134"/>
      <c r="J4134"/>
      <c r="K4134"/>
    </row>
    <row r="4135" spans="1:11">
      <c r="A4135"/>
      <c r="B4135"/>
      <c r="C4135"/>
      <c r="D4135"/>
      <c r="E4135"/>
      <c r="F4135"/>
      <c r="G4135"/>
      <c r="H4135"/>
      <c r="I4135"/>
      <c r="J4135"/>
      <c r="K4135"/>
    </row>
    <row r="4136" spans="1:11">
      <c r="A4136"/>
      <c r="B4136"/>
      <c r="C4136"/>
      <c r="D4136"/>
      <c r="E4136"/>
      <c r="F4136"/>
      <c r="G4136"/>
      <c r="H4136"/>
      <c r="I4136"/>
      <c r="J4136"/>
      <c r="K4136"/>
    </row>
    <row r="4137" spans="1:11">
      <c r="A4137"/>
      <c r="B4137"/>
      <c r="C4137"/>
      <c r="D4137"/>
      <c r="E4137"/>
      <c r="F4137"/>
      <c r="G4137"/>
      <c r="H4137"/>
      <c r="I4137"/>
      <c r="J4137"/>
      <c r="K4137"/>
    </row>
    <row r="4138" spans="1:11">
      <c r="A4138"/>
      <c r="B4138"/>
      <c r="C4138"/>
      <c r="D4138"/>
      <c r="E4138"/>
      <c r="F4138"/>
      <c r="G4138"/>
      <c r="H4138"/>
      <c r="I4138"/>
      <c r="J4138"/>
      <c r="K4138"/>
    </row>
    <row r="4139" spans="1:11">
      <c r="A4139"/>
      <c r="B4139"/>
      <c r="C4139"/>
      <c r="D4139"/>
      <c r="E4139"/>
      <c r="F4139"/>
      <c r="G4139"/>
      <c r="H4139"/>
      <c r="I4139"/>
      <c r="J4139"/>
      <c r="K4139"/>
    </row>
    <row r="4140" spans="1:11">
      <c r="A4140"/>
      <c r="B4140"/>
      <c r="C4140"/>
      <c r="D4140"/>
      <c r="E4140"/>
      <c r="F4140"/>
      <c r="G4140"/>
      <c r="H4140"/>
      <c r="I4140"/>
      <c r="J4140"/>
      <c r="K4140"/>
    </row>
    <row r="4141" spans="1:11">
      <c r="A4141"/>
      <c r="B4141"/>
      <c r="C4141"/>
      <c r="D4141"/>
      <c r="E4141"/>
      <c r="F4141"/>
      <c r="G4141"/>
      <c r="H4141"/>
      <c r="I4141"/>
      <c r="J4141"/>
      <c r="K4141"/>
    </row>
    <row r="4142" spans="1:11">
      <c r="A4142"/>
      <c r="B4142"/>
      <c r="C4142"/>
      <c r="D4142"/>
      <c r="E4142"/>
      <c r="F4142"/>
      <c r="G4142"/>
      <c r="H4142"/>
      <c r="I4142"/>
      <c r="J4142"/>
      <c r="K4142"/>
    </row>
    <row r="4143" spans="1:11">
      <c r="A4143"/>
      <c r="B4143"/>
      <c r="C4143"/>
      <c r="D4143"/>
      <c r="E4143"/>
      <c r="F4143"/>
      <c r="G4143"/>
      <c r="H4143"/>
      <c r="I4143"/>
      <c r="J4143"/>
      <c r="K4143"/>
    </row>
    <row r="4144" spans="1:11">
      <c r="A4144"/>
      <c r="B4144"/>
      <c r="C4144"/>
      <c r="D4144"/>
      <c r="E4144"/>
      <c r="F4144"/>
      <c r="G4144"/>
      <c r="H4144"/>
      <c r="I4144"/>
      <c r="J4144"/>
      <c r="K4144"/>
    </row>
    <row r="4145" spans="1:11">
      <c r="A4145"/>
      <c r="B4145"/>
      <c r="C4145"/>
      <c r="D4145"/>
      <c r="E4145"/>
      <c r="F4145"/>
      <c r="G4145"/>
      <c r="H4145"/>
      <c r="I4145"/>
      <c r="J4145"/>
      <c r="K4145"/>
    </row>
    <row r="4146" spans="1:11">
      <c r="A4146"/>
      <c r="B4146"/>
      <c r="C4146"/>
      <c r="D4146"/>
      <c r="E4146"/>
      <c r="F4146"/>
      <c r="G4146"/>
      <c r="H4146"/>
      <c r="I4146"/>
      <c r="J4146"/>
      <c r="K4146"/>
    </row>
    <row r="4147" spans="1:11">
      <c r="A4147"/>
      <c r="B4147"/>
      <c r="C4147"/>
      <c r="D4147"/>
      <c r="E4147"/>
      <c r="F4147"/>
      <c r="G4147"/>
      <c r="H4147"/>
      <c r="I4147"/>
      <c r="J4147"/>
      <c r="K4147"/>
    </row>
    <row r="4148" spans="1:11">
      <c r="A4148"/>
      <c r="B4148"/>
      <c r="C4148"/>
      <c r="D4148"/>
      <c r="E4148"/>
      <c r="F4148"/>
      <c r="G4148"/>
      <c r="H4148"/>
      <c r="I4148"/>
      <c r="J4148"/>
      <c r="K4148"/>
    </row>
    <row r="4149" spans="1:11">
      <c r="A4149"/>
      <c r="B4149"/>
      <c r="C4149"/>
      <c r="D4149"/>
      <c r="E4149"/>
      <c r="F4149"/>
      <c r="G4149"/>
      <c r="H4149"/>
      <c r="I4149"/>
      <c r="J4149"/>
      <c r="K4149"/>
    </row>
    <row r="4150" spans="1:11">
      <c r="A4150"/>
      <c r="B4150"/>
      <c r="C4150"/>
      <c r="D4150"/>
      <c r="E4150"/>
      <c r="F4150"/>
      <c r="G4150"/>
      <c r="H4150"/>
      <c r="I4150"/>
      <c r="J4150"/>
      <c r="K4150"/>
    </row>
    <row r="4151" spans="1:11">
      <c r="A4151"/>
      <c r="B4151"/>
      <c r="C4151"/>
      <c r="D4151"/>
      <c r="E4151"/>
      <c r="F4151"/>
      <c r="G4151"/>
      <c r="H4151"/>
      <c r="I4151"/>
      <c r="J4151"/>
      <c r="K4151"/>
    </row>
    <row r="4152" spans="1:11">
      <c r="A4152"/>
      <c r="B4152"/>
      <c r="C4152"/>
      <c r="D4152"/>
      <c r="E4152"/>
      <c r="F4152"/>
      <c r="G4152"/>
      <c r="H4152"/>
      <c r="I4152"/>
      <c r="J4152"/>
      <c r="K4152"/>
    </row>
    <row r="4153" spans="1:11">
      <c r="A4153"/>
      <c r="B4153"/>
      <c r="C4153"/>
      <c r="D4153"/>
      <c r="E4153"/>
      <c r="F4153"/>
      <c r="G4153"/>
      <c r="H4153"/>
      <c r="I4153"/>
      <c r="J4153"/>
      <c r="K4153"/>
    </row>
    <row r="4154" spans="1:11">
      <c r="A4154"/>
      <c r="B4154"/>
      <c r="C4154"/>
      <c r="D4154"/>
      <c r="E4154"/>
      <c r="F4154"/>
      <c r="G4154"/>
      <c r="H4154"/>
      <c r="I4154"/>
      <c r="J4154"/>
      <c r="K4154"/>
    </row>
    <row r="4155" spans="1:11">
      <c r="A4155"/>
      <c r="B4155"/>
      <c r="C4155"/>
      <c r="D4155"/>
      <c r="E4155"/>
      <c r="F4155"/>
      <c r="G4155"/>
      <c r="H4155"/>
      <c r="I4155"/>
      <c r="J4155"/>
      <c r="K4155"/>
    </row>
    <row r="4156" spans="1:11">
      <c r="A4156"/>
      <c r="B4156"/>
      <c r="C4156"/>
      <c r="D4156"/>
      <c r="E4156"/>
      <c r="F4156"/>
      <c r="G4156"/>
      <c r="H4156"/>
      <c r="I4156"/>
      <c r="J4156"/>
      <c r="K4156"/>
    </row>
    <row r="4157" spans="1:11">
      <c r="A4157"/>
      <c r="B4157"/>
      <c r="C4157"/>
      <c r="D4157"/>
      <c r="E4157"/>
      <c r="F4157"/>
      <c r="G4157"/>
      <c r="H4157"/>
      <c r="I4157"/>
      <c r="J4157"/>
      <c r="K4157"/>
    </row>
    <row r="4158" spans="1:11">
      <c r="A4158"/>
      <c r="B4158"/>
      <c r="C4158"/>
      <c r="D4158"/>
      <c r="E4158"/>
      <c r="F4158"/>
      <c r="G4158"/>
      <c r="H4158"/>
      <c r="I4158"/>
      <c r="J4158"/>
      <c r="K4158"/>
    </row>
    <row r="4159" spans="1:11">
      <c r="A4159"/>
      <c r="B4159"/>
      <c r="C4159"/>
      <c r="D4159"/>
      <c r="E4159"/>
      <c r="F4159"/>
      <c r="G4159"/>
      <c r="H4159"/>
      <c r="I4159"/>
      <c r="J4159"/>
      <c r="K4159"/>
    </row>
    <row r="4160" spans="1:11">
      <c r="A4160"/>
      <c r="B4160"/>
      <c r="C4160"/>
      <c r="D4160"/>
      <c r="E4160"/>
      <c r="F4160"/>
      <c r="G4160"/>
      <c r="H4160"/>
      <c r="I4160"/>
      <c r="J4160"/>
      <c r="K4160"/>
    </row>
    <row r="4161" spans="1:11">
      <c r="A4161"/>
      <c r="B4161"/>
      <c r="C4161"/>
      <c r="D4161"/>
      <c r="E4161"/>
      <c r="F4161"/>
      <c r="G4161"/>
      <c r="H4161"/>
      <c r="I4161"/>
      <c r="J4161"/>
      <c r="K4161"/>
    </row>
    <row r="4162" spans="1:11">
      <c r="A4162"/>
      <c r="B4162"/>
      <c r="C4162"/>
      <c r="D4162"/>
      <c r="E4162"/>
      <c r="F4162"/>
      <c r="G4162"/>
      <c r="H4162"/>
      <c r="I4162"/>
      <c r="J4162"/>
      <c r="K4162"/>
    </row>
    <row r="4163" spans="1:11">
      <c r="A4163"/>
      <c r="B4163"/>
      <c r="C4163"/>
      <c r="D4163"/>
      <c r="E4163"/>
      <c r="F4163"/>
      <c r="G4163"/>
      <c r="H4163"/>
      <c r="I4163"/>
      <c r="J4163"/>
      <c r="K4163"/>
    </row>
    <row r="4164" spans="1:11">
      <c r="A4164"/>
      <c r="B4164"/>
      <c r="C4164"/>
      <c r="D4164"/>
      <c r="E4164"/>
      <c r="F4164"/>
      <c r="G4164"/>
      <c r="H4164"/>
      <c r="I4164"/>
      <c r="J4164"/>
      <c r="K4164"/>
    </row>
    <row r="4165" spans="1:11">
      <c r="A4165"/>
      <c r="B4165"/>
      <c r="C4165"/>
      <c r="D4165"/>
      <c r="E4165"/>
      <c r="F4165"/>
      <c r="G4165"/>
      <c r="H4165"/>
      <c r="I4165"/>
      <c r="J4165"/>
      <c r="K4165"/>
    </row>
    <row r="4166" spans="1:11">
      <c r="A4166"/>
      <c r="B4166"/>
      <c r="C4166"/>
      <c r="D4166"/>
      <c r="E4166"/>
      <c r="F4166"/>
      <c r="G4166"/>
      <c r="H4166"/>
      <c r="I4166"/>
      <c r="J4166"/>
      <c r="K4166"/>
    </row>
    <row r="4167" spans="1:11">
      <c r="A4167"/>
      <c r="B4167"/>
      <c r="C4167"/>
      <c r="D4167"/>
      <c r="E4167"/>
      <c r="F4167"/>
      <c r="G4167"/>
      <c r="H4167"/>
      <c r="I4167"/>
      <c r="J4167"/>
      <c r="K4167"/>
    </row>
    <row r="4168" spans="1:11">
      <c r="A4168"/>
      <c r="B4168"/>
      <c r="C4168"/>
      <c r="D4168"/>
      <c r="E4168"/>
      <c r="F4168"/>
      <c r="G4168"/>
      <c r="H4168"/>
      <c r="I4168"/>
      <c r="J4168"/>
      <c r="K4168"/>
    </row>
    <row r="4169" spans="1:11">
      <c r="A4169"/>
      <c r="B4169"/>
      <c r="C4169"/>
      <c r="D4169"/>
      <c r="E4169"/>
      <c r="F4169"/>
      <c r="G4169"/>
      <c r="H4169"/>
      <c r="I4169"/>
      <c r="J4169"/>
      <c r="K4169"/>
    </row>
    <row r="4170" spans="1:11">
      <c r="A4170"/>
      <c r="B4170"/>
      <c r="C4170"/>
      <c r="D4170"/>
      <c r="E4170"/>
      <c r="F4170"/>
      <c r="G4170"/>
      <c r="H4170"/>
      <c r="I4170"/>
      <c r="J4170"/>
      <c r="K4170"/>
    </row>
    <row r="4171" spans="1:11">
      <c r="A4171"/>
      <c r="B4171"/>
      <c r="C4171"/>
      <c r="D4171"/>
      <c r="E4171"/>
      <c r="F4171"/>
      <c r="G4171"/>
      <c r="H4171"/>
      <c r="I4171"/>
      <c r="J4171"/>
      <c r="K4171"/>
    </row>
    <row r="4172" spans="1:11">
      <c r="A4172"/>
      <c r="B4172"/>
      <c r="C4172"/>
      <c r="D4172"/>
      <c r="E4172"/>
      <c r="F4172"/>
      <c r="G4172"/>
      <c r="H4172"/>
      <c r="I4172"/>
      <c r="J4172"/>
      <c r="K4172"/>
    </row>
    <row r="4173" spans="1:11">
      <c r="A4173"/>
      <c r="B4173"/>
      <c r="C4173"/>
      <c r="D4173"/>
      <c r="E4173"/>
      <c r="F4173"/>
      <c r="G4173"/>
      <c r="H4173"/>
      <c r="I4173"/>
      <c r="J4173"/>
      <c r="K4173"/>
    </row>
    <row r="4174" spans="1:11">
      <c r="A4174"/>
      <c r="B4174"/>
      <c r="C4174"/>
      <c r="D4174"/>
      <c r="E4174"/>
      <c r="F4174"/>
      <c r="G4174"/>
      <c r="H4174"/>
      <c r="I4174"/>
      <c r="J4174"/>
      <c r="K4174"/>
    </row>
    <row r="4175" spans="1:11">
      <c r="A4175"/>
      <c r="B4175"/>
      <c r="C4175"/>
      <c r="D4175"/>
      <c r="E4175"/>
      <c r="F4175"/>
      <c r="G4175"/>
      <c r="H4175"/>
      <c r="I4175"/>
      <c r="J4175"/>
      <c r="K4175"/>
    </row>
    <row r="4176" spans="1:11">
      <c r="A4176"/>
      <c r="B4176"/>
      <c r="C4176"/>
      <c r="D4176"/>
      <c r="E4176"/>
      <c r="F4176"/>
      <c r="G4176"/>
      <c r="H4176"/>
      <c r="I4176"/>
      <c r="J4176"/>
      <c r="K4176"/>
    </row>
    <row r="4177" spans="1:11">
      <c r="A4177"/>
      <c r="B4177"/>
      <c r="C4177"/>
      <c r="D4177"/>
      <c r="E4177"/>
      <c r="F4177"/>
      <c r="G4177"/>
      <c r="H4177"/>
      <c r="I4177"/>
      <c r="J4177"/>
      <c r="K4177"/>
    </row>
    <row r="4178" spans="1:11">
      <c r="A4178"/>
      <c r="B4178"/>
      <c r="C4178"/>
      <c r="D4178"/>
      <c r="E4178"/>
      <c r="F4178"/>
      <c r="G4178"/>
      <c r="H4178"/>
      <c r="I4178"/>
      <c r="J4178"/>
      <c r="K4178"/>
    </row>
    <row r="4179" spans="1:11">
      <c r="A4179"/>
      <c r="B4179"/>
      <c r="C4179"/>
      <c r="D4179"/>
      <c r="E4179"/>
      <c r="F4179"/>
      <c r="G4179"/>
      <c r="H4179"/>
      <c r="I4179"/>
      <c r="J4179"/>
      <c r="K4179"/>
    </row>
    <row r="4180" spans="1:11">
      <c r="A4180"/>
      <c r="B4180"/>
      <c r="C4180"/>
      <c r="D4180"/>
      <c r="E4180"/>
      <c r="F4180"/>
      <c r="G4180"/>
      <c r="H4180"/>
      <c r="I4180"/>
      <c r="J4180"/>
      <c r="K4180"/>
    </row>
    <row r="4181" spans="1:11">
      <c r="A4181"/>
      <c r="B4181"/>
      <c r="C4181"/>
      <c r="D4181"/>
      <c r="E4181"/>
      <c r="F4181"/>
      <c r="G4181"/>
      <c r="H4181"/>
      <c r="I4181"/>
      <c r="J4181"/>
      <c r="K4181"/>
    </row>
    <row r="4182" spans="1:11">
      <c r="A4182"/>
      <c r="B4182"/>
      <c r="C4182"/>
      <c r="D4182"/>
      <c r="E4182"/>
      <c r="F4182"/>
      <c r="G4182"/>
      <c r="H4182"/>
      <c r="I4182"/>
      <c r="J4182"/>
      <c r="K4182"/>
    </row>
    <row r="4183" spans="1:11">
      <c r="A4183"/>
      <c r="B4183"/>
      <c r="C4183"/>
      <c r="D4183"/>
      <c r="E4183"/>
      <c r="F4183"/>
      <c r="G4183"/>
      <c r="H4183"/>
      <c r="I4183"/>
      <c r="J4183"/>
      <c r="K4183"/>
    </row>
    <row r="4184" spans="1:11">
      <c r="A4184"/>
      <c r="B4184"/>
      <c r="C4184"/>
      <c r="D4184"/>
      <c r="E4184"/>
      <c r="F4184"/>
      <c r="G4184"/>
      <c r="H4184"/>
      <c r="I4184"/>
      <c r="J4184"/>
      <c r="K4184"/>
    </row>
    <row r="4185" spans="1:11">
      <c r="A4185"/>
      <c r="B4185"/>
      <c r="C4185"/>
      <c r="D4185"/>
      <c r="E4185"/>
      <c r="F4185"/>
      <c r="G4185"/>
      <c r="H4185"/>
      <c r="I4185"/>
      <c r="J4185"/>
      <c r="K4185"/>
    </row>
    <row r="4186" spans="1:11">
      <c r="A4186"/>
      <c r="B4186"/>
      <c r="C4186"/>
      <c r="D4186"/>
      <c r="E4186"/>
      <c r="F4186"/>
      <c r="G4186"/>
      <c r="H4186"/>
      <c r="I4186"/>
      <c r="J4186"/>
      <c r="K4186"/>
    </row>
    <row r="4187" spans="1:11">
      <c r="A4187"/>
      <c r="B4187"/>
      <c r="C4187"/>
      <c r="D4187"/>
      <c r="E4187"/>
      <c r="F4187"/>
      <c r="G4187"/>
      <c r="H4187"/>
      <c r="I4187"/>
      <c r="J4187"/>
      <c r="K4187"/>
    </row>
    <row r="4188" spans="1:11">
      <c r="A4188"/>
      <c r="B4188"/>
      <c r="C4188"/>
      <c r="D4188"/>
      <c r="E4188"/>
      <c r="F4188"/>
      <c r="G4188"/>
      <c r="H4188"/>
      <c r="I4188"/>
      <c r="J4188"/>
      <c r="K4188"/>
    </row>
    <row r="4189" spans="1:11">
      <c r="A4189"/>
      <c r="B4189"/>
      <c r="C4189"/>
      <c r="D4189"/>
      <c r="E4189"/>
      <c r="F4189"/>
      <c r="G4189"/>
      <c r="H4189"/>
      <c r="I4189"/>
      <c r="J4189"/>
      <c r="K4189"/>
    </row>
    <row r="4190" spans="1:11">
      <c r="A4190"/>
      <c r="B4190"/>
      <c r="C4190"/>
      <c r="D4190"/>
      <c r="E4190"/>
      <c r="F4190"/>
      <c r="G4190"/>
      <c r="H4190"/>
      <c r="I4190"/>
      <c r="J4190"/>
      <c r="K4190"/>
    </row>
    <row r="4191" spans="1:11">
      <c r="A4191"/>
      <c r="B4191"/>
      <c r="C4191"/>
      <c r="D4191"/>
      <c r="E4191"/>
      <c r="F4191"/>
      <c r="G4191"/>
      <c r="H4191"/>
      <c r="I4191"/>
      <c r="J4191"/>
      <c r="K4191"/>
    </row>
    <row r="4192" spans="1:11">
      <c r="A4192"/>
      <c r="B4192"/>
      <c r="C4192"/>
      <c r="D4192"/>
      <c r="E4192"/>
      <c r="F4192"/>
      <c r="G4192"/>
      <c r="H4192"/>
      <c r="I4192"/>
      <c r="J4192"/>
      <c r="K4192"/>
    </row>
    <row r="4193" spans="1:11">
      <c r="A4193"/>
      <c r="B4193"/>
      <c r="C4193"/>
      <c r="D4193"/>
      <c r="E4193"/>
      <c r="F4193"/>
      <c r="G4193"/>
      <c r="H4193"/>
      <c r="I4193"/>
      <c r="J4193"/>
      <c r="K4193"/>
    </row>
    <row r="4194" spans="1:11">
      <c r="A4194"/>
      <c r="B4194"/>
      <c r="C4194"/>
      <c r="D4194"/>
      <c r="E4194"/>
      <c r="F4194"/>
      <c r="G4194"/>
      <c r="H4194"/>
      <c r="I4194"/>
      <c r="J4194"/>
      <c r="K4194"/>
    </row>
    <row r="4195" spans="1:11">
      <c r="A4195"/>
      <c r="B4195"/>
      <c r="C4195"/>
      <c r="D4195"/>
      <c r="E4195"/>
      <c r="F4195"/>
      <c r="G4195"/>
      <c r="H4195"/>
      <c r="I4195"/>
      <c r="J4195"/>
      <c r="K4195"/>
    </row>
    <row r="4196" spans="1:11">
      <c r="A4196"/>
      <c r="B4196"/>
      <c r="C4196"/>
      <c r="D4196"/>
      <c r="E4196"/>
      <c r="F4196"/>
      <c r="G4196"/>
      <c r="H4196"/>
      <c r="I4196"/>
      <c r="J4196"/>
      <c r="K4196"/>
    </row>
    <row r="4197" spans="1:11">
      <c r="A4197"/>
      <c r="B4197"/>
      <c r="C4197"/>
      <c r="D4197"/>
      <c r="E4197"/>
      <c r="F4197"/>
      <c r="G4197"/>
      <c r="H4197"/>
      <c r="I4197"/>
      <c r="J4197"/>
      <c r="K4197"/>
    </row>
    <row r="4198" spans="1:11">
      <c r="A4198"/>
      <c r="B4198"/>
      <c r="C4198"/>
      <c r="D4198"/>
      <c r="E4198"/>
      <c r="F4198"/>
      <c r="G4198"/>
      <c r="H4198"/>
      <c r="I4198"/>
      <c r="J4198"/>
      <c r="K4198"/>
    </row>
    <row r="4199" spans="1:11">
      <c r="A4199"/>
      <c r="B4199"/>
      <c r="C4199"/>
      <c r="D4199"/>
      <c r="E4199"/>
      <c r="F4199"/>
      <c r="G4199"/>
      <c r="H4199"/>
      <c r="I4199"/>
      <c r="J4199"/>
      <c r="K4199"/>
    </row>
    <row r="4200" spans="1:11">
      <c r="A4200"/>
      <c r="B4200"/>
      <c r="C4200"/>
      <c r="D4200"/>
      <c r="E4200"/>
      <c r="F4200"/>
      <c r="G4200"/>
      <c r="H4200"/>
      <c r="I4200"/>
      <c r="J4200"/>
      <c r="K4200"/>
    </row>
    <row r="4201" spans="1:11">
      <c r="A4201"/>
      <c r="B4201"/>
      <c r="C4201"/>
      <c r="D4201"/>
      <c r="E4201"/>
      <c r="F4201"/>
      <c r="G4201"/>
      <c r="H4201"/>
      <c r="I4201"/>
      <c r="J4201"/>
      <c r="K4201"/>
    </row>
    <row r="4202" spans="1:11">
      <c r="A4202"/>
      <c r="B4202"/>
      <c r="C4202"/>
      <c r="D4202"/>
      <c r="E4202"/>
      <c r="F4202"/>
      <c r="G4202"/>
      <c r="H4202"/>
      <c r="I4202"/>
      <c r="J4202"/>
      <c r="K4202"/>
    </row>
    <row r="4203" spans="1:11">
      <c r="A4203"/>
      <c r="B4203"/>
      <c r="C4203"/>
      <c r="D4203"/>
      <c r="E4203"/>
      <c r="F4203"/>
      <c r="G4203"/>
      <c r="H4203"/>
      <c r="I4203"/>
      <c r="J4203"/>
      <c r="K4203"/>
    </row>
    <row r="4204" spans="1:11">
      <c r="A4204"/>
      <c r="B4204"/>
      <c r="C4204"/>
      <c r="D4204"/>
      <c r="E4204"/>
      <c r="F4204"/>
      <c r="G4204"/>
      <c r="H4204"/>
      <c r="I4204"/>
      <c r="J4204"/>
      <c r="K4204"/>
    </row>
    <row r="4205" spans="1:11">
      <c r="A4205"/>
      <c r="B4205"/>
      <c r="C4205"/>
      <c r="D4205"/>
      <c r="E4205"/>
      <c r="F4205"/>
      <c r="G4205"/>
      <c r="H4205"/>
      <c r="I4205"/>
      <c r="J4205"/>
      <c r="K4205"/>
    </row>
    <row r="4206" spans="1:11">
      <c r="A4206"/>
      <c r="B4206"/>
      <c r="C4206"/>
      <c r="D4206"/>
      <c r="E4206"/>
      <c r="F4206"/>
      <c r="G4206"/>
      <c r="H4206"/>
      <c r="I4206"/>
      <c r="J4206"/>
      <c r="K4206"/>
    </row>
    <row r="4207" spans="1:11">
      <c r="A4207"/>
      <c r="B4207"/>
      <c r="C4207"/>
      <c r="D4207"/>
      <c r="E4207"/>
      <c r="F4207"/>
      <c r="G4207"/>
      <c r="H4207"/>
      <c r="I4207"/>
      <c r="J4207"/>
      <c r="K4207"/>
    </row>
    <row r="4208" spans="1:11">
      <c r="A4208"/>
      <c r="B4208"/>
      <c r="C4208"/>
      <c r="D4208"/>
      <c r="E4208"/>
      <c r="F4208"/>
      <c r="G4208"/>
      <c r="H4208"/>
      <c r="I4208"/>
      <c r="J4208"/>
      <c r="K4208"/>
    </row>
    <row r="4209" spans="1:11">
      <c r="A4209"/>
      <c r="B4209"/>
      <c r="C4209"/>
      <c r="D4209"/>
      <c r="E4209"/>
      <c r="F4209"/>
      <c r="G4209"/>
      <c r="H4209"/>
      <c r="I4209"/>
      <c r="J4209"/>
      <c r="K4209"/>
    </row>
    <row r="4210" spans="1:11">
      <c r="A4210"/>
      <c r="B4210"/>
      <c r="C4210"/>
      <c r="D4210"/>
      <c r="E4210"/>
      <c r="F4210"/>
      <c r="G4210"/>
      <c r="H4210"/>
      <c r="I4210"/>
      <c r="J4210"/>
      <c r="K4210"/>
    </row>
    <row r="4211" spans="1:11">
      <c r="A4211"/>
      <c r="B4211"/>
      <c r="C4211"/>
      <c r="D4211"/>
      <c r="E4211"/>
      <c r="F4211"/>
      <c r="G4211"/>
      <c r="H4211"/>
      <c r="I4211"/>
      <c r="J4211"/>
      <c r="K4211"/>
    </row>
    <row r="4212" spans="1:11">
      <c r="A4212"/>
      <c r="B4212"/>
      <c r="C4212"/>
      <c r="D4212"/>
      <c r="E4212"/>
      <c r="F4212"/>
      <c r="G4212"/>
      <c r="H4212"/>
      <c r="I4212"/>
      <c r="J4212"/>
      <c r="K4212"/>
    </row>
    <row r="4213" spans="1:11">
      <c r="A4213"/>
      <c r="B4213"/>
      <c r="C4213"/>
      <c r="D4213"/>
      <c r="E4213"/>
      <c r="F4213"/>
      <c r="G4213"/>
      <c r="H4213"/>
      <c r="I4213"/>
      <c r="J4213"/>
      <c r="K4213"/>
    </row>
    <row r="4214" spans="1:11">
      <c r="A4214"/>
      <c r="B4214"/>
      <c r="C4214"/>
      <c r="D4214"/>
      <c r="E4214"/>
      <c r="F4214"/>
      <c r="G4214"/>
      <c r="H4214"/>
      <c r="I4214"/>
      <c r="J4214"/>
      <c r="K4214"/>
    </row>
    <row r="4215" spans="1:11">
      <c r="A4215"/>
      <c r="B4215"/>
      <c r="C4215"/>
      <c r="D4215"/>
      <c r="E4215"/>
      <c r="F4215"/>
      <c r="G4215"/>
      <c r="H4215"/>
      <c r="I4215"/>
      <c r="J4215"/>
      <c r="K4215"/>
    </row>
    <row r="4216" spans="1:11">
      <c r="A4216"/>
      <c r="B4216"/>
      <c r="C4216"/>
      <c r="D4216"/>
      <c r="E4216"/>
      <c r="F4216"/>
      <c r="G4216"/>
      <c r="H4216"/>
      <c r="I4216"/>
      <c r="J4216"/>
      <c r="K4216"/>
    </row>
    <row r="4217" spans="1:11">
      <c r="A4217"/>
      <c r="B4217"/>
      <c r="C4217"/>
      <c r="D4217"/>
      <c r="E4217"/>
      <c r="F4217"/>
      <c r="G4217"/>
      <c r="H4217"/>
      <c r="I4217"/>
      <c r="J4217"/>
      <c r="K4217"/>
    </row>
    <row r="4218" spans="1:11">
      <c r="A4218"/>
      <c r="B4218"/>
      <c r="C4218"/>
      <c r="D4218"/>
      <c r="E4218"/>
      <c r="F4218"/>
      <c r="G4218"/>
      <c r="H4218"/>
      <c r="I4218"/>
      <c r="J4218"/>
      <c r="K4218"/>
    </row>
    <row r="4219" spans="1:11">
      <c r="A4219"/>
      <c r="B4219"/>
      <c r="C4219"/>
      <c r="D4219"/>
      <c r="E4219"/>
      <c r="F4219"/>
      <c r="G4219"/>
      <c r="H4219"/>
      <c r="I4219"/>
      <c r="J4219"/>
      <c r="K4219"/>
    </row>
    <row r="4220" spans="1:11">
      <c r="A4220"/>
      <c r="B4220"/>
      <c r="C4220"/>
      <c r="D4220"/>
      <c r="E4220"/>
      <c r="F4220"/>
      <c r="G4220"/>
      <c r="H4220"/>
      <c r="I4220"/>
      <c r="J4220"/>
      <c r="K4220"/>
    </row>
    <row r="4221" spans="1:11">
      <c r="A4221"/>
      <c r="B4221"/>
      <c r="C4221"/>
      <c r="D4221"/>
      <c r="E4221"/>
      <c r="F4221"/>
      <c r="G4221"/>
      <c r="H4221"/>
      <c r="I4221"/>
      <c r="J4221"/>
      <c r="K4221"/>
    </row>
    <row r="4222" spans="1:11">
      <c r="A4222"/>
      <c r="B4222"/>
      <c r="C4222"/>
      <c r="D4222"/>
      <c r="E4222"/>
      <c r="F4222"/>
      <c r="G4222"/>
      <c r="H4222"/>
      <c r="I4222"/>
      <c r="J4222"/>
      <c r="K4222"/>
    </row>
    <row r="4223" spans="1:11">
      <c r="A4223"/>
      <c r="B4223"/>
      <c r="C4223"/>
      <c r="D4223"/>
      <c r="E4223"/>
      <c r="F4223"/>
      <c r="G4223"/>
      <c r="H4223"/>
      <c r="I4223"/>
      <c r="J4223"/>
      <c r="K4223"/>
    </row>
    <row r="4224" spans="1:11">
      <c r="A4224"/>
      <c r="B4224"/>
      <c r="C4224"/>
      <c r="D4224"/>
      <c r="E4224"/>
      <c r="F4224"/>
      <c r="G4224"/>
      <c r="H4224"/>
      <c r="I4224"/>
      <c r="J4224"/>
      <c r="K4224"/>
    </row>
    <row r="4225" spans="1:11">
      <c r="A4225"/>
      <c r="B4225"/>
      <c r="C4225"/>
      <c r="D4225"/>
      <c r="E4225"/>
      <c r="F4225"/>
      <c r="G4225"/>
      <c r="H4225"/>
      <c r="I4225"/>
      <c r="J4225"/>
      <c r="K4225"/>
    </row>
    <row r="4226" spans="1:11">
      <c r="A4226"/>
      <c r="B4226"/>
      <c r="C4226"/>
      <c r="D4226"/>
      <c r="E4226"/>
      <c r="F4226"/>
      <c r="G4226"/>
      <c r="H4226"/>
      <c r="I4226"/>
      <c r="J4226"/>
      <c r="K4226"/>
    </row>
    <row r="4227" spans="1:11">
      <c r="A4227"/>
      <c r="B4227"/>
      <c r="C4227"/>
      <c r="D4227"/>
      <c r="E4227"/>
      <c r="F4227"/>
      <c r="G4227"/>
      <c r="H4227"/>
      <c r="I4227"/>
      <c r="J4227"/>
      <c r="K4227"/>
    </row>
    <row r="4228" spans="1:11">
      <c r="A4228"/>
      <c r="B4228"/>
      <c r="C4228"/>
      <c r="D4228"/>
      <c r="E4228"/>
      <c r="F4228"/>
      <c r="G4228"/>
      <c r="H4228"/>
      <c r="I4228"/>
      <c r="J4228"/>
      <c r="K4228"/>
    </row>
    <row r="4229" spans="1:11">
      <c r="A4229"/>
      <c r="B4229"/>
      <c r="C4229"/>
      <c r="D4229"/>
      <c r="E4229"/>
      <c r="F4229"/>
      <c r="G4229"/>
      <c r="H4229"/>
      <c r="I4229"/>
      <c r="J4229"/>
      <c r="K4229"/>
    </row>
    <row r="4230" spans="1:11">
      <c r="A4230"/>
      <c r="B4230"/>
      <c r="C4230"/>
      <c r="D4230"/>
      <c r="E4230"/>
      <c r="F4230"/>
      <c r="G4230"/>
      <c r="H4230"/>
      <c r="I4230"/>
      <c r="J4230"/>
      <c r="K4230"/>
    </row>
    <row r="4231" spans="1:11">
      <c r="A4231"/>
      <c r="B4231"/>
      <c r="C4231"/>
      <c r="D4231"/>
      <c r="E4231"/>
      <c r="F4231"/>
      <c r="G4231"/>
      <c r="H4231"/>
      <c r="I4231"/>
      <c r="J4231"/>
      <c r="K4231"/>
    </row>
    <row r="4232" spans="1:11">
      <c r="A4232"/>
      <c r="B4232"/>
      <c r="C4232"/>
      <c r="D4232"/>
      <c r="E4232"/>
      <c r="F4232"/>
      <c r="G4232"/>
      <c r="H4232"/>
      <c r="I4232"/>
      <c r="J4232"/>
      <c r="K4232"/>
    </row>
    <row r="4233" spans="1:11">
      <c r="A4233"/>
      <c r="B4233"/>
      <c r="C4233"/>
      <c r="D4233"/>
      <c r="E4233"/>
      <c r="F4233"/>
      <c r="G4233"/>
      <c r="H4233"/>
      <c r="I4233"/>
      <c r="J4233"/>
      <c r="K4233"/>
    </row>
    <row r="4234" spans="1:11">
      <c r="A4234"/>
      <c r="B4234"/>
      <c r="C4234"/>
      <c r="D4234"/>
      <c r="E4234"/>
      <c r="F4234"/>
      <c r="G4234"/>
      <c r="H4234"/>
      <c r="I4234"/>
      <c r="J4234"/>
      <c r="K4234"/>
    </row>
    <row r="4235" spans="1:11">
      <c r="A4235"/>
      <c r="B4235"/>
      <c r="C4235"/>
      <c r="D4235"/>
      <c r="E4235"/>
      <c r="F4235"/>
      <c r="G4235"/>
      <c r="H4235"/>
      <c r="I4235"/>
      <c r="J4235"/>
      <c r="K4235"/>
    </row>
    <row r="4236" spans="1:11">
      <c r="A4236"/>
      <c r="B4236"/>
      <c r="C4236"/>
      <c r="D4236"/>
      <c r="E4236"/>
      <c r="F4236"/>
      <c r="G4236"/>
      <c r="H4236"/>
      <c r="I4236"/>
      <c r="J4236"/>
      <c r="K4236"/>
    </row>
    <row r="4237" spans="1:11">
      <c r="A4237"/>
      <c r="B4237"/>
      <c r="C4237"/>
      <c r="D4237"/>
      <c r="E4237"/>
      <c r="F4237"/>
      <c r="G4237"/>
      <c r="H4237"/>
      <c r="I4237"/>
      <c r="J4237"/>
      <c r="K4237"/>
    </row>
    <row r="4238" spans="1:11">
      <c r="A4238"/>
      <c r="B4238"/>
      <c r="C4238"/>
      <c r="D4238"/>
      <c r="E4238"/>
      <c r="F4238"/>
      <c r="G4238"/>
      <c r="H4238"/>
      <c r="I4238"/>
      <c r="J4238"/>
      <c r="K4238"/>
    </row>
    <row r="4239" spans="1:11">
      <c r="A4239"/>
      <c r="B4239"/>
      <c r="C4239"/>
      <c r="D4239"/>
      <c r="E4239"/>
      <c r="F4239"/>
      <c r="G4239"/>
      <c r="H4239"/>
      <c r="I4239"/>
      <c r="J4239"/>
      <c r="K4239"/>
    </row>
    <row r="4240" spans="1:11">
      <c r="A4240"/>
      <c r="B4240"/>
      <c r="C4240"/>
      <c r="D4240"/>
      <c r="E4240"/>
      <c r="F4240"/>
      <c r="G4240"/>
      <c r="H4240"/>
      <c r="I4240"/>
      <c r="J4240"/>
      <c r="K4240"/>
    </row>
    <row r="4241" spans="1:11">
      <c r="A4241"/>
      <c r="B4241"/>
      <c r="C4241"/>
      <c r="D4241"/>
      <c r="E4241"/>
      <c r="F4241"/>
      <c r="G4241"/>
      <c r="H4241"/>
      <c r="I4241"/>
      <c r="J4241"/>
      <c r="K4241"/>
    </row>
    <row r="4242" spans="1:11">
      <c r="A4242"/>
      <c r="B4242"/>
      <c r="C4242"/>
      <c r="D4242"/>
      <c r="E4242"/>
      <c r="F4242"/>
      <c r="G4242"/>
      <c r="H4242"/>
      <c r="I4242"/>
      <c r="J4242"/>
      <c r="K4242"/>
    </row>
    <row r="4243" spans="1:11">
      <c r="A4243"/>
      <c r="B4243"/>
      <c r="C4243"/>
      <c r="D4243"/>
      <c r="E4243"/>
      <c r="F4243"/>
      <c r="G4243"/>
      <c r="H4243"/>
      <c r="I4243"/>
      <c r="J4243"/>
      <c r="K4243"/>
    </row>
    <row r="4244" spans="1:11">
      <c r="A4244"/>
      <c r="B4244"/>
      <c r="C4244"/>
      <c r="D4244"/>
      <c r="E4244"/>
      <c r="F4244"/>
      <c r="G4244"/>
      <c r="H4244"/>
      <c r="I4244"/>
      <c r="J4244"/>
      <c r="K4244"/>
    </row>
    <row r="4245" spans="1:11">
      <c r="A4245"/>
      <c r="B4245"/>
      <c r="C4245"/>
      <c r="D4245"/>
      <c r="E4245"/>
      <c r="F4245"/>
      <c r="G4245"/>
      <c r="H4245"/>
      <c r="I4245"/>
      <c r="J4245"/>
      <c r="K4245"/>
    </row>
    <row r="4246" spans="1:11">
      <c r="A4246"/>
      <c r="B4246"/>
      <c r="C4246"/>
      <c r="D4246"/>
      <c r="E4246"/>
      <c r="F4246"/>
      <c r="G4246"/>
      <c r="H4246"/>
      <c r="I4246"/>
      <c r="J4246"/>
      <c r="K4246"/>
    </row>
    <row r="4247" spans="1:11">
      <c r="A4247"/>
      <c r="B4247"/>
      <c r="C4247"/>
      <c r="D4247"/>
      <c r="E4247"/>
      <c r="F4247"/>
      <c r="G4247"/>
      <c r="H4247"/>
      <c r="I4247"/>
      <c r="J4247"/>
      <c r="K4247"/>
    </row>
    <row r="4248" spans="1:11">
      <c r="A4248"/>
      <c r="B4248"/>
      <c r="C4248"/>
      <c r="D4248"/>
      <c r="E4248"/>
      <c r="F4248"/>
      <c r="G4248"/>
      <c r="H4248"/>
      <c r="I4248"/>
      <c r="J4248"/>
      <c r="K4248"/>
    </row>
    <row r="4249" spans="1:11">
      <c r="A4249"/>
      <c r="B4249"/>
      <c r="C4249"/>
      <c r="D4249"/>
      <c r="E4249"/>
      <c r="F4249"/>
      <c r="G4249"/>
      <c r="H4249"/>
      <c r="I4249"/>
      <c r="J4249"/>
      <c r="K4249"/>
    </row>
    <row r="4250" spans="1:11">
      <c r="A4250"/>
      <c r="B4250"/>
      <c r="C4250"/>
      <c r="D4250"/>
      <c r="E4250"/>
      <c r="F4250"/>
      <c r="G4250"/>
      <c r="H4250"/>
      <c r="I4250"/>
      <c r="J4250"/>
      <c r="K4250"/>
    </row>
    <row r="4251" spans="1:11">
      <c r="A4251"/>
      <c r="B4251"/>
      <c r="C4251"/>
      <c r="D4251"/>
      <c r="E4251"/>
      <c r="F4251"/>
      <c r="G4251"/>
      <c r="H4251"/>
      <c r="I4251"/>
      <c r="J4251"/>
      <c r="K4251"/>
    </row>
    <row r="4252" spans="1:11">
      <c r="A4252"/>
      <c r="B4252"/>
      <c r="C4252"/>
      <c r="D4252"/>
      <c r="E4252"/>
      <c r="F4252"/>
      <c r="G4252"/>
      <c r="H4252"/>
      <c r="I4252"/>
      <c r="J4252"/>
      <c r="K4252"/>
    </row>
    <row r="4253" spans="1:11">
      <c r="A4253"/>
      <c r="B4253"/>
      <c r="C4253"/>
      <c r="D4253"/>
      <c r="E4253"/>
      <c r="F4253"/>
      <c r="G4253"/>
      <c r="H4253"/>
      <c r="I4253"/>
      <c r="J4253"/>
      <c r="K4253"/>
    </row>
    <row r="4254" spans="1:11">
      <c r="A4254"/>
      <c r="B4254"/>
      <c r="C4254"/>
      <c r="D4254"/>
      <c r="E4254"/>
      <c r="F4254"/>
      <c r="G4254"/>
      <c r="H4254"/>
      <c r="I4254"/>
      <c r="J4254"/>
      <c r="K4254"/>
    </row>
    <row r="4255" spans="1:11">
      <c r="A4255"/>
      <c r="B4255"/>
      <c r="C4255"/>
      <c r="D4255"/>
      <c r="E4255"/>
      <c r="F4255"/>
      <c r="G4255"/>
      <c r="H4255"/>
      <c r="I4255"/>
      <c r="J4255"/>
      <c r="K4255"/>
    </row>
    <row r="4256" spans="1:11">
      <c r="A4256"/>
      <c r="B4256"/>
      <c r="C4256"/>
      <c r="D4256"/>
      <c r="E4256"/>
      <c r="F4256"/>
      <c r="G4256"/>
      <c r="H4256"/>
      <c r="I4256"/>
      <c r="J4256"/>
      <c r="K4256"/>
    </row>
    <row r="4257" spans="1:11">
      <c r="A4257"/>
      <c r="B4257"/>
      <c r="C4257"/>
      <c r="D4257"/>
      <c r="E4257"/>
      <c r="F4257"/>
      <c r="G4257"/>
      <c r="H4257"/>
      <c r="I4257"/>
      <c r="J4257"/>
      <c r="K4257"/>
    </row>
    <row r="4258" spans="1:11">
      <c r="A4258"/>
      <c r="B4258"/>
      <c r="C4258"/>
      <c r="D4258"/>
      <c r="E4258"/>
      <c r="F4258"/>
      <c r="G4258"/>
      <c r="H4258"/>
      <c r="I4258"/>
      <c r="J4258"/>
      <c r="K4258"/>
    </row>
    <row r="4259" spans="1:11">
      <c r="A4259"/>
      <c r="B4259"/>
      <c r="C4259"/>
      <c r="D4259"/>
      <c r="E4259"/>
      <c r="F4259"/>
      <c r="G4259"/>
      <c r="H4259"/>
      <c r="I4259"/>
      <c r="J4259"/>
      <c r="K4259"/>
    </row>
    <row r="4260" spans="1:11">
      <c r="A4260"/>
      <c r="B4260"/>
      <c r="C4260"/>
      <c r="D4260"/>
      <c r="E4260"/>
      <c r="F4260"/>
      <c r="G4260"/>
      <c r="H4260"/>
      <c r="I4260"/>
      <c r="J4260"/>
      <c r="K4260"/>
    </row>
    <row r="4261" spans="1:11">
      <c r="A4261"/>
      <c r="B4261"/>
      <c r="C4261"/>
      <c r="D4261"/>
      <c r="E4261"/>
      <c r="F4261"/>
      <c r="G4261"/>
      <c r="H4261"/>
      <c r="I4261"/>
      <c r="J4261"/>
      <c r="K4261"/>
    </row>
    <row r="4262" spans="1:11">
      <c r="A4262"/>
      <c r="B4262"/>
      <c r="C4262"/>
      <c r="D4262"/>
      <c r="E4262"/>
      <c r="F4262"/>
      <c r="G4262"/>
      <c r="H4262"/>
      <c r="I4262"/>
      <c r="J4262"/>
      <c r="K4262"/>
    </row>
    <row r="4263" spans="1:11">
      <c r="A4263"/>
      <c r="B4263"/>
      <c r="C4263"/>
      <c r="D4263"/>
      <c r="E4263"/>
      <c r="F4263"/>
      <c r="G4263"/>
      <c r="H4263"/>
      <c r="I4263"/>
      <c r="J4263"/>
      <c r="K4263"/>
    </row>
    <row r="4264" spans="1:11">
      <c r="A4264"/>
      <c r="B4264"/>
      <c r="C4264"/>
      <c r="D4264"/>
      <c r="E4264"/>
      <c r="F4264"/>
      <c r="G4264"/>
      <c r="H4264"/>
      <c r="I4264"/>
      <c r="J4264"/>
      <c r="K4264"/>
    </row>
    <row r="4265" spans="1:11">
      <c r="A4265"/>
      <c r="B4265"/>
      <c r="C4265"/>
      <c r="D4265"/>
      <c r="E4265"/>
      <c r="F4265"/>
      <c r="G4265"/>
      <c r="H4265"/>
      <c r="I4265"/>
      <c r="J4265"/>
      <c r="K4265"/>
    </row>
    <row r="4266" spans="1:11">
      <c r="A4266"/>
      <c r="B4266"/>
      <c r="C4266"/>
      <c r="D4266"/>
      <c r="E4266"/>
      <c r="F4266"/>
      <c r="G4266"/>
      <c r="H4266"/>
      <c r="I4266"/>
      <c r="J4266"/>
      <c r="K4266"/>
    </row>
    <row r="4267" spans="1:11">
      <c r="A4267"/>
      <c r="B4267"/>
      <c r="C4267"/>
      <c r="D4267"/>
      <c r="E4267"/>
      <c r="F4267"/>
      <c r="G4267"/>
      <c r="H4267"/>
      <c r="I4267"/>
      <c r="J4267"/>
      <c r="K4267"/>
    </row>
    <row r="4268" spans="1:11">
      <c r="A4268"/>
      <c r="B4268"/>
      <c r="C4268"/>
      <c r="D4268"/>
      <c r="E4268"/>
      <c r="F4268"/>
      <c r="G4268"/>
      <c r="H4268"/>
      <c r="I4268"/>
      <c r="J4268"/>
      <c r="K4268"/>
    </row>
    <row r="4269" spans="1:11">
      <c r="A4269"/>
      <c r="B4269"/>
      <c r="C4269"/>
      <c r="D4269"/>
      <c r="E4269"/>
      <c r="F4269"/>
      <c r="G4269"/>
      <c r="H4269"/>
      <c r="I4269"/>
      <c r="J4269"/>
      <c r="K4269"/>
    </row>
    <row r="4270" spans="1:11">
      <c r="A4270"/>
      <c r="B4270"/>
      <c r="C4270"/>
      <c r="D4270"/>
      <c r="E4270"/>
      <c r="F4270"/>
      <c r="G4270"/>
      <c r="H4270"/>
      <c r="I4270"/>
      <c r="J4270"/>
      <c r="K4270"/>
    </row>
    <row r="4271" spans="1:11">
      <c r="A4271"/>
      <c r="B4271"/>
      <c r="C4271"/>
      <c r="D4271"/>
      <c r="E4271"/>
      <c r="F4271"/>
      <c r="G4271"/>
      <c r="H4271"/>
      <c r="I4271"/>
      <c r="J4271"/>
      <c r="K4271"/>
    </row>
    <row r="4272" spans="1:11">
      <c r="A4272"/>
      <c r="B4272"/>
      <c r="C4272"/>
      <c r="D4272"/>
      <c r="E4272"/>
      <c r="F4272"/>
      <c r="G4272"/>
      <c r="H4272"/>
      <c r="I4272"/>
      <c r="J4272"/>
      <c r="K4272"/>
    </row>
    <row r="4273" spans="1:11">
      <c r="A4273"/>
      <c r="B4273"/>
      <c r="C4273"/>
      <c r="D4273"/>
      <c r="E4273"/>
      <c r="F4273"/>
      <c r="G4273"/>
      <c r="H4273"/>
      <c r="I4273"/>
      <c r="J4273"/>
      <c r="K4273"/>
    </row>
    <row r="4274" spans="1:11">
      <c r="A4274"/>
      <c r="B4274"/>
      <c r="C4274"/>
      <c r="D4274"/>
      <c r="E4274"/>
      <c r="F4274"/>
      <c r="G4274"/>
      <c r="H4274"/>
      <c r="I4274"/>
      <c r="J4274"/>
      <c r="K4274"/>
    </row>
    <row r="4275" spans="1:11">
      <c r="A4275"/>
      <c r="B4275"/>
      <c r="C4275"/>
      <c r="D4275"/>
      <c r="E4275"/>
      <c r="F4275"/>
      <c r="G4275"/>
      <c r="H4275"/>
      <c r="I4275"/>
      <c r="J4275"/>
      <c r="K4275"/>
    </row>
    <row r="4276" spans="1:11">
      <c r="A4276"/>
      <c r="B4276"/>
      <c r="C4276"/>
      <c r="D4276"/>
      <c r="E4276"/>
      <c r="F4276"/>
      <c r="G4276"/>
      <c r="H4276"/>
      <c r="I4276"/>
      <c r="J4276"/>
      <c r="K4276"/>
    </row>
    <row r="4277" spans="1:11">
      <c r="A4277"/>
      <c r="B4277"/>
      <c r="C4277"/>
      <c r="D4277"/>
      <c r="E4277"/>
      <c r="F4277"/>
      <c r="G4277"/>
      <c r="H4277"/>
      <c r="I4277"/>
      <c r="J4277"/>
      <c r="K4277"/>
    </row>
    <row r="4278" spans="1:11">
      <c r="A4278"/>
      <c r="B4278"/>
      <c r="C4278"/>
      <c r="D4278"/>
      <c r="E4278"/>
      <c r="F4278"/>
      <c r="G4278"/>
      <c r="H4278"/>
      <c r="I4278"/>
      <c r="J4278"/>
      <c r="K4278"/>
    </row>
    <row r="4279" spans="1:11">
      <c r="A4279"/>
      <c r="B4279"/>
      <c r="C4279"/>
      <c r="D4279"/>
      <c r="E4279"/>
      <c r="F4279"/>
      <c r="G4279"/>
      <c r="H4279"/>
      <c r="I4279"/>
      <c r="J4279"/>
      <c r="K4279"/>
    </row>
    <row r="4280" spans="1:11">
      <c r="A4280"/>
      <c r="B4280"/>
      <c r="C4280"/>
      <c r="D4280"/>
      <c r="E4280"/>
      <c r="F4280"/>
      <c r="G4280"/>
      <c r="H4280"/>
      <c r="I4280"/>
      <c r="J4280"/>
      <c r="K4280"/>
    </row>
    <row r="4281" spans="1:11">
      <c r="A4281"/>
      <c r="B4281"/>
      <c r="C4281"/>
      <c r="D4281"/>
      <c r="E4281"/>
      <c r="F4281"/>
      <c r="G4281"/>
      <c r="H4281"/>
      <c r="I4281"/>
      <c r="J4281"/>
      <c r="K4281"/>
    </row>
    <row r="4282" spans="1:11">
      <c r="A4282"/>
      <c r="B4282"/>
      <c r="C4282"/>
      <c r="D4282"/>
      <c r="E4282"/>
      <c r="F4282"/>
      <c r="G4282"/>
      <c r="H4282"/>
      <c r="I4282"/>
      <c r="J4282"/>
      <c r="K4282"/>
    </row>
    <row r="4283" spans="1:11">
      <c r="A4283"/>
      <c r="B4283"/>
      <c r="C4283"/>
      <c r="D4283"/>
      <c r="E4283"/>
      <c r="F4283"/>
      <c r="G4283"/>
      <c r="H4283"/>
      <c r="I4283"/>
      <c r="J4283"/>
      <c r="K4283"/>
    </row>
    <row r="4284" spans="1:11">
      <c r="A4284"/>
      <c r="B4284"/>
      <c r="C4284"/>
      <c r="D4284"/>
      <c r="E4284"/>
      <c r="F4284"/>
      <c r="G4284"/>
      <c r="H4284"/>
      <c r="I4284"/>
      <c r="J4284"/>
      <c r="K4284"/>
    </row>
    <row r="4285" spans="1:11">
      <c r="A4285"/>
      <c r="B4285"/>
      <c r="C4285"/>
      <c r="D4285"/>
      <c r="E4285"/>
      <c r="F4285"/>
      <c r="G4285"/>
      <c r="H4285"/>
      <c r="I4285"/>
      <c r="J4285"/>
      <c r="K4285"/>
    </row>
    <row r="4286" spans="1:11">
      <c r="A4286"/>
      <c r="B4286"/>
      <c r="C4286"/>
      <c r="D4286"/>
      <c r="E4286"/>
      <c r="F4286"/>
      <c r="G4286"/>
      <c r="H4286"/>
      <c r="I4286"/>
      <c r="J4286"/>
      <c r="K4286"/>
    </row>
    <row r="4287" spans="1:11">
      <c r="A4287"/>
      <c r="B4287"/>
      <c r="C4287"/>
      <c r="D4287"/>
      <c r="E4287"/>
      <c r="F4287"/>
      <c r="G4287"/>
      <c r="H4287"/>
      <c r="I4287"/>
      <c r="J4287"/>
      <c r="K4287"/>
    </row>
    <row r="4288" spans="1:11">
      <c r="A4288"/>
      <c r="B4288"/>
      <c r="C4288"/>
      <c r="D4288"/>
      <c r="E4288"/>
      <c r="F4288"/>
      <c r="G4288"/>
      <c r="H4288"/>
      <c r="I4288"/>
      <c r="J4288"/>
      <c r="K4288"/>
    </row>
    <row r="4289" spans="1:11">
      <c r="A4289"/>
      <c r="B4289"/>
      <c r="C4289"/>
      <c r="D4289"/>
      <c r="E4289"/>
      <c r="F4289"/>
      <c r="G4289"/>
      <c r="H4289"/>
      <c r="I4289"/>
      <c r="J4289"/>
      <c r="K4289"/>
    </row>
    <row r="4290" spans="1:11">
      <c r="A4290"/>
      <c r="B4290"/>
      <c r="C4290"/>
      <c r="D4290"/>
      <c r="E4290"/>
      <c r="F4290"/>
      <c r="G4290"/>
      <c r="H4290"/>
      <c r="I4290"/>
      <c r="J4290"/>
      <c r="K4290"/>
    </row>
    <row r="4291" spans="1:11">
      <c r="A4291"/>
      <c r="B4291"/>
      <c r="C4291"/>
      <c r="D4291"/>
      <c r="E4291"/>
      <c r="F4291"/>
      <c r="G4291"/>
      <c r="H4291"/>
      <c r="I4291"/>
      <c r="J4291"/>
      <c r="K4291"/>
    </row>
    <row r="4292" spans="1:11">
      <c r="A4292"/>
      <c r="B4292"/>
      <c r="C4292"/>
      <c r="D4292"/>
      <c r="E4292"/>
      <c r="F4292"/>
      <c r="G4292"/>
      <c r="H4292"/>
      <c r="I4292"/>
      <c r="J4292"/>
      <c r="K4292"/>
    </row>
    <row r="4293" spans="1:11">
      <c r="A4293"/>
      <c r="B4293"/>
      <c r="C4293"/>
      <c r="D4293"/>
      <c r="E4293"/>
      <c r="F4293"/>
      <c r="G4293"/>
      <c r="H4293"/>
      <c r="I4293"/>
      <c r="J4293"/>
      <c r="K4293"/>
    </row>
    <row r="4294" spans="1:11">
      <c r="A4294"/>
      <c r="B4294"/>
      <c r="C4294"/>
      <c r="D4294"/>
      <c r="E4294"/>
      <c r="F4294"/>
      <c r="G4294"/>
      <c r="H4294"/>
      <c r="I4294"/>
      <c r="J4294"/>
      <c r="K4294"/>
    </row>
    <row r="4295" spans="1:11">
      <c r="A4295"/>
      <c r="B4295"/>
      <c r="C4295"/>
      <c r="D4295"/>
      <c r="E4295"/>
      <c r="F4295"/>
      <c r="G4295"/>
      <c r="H4295"/>
      <c r="I4295"/>
      <c r="J4295"/>
      <c r="K4295"/>
    </row>
    <row r="4296" spans="1:11">
      <c r="A4296"/>
      <c r="B4296"/>
      <c r="C4296"/>
      <c r="D4296"/>
      <c r="E4296"/>
      <c r="F4296"/>
      <c r="G4296"/>
      <c r="H4296"/>
      <c r="I4296"/>
      <c r="J4296"/>
      <c r="K4296"/>
    </row>
    <row r="4297" spans="1:11">
      <c r="A4297"/>
      <c r="B4297"/>
      <c r="C4297"/>
      <c r="D4297"/>
      <c r="E4297"/>
      <c r="F4297"/>
      <c r="G4297"/>
      <c r="H4297"/>
      <c r="I4297"/>
      <c r="J4297"/>
      <c r="K4297"/>
    </row>
    <row r="4298" spans="1:11">
      <c r="A4298"/>
      <c r="B4298"/>
      <c r="C4298"/>
      <c r="D4298"/>
      <c r="E4298"/>
      <c r="F4298"/>
      <c r="G4298"/>
      <c r="H4298"/>
      <c r="I4298"/>
      <c r="J4298"/>
      <c r="K4298"/>
    </row>
    <row r="4299" spans="1:11">
      <c r="A4299"/>
      <c r="B4299"/>
      <c r="C4299"/>
      <c r="D4299"/>
      <c r="E4299"/>
      <c r="F4299"/>
      <c r="G4299"/>
      <c r="H4299"/>
      <c r="I4299"/>
      <c r="J4299"/>
      <c r="K4299"/>
    </row>
    <row r="4300" spans="1:11">
      <c r="A4300"/>
      <c r="B4300"/>
      <c r="C4300"/>
      <c r="D4300"/>
      <c r="E4300"/>
      <c r="F4300"/>
      <c r="G4300"/>
      <c r="H4300"/>
      <c r="I4300"/>
      <c r="J4300"/>
      <c r="K4300"/>
    </row>
    <row r="4301" spans="1:11">
      <c r="A4301"/>
      <c r="B4301"/>
      <c r="C4301"/>
      <c r="D4301"/>
      <c r="E4301"/>
      <c r="F4301"/>
      <c r="G4301"/>
      <c r="H4301"/>
      <c r="I4301"/>
      <c r="J4301"/>
      <c r="K4301"/>
    </row>
    <row r="4302" spans="1:11">
      <c r="A4302"/>
      <c r="B4302"/>
      <c r="C4302"/>
      <c r="D4302"/>
      <c r="E4302"/>
      <c r="F4302"/>
      <c r="G4302"/>
      <c r="H4302"/>
      <c r="I4302"/>
      <c r="J4302"/>
      <c r="K4302"/>
    </row>
    <row r="4303" spans="1:11">
      <c r="A4303"/>
      <c r="B4303"/>
      <c r="C4303"/>
      <c r="D4303"/>
      <c r="E4303"/>
      <c r="F4303"/>
      <c r="G4303"/>
      <c r="H4303"/>
      <c r="I4303"/>
      <c r="J4303"/>
      <c r="K4303"/>
    </row>
    <row r="4304" spans="1:11">
      <c r="A4304"/>
      <c r="B4304"/>
      <c r="C4304"/>
      <c r="D4304"/>
      <c r="E4304"/>
      <c r="F4304"/>
      <c r="G4304"/>
      <c r="H4304"/>
      <c r="I4304"/>
      <c r="J4304"/>
      <c r="K4304"/>
    </row>
    <row r="4305" spans="1:11">
      <c r="A4305"/>
      <c r="B4305"/>
      <c r="C4305"/>
      <c r="D4305"/>
      <c r="E4305"/>
      <c r="F4305"/>
      <c r="G4305"/>
      <c r="H4305"/>
      <c r="I4305"/>
      <c r="J4305"/>
      <c r="K4305"/>
    </row>
    <row r="4306" spans="1:11">
      <c r="A4306"/>
      <c r="B4306"/>
      <c r="C4306"/>
      <c r="D4306"/>
      <c r="E4306"/>
      <c r="F4306"/>
      <c r="G4306"/>
      <c r="H4306"/>
      <c r="I4306"/>
      <c r="J4306"/>
      <c r="K4306"/>
    </row>
    <row r="4307" spans="1:11">
      <c r="A4307"/>
      <c r="B4307"/>
      <c r="C4307"/>
      <c r="D4307"/>
      <c r="E4307"/>
      <c r="F4307"/>
      <c r="G4307"/>
      <c r="H4307"/>
      <c r="I4307"/>
      <c r="J4307"/>
      <c r="K4307"/>
    </row>
    <row r="4308" spans="1:11">
      <c r="A4308"/>
      <c r="B4308"/>
      <c r="C4308"/>
      <c r="D4308"/>
      <c r="E4308"/>
      <c r="F4308"/>
      <c r="G4308"/>
      <c r="H4308"/>
      <c r="I4308"/>
      <c r="J4308"/>
      <c r="K4308"/>
    </row>
    <row r="4309" spans="1:11">
      <c r="A4309"/>
      <c r="B4309"/>
      <c r="C4309"/>
      <c r="D4309"/>
      <c r="E4309"/>
      <c r="F4309"/>
      <c r="G4309"/>
      <c r="H4309"/>
      <c r="I4309"/>
      <c r="J4309"/>
      <c r="K4309"/>
    </row>
    <row r="4310" spans="1:11">
      <c r="A4310"/>
      <c r="B4310"/>
      <c r="C4310"/>
      <c r="D4310"/>
      <c r="E4310"/>
      <c r="F4310"/>
      <c r="G4310"/>
      <c r="H4310"/>
      <c r="I4310"/>
      <c r="J4310"/>
      <c r="K4310"/>
    </row>
    <row r="4311" spans="1:11">
      <c r="A4311"/>
      <c r="B4311"/>
      <c r="C4311"/>
      <c r="D4311"/>
      <c r="E4311"/>
      <c r="F4311"/>
      <c r="G4311"/>
      <c r="H4311"/>
      <c r="I4311"/>
      <c r="J4311"/>
      <c r="K4311"/>
    </row>
    <row r="4312" spans="1:11">
      <c r="A4312"/>
      <c r="B4312"/>
      <c r="C4312"/>
      <c r="D4312"/>
      <c r="E4312"/>
      <c r="F4312"/>
      <c r="G4312"/>
      <c r="H4312"/>
      <c r="I4312"/>
      <c r="J4312"/>
      <c r="K4312"/>
    </row>
    <row r="4313" spans="1:11">
      <c r="A4313"/>
      <c r="B4313"/>
      <c r="C4313"/>
      <c r="D4313"/>
      <c r="E4313"/>
      <c r="F4313"/>
      <c r="G4313"/>
      <c r="H4313"/>
      <c r="I4313"/>
      <c r="J4313"/>
      <c r="K4313"/>
    </row>
    <row r="4314" spans="1:11">
      <c r="A4314"/>
      <c r="B4314"/>
      <c r="C4314"/>
      <c r="D4314"/>
      <c r="E4314"/>
      <c r="F4314"/>
      <c r="G4314"/>
      <c r="H4314"/>
      <c r="I4314"/>
      <c r="J4314"/>
      <c r="K4314"/>
    </row>
    <row r="4315" spans="1:11">
      <c r="A4315"/>
      <c r="B4315"/>
      <c r="C4315"/>
      <c r="D4315"/>
      <c r="E4315"/>
      <c r="F4315"/>
      <c r="G4315"/>
      <c r="H4315"/>
      <c r="I4315"/>
      <c r="J4315"/>
      <c r="K4315"/>
    </row>
    <row r="4316" spans="1:11">
      <c r="A4316"/>
      <c r="B4316"/>
      <c r="C4316"/>
      <c r="D4316"/>
      <c r="E4316"/>
      <c r="F4316"/>
      <c r="G4316"/>
      <c r="H4316"/>
      <c r="I4316"/>
      <c r="J4316"/>
      <c r="K4316"/>
    </row>
    <row r="4317" spans="1:11">
      <c r="A4317"/>
      <c r="B4317"/>
      <c r="C4317"/>
      <c r="D4317"/>
      <c r="E4317"/>
      <c r="F4317"/>
      <c r="G4317"/>
      <c r="H4317"/>
      <c r="I4317"/>
      <c r="J4317"/>
      <c r="K4317"/>
    </row>
    <row r="4318" spans="1:11">
      <c r="A4318"/>
      <c r="B4318"/>
      <c r="C4318"/>
      <c r="D4318"/>
      <c r="E4318"/>
      <c r="F4318"/>
      <c r="G4318"/>
      <c r="H4318"/>
      <c r="I4318"/>
      <c r="J4318"/>
      <c r="K4318"/>
    </row>
    <row r="4319" spans="1:11">
      <c r="A4319"/>
      <c r="B4319"/>
      <c r="C4319"/>
      <c r="D4319"/>
      <c r="E4319"/>
      <c r="F4319"/>
      <c r="G4319"/>
      <c r="H4319"/>
      <c r="I4319"/>
      <c r="J4319"/>
      <c r="K4319"/>
    </row>
    <row r="4320" spans="1:11">
      <c r="A4320"/>
      <c r="B4320"/>
      <c r="C4320"/>
      <c r="D4320"/>
      <c r="E4320"/>
      <c r="F4320"/>
      <c r="G4320"/>
      <c r="H4320"/>
      <c r="I4320"/>
      <c r="J4320"/>
      <c r="K4320"/>
    </row>
    <row r="4321" spans="1:11">
      <c r="A4321"/>
      <c r="B4321"/>
      <c r="C4321"/>
      <c r="D4321"/>
      <c r="E4321"/>
      <c r="F4321"/>
      <c r="G4321"/>
      <c r="H4321"/>
      <c r="I4321"/>
      <c r="J4321"/>
      <c r="K4321"/>
    </row>
    <row r="4322" spans="1:11">
      <c r="A4322"/>
      <c r="B4322"/>
      <c r="C4322"/>
      <c r="D4322"/>
      <c r="E4322"/>
      <c r="F4322"/>
      <c r="G4322"/>
      <c r="H4322"/>
      <c r="I4322"/>
      <c r="J4322"/>
      <c r="K4322"/>
    </row>
    <row r="4323" spans="1:11">
      <c r="A4323"/>
      <c r="B4323"/>
      <c r="C4323"/>
      <c r="D4323"/>
      <c r="E4323"/>
      <c r="F4323"/>
      <c r="G4323"/>
      <c r="H4323"/>
      <c r="I4323"/>
      <c r="J4323"/>
      <c r="K4323"/>
    </row>
    <row r="4324" spans="1:11">
      <c r="A4324"/>
      <c r="B4324"/>
      <c r="C4324"/>
      <c r="D4324"/>
      <c r="E4324"/>
      <c r="F4324"/>
      <c r="G4324"/>
      <c r="H4324"/>
      <c r="I4324"/>
      <c r="J4324"/>
      <c r="K4324"/>
    </row>
    <row r="4325" spans="1:11">
      <c r="A4325"/>
      <c r="B4325"/>
      <c r="C4325"/>
      <c r="D4325"/>
      <c r="E4325"/>
      <c r="F4325"/>
      <c r="G4325"/>
      <c r="H4325"/>
      <c r="I4325"/>
      <c r="J4325"/>
      <c r="K4325"/>
    </row>
    <row r="4326" spans="1:11">
      <c r="A4326"/>
      <c r="B4326"/>
      <c r="C4326"/>
      <c r="D4326"/>
      <c r="E4326"/>
      <c r="F4326"/>
      <c r="G4326"/>
      <c r="H4326"/>
      <c r="I4326"/>
      <c r="J4326"/>
      <c r="K4326"/>
    </row>
    <row r="4327" spans="1:11">
      <c r="A4327"/>
      <c r="B4327"/>
      <c r="C4327"/>
      <c r="D4327"/>
      <c r="E4327"/>
      <c r="F4327"/>
      <c r="G4327"/>
      <c r="H4327"/>
      <c r="I4327"/>
      <c r="J4327"/>
      <c r="K4327"/>
    </row>
    <row r="4328" spans="1:11">
      <c r="A4328"/>
      <c r="B4328"/>
      <c r="C4328"/>
      <c r="D4328"/>
      <c r="E4328"/>
      <c r="F4328"/>
      <c r="G4328"/>
      <c r="H4328"/>
      <c r="I4328"/>
      <c r="J4328"/>
      <c r="K4328"/>
    </row>
    <row r="4329" spans="1:11">
      <c r="A4329"/>
      <c r="B4329"/>
      <c r="C4329"/>
      <c r="D4329"/>
      <c r="E4329"/>
      <c r="F4329"/>
      <c r="G4329"/>
      <c r="H4329"/>
      <c r="I4329"/>
      <c r="J4329"/>
      <c r="K4329"/>
    </row>
    <row r="4330" spans="1:11">
      <c r="A4330"/>
      <c r="B4330"/>
      <c r="C4330"/>
      <c r="D4330"/>
      <c r="E4330"/>
      <c r="F4330"/>
      <c r="G4330"/>
      <c r="H4330"/>
      <c r="I4330"/>
      <c r="J4330"/>
      <c r="K4330"/>
    </row>
    <row r="4331" spans="1:11">
      <c r="A4331"/>
      <c r="B4331"/>
      <c r="C4331"/>
      <c r="D4331"/>
      <c r="E4331"/>
      <c r="F4331"/>
      <c r="G4331"/>
      <c r="H4331"/>
      <c r="I4331"/>
      <c r="J4331"/>
      <c r="K4331"/>
    </row>
    <row r="4332" spans="1:11">
      <c r="A4332"/>
      <c r="B4332"/>
      <c r="C4332"/>
      <c r="D4332"/>
      <c r="E4332"/>
      <c r="F4332"/>
      <c r="G4332"/>
      <c r="H4332"/>
      <c r="I4332"/>
      <c r="J4332"/>
      <c r="K4332"/>
    </row>
    <row r="4333" spans="1:11">
      <c r="A4333"/>
      <c r="B4333"/>
      <c r="C4333"/>
      <c r="D4333"/>
      <c r="E4333"/>
      <c r="F4333"/>
      <c r="G4333"/>
      <c r="H4333"/>
      <c r="I4333"/>
      <c r="J4333"/>
      <c r="K4333"/>
    </row>
    <row r="4334" spans="1:11">
      <c r="A4334"/>
      <c r="B4334"/>
      <c r="C4334"/>
      <c r="D4334"/>
      <c r="E4334"/>
      <c r="F4334"/>
      <c r="G4334"/>
      <c r="H4334"/>
      <c r="I4334"/>
      <c r="J4334"/>
      <c r="K4334"/>
    </row>
    <row r="4335" spans="1:11">
      <c r="A4335"/>
      <c r="B4335"/>
      <c r="C4335"/>
      <c r="D4335"/>
      <c r="E4335"/>
      <c r="F4335"/>
      <c r="G4335"/>
      <c r="H4335"/>
      <c r="I4335"/>
      <c r="J4335"/>
      <c r="K4335"/>
    </row>
    <row r="4336" spans="1:11">
      <c r="A4336"/>
      <c r="B4336"/>
      <c r="C4336"/>
      <c r="D4336"/>
      <c r="E4336"/>
      <c r="F4336"/>
      <c r="G4336"/>
      <c r="H4336"/>
      <c r="I4336"/>
      <c r="J4336"/>
      <c r="K4336"/>
    </row>
    <row r="4337" spans="1:11">
      <c r="A4337"/>
      <c r="B4337"/>
      <c r="C4337"/>
      <c r="D4337"/>
      <c r="E4337"/>
      <c r="F4337"/>
      <c r="G4337"/>
      <c r="H4337"/>
      <c r="I4337"/>
      <c r="J4337"/>
      <c r="K4337"/>
    </row>
    <row r="4338" spans="1:11">
      <c r="A4338"/>
      <c r="B4338"/>
      <c r="C4338"/>
      <c r="D4338"/>
      <c r="E4338"/>
      <c r="F4338"/>
      <c r="G4338"/>
      <c r="H4338"/>
      <c r="I4338"/>
      <c r="J4338"/>
      <c r="K4338"/>
    </row>
    <row r="4339" spans="1:11">
      <c r="A4339"/>
      <c r="B4339"/>
      <c r="C4339"/>
      <c r="D4339"/>
      <c r="E4339"/>
      <c r="F4339"/>
      <c r="G4339"/>
      <c r="H4339"/>
      <c r="I4339"/>
      <c r="J4339"/>
      <c r="K4339"/>
    </row>
    <row r="4340" spans="1:11">
      <c r="A4340"/>
      <c r="B4340"/>
      <c r="C4340"/>
      <c r="D4340"/>
      <c r="E4340"/>
      <c r="F4340"/>
      <c r="G4340"/>
      <c r="H4340"/>
      <c r="I4340"/>
      <c r="J4340"/>
      <c r="K4340"/>
    </row>
    <row r="4341" spans="1:11">
      <c r="A4341"/>
      <c r="B4341"/>
      <c r="C4341"/>
      <c r="D4341"/>
      <c r="E4341"/>
      <c r="F4341"/>
      <c r="G4341"/>
      <c r="H4341"/>
      <c r="I4341"/>
      <c r="J4341"/>
      <c r="K4341"/>
    </row>
    <row r="4342" spans="1:11">
      <c r="A4342"/>
      <c r="B4342"/>
      <c r="C4342"/>
      <c r="D4342"/>
      <c r="E4342"/>
      <c r="F4342"/>
      <c r="G4342"/>
      <c r="H4342"/>
      <c r="I4342"/>
      <c r="J4342"/>
      <c r="K4342"/>
    </row>
    <row r="4343" spans="1:11">
      <c r="A4343"/>
      <c r="B4343"/>
      <c r="C4343"/>
      <c r="D4343"/>
      <c r="E4343"/>
      <c r="F4343"/>
      <c r="G4343"/>
      <c r="H4343"/>
      <c r="I4343"/>
      <c r="J4343"/>
      <c r="K4343"/>
    </row>
    <row r="4344" spans="1:11">
      <c r="A4344"/>
      <c r="B4344"/>
      <c r="C4344"/>
      <c r="D4344"/>
      <c r="E4344"/>
      <c r="F4344"/>
      <c r="G4344"/>
      <c r="H4344"/>
      <c r="I4344"/>
      <c r="J4344"/>
      <c r="K4344"/>
    </row>
    <row r="4345" spans="1:11">
      <c r="A4345"/>
      <c r="B4345"/>
      <c r="C4345"/>
      <c r="D4345"/>
      <c r="E4345"/>
      <c r="F4345"/>
      <c r="G4345"/>
      <c r="H4345"/>
      <c r="I4345"/>
      <c r="J4345"/>
      <c r="K4345"/>
    </row>
    <row r="4346" spans="1:11">
      <c r="A4346"/>
      <c r="B4346"/>
      <c r="C4346"/>
      <c r="D4346"/>
      <c r="E4346"/>
      <c r="F4346"/>
      <c r="G4346"/>
      <c r="H4346"/>
      <c r="I4346"/>
      <c r="J4346"/>
      <c r="K4346"/>
    </row>
    <row r="4347" spans="1:11">
      <c r="A4347"/>
      <c r="B4347"/>
      <c r="C4347"/>
      <c r="D4347"/>
      <c r="E4347"/>
      <c r="F4347"/>
      <c r="G4347"/>
      <c r="H4347"/>
      <c r="I4347"/>
      <c r="J4347"/>
      <c r="K4347"/>
    </row>
    <row r="4348" spans="1:11">
      <c r="A4348"/>
      <c r="B4348"/>
      <c r="C4348"/>
      <c r="D4348"/>
      <c r="E4348"/>
      <c r="F4348"/>
      <c r="G4348"/>
      <c r="H4348"/>
      <c r="I4348"/>
      <c r="J4348"/>
      <c r="K4348"/>
    </row>
    <row r="4349" spans="1:11">
      <c r="A4349"/>
      <c r="B4349"/>
      <c r="C4349"/>
      <c r="D4349"/>
      <c r="E4349"/>
      <c r="F4349"/>
      <c r="G4349"/>
      <c r="H4349"/>
      <c r="I4349"/>
      <c r="J4349"/>
      <c r="K4349"/>
    </row>
    <row r="4350" spans="1:11">
      <c r="A4350"/>
      <c r="B4350"/>
      <c r="C4350"/>
      <c r="D4350"/>
      <c r="E4350"/>
      <c r="F4350"/>
      <c r="G4350"/>
      <c r="H4350"/>
      <c r="I4350"/>
      <c r="J4350"/>
      <c r="K4350"/>
    </row>
    <row r="4351" spans="1:11">
      <c r="A4351"/>
      <c r="B4351"/>
      <c r="C4351"/>
      <c r="D4351"/>
      <c r="E4351"/>
      <c r="F4351"/>
      <c r="G4351"/>
      <c r="H4351"/>
      <c r="I4351"/>
      <c r="J4351"/>
      <c r="K4351"/>
    </row>
    <row r="4352" spans="1:11">
      <c r="A4352"/>
      <c r="B4352"/>
      <c r="C4352"/>
      <c r="D4352"/>
      <c r="E4352"/>
      <c r="F4352"/>
      <c r="G4352"/>
      <c r="H4352"/>
      <c r="I4352"/>
      <c r="J4352"/>
      <c r="K4352"/>
    </row>
    <row r="4353" spans="1:11">
      <c r="A4353"/>
      <c r="B4353"/>
      <c r="C4353"/>
      <c r="D4353"/>
      <c r="E4353"/>
      <c r="F4353"/>
      <c r="G4353"/>
      <c r="H4353"/>
      <c r="I4353"/>
      <c r="J4353"/>
      <c r="K4353"/>
    </row>
    <row r="4354" spans="1:11">
      <c r="A4354"/>
      <c r="B4354"/>
      <c r="C4354"/>
      <c r="D4354"/>
      <c r="E4354"/>
      <c r="F4354"/>
      <c r="G4354"/>
      <c r="H4354"/>
      <c r="I4354"/>
      <c r="J4354"/>
      <c r="K4354"/>
    </row>
    <row r="4355" spans="1:11">
      <c r="A4355"/>
      <c r="B4355"/>
      <c r="C4355"/>
      <c r="D4355"/>
      <c r="E4355"/>
      <c r="F4355"/>
      <c r="G4355"/>
      <c r="H4355"/>
      <c r="I4355"/>
      <c r="J4355"/>
      <c r="K4355"/>
    </row>
    <row r="4356" spans="1:11">
      <c r="A4356"/>
      <c r="B4356"/>
      <c r="C4356"/>
      <c r="D4356"/>
      <c r="E4356"/>
      <c r="F4356"/>
      <c r="G4356"/>
      <c r="H4356"/>
      <c r="I4356"/>
      <c r="J4356"/>
      <c r="K4356"/>
    </row>
    <row r="4357" spans="1:11">
      <c r="A4357"/>
      <c r="B4357"/>
      <c r="C4357"/>
      <c r="D4357"/>
      <c r="E4357"/>
      <c r="F4357"/>
      <c r="G4357"/>
      <c r="H4357"/>
      <c r="I4357"/>
      <c r="J4357"/>
      <c r="K4357"/>
    </row>
    <row r="4358" spans="1:11">
      <c r="A4358"/>
      <c r="B4358"/>
      <c r="C4358"/>
      <c r="D4358"/>
      <c r="E4358"/>
      <c r="F4358"/>
      <c r="G4358"/>
      <c r="H4358"/>
      <c r="I4358"/>
      <c r="J4358"/>
      <c r="K4358"/>
    </row>
    <row r="4359" spans="1:11">
      <c r="A4359"/>
      <c r="B4359"/>
      <c r="C4359"/>
      <c r="D4359"/>
      <c r="E4359"/>
      <c r="F4359"/>
      <c r="G4359"/>
      <c r="H4359"/>
      <c r="I4359"/>
      <c r="J4359"/>
      <c r="K4359"/>
    </row>
    <row r="4360" spans="1:11">
      <c r="A4360"/>
      <c r="B4360"/>
      <c r="C4360"/>
      <c r="D4360"/>
      <c r="E4360"/>
      <c r="F4360"/>
      <c r="G4360"/>
      <c r="H4360"/>
      <c r="I4360"/>
      <c r="J4360"/>
      <c r="K4360"/>
    </row>
    <row r="4361" spans="1:11">
      <c r="A4361"/>
      <c r="B4361"/>
      <c r="C4361"/>
      <c r="D4361"/>
      <c r="E4361"/>
      <c r="F4361"/>
      <c r="G4361"/>
      <c r="H4361"/>
      <c r="I4361"/>
      <c r="J4361"/>
      <c r="K4361"/>
    </row>
    <row r="4362" spans="1:11">
      <c r="A4362"/>
      <c r="B4362"/>
      <c r="C4362"/>
      <c r="D4362"/>
      <c r="E4362"/>
      <c r="F4362"/>
      <c r="G4362"/>
      <c r="H4362"/>
      <c r="I4362"/>
      <c r="J4362"/>
      <c r="K4362"/>
    </row>
    <row r="4363" spans="1:11">
      <c r="A4363"/>
      <c r="B4363"/>
      <c r="C4363"/>
      <c r="D4363"/>
      <c r="E4363"/>
      <c r="F4363"/>
      <c r="G4363"/>
      <c r="H4363"/>
      <c r="I4363"/>
      <c r="J4363"/>
      <c r="K4363"/>
    </row>
    <row r="4364" spans="1:11">
      <c r="A4364"/>
      <c r="B4364"/>
      <c r="C4364"/>
      <c r="D4364"/>
      <c r="E4364"/>
      <c r="F4364"/>
      <c r="G4364"/>
      <c r="H4364"/>
      <c r="I4364"/>
      <c r="J4364"/>
      <c r="K4364"/>
    </row>
    <row r="4365" spans="1:11">
      <c r="A4365"/>
      <c r="B4365"/>
      <c r="C4365"/>
      <c r="D4365"/>
      <c r="E4365"/>
      <c r="F4365"/>
      <c r="G4365"/>
      <c r="H4365"/>
      <c r="I4365"/>
      <c r="J4365"/>
      <c r="K4365"/>
    </row>
    <row r="4366" spans="1:11">
      <c r="A4366"/>
      <c r="B4366"/>
      <c r="C4366"/>
      <c r="D4366"/>
      <c r="E4366"/>
      <c r="F4366"/>
      <c r="G4366"/>
      <c r="H4366"/>
      <c r="I4366"/>
      <c r="J4366"/>
      <c r="K4366"/>
    </row>
    <row r="4367" spans="1:11">
      <c r="A4367"/>
      <c r="B4367"/>
      <c r="C4367"/>
      <c r="D4367"/>
      <c r="E4367"/>
      <c r="F4367"/>
      <c r="G4367"/>
      <c r="H4367"/>
      <c r="I4367"/>
      <c r="J4367"/>
      <c r="K4367"/>
    </row>
    <row r="4368" spans="1:11">
      <c r="A4368"/>
      <c r="B4368"/>
      <c r="C4368"/>
      <c r="D4368"/>
      <c r="E4368"/>
      <c r="F4368"/>
      <c r="G4368"/>
      <c r="H4368"/>
      <c r="I4368"/>
      <c r="J4368"/>
      <c r="K4368"/>
    </row>
    <row r="4369" spans="1:11">
      <c r="A4369"/>
      <c r="B4369"/>
      <c r="C4369"/>
      <c r="D4369"/>
      <c r="E4369"/>
      <c r="F4369"/>
      <c r="G4369"/>
      <c r="H4369"/>
      <c r="I4369"/>
      <c r="J4369"/>
      <c r="K4369"/>
    </row>
    <row r="4370" spans="1:11">
      <c r="A4370"/>
      <c r="B4370"/>
      <c r="C4370"/>
      <c r="D4370"/>
      <c r="E4370"/>
      <c r="F4370"/>
      <c r="G4370"/>
      <c r="H4370"/>
      <c r="I4370"/>
      <c r="J4370"/>
      <c r="K4370"/>
    </row>
    <row r="4371" spans="1:11">
      <c r="A4371"/>
      <c r="B4371"/>
      <c r="C4371"/>
      <c r="D4371"/>
      <c r="E4371"/>
      <c r="F4371"/>
      <c r="G4371"/>
      <c r="H4371"/>
      <c r="I4371"/>
      <c r="J4371"/>
      <c r="K4371"/>
    </row>
    <row r="4372" spans="1:11">
      <c r="A4372"/>
      <c r="B4372"/>
      <c r="C4372"/>
      <c r="D4372"/>
      <c r="E4372"/>
      <c r="F4372"/>
      <c r="G4372"/>
      <c r="H4372"/>
      <c r="I4372"/>
      <c r="J4372"/>
      <c r="K4372"/>
    </row>
    <row r="4373" spans="1:11">
      <c r="A4373"/>
      <c r="B4373"/>
      <c r="C4373"/>
      <c r="D4373"/>
      <c r="E4373"/>
      <c r="F4373"/>
      <c r="G4373"/>
      <c r="H4373"/>
      <c r="I4373"/>
      <c r="J4373"/>
      <c r="K4373"/>
    </row>
    <row r="4374" spans="1:11">
      <c r="A4374"/>
      <c r="B4374"/>
      <c r="C4374"/>
      <c r="D4374"/>
      <c r="E4374"/>
      <c r="F4374"/>
      <c r="G4374"/>
      <c r="H4374"/>
      <c r="I4374"/>
      <c r="J4374"/>
      <c r="K4374"/>
    </row>
    <row r="4375" spans="1:11">
      <c r="A4375"/>
      <c r="B4375"/>
      <c r="C4375"/>
      <c r="D4375"/>
      <c r="E4375"/>
      <c r="F4375"/>
      <c r="G4375"/>
      <c r="H4375"/>
      <c r="I4375"/>
      <c r="J4375"/>
      <c r="K4375"/>
    </row>
    <row r="4376" spans="1:11">
      <c r="A4376"/>
      <c r="B4376"/>
      <c r="C4376"/>
      <c r="D4376"/>
      <c r="E4376"/>
      <c r="F4376"/>
      <c r="G4376"/>
      <c r="H4376"/>
      <c r="I4376"/>
      <c r="J4376"/>
      <c r="K4376"/>
    </row>
    <row r="4377" spans="1:11">
      <c r="A4377"/>
      <c r="B4377"/>
      <c r="C4377"/>
      <c r="D4377"/>
      <c r="E4377"/>
      <c r="F4377"/>
      <c r="G4377"/>
      <c r="H4377"/>
      <c r="I4377"/>
      <c r="J4377"/>
      <c r="K4377"/>
    </row>
    <row r="4378" spans="1:11">
      <c r="A4378"/>
      <c r="B4378"/>
      <c r="C4378"/>
      <c r="D4378"/>
      <c r="E4378"/>
      <c r="F4378"/>
      <c r="G4378"/>
      <c r="H4378"/>
      <c r="I4378"/>
      <c r="J4378"/>
      <c r="K4378"/>
    </row>
    <row r="4379" spans="1:11">
      <c r="A4379"/>
      <c r="B4379"/>
      <c r="C4379"/>
      <c r="D4379"/>
      <c r="E4379"/>
      <c r="F4379"/>
      <c r="G4379"/>
      <c r="H4379"/>
      <c r="I4379"/>
      <c r="J4379"/>
      <c r="K4379"/>
    </row>
    <row r="4380" spans="1:11">
      <c r="A4380"/>
      <c r="B4380"/>
      <c r="C4380"/>
      <c r="D4380"/>
      <c r="E4380"/>
      <c r="F4380"/>
      <c r="G4380"/>
      <c r="H4380"/>
      <c r="I4380"/>
      <c r="J4380"/>
      <c r="K4380"/>
    </row>
    <row r="4381" spans="1:11">
      <c r="A4381"/>
      <c r="B4381"/>
      <c r="C4381"/>
      <c r="D4381"/>
      <c r="E4381"/>
      <c r="F4381"/>
      <c r="G4381"/>
      <c r="H4381"/>
      <c r="I4381"/>
      <c r="J4381"/>
      <c r="K4381"/>
    </row>
    <row r="4382" spans="1:11">
      <c r="A4382"/>
      <c r="B4382"/>
      <c r="C4382"/>
      <c r="D4382"/>
      <c r="E4382"/>
      <c r="F4382"/>
      <c r="G4382"/>
      <c r="H4382"/>
      <c r="I4382"/>
      <c r="J4382"/>
      <c r="K4382"/>
    </row>
    <row r="4383" spans="1:11">
      <c r="A4383"/>
      <c r="B4383"/>
      <c r="C4383"/>
      <c r="D4383"/>
      <c r="E4383"/>
      <c r="F4383"/>
      <c r="G4383"/>
      <c r="H4383"/>
      <c r="I4383"/>
      <c r="J4383"/>
      <c r="K4383"/>
    </row>
    <row r="4384" spans="1:11">
      <c r="A4384"/>
      <c r="B4384"/>
      <c r="C4384"/>
      <c r="D4384"/>
      <c r="E4384"/>
      <c r="F4384"/>
      <c r="G4384"/>
      <c r="H4384"/>
      <c r="I4384"/>
      <c r="J4384"/>
      <c r="K4384"/>
    </row>
    <row r="4385" spans="1:11">
      <c r="A4385"/>
      <c r="B4385"/>
      <c r="C4385"/>
      <c r="D4385"/>
      <c r="E4385"/>
      <c r="F4385"/>
      <c r="G4385"/>
      <c r="H4385"/>
      <c r="I4385"/>
      <c r="J4385"/>
      <c r="K4385"/>
    </row>
    <row r="4386" spans="1:11">
      <c r="A4386"/>
      <c r="B4386"/>
      <c r="C4386"/>
      <c r="D4386"/>
      <c r="E4386"/>
      <c r="F4386"/>
      <c r="G4386"/>
      <c r="H4386"/>
      <c r="I4386"/>
      <c r="J4386"/>
      <c r="K4386"/>
    </row>
    <row r="4387" spans="1:11">
      <c r="A4387"/>
      <c r="B4387"/>
      <c r="C4387"/>
      <c r="D4387"/>
      <c r="E4387"/>
      <c r="F4387"/>
      <c r="G4387"/>
      <c r="H4387"/>
      <c r="I4387"/>
      <c r="J4387"/>
      <c r="K4387"/>
    </row>
    <row r="4388" spans="1:11">
      <c r="A4388"/>
      <c r="B4388"/>
      <c r="C4388"/>
      <c r="D4388"/>
      <c r="E4388"/>
      <c r="F4388"/>
      <c r="G4388"/>
      <c r="H4388"/>
      <c r="I4388"/>
      <c r="J4388"/>
      <c r="K4388"/>
    </row>
    <row r="4389" spans="1:11">
      <c r="A4389"/>
      <c r="B4389"/>
      <c r="C4389"/>
      <c r="D4389"/>
      <c r="E4389"/>
      <c r="F4389"/>
      <c r="G4389"/>
      <c r="H4389"/>
      <c r="I4389"/>
      <c r="J4389"/>
      <c r="K4389"/>
    </row>
    <row r="4390" spans="1:11">
      <c r="A4390"/>
      <c r="B4390"/>
      <c r="C4390"/>
      <c r="D4390"/>
      <c r="E4390"/>
      <c r="F4390"/>
      <c r="G4390"/>
      <c r="H4390"/>
      <c r="I4390"/>
      <c r="J4390"/>
      <c r="K4390"/>
    </row>
    <row r="4391" spans="1:11">
      <c r="A4391"/>
      <c r="B4391"/>
      <c r="C4391"/>
      <c r="D4391"/>
      <c r="E4391"/>
      <c r="F4391"/>
      <c r="G4391"/>
      <c r="H4391"/>
      <c r="I4391"/>
      <c r="J4391"/>
      <c r="K4391"/>
    </row>
    <row r="4392" spans="1:11">
      <c r="A4392"/>
      <c r="B4392"/>
      <c r="C4392"/>
      <c r="D4392"/>
      <c r="E4392"/>
      <c r="F4392"/>
      <c r="G4392"/>
      <c r="H4392"/>
      <c r="I4392"/>
      <c r="J4392"/>
      <c r="K4392"/>
    </row>
    <row r="4393" spans="1:11">
      <c r="A4393"/>
      <c r="B4393"/>
      <c r="C4393"/>
      <c r="D4393"/>
      <c r="E4393"/>
      <c r="F4393"/>
      <c r="G4393"/>
      <c r="H4393"/>
      <c r="I4393"/>
      <c r="J4393"/>
      <c r="K4393"/>
    </row>
    <row r="4394" spans="1:11">
      <c r="A4394"/>
      <c r="B4394"/>
      <c r="C4394"/>
      <c r="D4394"/>
      <c r="E4394"/>
      <c r="F4394"/>
      <c r="G4394"/>
      <c r="H4394"/>
      <c r="I4394"/>
      <c r="J4394"/>
      <c r="K4394"/>
    </row>
    <row r="4395" spans="1:11">
      <c r="A4395"/>
      <c r="B4395"/>
      <c r="C4395"/>
      <c r="D4395"/>
      <c r="E4395"/>
      <c r="F4395"/>
      <c r="G4395"/>
      <c r="H4395"/>
      <c r="I4395"/>
      <c r="J4395"/>
      <c r="K4395"/>
    </row>
    <row r="4396" spans="1:11">
      <c r="A4396"/>
      <c r="B4396"/>
      <c r="C4396"/>
      <c r="D4396"/>
      <c r="E4396"/>
      <c r="F4396"/>
      <c r="G4396"/>
      <c r="H4396"/>
      <c r="I4396"/>
      <c r="J4396"/>
      <c r="K4396"/>
    </row>
    <row r="4397" spans="1:11">
      <c r="A4397"/>
      <c r="B4397"/>
      <c r="C4397"/>
      <c r="D4397"/>
      <c r="E4397"/>
      <c r="F4397"/>
      <c r="G4397"/>
      <c r="H4397"/>
      <c r="I4397"/>
      <c r="J4397"/>
      <c r="K4397"/>
    </row>
    <row r="4398" spans="1:11">
      <c r="A4398"/>
      <c r="B4398"/>
      <c r="C4398"/>
      <c r="D4398"/>
      <c r="E4398"/>
      <c r="F4398"/>
      <c r="G4398"/>
      <c r="H4398"/>
      <c r="I4398"/>
      <c r="J4398"/>
      <c r="K4398"/>
    </row>
    <row r="4399" spans="1:11">
      <c r="A4399"/>
      <c r="B4399"/>
      <c r="C4399"/>
      <c r="D4399"/>
      <c r="E4399"/>
      <c r="F4399"/>
      <c r="G4399"/>
      <c r="H4399"/>
      <c r="I4399"/>
      <c r="J4399"/>
      <c r="K4399"/>
    </row>
    <row r="4400" spans="1:11">
      <c r="A4400"/>
      <c r="B4400"/>
      <c r="C4400"/>
      <c r="D4400"/>
      <c r="E4400"/>
      <c r="F4400"/>
      <c r="G4400"/>
      <c r="H4400"/>
      <c r="I4400"/>
      <c r="J4400"/>
      <c r="K4400"/>
    </row>
    <row r="4401" spans="1:11">
      <c r="A4401"/>
      <c r="B4401"/>
      <c r="C4401"/>
      <c r="D4401"/>
      <c r="E4401"/>
      <c r="F4401"/>
      <c r="G4401"/>
      <c r="H4401"/>
      <c r="I4401"/>
      <c r="J4401"/>
      <c r="K4401"/>
    </row>
    <row r="4402" spans="1:11">
      <c r="A4402"/>
      <c r="B4402"/>
      <c r="C4402"/>
      <c r="D4402"/>
      <c r="E4402"/>
      <c r="F4402"/>
      <c r="G4402"/>
      <c r="H4402"/>
      <c r="I4402"/>
      <c r="J4402"/>
      <c r="K4402"/>
    </row>
    <row r="4403" spans="1:11">
      <c r="A4403"/>
      <c r="B4403"/>
      <c r="C4403"/>
      <c r="D4403"/>
      <c r="E4403"/>
      <c r="F4403"/>
      <c r="G4403"/>
      <c r="H4403"/>
      <c r="I4403"/>
      <c r="J4403"/>
      <c r="K4403"/>
    </row>
    <row r="4404" spans="1:11">
      <c r="A4404"/>
      <c r="B4404"/>
      <c r="C4404"/>
      <c r="D4404"/>
      <c r="E4404"/>
      <c r="F4404"/>
      <c r="G4404"/>
      <c r="H4404"/>
      <c r="I4404"/>
      <c r="J4404"/>
      <c r="K4404"/>
    </row>
    <row r="4405" spans="1:11">
      <c r="A4405"/>
      <c r="B4405"/>
      <c r="C4405"/>
      <c r="D4405"/>
      <c r="E4405"/>
      <c r="F4405"/>
      <c r="G4405"/>
      <c r="H4405"/>
      <c r="I4405"/>
      <c r="J4405"/>
      <c r="K4405"/>
    </row>
    <row r="4406" spans="1:11">
      <c r="A4406"/>
      <c r="B4406"/>
      <c r="C4406"/>
      <c r="D4406"/>
      <c r="E4406"/>
      <c r="F4406"/>
      <c r="G4406"/>
      <c r="H4406"/>
      <c r="I4406"/>
      <c r="J4406"/>
      <c r="K4406"/>
    </row>
    <row r="4407" spans="1:11">
      <c r="A4407"/>
      <c r="B4407"/>
      <c r="C4407"/>
      <c r="D4407"/>
      <c r="E4407"/>
      <c r="F4407"/>
      <c r="G4407"/>
      <c r="H4407"/>
      <c r="I4407"/>
      <c r="J4407"/>
      <c r="K4407"/>
    </row>
    <row r="4408" spans="1:11">
      <c r="A4408"/>
      <c r="B4408"/>
      <c r="C4408"/>
      <c r="D4408"/>
      <c r="E4408"/>
      <c r="F4408"/>
      <c r="G4408"/>
      <c r="H4408"/>
      <c r="I4408"/>
      <c r="J4408"/>
      <c r="K4408"/>
    </row>
    <row r="4409" spans="1:11">
      <c r="A4409"/>
      <c r="B4409"/>
      <c r="C4409"/>
      <c r="D4409"/>
      <c r="E4409"/>
      <c r="F4409"/>
      <c r="G4409"/>
      <c r="H4409"/>
      <c r="I4409"/>
      <c r="J4409"/>
      <c r="K4409"/>
    </row>
    <row r="4410" spans="1:11">
      <c r="A4410"/>
      <c r="B4410"/>
      <c r="C4410"/>
      <c r="D4410"/>
      <c r="E4410"/>
      <c r="F4410"/>
      <c r="G4410"/>
      <c r="H4410"/>
      <c r="I4410"/>
      <c r="J4410"/>
      <c r="K4410"/>
    </row>
    <row r="4411" spans="1:11">
      <c r="A4411"/>
      <c r="B4411"/>
      <c r="C4411"/>
      <c r="D4411"/>
      <c r="E4411"/>
      <c r="F4411"/>
      <c r="G4411"/>
      <c r="H4411"/>
      <c r="I4411"/>
      <c r="J4411"/>
      <c r="K4411"/>
    </row>
    <row r="4412" spans="1:11">
      <c r="A4412"/>
      <c r="B4412"/>
      <c r="C4412"/>
      <c r="D4412"/>
      <c r="E4412"/>
      <c r="F4412"/>
      <c r="G4412"/>
      <c r="H4412"/>
      <c r="I4412"/>
      <c r="J4412"/>
      <c r="K4412"/>
    </row>
    <row r="4413" spans="1:11">
      <c r="A4413"/>
      <c r="B4413"/>
      <c r="C4413"/>
      <c r="D4413"/>
      <c r="E4413"/>
      <c r="F4413"/>
      <c r="G4413"/>
      <c r="H4413"/>
      <c r="I4413"/>
      <c r="J4413"/>
      <c r="K4413"/>
    </row>
    <row r="4414" spans="1:11">
      <c r="A4414"/>
      <c r="B4414"/>
      <c r="C4414"/>
      <c r="D4414"/>
      <c r="E4414"/>
      <c r="F4414"/>
      <c r="G4414"/>
      <c r="H4414"/>
      <c r="I4414"/>
      <c r="J4414"/>
      <c r="K4414"/>
    </row>
    <row r="4415" spans="1:11">
      <c r="A4415"/>
      <c r="B4415"/>
      <c r="C4415"/>
      <c r="D4415"/>
      <c r="E4415"/>
      <c r="F4415"/>
      <c r="G4415"/>
      <c r="H4415"/>
      <c r="I4415"/>
      <c r="J4415"/>
      <c r="K4415"/>
    </row>
    <row r="4416" spans="1:11">
      <c r="A4416"/>
      <c r="B4416"/>
      <c r="C4416"/>
      <c r="D4416"/>
      <c r="E4416"/>
      <c r="F4416"/>
      <c r="G4416"/>
      <c r="H4416"/>
      <c r="I4416"/>
      <c r="J4416"/>
      <c r="K4416"/>
    </row>
    <row r="4417" spans="1:11">
      <c r="A4417"/>
      <c r="B4417"/>
      <c r="C4417"/>
      <c r="D4417"/>
      <c r="E4417"/>
      <c r="F4417"/>
      <c r="G4417"/>
      <c r="H4417"/>
      <c r="I4417"/>
      <c r="J4417"/>
      <c r="K4417"/>
    </row>
    <row r="4418" spans="1:11">
      <c r="A4418"/>
      <c r="B4418"/>
      <c r="C4418"/>
      <c r="D4418"/>
      <c r="E4418"/>
      <c r="F4418"/>
      <c r="G4418"/>
      <c r="H4418"/>
      <c r="I4418"/>
      <c r="J4418"/>
      <c r="K4418"/>
    </row>
    <row r="4419" spans="1:11">
      <c r="A4419"/>
      <c r="B4419"/>
      <c r="C4419"/>
      <c r="D4419"/>
      <c r="E4419"/>
      <c r="F4419"/>
      <c r="G4419"/>
      <c r="H4419"/>
      <c r="I4419"/>
      <c r="J4419"/>
      <c r="K4419"/>
    </row>
    <row r="4420" spans="1:11">
      <c r="A4420"/>
      <c r="B4420"/>
      <c r="C4420"/>
      <c r="D4420"/>
      <c r="E4420"/>
      <c r="F4420"/>
      <c r="G4420"/>
      <c r="H4420"/>
      <c r="I4420"/>
      <c r="J4420"/>
      <c r="K4420"/>
    </row>
    <row r="4421" spans="1:11">
      <c r="A4421"/>
      <c r="B4421"/>
      <c r="C4421"/>
      <c r="D4421"/>
      <c r="E4421"/>
      <c r="F4421"/>
      <c r="G4421"/>
      <c r="H4421"/>
      <c r="I4421"/>
      <c r="J4421"/>
      <c r="K4421"/>
    </row>
    <row r="4422" spans="1:11">
      <c r="A4422"/>
      <c r="B4422"/>
      <c r="C4422"/>
      <c r="D4422"/>
      <c r="E4422"/>
      <c r="F4422"/>
      <c r="G4422"/>
      <c r="H4422"/>
      <c r="I4422"/>
      <c r="J4422"/>
      <c r="K4422"/>
    </row>
    <row r="4423" spans="1:11">
      <c r="A4423"/>
      <c r="B4423"/>
      <c r="C4423"/>
      <c r="D4423"/>
      <c r="E4423"/>
      <c r="F4423"/>
      <c r="G4423"/>
      <c r="H4423"/>
      <c r="I4423"/>
      <c r="J4423"/>
      <c r="K4423"/>
    </row>
    <row r="4424" spans="1:11">
      <c r="A4424"/>
      <c r="B4424"/>
      <c r="C4424"/>
      <c r="D4424"/>
      <c r="E4424"/>
      <c r="F4424"/>
      <c r="G4424"/>
      <c r="H4424"/>
      <c r="I4424"/>
      <c r="J4424"/>
      <c r="K4424"/>
    </row>
    <row r="4425" spans="1:11">
      <c r="A4425"/>
      <c r="B4425"/>
      <c r="C4425"/>
      <c r="D4425"/>
      <c r="E4425"/>
      <c r="F4425"/>
      <c r="G4425"/>
      <c r="H4425"/>
      <c r="I4425"/>
      <c r="J4425"/>
      <c r="K4425"/>
    </row>
    <row r="4426" spans="1:11">
      <c r="A4426"/>
      <c r="B4426"/>
      <c r="C4426"/>
      <c r="D4426"/>
      <c r="E4426"/>
      <c r="F4426"/>
      <c r="G4426"/>
      <c r="H4426"/>
      <c r="I4426"/>
      <c r="J4426"/>
      <c r="K4426"/>
    </row>
    <row r="4427" spans="1:11">
      <c r="A4427"/>
      <c r="B4427"/>
      <c r="C4427"/>
      <c r="D4427"/>
      <c r="E4427"/>
      <c r="F4427"/>
      <c r="G4427"/>
      <c r="H4427"/>
      <c r="I4427"/>
      <c r="J4427"/>
      <c r="K4427"/>
    </row>
    <row r="4428" spans="1:11">
      <c r="A4428"/>
      <c r="B4428"/>
      <c r="C4428"/>
      <c r="D4428"/>
      <c r="E4428"/>
      <c r="F4428"/>
      <c r="G4428"/>
      <c r="H4428"/>
      <c r="I4428"/>
      <c r="J4428"/>
      <c r="K4428"/>
    </row>
    <row r="4429" spans="1:11">
      <c r="A4429"/>
      <c r="B4429"/>
      <c r="C4429"/>
      <c r="D4429"/>
      <c r="E4429"/>
      <c r="F4429"/>
      <c r="G4429"/>
      <c r="H4429"/>
      <c r="I4429"/>
      <c r="J4429"/>
      <c r="K4429"/>
    </row>
    <row r="4430" spans="1:11">
      <c r="A4430"/>
      <c r="B4430"/>
      <c r="C4430"/>
      <c r="D4430"/>
      <c r="E4430"/>
      <c r="F4430"/>
      <c r="G4430"/>
      <c r="H4430"/>
      <c r="I4430"/>
      <c r="J4430"/>
      <c r="K4430"/>
    </row>
    <row r="4431" spans="1:11">
      <c r="A4431"/>
      <c r="B4431"/>
      <c r="C4431"/>
      <c r="D4431"/>
      <c r="E4431"/>
      <c r="F4431"/>
      <c r="G4431"/>
      <c r="H4431"/>
      <c r="I4431"/>
      <c r="J4431"/>
      <c r="K4431"/>
    </row>
    <row r="4432" spans="1:11">
      <c r="A4432"/>
      <c r="B4432"/>
      <c r="C4432"/>
      <c r="D4432"/>
      <c r="E4432"/>
      <c r="F4432"/>
      <c r="G4432"/>
      <c r="H4432"/>
      <c r="I4432"/>
      <c r="J4432"/>
      <c r="K4432"/>
    </row>
    <row r="4433" spans="1:11">
      <c r="A4433"/>
      <c r="B4433"/>
      <c r="C4433"/>
      <c r="D4433"/>
      <c r="E4433"/>
      <c r="F4433"/>
      <c r="G4433"/>
      <c r="H4433"/>
      <c r="I4433"/>
      <c r="J4433"/>
      <c r="K4433"/>
    </row>
    <row r="4434" spans="1:11">
      <c r="A4434"/>
      <c r="B4434"/>
      <c r="C4434"/>
      <c r="D4434"/>
      <c r="E4434"/>
      <c r="F4434"/>
      <c r="G4434"/>
      <c r="H4434"/>
      <c r="I4434"/>
      <c r="J4434"/>
      <c r="K4434"/>
    </row>
    <row r="4435" spans="1:11">
      <c r="A4435"/>
      <c r="B4435"/>
      <c r="C4435"/>
      <c r="D4435"/>
      <c r="E4435"/>
      <c r="F4435"/>
      <c r="G4435"/>
      <c r="H4435"/>
      <c r="I4435"/>
      <c r="J4435"/>
      <c r="K4435"/>
    </row>
    <row r="4436" spans="1:11">
      <c r="A4436"/>
      <c r="B4436"/>
      <c r="C4436"/>
      <c r="D4436"/>
      <c r="E4436"/>
      <c r="F4436"/>
      <c r="G4436"/>
      <c r="H4436"/>
      <c r="I4436"/>
      <c r="J4436"/>
      <c r="K4436"/>
    </row>
    <row r="4437" spans="1:11">
      <c r="A4437"/>
      <c r="B4437"/>
      <c r="C4437"/>
      <c r="D4437"/>
      <c r="E4437"/>
      <c r="F4437"/>
      <c r="G4437"/>
      <c r="H4437"/>
      <c r="I4437"/>
      <c r="J4437"/>
      <c r="K4437"/>
    </row>
    <row r="4438" spans="1:11">
      <c r="A4438"/>
      <c r="B4438"/>
      <c r="C4438"/>
      <c r="D4438"/>
      <c r="E4438"/>
      <c r="F4438"/>
      <c r="G4438"/>
      <c r="H4438"/>
      <c r="I4438"/>
      <c r="J4438"/>
      <c r="K4438"/>
    </row>
    <row r="4439" spans="1:11">
      <c r="A4439"/>
      <c r="B4439"/>
      <c r="C4439"/>
      <c r="D4439"/>
      <c r="E4439"/>
      <c r="F4439"/>
      <c r="G4439"/>
      <c r="H4439"/>
      <c r="I4439"/>
      <c r="J4439"/>
      <c r="K4439"/>
    </row>
    <row r="4440" spans="1:11">
      <c r="A4440"/>
      <c r="B4440"/>
      <c r="C4440"/>
      <c r="D4440"/>
      <c r="E4440"/>
      <c r="F4440"/>
      <c r="G4440"/>
      <c r="H4440"/>
      <c r="I4440"/>
      <c r="J4440"/>
      <c r="K4440"/>
    </row>
    <row r="4441" spans="1:11">
      <c r="A4441"/>
      <c r="B4441"/>
      <c r="C4441"/>
      <c r="D4441"/>
      <c r="E4441"/>
      <c r="F4441"/>
      <c r="G4441"/>
      <c r="H4441"/>
      <c r="I4441"/>
      <c r="J4441"/>
      <c r="K4441"/>
    </row>
    <row r="4442" spans="1:11">
      <c r="A4442"/>
      <c r="B4442"/>
      <c r="C4442"/>
      <c r="D4442"/>
      <c r="E4442"/>
      <c r="F4442"/>
      <c r="G4442"/>
      <c r="H4442"/>
      <c r="I4442"/>
      <c r="J4442"/>
      <c r="K4442"/>
    </row>
    <row r="4443" spans="1:11">
      <c r="A4443"/>
      <c r="B4443"/>
      <c r="C4443"/>
      <c r="D4443"/>
      <c r="E4443"/>
      <c r="F4443"/>
      <c r="G4443"/>
      <c r="H4443"/>
      <c r="I4443"/>
      <c r="J4443"/>
      <c r="K4443"/>
    </row>
    <row r="4444" spans="1:11">
      <c r="A4444"/>
      <c r="B4444"/>
      <c r="C4444"/>
      <c r="D4444"/>
      <c r="E4444"/>
      <c r="F4444"/>
      <c r="G4444"/>
      <c r="H4444"/>
      <c r="I4444"/>
      <c r="J4444"/>
      <c r="K4444"/>
    </row>
    <row r="4445" spans="1:11">
      <c r="A4445"/>
      <c r="B4445"/>
      <c r="C4445"/>
      <c r="D4445"/>
      <c r="E4445"/>
      <c r="F4445"/>
      <c r="G4445"/>
      <c r="H4445"/>
      <c r="I4445"/>
      <c r="J4445"/>
      <c r="K4445"/>
    </row>
    <row r="4446" spans="1:11">
      <c r="A4446"/>
      <c r="B4446"/>
      <c r="C4446"/>
      <c r="D4446"/>
      <c r="E4446"/>
      <c r="F4446"/>
      <c r="G4446"/>
      <c r="H4446"/>
      <c r="I4446"/>
      <c r="J4446"/>
      <c r="K4446"/>
    </row>
    <row r="4447" spans="1:11">
      <c r="A4447"/>
      <c r="B4447"/>
      <c r="C4447"/>
      <c r="D4447"/>
      <c r="E4447"/>
      <c r="F4447"/>
      <c r="G4447"/>
      <c r="H4447"/>
      <c r="I4447"/>
      <c r="J4447"/>
      <c r="K4447"/>
    </row>
    <row r="4448" spans="1:11">
      <c r="A4448"/>
      <c r="B4448"/>
      <c r="C4448"/>
      <c r="D4448"/>
      <c r="E4448"/>
      <c r="F4448"/>
      <c r="G4448"/>
      <c r="H4448"/>
      <c r="I4448"/>
      <c r="J4448"/>
      <c r="K4448"/>
    </row>
    <row r="4449" spans="1:11">
      <c r="A4449"/>
      <c r="B4449"/>
      <c r="C4449"/>
      <c r="D4449"/>
      <c r="E4449"/>
      <c r="F4449"/>
      <c r="G4449"/>
      <c r="H4449"/>
      <c r="I4449"/>
      <c r="J4449"/>
      <c r="K4449"/>
    </row>
    <row r="4450" spans="1:11">
      <c r="A4450"/>
      <c r="B4450"/>
      <c r="C4450"/>
      <c r="D4450"/>
      <c r="E4450"/>
      <c r="F4450"/>
      <c r="G4450"/>
      <c r="H4450"/>
      <c r="I4450"/>
      <c r="J4450"/>
      <c r="K4450"/>
    </row>
    <row r="4451" spans="1:11">
      <c r="A4451"/>
      <c r="B4451"/>
      <c r="C4451"/>
      <c r="D4451"/>
      <c r="E4451"/>
      <c r="F4451"/>
      <c r="G4451"/>
      <c r="H4451"/>
      <c r="I4451"/>
      <c r="J4451"/>
      <c r="K4451"/>
    </row>
    <row r="4452" spans="1:11">
      <c r="A4452"/>
      <c r="B4452"/>
      <c r="C4452"/>
      <c r="D4452"/>
      <c r="E4452"/>
      <c r="F4452"/>
      <c r="G4452"/>
      <c r="H4452"/>
      <c r="I4452"/>
      <c r="J4452"/>
      <c r="K4452"/>
    </row>
    <row r="4453" spans="1:11">
      <c r="A4453"/>
      <c r="B4453"/>
      <c r="C4453"/>
      <c r="D4453"/>
      <c r="E4453"/>
      <c r="F4453"/>
      <c r="G4453"/>
      <c r="H4453"/>
      <c r="I4453"/>
      <c r="J4453"/>
      <c r="K4453"/>
    </row>
    <row r="4454" spans="1:11">
      <c r="A4454"/>
      <c r="B4454"/>
      <c r="C4454"/>
      <c r="D4454"/>
      <c r="E4454"/>
      <c r="F4454"/>
      <c r="G4454"/>
      <c r="H4454"/>
      <c r="I4454"/>
      <c r="J4454"/>
      <c r="K4454"/>
    </row>
    <row r="4455" spans="1:11">
      <c r="A4455"/>
      <c r="B4455"/>
      <c r="C4455"/>
      <c r="D4455"/>
      <c r="E4455"/>
      <c r="F4455"/>
      <c r="G4455"/>
      <c r="H4455"/>
      <c r="I4455"/>
      <c r="J4455"/>
      <c r="K4455"/>
    </row>
    <row r="4456" spans="1:11">
      <c r="A4456"/>
      <c r="B4456"/>
      <c r="C4456"/>
      <c r="D4456"/>
      <c r="E4456"/>
      <c r="F4456"/>
      <c r="G4456"/>
      <c r="H4456"/>
      <c r="I4456"/>
      <c r="J4456"/>
      <c r="K4456"/>
    </row>
    <row r="4457" spans="1:11">
      <c r="A4457"/>
      <c r="B4457"/>
      <c r="C4457"/>
      <c r="D4457"/>
      <c r="E4457"/>
      <c r="F4457"/>
      <c r="G4457"/>
      <c r="H4457"/>
      <c r="I4457"/>
      <c r="J4457"/>
      <c r="K4457"/>
    </row>
    <row r="4458" spans="1:11">
      <c r="A4458"/>
      <c r="B4458"/>
      <c r="C4458"/>
      <c r="D4458"/>
      <c r="E4458"/>
      <c r="F4458"/>
      <c r="G4458"/>
      <c r="H4458"/>
      <c r="I4458"/>
      <c r="J4458"/>
      <c r="K4458"/>
    </row>
    <row r="4459" spans="1:11">
      <c r="A4459"/>
      <c r="B4459"/>
      <c r="C4459"/>
      <c r="D4459"/>
      <c r="E4459"/>
      <c r="F4459"/>
      <c r="G4459"/>
      <c r="H4459"/>
      <c r="I4459"/>
      <c r="J4459"/>
      <c r="K4459"/>
    </row>
    <row r="4460" spans="1:11">
      <c r="A4460"/>
      <c r="B4460"/>
      <c r="C4460"/>
      <c r="D4460"/>
      <c r="E4460"/>
      <c r="F4460"/>
      <c r="G4460"/>
      <c r="H4460"/>
      <c r="I4460"/>
      <c r="J4460"/>
      <c r="K4460"/>
    </row>
    <row r="4461" spans="1:11">
      <c r="A4461"/>
      <c r="B4461"/>
      <c r="C4461"/>
      <c r="D4461"/>
      <c r="E4461"/>
      <c r="F4461"/>
      <c r="G4461"/>
      <c r="H4461"/>
      <c r="I4461"/>
      <c r="J4461"/>
      <c r="K4461"/>
    </row>
    <row r="4462" spans="1:11">
      <c r="A4462"/>
      <c r="B4462"/>
      <c r="C4462"/>
      <c r="D4462"/>
      <c r="E4462"/>
      <c r="F4462"/>
      <c r="G4462"/>
      <c r="H4462"/>
      <c r="I4462"/>
      <c r="J4462"/>
      <c r="K4462"/>
    </row>
    <row r="4463" spans="1:11">
      <c r="A4463"/>
      <c r="B4463"/>
      <c r="C4463"/>
      <c r="D4463"/>
      <c r="E4463"/>
      <c r="F4463"/>
      <c r="G4463"/>
      <c r="H4463"/>
      <c r="I4463"/>
      <c r="J4463"/>
      <c r="K4463"/>
    </row>
    <row r="4464" spans="1:11">
      <c r="A4464"/>
      <c r="B4464"/>
      <c r="C4464"/>
      <c r="D4464"/>
      <c r="E4464"/>
      <c r="F4464"/>
      <c r="G4464"/>
      <c r="H4464"/>
      <c r="I4464"/>
      <c r="J4464"/>
      <c r="K4464"/>
    </row>
    <row r="4465" spans="1:11">
      <c r="A4465"/>
      <c r="B4465"/>
      <c r="C4465"/>
      <c r="D4465"/>
      <c r="E4465"/>
      <c r="F4465"/>
      <c r="G4465"/>
      <c r="H4465"/>
      <c r="I4465"/>
      <c r="J4465"/>
      <c r="K4465"/>
    </row>
    <row r="4466" spans="1:11">
      <c r="A4466"/>
      <c r="B4466"/>
      <c r="C4466"/>
      <c r="D4466"/>
      <c r="E4466"/>
      <c r="F4466"/>
      <c r="G4466"/>
      <c r="H4466"/>
      <c r="I4466"/>
      <c r="J4466"/>
      <c r="K4466"/>
    </row>
    <row r="4467" spans="1:11">
      <c r="A4467"/>
      <c r="B4467"/>
      <c r="C4467"/>
      <c r="D4467"/>
      <c r="E4467"/>
      <c r="F4467"/>
      <c r="G4467"/>
      <c r="H4467"/>
      <c r="I4467"/>
      <c r="J4467"/>
      <c r="K4467"/>
    </row>
    <row r="4468" spans="1:11">
      <c r="A4468"/>
      <c r="B4468"/>
      <c r="C4468"/>
      <c r="D4468"/>
      <c r="E4468"/>
      <c r="F4468"/>
      <c r="G4468"/>
      <c r="H4468"/>
      <c r="I4468"/>
      <c r="J4468"/>
      <c r="K4468"/>
    </row>
    <row r="4469" spans="1:11">
      <c r="A4469"/>
      <c r="B4469"/>
      <c r="C4469"/>
      <c r="D4469"/>
      <c r="E4469"/>
      <c r="F4469"/>
      <c r="G4469"/>
      <c r="H4469"/>
      <c r="I4469"/>
      <c r="J4469"/>
      <c r="K4469"/>
    </row>
    <row r="4470" spans="1:11">
      <c r="A4470"/>
      <c r="B4470"/>
      <c r="C4470"/>
      <c r="D4470"/>
      <c r="E4470"/>
      <c r="F4470"/>
      <c r="G4470"/>
      <c r="H4470"/>
      <c r="I4470"/>
      <c r="J4470"/>
      <c r="K4470"/>
    </row>
    <row r="4471" spans="1:11">
      <c r="A4471"/>
      <c r="B4471"/>
      <c r="C4471"/>
      <c r="D4471"/>
      <c r="E4471"/>
      <c r="F4471"/>
      <c r="G4471"/>
      <c r="H4471"/>
      <c r="I4471"/>
      <c r="J4471"/>
      <c r="K4471"/>
    </row>
    <row r="4472" spans="1:11">
      <c r="A4472"/>
      <c r="B4472"/>
      <c r="C4472"/>
      <c r="D4472"/>
      <c r="E4472"/>
      <c r="F4472"/>
      <c r="G4472"/>
      <c r="H4472"/>
      <c r="I4472"/>
      <c r="J4472"/>
      <c r="K4472"/>
    </row>
    <row r="4473" spans="1:11">
      <c r="A4473"/>
      <c r="B4473"/>
      <c r="C4473"/>
      <c r="D4473"/>
      <c r="E4473"/>
      <c r="F4473"/>
      <c r="G4473"/>
      <c r="H4473"/>
      <c r="I4473"/>
      <c r="J4473"/>
      <c r="K4473"/>
    </row>
    <row r="4474" spans="1:11">
      <c r="A4474"/>
      <c r="B4474"/>
      <c r="C4474"/>
      <c r="D4474"/>
      <c r="E4474"/>
      <c r="F4474"/>
      <c r="G4474"/>
      <c r="H4474"/>
      <c r="I4474"/>
      <c r="J4474"/>
      <c r="K4474"/>
    </row>
    <row r="4475" spans="1:11">
      <c r="A4475"/>
      <c r="B4475"/>
      <c r="C4475"/>
      <c r="D4475"/>
      <c r="E4475"/>
      <c r="F4475"/>
      <c r="G4475"/>
      <c r="H4475"/>
      <c r="I4475"/>
      <c r="J4475"/>
      <c r="K4475"/>
    </row>
    <row r="4476" spans="1:11">
      <c r="A4476"/>
      <c r="B4476"/>
      <c r="C4476"/>
      <c r="D4476"/>
      <c r="E4476"/>
      <c r="F4476"/>
      <c r="G4476"/>
      <c r="H4476"/>
      <c r="I4476"/>
      <c r="J4476"/>
      <c r="K4476"/>
    </row>
    <row r="4477" spans="1:11">
      <c r="A4477"/>
      <c r="B4477"/>
      <c r="C4477"/>
      <c r="D4477"/>
      <c r="E4477"/>
      <c r="F4477"/>
      <c r="G4477"/>
      <c r="H4477"/>
      <c r="I4477"/>
      <c r="J4477"/>
      <c r="K4477"/>
    </row>
    <row r="4478" spans="1:11">
      <c r="A4478"/>
      <c r="B4478"/>
      <c r="C4478"/>
      <c r="D4478"/>
      <c r="E4478"/>
      <c r="F4478"/>
      <c r="G4478"/>
      <c r="H4478"/>
      <c r="I4478"/>
      <c r="J4478"/>
      <c r="K4478"/>
    </row>
    <row r="4479" spans="1:11">
      <c r="A4479"/>
      <c r="B4479"/>
      <c r="C4479"/>
      <c r="D4479"/>
      <c r="E4479"/>
      <c r="F4479"/>
      <c r="G4479"/>
      <c r="H4479"/>
      <c r="I4479"/>
      <c r="J4479"/>
      <c r="K4479"/>
    </row>
    <row r="4480" spans="1:11">
      <c r="A4480"/>
      <c r="B4480"/>
      <c r="C4480"/>
      <c r="D4480"/>
      <c r="E4480"/>
      <c r="F4480"/>
      <c r="G4480"/>
      <c r="H4480"/>
      <c r="I4480"/>
      <c r="J4480"/>
      <c r="K4480"/>
    </row>
    <row r="4481" spans="1:11">
      <c r="A4481"/>
      <c r="B4481"/>
      <c r="C4481"/>
      <c r="D4481"/>
      <c r="E4481"/>
      <c r="F4481"/>
      <c r="G4481"/>
      <c r="H4481"/>
      <c r="I4481"/>
      <c r="J4481"/>
      <c r="K4481"/>
    </row>
    <row r="4482" spans="1:11">
      <c r="A4482"/>
      <c r="B4482"/>
      <c r="C4482"/>
      <c r="D4482"/>
      <c r="E4482"/>
      <c r="F4482"/>
      <c r="G4482"/>
      <c r="H4482"/>
      <c r="I4482"/>
      <c r="J4482"/>
      <c r="K4482"/>
    </row>
    <row r="4483" spans="1:11">
      <c r="A4483"/>
      <c r="B4483"/>
      <c r="C4483"/>
      <c r="D4483"/>
      <c r="E4483"/>
      <c r="F4483"/>
      <c r="G4483"/>
      <c r="H4483"/>
      <c r="I4483"/>
      <c r="J4483"/>
      <c r="K4483"/>
    </row>
    <row r="4484" spans="1:11">
      <c r="A4484"/>
      <c r="B4484"/>
      <c r="C4484"/>
      <c r="D4484"/>
      <c r="E4484"/>
      <c r="F4484"/>
      <c r="G4484"/>
      <c r="H4484"/>
      <c r="I4484"/>
      <c r="J4484"/>
      <c r="K4484"/>
    </row>
    <row r="4485" spans="1:11">
      <c r="A4485"/>
      <c r="B4485"/>
      <c r="C4485"/>
      <c r="D4485"/>
      <c r="E4485"/>
      <c r="F4485"/>
      <c r="G4485"/>
      <c r="H4485"/>
      <c r="I4485"/>
      <c r="J4485"/>
      <c r="K4485"/>
    </row>
    <row r="4486" spans="1:11">
      <c r="A4486"/>
      <c r="B4486"/>
      <c r="C4486"/>
      <c r="D4486"/>
      <c r="E4486"/>
      <c r="F4486"/>
      <c r="G4486"/>
      <c r="H4486"/>
      <c r="I4486"/>
      <c r="J4486"/>
      <c r="K4486"/>
    </row>
    <row r="4487" spans="1:11">
      <c r="A4487"/>
      <c r="B4487"/>
      <c r="C4487"/>
      <c r="D4487"/>
      <c r="E4487"/>
      <c r="F4487"/>
      <c r="G4487"/>
      <c r="H4487"/>
      <c r="I4487"/>
      <c r="J4487"/>
      <c r="K4487"/>
    </row>
    <row r="4488" spans="1:11">
      <c r="A4488"/>
      <c r="B4488"/>
      <c r="C4488"/>
      <c r="D4488"/>
      <c r="E4488"/>
      <c r="F4488"/>
      <c r="G4488"/>
      <c r="H4488"/>
      <c r="I4488"/>
      <c r="J4488"/>
      <c r="K4488"/>
    </row>
    <row r="4489" spans="1:11">
      <c r="A4489"/>
      <c r="B4489"/>
      <c r="C4489"/>
      <c r="D4489"/>
      <c r="E4489"/>
      <c r="F4489"/>
      <c r="G4489"/>
      <c r="H4489"/>
      <c r="I4489"/>
      <c r="J4489"/>
      <c r="K4489"/>
    </row>
    <row r="4490" spans="1:11">
      <c r="A4490"/>
      <c r="B4490"/>
      <c r="C4490"/>
      <c r="D4490"/>
      <c r="E4490"/>
      <c r="F4490"/>
      <c r="G4490"/>
      <c r="H4490"/>
      <c r="I4490"/>
      <c r="J4490"/>
      <c r="K4490"/>
    </row>
    <row r="4491" spans="1:11">
      <c r="A4491"/>
      <c r="B4491"/>
      <c r="C4491"/>
      <c r="D4491"/>
      <c r="E4491"/>
      <c r="F4491"/>
      <c r="G4491"/>
      <c r="H4491"/>
      <c r="I4491"/>
      <c r="J4491"/>
      <c r="K4491"/>
    </row>
    <row r="4492" spans="1:11">
      <c r="A4492"/>
      <c r="B4492"/>
      <c r="C4492"/>
      <c r="D4492"/>
      <c r="E4492"/>
      <c r="F4492"/>
      <c r="G4492"/>
      <c r="H4492"/>
      <c r="I4492"/>
      <c r="J4492"/>
      <c r="K4492"/>
    </row>
    <row r="4493" spans="1:11">
      <c r="A4493"/>
      <c r="B4493"/>
      <c r="C4493"/>
      <c r="D4493"/>
      <c r="E4493"/>
      <c r="F4493"/>
      <c r="G4493"/>
      <c r="H4493"/>
      <c r="I4493"/>
      <c r="J4493"/>
      <c r="K4493"/>
    </row>
    <row r="4494" spans="1:11">
      <c r="A4494"/>
      <c r="B4494"/>
      <c r="C4494"/>
      <c r="D4494"/>
      <c r="E4494"/>
      <c r="F4494"/>
      <c r="G4494"/>
      <c r="H4494"/>
      <c r="I4494"/>
      <c r="J4494"/>
      <c r="K4494"/>
    </row>
    <row r="4495" spans="1:11">
      <c r="A4495"/>
      <c r="B4495"/>
      <c r="C4495"/>
      <c r="D4495"/>
      <c r="E4495"/>
      <c r="F4495"/>
      <c r="G4495"/>
      <c r="H4495"/>
      <c r="I4495"/>
      <c r="J4495"/>
      <c r="K4495"/>
    </row>
    <row r="4496" spans="1:11">
      <c r="A4496"/>
      <c r="B4496"/>
      <c r="C4496"/>
      <c r="D4496"/>
      <c r="E4496"/>
      <c r="F4496"/>
      <c r="G4496"/>
      <c r="H4496"/>
      <c r="I4496"/>
      <c r="J4496"/>
      <c r="K4496"/>
    </row>
    <row r="4497" spans="1:11">
      <c r="A4497"/>
      <c r="B4497"/>
      <c r="C4497"/>
      <c r="D4497"/>
      <c r="E4497"/>
      <c r="F4497"/>
      <c r="G4497"/>
      <c r="H4497"/>
      <c r="I4497"/>
      <c r="J4497"/>
      <c r="K4497"/>
    </row>
    <row r="4498" spans="1:11">
      <c r="A4498"/>
      <c r="B4498"/>
      <c r="C4498"/>
      <c r="D4498"/>
      <c r="E4498"/>
      <c r="F4498"/>
      <c r="G4498"/>
      <c r="H4498"/>
      <c r="I4498"/>
      <c r="J4498"/>
      <c r="K4498"/>
    </row>
    <row r="4499" spans="1:11">
      <c r="A4499"/>
      <c r="B4499"/>
      <c r="C4499"/>
      <c r="D4499"/>
      <c r="E4499"/>
      <c r="F4499"/>
      <c r="G4499"/>
      <c r="H4499"/>
      <c r="I4499"/>
      <c r="J4499"/>
      <c r="K4499"/>
    </row>
    <row r="4500" spans="1:11">
      <c r="A4500"/>
      <c r="B4500"/>
      <c r="C4500"/>
      <c r="D4500"/>
      <c r="E4500"/>
      <c r="F4500"/>
      <c r="G4500"/>
      <c r="H4500"/>
      <c r="I4500"/>
      <c r="J4500"/>
      <c r="K4500"/>
    </row>
    <row r="4501" spans="1:11">
      <c r="A4501"/>
      <c r="B4501"/>
      <c r="C4501"/>
      <c r="D4501"/>
      <c r="E4501"/>
      <c r="F4501"/>
      <c r="G4501"/>
      <c r="H4501"/>
      <c r="I4501"/>
      <c r="J4501"/>
      <c r="K4501"/>
    </row>
    <row r="4502" spans="1:11">
      <c r="A4502"/>
      <c r="B4502"/>
      <c r="C4502"/>
      <c r="D4502"/>
      <c r="E4502"/>
      <c r="F4502"/>
      <c r="G4502"/>
      <c r="H4502"/>
      <c r="I4502"/>
      <c r="J4502"/>
      <c r="K4502"/>
    </row>
    <row r="4503" spans="1:11">
      <c r="A4503"/>
      <c r="B4503"/>
      <c r="C4503"/>
      <c r="D4503"/>
      <c r="E4503"/>
      <c r="F4503"/>
      <c r="G4503"/>
      <c r="H4503"/>
      <c r="I4503"/>
      <c r="J4503"/>
      <c r="K4503"/>
    </row>
    <row r="4504" spans="1:11">
      <c r="A4504"/>
      <c r="B4504"/>
      <c r="C4504"/>
      <c r="D4504"/>
      <c r="E4504"/>
      <c r="F4504"/>
      <c r="G4504"/>
      <c r="H4504"/>
      <c r="I4504"/>
      <c r="J4504"/>
      <c r="K4504"/>
    </row>
    <row r="4505" spans="1:11">
      <c r="A4505"/>
      <c r="B4505"/>
      <c r="C4505"/>
      <c r="D4505"/>
      <c r="E4505"/>
      <c r="F4505"/>
      <c r="G4505"/>
      <c r="H4505"/>
      <c r="I4505"/>
      <c r="J4505"/>
      <c r="K4505"/>
    </row>
    <row r="4506" spans="1:11">
      <c r="A4506"/>
      <c r="B4506"/>
      <c r="C4506"/>
      <c r="D4506"/>
      <c r="E4506"/>
      <c r="F4506"/>
      <c r="G4506"/>
      <c r="H4506"/>
      <c r="I4506"/>
      <c r="J4506"/>
      <c r="K4506"/>
    </row>
    <row r="4507" spans="1:11">
      <c r="A4507"/>
      <c r="B4507"/>
      <c r="C4507"/>
      <c r="D4507"/>
      <c r="E4507"/>
      <c r="F4507"/>
      <c r="G4507"/>
      <c r="H4507"/>
      <c r="I4507"/>
      <c r="J4507"/>
      <c r="K4507"/>
    </row>
    <row r="4508" spans="1:11">
      <c r="A4508"/>
      <c r="B4508"/>
      <c r="C4508"/>
      <c r="D4508"/>
      <c r="E4508"/>
      <c r="F4508"/>
      <c r="G4508"/>
      <c r="H4508"/>
      <c r="I4508"/>
      <c r="J4508"/>
      <c r="K4508"/>
    </row>
    <row r="4509" spans="1:11">
      <c r="A4509"/>
      <c r="B4509"/>
      <c r="C4509"/>
      <c r="D4509"/>
      <c r="E4509"/>
      <c r="F4509"/>
      <c r="G4509"/>
      <c r="H4509"/>
      <c r="I4509"/>
      <c r="J4509"/>
      <c r="K4509"/>
    </row>
    <row r="4510" spans="1:11">
      <c r="A4510"/>
      <c r="B4510"/>
      <c r="C4510"/>
      <c r="D4510"/>
      <c r="E4510"/>
      <c r="F4510"/>
      <c r="G4510"/>
      <c r="H4510"/>
      <c r="I4510"/>
      <c r="J4510"/>
      <c r="K4510"/>
    </row>
    <row r="4511" spans="1:11">
      <c r="A4511"/>
      <c r="B4511"/>
      <c r="C4511"/>
      <c r="D4511"/>
      <c r="E4511"/>
      <c r="F4511"/>
      <c r="G4511"/>
      <c r="H4511"/>
      <c r="I4511"/>
      <c r="J4511"/>
      <c r="K4511"/>
    </row>
    <row r="4512" spans="1:11">
      <c r="A4512"/>
      <c r="B4512"/>
      <c r="C4512"/>
      <c r="D4512"/>
      <c r="E4512"/>
      <c r="F4512"/>
      <c r="G4512"/>
      <c r="H4512"/>
      <c r="I4512"/>
      <c r="J4512"/>
      <c r="K4512"/>
    </row>
    <row r="4513" spans="1:11">
      <c r="A4513"/>
      <c r="B4513"/>
      <c r="C4513"/>
      <c r="D4513"/>
      <c r="E4513"/>
      <c r="F4513"/>
      <c r="G4513"/>
      <c r="H4513"/>
      <c r="I4513"/>
      <c r="J4513"/>
      <c r="K4513"/>
    </row>
    <row r="4514" spans="1:11">
      <c r="A4514"/>
      <c r="B4514"/>
      <c r="C4514"/>
      <c r="D4514"/>
      <c r="E4514"/>
      <c r="F4514"/>
      <c r="G4514"/>
      <c r="H4514"/>
      <c r="I4514"/>
      <c r="J4514"/>
      <c r="K4514"/>
    </row>
    <row r="4515" spans="1:11">
      <c r="A4515"/>
      <c r="B4515"/>
      <c r="C4515"/>
      <c r="D4515"/>
      <c r="E4515"/>
      <c r="F4515"/>
      <c r="G4515"/>
      <c r="H4515"/>
      <c r="I4515"/>
      <c r="J4515"/>
      <c r="K4515"/>
    </row>
    <row r="4516" spans="1:11">
      <c r="A4516"/>
      <c r="B4516"/>
      <c r="C4516"/>
      <c r="D4516"/>
      <c r="E4516"/>
      <c r="F4516"/>
      <c r="G4516"/>
      <c r="H4516"/>
      <c r="I4516"/>
      <c r="J4516"/>
      <c r="K4516"/>
    </row>
    <row r="4517" spans="1:11">
      <c r="A4517"/>
      <c r="B4517"/>
      <c r="C4517"/>
      <c r="D4517"/>
      <c r="E4517"/>
      <c r="F4517"/>
      <c r="G4517"/>
      <c r="H4517"/>
      <c r="I4517"/>
      <c r="J4517"/>
      <c r="K4517"/>
    </row>
    <row r="4518" spans="1:11">
      <c r="A4518"/>
      <c r="B4518"/>
      <c r="C4518"/>
      <c r="D4518"/>
      <c r="E4518"/>
      <c r="F4518"/>
      <c r="G4518"/>
      <c r="H4518"/>
      <c r="I4518"/>
      <c r="J4518"/>
      <c r="K4518"/>
    </row>
    <row r="4519" spans="1:11">
      <c r="A4519"/>
      <c r="B4519"/>
      <c r="C4519"/>
      <c r="D4519"/>
      <c r="E4519"/>
      <c r="F4519"/>
      <c r="G4519"/>
      <c r="H4519"/>
      <c r="I4519"/>
      <c r="J4519"/>
      <c r="K4519"/>
    </row>
    <row r="4520" spans="1:11">
      <c r="A4520"/>
      <c r="B4520"/>
      <c r="C4520"/>
      <c r="D4520"/>
      <c r="E4520"/>
      <c r="F4520"/>
      <c r="G4520"/>
      <c r="H4520"/>
      <c r="I4520"/>
      <c r="J4520"/>
      <c r="K4520"/>
    </row>
    <row r="4521" spans="1:11">
      <c r="A4521"/>
      <c r="B4521"/>
      <c r="C4521"/>
      <c r="D4521"/>
      <c r="E4521"/>
      <c r="F4521"/>
      <c r="G4521"/>
      <c r="H4521"/>
      <c r="I4521"/>
      <c r="J4521"/>
      <c r="K4521"/>
    </row>
    <row r="4522" spans="1:11">
      <c r="A4522"/>
      <c r="B4522"/>
      <c r="C4522"/>
      <c r="D4522"/>
      <c r="E4522"/>
      <c r="F4522"/>
      <c r="G4522"/>
      <c r="H4522"/>
      <c r="I4522"/>
      <c r="J4522"/>
      <c r="K4522"/>
    </row>
    <row r="4523" spans="1:11">
      <c r="A4523"/>
      <c r="B4523"/>
      <c r="C4523"/>
      <c r="D4523"/>
      <c r="E4523"/>
      <c r="F4523"/>
      <c r="G4523"/>
      <c r="H4523"/>
      <c r="I4523"/>
      <c r="J4523"/>
      <c r="K4523"/>
    </row>
    <row r="4524" spans="1:11">
      <c r="A4524"/>
      <c r="B4524"/>
      <c r="C4524"/>
      <c r="D4524"/>
      <c r="E4524"/>
      <c r="F4524"/>
      <c r="G4524"/>
      <c r="H4524"/>
      <c r="I4524"/>
      <c r="J4524"/>
      <c r="K4524"/>
    </row>
    <row r="4525" spans="1:11">
      <c r="A4525"/>
      <c r="B4525"/>
      <c r="C4525"/>
      <c r="D4525"/>
      <c r="E4525"/>
      <c r="F4525"/>
      <c r="G4525"/>
      <c r="H4525"/>
      <c r="I4525"/>
      <c r="J4525"/>
      <c r="K4525"/>
    </row>
    <row r="4526" spans="1:11">
      <c r="A4526"/>
      <c r="B4526"/>
      <c r="C4526"/>
      <c r="D4526"/>
      <c r="E4526"/>
      <c r="F4526"/>
      <c r="G4526"/>
      <c r="H4526"/>
      <c r="I4526"/>
      <c r="J4526"/>
      <c r="K4526"/>
    </row>
    <row r="4527" spans="1:11">
      <c r="A4527"/>
      <c r="B4527"/>
      <c r="C4527"/>
      <c r="D4527"/>
      <c r="E4527"/>
      <c r="F4527"/>
      <c r="G4527"/>
      <c r="H4527"/>
      <c r="I4527"/>
      <c r="J4527"/>
      <c r="K4527"/>
    </row>
    <row r="4528" spans="1:11">
      <c r="A4528"/>
      <c r="B4528"/>
      <c r="C4528"/>
      <c r="D4528"/>
      <c r="E4528"/>
      <c r="F4528"/>
      <c r="G4528"/>
      <c r="H4528"/>
      <c r="I4528"/>
      <c r="J4528"/>
      <c r="K4528"/>
    </row>
    <row r="4529" spans="1:11">
      <c r="A4529"/>
      <c r="B4529"/>
      <c r="C4529"/>
      <c r="D4529"/>
      <c r="E4529"/>
      <c r="F4529"/>
      <c r="G4529"/>
      <c r="H4529"/>
      <c r="I4529"/>
      <c r="J4529"/>
      <c r="K4529"/>
    </row>
    <row r="4530" spans="1:11">
      <c r="A4530"/>
      <c r="B4530"/>
      <c r="C4530"/>
      <c r="D4530"/>
      <c r="E4530"/>
      <c r="F4530"/>
      <c r="G4530"/>
      <c r="H4530"/>
      <c r="I4530"/>
      <c r="J4530"/>
      <c r="K4530"/>
    </row>
    <row r="4531" spans="1:11">
      <c r="A4531"/>
      <c r="B4531"/>
      <c r="C4531"/>
      <c r="D4531"/>
      <c r="E4531"/>
      <c r="F4531"/>
      <c r="G4531"/>
      <c r="H4531"/>
      <c r="I4531"/>
      <c r="J4531"/>
      <c r="K4531"/>
    </row>
    <row r="4532" spans="1:11">
      <c r="A4532"/>
      <c r="B4532"/>
      <c r="C4532"/>
      <c r="D4532"/>
      <c r="E4532"/>
      <c r="F4532"/>
      <c r="G4532"/>
      <c r="H4532"/>
      <c r="I4532"/>
      <c r="J4532"/>
      <c r="K4532"/>
    </row>
    <row r="4533" spans="1:11">
      <c r="A4533"/>
      <c r="B4533"/>
      <c r="C4533"/>
      <c r="D4533"/>
      <c r="E4533"/>
      <c r="F4533"/>
      <c r="G4533"/>
      <c r="H4533"/>
      <c r="I4533"/>
      <c r="J4533"/>
      <c r="K4533"/>
    </row>
    <row r="4534" spans="1:11">
      <c r="A4534"/>
      <c r="B4534"/>
      <c r="C4534"/>
      <c r="D4534"/>
      <c r="E4534"/>
      <c r="F4534"/>
      <c r="G4534"/>
      <c r="H4534"/>
      <c r="I4534"/>
      <c r="J4534"/>
      <c r="K4534"/>
    </row>
    <row r="4535" spans="1:11">
      <c r="A4535"/>
      <c r="B4535"/>
      <c r="C4535"/>
      <c r="D4535"/>
      <c r="E4535"/>
      <c r="F4535"/>
      <c r="G4535"/>
      <c r="H4535"/>
      <c r="I4535"/>
      <c r="J4535"/>
      <c r="K4535"/>
    </row>
    <row r="4536" spans="1:11">
      <c r="A4536"/>
      <c r="B4536"/>
      <c r="C4536"/>
      <c r="D4536"/>
      <c r="E4536"/>
      <c r="F4536"/>
      <c r="G4536"/>
      <c r="H4536"/>
      <c r="I4536"/>
      <c r="J4536"/>
      <c r="K4536"/>
    </row>
    <row r="4537" spans="1:11">
      <c r="A4537"/>
      <c r="B4537"/>
      <c r="C4537"/>
      <c r="D4537"/>
      <c r="E4537"/>
      <c r="F4537"/>
      <c r="G4537"/>
      <c r="H4537"/>
      <c r="I4537"/>
      <c r="J4537"/>
      <c r="K4537"/>
    </row>
    <row r="4538" spans="1:11">
      <c r="A4538"/>
      <c r="B4538"/>
      <c r="C4538"/>
      <c r="D4538"/>
      <c r="E4538"/>
      <c r="F4538"/>
      <c r="G4538"/>
      <c r="H4538"/>
      <c r="I4538"/>
      <c r="J4538"/>
      <c r="K4538"/>
    </row>
    <row r="4539" spans="1:11">
      <c r="A4539"/>
      <c r="B4539"/>
      <c r="C4539"/>
      <c r="D4539"/>
      <c r="E4539"/>
      <c r="F4539"/>
      <c r="G4539"/>
      <c r="H4539"/>
      <c r="I4539"/>
      <c r="J4539"/>
      <c r="K4539"/>
    </row>
    <row r="4540" spans="1:11">
      <c r="A4540"/>
      <c r="B4540"/>
      <c r="C4540"/>
      <c r="D4540"/>
      <c r="E4540"/>
      <c r="F4540"/>
      <c r="G4540"/>
      <c r="H4540"/>
      <c r="I4540"/>
      <c r="J4540"/>
      <c r="K4540"/>
    </row>
    <row r="4541" spans="1:11">
      <c r="A4541"/>
      <c r="B4541"/>
      <c r="C4541"/>
      <c r="D4541"/>
      <c r="E4541"/>
      <c r="F4541"/>
      <c r="G4541"/>
      <c r="H4541"/>
      <c r="I4541"/>
      <c r="J4541"/>
      <c r="K4541"/>
    </row>
    <row r="4542" spans="1:11">
      <c r="A4542"/>
      <c r="B4542"/>
      <c r="C4542"/>
      <c r="D4542"/>
      <c r="E4542"/>
      <c r="F4542"/>
      <c r="G4542"/>
      <c r="H4542"/>
      <c r="I4542"/>
      <c r="J4542"/>
      <c r="K4542"/>
    </row>
    <row r="4543" spans="1:11">
      <c r="A4543"/>
      <c r="B4543"/>
      <c r="C4543"/>
      <c r="D4543"/>
      <c r="E4543"/>
      <c r="F4543"/>
      <c r="G4543"/>
      <c r="H4543"/>
      <c r="I4543"/>
      <c r="J4543"/>
      <c r="K4543"/>
    </row>
    <row r="4544" spans="1:11">
      <c r="A4544"/>
      <c r="B4544"/>
      <c r="C4544"/>
      <c r="D4544"/>
      <c r="E4544"/>
      <c r="F4544"/>
      <c r="G4544"/>
      <c r="H4544"/>
      <c r="I4544"/>
      <c r="J4544"/>
      <c r="K4544"/>
    </row>
    <row r="4545" spans="1:11">
      <c r="A4545"/>
      <c r="B4545"/>
      <c r="C4545"/>
      <c r="D4545"/>
      <c r="E4545"/>
      <c r="F4545"/>
      <c r="G4545"/>
      <c r="H4545"/>
      <c r="I4545"/>
      <c r="J4545"/>
      <c r="K4545"/>
    </row>
    <row r="4546" spans="1:11">
      <c r="A4546"/>
      <c r="B4546"/>
      <c r="C4546"/>
      <c r="D4546"/>
      <c r="E4546"/>
      <c r="F4546"/>
      <c r="G4546"/>
      <c r="H4546"/>
      <c r="I4546"/>
      <c r="J4546"/>
      <c r="K4546"/>
    </row>
    <row r="4547" spans="1:11">
      <c r="A4547"/>
      <c r="B4547"/>
      <c r="C4547"/>
      <c r="D4547"/>
      <c r="E4547"/>
      <c r="F4547"/>
      <c r="G4547"/>
      <c r="H4547"/>
      <c r="I4547"/>
      <c r="J4547"/>
      <c r="K4547"/>
    </row>
    <row r="4548" spans="1:11">
      <c r="A4548"/>
      <c r="B4548"/>
      <c r="C4548"/>
      <c r="D4548"/>
      <c r="E4548"/>
      <c r="F4548"/>
      <c r="G4548"/>
      <c r="H4548"/>
      <c r="I4548"/>
      <c r="J4548"/>
      <c r="K4548"/>
    </row>
    <row r="4549" spans="1:11">
      <c r="A4549"/>
      <c r="B4549"/>
      <c r="C4549"/>
      <c r="D4549"/>
      <c r="E4549"/>
      <c r="F4549"/>
      <c r="G4549"/>
      <c r="H4549"/>
      <c r="I4549"/>
      <c r="J4549"/>
      <c r="K4549"/>
    </row>
    <row r="4550" spans="1:11">
      <c r="A4550"/>
      <c r="B4550"/>
      <c r="C4550"/>
      <c r="D4550"/>
      <c r="E4550"/>
      <c r="F4550"/>
      <c r="G4550"/>
      <c r="H4550"/>
      <c r="I4550"/>
      <c r="J4550"/>
      <c r="K4550"/>
    </row>
    <row r="4551" spans="1:11">
      <c r="A4551"/>
      <c r="B4551"/>
      <c r="C4551"/>
      <c r="D4551"/>
      <c r="E4551"/>
      <c r="F4551"/>
      <c r="G4551"/>
      <c r="H4551"/>
      <c r="I4551"/>
      <c r="J4551"/>
      <c r="K4551"/>
    </row>
    <row r="4552" spans="1:11">
      <c r="A4552"/>
      <c r="B4552"/>
      <c r="C4552"/>
      <c r="D4552"/>
      <c r="E4552"/>
      <c r="F4552"/>
      <c r="G4552"/>
      <c r="H4552"/>
      <c r="I4552"/>
      <c r="J4552"/>
      <c r="K4552"/>
    </row>
    <row r="4553" spans="1:11">
      <c r="A4553"/>
      <c r="B4553"/>
      <c r="C4553"/>
      <c r="D4553"/>
      <c r="E4553"/>
      <c r="F4553"/>
      <c r="G4553"/>
      <c r="H4553"/>
      <c r="I4553"/>
      <c r="J4553"/>
      <c r="K4553"/>
    </row>
    <row r="4554" spans="1:11">
      <c r="A4554"/>
      <c r="B4554"/>
      <c r="C4554"/>
      <c r="D4554"/>
      <c r="E4554"/>
      <c r="F4554"/>
      <c r="G4554"/>
      <c r="H4554"/>
      <c r="I4554"/>
      <c r="J4554"/>
      <c r="K4554"/>
    </row>
    <row r="4555" spans="1:11">
      <c r="A4555"/>
      <c r="B4555"/>
      <c r="C4555"/>
      <c r="D4555"/>
      <c r="E4555"/>
      <c r="F4555"/>
      <c r="G4555"/>
      <c r="H4555"/>
      <c r="I4555"/>
      <c r="J4555"/>
      <c r="K4555"/>
    </row>
    <row r="4556" spans="1:11">
      <c r="A4556"/>
      <c r="B4556"/>
      <c r="C4556"/>
      <c r="D4556"/>
      <c r="E4556"/>
      <c r="F4556"/>
      <c r="G4556"/>
      <c r="H4556"/>
      <c r="I4556"/>
      <c r="J4556"/>
      <c r="K4556"/>
    </row>
    <row r="4557" spans="1:11">
      <c r="A4557"/>
      <c r="B4557"/>
      <c r="C4557"/>
      <c r="D4557"/>
      <c r="E4557"/>
      <c r="F4557"/>
      <c r="G4557"/>
      <c r="H4557"/>
      <c r="I4557"/>
      <c r="J4557"/>
      <c r="K4557"/>
    </row>
    <row r="4558" spans="1:11">
      <c r="A4558"/>
      <c r="B4558"/>
      <c r="C4558"/>
      <c r="D4558"/>
      <c r="E4558"/>
      <c r="F4558"/>
      <c r="G4558"/>
      <c r="H4558"/>
      <c r="I4558"/>
      <c r="J4558"/>
      <c r="K4558"/>
    </row>
    <row r="4559" spans="1:11">
      <c r="A4559"/>
      <c r="B4559"/>
      <c r="C4559"/>
      <c r="D4559"/>
      <c r="E4559"/>
      <c r="F4559"/>
      <c r="G4559"/>
      <c r="H4559"/>
      <c r="I4559"/>
      <c r="J4559"/>
      <c r="K4559"/>
    </row>
    <row r="4560" spans="1:11">
      <c r="A4560"/>
      <c r="B4560"/>
      <c r="C4560"/>
      <c r="D4560"/>
      <c r="E4560"/>
      <c r="F4560"/>
      <c r="G4560"/>
      <c r="H4560"/>
      <c r="I4560"/>
      <c r="J4560"/>
      <c r="K4560"/>
    </row>
    <row r="4561" spans="1:11">
      <c r="A4561"/>
      <c r="B4561"/>
      <c r="C4561"/>
      <c r="D4561"/>
      <c r="E4561"/>
      <c r="F4561"/>
      <c r="G4561"/>
      <c r="H4561"/>
      <c r="I4561"/>
      <c r="J4561"/>
      <c r="K4561"/>
    </row>
    <row r="4562" spans="1:11">
      <c r="A4562"/>
      <c r="B4562"/>
      <c r="C4562"/>
      <c r="D4562"/>
      <c r="E4562"/>
      <c r="F4562"/>
      <c r="G4562"/>
      <c r="H4562"/>
      <c r="I4562"/>
      <c r="J4562"/>
      <c r="K4562"/>
    </row>
    <row r="4563" spans="1:11">
      <c r="A4563"/>
      <c r="B4563"/>
      <c r="C4563"/>
      <c r="D4563"/>
      <c r="E4563"/>
      <c r="F4563"/>
      <c r="G4563"/>
      <c r="H4563"/>
      <c r="I4563"/>
      <c r="J4563"/>
      <c r="K4563"/>
    </row>
    <row r="4564" spans="1:11">
      <c r="A4564"/>
      <c r="B4564"/>
      <c r="C4564"/>
      <c r="D4564"/>
      <c r="E4564"/>
      <c r="F4564"/>
      <c r="G4564"/>
      <c r="H4564"/>
      <c r="I4564"/>
      <c r="J4564"/>
      <c r="K4564"/>
    </row>
    <row r="4565" spans="1:11">
      <c r="A4565"/>
      <c r="B4565"/>
      <c r="C4565"/>
      <c r="D4565"/>
      <c r="E4565"/>
      <c r="F4565"/>
      <c r="G4565"/>
      <c r="H4565"/>
      <c r="I4565"/>
      <c r="J4565"/>
      <c r="K4565"/>
    </row>
    <row r="4566" spans="1:11">
      <c r="A4566"/>
      <c r="B4566"/>
      <c r="C4566"/>
      <c r="D4566"/>
      <c r="E4566"/>
      <c r="F4566"/>
      <c r="G4566"/>
      <c r="H4566"/>
      <c r="I4566"/>
      <c r="J4566"/>
      <c r="K4566"/>
    </row>
    <row r="4567" spans="1:11">
      <c r="A4567"/>
      <c r="B4567"/>
      <c r="C4567"/>
      <c r="D4567"/>
      <c r="E4567"/>
      <c r="F4567"/>
      <c r="G4567"/>
      <c r="H4567"/>
      <c r="I4567"/>
      <c r="J4567"/>
      <c r="K4567"/>
    </row>
    <row r="4568" spans="1:11">
      <c r="A4568"/>
      <c r="B4568"/>
      <c r="C4568"/>
      <c r="D4568"/>
      <c r="E4568"/>
      <c r="F4568"/>
      <c r="G4568"/>
      <c r="H4568"/>
      <c r="I4568"/>
      <c r="J4568"/>
      <c r="K4568"/>
    </row>
    <row r="4569" spans="1:11">
      <c r="A4569"/>
      <c r="B4569"/>
      <c r="C4569"/>
      <c r="D4569"/>
      <c r="E4569"/>
      <c r="F4569"/>
      <c r="G4569"/>
      <c r="H4569"/>
      <c r="I4569"/>
      <c r="J4569"/>
      <c r="K4569"/>
    </row>
    <row r="4570" spans="1:11">
      <c r="A4570"/>
      <c r="B4570"/>
      <c r="C4570"/>
      <c r="D4570"/>
      <c r="E4570"/>
      <c r="F4570"/>
      <c r="G4570"/>
      <c r="H4570"/>
      <c r="I4570"/>
      <c r="J4570"/>
      <c r="K4570"/>
    </row>
    <row r="4571" spans="1:11">
      <c r="A4571"/>
      <c r="B4571"/>
      <c r="C4571"/>
      <c r="D4571"/>
      <c r="E4571"/>
      <c r="F4571"/>
      <c r="G4571"/>
      <c r="H4571"/>
      <c r="I4571"/>
      <c r="J4571"/>
      <c r="K4571"/>
    </row>
    <row r="4572" spans="1:11">
      <c r="A4572"/>
      <c r="B4572"/>
      <c r="C4572"/>
      <c r="D4572"/>
      <c r="E4572"/>
      <c r="F4572"/>
      <c r="G4572"/>
      <c r="H4572"/>
      <c r="I4572"/>
      <c r="J4572"/>
      <c r="K4572"/>
    </row>
    <row r="4573" spans="1:11">
      <c r="A4573"/>
      <c r="B4573"/>
      <c r="C4573"/>
      <c r="D4573"/>
      <c r="E4573"/>
      <c r="F4573"/>
      <c r="G4573"/>
      <c r="H4573"/>
      <c r="I4573"/>
      <c r="J4573"/>
      <c r="K4573"/>
    </row>
    <row r="4574" spans="1:11">
      <c r="A4574"/>
      <c r="B4574"/>
      <c r="C4574"/>
      <c r="D4574"/>
      <c r="E4574"/>
      <c r="F4574"/>
      <c r="G4574"/>
      <c r="H4574"/>
      <c r="I4574"/>
      <c r="J4574"/>
      <c r="K4574"/>
    </row>
    <row r="4575" spans="1:11">
      <c r="A4575"/>
      <c r="B4575"/>
      <c r="C4575"/>
      <c r="D4575"/>
      <c r="E4575"/>
      <c r="F4575"/>
      <c r="G4575"/>
      <c r="H4575"/>
      <c r="I4575"/>
      <c r="J4575"/>
      <c r="K4575"/>
    </row>
    <row r="4576" spans="1:11">
      <c r="A4576"/>
      <c r="B4576"/>
      <c r="C4576"/>
      <c r="D4576"/>
      <c r="E4576"/>
      <c r="F4576"/>
      <c r="G4576"/>
      <c r="H4576"/>
      <c r="I4576"/>
      <c r="J4576"/>
      <c r="K4576"/>
    </row>
    <row r="4577" spans="1:11">
      <c r="A4577"/>
      <c r="B4577"/>
      <c r="C4577"/>
      <c r="D4577"/>
      <c r="E4577"/>
      <c r="F4577"/>
      <c r="G4577"/>
      <c r="H4577"/>
      <c r="I4577"/>
      <c r="J4577"/>
      <c r="K4577"/>
    </row>
    <row r="4578" spans="1:11">
      <c r="A4578"/>
      <c r="B4578"/>
      <c r="C4578"/>
      <c r="D4578"/>
      <c r="E4578"/>
      <c r="F4578"/>
      <c r="G4578"/>
      <c r="H4578"/>
      <c r="I4578"/>
      <c r="J4578"/>
      <c r="K4578"/>
    </row>
    <row r="4579" spans="1:11">
      <c r="A4579"/>
      <c r="B4579"/>
      <c r="C4579"/>
      <c r="D4579"/>
      <c r="E4579"/>
      <c r="F4579"/>
      <c r="G4579"/>
      <c r="H4579"/>
      <c r="I4579"/>
      <c r="J4579"/>
      <c r="K4579"/>
    </row>
    <row r="4580" spans="1:11">
      <c r="A4580"/>
      <c r="B4580"/>
      <c r="C4580"/>
      <c r="D4580"/>
      <c r="E4580"/>
      <c r="F4580"/>
      <c r="G4580"/>
      <c r="H4580"/>
      <c r="I4580"/>
      <c r="J4580"/>
      <c r="K4580"/>
    </row>
    <row r="4581" spans="1:11">
      <c r="A4581"/>
      <c r="B4581"/>
      <c r="C4581"/>
      <c r="D4581"/>
      <c r="E4581"/>
      <c r="F4581"/>
      <c r="G4581"/>
      <c r="H4581"/>
      <c r="I4581"/>
      <c r="J4581"/>
      <c r="K4581"/>
    </row>
    <row r="4582" spans="1:11">
      <c r="A4582"/>
      <c r="B4582"/>
      <c r="C4582"/>
      <c r="D4582"/>
      <c r="E4582"/>
      <c r="F4582"/>
      <c r="G4582"/>
      <c r="H4582"/>
      <c r="I4582"/>
      <c r="J4582"/>
      <c r="K4582"/>
    </row>
    <row r="4583" spans="1:11">
      <c r="A4583"/>
      <c r="B4583"/>
      <c r="C4583"/>
      <c r="D4583"/>
      <c r="E4583"/>
      <c r="F4583"/>
      <c r="G4583"/>
      <c r="H4583"/>
      <c r="I4583"/>
      <c r="J4583"/>
      <c r="K4583"/>
    </row>
    <row r="4584" spans="1:11">
      <c r="A4584"/>
      <c r="B4584"/>
      <c r="C4584"/>
      <c r="D4584"/>
      <c r="E4584"/>
      <c r="F4584"/>
      <c r="G4584"/>
      <c r="H4584"/>
      <c r="I4584"/>
      <c r="J4584"/>
      <c r="K4584"/>
    </row>
    <row r="4585" spans="1:11">
      <c r="A4585"/>
      <c r="B4585"/>
      <c r="C4585"/>
      <c r="D4585"/>
      <c r="E4585"/>
      <c r="F4585"/>
      <c r="G4585"/>
      <c r="H4585"/>
      <c r="I4585"/>
      <c r="J4585"/>
      <c r="K4585"/>
    </row>
    <row r="4586" spans="1:11">
      <c r="A4586"/>
      <c r="B4586"/>
      <c r="C4586"/>
      <c r="D4586"/>
      <c r="E4586"/>
      <c r="F4586"/>
      <c r="G4586"/>
      <c r="H4586"/>
      <c r="I4586"/>
      <c r="J4586"/>
      <c r="K4586"/>
    </row>
    <row r="4587" spans="1:11">
      <c r="A4587"/>
      <c r="B4587"/>
      <c r="C4587"/>
      <c r="D4587"/>
      <c r="E4587"/>
      <c r="F4587"/>
      <c r="G4587"/>
      <c r="H4587"/>
      <c r="I4587"/>
      <c r="J4587"/>
      <c r="K4587"/>
    </row>
    <row r="4588" spans="1:11">
      <c r="A4588"/>
      <c r="B4588"/>
      <c r="C4588"/>
      <c r="D4588"/>
      <c r="E4588"/>
      <c r="F4588"/>
      <c r="G4588"/>
      <c r="H4588"/>
      <c r="I4588"/>
      <c r="J4588"/>
      <c r="K4588"/>
    </row>
    <row r="4589" spans="1:11">
      <c r="A4589"/>
      <c r="B4589"/>
      <c r="C4589"/>
      <c r="D4589"/>
      <c r="E4589"/>
      <c r="F4589"/>
      <c r="G4589"/>
      <c r="H4589"/>
      <c r="I4589"/>
      <c r="J4589"/>
      <c r="K4589"/>
    </row>
    <row r="4590" spans="1:11">
      <c r="A4590"/>
      <c r="B4590"/>
      <c r="C4590"/>
      <c r="D4590"/>
      <c r="E4590"/>
      <c r="F4590"/>
      <c r="G4590"/>
      <c r="H4590"/>
      <c r="I4590"/>
      <c r="J4590"/>
      <c r="K4590"/>
    </row>
    <row r="4591" spans="1:11">
      <c r="A4591"/>
      <c r="B4591"/>
      <c r="C4591"/>
      <c r="D4591"/>
      <c r="E4591"/>
      <c r="F4591"/>
      <c r="G4591"/>
      <c r="H4591"/>
      <c r="I4591"/>
      <c r="J4591"/>
      <c r="K4591"/>
    </row>
    <row r="4592" spans="1:11">
      <c r="A4592"/>
      <c r="B4592"/>
      <c r="C4592"/>
      <c r="D4592"/>
      <c r="E4592"/>
      <c r="F4592"/>
      <c r="G4592"/>
      <c r="H4592"/>
      <c r="I4592"/>
      <c r="J4592"/>
      <c r="K4592"/>
    </row>
    <row r="4593" spans="1:11">
      <c r="A4593"/>
      <c r="B4593"/>
      <c r="C4593"/>
      <c r="D4593"/>
      <c r="E4593"/>
      <c r="F4593"/>
      <c r="G4593"/>
      <c r="H4593"/>
      <c r="I4593"/>
      <c r="J4593"/>
      <c r="K4593"/>
    </row>
    <row r="4594" spans="1:11">
      <c r="A4594"/>
      <c r="B4594"/>
      <c r="C4594"/>
      <c r="D4594"/>
      <c r="E4594"/>
      <c r="F4594"/>
      <c r="G4594"/>
      <c r="H4594"/>
      <c r="I4594"/>
      <c r="J4594"/>
      <c r="K4594"/>
    </row>
    <row r="4595" spans="1:11">
      <c r="A4595"/>
      <c r="B4595"/>
      <c r="C4595"/>
      <c r="D4595"/>
      <c r="E4595"/>
      <c r="F4595"/>
      <c r="G4595"/>
      <c r="H4595"/>
      <c r="I4595"/>
      <c r="J4595"/>
      <c r="K4595"/>
    </row>
    <row r="4596" spans="1:11">
      <c r="A4596"/>
      <c r="B4596"/>
      <c r="C4596"/>
      <c r="D4596"/>
      <c r="E4596"/>
      <c r="F4596"/>
      <c r="G4596"/>
      <c r="H4596"/>
      <c r="I4596"/>
      <c r="J4596"/>
      <c r="K4596"/>
    </row>
    <row r="4597" spans="1:11">
      <c r="A4597"/>
      <c r="B4597"/>
      <c r="C4597"/>
      <c r="D4597"/>
      <c r="E4597"/>
      <c r="F4597"/>
      <c r="G4597"/>
      <c r="H4597"/>
      <c r="I4597"/>
      <c r="J4597"/>
      <c r="K4597"/>
    </row>
    <row r="4598" spans="1:11">
      <c r="A4598"/>
      <c r="B4598"/>
      <c r="C4598"/>
      <c r="D4598"/>
      <c r="E4598"/>
      <c r="F4598"/>
      <c r="G4598"/>
      <c r="H4598"/>
      <c r="I4598"/>
      <c r="J4598"/>
      <c r="K4598"/>
    </row>
    <row r="4599" spans="1:11">
      <c r="A4599"/>
      <c r="B4599"/>
      <c r="C4599"/>
      <c r="D4599"/>
      <c r="E4599"/>
      <c r="F4599"/>
      <c r="G4599"/>
      <c r="H4599"/>
      <c r="I4599"/>
      <c r="J4599"/>
      <c r="K4599"/>
    </row>
    <row r="4600" spans="1:11">
      <c r="A4600"/>
      <c r="B4600"/>
      <c r="C4600"/>
      <c r="D4600"/>
      <c r="E4600"/>
      <c r="F4600"/>
      <c r="G4600"/>
      <c r="H4600"/>
      <c r="I4600"/>
      <c r="J4600"/>
      <c r="K4600"/>
    </row>
    <row r="4601" spans="1:11">
      <c r="A4601"/>
      <c r="B4601"/>
      <c r="C4601"/>
      <c r="D4601"/>
      <c r="E4601"/>
      <c r="F4601"/>
      <c r="G4601"/>
      <c r="H4601"/>
      <c r="I4601"/>
      <c r="J4601"/>
      <c r="K4601"/>
    </row>
    <row r="4602" spans="1:11">
      <c r="A4602"/>
      <c r="B4602"/>
      <c r="C4602"/>
      <c r="D4602"/>
      <c r="E4602"/>
      <c r="F4602"/>
      <c r="G4602"/>
      <c r="H4602"/>
      <c r="I4602"/>
      <c r="J4602"/>
      <c r="K4602"/>
    </row>
    <row r="4603" spans="1:11">
      <c r="A4603"/>
      <c r="B4603"/>
      <c r="C4603"/>
      <c r="D4603"/>
      <c r="E4603"/>
      <c r="F4603"/>
      <c r="G4603"/>
      <c r="H4603"/>
      <c r="I4603"/>
      <c r="J4603"/>
      <c r="K4603"/>
    </row>
    <row r="4604" spans="1:11">
      <c r="A4604"/>
      <c r="B4604"/>
      <c r="C4604"/>
      <c r="D4604"/>
      <c r="E4604"/>
      <c r="F4604"/>
      <c r="G4604"/>
      <c r="H4604"/>
      <c r="I4604"/>
      <c r="J4604"/>
      <c r="K4604"/>
    </row>
    <row r="4605" spans="1:11">
      <c r="A4605"/>
      <c r="B4605"/>
      <c r="C4605"/>
      <c r="D4605"/>
      <c r="E4605"/>
      <c r="F4605"/>
      <c r="G4605"/>
      <c r="H4605"/>
      <c r="I4605"/>
      <c r="J4605"/>
      <c r="K4605"/>
    </row>
    <row r="4606" spans="1:11">
      <c r="A4606"/>
      <c r="B4606"/>
      <c r="C4606"/>
      <c r="D4606"/>
      <c r="E4606"/>
      <c r="F4606"/>
      <c r="G4606"/>
      <c r="H4606"/>
      <c r="I4606"/>
      <c r="J4606"/>
      <c r="K4606"/>
    </row>
    <row r="4607" spans="1:11">
      <c r="A4607"/>
      <c r="B4607"/>
      <c r="C4607"/>
      <c r="D4607"/>
      <c r="E4607"/>
      <c r="F4607"/>
      <c r="G4607"/>
      <c r="H4607"/>
      <c r="I4607"/>
      <c r="J4607"/>
      <c r="K4607"/>
    </row>
    <row r="4608" spans="1:11">
      <c r="A4608"/>
      <c r="B4608"/>
      <c r="C4608"/>
      <c r="D4608"/>
      <c r="E4608"/>
      <c r="F4608"/>
      <c r="G4608"/>
      <c r="H4608"/>
      <c r="I4608"/>
      <c r="J4608"/>
      <c r="K4608"/>
    </row>
    <row r="4609" spans="1:11">
      <c r="A4609"/>
      <c r="B4609"/>
      <c r="C4609"/>
      <c r="D4609"/>
      <c r="E4609"/>
      <c r="F4609"/>
      <c r="G4609"/>
      <c r="H4609"/>
      <c r="I4609"/>
      <c r="J4609"/>
      <c r="K4609"/>
    </row>
    <row r="4610" spans="1:11">
      <c r="A4610"/>
      <c r="B4610"/>
      <c r="C4610"/>
      <c r="D4610"/>
      <c r="E4610"/>
      <c r="F4610"/>
      <c r="G4610"/>
      <c r="H4610"/>
      <c r="I4610"/>
      <c r="J4610"/>
      <c r="K4610"/>
    </row>
    <row r="4611" spans="1:11">
      <c r="A4611"/>
      <c r="B4611"/>
      <c r="C4611"/>
      <c r="D4611"/>
      <c r="E4611"/>
      <c r="F4611"/>
      <c r="G4611"/>
      <c r="H4611"/>
      <c r="I4611"/>
      <c r="J4611"/>
      <c r="K4611"/>
    </row>
    <row r="4612" spans="1:11">
      <c r="A4612"/>
      <c r="B4612"/>
      <c r="C4612"/>
      <c r="D4612"/>
      <c r="E4612"/>
      <c r="F4612"/>
      <c r="G4612"/>
      <c r="H4612"/>
      <c r="I4612"/>
      <c r="J4612"/>
      <c r="K4612"/>
    </row>
    <row r="4613" spans="1:11">
      <c r="A4613"/>
      <c r="B4613"/>
      <c r="C4613"/>
      <c r="D4613"/>
      <c r="E4613"/>
      <c r="F4613"/>
      <c r="G4613"/>
      <c r="H4613"/>
      <c r="I4613"/>
      <c r="J4613"/>
      <c r="K4613"/>
    </row>
    <row r="4614" spans="1:11">
      <c r="A4614"/>
      <c r="B4614"/>
      <c r="C4614"/>
      <c r="D4614"/>
      <c r="E4614"/>
      <c r="F4614"/>
      <c r="G4614"/>
      <c r="H4614"/>
      <c r="I4614"/>
      <c r="J4614"/>
      <c r="K4614"/>
    </row>
    <row r="4615" spans="1:11">
      <c r="A4615"/>
      <c r="B4615"/>
      <c r="C4615"/>
      <c r="D4615"/>
      <c r="E4615"/>
      <c r="F4615"/>
      <c r="G4615"/>
      <c r="H4615"/>
      <c r="I4615"/>
      <c r="J4615"/>
      <c r="K4615"/>
    </row>
    <row r="4616" spans="1:11">
      <c r="A4616"/>
      <c r="B4616"/>
      <c r="C4616"/>
      <c r="D4616"/>
      <c r="E4616"/>
      <c r="F4616"/>
      <c r="G4616"/>
      <c r="H4616"/>
      <c r="I4616"/>
      <c r="J4616"/>
      <c r="K4616"/>
    </row>
    <row r="4617" spans="1:11">
      <c r="A4617"/>
      <c r="B4617"/>
      <c r="C4617"/>
      <c r="D4617"/>
      <c r="E4617"/>
      <c r="F4617"/>
      <c r="G4617"/>
      <c r="H4617"/>
      <c r="I4617"/>
      <c r="J4617"/>
      <c r="K4617"/>
    </row>
    <row r="4618" spans="1:11">
      <c r="A4618"/>
      <c r="B4618"/>
      <c r="C4618"/>
      <c r="D4618"/>
      <c r="E4618"/>
      <c r="F4618"/>
      <c r="G4618"/>
      <c r="H4618"/>
      <c r="I4618"/>
      <c r="J4618"/>
      <c r="K4618"/>
    </row>
    <row r="4619" spans="1:11">
      <c r="A4619"/>
      <c r="B4619"/>
      <c r="C4619"/>
      <c r="D4619"/>
      <c r="E4619"/>
      <c r="F4619"/>
      <c r="G4619"/>
      <c r="H4619"/>
      <c r="I4619"/>
      <c r="J4619"/>
      <c r="K4619"/>
    </row>
    <row r="4620" spans="1:11">
      <c r="A4620"/>
      <c r="B4620"/>
      <c r="C4620"/>
      <c r="D4620"/>
      <c r="E4620"/>
      <c r="F4620"/>
      <c r="G4620"/>
      <c r="H4620"/>
      <c r="I4620"/>
      <c r="J4620"/>
      <c r="K4620"/>
    </row>
    <row r="4621" spans="1:11">
      <c r="A4621"/>
      <c r="B4621"/>
      <c r="C4621"/>
      <c r="D4621"/>
      <c r="E4621"/>
      <c r="F4621"/>
      <c r="G4621"/>
      <c r="H4621"/>
      <c r="I4621"/>
      <c r="J4621"/>
      <c r="K4621"/>
    </row>
    <row r="4622" spans="1:11">
      <c r="A4622"/>
      <c r="B4622"/>
      <c r="C4622"/>
      <c r="D4622"/>
      <c r="E4622"/>
      <c r="F4622"/>
      <c r="G4622"/>
      <c r="H4622"/>
      <c r="I4622"/>
      <c r="J4622"/>
      <c r="K4622"/>
    </row>
    <row r="4623" spans="1:11">
      <c r="A4623"/>
      <c r="B4623"/>
      <c r="C4623"/>
      <c r="D4623"/>
      <c r="E4623"/>
      <c r="F4623"/>
      <c r="G4623"/>
      <c r="H4623"/>
      <c r="I4623"/>
      <c r="J4623"/>
      <c r="K4623"/>
    </row>
    <row r="4624" spans="1:11">
      <c r="A4624"/>
      <c r="B4624"/>
      <c r="C4624"/>
      <c r="D4624"/>
      <c r="E4624"/>
      <c r="F4624"/>
      <c r="G4624"/>
      <c r="H4624"/>
      <c r="I4624"/>
      <c r="J4624"/>
      <c r="K4624"/>
    </row>
    <row r="4625" spans="1:11">
      <c r="A4625"/>
      <c r="B4625"/>
      <c r="C4625"/>
      <c r="D4625"/>
      <c r="E4625"/>
      <c r="F4625"/>
      <c r="G4625"/>
      <c r="H4625"/>
      <c r="I4625"/>
      <c r="J4625"/>
      <c r="K4625"/>
    </row>
    <row r="4626" spans="1:11">
      <c r="A4626"/>
      <c r="B4626"/>
      <c r="C4626"/>
      <c r="D4626"/>
      <c r="E4626"/>
      <c r="F4626"/>
      <c r="G4626"/>
      <c r="H4626"/>
      <c r="I4626"/>
      <c r="J4626"/>
      <c r="K4626"/>
    </row>
    <row r="4627" spans="1:11">
      <c r="A4627"/>
      <c r="B4627"/>
      <c r="C4627"/>
      <c r="D4627"/>
      <c r="E4627"/>
      <c r="F4627"/>
      <c r="G4627"/>
      <c r="H4627"/>
      <c r="I4627"/>
      <c r="J4627"/>
      <c r="K4627"/>
    </row>
    <row r="4628" spans="1:11">
      <c r="A4628"/>
      <c r="B4628"/>
      <c r="C4628"/>
      <c r="D4628"/>
      <c r="E4628"/>
      <c r="F4628"/>
      <c r="G4628"/>
      <c r="H4628"/>
      <c r="I4628"/>
      <c r="J4628"/>
      <c r="K4628"/>
    </row>
    <row r="4629" spans="1:11">
      <c r="A4629"/>
      <c r="B4629"/>
      <c r="C4629"/>
      <c r="D4629"/>
      <c r="E4629"/>
      <c r="F4629"/>
      <c r="G4629"/>
      <c r="H4629"/>
      <c r="I4629"/>
      <c r="J4629"/>
      <c r="K4629"/>
    </row>
    <row r="4630" spans="1:11">
      <c r="A4630"/>
      <c r="B4630"/>
      <c r="C4630"/>
      <c r="D4630"/>
      <c r="E4630"/>
      <c r="F4630"/>
      <c r="G4630"/>
      <c r="H4630"/>
      <c r="I4630"/>
      <c r="J4630"/>
      <c r="K4630"/>
    </row>
    <row r="4631" spans="1:11">
      <c r="A4631"/>
      <c r="B4631"/>
      <c r="C4631"/>
      <c r="D4631"/>
      <c r="E4631"/>
      <c r="F4631"/>
      <c r="G4631"/>
      <c r="H4631"/>
      <c r="I4631"/>
      <c r="J4631"/>
      <c r="K4631"/>
    </row>
    <row r="4632" spans="1:11">
      <c r="A4632"/>
      <c r="B4632"/>
      <c r="C4632"/>
      <c r="D4632"/>
      <c r="E4632"/>
      <c r="F4632"/>
      <c r="G4632"/>
      <c r="H4632"/>
      <c r="I4632"/>
      <c r="J4632"/>
      <c r="K4632"/>
    </row>
    <row r="4633" spans="1:11">
      <c r="A4633"/>
      <c r="B4633"/>
      <c r="C4633"/>
      <c r="D4633"/>
      <c r="E4633"/>
      <c r="F4633"/>
      <c r="G4633"/>
      <c r="H4633"/>
      <c r="I4633"/>
      <c r="J4633"/>
      <c r="K4633"/>
    </row>
    <row r="4634" spans="1:11">
      <c r="A4634"/>
      <c r="B4634"/>
      <c r="C4634"/>
      <c r="D4634"/>
      <c r="E4634"/>
      <c r="F4634"/>
      <c r="G4634"/>
      <c r="H4634"/>
      <c r="I4634"/>
      <c r="J4634"/>
      <c r="K4634"/>
    </row>
    <row r="4635" spans="1:11">
      <c r="A4635"/>
      <c r="B4635"/>
      <c r="C4635"/>
      <c r="D4635"/>
      <c r="E4635"/>
      <c r="F4635"/>
      <c r="G4635"/>
      <c r="H4635"/>
      <c r="I4635"/>
      <c r="J4635"/>
      <c r="K4635"/>
    </row>
    <row r="4636" spans="1:11">
      <c r="A4636"/>
      <c r="B4636"/>
      <c r="C4636"/>
      <c r="D4636"/>
      <c r="E4636"/>
      <c r="F4636"/>
      <c r="G4636"/>
      <c r="H4636"/>
      <c r="I4636"/>
      <c r="J4636"/>
      <c r="K4636"/>
    </row>
    <row r="4637" spans="1:11">
      <c r="A4637"/>
      <c r="B4637"/>
      <c r="C4637"/>
      <c r="D4637"/>
      <c r="E4637"/>
      <c r="F4637"/>
      <c r="G4637"/>
      <c r="H4637"/>
      <c r="I4637"/>
      <c r="J4637"/>
      <c r="K4637"/>
    </row>
    <row r="4638" spans="1:11">
      <c r="A4638"/>
      <c r="B4638"/>
      <c r="C4638"/>
      <c r="D4638"/>
      <c r="E4638"/>
      <c r="F4638"/>
      <c r="G4638"/>
      <c r="H4638"/>
      <c r="I4638"/>
      <c r="J4638"/>
      <c r="K4638"/>
    </row>
    <row r="4639" spans="1:11">
      <c r="A4639"/>
      <c r="B4639"/>
      <c r="C4639"/>
      <c r="D4639"/>
      <c r="E4639"/>
      <c r="F4639"/>
      <c r="G4639"/>
      <c r="H4639"/>
      <c r="I4639"/>
      <c r="J4639"/>
      <c r="K4639"/>
    </row>
    <row r="4640" spans="1:11">
      <c r="A4640"/>
      <c r="B4640"/>
      <c r="C4640"/>
      <c r="D4640"/>
      <c r="E4640"/>
      <c r="F4640"/>
      <c r="G4640"/>
      <c r="H4640"/>
      <c r="I4640"/>
      <c r="J4640"/>
      <c r="K4640"/>
    </row>
    <row r="4641" spans="1:11">
      <c r="A4641"/>
      <c r="B4641"/>
      <c r="C4641"/>
      <c r="D4641"/>
      <c r="E4641"/>
      <c r="F4641"/>
      <c r="G4641"/>
      <c r="H4641"/>
      <c r="I4641"/>
      <c r="J4641"/>
      <c r="K4641"/>
    </row>
    <row r="4642" spans="1:11">
      <c r="A4642"/>
      <c r="B4642"/>
      <c r="C4642"/>
      <c r="D4642"/>
      <c r="E4642"/>
      <c r="F4642"/>
      <c r="G4642"/>
      <c r="H4642"/>
      <c r="I4642"/>
      <c r="J4642"/>
      <c r="K4642"/>
    </row>
    <row r="4643" spans="1:11">
      <c r="A4643"/>
      <c r="B4643"/>
      <c r="C4643"/>
      <c r="D4643"/>
      <c r="E4643"/>
      <c r="F4643"/>
      <c r="G4643"/>
      <c r="H4643"/>
      <c r="I4643"/>
      <c r="J4643"/>
      <c r="K4643"/>
    </row>
    <row r="4644" spans="1:11">
      <c r="A4644"/>
      <c r="B4644"/>
      <c r="C4644"/>
      <c r="D4644"/>
      <c r="E4644"/>
      <c r="F4644"/>
      <c r="G4644"/>
      <c r="H4644"/>
      <c r="I4644"/>
      <c r="J4644"/>
      <c r="K4644"/>
    </row>
    <row r="4645" spans="1:11">
      <c r="A4645"/>
      <c r="B4645"/>
      <c r="C4645"/>
      <c r="D4645"/>
      <c r="E4645"/>
      <c r="F4645"/>
      <c r="G4645"/>
      <c r="H4645"/>
      <c r="I4645"/>
      <c r="J4645"/>
      <c r="K4645"/>
    </row>
    <row r="4646" spans="1:11">
      <c r="A4646"/>
      <c r="B4646"/>
      <c r="C4646"/>
      <c r="D4646"/>
      <c r="E4646"/>
      <c r="F4646"/>
      <c r="G4646"/>
      <c r="H4646"/>
      <c r="I4646"/>
      <c r="J4646"/>
      <c r="K4646"/>
    </row>
    <row r="4647" spans="1:11">
      <c r="A4647"/>
      <c r="B4647"/>
      <c r="C4647"/>
      <c r="D4647"/>
      <c r="E4647"/>
      <c r="F4647"/>
      <c r="G4647"/>
      <c r="H4647"/>
      <c r="I4647"/>
      <c r="J4647"/>
      <c r="K4647"/>
    </row>
    <row r="4648" spans="1:11">
      <c r="A4648"/>
      <c r="B4648"/>
      <c r="C4648"/>
      <c r="D4648"/>
      <c r="E4648"/>
      <c r="F4648"/>
      <c r="G4648"/>
      <c r="H4648"/>
      <c r="I4648"/>
      <c r="J4648"/>
      <c r="K4648"/>
    </row>
    <row r="4649" spans="1:11">
      <c r="A4649"/>
      <c r="B4649"/>
      <c r="C4649"/>
      <c r="D4649"/>
      <c r="E4649"/>
      <c r="F4649"/>
      <c r="G4649"/>
      <c r="H4649"/>
      <c r="I4649"/>
      <c r="J4649"/>
      <c r="K4649"/>
    </row>
    <row r="4650" spans="1:11">
      <c r="A4650"/>
      <c r="B4650"/>
      <c r="C4650"/>
      <c r="D4650"/>
      <c r="E4650"/>
      <c r="F4650"/>
      <c r="G4650"/>
      <c r="H4650"/>
      <c r="I4650"/>
      <c r="J4650"/>
      <c r="K4650"/>
    </row>
    <row r="4651" spans="1:11">
      <c r="A4651"/>
      <c r="B4651"/>
      <c r="C4651"/>
      <c r="D4651"/>
      <c r="E4651"/>
      <c r="F4651"/>
      <c r="G4651"/>
      <c r="H4651"/>
      <c r="I4651"/>
      <c r="J4651"/>
      <c r="K4651"/>
    </row>
    <row r="4652" spans="1:11">
      <c r="A4652"/>
      <c r="B4652"/>
      <c r="C4652"/>
      <c r="D4652"/>
      <c r="E4652"/>
      <c r="F4652"/>
      <c r="G4652"/>
      <c r="H4652"/>
      <c r="I4652"/>
      <c r="J4652"/>
      <c r="K4652"/>
    </row>
    <row r="4653" spans="1:11">
      <c r="A4653"/>
      <c r="B4653"/>
      <c r="C4653"/>
      <c r="D4653"/>
      <c r="E4653"/>
      <c r="F4653"/>
      <c r="G4653"/>
      <c r="H4653"/>
      <c r="I4653"/>
      <c r="J4653"/>
      <c r="K4653"/>
    </row>
    <row r="4654" spans="1:11">
      <c r="A4654"/>
      <c r="B4654"/>
      <c r="C4654"/>
      <c r="D4654"/>
      <c r="E4654"/>
      <c r="F4654"/>
      <c r="G4654"/>
      <c r="H4654"/>
      <c r="I4654"/>
      <c r="J4654"/>
      <c r="K4654"/>
    </row>
    <row r="4655" spans="1:11">
      <c r="A4655"/>
      <c r="B4655"/>
      <c r="C4655"/>
      <c r="D4655"/>
      <c r="E4655"/>
      <c r="F4655"/>
      <c r="G4655"/>
      <c r="H4655"/>
      <c r="I4655"/>
      <c r="J4655"/>
      <c r="K4655"/>
    </row>
    <row r="4656" spans="1:11">
      <c r="A4656"/>
      <c r="B4656"/>
      <c r="C4656"/>
      <c r="D4656"/>
      <c r="E4656"/>
      <c r="F4656"/>
      <c r="G4656"/>
      <c r="H4656"/>
      <c r="I4656"/>
      <c r="J4656"/>
      <c r="K4656"/>
    </row>
    <row r="4657" spans="1:11">
      <c r="A4657"/>
      <c r="B4657"/>
      <c r="C4657"/>
      <c r="D4657"/>
      <c r="E4657"/>
      <c r="F4657"/>
      <c r="G4657"/>
      <c r="H4657"/>
      <c r="I4657"/>
      <c r="J4657"/>
      <c r="K4657"/>
    </row>
    <row r="4658" spans="1:11">
      <c r="A4658"/>
      <c r="B4658"/>
      <c r="C4658"/>
      <c r="D4658"/>
      <c r="E4658"/>
      <c r="F4658"/>
      <c r="G4658"/>
      <c r="H4658"/>
      <c r="I4658"/>
      <c r="J4658"/>
      <c r="K4658"/>
    </row>
    <row r="4659" spans="1:11">
      <c r="A4659"/>
      <c r="B4659"/>
      <c r="C4659"/>
      <c r="D4659"/>
      <c r="E4659"/>
      <c r="F4659"/>
      <c r="G4659"/>
      <c r="H4659"/>
      <c r="I4659"/>
      <c r="J4659"/>
      <c r="K4659"/>
    </row>
    <row r="4660" spans="1:11">
      <c r="A4660"/>
      <c r="B4660"/>
      <c r="C4660"/>
      <c r="D4660"/>
      <c r="E4660"/>
      <c r="F4660"/>
      <c r="G4660"/>
      <c r="H4660"/>
      <c r="I4660"/>
      <c r="J4660"/>
      <c r="K4660"/>
    </row>
    <row r="4661" spans="1:11">
      <c r="A4661"/>
      <c r="B4661"/>
      <c r="C4661"/>
      <c r="D4661"/>
      <c r="E4661"/>
      <c r="F4661"/>
      <c r="G4661"/>
      <c r="H4661"/>
      <c r="I4661"/>
      <c r="J4661"/>
      <c r="K4661"/>
    </row>
    <row r="4662" spans="1:11">
      <c r="A4662"/>
      <c r="B4662"/>
      <c r="C4662"/>
      <c r="D4662"/>
      <c r="E4662"/>
      <c r="F4662"/>
      <c r="G4662"/>
      <c r="H4662"/>
      <c r="I4662"/>
      <c r="J4662"/>
      <c r="K4662"/>
    </row>
    <row r="4663" spans="1:11">
      <c r="A4663"/>
      <c r="B4663"/>
      <c r="C4663"/>
      <c r="D4663"/>
      <c r="E4663"/>
      <c r="F4663"/>
      <c r="G4663"/>
      <c r="H4663"/>
      <c r="I4663"/>
      <c r="J4663"/>
      <c r="K4663"/>
    </row>
    <row r="4664" spans="1:11">
      <c r="A4664"/>
      <c r="B4664"/>
      <c r="C4664"/>
      <c r="D4664"/>
      <c r="E4664"/>
      <c r="F4664"/>
      <c r="G4664"/>
      <c r="H4664"/>
      <c r="I4664"/>
      <c r="J4664"/>
      <c r="K4664"/>
    </row>
    <row r="4665" spans="1:11">
      <c r="A4665"/>
      <c r="B4665"/>
      <c r="C4665"/>
      <c r="D4665"/>
      <c r="E4665"/>
      <c r="F4665"/>
      <c r="G4665"/>
      <c r="H4665"/>
      <c r="I4665"/>
      <c r="J4665"/>
      <c r="K4665"/>
    </row>
    <row r="4666" spans="1:11">
      <c r="A4666"/>
      <c r="B4666"/>
      <c r="C4666"/>
      <c r="D4666"/>
      <c r="E4666"/>
      <c r="F4666"/>
      <c r="G4666"/>
      <c r="H4666"/>
      <c r="I4666"/>
      <c r="J4666"/>
      <c r="K4666"/>
    </row>
    <row r="4667" spans="1:11">
      <c r="A4667"/>
      <c r="B4667"/>
      <c r="C4667"/>
      <c r="D4667"/>
      <c r="E4667"/>
      <c r="F4667"/>
      <c r="G4667"/>
      <c r="H4667"/>
      <c r="I4667"/>
      <c r="J4667"/>
      <c r="K4667"/>
    </row>
    <row r="4668" spans="1:11">
      <c r="A4668"/>
      <c r="B4668"/>
      <c r="C4668"/>
      <c r="D4668"/>
      <c r="E4668"/>
      <c r="F4668"/>
      <c r="G4668"/>
      <c r="H4668"/>
      <c r="I4668"/>
      <c r="J4668"/>
      <c r="K4668"/>
    </row>
    <row r="4669" spans="1:11">
      <c r="A4669"/>
      <c r="B4669"/>
      <c r="C4669"/>
      <c r="D4669"/>
      <c r="E4669"/>
      <c r="F4669"/>
      <c r="G4669"/>
      <c r="H4669"/>
      <c r="I4669"/>
      <c r="J4669"/>
      <c r="K4669"/>
    </row>
    <row r="4670" spans="1:11">
      <c r="A4670"/>
      <c r="B4670"/>
      <c r="C4670"/>
      <c r="D4670"/>
      <c r="E4670"/>
      <c r="F4670"/>
      <c r="G4670"/>
      <c r="H4670"/>
      <c r="I4670"/>
      <c r="J4670"/>
      <c r="K4670"/>
    </row>
    <row r="4671" spans="1:11">
      <c r="A4671"/>
      <c r="B4671"/>
      <c r="C4671"/>
      <c r="D4671"/>
      <c r="E4671"/>
      <c r="F4671"/>
      <c r="G4671"/>
      <c r="H4671"/>
      <c r="I4671"/>
      <c r="J4671"/>
      <c r="K4671"/>
    </row>
    <row r="4672" spans="1:11">
      <c r="A4672"/>
      <c r="B4672"/>
      <c r="C4672"/>
      <c r="D4672"/>
      <c r="E4672"/>
      <c r="F4672"/>
      <c r="G4672"/>
      <c r="H4672"/>
      <c r="I4672"/>
      <c r="J4672"/>
      <c r="K4672"/>
    </row>
    <row r="4673" spans="1:11">
      <c r="A4673"/>
      <c r="B4673"/>
      <c r="C4673"/>
      <c r="D4673"/>
      <c r="E4673"/>
      <c r="F4673"/>
      <c r="G4673"/>
      <c r="H4673"/>
      <c r="I4673"/>
      <c r="J4673"/>
      <c r="K4673"/>
    </row>
    <row r="4674" spans="1:11">
      <c r="A4674"/>
      <c r="B4674"/>
      <c r="C4674"/>
      <c r="D4674"/>
      <c r="E4674"/>
      <c r="F4674"/>
      <c r="G4674"/>
      <c r="H4674"/>
      <c r="I4674"/>
      <c r="J4674"/>
      <c r="K4674"/>
    </row>
    <row r="4675" spans="1:11">
      <c r="A4675"/>
      <c r="B4675"/>
      <c r="C4675"/>
      <c r="D4675"/>
      <c r="E4675"/>
      <c r="F4675"/>
      <c r="G4675"/>
      <c r="H4675"/>
      <c r="I4675"/>
      <c r="J4675"/>
      <c r="K4675"/>
    </row>
    <row r="4676" spans="1:11">
      <c r="A4676"/>
      <c r="B4676"/>
      <c r="C4676"/>
      <c r="D4676"/>
      <c r="E4676"/>
      <c r="F4676"/>
      <c r="G4676"/>
      <c r="H4676"/>
      <c r="I4676"/>
      <c r="J4676"/>
      <c r="K4676"/>
    </row>
    <row r="4677" spans="1:11">
      <c r="A4677"/>
      <c r="B4677"/>
      <c r="C4677"/>
      <c r="D4677"/>
      <c r="E4677"/>
      <c r="F4677"/>
      <c r="G4677"/>
      <c r="H4677"/>
      <c r="I4677"/>
      <c r="J4677"/>
      <c r="K4677"/>
    </row>
    <row r="4678" spans="1:11">
      <c r="A4678"/>
      <c r="B4678"/>
      <c r="C4678"/>
      <c r="D4678"/>
      <c r="E4678"/>
      <c r="F4678"/>
      <c r="G4678"/>
      <c r="H4678"/>
      <c r="I4678"/>
      <c r="J4678"/>
      <c r="K4678"/>
    </row>
    <row r="4679" spans="1:11">
      <c r="A4679"/>
      <c r="B4679"/>
      <c r="C4679"/>
      <c r="D4679"/>
      <c r="E4679"/>
      <c r="F4679"/>
      <c r="G4679"/>
      <c r="H4679"/>
      <c r="I4679"/>
      <c r="J4679"/>
      <c r="K4679"/>
    </row>
    <row r="4680" spans="1:11">
      <c r="A4680"/>
      <c r="B4680"/>
      <c r="C4680"/>
      <c r="D4680"/>
      <c r="E4680"/>
      <c r="F4680"/>
      <c r="G4680"/>
      <c r="H4680"/>
      <c r="I4680"/>
      <c r="J4680"/>
      <c r="K4680"/>
    </row>
    <row r="4681" spans="1:11">
      <c r="A4681"/>
      <c r="B4681"/>
      <c r="C4681"/>
      <c r="D4681"/>
      <c r="E4681"/>
      <c r="F4681"/>
      <c r="G4681"/>
      <c r="H4681"/>
      <c r="I4681"/>
      <c r="J4681"/>
      <c r="K4681"/>
    </row>
    <row r="4682" spans="1:11">
      <c r="A4682"/>
      <c r="B4682"/>
      <c r="C4682"/>
      <c r="D4682"/>
      <c r="E4682"/>
      <c r="F4682"/>
      <c r="G4682"/>
      <c r="H4682"/>
      <c r="I4682"/>
      <c r="J4682"/>
      <c r="K4682"/>
    </row>
    <row r="4683" spans="1:11">
      <c r="A4683"/>
      <c r="B4683"/>
      <c r="C4683"/>
      <c r="D4683"/>
      <c r="E4683"/>
      <c r="F4683"/>
      <c r="G4683"/>
      <c r="H4683"/>
      <c r="I4683"/>
      <c r="J4683"/>
      <c r="K4683"/>
    </row>
    <row r="4684" spans="1:11">
      <c r="A4684"/>
      <c r="B4684"/>
      <c r="C4684"/>
      <c r="D4684"/>
      <c r="E4684"/>
      <c r="F4684"/>
      <c r="G4684"/>
      <c r="H4684"/>
      <c r="I4684"/>
      <c r="J4684"/>
      <c r="K4684"/>
    </row>
    <row r="4685" spans="1:11">
      <c r="A4685"/>
      <c r="B4685"/>
      <c r="C4685"/>
      <c r="D4685"/>
      <c r="E4685"/>
      <c r="F4685"/>
      <c r="G4685"/>
      <c r="H4685"/>
      <c r="I4685"/>
      <c r="J4685"/>
      <c r="K4685"/>
    </row>
    <row r="4686" spans="1:11">
      <c r="A4686"/>
      <c r="B4686"/>
      <c r="C4686"/>
      <c r="D4686"/>
      <c r="E4686"/>
      <c r="F4686"/>
      <c r="G4686"/>
      <c r="H4686"/>
      <c r="I4686"/>
      <c r="J4686"/>
      <c r="K4686"/>
    </row>
    <row r="4687" spans="1:11">
      <c r="A4687"/>
      <c r="B4687"/>
      <c r="C4687"/>
      <c r="D4687"/>
      <c r="E4687"/>
      <c r="F4687"/>
      <c r="G4687"/>
      <c r="H4687"/>
      <c r="I4687"/>
      <c r="J4687"/>
      <c r="K4687"/>
    </row>
    <row r="4688" spans="1:11">
      <c r="A4688"/>
      <c r="B4688"/>
      <c r="C4688"/>
      <c r="D4688"/>
      <c r="E4688"/>
      <c r="F4688"/>
      <c r="G4688"/>
      <c r="H4688"/>
      <c r="I4688"/>
      <c r="J4688"/>
      <c r="K4688"/>
    </row>
    <row r="4689" spans="1:11">
      <c r="A4689"/>
      <c r="B4689"/>
      <c r="C4689"/>
      <c r="D4689"/>
      <c r="E4689"/>
      <c r="F4689"/>
      <c r="G4689"/>
      <c r="H4689"/>
      <c r="I4689"/>
      <c r="J4689"/>
      <c r="K4689"/>
    </row>
    <row r="4690" spans="1:11">
      <c r="A4690"/>
      <c r="B4690"/>
      <c r="C4690"/>
      <c r="D4690"/>
      <c r="E4690"/>
      <c r="F4690"/>
      <c r="G4690"/>
      <c r="H4690"/>
      <c r="I4690"/>
      <c r="J4690"/>
      <c r="K4690"/>
    </row>
    <row r="4691" spans="1:11">
      <c r="A4691"/>
      <c r="B4691"/>
      <c r="C4691"/>
      <c r="D4691"/>
      <c r="E4691"/>
      <c r="F4691"/>
      <c r="G4691"/>
      <c r="H4691"/>
      <c r="I4691"/>
      <c r="J4691"/>
      <c r="K4691"/>
    </row>
    <row r="4692" spans="1:11">
      <c r="A4692"/>
      <c r="B4692"/>
      <c r="C4692"/>
      <c r="D4692"/>
      <c r="E4692"/>
      <c r="F4692"/>
      <c r="G4692"/>
      <c r="H4692"/>
      <c r="I4692"/>
      <c r="J4692"/>
      <c r="K4692"/>
    </row>
    <row r="4693" spans="1:11">
      <c r="A4693"/>
      <c r="B4693"/>
      <c r="C4693"/>
      <c r="D4693"/>
      <c r="E4693"/>
      <c r="F4693"/>
      <c r="G4693"/>
      <c r="H4693"/>
      <c r="I4693"/>
      <c r="J4693"/>
      <c r="K4693"/>
    </row>
    <row r="4694" spans="1:11">
      <c r="A4694"/>
      <c r="B4694"/>
      <c r="C4694"/>
      <c r="D4694"/>
      <c r="E4694"/>
      <c r="F4694"/>
      <c r="G4694"/>
      <c r="H4694"/>
      <c r="I4694"/>
      <c r="J4694"/>
      <c r="K4694"/>
    </row>
    <row r="4695" spans="1:11">
      <c r="A4695"/>
      <c r="B4695"/>
      <c r="C4695"/>
      <c r="D4695"/>
      <c r="E4695"/>
      <c r="F4695"/>
      <c r="G4695"/>
      <c r="H4695"/>
      <c r="I4695"/>
      <c r="J4695"/>
      <c r="K4695"/>
    </row>
    <row r="4696" spans="1:11">
      <c r="A4696"/>
      <c r="B4696"/>
      <c r="C4696"/>
      <c r="D4696"/>
      <c r="E4696"/>
      <c r="F4696"/>
      <c r="G4696"/>
      <c r="H4696"/>
      <c r="I4696"/>
      <c r="J4696"/>
      <c r="K4696"/>
    </row>
    <row r="4697" spans="1:11">
      <c r="A4697"/>
      <c r="B4697"/>
      <c r="C4697"/>
      <c r="D4697"/>
      <c r="E4697"/>
      <c r="F4697"/>
      <c r="G4697"/>
      <c r="H4697"/>
      <c r="I4697"/>
      <c r="J4697"/>
      <c r="K4697"/>
    </row>
    <row r="4698" spans="1:11">
      <c r="A4698"/>
      <c r="B4698"/>
      <c r="C4698"/>
      <c r="D4698"/>
      <c r="E4698"/>
      <c r="F4698"/>
      <c r="G4698"/>
      <c r="H4698"/>
      <c r="I4698"/>
      <c r="J4698"/>
      <c r="K4698"/>
    </row>
    <row r="4699" spans="1:11">
      <c r="A4699"/>
      <c r="B4699"/>
      <c r="C4699"/>
      <c r="D4699"/>
      <c r="E4699"/>
      <c r="F4699"/>
      <c r="G4699"/>
      <c r="H4699"/>
      <c r="I4699"/>
      <c r="J4699"/>
      <c r="K4699"/>
    </row>
    <row r="4700" spans="1:11">
      <c r="A4700"/>
      <c r="B4700"/>
      <c r="C4700"/>
      <c r="D4700"/>
      <c r="E4700"/>
      <c r="F4700"/>
      <c r="G4700"/>
      <c r="H4700"/>
      <c r="I4700"/>
      <c r="J4700"/>
      <c r="K4700"/>
    </row>
    <row r="4701" spans="1:11">
      <c r="A4701"/>
      <c r="B4701"/>
      <c r="C4701"/>
      <c r="D4701"/>
      <c r="E4701"/>
      <c r="F4701"/>
      <c r="G4701"/>
      <c r="H4701"/>
      <c r="I4701"/>
      <c r="J4701"/>
      <c r="K4701"/>
    </row>
    <row r="4702" spans="1:11">
      <c r="A4702"/>
      <c r="B4702"/>
      <c r="C4702"/>
      <c r="D4702"/>
      <c r="E4702"/>
      <c r="F4702"/>
      <c r="G4702"/>
      <c r="H4702"/>
      <c r="I4702"/>
      <c r="J4702"/>
      <c r="K4702"/>
    </row>
    <row r="4703" spans="1:11">
      <c r="A4703"/>
      <c r="B4703"/>
      <c r="C4703"/>
      <c r="D4703"/>
      <c r="E4703"/>
      <c r="F4703"/>
      <c r="G4703"/>
      <c r="H4703"/>
      <c r="I4703"/>
      <c r="J4703"/>
      <c r="K4703"/>
    </row>
    <row r="4704" spans="1:11">
      <c r="A4704"/>
      <c r="B4704"/>
      <c r="C4704"/>
      <c r="D4704"/>
      <c r="E4704"/>
      <c r="F4704"/>
      <c r="G4704"/>
      <c r="H4704"/>
      <c r="I4704"/>
      <c r="J4704"/>
      <c r="K4704"/>
    </row>
    <row r="4705" spans="1:11">
      <c r="A4705"/>
      <c r="B4705"/>
      <c r="C4705"/>
      <c r="D4705"/>
      <c r="E4705"/>
      <c r="F4705"/>
      <c r="G4705"/>
      <c r="H4705"/>
      <c r="I4705"/>
      <c r="J4705"/>
      <c r="K4705"/>
    </row>
    <row r="4706" spans="1:11">
      <c r="A4706"/>
      <c r="B4706"/>
      <c r="C4706"/>
      <c r="D4706"/>
      <c r="E4706"/>
      <c r="F4706"/>
      <c r="G4706"/>
      <c r="H4706"/>
      <c r="I4706"/>
      <c r="J4706"/>
      <c r="K4706"/>
    </row>
    <row r="4707" spans="1:11">
      <c r="A4707"/>
      <c r="B4707"/>
      <c r="C4707"/>
      <c r="D4707"/>
      <c r="E4707"/>
      <c r="F4707"/>
      <c r="G4707"/>
      <c r="H4707"/>
      <c r="I4707"/>
      <c r="J4707"/>
      <c r="K4707"/>
    </row>
    <row r="4708" spans="1:11">
      <c r="A4708"/>
      <c r="B4708"/>
      <c r="C4708"/>
      <c r="D4708"/>
      <c r="E4708"/>
      <c r="F4708"/>
      <c r="G4708"/>
      <c r="H4708"/>
      <c r="I4708"/>
      <c r="J4708"/>
      <c r="K4708"/>
    </row>
    <row r="4709" spans="1:11">
      <c r="A4709"/>
      <c r="B4709"/>
      <c r="C4709"/>
      <c r="D4709"/>
      <c r="E4709"/>
      <c r="F4709"/>
      <c r="G4709"/>
      <c r="H4709"/>
      <c r="I4709"/>
      <c r="J4709"/>
      <c r="K4709"/>
    </row>
    <row r="4710" spans="1:11">
      <c r="A4710"/>
      <c r="B4710"/>
      <c r="C4710"/>
      <c r="D4710"/>
      <c r="E4710"/>
      <c r="F4710"/>
      <c r="G4710"/>
      <c r="H4710"/>
      <c r="I4710"/>
      <c r="J4710"/>
      <c r="K4710"/>
    </row>
    <row r="4711" spans="1:11">
      <c r="A4711"/>
      <c r="B4711"/>
      <c r="C4711"/>
      <c r="D4711"/>
      <c r="E4711"/>
      <c r="F4711"/>
      <c r="G4711"/>
      <c r="H4711"/>
      <c r="I4711"/>
      <c r="J4711"/>
      <c r="K4711"/>
    </row>
    <row r="4712" spans="1:11">
      <c r="A4712"/>
      <c r="B4712"/>
      <c r="C4712"/>
      <c r="D4712"/>
      <c r="E4712"/>
      <c r="F4712"/>
      <c r="G4712"/>
      <c r="H4712"/>
      <c r="I4712"/>
      <c r="J4712"/>
      <c r="K4712"/>
    </row>
    <row r="4713" spans="1:11">
      <c r="A4713"/>
      <c r="B4713"/>
      <c r="C4713"/>
      <c r="D4713"/>
      <c r="E4713"/>
      <c r="F4713"/>
      <c r="G4713"/>
      <c r="H4713"/>
      <c r="I4713"/>
      <c r="J4713"/>
      <c r="K4713"/>
    </row>
    <row r="4714" spans="1:11">
      <c r="A4714"/>
      <c r="B4714"/>
      <c r="C4714"/>
      <c r="D4714"/>
      <c r="E4714"/>
      <c r="F4714"/>
      <c r="G4714"/>
      <c r="H4714"/>
      <c r="I4714"/>
      <c r="J4714"/>
      <c r="K4714"/>
    </row>
    <row r="4715" spans="1:11">
      <c r="A4715"/>
      <c r="B4715"/>
      <c r="C4715"/>
      <c r="D4715"/>
      <c r="E4715"/>
      <c r="F4715"/>
      <c r="G4715"/>
      <c r="H4715"/>
      <c r="I4715"/>
      <c r="J4715"/>
      <c r="K4715"/>
    </row>
    <row r="4716" spans="1:11">
      <c r="A4716"/>
      <c r="B4716"/>
      <c r="C4716"/>
      <c r="D4716"/>
      <c r="E4716"/>
      <c r="F4716"/>
      <c r="G4716"/>
      <c r="H4716"/>
      <c r="I4716"/>
      <c r="J4716"/>
      <c r="K4716"/>
    </row>
    <row r="4717" spans="1:11">
      <c r="A4717"/>
      <c r="B4717"/>
      <c r="C4717"/>
      <c r="D4717"/>
      <c r="E4717"/>
      <c r="F4717"/>
      <c r="G4717"/>
      <c r="H4717"/>
      <c r="I4717"/>
      <c r="J4717"/>
      <c r="K4717"/>
    </row>
    <row r="4718" spans="1:11">
      <c r="A4718"/>
      <c r="B4718"/>
      <c r="C4718"/>
      <c r="D4718"/>
      <c r="E4718"/>
      <c r="F4718"/>
      <c r="G4718"/>
      <c r="H4718"/>
      <c r="I4718"/>
      <c r="J4718"/>
      <c r="K4718"/>
    </row>
    <row r="4719" spans="1:11">
      <c r="A4719"/>
      <c r="B4719"/>
      <c r="C4719"/>
      <c r="D4719"/>
      <c r="E4719"/>
      <c r="F4719"/>
      <c r="G4719"/>
      <c r="H4719"/>
      <c r="I4719"/>
      <c r="J4719"/>
      <c r="K4719"/>
    </row>
    <row r="4720" spans="1:11">
      <c r="A4720"/>
      <c r="B4720"/>
      <c r="C4720"/>
      <c r="D4720"/>
      <c r="E4720"/>
      <c r="F4720"/>
      <c r="G4720"/>
      <c r="H4720"/>
      <c r="I4720"/>
      <c r="J4720"/>
      <c r="K4720"/>
    </row>
    <row r="4721" spans="1:11">
      <c r="A4721"/>
      <c r="B4721"/>
      <c r="C4721"/>
      <c r="D4721"/>
      <c r="E4721"/>
      <c r="F4721"/>
      <c r="G4721"/>
      <c r="H4721"/>
      <c r="I4721"/>
      <c r="J4721"/>
      <c r="K4721"/>
    </row>
    <row r="4722" spans="1:11">
      <c r="A4722"/>
      <c r="B4722"/>
      <c r="C4722"/>
      <c r="D4722"/>
      <c r="E4722"/>
      <c r="F4722"/>
      <c r="G4722"/>
      <c r="H4722"/>
      <c r="I4722"/>
      <c r="J4722"/>
      <c r="K4722"/>
    </row>
    <row r="4723" spans="1:11">
      <c r="A4723"/>
      <c r="B4723"/>
      <c r="C4723"/>
      <c r="D4723"/>
      <c r="E4723"/>
      <c r="F4723"/>
      <c r="G4723"/>
      <c r="H4723"/>
      <c r="I4723"/>
      <c r="J4723"/>
      <c r="K4723"/>
    </row>
    <row r="4724" spans="1:11">
      <c r="A4724"/>
      <c r="B4724"/>
      <c r="C4724"/>
      <c r="D4724"/>
      <c r="E4724"/>
      <c r="F4724"/>
      <c r="G4724"/>
      <c r="H4724"/>
      <c r="I4724"/>
      <c r="J4724"/>
      <c r="K4724"/>
    </row>
    <row r="4725" spans="1:11">
      <c r="A4725"/>
      <c r="B4725"/>
      <c r="C4725"/>
      <c r="D4725"/>
      <c r="E4725"/>
      <c r="F4725"/>
      <c r="G4725"/>
      <c r="H4725"/>
      <c r="I4725"/>
      <c r="J4725"/>
      <c r="K4725"/>
    </row>
    <row r="4726" spans="1:11">
      <c r="A4726"/>
      <c r="B4726"/>
      <c r="C4726"/>
      <c r="D4726"/>
      <c r="E4726"/>
      <c r="F4726"/>
      <c r="G4726"/>
      <c r="H4726"/>
      <c r="I4726"/>
      <c r="J4726"/>
      <c r="K4726"/>
    </row>
    <row r="4727" spans="1:11">
      <c r="A4727"/>
      <c r="B4727"/>
      <c r="C4727"/>
      <c r="D4727"/>
      <c r="E4727"/>
      <c r="F4727"/>
      <c r="G4727"/>
      <c r="H4727"/>
      <c r="I4727"/>
      <c r="J4727"/>
      <c r="K4727"/>
    </row>
    <row r="4728" spans="1:11">
      <c r="A4728"/>
      <c r="B4728"/>
      <c r="C4728"/>
      <c r="D4728"/>
      <c r="E4728"/>
      <c r="F4728"/>
      <c r="G4728"/>
      <c r="H4728"/>
      <c r="I4728"/>
      <c r="J4728"/>
      <c r="K4728"/>
    </row>
    <row r="4729" spans="1:11">
      <c r="A4729"/>
      <c r="B4729"/>
      <c r="C4729"/>
      <c r="D4729"/>
      <c r="E4729"/>
      <c r="F4729"/>
      <c r="G4729"/>
      <c r="H4729"/>
      <c r="I4729"/>
      <c r="J4729"/>
      <c r="K4729"/>
    </row>
    <row r="4730" spans="1:11">
      <c r="A4730"/>
      <c r="B4730"/>
      <c r="C4730"/>
      <c r="D4730"/>
      <c r="E4730"/>
      <c r="F4730"/>
      <c r="G4730"/>
      <c r="H4730"/>
      <c r="I4730"/>
      <c r="J4730"/>
      <c r="K4730"/>
    </row>
    <row r="4731" spans="1:11">
      <c r="A4731"/>
      <c r="B4731"/>
      <c r="C4731"/>
      <c r="D4731"/>
      <c r="E4731"/>
      <c r="F4731"/>
      <c r="G4731"/>
      <c r="H4731"/>
      <c r="I4731"/>
      <c r="J4731"/>
      <c r="K4731"/>
    </row>
    <row r="4732" spans="1:11">
      <c r="A4732"/>
      <c r="B4732"/>
      <c r="C4732"/>
      <c r="D4732"/>
      <c r="E4732"/>
      <c r="F4732"/>
      <c r="G4732"/>
      <c r="H4732"/>
      <c r="I4732"/>
      <c r="J4732"/>
      <c r="K4732"/>
    </row>
    <row r="4733" spans="1:11">
      <c r="A4733"/>
      <c r="B4733"/>
      <c r="C4733"/>
      <c r="D4733"/>
      <c r="E4733"/>
      <c r="F4733"/>
      <c r="G4733"/>
      <c r="H4733"/>
      <c r="I4733"/>
      <c r="J4733"/>
      <c r="K4733"/>
    </row>
    <row r="4734" spans="1:11">
      <c r="A4734"/>
      <c r="B4734"/>
      <c r="C4734"/>
      <c r="D4734"/>
      <c r="E4734"/>
      <c r="F4734"/>
      <c r="G4734"/>
      <c r="H4734"/>
      <c r="I4734"/>
      <c r="J4734"/>
      <c r="K4734"/>
    </row>
    <row r="4735" spans="1:11">
      <c r="A4735"/>
      <c r="B4735"/>
      <c r="C4735"/>
      <c r="D4735"/>
      <c r="E4735"/>
      <c r="F4735"/>
      <c r="G4735"/>
      <c r="H4735"/>
      <c r="I4735"/>
      <c r="J4735"/>
      <c r="K4735"/>
    </row>
    <row r="4736" spans="1:11">
      <c r="A4736"/>
      <c r="B4736"/>
      <c r="C4736"/>
      <c r="D4736"/>
      <c r="E4736"/>
      <c r="F4736"/>
      <c r="G4736"/>
      <c r="H4736"/>
      <c r="I4736"/>
      <c r="J4736"/>
      <c r="K4736"/>
    </row>
    <row r="4737" spans="1:11">
      <c r="A4737"/>
      <c r="B4737"/>
      <c r="C4737"/>
      <c r="D4737"/>
      <c r="E4737"/>
      <c r="F4737"/>
      <c r="G4737"/>
      <c r="H4737"/>
      <c r="I4737"/>
      <c r="J4737"/>
      <c r="K4737"/>
    </row>
    <row r="4738" spans="1:11">
      <c r="A4738"/>
      <c r="B4738"/>
      <c r="C4738"/>
      <c r="D4738"/>
      <c r="E4738"/>
      <c r="F4738"/>
      <c r="G4738"/>
      <c r="H4738"/>
      <c r="I4738"/>
      <c r="J4738"/>
      <c r="K4738"/>
    </row>
    <row r="4739" spans="1:11">
      <c r="A4739"/>
      <c r="B4739"/>
      <c r="C4739"/>
      <c r="D4739"/>
      <c r="E4739"/>
      <c r="F4739"/>
      <c r="G4739"/>
      <c r="H4739"/>
      <c r="I4739"/>
      <c r="J4739"/>
      <c r="K4739"/>
    </row>
    <row r="4740" spans="1:11">
      <c r="A4740"/>
      <c r="B4740"/>
      <c r="C4740"/>
      <c r="D4740"/>
      <c r="E4740"/>
      <c r="F4740"/>
      <c r="G4740"/>
      <c r="H4740"/>
      <c r="I4740"/>
      <c r="J4740"/>
      <c r="K4740"/>
    </row>
    <row r="4741" spans="1:11">
      <c r="A4741"/>
      <c r="B4741"/>
      <c r="C4741"/>
      <c r="D4741"/>
      <c r="E4741"/>
      <c r="F4741"/>
      <c r="G4741"/>
      <c r="H4741"/>
      <c r="I4741"/>
      <c r="J4741"/>
      <c r="K4741"/>
    </row>
    <row r="4742" spans="1:11">
      <c r="A4742"/>
      <c r="B4742"/>
      <c r="C4742"/>
      <c r="D4742"/>
      <c r="E4742"/>
      <c r="F4742"/>
      <c r="G4742"/>
      <c r="H4742"/>
      <c r="I4742"/>
      <c r="J4742"/>
      <c r="K4742"/>
    </row>
    <row r="4743" spans="1:11">
      <c r="A4743"/>
      <c r="B4743"/>
      <c r="C4743"/>
      <c r="D4743"/>
      <c r="E4743"/>
      <c r="F4743"/>
      <c r="G4743"/>
      <c r="H4743"/>
      <c r="I4743"/>
      <c r="J4743"/>
      <c r="K4743"/>
    </row>
    <row r="4744" spans="1:11">
      <c r="A4744"/>
      <c r="B4744"/>
      <c r="C4744"/>
      <c r="D4744"/>
      <c r="E4744"/>
      <c r="F4744"/>
      <c r="G4744"/>
      <c r="H4744"/>
      <c r="I4744"/>
      <c r="J4744"/>
      <c r="K4744"/>
    </row>
    <row r="4745" spans="1:11">
      <c r="A4745"/>
      <c r="B4745"/>
      <c r="C4745"/>
      <c r="D4745"/>
      <c r="E4745"/>
      <c r="F4745"/>
      <c r="G4745"/>
      <c r="H4745"/>
      <c r="I4745"/>
      <c r="J4745"/>
      <c r="K4745"/>
    </row>
    <row r="4746" spans="1:11">
      <c r="A4746"/>
      <c r="B4746"/>
      <c r="C4746"/>
      <c r="D4746"/>
      <c r="E4746"/>
      <c r="F4746"/>
      <c r="G4746"/>
      <c r="H4746"/>
      <c r="I4746"/>
      <c r="J4746"/>
      <c r="K4746"/>
    </row>
    <row r="4747" spans="1:11">
      <c r="A4747"/>
      <c r="B4747"/>
      <c r="C4747"/>
      <c r="D4747"/>
      <c r="E4747"/>
      <c r="F4747"/>
      <c r="G4747"/>
      <c r="H4747"/>
      <c r="I4747"/>
      <c r="J4747"/>
      <c r="K4747"/>
    </row>
    <row r="4748" spans="1:11">
      <c r="A4748"/>
      <c r="B4748"/>
      <c r="C4748"/>
      <c r="D4748"/>
      <c r="E4748"/>
      <c r="F4748"/>
      <c r="G4748"/>
      <c r="H4748"/>
      <c r="I4748"/>
      <c r="J4748"/>
      <c r="K4748"/>
    </row>
    <row r="4749" spans="1:11">
      <c r="A4749"/>
      <c r="B4749"/>
      <c r="C4749"/>
      <c r="D4749"/>
      <c r="E4749"/>
      <c r="F4749"/>
      <c r="G4749"/>
      <c r="H4749"/>
      <c r="I4749"/>
      <c r="J4749"/>
      <c r="K4749"/>
    </row>
    <row r="4750" spans="1:11">
      <c r="A4750"/>
      <c r="B4750"/>
      <c r="C4750"/>
      <c r="D4750"/>
      <c r="E4750"/>
      <c r="F4750"/>
      <c r="G4750"/>
      <c r="H4750"/>
      <c r="I4750"/>
      <c r="J4750"/>
      <c r="K4750"/>
    </row>
    <row r="4751" spans="1:11">
      <c r="A4751"/>
      <c r="B4751"/>
      <c r="C4751"/>
      <c r="D4751"/>
      <c r="E4751"/>
      <c r="F4751"/>
      <c r="G4751"/>
      <c r="H4751"/>
      <c r="I4751"/>
      <c r="J4751"/>
      <c r="K4751"/>
    </row>
    <row r="4752" spans="1:11">
      <c r="A4752"/>
      <c r="B4752"/>
      <c r="C4752"/>
      <c r="D4752"/>
      <c r="E4752"/>
      <c r="F4752"/>
      <c r="G4752"/>
      <c r="H4752"/>
      <c r="I4752"/>
      <c r="J4752"/>
      <c r="K4752"/>
    </row>
    <row r="4753" spans="1:11">
      <c r="A4753"/>
      <c r="B4753"/>
      <c r="C4753"/>
      <c r="D4753"/>
      <c r="E4753"/>
      <c r="F4753"/>
      <c r="G4753"/>
      <c r="H4753"/>
      <c r="I4753"/>
      <c r="J4753"/>
      <c r="K4753"/>
    </row>
    <row r="4754" spans="1:11">
      <c r="A4754"/>
      <c r="B4754"/>
      <c r="C4754"/>
      <c r="D4754"/>
      <c r="E4754"/>
      <c r="F4754"/>
      <c r="G4754"/>
      <c r="H4754"/>
      <c r="I4754"/>
      <c r="J4754"/>
      <c r="K4754"/>
    </row>
    <row r="4755" spans="1:11">
      <c r="A4755"/>
      <c r="B4755"/>
      <c r="C4755"/>
      <c r="D4755"/>
      <c r="E4755"/>
      <c r="F4755"/>
      <c r="G4755"/>
      <c r="H4755"/>
      <c r="I4755"/>
      <c r="J4755"/>
      <c r="K4755"/>
    </row>
    <row r="4756" spans="1:11">
      <c r="A4756"/>
      <c r="B4756"/>
      <c r="C4756"/>
      <c r="D4756"/>
      <c r="E4756"/>
      <c r="F4756"/>
      <c r="G4756"/>
      <c r="H4756"/>
      <c r="I4756"/>
      <c r="J4756"/>
      <c r="K4756"/>
    </row>
    <row r="4757" spans="1:11">
      <c r="A4757"/>
      <c r="B4757"/>
      <c r="C4757"/>
      <c r="D4757"/>
      <c r="E4757"/>
      <c r="F4757"/>
      <c r="G4757"/>
      <c r="H4757"/>
      <c r="I4757"/>
      <c r="J4757"/>
      <c r="K4757"/>
    </row>
    <row r="4758" spans="1:11">
      <c r="A4758"/>
      <c r="B4758"/>
      <c r="C4758"/>
      <c r="D4758"/>
      <c r="E4758"/>
      <c r="F4758"/>
      <c r="G4758"/>
      <c r="H4758"/>
      <c r="I4758"/>
      <c r="J4758"/>
      <c r="K4758"/>
    </row>
    <row r="4759" spans="1:11">
      <c r="A4759"/>
      <c r="B4759"/>
      <c r="C4759"/>
      <c r="D4759"/>
      <c r="E4759"/>
      <c r="F4759"/>
      <c r="G4759"/>
      <c r="H4759"/>
      <c r="I4759"/>
      <c r="J4759"/>
      <c r="K4759"/>
    </row>
    <row r="4760" spans="1:11">
      <c r="A4760"/>
      <c r="B4760"/>
      <c r="C4760"/>
      <c r="D4760"/>
      <c r="E4760"/>
      <c r="F4760"/>
      <c r="G4760"/>
      <c r="H4760"/>
      <c r="I4760"/>
      <c r="J4760"/>
      <c r="K4760"/>
    </row>
    <row r="4761" spans="1:11">
      <c r="A4761"/>
      <c r="B4761"/>
      <c r="C4761"/>
      <c r="D4761"/>
      <c r="E4761"/>
      <c r="F4761"/>
      <c r="G4761"/>
      <c r="H4761"/>
      <c r="I4761"/>
      <c r="J4761"/>
      <c r="K4761"/>
    </row>
    <row r="4762" spans="1:11">
      <c r="A4762"/>
      <c r="B4762"/>
      <c r="C4762"/>
      <c r="D4762"/>
      <c r="E4762"/>
      <c r="F4762"/>
      <c r="G4762"/>
      <c r="H4762"/>
      <c r="I4762"/>
      <c r="J4762"/>
      <c r="K4762"/>
    </row>
    <row r="4763" spans="1:11">
      <c r="A4763"/>
      <c r="B4763"/>
      <c r="C4763"/>
      <c r="D4763"/>
      <c r="E4763"/>
      <c r="F4763"/>
      <c r="G4763"/>
      <c r="H4763"/>
      <c r="I4763"/>
      <c r="J4763"/>
      <c r="K4763"/>
    </row>
    <row r="4764" spans="1:11">
      <c r="A4764"/>
      <c r="B4764"/>
      <c r="C4764"/>
      <c r="D4764"/>
      <c r="E4764"/>
      <c r="F4764"/>
      <c r="G4764"/>
      <c r="H4764"/>
      <c r="I4764"/>
      <c r="J4764"/>
      <c r="K4764"/>
    </row>
    <row r="4765" spans="1:11">
      <c r="A4765"/>
      <c r="B4765"/>
      <c r="C4765"/>
      <c r="D4765"/>
      <c r="E4765"/>
      <c r="F4765"/>
      <c r="G4765"/>
      <c r="H4765"/>
      <c r="I4765"/>
      <c r="J4765"/>
      <c r="K4765"/>
    </row>
    <row r="4766" spans="1:11">
      <c r="A4766"/>
      <c r="B4766"/>
      <c r="C4766"/>
      <c r="D4766"/>
      <c r="E4766"/>
      <c r="F4766"/>
      <c r="G4766"/>
      <c r="H4766"/>
      <c r="I4766"/>
      <c r="J4766"/>
      <c r="K4766"/>
    </row>
    <row r="4767" spans="1:11">
      <c r="A4767"/>
      <c r="B4767"/>
      <c r="C4767"/>
      <c r="D4767"/>
      <c r="E4767"/>
      <c r="F4767"/>
      <c r="G4767"/>
      <c r="H4767"/>
      <c r="I4767"/>
      <c r="J4767"/>
      <c r="K4767"/>
    </row>
    <row r="4768" spans="1:11">
      <c r="A4768"/>
      <c r="B4768"/>
      <c r="C4768"/>
      <c r="D4768"/>
      <c r="E4768"/>
      <c r="F4768"/>
      <c r="G4768"/>
      <c r="H4768"/>
      <c r="I4768"/>
      <c r="J4768"/>
      <c r="K4768"/>
    </row>
    <row r="4769" spans="1:11">
      <c r="A4769"/>
      <c r="B4769"/>
      <c r="C4769"/>
      <c r="D4769"/>
      <c r="E4769"/>
      <c r="F4769"/>
      <c r="G4769"/>
      <c r="H4769"/>
      <c r="I4769"/>
      <c r="J4769"/>
      <c r="K4769"/>
    </row>
    <row r="4770" spans="1:11">
      <c r="A4770"/>
      <c r="B4770"/>
      <c r="C4770"/>
      <c r="D4770"/>
      <c r="E4770"/>
      <c r="F4770"/>
      <c r="G4770"/>
      <c r="H4770"/>
      <c r="I4770"/>
      <c r="J4770"/>
      <c r="K4770"/>
    </row>
    <row r="4771" spans="1:11">
      <c r="A4771"/>
      <c r="B4771"/>
      <c r="C4771"/>
      <c r="D4771"/>
      <c r="E4771"/>
      <c r="F4771"/>
      <c r="G4771"/>
      <c r="H4771"/>
      <c r="I4771"/>
      <c r="J4771"/>
      <c r="K4771"/>
    </row>
    <row r="4772" spans="1:11">
      <c r="A4772"/>
      <c r="B4772"/>
      <c r="C4772"/>
      <c r="D4772"/>
      <c r="E4772"/>
      <c r="F4772"/>
      <c r="G4772"/>
      <c r="H4772"/>
      <c r="I4772"/>
      <c r="J4772"/>
      <c r="K4772"/>
    </row>
    <row r="4773" spans="1:11">
      <c r="A4773"/>
      <c r="B4773"/>
      <c r="C4773"/>
      <c r="D4773"/>
      <c r="E4773"/>
      <c r="F4773"/>
      <c r="G4773"/>
      <c r="H4773"/>
      <c r="I4773"/>
      <c r="J4773"/>
      <c r="K4773"/>
    </row>
    <row r="4774" spans="1:11">
      <c r="A4774"/>
      <c r="B4774"/>
      <c r="C4774"/>
      <c r="D4774"/>
      <c r="E4774"/>
      <c r="F4774"/>
      <c r="G4774"/>
      <c r="H4774"/>
      <c r="I4774"/>
      <c r="J4774"/>
      <c r="K4774"/>
    </row>
    <row r="4775" spans="1:11">
      <c r="A4775"/>
      <c r="B4775"/>
      <c r="C4775"/>
      <c r="D4775"/>
      <c r="E4775"/>
      <c r="F4775"/>
      <c r="G4775"/>
      <c r="H4775"/>
      <c r="I4775"/>
      <c r="J4775"/>
      <c r="K4775"/>
    </row>
    <row r="4776" spans="1:11">
      <c r="A4776"/>
      <c r="B4776"/>
      <c r="C4776"/>
      <c r="D4776"/>
      <c r="E4776"/>
      <c r="F4776"/>
      <c r="G4776"/>
      <c r="H4776"/>
      <c r="I4776"/>
      <c r="J4776"/>
      <c r="K4776"/>
    </row>
    <row r="4777" spans="1:11">
      <c r="A4777"/>
      <c r="B4777"/>
      <c r="C4777"/>
      <c r="D4777"/>
      <c r="E4777"/>
      <c r="F4777"/>
      <c r="G4777"/>
      <c r="H4777"/>
      <c r="I4777"/>
      <c r="J4777"/>
      <c r="K4777"/>
    </row>
    <row r="4778" spans="1:11">
      <c r="A4778"/>
      <c r="B4778"/>
      <c r="C4778"/>
      <c r="D4778"/>
      <c r="E4778"/>
      <c r="F4778"/>
      <c r="G4778"/>
      <c r="H4778"/>
      <c r="I4778"/>
      <c r="J4778"/>
      <c r="K4778"/>
    </row>
    <row r="4779" spans="1:11">
      <c r="A4779"/>
      <c r="B4779"/>
      <c r="C4779"/>
      <c r="D4779"/>
      <c r="E4779"/>
      <c r="F4779"/>
      <c r="G4779"/>
      <c r="H4779"/>
      <c r="I4779"/>
      <c r="J4779"/>
      <c r="K4779"/>
    </row>
    <row r="4780" spans="1:11">
      <c r="A4780"/>
      <c r="B4780"/>
      <c r="C4780"/>
      <c r="D4780"/>
      <c r="E4780"/>
      <c r="F4780"/>
      <c r="G4780"/>
      <c r="H4780"/>
      <c r="I4780"/>
      <c r="J4780"/>
      <c r="K4780"/>
    </row>
    <row r="4781" spans="1:11">
      <c r="A4781"/>
      <c r="B4781"/>
      <c r="C4781"/>
      <c r="D4781"/>
      <c r="E4781"/>
      <c r="F4781"/>
      <c r="G4781"/>
      <c r="H4781"/>
      <c r="I4781"/>
      <c r="J4781"/>
      <c r="K4781"/>
    </row>
    <row r="4782" spans="1:11">
      <c r="A4782"/>
      <c r="B4782"/>
      <c r="C4782"/>
      <c r="D4782"/>
      <c r="E4782"/>
      <c r="F4782"/>
      <c r="G4782"/>
      <c r="H4782"/>
      <c r="I4782"/>
      <c r="J4782"/>
      <c r="K4782"/>
    </row>
    <row r="4783" spans="1:11">
      <c r="A4783"/>
      <c r="B4783"/>
      <c r="C4783"/>
      <c r="D4783"/>
      <c r="E4783"/>
      <c r="F4783"/>
      <c r="G4783"/>
      <c r="H4783"/>
      <c r="I4783"/>
      <c r="J4783"/>
      <c r="K4783"/>
    </row>
    <row r="4784" spans="1:11">
      <c r="A4784"/>
      <c r="B4784"/>
      <c r="C4784"/>
      <c r="D4784"/>
      <c r="E4784"/>
      <c r="F4784"/>
      <c r="G4784"/>
      <c r="H4784"/>
      <c r="I4784"/>
      <c r="J4784"/>
      <c r="K4784"/>
    </row>
    <row r="4785" spans="1:11">
      <c r="A4785"/>
      <c r="B4785"/>
      <c r="C4785"/>
      <c r="D4785"/>
      <c r="E4785"/>
      <c r="F4785"/>
      <c r="G4785"/>
      <c r="H4785"/>
      <c r="I4785"/>
      <c r="J4785"/>
      <c r="K4785"/>
    </row>
    <row r="4786" spans="1:11">
      <c r="A4786"/>
      <c r="B4786"/>
      <c r="C4786"/>
      <c r="D4786"/>
      <c r="E4786"/>
      <c r="F4786"/>
      <c r="G4786"/>
      <c r="H4786"/>
      <c r="I4786"/>
      <c r="J4786"/>
      <c r="K4786"/>
    </row>
    <row r="4787" spans="1:11">
      <c r="A4787"/>
      <c r="B4787"/>
      <c r="C4787"/>
      <c r="D4787"/>
      <c r="E4787"/>
      <c r="F4787"/>
      <c r="G4787"/>
      <c r="H4787"/>
      <c r="I4787"/>
      <c r="J4787"/>
      <c r="K4787"/>
    </row>
    <row r="4788" spans="1:11">
      <c r="A4788"/>
      <c r="B4788"/>
      <c r="C4788"/>
      <c r="D4788"/>
      <c r="E4788"/>
      <c r="F4788"/>
      <c r="G4788"/>
      <c r="H4788"/>
      <c r="I4788"/>
      <c r="J4788"/>
      <c r="K4788"/>
    </row>
    <row r="4789" spans="1:11">
      <c r="A4789"/>
      <c r="B4789"/>
      <c r="C4789"/>
      <c r="D4789"/>
      <c r="E4789"/>
      <c r="F4789"/>
      <c r="G4789"/>
      <c r="H4789"/>
      <c r="I4789"/>
      <c r="J4789"/>
      <c r="K4789"/>
    </row>
    <row r="4790" spans="1:11">
      <c r="A4790"/>
      <c r="B4790"/>
      <c r="C4790"/>
      <c r="D4790"/>
      <c r="E4790"/>
      <c r="F4790"/>
      <c r="G4790"/>
      <c r="H4790"/>
      <c r="I4790"/>
      <c r="J4790"/>
      <c r="K4790"/>
    </row>
    <row r="4791" spans="1:11">
      <c r="A4791"/>
      <c r="B4791"/>
      <c r="C4791"/>
      <c r="D4791"/>
      <c r="E4791"/>
      <c r="F4791"/>
      <c r="G4791"/>
      <c r="H4791"/>
      <c r="I4791"/>
      <c r="J4791"/>
      <c r="K4791"/>
    </row>
    <row r="4792" spans="1:11">
      <c r="A4792"/>
      <c r="B4792"/>
      <c r="C4792"/>
      <c r="D4792"/>
      <c r="E4792"/>
      <c r="F4792"/>
      <c r="G4792"/>
      <c r="H4792"/>
      <c r="I4792"/>
      <c r="J4792"/>
      <c r="K4792"/>
    </row>
    <row r="4793" spans="1:11">
      <c r="A4793"/>
      <c r="B4793"/>
      <c r="C4793"/>
      <c r="D4793"/>
      <c r="E4793"/>
      <c r="F4793"/>
      <c r="G4793"/>
      <c r="H4793"/>
      <c r="I4793"/>
      <c r="J4793"/>
      <c r="K4793"/>
    </row>
    <row r="4794" spans="1:11">
      <c r="A4794"/>
      <c r="B4794"/>
      <c r="C4794"/>
      <c r="D4794"/>
      <c r="E4794"/>
      <c r="F4794"/>
      <c r="G4794"/>
      <c r="H4794"/>
      <c r="I4794"/>
      <c r="J4794"/>
      <c r="K4794"/>
    </row>
    <row r="4795" spans="1:11">
      <c r="A4795"/>
      <c r="B4795"/>
      <c r="C4795"/>
      <c r="D4795"/>
      <c r="E4795"/>
      <c r="F4795"/>
      <c r="G4795"/>
      <c r="H4795"/>
      <c r="I4795"/>
      <c r="J4795"/>
      <c r="K4795"/>
    </row>
    <row r="4796" spans="1:11">
      <c r="A4796"/>
      <c r="B4796"/>
      <c r="C4796"/>
      <c r="D4796"/>
      <c r="E4796"/>
      <c r="F4796"/>
      <c r="G4796"/>
      <c r="H4796"/>
      <c r="I4796"/>
      <c r="J4796"/>
      <c r="K4796"/>
    </row>
    <row r="4797" spans="1:11">
      <c r="A4797"/>
      <c r="B4797"/>
      <c r="C4797"/>
      <c r="D4797"/>
      <c r="E4797"/>
      <c r="F4797"/>
      <c r="G4797"/>
      <c r="H4797"/>
      <c r="I4797"/>
      <c r="J4797"/>
      <c r="K4797"/>
    </row>
    <row r="4798" spans="1:11">
      <c r="A4798"/>
      <c r="B4798"/>
      <c r="C4798"/>
      <c r="D4798"/>
      <c r="E4798"/>
      <c r="F4798"/>
      <c r="G4798"/>
      <c r="H4798"/>
      <c r="I4798"/>
      <c r="J4798"/>
      <c r="K4798"/>
    </row>
    <row r="4799" spans="1:11">
      <c r="A4799"/>
      <c r="B4799"/>
      <c r="C4799"/>
      <c r="D4799"/>
      <c r="E4799"/>
      <c r="F4799"/>
      <c r="G4799"/>
      <c r="H4799"/>
      <c r="I4799"/>
      <c r="J4799"/>
      <c r="K4799"/>
    </row>
    <row r="4800" spans="1:11">
      <c r="A4800"/>
      <c r="B4800"/>
      <c r="C4800"/>
      <c r="D4800"/>
      <c r="E4800"/>
      <c r="F4800"/>
      <c r="G4800"/>
      <c r="H4800"/>
      <c r="I4800"/>
      <c r="J4800"/>
      <c r="K4800"/>
    </row>
    <row r="4801" spans="1:11">
      <c r="A4801"/>
      <c r="B4801"/>
      <c r="C4801"/>
      <c r="D4801"/>
      <c r="E4801"/>
      <c r="F4801"/>
      <c r="G4801"/>
      <c r="H4801"/>
      <c r="I4801"/>
      <c r="J4801"/>
      <c r="K4801"/>
    </row>
    <row r="4802" spans="1:11">
      <c r="A4802"/>
      <c r="B4802"/>
      <c r="C4802"/>
      <c r="D4802"/>
      <c r="E4802"/>
      <c r="F4802"/>
      <c r="G4802"/>
      <c r="H4802"/>
      <c r="I4802"/>
      <c r="J4802"/>
      <c r="K4802"/>
    </row>
    <row r="4803" spans="1:11">
      <c r="A4803"/>
      <c r="B4803"/>
      <c r="C4803"/>
      <c r="D4803"/>
      <c r="E4803"/>
      <c r="F4803"/>
      <c r="G4803"/>
      <c r="H4803"/>
      <c r="I4803"/>
      <c r="J4803"/>
      <c r="K4803"/>
    </row>
    <row r="4804" spans="1:11">
      <c r="A4804"/>
      <c r="B4804"/>
      <c r="C4804"/>
      <c r="D4804"/>
      <c r="E4804"/>
      <c r="F4804"/>
      <c r="G4804"/>
      <c r="H4804"/>
      <c r="I4804"/>
      <c r="J4804"/>
      <c r="K4804"/>
    </row>
    <row r="4805" spans="1:11">
      <c r="A4805"/>
      <c r="B4805"/>
      <c r="C4805"/>
      <c r="D4805"/>
      <c r="E4805"/>
      <c r="F4805"/>
      <c r="G4805"/>
      <c r="H4805"/>
      <c r="I4805"/>
      <c r="J4805"/>
      <c r="K4805"/>
    </row>
    <row r="4806" spans="1:11">
      <c r="A4806"/>
      <c r="B4806"/>
      <c r="C4806"/>
      <c r="D4806"/>
      <c r="E4806"/>
      <c r="F4806"/>
      <c r="G4806"/>
      <c r="H4806"/>
      <c r="I4806"/>
      <c r="J4806"/>
      <c r="K4806"/>
    </row>
    <row r="4807" spans="1:11">
      <c r="A4807"/>
      <c r="B4807"/>
      <c r="C4807"/>
      <c r="D4807"/>
      <c r="E4807"/>
      <c r="F4807"/>
      <c r="G4807"/>
      <c r="H4807"/>
      <c r="I4807"/>
      <c r="J4807"/>
      <c r="K4807"/>
    </row>
    <row r="4808" spans="1:11">
      <c r="A4808"/>
      <c r="B4808"/>
      <c r="C4808"/>
      <c r="D4808"/>
      <c r="E4808"/>
      <c r="F4808"/>
      <c r="G4808"/>
      <c r="H4808"/>
      <c r="I4808"/>
      <c r="J4808"/>
      <c r="K4808"/>
    </row>
    <row r="4809" spans="1:11">
      <c r="A4809"/>
      <c r="B4809"/>
      <c r="C4809"/>
      <c r="D4809"/>
      <c r="E4809"/>
      <c r="F4809"/>
      <c r="G4809"/>
      <c r="H4809"/>
      <c r="I4809"/>
      <c r="J4809"/>
      <c r="K4809"/>
    </row>
    <row r="4810" spans="1:11">
      <c r="A4810"/>
      <c r="B4810"/>
      <c r="C4810"/>
      <c r="D4810"/>
      <c r="E4810"/>
      <c r="F4810"/>
      <c r="G4810"/>
      <c r="H4810"/>
      <c r="I4810"/>
      <c r="J4810"/>
      <c r="K4810"/>
    </row>
    <row r="4811" spans="1:11">
      <c r="A4811"/>
      <c r="B4811"/>
      <c r="C4811"/>
      <c r="D4811"/>
      <c r="E4811"/>
      <c r="F4811"/>
      <c r="G4811"/>
      <c r="H4811"/>
      <c r="I4811"/>
      <c r="J4811"/>
      <c r="K4811"/>
    </row>
    <row r="4812" spans="1:11">
      <c r="A4812"/>
      <c r="B4812"/>
      <c r="C4812"/>
      <c r="D4812"/>
      <c r="E4812"/>
      <c r="F4812"/>
      <c r="G4812"/>
      <c r="H4812"/>
      <c r="I4812"/>
      <c r="J4812"/>
      <c r="K4812"/>
    </row>
    <row r="4813" spans="1:11">
      <c r="A4813"/>
      <c r="B4813"/>
      <c r="C4813"/>
      <c r="D4813"/>
      <c r="E4813"/>
      <c r="F4813"/>
      <c r="G4813"/>
      <c r="H4813"/>
      <c r="I4813"/>
      <c r="J4813"/>
      <c r="K4813"/>
    </row>
    <row r="4814" spans="1:11">
      <c r="A4814"/>
      <c r="B4814"/>
      <c r="C4814"/>
      <c r="D4814"/>
      <c r="E4814"/>
      <c r="F4814"/>
      <c r="G4814"/>
      <c r="H4814"/>
      <c r="I4814"/>
      <c r="J4814"/>
      <c r="K4814"/>
    </row>
    <row r="4815" spans="1:11">
      <c r="A4815"/>
      <c r="B4815"/>
      <c r="C4815"/>
      <c r="D4815"/>
      <c r="E4815"/>
      <c r="F4815"/>
      <c r="G4815"/>
      <c r="H4815"/>
      <c r="I4815"/>
      <c r="J4815"/>
      <c r="K4815"/>
    </row>
    <row r="4816" spans="1:11">
      <c r="A4816"/>
      <c r="B4816"/>
      <c r="C4816"/>
      <c r="D4816"/>
      <c r="E4816"/>
      <c r="F4816"/>
      <c r="G4816"/>
      <c r="H4816"/>
      <c r="I4816"/>
      <c r="J4816"/>
      <c r="K4816"/>
    </row>
    <row r="4817" spans="1:11">
      <c r="A4817"/>
      <c r="B4817"/>
      <c r="C4817"/>
      <c r="D4817"/>
      <c r="E4817"/>
      <c r="F4817"/>
      <c r="G4817"/>
      <c r="H4817"/>
      <c r="I4817"/>
      <c r="J4817"/>
      <c r="K4817"/>
    </row>
    <row r="4818" spans="1:11">
      <c r="A4818"/>
      <c r="B4818"/>
      <c r="C4818"/>
      <c r="D4818"/>
      <c r="E4818"/>
      <c r="F4818"/>
      <c r="G4818"/>
      <c r="H4818"/>
      <c r="I4818"/>
      <c r="J4818"/>
      <c r="K4818"/>
    </row>
    <row r="4819" spans="1:11">
      <c r="A4819"/>
      <c r="B4819"/>
      <c r="C4819"/>
      <c r="D4819"/>
      <c r="E4819"/>
      <c r="F4819"/>
      <c r="G4819"/>
      <c r="H4819"/>
      <c r="I4819"/>
      <c r="J4819"/>
      <c r="K4819"/>
    </row>
    <row r="4820" spans="1:11">
      <c r="A4820"/>
      <c r="B4820"/>
      <c r="C4820"/>
      <c r="D4820"/>
      <c r="E4820"/>
      <c r="F4820"/>
      <c r="G4820"/>
      <c r="H4820"/>
      <c r="I4820"/>
      <c r="J4820"/>
      <c r="K4820"/>
    </row>
    <row r="4821" spans="1:11">
      <c r="A4821"/>
      <c r="B4821"/>
      <c r="C4821"/>
      <c r="D4821"/>
      <c r="E4821"/>
      <c r="F4821"/>
      <c r="G4821"/>
      <c r="H4821"/>
      <c r="I4821"/>
      <c r="J4821"/>
      <c r="K4821"/>
    </row>
    <row r="4822" spans="1:11">
      <c r="A4822"/>
      <c r="B4822"/>
      <c r="C4822"/>
      <c r="D4822"/>
      <c r="E4822"/>
      <c r="F4822"/>
      <c r="G4822"/>
      <c r="H4822"/>
      <c r="I4822"/>
      <c r="J4822"/>
      <c r="K4822"/>
    </row>
    <row r="4823" spans="1:11">
      <c r="A4823"/>
      <c r="B4823"/>
      <c r="C4823"/>
      <c r="D4823"/>
      <c r="E4823"/>
      <c r="F4823"/>
      <c r="G4823"/>
      <c r="H4823"/>
      <c r="I4823"/>
      <c r="J4823"/>
      <c r="K4823"/>
    </row>
    <row r="4824" spans="1:11">
      <c r="A4824"/>
      <c r="B4824"/>
      <c r="C4824"/>
      <c r="D4824"/>
      <c r="E4824"/>
      <c r="F4824"/>
      <c r="G4824"/>
      <c r="H4824"/>
      <c r="I4824"/>
      <c r="J4824"/>
      <c r="K4824"/>
    </row>
    <row r="4825" spans="1:11">
      <c r="A4825"/>
      <c r="B4825"/>
      <c r="C4825"/>
      <c r="D4825"/>
      <c r="E4825"/>
      <c r="F4825"/>
      <c r="G4825"/>
      <c r="H4825"/>
      <c r="I4825"/>
      <c r="J4825"/>
      <c r="K4825"/>
    </row>
    <row r="4826" spans="1:11">
      <c r="A4826"/>
      <c r="B4826"/>
      <c r="C4826"/>
      <c r="D4826"/>
      <c r="E4826"/>
      <c r="F4826"/>
      <c r="G4826"/>
      <c r="H4826"/>
      <c r="I4826"/>
      <c r="J4826"/>
      <c r="K4826"/>
    </row>
    <row r="4827" spans="1:11">
      <c r="A4827"/>
      <c r="B4827"/>
      <c r="C4827"/>
      <c r="D4827"/>
      <c r="E4827"/>
      <c r="F4827"/>
      <c r="G4827"/>
      <c r="H4827"/>
      <c r="I4827"/>
      <c r="J4827"/>
      <c r="K4827"/>
    </row>
    <row r="4828" spans="1:11">
      <c r="A4828"/>
      <c r="B4828"/>
      <c r="C4828"/>
      <c r="D4828"/>
      <c r="E4828"/>
      <c r="F4828"/>
      <c r="G4828"/>
      <c r="H4828"/>
      <c r="I4828"/>
      <c r="J4828"/>
      <c r="K4828"/>
    </row>
    <row r="4829" spans="1:11">
      <c r="A4829"/>
      <c r="B4829"/>
      <c r="C4829"/>
      <c r="D4829"/>
      <c r="E4829"/>
      <c r="F4829"/>
      <c r="G4829"/>
      <c r="H4829"/>
      <c r="I4829"/>
      <c r="J4829"/>
      <c r="K4829"/>
    </row>
    <row r="4830" spans="1:11">
      <c r="A4830"/>
      <c r="B4830"/>
      <c r="C4830"/>
      <c r="D4830"/>
      <c r="E4830"/>
      <c r="F4830"/>
      <c r="G4830"/>
      <c r="H4830"/>
      <c r="I4830"/>
      <c r="J4830"/>
      <c r="K4830"/>
    </row>
    <row r="4831" spans="1:11">
      <c r="A4831"/>
      <c r="B4831"/>
      <c r="C4831"/>
      <c r="D4831"/>
      <c r="E4831"/>
      <c r="F4831"/>
      <c r="G4831"/>
      <c r="H4831"/>
      <c r="I4831"/>
      <c r="J4831"/>
      <c r="K4831"/>
    </row>
    <row r="4832" spans="1:11">
      <c r="A4832"/>
      <c r="B4832"/>
      <c r="C4832"/>
      <c r="D4832"/>
      <c r="E4832"/>
      <c r="F4832"/>
      <c r="G4832"/>
      <c r="H4832"/>
      <c r="I4832"/>
      <c r="J4832"/>
      <c r="K4832"/>
    </row>
    <row r="4833" spans="1:11">
      <c r="A4833"/>
      <c r="B4833"/>
      <c r="C4833"/>
      <c r="D4833"/>
      <c r="E4833"/>
      <c r="F4833"/>
      <c r="G4833"/>
      <c r="H4833"/>
      <c r="I4833"/>
      <c r="J4833"/>
      <c r="K4833"/>
    </row>
    <row r="4834" spans="1:11">
      <c r="A4834"/>
      <c r="B4834"/>
      <c r="C4834"/>
      <c r="D4834"/>
      <c r="E4834"/>
      <c r="F4834"/>
      <c r="G4834"/>
      <c r="H4834"/>
      <c r="I4834"/>
      <c r="J4834"/>
      <c r="K4834"/>
    </row>
    <row r="4835" spans="1:11">
      <c r="A4835"/>
      <c r="B4835"/>
      <c r="C4835"/>
      <c r="D4835"/>
      <c r="E4835"/>
      <c r="F4835"/>
      <c r="G4835"/>
      <c r="H4835"/>
      <c r="I4835"/>
      <c r="J4835"/>
      <c r="K4835"/>
    </row>
    <row r="4836" spans="1:11">
      <c r="A4836"/>
      <c r="B4836"/>
      <c r="C4836"/>
      <c r="D4836"/>
      <c r="E4836"/>
      <c r="F4836"/>
      <c r="G4836"/>
      <c r="H4836"/>
      <c r="I4836"/>
      <c r="J4836"/>
      <c r="K4836"/>
    </row>
    <row r="4837" spans="1:11">
      <c r="A4837"/>
      <c r="B4837"/>
      <c r="C4837"/>
      <c r="D4837"/>
      <c r="E4837"/>
      <c r="F4837"/>
      <c r="G4837"/>
      <c r="H4837"/>
      <c r="I4837"/>
      <c r="J4837"/>
      <c r="K4837"/>
    </row>
    <row r="4838" spans="1:11">
      <c r="A4838"/>
      <c r="B4838"/>
      <c r="C4838"/>
      <c r="D4838"/>
      <c r="E4838"/>
      <c r="F4838"/>
      <c r="G4838"/>
      <c r="H4838"/>
      <c r="I4838"/>
      <c r="J4838"/>
      <c r="K4838"/>
    </row>
    <row r="4839" spans="1:11">
      <c r="A4839"/>
      <c r="B4839"/>
      <c r="C4839"/>
      <c r="D4839"/>
      <c r="E4839"/>
      <c r="F4839"/>
      <c r="G4839"/>
      <c r="H4839"/>
      <c r="I4839"/>
      <c r="J4839"/>
      <c r="K4839"/>
    </row>
    <row r="4840" spans="1:11">
      <c r="A4840"/>
      <c r="B4840"/>
      <c r="C4840"/>
      <c r="D4840"/>
      <c r="E4840"/>
      <c r="F4840"/>
      <c r="G4840"/>
      <c r="H4840"/>
      <c r="I4840"/>
      <c r="J4840"/>
      <c r="K4840"/>
    </row>
    <row r="4841" spans="1:11">
      <c r="A4841"/>
      <c r="B4841"/>
      <c r="C4841"/>
      <c r="D4841"/>
      <c r="E4841"/>
      <c r="F4841"/>
      <c r="G4841"/>
      <c r="H4841"/>
      <c r="I4841"/>
      <c r="J4841"/>
      <c r="K4841"/>
    </row>
    <row r="4842" spans="1:11">
      <c r="A4842"/>
      <c r="B4842"/>
      <c r="C4842"/>
      <c r="D4842"/>
      <c r="E4842"/>
      <c r="F4842"/>
      <c r="G4842"/>
      <c r="H4842"/>
      <c r="I4842"/>
      <c r="J4842"/>
      <c r="K4842"/>
    </row>
    <row r="4843" spans="1:11">
      <c r="A4843"/>
      <c r="B4843"/>
      <c r="C4843"/>
      <c r="D4843"/>
      <c r="E4843"/>
      <c r="F4843"/>
      <c r="G4843"/>
      <c r="H4843"/>
      <c r="I4843"/>
      <c r="J4843"/>
      <c r="K4843"/>
    </row>
    <row r="4844" spans="1:11">
      <c r="A4844"/>
      <c r="B4844"/>
      <c r="C4844"/>
      <c r="D4844"/>
      <c r="E4844"/>
      <c r="F4844"/>
      <c r="G4844"/>
      <c r="H4844"/>
      <c r="I4844"/>
      <c r="J4844"/>
      <c r="K4844"/>
    </row>
    <row r="4845" spans="1:11">
      <c r="A4845"/>
      <c r="B4845"/>
      <c r="C4845"/>
      <c r="D4845"/>
      <c r="E4845"/>
      <c r="F4845"/>
      <c r="G4845"/>
      <c r="H4845"/>
      <c r="I4845"/>
      <c r="J4845"/>
      <c r="K4845"/>
    </row>
    <row r="4846" spans="1:11">
      <c r="A4846"/>
      <c r="B4846"/>
      <c r="C4846"/>
      <c r="D4846"/>
      <c r="E4846"/>
      <c r="F4846"/>
      <c r="G4846"/>
      <c r="H4846"/>
      <c r="I4846"/>
      <c r="J4846"/>
      <c r="K4846"/>
    </row>
    <row r="4847" spans="1:11">
      <c r="A4847"/>
      <c r="B4847"/>
      <c r="C4847"/>
      <c r="D4847"/>
      <c r="E4847"/>
      <c r="F4847"/>
      <c r="G4847"/>
      <c r="H4847"/>
      <c r="I4847"/>
      <c r="J4847"/>
      <c r="K4847"/>
    </row>
    <row r="4848" spans="1:11">
      <c r="A4848"/>
      <c r="B4848"/>
      <c r="C4848"/>
      <c r="D4848"/>
      <c r="E4848"/>
      <c r="F4848"/>
      <c r="G4848"/>
      <c r="H4848"/>
      <c r="I4848"/>
      <c r="J4848"/>
      <c r="K4848"/>
    </row>
    <row r="4849" spans="1:11">
      <c r="A4849"/>
      <c r="B4849"/>
      <c r="C4849"/>
      <c r="D4849"/>
      <c r="E4849"/>
      <c r="F4849"/>
      <c r="G4849"/>
      <c r="H4849"/>
      <c r="I4849"/>
      <c r="J4849"/>
      <c r="K4849"/>
    </row>
    <row r="4850" spans="1:11">
      <c r="A4850"/>
      <c r="B4850"/>
      <c r="C4850"/>
      <c r="D4850"/>
      <c r="E4850"/>
      <c r="F4850"/>
      <c r="G4850"/>
      <c r="H4850"/>
      <c r="I4850"/>
      <c r="J4850"/>
      <c r="K4850"/>
    </row>
    <row r="4851" spans="1:11">
      <c r="A4851"/>
      <c r="B4851"/>
      <c r="C4851"/>
      <c r="D4851"/>
      <c r="E4851"/>
      <c r="F4851"/>
      <c r="G4851"/>
      <c r="H4851"/>
      <c r="I4851"/>
      <c r="J4851"/>
      <c r="K4851"/>
    </row>
    <row r="4852" spans="1:11">
      <c r="A4852"/>
      <c r="B4852"/>
      <c r="C4852"/>
      <c r="D4852"/>
      <c r="E4852"/>
      <c r="F4852"/>
      <c r="G4852"/>
      <c r="H4852"/>
      <c r="I4852"/>
      <c r="J4852"/>
      <c r="K4852"/>
    </row>
    <row r="4853" spans="1:11">
      <c r="A4853"/>
      <c r="B4853"/>
      <c r="C4853"/>
      <c r="D4853"/>
      <c r="E4853"/>
      <c r="F4853"/>
      <c r="G4853"/>
      <c r="H4853"/>
      <c r="I4853"/>
      <c r="J4853"/>
      <c r="K4853"/>
    </row>
    <row r="4854" spans="1:11">
      <c r="A4854"/>
      <c r="B4854"/>
      <c r="C4854"/>
      <c r="D4854"/>
      <c r="E4854"/>
      <c r="F4854"/>
      <c r="G4854"/>
      <c r="H4854"/>
      <c r="I4854"/>
      <c r="J4854"/>
      <c r="K4854"/>
    </row>
    <row r="4855" spans="1:11">
      <c r="A4855"/>
      <c r="B4855"/>
      <c r="C4855"/>
      <c r="D4855"/>
      <c r="E4855"/>
      <c r="F4855"/>
      <c r="G4855"/>
      <c r="H4855"/>
      <c r="I4855"/>
      <c r="J4855"/>
      <c r="K4855"/>
    </row>
    <row r="4856" spans="1:11">
      <c r="A4856"/>
      <c r="B4856"/>
      <c r="C4856"/>
      <c r="D4856"/>
      <c r="E4856"/>
      <c r="F4856"/>
      <c r="G4856"/>
      <c r="H4856"/>
      <c r="I4856"/>
      <c r="J4856"/>
      <c r="K4856"/>
    </row>
    <row r="4857" spans="1:11">
      <c r="A4857"/>
      <c r="B4857"/>
      <c r="C4857"/>
      <c r="D4857"/>
      <c r="E4857"/>
      <c r="F4857"/>
      <c r="G4857"/>
      <c r="H4857"/>
      <c r="I4857"/>
      <c r="J4857"/>
      <c r="K4857"/>
    </row>
    <row r="4858" spans="1:11">
      <c r="A4858"/>
      <c r="B4858"/>
      <c r="C4858"/>
      <c r="D4858"/>
      <c r="E4858"/>
      <c r="F4858"/>
      <c r="G4858"/>
      <c r="H4858"/>
      <c r="I4858"/>
      <c r="J4858"/>
      <c r="K4858"/>
    </row>
    <row r="4859" spans="1:11">
      <c r="A4859"/>
      <c r="B4859"/>
      <c r="C4859"/>
      <c r="D4859"/>
      <c r="E4859"/>
      <c r="F4859"/>
      <c r="G4859"/>
      <c r="H4859"/>
      <c r="I4859"/>
      <c r="J4859"/>
      <c r="K4859"/>
    </row>
    <row r="4860" spans="1:11">
      <c r="A4860"/>
      <c r="B4860"/>
      <c r="C4860"/>
      <c r="D4860"/>
      <c r="E4860"/>
      <c r="F4860"/>
      <c r="G4860"/>
      <c r="H4860"/>
      <c r="I4860"/>
      <c r="J4860"/>
      <c r="K4860"/>
    </row>
    <row r="4861" spans="1:11">
      <c r="A4861"/>
      <c r="B4861"/>
      <c r="C4861"/>
      <c r="D4861"/>
      <c r="E4861"/>
      <c r="F4861"/>
      <c r="G4861"/>
      <c r="H4861"/>
      <c r="I4861"/>
      <c r="J4861"/>
      <c r="K4861"/>
    </row>
    <row r="4862" spans="1:11">
      <c r="A4862"/>
      <c r="B4862"/>
      <c r="C4862"/>
      <c r="D4862"/>
      <c r="E4862"/>
      <c r="F4862"/>
      <c r="G4862"/>
      <c r="H4862"/>
      <c r="I4862"/>
      <c r="J4862"/>
      <c r="K4862"/>
    </row>
    <row r="4863" spans="1:11">
      <c r="A4863"/>
      <c r="B4863"/>
      <c r="C4863"/>
      <c r="D4863"/>
      <c r="E4863"/>
      <c r="F4863"/>
      <c r="G4863"/>
      <c r="H4863"/>
      <c r="I4863"/>
      <c r="J4863"/>
      <c r="K4863"/>
    </row>
    <row r="4864" spans="1:11">
      <c r="A4864"/>
      <c r="B4864"/>
      <c r="C4864"/>
      <c r="D4864"/>
      <c r="E4864"/>
      <c r="F4864"/>
      <c r="G4864"/>
      <c r="H4864"/>
      <c r="I4864"/>
      <c r="J4864"/>
      <c r="K4864"/>
    </row>
    <row r="4865" spans="1:11">
      <c r="A4865"/>
      <c r="B4865"/>
      <c r="C4865"/>
      <c r="D4865"/>
      <c r="E4865"/>
      <c r="F4865"/>
      <c r="G4865"/>
      <c r="H4865"/>
      <c r="I4865"/>
      <c r="J4865"/>
      <c r="K4865"/>
    </row>
    <row r="4866" spans="1:11">
      <c r="A4866"/>
      <c r="B4866"/>
      <c r="C4866"/>
      <c r="D4866"/>
      <c r="E4866"/>
      <c r="F4866"/>
      <c r="G4866"/>
      <c r="H4866"/>
      <c r="I4866"/>
      <c r="J4866"/>
      <c r="K4866"/>
    </row>
    <row r="4867" spans="1:11">
      <c r="A4867"/>
      <c r="B4867"/>
      <c r="C4867"/>
      <c r="D4867"/>
      <c r="E4867"/>
      <c r="F4867"/>
      <c r="G4867"/>
      <c r="H4867"/>
      <c r="I4867"/>
      <c r="J4867"/>
      <c r="K4867"/>
    </row>
    <row r="4868" spans="1:11">
      <c r="A4868"/>
      <c r="B4868"/>
      <c r="C4868"/>
      <c r="D4868"/>
      <c r="E4868"/>
      <c r="F4868"/>
      <c r="G4868"/>
      <c r="H4868"/>
      <c r="I4868"/>
      <c r="J4868"/>
      <c r="K4868"/>
    </row>
    <row r="4869" spans="1:11">
      <c r="A4869"/>
      <c r="B4869"/>
      <c r="C4869"/>
      <c r="D4869"/>
      <c r="E4869"/>
      <c r="F4869"/>
      <c r="G4869"/>
      <c r="H4869"/>
      <c r="I4869"/>
      <c r="J4869"/>
      <c r="K4869"/>
    </row>
    <row r="4870" spans="1:11">
      <c r="A4870"/>
      <c r="B4870"/>
      <c r="C4870"/>
      <c r="D4870"/>
      <c r="E4870"/>
      <c r="F4870"/>
      <c r="G4870"/>
      <c r="H4870"/>
      <c r="I4870"/>
      <c r="J4870"/>
      <c r="K4870"/>
    </row>
    <row r="4871" spans="1:11">
      <c r="A4871"/>
      <c r="B4871"/>
      <c r="C4871"/>
      <c r="D4871"/>
      <c r="E4871"/>
      <c r="F4871"/>
      <c r="G4871"/>
      <c r="H4871"/>
      <c r="I4871"/>
      <c r="J4871"/>
      <c r="K4871"/>
    </row>
    <row r="4872" spans="1:11">
      <c r="A4872"/>
      <c r="B4872"/>
      <c r="C4872"/>
      <c r="D4872"/>
      <c r="E4872"/>
      <c r="F4872"/>
      <c r="G4872"/>
      <c r="H4872"/>
      <c r="I4872"/>
      <c r="J4872"/>
      <c r="K4872"/>
    </row>
    <row r="4873" spans="1:11">
      <c r="A4873"/>
      <c r="B4873"/>
      <c r="C4873"/>
      <c r="D4873"/>
      <c r="E4873"/>
      <c r="F4873"/>
      <c r="G4873"/>
      <c r="H4873"/>
      <c r="I4873"/>
      <c r="J4873"/>
      <c r="K4873"/>
    </row>
    <row r="4874" spans="1:11">
      <c r="A4874"/>
      <c r="B4874"/>
      <c r="C4874"/>
      <c r="D4874"/>
      <c r="E4874"/>
      <c r="F4874"/>
      <c r="G4874"/>
      <c r="H4874"/>
      <c r="I4874"/>
      <c r="J4874"/>
      <c r="K4874"/>
    </row>
    <row r="4875" spans="1:11">
      <c r="A4875"/>
      <c r="B4875"/>
      <c r="C4875"/>
      <c r="D4875"/>
      <c r="E4875"/>
      <c r="F4875"/>
      <c r="G4875"/>
      <c r="H4875"/>
      <c r="I4875"/>
      <c r="J4875"/>
      <c r="K4875"/>
    </row>
    <row r="4876" spans="1:11">
      <c r="A4876"/>
      <c r="B4876"/>
      <c r="C4876"/>
      <c r="D4876"/>
      <c r="E4876"/>
      <c r="F4876"/>
      <c r="G4876"/>
      <c r="H4876"/>
      <c r="I4876"/>
      <c r="J4876"/>
      <c r="K4876"/>
    </row>
    <row r="4877" spans="1:11">
      <c r="A4877"/>
      <c r="B4877"/>
      <c r="C4877"/>
      <c r="D4877"/>
      <c r="E4877"/>
      <c r="F4877"/>
      <c r="G4877"/>
      <c r="H4877"/>
      <c r="I4877"/>
      <c r="J4877"/>
      <c r="K4877"/>
    </row>
    <row r="4878" spans="1:11">
      <c r="A4878"/>
      <c r="B4878"/>
      <c r="C4878"/>
      <c r="D4878"/>
      <c r="E4878"/>
      <c r="F4878"/>
      <c r="G4878"/>
      <c r="H4878"/>
      <c r="I4878"/>
      <c r="J4878"/>
      <c r="K4878"/>
    </row>
    <row r="4879" spans="1:11">
      <c r="A4879"/>
      <c r="B4879"/>
      <c r="C4879"/>
      <c r="D4879"/>
      <c r="E4879"/>
      <c r="F4879"/>
      <c r="G4879"/>
      <c r="H4879"/>
      <c r="I4879"/>
      <c r="J4879"/>
      <c r="K4879"/>
    </row>
    <row r="4880" spans="1:11">
      <c r="A4880"/>
      <c r="B4880"/>
      <c r="C4880"/>
      <c r="D4880"/>
      <c r="E4880"/>
      <c r="F4880"/>
      <c r="G4880"/>
      <c r="H4880"/>
      <c r="I4880"/>
      <c r="J4880"/>
      <c r="K4880"/>
    </row>
    <row r="4881" spans="1:11">
      <c r="A4881"/>
      <c r="B4881"/>
      <c r="C4881"/>
      <c r="D4881"/>
      <c r="E4881"/>
      <c r="F4881"/>
      <c r="G4881"/>
      <c r="H4881"/>
      <c r="I4881"/>
      <c r="J4881"/>
      <c r="K4881"/>
    </row>
    <row r="4882" spans="1:11">
      <c r="A4882"/>
      <c r="B4882"/>
      <c r="C4882"/>
      <c r="D4882"/>
      <c r="E4882"/>
      <c r="F4882"/>
      <c r="G4882"/>
      <c r="H4882"/>
      <c r="I4882"/>
      <c r="J4882"/>
      <c r="K4882"/>
    </row>
    <row r="4883" spans="1:11">
      <c r="A4883"/>
      <c r="B4883"/>
      <c r="C4883"/>
      <c r="D4883"/>
      <c r="E4883"/>
      <c r="F4883"/>
      <c r="G4883"/>
      <c r="H4883"/>
      <c r="I4883"/>
      <c r="J4883"/>
      <c r="K4883"/>
    </row>
    <row r="4884" spans="1:11">
      <c r="A4884"/>
      <c r="B4884"/>
      <c r="C4884"/>
      <c r="D4884"/>
      <c r="E4884"/>
      <c r="F4884"/>
      <c r="G4884"/>
      <c r="H4884"/>
      <c r="I4884"/>
      <c r="J4884"/>
      <c r="K4884"/>
    </row>
    <row r="4885" spans="1:11">
      <c r="A4885"/>
      <c r="B4885"/>
      <c r="C4885"/>
      <c r="D4885"/>
      <c r="E4885"/>
      <c r="F4885"/>
      <c r="G4885"/>
      <c r="H4885"/>
      <c r="I4885"/>
      <c r="J4885"/>
      <c r="K4885"/>
    </row>
    <row r="4886" spans="1:11">
      <c r="A4886"/>
      <c r="B4886"/>
      <c r="C4886"/>
      <c r="D4886"/>
      <c r="E4886"/>
      <c r="F4886"/>
      <c r="G4886"/>
      <c r="H4886"/>
      <c r="I4886"/>
      <c r="J4886"/>
      <c r="K4886"/>
    </row>
    <row r="4887" spans="1:11">
      <c r="A4887"/>
      <c r="B4887"/>
      <c r="C4887"/>
      <c r="D4887"/>
      <c r="E4887"/>
      <c r="F4887"/>
      <c r="G4887"/>
      <c r="H4887"/>
      <c r="I4887"/>
      <c r="J4887"/>
      <c r="K4887"/>
    </row>
    <row r="4888" spans="1:11">
      <c r="A4888"/>
      <c r="B4888"/>
      <c r="C4888"/>
      <c r="D4888"/>
      <c r="E4888"/>
      <c r="F4888"/>
      <c r="G4888"/>
      <c r="H4888"/>
      <c r="I4888"/>
      <c r="J4888"/>
      <c r="K4888"/>
    </row>
    <row r="4889" spans="1:11">
      <c r="A4889"/>
      <c r="B4889"/>
      <c r="C4889"/>
      <c r="D4889"/>
      <c r="E4889"/>
      <c r="F4889"/>
      <c r="G4889"/>
      <c r="H4889"/>
      <c r="I4889"/>
      <c r="J4889"/>
      <c r="K4889"/>
    </row>
    <row r="4890" spans="1:11">
      <c r="A4890"/>
      <c r="B4890"/>
      <c r="C4890"/>
      <c r="D4890"/>
      <c r="E4890"/>
      <c r="F4890"/>
      <c r="G4890"/>
      <c r="H4890"/>
      <c r="I4890"/>
      <c r="J4890"/>
      <c r="K4890"/>
    </row>
    <row r="4891" spans="1:11">
      <c r="A4891"/>
      <c r="B4891"/>
      <c r="C4891"/>
      <c r="D4891"/>
      <c r="E4891"/>
      <c r="F4891"/>
      <c r="G4891"/>
      <c r="H4891"/>
      <c r="I4891"/>
      <c r="J4891"/>
      <c r="K4891"/>
    </row>
    <row r="4892" spans="1:11">
      <c r="A4892"/>
      <c r="B4892"/>
      <c r="C4892"/>
      <c r="D4892"/>
      <c r="E4892"/>
      <c r="F4892"/>
      <c r="G4892"/>
      <c r="H4892"/>
      <c r="I4892"/>
      <c r="J4892"/>
      <c r="K4892"/>
    </row>
    <row r="4893" spans="1:11">
      <c r="A4893"/>
      <c r="B4893"/>
      <c r="C4893"/>
      <c r="D4893"/>
      <c r="E4893"/>
      <c r="F4893"/>
      <c r="G4893"/>
      <c r="H4893"/>
      <c r="I4893"/>
      <c r="J4893"/>
      <c r="K4893"/>
    </row>
    <row r="4894" spans="1:11">
      <c r="A4894"/>
      <c r="B4894"/>
      <c r="C4894"/>
      <c r="D4894"/>
      <c r="E4894"/>
      <c r="F4894"/>
      <c r="G4894"/>
      <c r="H4894"/>
      <c r="I4894"/>
      <c r="J4894"/>
      <c r="K4894"/>
    </row>
    <row r="4895" spans="1:11">
      <c r="A4895"/>
      <c r="B4895"/>
      <c r="C4895"/>
      <c r="D4895"/>
      <c r="E4895"/>
      <c r="F4895"/>
      <c r="G4895"/>
      <c r="H4895"/>
      <c r="I4895"/>
      <c r="J4895"/>
      <c r="K4895"/>
    </row>
    <row r="4896" spans="1:11">
      <c r="A4896"/>
      <c r="B4896"/>
      <c r="C4896"/>
      <c r="D4896"/>
      <c r="E4896"/>
      <c r="F4896"/>
      <c r="G4896"/>
      <c r="H4896"/>
      <c r="I4896"/>
      <c r="J4896"/>
      <c r="K4896"/>
    </row>
    <row r="4897" spans="1:11">
      <c r="A4897"/>
      <c r="B4897"/>
      <c r="C4897"/>
      <c r="D4897"/>
      <c r="E4897"/>
      <c r="F4897"/>
      <c r="G4897"/>
      <c r="H4897"/>
      <c r="I4897"/>
      <c r="J4897"/>
      <c r="K4897"/>
    </row>
    <row r="4898" spans="1:11">
      <c r="A4898"/>
      <c r="B4898"/>
      <c r="C4898"/>
      <c r="D4898"/>
      <c r="E4898"/>
      <c r="F4898"/>
      <c r="G4898"/>
      <c r="H4898"/>
      <c r="I4898"/>
      <c r="J4898"/>
      <c r="K4898"/>
    </row>
    <row r="4899" spans="1:11">
      <c r="A4899"/>
      <c r="B4899"/>
      <c r="C4899"/>
      <c r="D4899"/>
      <c r="E4899"/>
      <c r="F4899"/>
      <c r="G4899"/>
      <c r="H4899"/>
      <c r="I4899"/>
      <c r="J4899"/>
      <c r="K4899"/>
    </row>
    <row r="4900" spans="1:11">
      <c r="A4900"/>
      <c r="B4900"/>
      <c r="C4900"/>
      <c r="D4900"/>
      <c r="E4900"/>
      <c r="F4900"/>
      <c r="G4900"/>
      <c r="H4900"/>
      <c r="I4900"/>
      <c r="J4900"/>
      <c r="K4900"/>
    </row>
    <row r="4901" spans="1:11">
      <c r="A4901"/>
      <c r="B4901"/>
      <c r="C4901"/>
      <c r="D4901"/>
      <c r="E4901"/>
      <c r="F4901"/>
      <c r="G4901"/>
      <c r="H4901"/>
      <c r="I4901"/>
      <c r="J4901"/>
      <c r="K4901"/>
    </row>
    <row r="4902" spans="1:11">
      <c r="A4902"/>
      <c r="B4902"/>
      <c r="C4902"/>
      <c r="D4902"/>
      <c r="E4902"/>
      <c r="F4902"/>
      <c r="G4902"/>
      <c r="H4902"/>
      <c r="I4902"/>
      <c r="J4902"/>
      <c r="K4902"/>
    </row>
    <row r="4903" spans="1:11">
      <c r="A4903"/>
      <c r="B4903"/>
      <c r="C4903"/>
      <c r="D4903"/>
      <c r="E4903"/>
      <c r="F4903"/>
      <c r="G4903"/>
      <c r="H4903"/>
      <c r="I4903"/>
      <c r="J4903"/>
      <c r="K4903"/>
    </row>
    <row r="4904" spans="1:11">
      <c r="A4904"/>
      <c r="B4904"/>
      <c r="C4904"/>
      <c r="D4904"/>
      <c r="E4904"/>
      <c r="F4904"/>
      <c r="G4904"/>
      <c r="H4904"/>
      <c r="I4904"/>
      <c r="J4904"/>
      <c r="K4904"/>
    </row>
    <row r="4905" spans="1:11">
      <c r="A4905"/>
      <c r="B4905"/>
      <c r="C4905"/>
      <c r="D4905"/>
      <c r="E4905"/>
      <c r="F4905"/>
      <c r="G4905"/>
      <c r="H4905"/>
      <c r="I4905"/>
      <c r="J4905"/>
      <c r="K4905"/>
    </row>
    <row r="4906" spans="1:11">
      <c r="A4906"/>
      <c r="B4906"/>
      <c r="C4906"/>
      <c r="D4906"/>
      <c r="E4906"/>
      <c r="F4906"/>
      <c r="G4906"/>
      <c r="H4906"/>
      <c r="I4906"/>
      <c r="J4906"/>
      <c r="K4906"/>
    </row>
    <row r="4907" spans="1:11">
      <c r="A4907"/>
      <c r="B4907"/>
      <c r="C4907"/>
      <c r="D4907"/>
      <c r="E4907"/>
      <c r="F4907"/>
      <c r="G4907"/>
      <c r="H4907"/>
      <c r="I4907"/>
      <c r="J4907"/>
      <c r="K4907"/>
    </row>
    <row r="4908" spans="1:11">
      <c r="A4908"/>
      <c r="B4908"/>
      <c r="C4908"/>
      <c r="D4908"/>
      <c r="E4908"/>
      <c r="F4908"/>
      <c r="G4908"/>
      <c r="H4908"/>
      <c r="I4908"/>
      <c r="J4908"/>
      <c r="K4908"/>
    </row>
    <row r="4909" spans="1:11">
      <c r="A4909"/>
      <c r="B4909"/>
      <c r="C4909"/>
      <c r="D4909"/>
      <c r="E4909"/>
      <c r="F4909"/>
      <c r="G4909"/>
      <c r="H4909"/>
      <c r="I4909"/>
      <c r="J4909"/>
      <c r="K4909"/>
    </row>
    <row r="4910" spans="1:11">
      <c r="A4910"/>
      <c r="B4910"/>
      <c r="C4910"/>
      <c r="D4910"/>
      <c r="E4910"/>
      <c r="F4910"/>
      <c r="G4910"/>
      <c r="H4910"/>
      <c r="I4910"/>
      <c r="J4910"/>
      <c r="K4910"/>
    </row>
    <row r="4911" spans="1:11">
      <c r="A4911"/>
      <c r="B4911"/>
      <c r="C4911"/>
      <c r="D4911"/>
      <c r="E4911"/>
      <c r="F4911"/>
      <c r="G4911"/>
      <c r="H4911"/>
      <c r="I4911"/>
      <c r="J4911"/>
      <c r="K4911"/>
    </row>
    <row r="4912" spans="1:11">
      <c r="A4912"/>
      <c r="B4912"/>
      <c r="C4912"/>
      <c r="D4912"/>
      <c r="E4912"/>
      <c r="F4912"/>
      <c r="G4912"/>
      <c r="H4912"/>
      <c r="I4912"/>
      <c r="J4912"/>
      <c r="K4912"/>
    </row>
    <row r="4913" spans="1:11">
      <c r="A4913"/>
      <c r="B4913"/>
      <c r="C4913"/>
      <c r="D4913"/>
      <c r="E4913"/>
      <c r="F4913"/>
      <c r="G4913"/>
      <c r="H4913"/>
      <c r="I4913"/>
      <c r="J4913"/>
      <c r="K4913"/>
    </row>
    <row r="4914" spans="1:11">
      <c r="A4914"/>
      <c r="B4914"/>
      <c r="C4914"/>
      <c r="D4914"/>
      <c r="E4914"/>
      <c r="F4914"/>
      <c r="G4914"/>
      <c r="H4914"/>
      <c r="I4914"/>
      <c r="J4914"/>
      <c r="K4914"/>
    </row>
    <row r="4915" spans="1:11">
      <c r="A4915"/>
      <c r="B4915"/>
      <c r="C4915"/>
      <c r="D4915"/>
      <c r="E4915"/>
      <c r="F4915"/>
      <c r="G4915"/>
      <c r="H4915"/>
      <c r="I4915"/>
      <c r="J4915"/>
      <c r="K4915"/>
    </row>
    <row r="4916" spans="1:11">
      <c r="A4916"/>
      <c r="B4916"/>
      <c r="C4916"/>
      <c r="D4916"/>
      <c r="E4916"/>
      <c r="F4916"/>
      <c r="G4916"/>
      <c r="H4916"/>
      <c r="I4916"/>
      <c r="J4916"/>
      <c r="K4916"/>
    </row>
    <row r="4917" spans="1:11">
      <c r="A4917"/>
      <c r="B4917"/>
      <c r="C4917"/>
      <c r="D4917"/>
      <c r="E4917"/>
      <c r="F4917"/>
      <c r="G4917"/>
      <c r="H4917"/>
      <c r="I4917"/>
      <c r="J4917"/>
      <c r="K4917"/>
    </row>
    <row r="4918" spans="1:11">
      <c r="A4918"/>
      <c r="B4918"/>
      <c r="C4918"/>
      <c r="D4918"/>
      <c r="E4918"/>
      <c r="F4918"/>
      <c r="G4918"/>
      <c r="H4918"/>
      <c r="I4918"/>
      <c r="J4918"/>
      <c r="K4918"/>
    </row>
    <row r="4919" spans="1:11">
      <c r="A4919"/>
      <c r="B4919"/>
      <c r="C4919"/>
      <c r="D4919"/>
      <c r="E4919"/>
      <c r="F4919"/>
      <c r="G4919"/>
      <c r="H4919"/>
      <c r="I4919"/>
      <c r="J4919"/>
      <c r="K4919"/>
    </row>
    <row r="4920" spans="1:11">
      <c r="A4920"/>
      <c r="B4920"/>
      <c r="C4920"/>
      <c r="D4920"/>
      <c r="E4920"/>
      <c r="F4920"/>
      <c r="G4920"/>
      <c r="H4920"/>
      <c r="I4920"/>
      <c r="J4920"/>
      <c r="K4920"/>
    </row>
    <row r="4921" spans="1:11">
      <c r="A4921"/>
      <c r="B4921"/>
      <c r="C4921"/>
      <c r="D4921"/>
      <c r="E4921"/>
      <c r="F4921"/>
      <c r="G4921"/>
      <c r="H4921"/>
      <c r="I4921"/>
      <c r="J4921"/>
      <c r="K4921"/>
    </row>
    <row r="4922" spans="1:11">
      <c r="A4922"/>
      <c r="B4922"/>
      <c r="C4922"/>
      <c r="D4922"/>
      <c r="E4922"/>
      <c r="F4922"/>
      <c r="G4922"/>
      <c r="H4922"/>
      <c r="I4922"/>
      <c r="J4922"/>
      <c r="K4922"/>
    </row>
    <row r="4923" spans="1:11">
      <c r="A4923"/>
      <c r="B4923"/>
      <c r="C4923"/>
      <c r="D4923"/>
      <c r="E4923"/>
      <c r="F4923"/>
      <c r="G4923"/>
      <c r="H4923"/>
      <c r="I4923"/>
      <c r="J4923"/>
      <c r="K4923"/>
    </row>
    <row r="4924" spans="1:11">
      <c r="A4924"/>
      <c r="B4924"/>
      <c r="C4924"/>
      <c r="D4924"/>
      <c r="E4924"/>
      <c r="F4924"/>
      <c r="G4924"/>
      <c r="H4924"/>
      <c r="I4924"/>
      <c r="J4924"/>
      <c r="K4924"/>
    </row>
    <row r="4925" spans="1:11">
      <c r="A4925"/>
      <c r="B4925"/>
      <c r="C4925"/>
      <c r="D4925"/>
      <c r="E4925"/>
      <c r="F4925"/>
      <c r="G4925"/>
      <c r="H4925"/>
      <c r="I4925"/>
      <c r="J4925"/>
      <c r="K4925"/>
    </row>
    <row r="4926" spans="1:11">
      <c r="A4926"/>
      <c r="B4926"/>
      <c r="C4926"/>
      <c r="D4926"/>
      <c r="E4926"/>
      <c r="F4926"/>
      <c r="G4926"/>
      <c r="H4926"/>
      <c r="I4926"/>
      <c r="J4926"/>
      <c r="K4926"/>
    </row>
    <row r="4927" spans="1:11">
      <c r="A4927"/>
      <c r="B4927"/>
      <c r="C4927"/>
      <c r="D4927"/>
      <c r="E4927"/>
      <c r="F4927"/>
      <c r="G4927"/>
      <c r="H4927"/>
      <c r="I4927"/>
      <c r="J4927"/>
      <c r="K4927"/>
    </row>
    <row r="4928" spans="1:11">
      <c r="A4928"/>
      <c r="B4928"/>
      <c r="C4928"/>
      <c r="D4928"/>
      <c r="E4928"/>
      <c r="F4928"/>
      <c r="G4928"/>
      <c r="H4928"/>
      <c r="I4928"/>
      <c r="J4928"/>
      <c r="K4928"/>
    </row>
    <row r="4929" spans="1:11">
      <c r="A4929"/>
      <c r="B4929"/>
      <c r="C4929"/>
      <c r="D4929"/>
      <c r="E4929"/>
      <c r="F4929"/>
      <c r="G4929"/>
      <c r="H4929"/>
      <c r="I4929"/>
      <c r="J4929"/>
      <c r="K4929"/>
    </row>
    <row r="4930" spans="1:11">
      <c r="A4930"/>
      <c r="B4930"/>
      <c r="C4930"/>
      <c r="D4930"/>
      <c r="E4930"/>
      <c r="F4930"/>
      <c r="G4930"/>
      <c r="H4930"/>
      <c r="I4930"/>
      <c r="J4930"/>
      <c r="K4930"/>
    </row>
    <row r="4931" spans="1:11">
      <c r="A4931"/>
      <c r="B4931"/>
      <c r="C4931"/>
      <c r="D4931"/>
      <c r="E4931"/>
      <c r="F4931"/>
      <c r="G4931"/>
      <c r="H4931"/>
      <c r="I4931"/>
      <c r="J4931"/>
      <c r="K4931"/>
    </row>
    <row r="4932" spans="1:11">
      <c r="A4932"/>
      <c r="B4932"/>
      <c r="C4932"/>
      <c r="D4932"/>
      <c r="E4932"/>
      <c r="F4932"/>
      <c r="G4932"/>
      <c r="H4932"/>
      <c r="I4932"/>
      <c r="J4932"/>
      <c r="K4932"/>
    </row>
    <row r="4933" spans="1:11">
      <c r="A4933"/>
      <c r="B4933"/>
      <c r="C4933"/>
      <c r="D4933"/>
      <c r="E4933"/>
      <c r="F4933"/>
      <c r="G4933"/>
      <c r="H4933"/>
      <c r="I4933"/>
      <c r="J4933"/>
      <c r="K4933"/>
    </row>
    <row r="4934" spans="1:11">
      <c r="A4934"/>
      <c r="B4934"/>
      <c r="C4934"/>
      <c r="D4934"/>
      <c r="E4934"/>
      <c r="F4934"/>
      <c r="G4934"/>
      <c r="H4934"/>
      <c r="I4934"/>
      <c r="J4934"/>
      <c r="K4934"/>
    </row>
    <row r="4935" spans="1:11">
      <c r="A4935"/>
      <c r="B4935"/>
      <c r="C4935"/>
      <c r="D4935"/>
      <c r="E4935"/>
      <c r="F4935"/>
      <c r="G4935"/>
      <c r="H4935"/>
      <c r="I4935"/>
      <c r="J4935"/>
      <c r="K4935"/>
    </row>
    <row r="4936" spans="1:11">
      <c r="A4936"/>
      <c r="B4936"/>
      <c r="C4936"/>
      <c r="D4936"/>
      <c r="E4936"/>
      <c r="F4936"/>
      <c r="G4936"/>
      <c r="H4936"/>
      <c r="I4936"/>
      <c r="J4936"/>
      <c r="K4936"/>
    </row>
    <row r="4937" spans="1:11">
      <c r="A4937"/>
      <c r="B4937"/>
      <c r="C4937"/>
      <c r="D4937"/>
      <c r="E4937"/>
      <c r="F4937"/>
      <c r="G4937"/>
      <c r="H4937"/>
      <c r="I4937"/>
      <c r="J4937"/>
      <c r="K4937"/>
    </row>
    <row r="4938" spans="1:11">
      <c r="A4938"/>
      <c r="B4938"/>
      <c r="C4938"/>
      <c r="D4938"/>
      <c r="E4938"/>
      <c r="F4938"/>
      <c r="G4938"/>
      <c r="H4938"/>
      <c r="I4938"/>
      <c r="J4938"/>
      <c r="K4938"/>
    </row>
    <row r="4939" spans="1:11">
      <c r="A4939"/>
      <c r="B4939"/>
      <c r="C4939"/>
      <c r="D4939"/>
      <c r="E4939"/>
      <c r="F4939"/>
      <c r="G4939"/>
      <c r="H4939"/>
      <c r="I4939"/>
      <c r="J4939"/>
      <c r="K4939"/>
    </row>
    <row r="4940" spans="1:11">
      <c r="A4940"/>
      <c r="B4940"/>
      <c r="C4940"/>
      <c r="D4940"/>
      <c r="E4940"/>
      <c r="F4940"/>
      <c r="G4940"/>
      <c r="H4940"/>
      <c r="I4940"/>
      <c r="J4940"/>
      <c r="K4940"/>
    </row>
    <row r="4941" spans="1:11">
      <c r="A4941"/>
      <c r="B4941"/>
      <c r="C4941"/>
      <c r="D4941"/>
      <c r="E4941"/>
      <c r="F4941"/>
      <c r="G4941"/>
      <c r="H4941"/>
      <c r="I4941"/>
      <c r="J4941"/>
      <c r="K4941"/>
    </row>
    <row r="4942" spans="1:11">
      <c r="A4942"/>
      <c r="B4942"/>
      <c r="C4942"/>
      <c r="D4942"/>
      <c r="E4942"/>
      <c r="F4942"/>
      <c r="G4942"/>
      <c r="H4942"/>
      <c r="I4942"/>
      <c r="J4942"/>
      <c r="K4942"/>
    </row>
    <row r="4943" spans="1:11">
      <c r="A4943"/>
      <c r="B4943"/>
      <c r="C4943"/>
      <c r="D4943"/>
      <c r="E4943"/>
      <c r="F4943"/>
      <c r="G4943"/>
      <c r="H4943"/>
      <c r="I4943"/>
      <c r="J4943"/>
      <c r="K4943"/>
    </row>
    <row r="4944" spans="1:11">
      <c r="A4944"/>
      <c r="B4944"/>
      <c r="C4944"/>
      <c r="D4944"/>
      <c r="E4944"/>
      <c r="F4944"/>
      <c r="G4944"/>
      <c r="H4944"/>
      <c r="I4944"/>
      <c r="J4944"/>
      <c r="K4944"/>
    </row>
    <row r="4945" spans="1:11">
      <c r="A4945"/>
      <c r="B4945"/>
      <c r="C4945"/>
      <c r="D4945"/>
      <c r="E4945"/>
      <c r="F4945"/>
      <c r="G4945"/>
      <c r="H4945"/>
      <c r="I4945"/>
      <c r="J4945"/>
      <c r="K4945"/>
    </row>
    <row r="4946" spans="1:11">
      <c r="A4946"/>
      <c r="B4946"/>
      <c r="C4946"/>
      <c r="D4946"/>
      <c r="E4946"/>
      <c r="F4946"/>
      <c r="G4946"/>
      <c r="H4946"/>
      <c r="I4946"/>
      <c r="J4946"/>
      <c r="K4946"/>
    </row>
    <row r="4947" spans="1:11">
      <c r="A4947"/>
      <c r="B4947"/>
      <c r="C4947"/>
      <c r="D4947"/>
      <c r="E4947"/>
      <c r="F4947"/>
      <c r="G4947"/>
      <c r="H4947"/>
      <c r="I4947"/>
      <c r="J4947"/>
      <c r="K4947"/>
    </row>
    <row r="4948" spans="1:11">
      <c r="A4948"/>
      <c r="B4948"/>
      <c r="C4948"/>
      <c r="D4948"/>
      <c r="E4948"/>
      <c r="F4948"/>
      <c r="G4948"/>
      <c r="H4948"/>
      <c r="I4948"/>
      <c r="J4948"/>
      <c r="K4948"/>
    </row>
    <row r="4949" spans="1:11">
      <c r="A4949"/>
      <c r="B4949"/>
      <c r="C4949"/>
      <c r="D4949"/>
      <c r="E4949"/>
      <c r="F4949"/>
      <c r="G4949"/>
      <c r="H4949"/>
      <c r="I4949"/>
      <c r="J4949"/>
      <c r="K4949"/>
    </row>
    <row r="4950" spans="1:11">
      <c r="A4950"/>
      <c r="B4950"/>
      <c r="C4950"/>
      <c r="D4950"/>
      <c r="E4950"/>
      <c r="F4950"/>
      <c r="G4950"/>
      <c r="H4950"/>
      <c r="I4950"/>
      <c r="J4950"/>
      <c r="K4950"/>
    </row>
    <row r="4951" spans="1:11">
      <c r="A4951"/>
      <c r="B4951"/>
      <c r="C4951"/>
      <c r="D4951"/>
      <c r="E4951"/>
      <c r="F4951"/>
      <c r="G4951"/>
      <c r="H4951"/>
      <c r="I4951"/>
      <c r="J4951"/>
      <c r="K4951"/>
    </row>
    <row r="4952" spans="1:11">
      <c r="A4952"/>
      <c r="B4952"/>
      <c r="C4952"/>
      <c r="D4952"/>
      <c r="E4952"/>
      <c r="F4952"/>
      <c r="G4952"/>
      <c r="H4952"/>
      <c r="I4952"/>
      <c r="J4952"/>
      <c r="K4952"/>
    </row>
    <row r="4953" spans="1:11">
      <c r="A4953"/>
      <c r="B4953"/>
      <c r="C4953"/>
      <c r="D4953"/>
      <c r="E4953"/>
      <c r="F4953"/>
      <c r="G4953"/>
      <c r="H4953"/>
      <c r="I4953"/>
      <c r="J4953"/>
      <c r="K4953"/>
    </row>
    <row r="4954" spans="1:11">
      <c r="A4954"/>
      <c r="B4954"/>
      <c r="C4954"/>
      <c r="D4954"/>
      <c r="E4954"/>
      <c r="F4954"/>
      <c r="G4954"/>
      <c r="H4954"/>
      <c r="I4954"/>
      <c r="J4954"/>
      <c r="K4954"/>
    </row>
    <row r="4955" spans="1:11">
      <c r="A4955"/>
      <c r="B4955"/>
      <c r="C4955"/>
      <c r="D4955"/>
      <c r="E4955"/>
      <c r="F4955"/>
      <c r="G4955"/>
      <c r="H4955"/>
      <c r="I4955"/>
      <c r="J4955"/>
      <c r="K4955"/>
    </row>
    <row r="4956" spans="1:11">
      <c r="A4956"/>
      <c r="B4956"/>
      <c r="C4956"/>
      <c r="D4956"/>
      <c r="E4956"/>
      <c r="F4956"/>
      <c r="G4956"/>
      <c r="H4956"/>
      <c r="I4956"/>
      <c r="J4956"/>
      <c r="K4956"/>
    </row>
    <row r="4957" spans="1:11">
      <c r="A4957"/>
      <c r="B4957"/>
      <c r="C4957"/>
      <c r="D4957"/>
      <c r="E4957"/>
      <c r="F4957"/>
      <c r="G4957"/>
      <c r="H4957"/>
      <c r="I4957"/>
      <c r="J4957"/>
      <c r="K4957"/>
    </row>
    <row r="4958" spans="1:11">
      <c r="A4958"/>
      <c r="B4958"/>
      <c r="C4958"/>
      <c r="D4958"/>
      <c r="E4958"/>
      <c r="F4958"/>
      <c r="G4958"/>
      <c r="H4958"/>
      <c r="I4958"/>
      <c r="J4958"/>
      <c r="K4958"/>
    </row>
    <row r="4959" spans="1:11">
      <c r="A4959"/>
      <c r="B4959"/>
      <c r="C4959"/>
      <c r="D4959"/>
      <c r="E4959"/>
      <c r="F4959"/>
      <c r="G4959"/>
      <c r="H4959"/>
      <c r="I4959"/>
      <c r="J4959"/>
      <c r="K4959"/>
    </row>
    <row r="4960" spans="1:11">
      <c r="A4960"/>
      <c r="B4960"/>
      <c r="C4960"/>
      <c r="D4960"/>
      <c r="E4960"/>
      <c r="F4960"/>
      <c r="G4960"/>
      <c r="H4960"/>
      <c r="I4960"/>
      <c r="J4960"/>
      <c r="K4960"/>
    </row>
    <row r="4961" spans="1:11">
      <c r="A4961"/>
      <c r="B4961"/>
      <c r="C4961"/>
      <c r="D4961"/>
      <c r="E4961"/>
      <c r="F4961"/>
      <c r="G4961"/>
      <c r="H4961"/>
      <c r="I4961"/>
      <c r="J4961"/>
      <c r="K4961"/>
    </row>
    <row r="4962" spans="1:11">
      <c r="A4962"/>
      <c r="B4962"/>
      <c r="C4962"/>
      <c r="D4962"/>
      <c r="E4962"/>
      <c r="F4962"/>
      <c r="G4962"/>
      <c r="H4962"/>
      <c r="I4962"/>
      <c r="J4962"/>
      <c r="K4962"/>
    </row>
    <row r="4963" spans="1:11">
      <c r="A4963"/>
      <c r="B4963"/>
      <c r="C4963"/>
      <c r="D4963"/>
      <c r="E4963"/>
      <c r="F4963"/>
      <c r="G4963"/>
      <c r="H4963"/>
      <c r="I4963"/>
      <c r="J4963"/>
      <c r="K4963"/>
    </row>
    <row r="4964" spans="1:11">
      <c r="A4964"/>
      <c r="B4964"/>
      <c r="C4964"/>
      <c r="D4964"/>
      <c r="E4964"/>
      <c r="F4964"/>
      <c r="G4964"/>
      <c r="H4964"/>
      <c r="I4964"/>
      <c r="J4964"/>
      <c r="K4964"/>
    </row>
    <row r="4965" spans="1:11">
      <c r="A4965"/>
      <c r="B4965"/>
      <c r="C4965"/>
      <c r="D4965"/>
      <c r="E4965"/>
      <c r="F4965"/>
      <c r="G4965"/>
      <c r="H4965"/>
      <c r="I4965"/>
      <c r="J4965"/>
      <c r="K4965"/>
    </row>
    <row r="4966" spans="1:11">
      <c r="A4966"/>
      <c r="B4966"/>
      <c r="C4966"/>
      <c r="D4966"/>
      <c r="E4966"/>
      <c r="F4966"/>
      <c r="G4966"/>
      <c r="H4966"/>
      <c r="I4966"/>
      <c r="J4966"/>
      <c r="K4966"/>
    </row>
    <row r="4967" spans="1:11">
      <c r="A4967"/>
      <c r="B4967"/>
      <c r="C4967"/>
      <c r="D4967"/>
      <c r="E4967"/>
      <c r="F4967"/>
      <c r="G4967"/>
      <c r="H4967"/>
      <c r="I4967"/>
      <c r="J4967"/>
      <c r="K4967"/>
    </row>
    <row r="4968" spans="1:11">
      <c r="A4968"/>
      <c r="B4968"/>
      <c r="C4968"/>
      <c r="D4968"/>
      <c r="E4968"/>
      <c r="F4968"/>
      <c r="G4968"/>
      <c r="H4968"/>
      <c r="I4968"/>
      <c r="J4968"/>
      <c r="K4968"/>
    </row>
    <row r="4969" spans="1:11">
      <c r="A4969"/>
      <c r="B4969"/>
      <c r="C4969"/>
      <c r="D4969"/>
      <c r="E4969"/>
      <c r="F4969"/>
      <c r="G4969"/>
      <c r="H4969"/>
      <c r="I4969"/>
      <c r="J4969"/>
      <c r="K4969"/>
    </row>
    <row r="4970" spans="1:11">
      <c r="A4970"/>
      <c r="B4970"/>
      <c r="C4970"/>
      <c r="D4970"/>
      <c r="E4970"/>
      <c r="F4970"/>
      <c r="G4970"/>
      <c r="H4970"/>
      <c r="I4970"/>
      <c r="J4970"/>
      <c r="K4970"/>
    </row>
    <row r="4971" spans="1:11">
      <c r="A4971"/>
      <c r="B4971"/>
      <c r="C4971"/>
      <c r="D4971"/>
      <c r="E4971"/>
      <c r="F4971"/>
      <c r="G4971"/>
      <c r="H4971"/>
      <c r="I4971"/>
      <c r="J4971"/>
      <c r="K4971"/>
    </row>
    <row r="4972" spans="1:11">
      <c r="A4972"/>
      <c r="B4972"/>
      <c r="C4972"/>
      <c r="D4972"/>
      <c r="E4972"/>
      <c r="F4972"/>
      <c r="G4972"/>
      <c r="H4972"/>
      <c r="I4972"/>
      <c r="J4972"/>
      <c r="K4972"/>
    </row>
    <row r="4973" spans="1:11">
      <c r="A4973"/>
      <c r="B4973"/>
      <c r="C4973"/>
      <c r="D4973"/>
      <c r="E4973"/>
      <c r="F4973"/>
      <c r="G4973"/>
      <c r="H4973"/>
      <c r="I4973"/>
      <c r="J4973"/>
      <c r="K4973"/>
    </row>
    <row r="4974" spans="1:11">
      <c r="A4974"/>
      <c r="B4974"/>
      <c r="C4974"/>
      <c r="D4974"/>
      <c r="E4974"/>
      <c r="F4974"/>
      <c r="G4974"/>
      <c r="H4974"/>
      <c r="I4974"/>
      <c r="J4974"/>
      <c r="K4974"/>
    </row>
    <row r="4975" spans="1:11">
      <c r="A4975"/>
      <c r="B4975"/>
      <c r="C4975"/>
      <c r="D4975"/>
      <c r="E4975"/>
      <c r="F4975"/>
      <c r="G4975"/>
      <c r="H4975"/>
      <c r="I4975"/>
      <c r="J4975"/>
      <c r="K4975"/>
    </row>
    <row r="4976" spans="1:11">
      <c r="A4976"/>
      <c r="B4976"/>
      <c r="C4976"/>
      <c r="D4976"/>
      <c r="E4976"/>
      <c r="F4976"/>
      <c r="G4976"/>
      <c r="H4976"/>
      <c r="I4976"/>
      <c r="J4976"/>
      <c r="K4976"/>
    </row>
    <row r="4977" spans="1:11">
      <c r="A4977"/>
      <c r="B4977"/>
      <c r="C4977"/>
      <c r="D4977"/>
      <c r="E4977"/>
      <c r="F4977"/>
      <c r="G4977"/>
      <c r="H4977"/>
      <c r="I4977"/>
      <c r="J4977"/>
      <c r="K4977"/>
    </row>
    <row r="4978" spans="1:11">
      <c r="A4978"/>
      <c r="B4978"/>
      <c r="C4978"/>
      <c r="D4978"/>
      <c r="E4978"/>
      <c r="F4978"/>
      <c r="G4978"/>
      <c r="H4978"/>
      <c r="I4978"/>
      <c r="J4978"/>
      <c r="K4978"/>
    </row>
    <row r="4979" spans="1:11">
      <c r="A4979"/>
      <c r="B4979"/>
      <c r="C4979"/>
      <c r="D4979"/>
      <c r="E4979"/>
      <c r="F4979"/>
      <c r="G4979"/>
      <c r="H4979"/>
      <c r="I4979"/>
      <c r="J4979"/>
      <c r="K4979"/>
    </row>
    <row r="4980" spans="1:11">
      <c r="A4980"/>
      <c r="B4980"/>
      <c r="C4980"/>
      <c r="D4980"/>
      <c r="E4980"/>
      <c r="F4980"/>
      <c r="G4980"/>
      <c r="H4980"/>
      <c r="I4980"/>
      <c r="J4980"/>
      <c r="K4980"/>
    </row>
    <row r="4981" spans="1:11">
      <c r="A4981"/>
      <c r="B4981"/>
      <c r="C4981"/>
      <c r="D4981"/>
      <c r="E4981"/>
      <c r="F4981"/>
      <c r="G4981"/>
      <c r="H4981"/>
      <c r="I4981"/>
      <c r="J4981"/>
      <c r="K4981"/>
    </row>
    <row r="4982" spans="1:11">
      <c r="A4982"/>
      <c r="B4982"/>
      <c r="C4982"/>
      <c r="D4982"/>
      <c r="E4982"/>
      <c r="F4982"/>
      <c r="G4982"/>
      <c r="H4982"/>
      <c r="I4982"/>
      <c r="J4982"/>
      <c r="K4982"/>
    </row>
    <row r="4983" spans="1:11">
      <c r="A4983"/>
      <c r="B4983"/>
      <c r="C4983"/>
      <c r="D4983"/>
      <c r="E4983"/>
      <c r="F4983"/>
      <c r="G4983"/>
      <c r="H4983"/>
      <c r="I4983"/>
      <c r="J4983"/>
      <c r="K4983"/>
    </row>
    <row r="4984" spans="1:11">
      <c r="A4984"/>
      <c r="B4984"/>
      <c r="C4984"/>
      <c r="D4984"/>
      <c r="E4984"/>
      <c r="F4984"/>
      <c r="G4984"/>
      <c r="H4984"/>
      <c r="I4984"/>
      <c r="J4984"/>
      <c r="K4984"/>
    </row>
    <row r="4985" spans="1:11">
      <c r="A4985"/>
      <c r="B4985"/>
      <c r="C4985"/>
      <c r="D4985"/>
      <c r="E4985"/>
      <c r="F4985"/>
      <c r="G4985"/>
      <c r="H4985"/>
      <c r="I4985"/>
      <c r="J4985"/>
      <c r="K4985"/>
    </row>
    <row r="4986" spans="1:11">
      <c r="A4986"/>
      <c r="B4986"/>
      <c r="C4986"/>
      <c r="D4986"/>
      <c r="E4986"/>
      <c r="F4986"/>
      <c r="G4986"/>
      <c r="H4986"/>
      <c r="I4986"/>
      <c r="J4986"/>
      <c r="K4986"/>
    </row>
    <row r="4987" spans="1:11">
      <c r="A4987"/>
      <c r="B4987"/>
      <c r="C4987"/>
      <c r="D4987"/>
      <c r="E4987"/>
      <c r="F4987"/>
      <c r="G4987"/>
      <c r="H4987"/>
      <c r="I4987"/>
      <c r="J4987"/>
      <c r="K4987"/>
    </row>
    <row r="4988" spans="1:11">
      <c r="A4988"/>
      <c r="B4988"/>
      <c r="C4988"/>
      <c r="D4988"/>
      <c r="E4988"/>
      <c r="F4988"/>
      <c r="G4988"/>
      <c r="H4988"/>
      <c r="I4988"/>
      <c r="J4988"/>
      <c r="K4988"/>
    </row>
    <row r="4989" spans="1:11">
      <c r="A4989"/>
      <c r="B4989"/>
      <c r="C4989"/>
      <c r="D4989"/>
      <c r="E4989"/>
      <c r="F4989"/>
      <c r="G4989"/>
      <c r="H4989"/>
      <c r="I4989"/>
      <c r="J4989"/>
      <c r="K4989"/>
    </row>
    <row r="4990" spans="1:11">
      <c r="A4990"/>
      <c r="B4990"/>
      <c r="C4990"/>
      <c r="D4990"/>
      <c r="E4990"/>
      <c r="F4990"/>
      <c r="G4990"/>
      <c r="H4990"/>
      <c r="I4990"/>
      <c r="J4990"/>
      <c r="K4990"/>
    </row>
    <row r="4991" spans="1:11">
      <c r="A4991"/>
      <c r="B4991"/>
      <c r="C4991"/>
      <c r="D4991"/>
      <c r="E4991"/>
      <c r="F4991"/>
      <c r="G4991"/>
      <c r="H4991"/>
      <c r="I4991"/>
      <c r="J4991"/>
      <c r="K4991"/>
    </row>
    <row r="4992" spans="1:11">
      <c r="A4992"/>
      <c r="B4992"/>
      <c r="C4992"/>
      <c r="D4992"/>
      <c r="E4992"/>
      <c r="F4992"/>
      <c r="G4992"/>
      <c r="H4992"/>
      <c r="I4992"/>
      <c r="J4992"/>
      <c r="K4992"/>
    </row>
    <row r="4993" spans="1:11">
      <c r="A4993"/>
      <c r="B4993"/>
      <c r="C4993"/>
      <c r="D4993"/>
      <c r="E4993"/>
      <c r="F4993"/>
      <c r="G4993"/>
      <c r="H4993"/>
      <c r="I4993"/>
      <c r="J4993"/>
      <c r="K4993"/>
    </row>
    <row r="4994" spans="1:11">
      <c r="A4994"/>
      <c r="B4994"/>
      <c r="C4994"/>
      <c r="D4994"/>
      <c r="E4994"/>
      <c r="F4994"/>
      <c r="G4994"/>
      <c r="H4994"/>
      <c r="I4994"/>
      <c r="J4994"/>
      <c r="K4994"/>
    </row>
    <row r="4995" spans="1:11">
      <c r="A4995"/>
      <c r="B4995"/>
      <c r="C4995"/>
      <c r="D4995"/>
      <c r="E4995"/>
      <c r="F4995"/>
      <c r="G4995"/>
      <c r="H4995"/>
      <c r="I4995"/>
      <c r="J4995"/>
      <c r="K4995"/>
    </row>
    <row r="4996" spans="1:11">
      <c r="A4996"/>
      <c r="B4996"/>
      <c r="C4996"/>
      <c r="D4996"/>
      <c r="E4996"/>
      <c r="F4996"/>
      <c r="G4996"/>
      <c r="H4996"/>
      <c r="I4996"/>
      <c r="J4996"/>
      <c r="K4996"/>
    </row>
    <row r="4997" spans="1:11">
      <c r="A4997"/>
      <c r="B4997"/>
      <c r="C4997"/>
      <c r="D4997"/>
      <c r="E4997"/>
      <c r="F4997"/>
      <c r="G4997"/>
      <c r="H4997"/>
      <c r="I4997"/>
      <c r="J4997"/>
      <c r="K4997"/>
    </row>
    <row r="4998" spans="1:11">
      <c r="A4998"/>
      <c r="B4998"/>
      <c r="C4998"/>
      <c r="D4998"/>
      <c r="E4998"/>
      <c r="F4998"/>
      <c r="G4998"/>
      <c r="H4998"/>
      <c r="I4998"/>
      <c r="J4998"/>
      <c r="K4998"/>
    </row>
    <row r="4999" spans="1:11">
      <c r="A4999"/>
      <c r="B4999"/>
      <c r="C4999"/>
      <c r="D4999"/>
      <c r="E4999"/>
      <c r="F4999"/>
      <c r="G4999"/>
      <c r="H4999"/>
      <c r="I4999"/>
      <c r="J4999"/>
      <c r="K4999"/>
    </row>
    <row r="5000" spans="1:11">
      <c r="A5000"/>
      <c r="B5000"/>
      <c r="C5000"/>
      <c r="D5000"/>
      <c r="E5000"/>
      <c r="F5000"/>
      <c r="G5000"/>
      <c r="H5000"/>
      <c r="I5000"/>
      <c r="J5000"/>
      <c r="K5000"/>
    </row>
    <row r="5001" spans="1:11">
      <c r="A5001"/>
      <c r="B5001"/>
      <c r="C5001"/>
      <c r="D5001"/>
      <c r="E5001"/>
      <c r="F5001"/>
      <c r="G5001"/>
      <c r="H5001"/>
      <c r="I5001"/>
      <c r="J5001"/>
      <c r="K5001"/>
    </row>
    <row r="5002" spans="1:11">
      <c r="A5002"/>
      <c r="B5002"/>
      <c r="C5002"/>
      <c r="D5002"/>
      <c r="E5002"/>
      <c r="F5002"/>
      <c r="G5002"/>
      <c r="H5002"/>
      <c r="I5002"/>
      <c r="J5002"/>
      <c r="K5002"/>
    </row>
    <row r="5003" spans="1:11">
      <c r="A5003"/>
      <c r="B5003"/>
      <c r="C5003"/>
      <c r="D5003"/>
      <c r="E5003"/>
      <c r="F5003"/>
      <c r="G5003"/>
      <c r="H5003"/>
      <c r="I5003"/>
      <c r="J5003"/>
      <c r="K5003"/>
    </row>
    <row r="5004" spans="1:11">
      <c r="A5004"/>
      <c r="B5004"/>
      <c r="C5004"/>
      <c r="D5004"/>
      <c r="E5004"/>
      <c r="F5004"/>
      <c r="G5004"/>
      <c r="H5004"/>
      <c r="I5004"/>
      <c r="J5004"/>
      <c r="K5004"/>
    </row>
    <row r="5005" spans="1:11">
      <c r="A5005"/>
      <c r="B5005"/>
      <c r="C5005"/>
      <c r="D5005"/>
      <c r="E5005"/>
      <c r="F5005"/>
      <c r="G5005"/>
      <c r="H5005"/>
      <c r="I5005"/>
      <c r="J5005"/>
      <c r="K5005"/>
    </row>
    <row r="5006" spans="1:11">
      <c r="A5006"/>
      <c r="B5006"/>
      <c r="C5006"/>
      <c r="D5006"/>
      <c r="E5006"/>
      <c r="F5006"/>
      <c r="G5006"/>
      <c r="H5006"/>
      <c r="I5006"/>
      <c r="J5006"/>
      <c r="K5006"/>
    </row>
    <row r="5007" spans="1:11">
      <c r="A5007"/>
      <c r="B5007"/>
      <c r="C5007"/>
      <c r="D5007"/>
      <c r="E5007"/>
      <c r="F5007"/>
      <c r="G5007"/>
      <c r="H5007"/>
      <c r="I5007"/>
      <c r="J5007"/>
      <c r="K5007"/>
    </row>
    <row r="5008" spans="1:11">
      <c r="A5008"/>
      <c r="B5008"/>
      <c r="C5008"/>
      <c r="D5008"/>
      <c r="E5008"/>
      <c r="F5008"/>
      <c r="G5008"/>
      <c r="H5008"/>
      <c r="I5008"/>
      <c r="J5008"/>
      <c r="K5008"/>
    </row>
    <row r="5009" spans="1:11">
      <c r="A5009"/>
      <c r="B5009"/>
      <c r="C5009"/>
      <c r="D5009"/>
      <c r="E5009"/>
      <c r="F5009"/>
      <c r="G5009"/>
      <c r="H5009"/>
      <c r="I5009"/>
      <c r="J5009"/>
      <c r="K5009"/>
    </row>
    <row r="5010" spans="1:11">
      <c r="A5010"/>
      <c r="B5010"/>
      <c r="C5010"/>
      <c r="D5010"/>
      <c r="E5010"/>
      <c r="F5010"/>
      <c r="G5010"/>
      <c r="H5010"/>
      <c r="I5010"/>
      <c r="J5010"/>
      <c r="K5010"/>
    </row>
    <row r="5011" spans="1:11">
      <c r="A5011"/>
      <c r="B5011"/>
      <c r="C5011"/>
      <c r="D5011"/>
      <c r="E5011"/>
      <c r="F5011"/>
      <c r="G5011"/>
      <c r="H5011"/>
      <c r="I5011"/>
      <c r="J5011"/>
      <c r="K5011"/>
    </row>
    <row r="5012" spans="1:11">
      <c r="A5012"/>
      <c r="B5012"/>
      <c r="C5012"/>
      <c r="D5012"/>
      <c r="E5012"/>
      <c r="F5012"/>
      <c r="G5012"/>
      <c r="H5012"/>
      <c r="I5012"/>
      <c r="J5012"/>
      <c r="K5012"/>
    </row>
    <row r="5013" spans="1:11">
      <c r="A5013"/>
      <c r="B5013"/>
      <c r="C5013"/>
      <c r="D5013"/>
      <c r="E5013"/>
      <c r="F5013"/>
      <c r="G5013"/>
      <c r="H5013"/>
      <c r="I5013"/>
      <c r="J5013"/>
      <c r="K5013"/>
    </row>
    <row r="5014" spans="1:11">
      <c r="A5014"/>
      <c r="B5014"/>
      <c r="C5014"/>
      <c r="D5014"/>
      <c r="E5014"/>
      <c r="F5014"/>
      <c r="G5014"/>
      <c r="H5014"/>
      <c r="I5014"/>
      <c r="J5014"/>
      <c r="K5014"/>
    </row>
    <row r="5015" spans="1:11">
      <c r="A5015"/>
      <c r="B5015"/>
      <c r="C5015"/>
      <c r="D5015"/>
      <c r="E5015"/>
      <c r="F5015"/>
      <c r="G5015"/>
      <c r="H5015"/>
      <c r="I5015"/>
      <c r="J5015"/>
      <c r="K5015"/>
    </row>
    <row r="5016" spans="1:11">
      <c r="A5016"/>
      <c r="B5016"/>
      <c r="C5016"/>
      <c r="D5016"/>
      <c r="E5016"/>
      <c r="F5016"/>
      <c r="G5016"/>
      <c r="H5016"/>
      <c r="I5016"/>
      <c r="J5016"/>
      <c r="K5016"/>
    </row>
    <row r="5017" spans="1:11">
      <c r="A5017"/>
      <c r="B5017"/>
      <c r="C5017"/>
      <c r="D5017"/>
      <c r="E5017"/>
      <c r="F5017"/>
      <c r="G5017"/>
      <c r="H5017"/>
      <c r="I5017"/>
      <c r="J5017"/>
      <c r="K5017"/>
    </row>
    <row r="5018" spans="1:11">
      <c r="A5018"/>
      <c r="B5018"/>
      <c r="C5018"/>
      <c r="D5018"/>
      <c r="E5018"/>
      <c r="F5018"/>
      <c r="G5018"/>
      <c r="H5018"/>
      <c r="I5018"/>
      <c r="J5018"/>
      <c r="K5018"/>
    </row>
    <row r="5019" spans="1:11">
      <c r="A5019"/>
      <c r="B5019"/>
      <c r="C5019"/>
      <c r="D5019"/>
      <c r="E5019"/>
      <c r="F5019"/>
      <c r="G5019"/>
      <c r="H5019"/>
      <c r="I5019"/>
      <c r="J5019"/>
      <c r="K5019"/>
    </row>
    <row r="5020" spans="1:11">
      <c r="A5020"/>
      <c r="B5020"/>
      <c r="C5020"/>
      <c r="D5020"/>
      <c r="E5020"/>
      <c r="F5020"/>
      <c r="G5020"/>
      <c r="H5020"/>
      <c r="I5020"/>
      <c r="J5020"/>
      <c r="K5020"/>
    </row>
    <row r="5021" spans="1:11">
      <c r="A5021"/>
      <c r="B5021"/>
      <c r="C5021"/>
      <c r="D5021"/>
      <c r="E5021"/>
      <c r="F5021"/>
      <c r="G5021"/>
      <c r="H5021"/>
      <c r="I5021"/>
      <c r="J5021"/>
      <c r="K5021"/>
    </row>
    <row r="5022" spans="1:11">
      <c r="A5022"/>
      <c r="B5022"/>
      <c r="C5022"/>
      <c r="D5022"/>
      <c r="E5022"/>
      <c r="F5022"/>
      <c r="G5022"/>
      <c r="H5022"/>
      <c r="I5022"/>
      <c r="J5022"/>
      <c r="K5022"/>
    </row>
    <row r="5023" spans="1:11">
      <c r="A5023"/>
      <c r="B5023"/>
      <c r="C5023"/>
      <c r="D5023"/>
      <c r="E5023"/>
      <c r="F5023"/>
      <c r="G5023"/>
      <c r="H5023"/>
      <c r="I5023"/>
      <c r="J5023"/>
      <c r="K5023"/>
    </row>
    <row r="5024" spans="1:11">
      <c r="A5024"/>
      <c r="B5024"/>
      <c r="C5024"/>
      <c r="D5024"/>
      <c r="E5024"/>
      <c r="F5024"/>
      <c r="G5024"/>
      <c r="H5024"/>
      <c r="I5024"/>
      <c r="J5024"/>
      <c r="K5024"/>
    </row>
    <row r="5025" spans="1:11">
      <c r="A5025"/>
      <c r="B5025"/>
      <c r="C5025"/>
      <c r="D5025"/>
      <c r="E5025"/>
      <c r="F5025"/>
      <c r="G5025"/>
      <c r="H5025"/>
      <c r="I5025"/>
      <c r="J5025"/>
      <c r="K5025"/>
    </row>
    <row r="5026" spans="1:11">
      <c r="A5026"/>
      <c r="B5026"/>
      <c r="C5026"/>
      <c r="D5026"/>
      <c r="E5026"/>
      <c r="F5026"/>
      <c r="G5026"/>
      <c r="H5026"/>
      <c r="I5026"/>
      <c r="J5026"/>
      <c r="K5026"/>
    </row>
    <row r="5027" spans="1:11">
      <c r="A5027"/>
      <c r="B5027"/>
      <c r="C5027"/>
      <c r="D5027"/>
      <c r="E5027"/>
      <c r="F5027"/>
      <c r="G5027"/>
      <c r="H5027"/>
      <c r="I5027"/>
      <c r="J5027"/>
      <c r="K5027"/>
    </row>
    <row r="5028" spans="1:11">
      <c r="A5028"/>
      <c r="B5028"/>
      <c r="C5028"/>
      <c r="D5028"/>
      <c r="E5028"/>
      <c r="F5028"/>
      <c r="G5028"/>
      <c r="H5028"/>
      <c r="I5028"/>
      <c r="J5028"/>
      <c r="K5028"/>
    </row>
    <row r="5029" spans="1:11">
      <c r="A5029"/>
      <c r="B5029"/>
      <c r="C5029"/>
      <c r="D5029"/>
      <c r="E5029"/>
      <c r="F5029"/>
      <c r="G5029"/>
      <c r="H5029"/>
      <c r="I5029"/>
      <c r="J5029"/>
      <c r="K5029"/>
    </row>
    <row r="5030" spans="1:11">
      <c r="A5030"/>
      <c r="B5030"/>
      <c r="C5030"/>
      <c r="D5030"/>
      <c r="E5030"/>
      <c r="F5030"/>
      <c r="G5030"/>
      <c r="H5030"/>
      <c r="I5030"/>
      <c r="J5030"/>
      <c r="K5030"/>
    </row>
    <row r="5031" spans="1:11">
      <c r="A5031"/>
      <c r="B5031"/>
      <c r="C5031"/>
      <c r="D5031"/>
      <c r="E5031"/>
      <c r="F5031"/>
      <c r="G5031"/>
      <c r="H5031"/>
      <c r="I5031"/>
      <c r="J5031"/>
      <c r="K5031"/>
    </row>
    <row r="5032" spans="1:11">
      <c r="A5032"/>
      <c r="B5032"/>
      <c r="C5032"/>
      <c r="D5032"/>
      <c r="E5032"/>
      <c r="F5032"/>
      <c r="G5032"/>
      <c r="H5032"/>
      <c r="I5032"/>
      <c r="J5032"/>
      <c r="K5032"/>
    </row>
    <row r="5033" spans="1:11">
      <c r="A5033"/>
      <c r="B5033"/>
      <c r="C5033"/>
      <c r="D5033"/>
      <c r="E5033"/>
      <c r="F5033"/>
      <c r="G5033"/>
      <c r="H5033"/>
      <c r="I5033"/>
      <c r="J5033"/>
      <c r="K5033"/>
    </row>
    <row r="5034" spans="1:11">
      <c r="A5034"/>
      <c r="B5034"/>
      <c r="C5034"/>
      <c r="D5034"/>
      <c r="E5034"/>
      <c r="F5034"/>
      <c r="G5034"/>
      <c r="H5034"/>
      <c r="I5034"/>
      <c r="J5034"/>
      <c r="K5034"/>
    </row>
    <row r="5035" spans="1:11">
      <c r="A5035"/>
      <c r="B5035"/>
      <c r="C5035"/>
      <c r="D5035"/>
      <c r="E5035"/>
      <c r="F5035"/>
      <c r="G5035"/>
      <c r="H5035"/>
      <c r="I5035"/>
      <c r="J5035"/>
      <c r="K5035"/>
    </row>
    <row r="5036" spans="1:11">
      <c r="A5036"/>
      <c r="B5036"/>
      <c r="C5036"/>
      <c r="D5036"/>
      <c r="E5036"/>
      <c r="F5036"/>
      <c r="G5036"/>
      <c r="H5036"/>
      <c r="I5036"/>
      <c r="J5036"/>
      <c r="K5036"/>
    </row>
    <row r="5037" spans="1:11">
      <c r="A5037"/>
      <c r="B5037"/>
      <c r="C5037"/>
      <c r="D5037"/>
      <c r="E5037"/>
      <c r="F5037"/>
      <c r="G5037"/>
      <c r="H5037"/>
      <c r="I5037"/>
      <c r="J5037"/>
      <c r="K5037"/>
    </row>
    <row r="5038" spans="1:11">
      <c r="A5038"/>
      <c r="B5038"/>
      <c r="C5038"/>
      <c r="D5038"/>
      <c r="E5038"/>
      <c r="F5038"/>
      <c r="G5038"/>
      <c r="H5038"/>
      <c r="I5038"/>
      <c r="J5038"/>
      <c r="K5038"/>
    </row>
    <row r="5039" spans="1:11">
      <c r="A5039"/>
      <c r="B5039"/>
      <c r="C5039"/>
      <c r="D5039"/>
      <c r="E5039"/>
      <c r="F5039"/>
      <c r="G5039"/>
      <c r="H5039"/>
      <c r="I5039"/>
      <c r="J5039"/>
      <c r="K5039"/>
    </row>
    <row r="5040" spans="1:11">
      <c r="A5040"/>
      <c r="B5040"/>
      <c r="C5040"/>
      <c r="D5040"/>
      <c r="E5040"/>
      <c r="F5040"/>
      <c r="G5040"/>
      <c r="H5040"/>
      <c r="I5040"/>
      <c r="J5040"/>
      <c r="K5040"/>
    </row>
    <row r="5041" spans="1:11">
      <c r="A5041"/>
      <c r="B5041"/>
      <c r="C5041"/>
      <c r="D5041"/>
      <c r="E5041"/>
      <c r="F5041"/>
      <c r="G5041"/>
      <c r="H5041"/>
      <c r="I5041"/>
      <c r="J5041"/>
      <c r="K5041"/>
    </row>
    <row r="5042" spans="1:11">
      <c r="A5042"/>
      <c r="B5042"/>
      <c r="C5042"/>
      <c r="D5042"/>
      <c r="E5042"/>
      <c r="F5042"/>
      <c r="G5042"/>
      <c r="H5042"/>
      <c r="I5042"/>
      <c r="J5042"/>
      <c r="K5042"/>
    </row>
    <row r="5043" spans="1:11">
      <c r="A5043"/>
      <c r="B5043"/>
      <c r="C5043"/>
      <c r="D5043"/>
      <c r="E5043"/>
      <c r="F5043"/>
      <c r="G5043"/>
      <c r="H5043"/>
      <c r="I5043"/>
      <c r="J5043"/>
      <c r="K5043"/>
    </row>
    <row r="5044" spans="1:11">
      <c r="A5044"/>
      <c r="B5044"/>
      <c r="C5044"/>
      <c r="D5044"/>
      <c r="E5044"/>
      <c r="F5044"/>
      <c r="G5044"/>
      <c r="H5044"/>
      <c r="I5044"/>
      <c r="J5044"/>
      <c r="K5044"/>
    </row>
    <row r="5045" spans="1:11">
      <c r="A5045"/>
      <c r="B5045"/>
      <c r="C5045"/>
      <c r="D5045"/>
      <c r="E5045"/>
      <c r="F5045"/>
      <c r="G5045"/>
      <c r="H5045"/>
      <c r="I5045"/>
      <c r="J5045"/>
      <c r="K5045"/>
    </row>
    <row r="5046" spans="1:11">
      <c r="A5046"/>
      <c r="B5046"/>
      <c r="C5046"/>
      <c r="D5046"/>
      <c r="E5046"/>
      <c r="F5046"/>
      <c r="G5046"/>
      <c r="H5046"/>
      <c r="I5046"/>
      <c r="J5046"/>
      <c r="K5046"/>
    </row>
    <row r="5047" spans="1:11">
      <c r="A5047"/>
      <c r="B5047"/>
      <c r="C5047"/>
      <c r="D5047"/>
      <c r="E5047"/>
      <c r="F5047"/>
      <c r="G5047"/>
      <c r="H5047"/>
      <c r="I5047"/>
      <c r="J5047"/>
      <c r="K5047"/>
    </row>
    <row r="5048" spans="1:11">
      <c r="A5048"/>
      <c r="B5048"/>
      <c r="C5048"/>
      <c r="D5048"/>
      <c r="E5048"/>
      <c r="F5048"/>
      <c r="G5048"/>
      <c r="H5048"/>
      <c r="I5048"/>
      <c r="J5048"/>
      <c r="K5048"/>
    </row>
    <row r="5049" spans="1:11">
      <c r="A5049"/>
      <c r="B5049"/>
      <c r="C5049"/>
      <c r="D5049"/>
      <c r="E5049"/>
      <c r="F5049"/>
      <c r="G5049"/>
      <c r="H5049"/>
      <c r="I5049"/>
      <c r="J5049"/>
      <c r="K5049"/>
    </row>
    <row r="5050" spans="1:11">
      <c r="A5050"/>
      <c r="B5050"/>
      <c r="C5050"/>
      <c r="D5050"/>
      <c r="E5050"/>
      <c r="F5050"/>
      <c r="G5050"/>
      <c r="H5050"/>
      <c r="I5050"/>
      <c r="J5050"/>
      <c r="K5050"/>
    </row>
    <row r="5051" spans="1:11">
      <c r="A5051"/>
      <c r="B5051"/>
      <c r="C5051"/>
      <c r="D5051"/>
      <c r="E5051"/>
      <c r="F5051"/>
      <c r="G5051"/>
      <c r="H5051"/>
      <c r="I5051"/>
      <c r="J5051"/>
      <c r="K5051"/>
    </row>
    <row r="5052" spans="1:11">
      <c r="A5052"/>
      <c r="B5052"/>
      <c r="C5052"/>
      <c r="D5052"/>
      <c r="E5052"/>
      <c r="F5052"/>
      <c r="G5052"/>
      <c r="H5052"/>
      <c r="I5052"/>
      <c r="J5052"/>
      <c r="K5052"/>
    </row>
    <row r="5053" spans="1:11">
      <c r="A5053"/>
      <c r="B5053"/>
      <c r="C5053"/>
      <c r="D5053"/>
      <c r="E5053"/>
      <c r="F5053"/>
      <c r="G5053"/>
      <c r="H5053"/>
      <c r="I5053"/>
      <c r="J5053"/>
      <c r="K5053"/>
    </row>
    <row r="5054" spans="1:11">
      <c r="A5054"/>
      <c r="B5054"/>
      <c r="C5054"/>
      <c r="D5054"/>
      <c r="E5054"/>
      <c r="F5054"/>
      <c r="G5054"/>
      <c r="H5054"/>
      <c r="I5054"/>
      <c r="J5054"/>
      <c r="K5054"/>
    </row>
    <row r="5055" spans="1:11">
      <c r="A5055"/>
      <c r="B5055"/>
      <c r="C5055"/>
      <c r="D5055"/>
      <c r="E5055"/>
      <c r="F5055"/>
      <c r="G5055"/>
      <c r="H5055"/>
      <c r="I5055"/>
      <c r="J5055"/>
      <c r="K5055"/>
    </row>
    <row r="5056" spans="1:11">
      <c r="A5056"/>
      <c r="B5056"/>
      <c r="C5056"/>
      <c r="D5056"/>
      <c r="E5056"/>
      <c r="F5056"/>
      <c r="G5056"/>
      <c r="H5056"/>
      <c r="I5056"/>
      <c r="J5056"/>
      <c r="K5056"/>
    </row>
    <row r="5057" spans="1:11">
      <c r="A5057"/>
      <c r="B5057"/>
      <c r="C5057"/>
      <c r="D5057"/>
      <c r="E5057"/>
      <c r="F5057"/>
      <c r="G5057"/>
      <c r="H5057"/>
      <c r="I5057"/>
      <c r="J5057"/>
      <c r="K5057"/>
    </row>
    <row r="5058" spans="1:11">
      <c r="A5058"/>
      <c r="B5058"/>
      <c r="C5058"/>
      <c r="D5058"/>
      <c r="E5058"/>
      <c r="F5058"/>
      <c r="G5058"/>
      <c r="H5058"/>
      <c r="I5058"/>
      <c r="J5058"/>
      <c r="K5058"/>
    </row>
    <row r="5059" spans="1:11">
      <c r="A5059"/>
      <c r="B5059"/>
      <c r="C5059"/>
      <c r="D5059"/>
      <c r="E5059"/>
      <c r="F5059"/>
      <c r="G5059"/>
      <c r="H5059"/>
      <c r="I5059"/>
      <c r="J5059"/>
      <c r="K5059"/>
    </row>
    <row r="5060" spans="1:11">
      <c r="A5060"/>
      <c r="B5060"/>
      <c r="C5060"/>
      <c r="D5060"/>
      <c r="E5060"/>
      <c r="F5060"/>
      <c r="G5060"/>
      <c r="H5060"/>
      <c r="I5060"/>
      <c r="J5060"/>
      <c r="K5060"/>
    </row>
    <row r="5061" spans="1:11">
      <c r="A5061"/>
      <c r="B5061"/>
      <c r="C5061"/>
      <c r="D5061"/>
      <c r="E5061"/>
      <c r="F5061"/>
      <c r="G5061"/>
      <c r="H5061"/>
      <c r="I5061"/>
      <c r="J5061"/>
      <c r="K5061"/>
    </row>
    <row r="5062" spans="1:11">
      <c r="A5062"/>
      <c r="B5062"/>
      <c r="C5062"/>
      <c r="D5062"/>
      <c r="E5062"/>
      <c r="F5062"/>
      <c r="G5062"/>
      <c r="H5062"/>
      <c r="I5062"/>
      <c r="J5062"/>
      <c r="K5062"/>
    </row>
    <row r="5063" spans="1:11">
      <c r="A5063"/>
      <c r="B5063"/>
      <c r="C5063"/>
      <c r="D5063"/>
      <c r="E5063"/>
      <c r="F5063"/>
      <c r="G5063"/>
      <c r="H5063"/>
      <c r="I5063"/>
      <c r="J5063"/>
      <c r="K5063"/>
    </row>
    <row r="5064" spans="1:11">
      <c r="A5064"/>
      <c r="B5064"/>
      <c r="C5064"/>
      <c r="D5064"/>
      <c r="E5064"/>
      <c r="F5064"/>
      <c r="G5064"/>
      <c r="H5064"/>
      <c r="I5064"/>
      <c r="J5064"/>
      <c r="K5064"/>
    </row>
    <row r="5065" spans="1:11">
      <c r="A5065"/>
      <c r="B5065"/>
      <c r="C5065"/>
      <c r="D5065"/>
      <c r="E5065"/>
      <c r="F5065"/>
      <c r="G5065"/>
      <c r="H5065"/>
      <c r="I5065"/>
      <c r="J5065"/>
      <c r="K5065"/>
    </row>
    <row r="5066" spans="1:11">
      <c r="A5066"/>
      <c r="B5066"/>
      <c r="C5066"/>
      <c r="D5066"/>
      <c r="E5066"/>
      <c r="F5066"/>
      <c r="G5066"/>
      <c r="H5066"/>
      <c r="I5066"/>
      <c r="J5066"/>
      <c r="K5066"/>
    </row>
    <row r="5067" spans="1:11">
      <c r="A5067"/>
      <c r="B5067"/>
      <c r="C5067"/>
      <c r="D5067"/>
      <c r="E5067"/>
      <c r="F5067"/>
      <c r="G5067"/>
      <c r="H5067"/>
      <c r="I5067"/>
      <c r="J5067"/>
      <c r="K5067"/>
    </row>
    <row r="5068" spans="1:11">
      <c r="A5068"/>
      <c r="B5068"/>
      <c r="C5068"/>
      <c r="D5068"/>
      <c r="E5068"/>
      <c r="F5068"/>
      <c r="G5068"/>
      <c r="H5068"/>
      <c r="I5068"/>
      <c r="J5068"/>
      <c r="K5068"/>
    </row>
    <row r="5069" spans="1:11">
      <c r="A5069"/>
      <c r="B5069"/>
      <c r="C5069"/>
      <c r="D5069"/>
      <c r="E5069"/>
      <c r="F5069"/>
      <c r="G5069"/>
      <c r="H5069"/>
      <c r="I5069"/>
      <c r="J5069"/>
      <c r="K5069"/>
    </row>
    <row r="5070" spans="1:11">
      <c r="A5070"/>
      <c r="B5070"/>
      <c r="C5070"/>
      <c r="D5070"/>
      <c r="E5070"/>
      <c r="F5070"/>
      <c r="G5070"/>
      <c r="H5070"/>
      <c r="I5070"/>
      <c r="J5070"/>
      <c r="K5070"/>
    </row>
    <row r="5071" spans="1:11">
      <c r="A5071"/>
      <c r="B5071"/>
      <c r="C5071"/>
      <c r="D5071"/>
      <c r="E5071"/>
      <c r="F5071"/>
      <c r="G5071"/>
      <c r="H5071"/>
      <c r="I5071"/>
      <c r="J5071"/>
      <c r="K5071"/>
    </row>
    <row r="5072" spans="1:11">
      <c r="A5072"/>
      <c r="B5072"/>
      <c r="C5072"/>
      <c r="D5072"/>
      <c r="E5072"/>
      <c r="F5072"/>
      <c r="G5072"/>
      <c r="H5072"/>
      <c r="I5072"/>
      <c r="J5072"/>
      <c r="K5072"/>
    </row>
    <row r="5073" spans="1:11">
      <c r="A5073"/>
      <c r="B5073"/>
      <c r="C5073"/>
      <c r="D5073"/>
      <c r="E5073"/>
      <c r="F5073"/>
      <c r="G5073"/>
      <c r="H5073"/>
      <c r="I5073"/>
      <c r="J5073"/>
      <c r="K5073"/>
    </row>
    <row r="5074" spans="1:11">
      <c r="A5074"/>
      <c r="B5074"/>
      <c r="C5074"/>
      <c r="D5074"/>
      <c r="E5074"/>
      <c r="F5074"/>
      <c r="G5074"/>
      <c r="H5074"/>
      <c r="I5074"/>
      <c r="J5074"/>
      <c r="K5074"/>
    </row>
    <row r="5075" spans="1:11">
      <c r="A5075"/>
      <c r="B5075"/>
      <c r="C5075"/>
      <c r="D5075"/>
      <c r="E5075"/>
      <c r="F5075"/>
      <c r="G5075"/>
      <c r="H5075"/>
      <c r="I5075"/>
      <c r="J5075"/>
      <c r="K5075"/>
    </row>
    <row r="5076" spans="1:11">
      <c r="A5076"/>
      <c r="B5076"/>
      <c r="C5076"/>
      <c r="D5076"/>
      <c r="E5076"/>
      <c r="F5076"/>
      <c r="G5076"/>
      <c r="H5076"/>
      <c r="I5076"/>
      <c r="J5076"/>
      <c r="K5076"/>
    </row>
    <row r="5077" spans="1:11">
      <c r="A5077"/>
      <c r="B5077"/>
      <c r="C5077"/>
      <c r="D5077"/>
      <c r="E5077"/>
      <c r="F5077"/>
      <c r="G5077"/>
      <c r="H5077"/>
      <c r="I5077"/>
      <c r="J5077"/>
      <c r="K5077"/>
    </row>
    <row r="5078" spans="1:11">
      <c r="A5078"/>
      <c r="B5078"/>
      <c r="C5078"/>
      <c r="D5078"/>
      <c r="E5078"/>
      <c r="F5078"/>
      <c r="G5078"/>
      <c r="H5078"/>
      <c r="I5078"/>
      <c r="J5078"/>
      <c r="K5078"/>
    </row>
    <row r="5079" spans="1:11">
      <c r="A5079"/>
      <c r="B5079"/>
      <c r="C5079"/>
      <c r="D5079"/>
      <c r="E5079"/>
      <c r="F5079"/>
      <c r="G5079"/>
      <c r="H5079"/>
      <c r="I5079"/>
      <c r="J5079"/>
      <c r="K5079"/>
    </row>
    <row r="5080" spans="1:11">
      <c r="A5080"/>
      <c r="B5080"/>
      <c r="C5080"/>
      <c r="D5080"/>
      <c r="E5080"/>
      <c r="F5080"/>
      <c r="G5080"/>
      <c r="H5080"/>
      <c r="I5080"/>
      <c r="J5080"/>
      <c r="K5080"/>
    </row>
    <row r="5081" spans="1:11">
      <c r="A5081"/>
      <c r="B5081"/>
      <c r="C5081"/>
      <c r="D5081"/>
      <c r="E5081"/>
      <c r="F5081"/>
      <c r="G5081"/>
      <c r="H5081"/>
      <c r="I5081"/>
      <c r="J5081"/>
      <c r="K5081"/>
    </row>
    <row r="5082" spans="1:11">
      <c r="A5082"/>
      <c r="B5082"/>
      <c r="C5082"/>
      <c r="D5082"/>
      <c r="E5082"/>
      <c r="F5082"/>
      <c r="G5082"/>
      <c r="H5082"/>
      <c r="I5082"/>
      <c r="J5082"/>
      <c r="K5082"/>
    </row>
    <row r="5083" spans="1:11">
      <c r="A5083"/>
      <c r="B5083"/>
      <c r="C5083"/>
      <c r="D5083"/>
      <c r="E5083"/>
      <c r="F5083"/>
      <c r="G5083"/>
      <c r="H5083"/>
      <c r="I5083"/>
      <c r="J5083"/>
      <c r="K5083"/>
    </row>
    <row r="5084" spans="1:11">
      <c r="A5084"/>
      <c r="B5084"/>
      <c r="C5084"/>
      <c r="D5084"/>
      <c r="E5084"/>
      <c r="F5084"/>
      <c r="G5084"/>
      <c r="H5084"/>
      <c r="I5084"/>
      <c r="J5084"/>
      <c r="K5084"/>
    </row>
    <row r="5085" spans="1:11">
      <c r="A5085"/>
      <c r="B5085"/>
      <c r="C5085"/>
      <c r="D5085"/>
      <c r="E5085"/>
      <c r="F5085"/>
      <c r="G5085"/>
      <c r="H5085"/>
      <c r="I5085"/>
      <c r="J5085"/>
      <c r="K5085"/>
    </row>
    <row r="5086" spans="1:11">
      <c r="A5086"/>
      <c r="B5086"/>
      <c r="C5086"/>
      <c r="D5086"/>
      <c r="E5086"/>
      <c r="F5086"/>
      <c r="G5086"/>
      <c r="H5086"/>
      <c r="I5086"/>
      <c r="J5086"/>
      <c r="K5086"/>
    </row>
    <row r="5087" spans="1:11">
      <c r="A5087"/>
      <c r="B5087"/>
      <c r="C5087"/>
      <c r="D5087"/>
      <c r="E5087"/>
      <c r="F5087"/>
      <c r="G5087"/>
      <c r="H5087"/>
      <c r="I5087"/>
      <c r="J5087"/>
      <c r="K5087"/>
    </row>
    <row r="5088" spans="1:11">
      <c r="A5088"/>
      <c r="B5088"/>
      <c r="C5088"/>
      <c r="D5088"/>
      <c r="E5088"/>
      <c r="F5088"/>
      <c r="G5088"/>
      <c r="H5088"/>
      <c r="I5088"/>
      <c r="J5088"/>
      <c r="K5088"/>
    </row>
    <row r="5089" spans="1:11">
      <c r="A5089"/>
      <c r="B5089"/>
      <c r="C5089"/>
      <c r="D5089"/>
      <c r="E5089"/>
      <c r="F5089"/>
      <c r="G5089"/>
      <c r="H5089"/>
      <c r="I5089"/>
      <c r="J5089"/>
      <c r="K5089"/>
    </row>
    <row r="5090" spans="1:11">
      <c r="A5090"/>
      <c r="B5090"/>
      <c r="C5090"/>
      <c r="D5090"/>
      <c r="E5090"/>
      <c r="F5090"/>
      <c r="G5090"/>
      <c r="H5090"/>
      <c r="I5090"/>
      <c r="J5090"/>
      <c r="K5090"/>
    </row>
    <row r="5091" spans="1:11">
      <c r="A5091"/>
      <c r="B5091"/>
      <c r="C5091"/>
      <c r="D5091"/>
      <c r="E5091"/>
      <c r="F5091"/>
      <c r="G5091"/>
      <c r="H5091"/>
      <c r="I5091"/>
      <c r="J5091"/>
      <c r="K5091"/>
    </row>
    <row r="5092" spans="1:11">
      <c r="A5092"/>
      <c r="B5092"/>
      <c r="C5092"/>
      <c r="D5092"/>
      <c r="E5092"/>
      <c r="F5092"/>
      <c r="G5092"/>
      <c r="H5092"/>
      <c r="I5092"/>
      <c r="J5092"/>
      <c r="K5092"/>
    </row>
    <row r="5093" spans="1:11">
      <c r="A5093"/>
      <c r="B5093"/>
      <c r="C5093"/>
      <c r="D5093"/>
      <c r="E5093"/>
      <c r="F5093"/>
      <c r="G5093"/>
      <c r="H5093"/>
      <c r="I5093"/>
      <c r="J5093"/>
      <c r="K5093"/>
    </row>
    <row r="5094" spans="1:11">
      <c r="A5094"/>
      <c r="B5094"/>
      <c r="C5094"/>
      <c r="D5094"/>
      <c r="E5094"/>
      <c r="F5094"/>
      <c r="G5094"/>
      <c r="H5094"/>
      <c r="I5094"/>
      <c r="J5094"/>
      <c r="K5094"/>
    </row>
    <row r="5095" spans="1:11">
      <c r="A5095"/>
      <c r="B5095"/>
      <c r="C5095"/>
      <c r="D5095"/>
      <c r="E5095"/>
      <c r="F5095"/>
      <c r="G5095"/>
      <c r="H5095"/>
      <c r="I5095"/>
      <c r="J5095"/>
      <c r="K5095"/>
    </row>
    <row r="5096" spans="1:11">
      <c r="A5096"/>
      <c r="B5096"/>
      <c r="C5096"/>
      <c r="D5096"/>
      <c r="E5096"/>
      <c r="F5096"/>
      <c r="G5096"/>
      <c r="H5096"/>
      <c r="I5096"/>
      <c r="J5096"/>
      <c r="K5096"/>
    </row>
    <row r="5097" spans="1:11">
      <c r="A5097"/>
      <c r="B5097"/>
      <c r="C5097"/>
      <c r="D5097"/>
      <c r="E5097"/>
      <c r="F5097"/>
      <c r="G5097"/>
      <c r="H5097"/>
      <c r="I5097"/>
      <c r="J5097"/>
      <c r="K5097"/>
    </row>
    <row r="5098" spans="1:11">
      <c r="A5098"/>
      <c r="B5098"/>
      <c r="C5098"/>
      <c r="D5098"/>
      <c r="E5098"/>
      <c r="F5098"/>
      <c r="G5098"/>
      <c r="H5098"/>
      <c r="I5098"/>
      <c r="J5098"/>
      <c r="K5098"/>
    </row>
    <row r="5099" spans="1:11">
      <c r="A5099"/>
      <c r="B5099"/>
      <c r="C5099"/>
      <c r="D5099"/>
      <c r="E5099"/>
      <c r="F5099"/>
      <c r="G5099"/>
      <c r="H5099"/>
      <c r="I5099"/>
      <c r="J5099"/>
      <c r="K5099"/>
    </row>
    <row r="5100" spans="1:11">
      <c r="A5100"/>
      <c r="B5100"/>
      <c r="C5100"/>
      <c r="D5100"/>
      <c r="E5100"/>
      <c r="F5100"/>
      <c r="G5100"/>
      <c r="H5100"/>
      <c r="I5100"/>
      <c r="J5100"/>
      <c r="K5100"/>
    </row>
    <row r="5101" spans="1:11">
      <c r="A5101"/>
      <c r="B5101"/>
      <c r="C5101"/>
      <c r="D5101"/>
      <c r="E5101"/>
      <c r="F5101"/>
      <c r="G5101"/>
      <c r="H5101"/>
      <c r="I5101"/>
      <c r="J5101"/>
      <c r="K5101"/>
    </row>
    <row r="5102" spans="1:11">
      <c r="A5102"/>
      <c r="B5102"/>
      <c r="C5102"/>
      <c r="D5102"/>
      <c r="E5102"/>
      <c r="F5102"/>
      <c r="G5102"/>
      <c r="H5102"/>
      <c r="I5102"/>
      <c r="J5102"/>
      <c r="K5102"/>
    </row>
    <row r="5103" spans="1:11">
      <c r="A5103"/>
      <c r="B5103"/>
      <c r="C5103"/>
      <c r="D5103"/>
      <c r="E5103"/>
      <c r="F5103"/>
      <c r="G5103"/>
      <c r="H5103"/>
      <c r="I5103"/>
      <c r="J5103"/>
      <c r="K5103"/>
    </row>
    <row r="5104" spans="1:11">
      <c r="A5104"/>
      <c r="B5104"/>
      <c r="C5104"/>
      <c r="D5104"/>
      <c r="E5104"/>
      <c r="F5104"/>
      <c r="G5104"/>
      <c r="H5104"/>
      <c r="I5104"/>
      <c r="J5104"/>
      <c r="K5104"/>
    </row>
    <row r="5105" spans="1:11">
      <c r="A5105"/>
      <c r="B5105"/>
      <c r="C5105"/>
      <c r="D5105"/>
      <c r="E5105"/>
      <c r="F5105"/>
      <c r="G5105"/>
      <c r="H5105"/>
      <c r="I5105"/>
      <c r="J5105"/>
      <c r="K5105"/>
    </row>
    <row r="5106" spans="1:11">
      <c r="A5106"/>
      <c r="B5106"/>
      <c r="C5106"/>
      <c r="D5106"/>
      <c r="E5106"/>
      <c r="F5106"/>
      <c r="G5106"/>
      <c r="H5106"/>
      <c r="I5106"/>
      <c r="J5106"/>
      <c r="K5106"/>
    </row>
    <row r="5107" spans="1:11">
      <c r="A5107"/>
      <c r="B5107"/>
      <c r="C5107"/>
      <c r="D5107"/>
      <c r="E5107"/>
      <c r="F5107"/>
      <c r="G5107"/>
      <c r="H5107"/>
      <c r="I5107"/>
      <c r="J5107"/>
      <c r="K5107"/>
    </row>
    <row r="5108" spans="1:11">
      <c r="A5108"/>
      <c r="B5108"/>
      <c r="C5108"/>
      <c r="D5108"/>
      <c r="E5108"/>
      <c r="F5108"/>
      <c r="G5108"/>
      <c r="H5108"/>
      <c r="I5108"/>
      <c r="J5108"/>
      <c r="K5108"/>
    </row>
    <row r="5109" spans="1:11">
      <c r="A5109"/>
      <c r="B5109"/>
      <c r="C5109"/>
      <c r="D5109"/>
      <c r="E5109"/>
      <c r="F5109"/>
      <c r="G5109"/>
      <c r="H5109"/>
      <c r="I5109"/>
      <c r="J5109"/>
      <c r="K5109"/>
    </row>
    <row r="5110" spans="1:11">
      <c r="A5110"/>
      <c r="B5110"/>
      <c r="C5110"/>
      <c r="D5110"/>
      <c r="E5110"/>
      <c r="F5110"/>
      <c r="G5110"/>
      <c r="H5110"/>
      <c r="I5110"/>
      <c r="J5110"/>
      <c r="K5110"/>
    </row>
    <row r="5111" spans="1:11">
      <c r="A5111"/>
      <c r="B5111"/>
      <c r="C5111"/>
      <c r="D5111"/>
      <c r="E5111"/>
      <c r="F5111"/>
      <c r="G5111"/>
      <c r="H5111"/>
      <c r="I5111"/>
      <c r="J5111"/>
      <c r="K5111"/>
    </row>
    <row r="5112" spans="1:11">
      <c r="A5112"/>
      <c r="B5112"/>
      <c r="C5112"/>
      <c r="D5112"/>
      <c r="E5112"/>
      <c r="F5112"/>
      <c r="G5112"/>
      <c r="H5112"/>
      <c r="I5112"/>
      <c r="J5112"/>
      <c r="K5112"/>
    </row>
    <row r="5113" spans="1:11">
      <c r="A5113"/>
      <c r="B5113"/>
      <c r="C5113"/>
      <c r="D5113"/>
      <c r="E5113"/>
      <c r="F5113"/>
      <c r="G5113"/>
      <c r="H5113"/>
      <c r="I5113"/>
      <c r="J5113"/>
      <c r="K5113"/>
    </row>
    <row r="5114" spans="1:11">
      <c r="A5114"/>
      <c r="B5114"/>
      <c r="C5114"/>
      <c r="D5114"/>
      <c r="E5114"/>
      <c r="F5114"/>
      <c r="G5114"/>
      <c r="H5114"/>
      <c r="I5114"/>
      <c r="J5114"/>
      <c r="K5114"/>
    </row>
    <row r="5115" spans="1:11">
      <c r="A5115"/>
      <c r="B5115"/>
      <c r="C5115"/>
      <c r="D5115"/>
      <c r="E5115"/>
      <c r="F5115"/>
      <c r="G5115"/>
      <c r="H5115"/>
      <c r="I5115"/>
      <c r="J5115"/>
      <c r="K5115"/>
    </row>
    <row r="5116" spans="1:11">
      <c r="A5116"/>
      <c r="B5116"/>
      <c r="C5116"/>
      <c r="D5116"/>
      <c r="E5116"/>
      <c r="F5116"/>
      <c r="G5116"/>
      <c r="H5116"/>
      <c r="I5116"/>
      <c r="J5116"/>
      <c r="K5116"/>
    </row>
    <row r="5117" spans="1:11">
      <c r="A5117"/>
      <c r="B5117"/>
      <c r="C5117"/>
      <c r="D5117"/>
      <c r="E5117"/>
      <c r="F5117"/>
      <c r="G5117"/>
      <c r="H5117"/>
      <c r="I5117"/>
      <c r="J5117"/>
      <c r="K5117"/>
    </row>
    <row r="5118" spans="1:11">
      <c r="A5118"/>
      <c r="B5118"/>
      <c r="C5118"/>
      <c r="D5118"/>
      <c r="E5118"/>
      <c r="F5118"/>
      <c r="G5118"/>
      <c r="H5118"/>
      <c r="I5118"/>
      <c r="J5118"/>
      <c r="K5118"/>
    </row>
    <row r="5119" spans="1:11">
      <c r="A5119"/>
      <c r="B5119"/>
      <c r="C5119"/>
      <c r="D5119"/>
      <c r="E5119"/>
      <c r="F5119"/>
      <c r="G5119"/>
      <c r="H5119"/>
      <c r="I5119"/>
      <c r="J5119"/>
      <c r="K5119"/>
    </row>
    <row r="5120" spans="1:11">
      <c r="A5120"/>
      <c r="B5120"/>
      <c r="C5120"/>
      <c r="D5120"/>
      <c r="E5120"/>
      <c r="F5120"/>
      <c r="G5120"/>
      <c r="H5120"/>
      <c r="I5120"/>
      <c r="J5120"/>
      <c r="K5120"/>
    </row>
    <row r="5121" spans="1:11">
      <c r="A5121"/>
      <c r="B5121"/>
      <c r="C5121"/>
      <c r="D5121"/>
      <c r="E5121"/>
      <c r="F5121"/>
      <c r="G5121"/>
      <c r="H5121"/>
      <c r="I5121"/>
      <c r="J5121"/>
      <c r="K5121"/>
    </row>
    <row r="5122" spans="1:11">
      <c r="A5122"/>
      <c r="B5122"/>
      <c r="C5122"/>
      <c r="D5122"/>
      <c r="E5122"/>
      <c r="F5122"/>
      <c r="G5122"/>
      <c r="H5122"/>
      <c r="I5122"/>
      <c r="J5122"/>
      <c r="K5122"/>
    </row>
    <row r="5123" spans="1:11">
      <c r="A5123"/>
      <c r="B5123"/>
      <c r="C5123"/>
      <c r="D5123"/>
      <c r="E5123"/>
      <c r="F5123"/>
      <c r="G5123"/>
      <c r="H5123"/>
      <c r="I5123"/>
      <c r="J5123"/>
      <c r="K5123"/>
    </row>
    <row r="5124" spans="1:11">
      <c r="A5124"/>
      <c r="B5124"/>
      <c r="C5124"/>
      <c r="D5124"/>
      <c r="E5124"/>
      <c r="F5124"/>
      <c r="G5124"/>
      <c r="H5124"/>
      <c r="I5124"/>
      <c r="J5124"/>
      <c r="K5124"/>
    </row>
    <row r="5125" spans="1:11">
      <c r="A5125"/>
      <c r="B5125"/>
      <c r="C5125"/>
      <c r="D5125"/>
      <c r="E5125"/>
      <c r="F5125"/>
      <c r="G5125"/>
      <c r="H5125"/>
      <c r="I5125"/>
      <c r="J5125"/>
      <c r="K5125"/>
    </row>
    <row r="5126" spans="1:11">
      <c r="A5126"/>
      <c r="B5126"/>
      <c r="C5126"/>
      <c r="D5126"/>
      <c r="E5126"/>
      <c r="F5126"/>
      <c r="G5126"/>
      <c r="H5126"/>
      <c r="I5126"/>
      <c r="J5126"/>
      <c r="K5126"/>
    </row>
    <row r="5127" spans="1:11">
      <c r="A5127"/>
      <c r="B5127"/>
      <c r="C5127"/>
      <c r="D5127"/>
      <c r="E5127"/>
      <c r="F5127"/>
      <c r="G5127"/>
      <c r="H5127"/>
      <c r="I5127"/>
      <c r="J5127"/>
      <c r="K5127"/>
    </row>
    <row r="5128" spans="1:11">
      <c r="A5128"/>
      <c r="B5128"/>
      <c r="C5128"/>
      <c r="D5128"/>
      <c r="E5128"/>
      <c r="F5128"/>
      <c r="G5128"/>
      <c r="H5128"/>
      <c r="I5128"/>
      <c r="J5128"/>
      <c r="K5128"/>
    </row>
    <row r="5129" spans="1:11">
      <c r="A5129"/>
      <c r="B5129"/>
      <c r="C5129"/>
      <c r="D5129"/>
      <c r="E5129"/>
      <c r="F5129"/>
      <c r="G5129"/>
      <c r="H5129"/>
      <c r="I5129"/>
      <c r="J5129"/>
      <c r="K5129"/>
    </row>
    <row r="5130" spans="1:11">
      <c r="A5130"/>
      <c r="B5130"/>
      <c r="C5130"/>
      <c r="D5130"/>
      <c r="E5130"/>
      <c r="F5130"/>
      <c r="G5130"/>
      <c r="H5130"/>
      <c r="I5130"/>
      <c r="J5130"/>
      <c r="K5130"/>
    </row>
    <row r="5131" spans="1:11">
      <c r="A5131"/>
      <c r="B5131"/>
      <c r="C5131"/>
      <c r="D5131"/>
      <c r="E5131"/>
      <c r="F5131"/>
      <c r="G5131"/>
      <c r="H5131"/>
      <c r="I5131"/>
      <c r="J5131"/>
      <c r="K5131"/>
    </row>
    <row r="5132" spans="1:11">
      <c r="A5132"/>
      <c r="B5132"/>
      <c r="C5132"/>
      <c r="D5132"/>
      <c r="E5132"/>
      <c r="F5132"/>
      <c r="G5132"/>
      <c r="H5132"/>
      <c r="I5132"/>
      <c r="J5132"/>
      <c r="K5132"/>
    </row>
    <row r="5133" spans="1:11">
      <c r="A5133"/>
      <c r="B5133"/>
      <c r="C5133"/>
      <c r="D5133"/>
      <c r="E5133"/>
      <c r="F5133"/>
      <c r="G5133"/>
      <c r="H5133"/>
      <c r="I5133"/>
      <c r="J5133"/>
      <c r="K5133"/>
    </row>
    <row r="5134" spans="1:11">
      <c r="A5134"/>
      <c r="B5134"/>
      <c r="C5134"/>
      <c r="D5134"/>
      <c r="E5134"/>
      <c r="F5134"/>
      <c r="G5134"/>
      <c r="H5134"/>
      <c r="I5134"/>
      <c r="J5134"/>
      <c r="K5134"/>
    </row>
    <row r="5135" spans="1:11">
      <c r="A5135"/>
      <c r="B5135"/>
      <c r="C5135"/>
      <c r="D5135"/>
      <c r="E5135"/>
      <c r="F5135"/>
      <c r="G5135"/>
      <c r="H5135"/>
      <c r="I5135"/>
      <c r="J5135"/>
      <c r="K5135"/>
    </row>
    <row r="5136" spans="1:11">
      <c r="A5136"/>
      <c r="B5136"/>
      <c r="C5136"/>
      <c r="D5136"/>
      <c r="E5136"/>
      <c r="F5136"/>
      <c r="G5136"/>
      <c r="H5136"/>
      <c r="I5136"/>
      <c r="J5136"/>
      <c r="K5136"/>
    </row>
    <row r="5137" spans="1:11">
      <c r="A5137"/>
      <c r="B5137"/>
      <c r="C5137"/>
      <c r="D5137"/>
      <c r="E5137"/>
      <c r="F5137"/>
      <c r="G5137"/>
      <c r="H5137"/>
      <c r="I5137"/>
      <c r="J5137"/>
      <c r="K5137"/>
    </row>
    <row r="5138" spans="1:11">
      <c r="A5138"/>
      <c r="B5138"/>
      <c r="C5138"/>
      <c r="D5138"/>
      <c r="E5138"/>
      <c r="F5138"/>
      <c r="G5138"/>
      <c r="H5138"/>
      <c r="I5138"/>
      <c r="J5138"/>
      <c r="K5138"/>
    </row>
    <row r="5139" spans="1:11">
      <c r="A5139"/>
      <c r="B5139"/>
      <c r="C5139"/>
      <c r="D5139"/>
      <c r="E5139"/>
      <c r="F5139"/>
      <c r="G5139"/>
      <c r="H5139"/>
      <c r="I5139"/>
      <c r="J5139"/>
      <c r="K5139"/>
    </row>
    <row r="5140" spans="1:11">
      <c r="A5140"/>
      <c r="B5140"/>
      <c r="C5140"/>
      <c r="D5140"/>
      <c r="E5140"/>
      <c r="F5140"/>
      <c r="G5140"/>
      <c r="H5140"/>
      <c r="I5140"/>
      <c r="J5140"/>
      <c r="K5140"/>
    </row>
    <row r="5141" spans="1:11">
      <c r="A5141"/>
      <c r="B5141"/>
      <c r="C5141"/>
      <c r="D5141"/>
      <c r="E5141"/>
      <c r="F5141"/>
      <c r="G5141"/>
      <c r="H5141"/>
      <c r="I5141"/>
      <c r="J5141"/>
      <c r="K5141"/>
    </row>
    <row r="5142" spans="1:11">
      <c r="A5142"/>
      <c r="B5142"/>
      <c r="C5142"/>
      <c r="D5142"/>
      <c r="E5142"/>
      <c r="F5142"/>
      <c r="G5142"/>
      <c r="H5142"/>
      <c r="I5142"/>
      <c r="J5142"/>
      <c r="K5142"/>
    </row>
    <row r="5143" spans="1:11">
      <c r="A5143"/>
      <c r="B5143"/>
      <c r="C5143"/>
      <c r="D5143"/>
      <c r="E5143"/>
      <c r="F5143"/>
      <c r="G5143"/>
      <c r="H5143"/>
      <c r="I5143"/>
      <c r="J5143"/>
      <c r="K5143"/>
    </row>
    <row r="5144" spans="1:11">
      <c r="A5144"/>
      <c r="B5144"/>
      <c r="C5144"/>
      <c r="D5144"/>
      <c r="E5144"/>
      <c r="F5144"/>
      <c r="G5144"/>
      <c r="H5144"/>
      <c r="I5144"/>
      <c r="J5144"/>
      <c r="K5144"/>
    </row>
    <row r="5145" spans="1:11">
      <c r="A5145"/>
      <c r="B5145"/>
      <c r="C5145"/>
      <c r="D5145"/>
      <c r="E5145"/>
      <c r="F5145"/>
      <c r="G5145"/>
      <c r="H5145"/>
      <c r="I5145"/>
      <c r="J5145"/>
      <c r="K5145"/>
    </row>
    <row r="5146" spans="1:11">
      <c r="A5146"/>
      <c r="B5146"/>
      <c r="C5146"/>
      <c r="D5146"/>
      <c r="E5146"/>
      <c r="F5146"/>
      <c r="G5146"/>
      <c r="H5146"/>
      <c r="I5146"/>
      <c r="J5146"/>
      <c r="K5146"/>
    </row>
    <row r="5147" spans="1:11">
      <c r="A5147"/>
      <c r="B5147"/>
      <c r="C5147"/>
      <c r="D5147"/>
      <c r="E5147"/>
      <c r="F5147"/>
      <c r="G5147"/>
      <c r="H5147"/>
      <c r="I5147"/>
      <c r="J5147"/>
      <c r="K5147"/>
    </row>
    <row r="5148" spans="1:11">
      <c r="A5148"/>
      <c r="B5148"/>
      <c r="C5148"/>
      <c r="D5148"/>
      <c r="E5148"/>
      <c r="F5148"/>
      <c r="G5148"/>
      <c r="H5148"/>
      <c r="I5148"/>
      <c r="J5148"/>
      <c r="K5148"/>
    </row>
    <row r="5149" spans="1:11">
      <c r="A5149"/>
      <c r="B5149"/>
      <c r="C5149"/>
      <c r="D5149"/>
      <c r="E5149"/>
      <c r="F5149"/>
      <c r="G5149"/>
      <c r="H5149"/>
      <c r="I5149"/>
      <c r="J5149"/>
      <c r="K5149"/>
    </row>
    <row r="5150" spans="1:11">
      <c r="A5150"/>
      <c r="B5150"/>
      <c r="C5150"/>
      <c r="D5150"/>
      <c r="E5150"/>
      <c r="F5150"/>
      <c r="G5150"/>
      <c r="H5150"/>
      <c r="I5150"/>
      <c r="J5150"/>
      <c r="K5150"/>
    </row>
    <row r="5151" spans="1:11">
      <c r="A5151"/>
      <c r="B5151"/>
      <c r="C5151"/>
      <c r="D5151"/>
      <c r="E5151"/>
      <c r="F5151"/>
      <c r="G5151"/>
      <c r="H5151"/>
      <c r="I5151"/>
      <c r="J5151"/>
      <c r="K5151"/>
    </row>
    <row r="5152" spans="1:11">
      <c r="A5152"/>
      <c r="B5152"/>
      <c r="C5152"/>
      <c r="D5152"/>
      <c r="E5152"/>
      <c r="F5152"/>
      <c r="G5152"/>
      <c r="H5152"/>
      <c r="I5152"/>
      <c r="J5152"/>
      <c r="K5152"/>
    </row>
    <row r="5153" spans="1:11">
      <c r="A5153"/>
      <c r="B5153"/>
      <c r="C5153"/>
      <c r="D5153"/>
      <c r="E5153"/>
      <c r="F5153"/>
      <c r="G5153"/>
      <c r="H5153"/>
      <c r="I5153"/>
      <c r="J5153"/>
      <c r="K5153"/>
    </row>
    <row r="5154" spans="1:11">
      <c r="A5154"/>
      <c r="B5154"/>
      <c r="C5154"/>
      <c r="D5154"/>
      <c r="E5154"/>
      <c r="F5154"/>
      <c r="G5154"/>
      <c r="H5154"/>
      <c r="I5154"/>
      <c r="J5154"/>
      <c r="K5154"/>
    </row>
    <row r="5155" spans="1:11">
      <c r="A5155"/>
      <c r="B5155"/>
      <c r="C5155"/>
      <c r="D5155"/>
      <c r="E5155"/>
      <c r="F5155"/>
      <c r="G5155"/>
      <c r="H5155"/>
      <c r="I5155"/>
      <c r="J5155"/>
      <c r="K5155"/>
    </row>
    <row r="5156" spans="1:11">
      <c r="A5156"/>
      <c r="B5156"/>
      <c r="C5156"/>
      <c r="D5156"/>
      <c r="E5156"/>
      <c r="F5156"/>
      <c r="G5156"/>
      <c r="H5156"/>
      <c r="I5156"/>
      <c r="J5156"/>
      <c r="K5156"/>
    </row>
    <row r="5157" spans="1:11">
      <c r="A5157"/>
      <c r="B5157"/>
      <c r="C5157"/>
      <c r="D5157"/>
      <c r="E5157"/>
      <c r="F5157"/>
      <c r="G5157"/>
      <c r="H5157"/>
      <c r="I5157"/>
      <c r="J5157"/>
      <c r="K5157"/>
    </row>
    <row r="5158" spans="1:11">
      <c r="A5158"/>
      <c r="B5158"/>
      <c r="C5158"/>
      <c r="D5158"/>
      <c r="E5158"/>
      <c r="F5158"/>
      <c r="G5158"/>
      <c r="H5158"/>
      <c r="I5158"/>
      <c r="J5158"/>
      <c r="K5158"/>
    </row>
    <row r="5159" spans="1:11">
      <c r="A5159"/>
      <c r="B5159"/>
      <c r="C5159"/>
      <c r="D5159"/>
      <c r="E5159"/>
      <c r="F5159"/>
      <c r="G5159"/>
      <c r="H5159"/>
      <c r="I5159"/>
      <c r="J5159"/>
      <c r="K5159"/>
    </row>
    <row r="5160" spans="1:11">
      <c r="A5160"/>
      <c r="B5160"/>
      <c r="C5160"/>
      <c r="D5160"/>
      <c r="E5160"/>
      <c r="F5160"/>
      <c r="G5160"/>
      <c r="H5160"/>
      <c r="I5160"/>
      <c r="J5160"/>
      <c r="K5160"/>
    </row>
    <row r="5161" spans="1:11">
      <c r="A5161"/>
      <c r="B5161"/>
      <c r="C5161"/>
      <c r="D5161"/>
      <c r="E5161"/>
      <c r="F5161"/>
      <c r="G5161"/>
      <c r="H5161"/>
      <c r="I5161"/>
      <c r="J5161"/>
      <c r="K5161"/>
    </row>
    <row r="5162" spans="1:11">
      <c r="A5162"/>
      <c r="B5162"/>
      <c r="C5162"/>
      <c r="D5162"/>
      <c r="E5162"/>
      <c r="F5162"/>
      <c r="G5162"/>
      <c r="H5162"/>
      <c r="I5162"/>
      <c r="J5162"/>
      <c r="K5162"/>
    </row>
    <row r="5163" spans="1:11">
      <c r="A5163"/>
      <c r="B5163"/>
      <c r="C5163"/>
      <c r="D5163"/>
      <c r="E5163"/>
      <c r="F5163"/>
      <c r="G5163"/>
      <c r="H5163"/>
      <c r="I5163"/>
      <c r="J5163"/>
      <c r="K5163"/>
    </row>
    <row r="5164" spans="1:11">
      <c r="A5164"/>
      <c r="B5164"/>
      <c r="C5164"/>
      <c r="D5164"/>
      <c r="E5164"/>
      <c r="F5164"/>
      <c r="G5164"/>
      <c r="H5164"/>
      <c r="I5164"/>
      <c r="J5164"/>
      <c r="K5164"/>
    </row>
    <row r="5165" spans="1:11">
      <c r="A5165"/>
      <c r="B5165"/>
      <c r="C5165"/>
      <c r="D5165"/>
      <c r="E5165"/>
      <c r="F5165"/>
      <c r="G5165"/>
      <c r="H5165"/>
      <c r="I5165"/>
      <c r="J5165"/>
      <c r="K5165"/>
    </row>
    <row r="5166" spans="1:11">
      <c r="A5166"/>
      <c r="B5166"/>
      <c r="C5166"/>
      <c r="D5166"/>
      <c r="E5166"/>
      <c r="F5166"/>
      <c r="G5166"/>
      <c r="H5166"/>
      <c r="I5166"/>
      <c r="J5166"/>
      <c r="K5166"/>
    </row>
    <row r="5167" spans="1:11">
      <c r="A5167"/>
      <c r="B5167"/>
      <c r="C5167"/>
      <c r="D5167"/>
      <c r="E5167"/>
      <c r="F5167"/>
      <c r="G5167"/>
      <c r="H5167"/>
      <c r="I5167"/>
      <c r="J5167"/>
      <c r="K5167"/>
    </row>
    <row r="5168" spans="1:11">
      <c r="A5168"/>
      <c r="B5168"/>
      <c r="C5168"/>
      <c r="D5168"/>
      <c r="E5168"/>
      <c r="F5168"/>
      <c r="G5168"/>
      <c r="H5168"/>
      <c r="I5168"/>
      <c r="J5168"/>
      <c r="K5168"/>
    </row>
    <row r="5169" spans="1:11">
      <c r="A5169"/>
      <c r="B5169"/>
      <c r="C5169"/>
      <c r="D5169"/>
      <c r="E5169"/>
      <c r="F5169"/>
      <c r="G5169"/>
      <c r="H5169"/>
      <c r="I5169"/>
      <c r="J5169"/>
      <c r="K5169"/>
    </row>
    <row r="5170" spans="1:11">
      <c r="A5170"/>
      <c r="B5170"/>
      <c r="C5170"/>
      <c r="D5170"/>
      <c r="E5170"/>
      <c r="F5170"/>
      <c r="G5170"/>
      <c r="H5170"/>
      <c r="I5170"/>
      <c r="J5170"/>
      <c r="K5170"/>
    </row>
    <row r="5171" spans="1:11">
      <c r="A5171"/>
      <c r="B5171"/>
      <c r="C5171"/>
      <c r="D5171"/>
      <c r="E5171"/>
      <c r="F5171"/>
      <c r="G5171"/>
      <c r="H5171"/>
      <c r="I5171"/>
      <c r="J5171"/>
      <c r="K5171"/>
    </row>
    <row r="5172" spans="1:11">
      <c r="A5172"/>
      <c r="B5172"/>
      <c r="C5172"/>
      <c r="D5172"/>
      <c r="E5172"/>
      <c r="F5172"/>
      <c r="G5172"/>
      <c r="H5172"/>
      <c r="I5172"/>
      <c r="J5172"/>
      <c r="K5172"/>
    </row>
    <row r="5173" spans="1:11">
      <c r="A5173"/>
      <c r="B5173"/>
      <c r="C5173"/>
      <c r="D5173"/>
      <c r="E5173"/>
      <c r="F5173"/>
      <c r="G5173"/>
      <c r="H5173"/>
      <c r="I5173"/>
      <c r="J5173"/>
      <c r="K5173"/>
    </row>
    <row r="5174" spans="1:11">
      <c r="A5174"/>
      <c r="B5174"/>
      <c r="C5174"/>
      <c r="D5174"/>
      <c r="E5174"/>
      <c r="F5174"/>
      <c r="G5174"/>
      <c r="H5174"/>
      <c r="I5174"/>
      <c r="J5174"/>
      <c r="K5174"/>
    </row>
    <row r="5175" spans="1:11">
      <c r="A5175"/>
      <c r="B5175"/>
      <c r="C5175"/>
      <c r="D5175"/>
      <c r="E5175"/>
      <c r="F5175"/>
      <c r="G5175"/>
      <c r="H5175"/>
      <c r="I5175"/>
      <c r="J5175"/>
      <c r="K5175"/>
    </row>
    <row r="5176" spans="1:11">
      <c r="A5176"/>
      <c r="B5176"/>
      <c r="C5176"/>
      <c r="D5176"/>
      <c r="E5176"/>
      <c r="F5176"/>
      <c r="G5176"/>
      <c r="H5176"/>
      <c r="I5176"/>
      <c r="J5176"/>
      <c r="K5176"/>
    </row>
    <row r="5177" spans="1:11">
      <c r="A5177"/>
      <c r="B5177"/>
      <c r="C5177"/>
      <c r="D5177"/>
      <c r="E5177"/>
      <c r="F5177"/>
      <c r="G5177"/>
      <c r="H5177"/>
      <c r="I5177"/>
      <c r="J5177"/>
      <c r="K5177"/>
    </row>
    <row r="5178" spans="1:11">
      <c r="A5178"/>
      <c r="B5178"/>
      <c r="C5178"/>
      <c r="D5178"/>
      <c r="E5178"/>
      <c r="F5178"/>
      <c r="G5178"/>
      <c r="H5178"/>
      <c r="I5178"/>
      <c r="J5178"/>
      <c r="K5178"/>
    </row>
    <row r="5179" spans="1:11">
      <c r="A5179"/>
      <c r="B5179"/>
      <c r="C5179"/>
      <c r="D5179"/>
      <c r="E5179"/>
      <c r="F5179"/>
      <c r="G5179"/>
      <c r="H5179"/>
      <c r="I5179"/>
      <c r="J5179"/>
      <c r="K5179"/>
    </row>
    <row r="5180" spans="1:11">
      <c r="A5180"/>
      <c r="B5180"/>
      <c r="C5180"/>
      <c r="D5180"/>
      <c r="E5180"/>
      <c r="F5180"/>
      <c r="G5180"/>
      <c r="H5180"/>
      <c r="I5180"/>
      <c r="J5180"/>
      <c r="K5180"/>
    </row>
    <row r="5181" spans="1:11">
      <c r="A5181"/>
      <c r="B5181"/>
      <c r="C5181"/>
      <c r="D5181"/>
      <c r="E5181"/>
      <c r="F5181"/>
      <c r="G5181"/>
      <c r="H5181"/>
      <c r="I5181"/>
      <c r="J5181"/>
      <c r="K5181"/>
    </row>
    <row r="5182" spans="1:11">
      <c r="A5182"/>
      <c r="B5182"/>
      <c r="C5182"/>
      <c r="D5182"/>
      <c r="E5182"/>
      <c r="F5182"/>
      <c r="G5182"/>
      <c r="H5182"/>
      <c r="I5182"/>
      <c r="J5182"/>
      <c r="K5182"/>
    </row>
    <row r="5183" spans="1:11">
      <c r="A5183"/>
      <c r="B5183"/>
      <c r="C5183"/>
      <c r="D5183"/>
      <c r="E5183"/>
      <c r="F5183"/>
      <c r="G5183"/>
      <c r="H5183"/>
      <c r="I5183"/>
      <c r="J5183"/>
      <c r="K5183"/>
    </row>
    <row r="5184" spans="1:11">
      <c r="A5184"/>
      <c r="B5184"/>
      <c r="C5184"/>
      <c r="D5184"/>
      <c r="E5184"/>
      <c r="F5184"/>
      <c r="G5184"/>
      <c r="H5184"/>
      <c r="I5184"/>
      <c r="J5184"/>
      <c r="K5184"/>
    </row>
    <row r="5185" spans="1:11">
      <c r="A5185"/>
      <c r="B5185"/>
      <c r="C5185"/>
      <c r="D5185"/>
      <c r="E5185"/>
      <c r="F5185"/>
      <c r="G5185"/>
      <c r="H5185"/>
      <c r="I5185"/>
      <c r="J5185"/>
      <c r="K5185"/>
    </row>
    <row r="5186" spans="1:11">
      <c r="A5186"/>
      <c r="B5186"/>
      <c r="C5186"/>
      <c r="D5186"/>
      <c r="E5186"/>
      <c r="F5186"/>
      <c r="G5186"/>
      <c r="H5186"/>
      <c r="I5186"/>
      <c r="J5186"/>
      <c r="K5186"/>
    </row>
    <row r="5187" spans="1:11">
      <c r="A5187"/>
      <c r="B5187"/>
      <c r="C5187"/>
      <c r="D5187"/>
      <c r="E5187"/>
      <c r="F5187"/>
      <c r="G5187"/>
      <c r="H5187"/>
      <c r="I5187"/>
      <c r="J5187"/>
      <c r="K5187"/>
    </row>
    <row r="5188" spans="1:11">
      <c r="A5188"/>
      <c r="B5188"/>
      <c r="C5188"/>
      <c r="D5188"/>
      <c r="E5188"/>
      <c r="F5188"/>
      <c r="G5188"/>
      <c r="H5188"/>
      <c r="I5188"/>
      <c r="J5188"/>
      <c r="K5188"/>
    </row>
    <row r="5189" spans="1:11">
      <c r="A5189"/>
      <c r="B5189"/>
      <c r="C5189"/>
      <c r="D5189"/>
      <c r="E5189"/>
      <c r="F5189"/>
      <c r="G5189"/>
      <c r="H5189"/>
      <c r="I5189"/>
      <c r="J5189"/>
      <c r="K5189"/>
    </row>
    <row r="5190" spans="1:11">
      <c r="A5190"/>
      <c r="B5190"/>
      <c r="C5190"/>
      <c r="D5190"/>
      <c r="E5190"/>
      <c r="F5190"/>
      <c r="G5190"/>
      <c r="H5190"/>
      <c r="I5190"/>
      <c r="J5190"/>
      <c r="K5190"/>
    </row>
    <row r="5191" spans="1:11">
      <c r="A5191"/>
      <c r="B5191"/>
      <c r="C5191"/>
      <c r="D5191"/>
      <c r="E5191"/>
      <c r="F5191"/>
      <c r="G5191"/>
      <c r="H5191"/>
      <c r="I5191"/>
      <c r="J5191"/>
      <c r="K5191"/>
    </row>
    <row r="5192" spans="1:11">
      <c r="A5192"/>
      <c r="B5192"/>
      <c r="C5192"/>
      <c r="D5192"/>
      <c r="E5192"/>
      <c r="F5192"/>
      <c r="G5192"/>
      <c r="H5192"/>
      <c r="I5192"/>
      <c r="J5192"/>
      <c r="K5192"/>
    </row>
    <row r="5193" spans="1:11">
      <c r="A5193"/>
      <c r="B5193"/>
      <c r="C5193"/>
      <c r="D5193"/>
      <c r="E5193"/>
      <c r="F5193"/>
      <c r="G5193"/>
      <c r="H5193"/>
      <c r="I5193"/>
      <c r="J5193"/>
      <c r="K5193"/>
    </row>
    <row r="5194" spans="1:11">
      <c r="A5194"/>
      <c r="B5194"/>
      <c r="C5194"/>
      <c r="D5194"/>
      <c r="E5194"/>
      <c r="F5194"/>
      <c r="G5194"/>
      <c r="H5194"/>
      <c r="I5194"/>
      <c r="J5194"/>
      <c r="K5194"/>
    </row>
    <row r="5195" spans="1:11">
      <c r="A5195"/>
      <c r="B5195"/>
      <c r="C5195"/>
      <c r="D5195"/>
      <c r="E5195"/>
      <c r="F5195"/>
      <c r="G5195"/>
      <c r="H5195"/>
      <c r="I5195"/>
      <c r="J5195"/>
      <c r="K5195"/>
    </row>
    <row r="5196" spans="1:11">
      <c r="A5196"/>
      <c r="B5196"/>
      <c r="C5196"/>
      <c r="D5196"/>
      <c r="E5196"/>
      <c r="F5196"/>
      <c r="G5196"/>
      <c r="H5196"/>
      <c r="I5196"/>
      <c r="J5196"/>
      <c r="K5196"/>
    </row>
    <row r="5197" spans="1:11">
      <c r="A5197"/>
      <c r="B5197"/>
      <c r="C5197"/>
      <c r="D5197"/>
      <c r="E5197"/>
      <c r="F5197"/>
      <c r="G5197"/>
      <c r="H5197"/>
      <c r="I5197"/>
      <c r="J5197"/>
      <c r="K5197"/>
    </row>
    <row r="5198" spans="1:11">
      <c r="A5198"/>
      <c r="B5198"/>
      <c r="C5198"/>
      <c r="D5198"/>
      <c r="E5198"/>
      <c r="F5198"/>
      <c r="G5198"/>
      <c r="H5198"/>
      <c r="I5198"/>
      <c r="J5198"/>
      <c r="K5198"/>
    </row>
    <row r="5199" spans="1:11">
      <c r="A5199"/>
      <c r="B5199"/>
      <c r="C5199"/>
      <c r="D5199"/>
      <c r="E5199"/>
      <c r="F5199"/>
      <c r="G5199"/>
      <c r="H5199"/>
      <c r="I5199"/>
      <c r="J5199"/>
      <c r="K5199"/>
    </row>
    <row r="5200" spans="1:11">
      <c r="A5200"/>
      <c r="B5200"/>
      <c r="C5200"/>
      <c r="D5200"/>
      <c r="E5200"/>
      <c r="F5200"/>
      <c r="G5200"/>
      <c r="H5200"/>
      <c r="I5200"/>
      <c r="J5200"/>
      <c r="K5200"/>
    </row>
    <row r="5201" spans="1:11">
      <c r="A5201"/>
      <c r="B5201"/>
      <c r="C5201"/>
      <c r="D5201"/>
      <c r="E5201"/>
      <c r="F5201"/>
      <c r="G5201"/>
      <c r="H5201"/>
      <c r="I5201"/>
      <c r="J5201"/>
      <c r="K5201"/>
    </row>
    <row r="5202" spans="1:11">
      <c r="A5202"/>
      <c r="B5202"/>
      <c r="C5202"/>
      <c r="D5202"/>
      <c r="E5202"/>
      <c r="F5202"/>
      <c r="G5202"/>
      <c r="H5202"/>
      <c r="I5202"/>
      <c r="J5202"/>
      <c r="K5202"/>
    </row>
    <row r="5203" spans="1:11">
      <c r="A5203"/>
      <c r="B5203"/>
      <c r="C5203"/>
      <c r="D5203"/>
      <c r="E5203"/>
      <c r="F5203"/>
      <c r="G5203"/>
      <c r="H5203"/>
      <c r="I5203"/>
      <c r="J5203"/>
      <c r="K5203"/>
    </row>
    <row r="5204" spans="1:11">
      <c r="A5204"/>
      <c r="B5204"/>
      <c r="C5204"/>
      <c r="D5204"/>
      <c r="E5204"/>
      <c r="F5204"/>
      <c r="G5204"/>
      <c r="H5204"/>
      <c r="I5204"/>
      <c r="J5204"/>
      <c r="K5204"/>
    </row>
    <row r="5205" spans="1:11">
      <c r="A5205"/>
      <c r="B5205"/>
      <c r="C5205"/>
      <c r="D5205"/>
      <c r="E5205"/>
      <c r="F5205"/>
      <c r="G5205"/>
      <c r="H5205"/>
      <c r="I5205"/>
      <c r="J5205"/>
      <c r="K5205"/>
    </row>
    <row r="5206" spans="1:11">
      <c r="A5206"/>
      <c r="B5206"/>
      <c r="C5206"/>
      <c r="D5206"/>
      <c r="E5206"/>
      <c r="F5206"/>
      <c r="G5206"/>
      <c r="H5206"/>
      <c r="I5206"/>
      <c r="J5206"/>
      <c r="K5206"/>
    </row>
    <row r="5207" spans="1:11">
      <c r="A5207"/>
      <c r="B5207"/>
      <c r="C5207"/>
      <c r="D5207"/>
      <c r="E5207"/>
      <c r="F5207"/>
      <c r="G5207"/>
      <c r="H5207"/>
      <c r="I5207"/>
      <c r="J5207"/>
      <c r="K5207"/>
    </row>
    <row r="5208" spans="1:11">
      <c r="A5208"/>
      <c r="B5208"/>
      <c r="C5208"/>
      <c r="D5208"/>
      <c r="E5208"/>
      <c r="F5208"/>
      <c r="G5208"/>
      <c r="H5208"/>
      <c r="I5208"/>
      <c r="J5208"/>
      <c r="K5208"/>
    </row>
    <row r="5209" spans="1:11">
      <c r="A5209"/>
      <c r="B5209"/>
      <c r="C5209"/>
      <c r="D5209"/>
      <c r="E5209"/>
      <c r="F5209"/>
      <c r="G5209"/>
      <c r="H5209"/>
      <c r="I5209"/>
      <c r="J5209"/>
      <c r="K5209"/>
    </row>
    <row r="5210" spans="1:11">
      <c r="A5210"/>
      <c r="B5210"/>
      <c r="C5210"/>
      <c r="D5210"/>
      <c r="E5210"/>
      <c r="F5210"/>
      <c r="G5210"/>
      <c r="H5210"/>
      <c r="I5210"/>
      <c r="J5210"/>
      <c r="K5210"/>
    </row>
    <row r="5211" spans="1:11">
      <c r="A5211"/>
      <c r="B5211"/>
      <c r="C5211"/>
      <c r="D5211"/>
      <c r="E5211"/>
      <c r="F5211"/>
      <c r="G5211"/>
      <c r="H5211"/>
      <c r="I5211"/>
      <c r="J5211"/>
      <c r="K5211"/>
    </row>
    <row r="5212" spans="1:11">
      <c r="A5212"/>
      <c r="B5212"/>
      <c r="C5212"/>
      <c r="D5212"/>
      <c r="E5212"/>
      <c r="F5212"/>
      <c r="G5212"/>
      <c r="H5212"/>
      <c r="I5212"/>
      <c r="J5212"/>
      <c r="K5212"/>
    </row>
    <row r="5213" spans="1:11">
      <c r="A5213"/>
      <c r="B5213"/>
      <c r="C5213"/>
      <c r="D5213"/>
      <c r="E5213"/>
      <c r="F5213"/>
      <c r="G5213"/>
      <c r="H5213"/>
      <c r="I5213"/>
      <c r="J5213"/>
      <c r="K5213"/>
    </row>
    <row r="5214" spans="1:11">
      <c r="A5214"/>
      <c r="B5214"/>
      <c r="C5214"/>
      <c r="D5214"/>
      <c r="E5214"/>
      <c r="F5214"/>
      <c r="G5214"/>
      <c r="H5214"/>
      <c r="I5214"/>
      <c r="J5214"/>
      <c r="K5214"/>
    </row>
    <row r="5215" spans="1:11">
      <c r="A5215"/>
      <c r="B5215"/>
      <c r="C5215"/>
      <c r="D5215"/>
      <c r="E5215"/>
      <c r="F5215"/>
      <c r="G5215"/>
      <c r="H5215"/>
      <c r="I5215"/>
      <c r="J5215"/>
      <c r="K5215"/>
    </row>
    <row r="5216" spans="1:11">
      <c r="A5216"/>
      <c r="B5216"/>
      <c r="C5216"/>
      <c r="D5216"/>
      <c r="E5216"/>
      <c r="F5216"/>
      <c r="G5216"/>
      <c r="H5216"/>
      <c r="I5216"/>
      <c r="J5216"/>
      <c r="K5216"/>
    </row>
    <row r="5217" spans="1:11">
      <c r="A5217"/>
      <c r="B5217"/>
      <c r="C5217"/>
      <c r="D5217"/>
      <c r="E5217"/>
      <c r="F5217"/>
      <c r="G5217"/>
      <c r="H5217"/>
      <c r="I5217"/>
      <c r="J5217"/>
      <c r="K5217"/>
    </row>
    <row r="5218" spans="1:11">
      <c r="A5218"/>
      <c r="B5218"/>
      <c r="C5218"/>
      <c r="D5218"/>
      <c r="E5218"/>
      <c r="F5218"/>
      <c r="G5218"/>
      <c r="H5218"/>
      <c r="I5218"/>
      <c r="J5218"/>
      <c r="K5218"/>
    </row>
    <row r="5219" spans="1:11">
      <c r="A5219"/>
      <c r="B5219"/>
      <c r="C5219"/>
      <c r="D5219"/>
      <c r="E5219"/>
      <c r="F5219"/>
      <c r="G5219"/>
      <c r="H5219"/>
      <c r="I5219"/>
      <c r="J5219"/>
      <c r="K5219"/>
    </row>
    <row r="5220" spans="1:11">
      <c r="A5220"/>
      <c r="B5220"/>
      <c r="C5220"/>
      <c r="D5220"/>
      <c r="E5220"/>
      <c r="F5220"/>
      <c r="G5220"/>
      <c r="H5220"/>
      <c r="I5220"/>
      <c r="J5220"/>
      <c r="K5220"/>
    </row>
    <row r="5221" spans="1:11">
      <c r="A5221"/>
      <c r="B5221"/>
      <c r="C5221"/>
      <c r="D5221"/>
      <c r="E5221"/>
      <c r="F5221"/>
      <c r="G5221"/>
      <c r="H5221"/>
      <c r="I5221"/>
      <c r="J5221"/>
      <c r="K5221"/>
    </row>
    <row r="5222" spans="1:11">
      <c r="A5222"/>
      <c r="B5222"/>
      <c r="C5222"/>
      <c r="D5222"/>
      <c r="E5222"/>
      <c r="F5222"/>
      <c r="G5222"/>
      <c r="H5222"/>
      <c r="I5222"/>
      <c r="J5222"/>
      <c r="K5222"/>
    </row>
    <row r="5223" spans="1:11">
      <c r="A5223"/>
      <c r="B5223"/>
      <c r="C5223"/>
      <c r="D5223"/>
      <c r="E5223"/>
      <c r="F5223"/>
      <c r="G5223"/>
      <c r="H5223"/>
      <c r="I5223"/>
      <c r="J5223"/>
      <c r="K5223"/>
    </row>
    <row r="5224" spans="1:11">
      <c r="A5224"/>
      <c r="B5224"/>
      <c r="C5224"/>
      <c r="D5224"/>
      <c r="E5224"/>
      <c r="F5224"/>
      <c r="G5224"/>
      <c r="H5224"/>
      <c r="I5224"/>
      <c r="J5224"/>
      <c r="K5224"/>
    </row>
    <row r="5225" spans="1:11">
      <c r="A5225"/>
      <c r="B5225"/>
      <c r="C5225"/>
      <c r="D5225"/>
      <c r="E5225"/>
      <c r="F5225"/>
      <c r="G5225"/>
      <c r="H5225"/>
      <c r="I5225"/>
      <c r="J5225"/>
      <c r="K5225"/>
    </row>
    <row r="5226" spans="1:11">
      <c r="A5226"/>
      <c r="B5226"/>
      <c r="C5226"/>
      <c r="D5226"/>
      <c r="E5226"/>
      <c r="F5226"/>
      <c r="G5226"/>
      <c r="H5226"/>
      <c r="I5226"/>
      <c r="J5226"/>
      <c r="K5226"/>
    </row>
    <row r="5227" spans="1:11">
      <c r="A5227"/>
      <c r="B5227"/>
      <c r="C5227"/>
      <c r="D5227"/>
      <c r="E5227"/>
      <c r="F5227"/>
      <c r="G5227"/>
      <c r="H5227"/>
      <c r="I5227"/>
      <c r="J5227"/>
      <c r="K5227"/>
    </row>
    <row r="5228" spans="1:11">
      <c r="A5228"/>
      <c r="B5228"/>
      <c r="C5228"/>
      <c r="D5228"/>
      <c r="E5228"/>
      <c r="F5228"/>
      <c r="G5228"/>
      <c r="H5228"/>
      <c r="I5228"/>
      <c r="J5228"/>
      <c r="K5228"/>
    </row>
    <row r="5229" spans="1:11">
      <c r="A5229"/>
      <c r="B5229"/>
      <c r="C5229"/>
      <c r="D5229"/>
      <c r="E5229"/>
      <c r="F5229"/>
      <c r="G5229"/>
      <c r="H5229"/>
      <c r="I5229"/>
      <c r="J5229"/>
      <c r="K5229"/>
    </row>
    <row r="5230" spans="1:11">
      <c r="A5230"/>
      <c r="B5230"/>
      <c r="C5230"/>
      <c r="D5230"/>
      <c r="E5230"/>
      <c r="F5230"/>
      <c r="G5230"/>
      <c r="H5230"/>
      <c r="I5230"/>
      <c r="J5230"/>
      <c r="K5230"/>
    </row>
    <row r="5231" spans="1:11">
      <c r="A5231"/>
      <c r="B5231"/>
      <c r="C5231"/>
      <c r="D5231"/>
      <c r="E5231"/>
      <c r="F5231"/>
      <c r="G5231"/>
      <c r="H5231"/>
      <c r="I5231"/>
      <c r="J5231"/>
      <c r="K5231"/>
    </row>
    <row r="5232" spans="1:11">
      <c r="A5232"/>
      <c r="B5232"/>
      <c r="C5232"/>
      <c r="D5232"/>
      <c r="E5232"/>
      <c r="F5232"/>
      <c r="G5232"/>
      <c r="H5232"/>
      <c r="I5232"/>
      <c r="J5232"/>
      <c r="K5232"/>
    </row>
    <row r="5233" spans="1:11">
      <c r="A5233"/>
      <c r="B5233"/>
      <c r="C5233"/>
      <c r="D5233"/>
      <c r="E5233"/>
      <c r="F5233"/>
      <c r="G5233"/>
      <c r="H5233"/>
      <c r="I5233"/>
      <c r="J5233"/>
      <c r="K5233"/>
    </row>
    <row r="5234" spans="1:11">
      <c r="A5234"/>
      <c r="B5234"/>
      <c r="C5234"/>
      <c r="D5234"/>
      <c r="E5234"/>
      <c r="F5234"/>
      <c r="G5234"/>
      <c r="H5234"/>
      <c r="I5234"/>
      <c r="J5234"/>
      <c r="K5234"/>
    </row>
    <row r="5235" spans="1:11">
      <c r="A5235"/>
      <c r="B5235"/>
      <c r="C5235"/>
      <c r="D5235"/>
      <c r="E5235"/>
      <c r="F5235"/>
      <c r="G5235"/>
      <c r="H5235"/>
      <c r="I5235"/>
      <c r="J5235"/>
      <c r="K5235"/>
    </row>
    <row r="5236" spans="1:11">
      <c r="A5236"/>
      <c r="B5236"/>
      <c r="C5236"/>
      <c r="D5236"/>
      <c r="E5236"/>
      <c r="F5236"/>
      <c r="G5236"/>
      <c r="H5236"/>
      <c r="I5236"/>
      <c r="J5236"/>
      <c r="K5236"/>
    </row>
    <row r="5237" spans="1:11">
      <c r="A5237"/>
      <c r="B5237"/>
      <c r="C5237"/>
      <c r="D5237"/>
      <c r="E5237"/>
      <c r="F5237"/>
      <c r="G5237"/>
      <c r="H5237"/>
      <c r="I5237"/>
      <c r="J5237"/>
      <c r="K5237"/>
    </row>
    <row r="5238" spans="1:11">
      <c r="A5238"/>
      <c r="B5238"/>
      <c r="C5238"/>
      <c r="D5238"/>
      <c r="E5238"/>
      <c r="F5238"/>
      <c r="G5238"/>
      <c r="H5238"/>
      <c r="I5238"/>
      <c r="J5238"/>
      <c r="K5238"/>
    </row>
    <row r="5239" spans="1:11">
      <c r="A5239"/>
      <c r="B5239"/>
      <c r="C5239"/>
      <c r="D5239"/>
      <c r="E5239"/>
      <c r="F5239"/>
      <c r="G5239"/>
      <c r="H5239"/>
      <c r="I5239"/>
      <c r="J5239"/>
      <c r="K5239"/>
    </row>
    <row r="5240" spans="1:11">
      <c r="A5240"/>
      <c r="B5240"/>
      <c r="C5240"/>
      <c r="D5240"/>
      <c r="E5240"/>
      <c r="F5240"/>
      <c r="G5240"/>
      <c r="H5240"/>
      <c r="I5240"/>
      <c r="J5240"/>
      <c r="K5240"/>
    </row>
    <row r="5241" spans="1:11">
      <c r="A5241"/>
      <c r="B5241"/>
      <c r="C5241"/>
      <c r="D5241"/>
      <c r="E5241"/>
      <c r="F5241"/>
      <c r="G5241"/>
      <c r="H5241"/>
      <c r="I5241"/>
      <c r="J5241"/>
      <c r="K5241"/>
    </row>
    <row r="5242" spans="1:11">
      <c r="A5242"/>
      <c r="B5242"/>
      <c r="C5242"/>
      <c r="D5242"/>
      <c r="E5242"/>
      <c r="F5242"/>
      <c r="G5242"/>
      <c r="H5242"/>
      <c r="I5242"/>
      <c r="J5242"/>
      <c r="K5242"/>
    </row>
    <row r="5243" spans="1:11">
      <c r="A5243"/>
      <c r="B5243"/>
      <c r="C5243"/>
      <c r="D5243"/>
      <c r="E5243"/>
      <c r="F5243"/>
      <c r="G5243"/>
      <c r="H5243"/>
      <c r="I5243"/>
      <c r="J5243"/>
      <c r="K5243"/>
    </row>
    <row r="5244" spans="1:11">
      <c r="A5244"/>
      <c r="B5244"/>
      <c r="C5244"/>
      <c r="D5244"/>
      <c r="E5244"/>
      <c r="F5244"/>
      <c r="G5244"/>
      <c r="H5244"/>
      <c r="I5244"/>
      <c r="J5244"/>
      <c r="K5244"/>
    </row>
    <row r="5245" spans="1:11">
      <c r="A5245"/>
      <c r="B5245"/>
      <c r="C5245"/>
      <c r="D5245"/>
      <c r="E5245"/>
      <c r="F5245"/>
      <c r="G5245"/>
      <c r="H5245"/>
      <c r="I5245"/>
      <c r="J5245"/>
      <c r="K5245"/>
    </row>
    <row r="5246" spans="1:11">
      <c r="A5246"/>
      <c r="B5246"/>
      <c r="C5246"/>
      <c r="D5246"/>
      <c r="E5246"/>
      <c r="F5246"/>
      <c r="G5246"/>
      <c r="H5246"/>
      <c r="I5246"/>
      <c r="J5246"/>
      <c r="K5246"/>
    </row>
    <row r="5247" spans="1:11">
      <c r="A5247"/>
      <c r="B5247"/>
      <c r="C5247"/>
      <c r="D5247"/>
      <c r="E5247"/>
      <c r="F5247"/>
      <c r="G5247"/>
      <c r="H5247"/>
      <c r="I5247"/>
      <c r="J5247"/>
      <c r="K5247"/>
    </row>
    <row r="5248" spans="1:11">
      <c r="A5248"/>
      <c r="B5248"/>
      <c r="C5248"/>
      <c r="D5248"/>
      <c r="E5248"/>
      <c r="F5248"/>
      <c r="G5248"/>
      <c r="H5248"/>
      <c r="I5248"/>
      <c r="J5248"/>
      <c r="K5248"/>
    </row>
    <row r="5249" spans="1:11">
      <c r="A5249"/>
      <c r="B5249"/>
      <c r="C5249"/>
      <c r="D5249"/>
      <c r="E5249"/>
      <c r="F5249"/>
      <c r="G5249"/>
      <c r="H5249"/>
      <c r="I5249"/>
      <c r="J5249"/>
      <c r="K5249"/>
    </row>
    <row r="5250" spans="1:11">
      <c r="A5250"/>
      <c r="B5250"/>
      <c r="C5250"/>
      <c r="D5250"/>
      <c r="E5250"/>
      <c r="F5250"/>
      <c r="G5250"/>
      <c r="H5250"/>
      <c r="I5250"/>
      <c r="J5250"/>
      <c r="K5250"/>
    </row>
    <row r="5251" spans="1:11">
      <c r="A5251"/>
      <c r="B5251"/>
      <c r="C5251"/>
      <c r="D5251"/>
      <c r="E5251"/>
      <c r="F5251"/>
      <c r="G5251"/>
      <c r="H5251"/>
      <c r="I5251"/>
      <c r="J5251"/>
      <c r="K5251"/>
    </row>
    <row r="5252" spans="1:11">
      <c r="A5252"/>
      <c r="B5252"/>
      <c r="C5252"/>
      <c r="D5252"/>
      <c r="E5252"/>
      <c r="F5252"/>
      <c r="G5252"/>
      <c r="H5252"/>
      <c r="I5252"/>
      <c r="J5252"/>
      <c r="K5252"/>
    </row>
    <row r="5253" spans="1:11">
      <c r="A5253"/>
      <c r="B5253"/>
      <c r="C5253"/>
      <c r="D5253"/>
      <c r="E5253"/>
      <c r="F5253"/>
      <c r="G5253"/>
      <c r="H5253"/>
      <c r="I5253"/>
      <c r="J5253"/>
      <c r="K5253"/>
    </row>
    <row r="5254" spans="1:11">
      <c r="A5254"/>
      <c r="B5254"/>
      <c r="C5254"/>
      <c r="D5254"/>
      <c r="E5254"/>
      <c r="F5254"/>
      <c r="G5254"/>
      <c r="H5254"/>
      <c r="I5254"/>
      <c r="J5254"/>
      <c r="K5254"/>
    </row>
    <row r="5255" spans="1:11">
      <c r="A5255"/>
      <c r="B5255"/>
      <c r="C5255"/>
      <c r="D5255"/>
      <c r="E5255"/>
      <c r="F5255"/>
      <c r="G5255"/>
      <c r="H5255"/>
      <c r="I5255"/>
      <c r="J5255"/>
      <c r="K5255"/>
    </row>
    <row r="5256" spans="1:11">
      <c r="A5256"/>
      <c r="B5256"/>
      <c r="C5256"/>
      <c r="D5256"/>
      <c r="E5256"/>
      <c r="F5256"/>
      <c r="G5256"/>
      <c r="H5256"/>
      <c r="I5256"/>
      <c r="J5256"/>
      <c r="K5256"/>
    </row>
    <row r="5257" spans="1:11">
      <c r="A5257"/>
      <c r="B5257"/>
      <c r="C5257"/>
      <c r="D5257"/>
      <c r="E5257"/>
      <c r="F5257"/>
      <c r="G5257"/>
      <c r="H5257"/>
      <c r="I5257"/>
      <c r="J5257"/>
      <c r="K5257"/>
    </row>
    <row r="5258" spans="1:11">
      <c r="A5258"/>
      <c r="B5258"/>
      <c r="C5258"/>
      <c r="D5258"/>
      <c r="E5258"/>
      <c r="F5258"/>
      <c r="G5258"/>
      <c r="H5258"/>
      <c r="I5258"/>
      <c r="J5258"/>
      <c r="K5258"/>
    </row>
    <row r="5259" spans="1:11">
      <c r="A5259"/>
      <c r="B5259"/>
      <c r="C5259"/>
      <c r="D5259"/>
      <c r="E5259"/>
      <c r="F5259"/>
      <c r="G5259"/>
      <c r="H5259"/>
      <c r="I5259"/>
      <c r="J5259"/>
      <c r="K5259"/>
    </row>
    <row r="5260" spans="1:11">
      <c r="A5260"/>
      <c r="B5260"/>
      <c r="C5260"/>
      <c r="D5260"/>
      <c r="E5260"/>
      <c r="F5260"/>
      <c r="G5260"/>
      <c r="H5260"/>
      <c r="I5260"/>
      <c r="J5260"/>
      <c r="K5260"/>
    </row>
    <row r="5261" spans="1:11">
      <c r="A5261"/>
      <c r="B5261"/>
      <c r="C5261"/>
      <c r="D5261"/>
      <c r="E5261"/>
      <c r="F5261"/>
      <c r="G5261"/>
      <c r="H5261"/>
      <c r="I5261"/>
      <c r="J5261"/>
      <c r="K5261"/>
    </row>
    <row r="5262" spans="1:11">
      <c r="A5262"/>
      <c r="B5262"/>
      <c r="C5262"/>
      <c r="D5262"/>
      <c r="E5262"/>
      <c r="F5262"/>
      <c r="G5262"/>
      <c r="H5262"/>
      <c r="I5262"/>
      <c r="J5262"/>
      <c r="K5262"/>
    </row>
    <row r="5263" spans="1:11">
      <c r="A5263"/>
      <c r="B5263"/>
      <c r="C5263"/>
      <c r="D5263"/>
      <c r="E5263"/>
      <c r="F5263"/>
      <c r="G5263"/>
      <c r="H5263"/>
      <c r="I5263"/>
      <c r="J5263"/>
      <c r="K5263"/>
    </row>
    <row r="5264" spans="1:11">
      <c r="A5264"/>
      <c r="B5264"/>
      <c r="C5264"/>
      <c r="D5264"/>
      <c r="E5264"/>
      <c r="F5264"/>
      <c r="G5264"/>
      <c r="H5264"/>
      <c r="I5264"/>
      <c r="J5264"/>
      <c r="K5264"/>
    </row>
    <row r="5265" spans="1:11">
      <c r="A5265"/>
      <c r="B5265"/>
      <c r="C5265"/>
      <c r="D5265"/>
      <c r="E5265"/>
      <c r="F5265"/>
      <c r="G5265"/>
      <c r="H5265"/>
      <c r="I5265"/>
      <c r="J5265"/>
      <c r="K5265"/>
    </row>
    <row r="5266" spans="1:11">
      <c r="A5266"/>
      <c r="B5266"/>
      <c r="C5266"/>
      <c r="D5266"/>
      <c r="E5266"/>
      <c r="F5266"/>
      <c r="G5266"/>
      <c r="H5266"/>
      <c r="I5266"/>
      <c r="J5266"/>
      <c r="K5266"/>
    </row>
    <row r="5267" spans="1:11">
      <c r="A5267"/>
      <c r="B5267"/>
      <c r="C5267"/>
      <c r="D5267"/>
      <c r="E5267"/>
      <c r="F5267"/>
      <c r="G5267"/>
      <c r="H5267"/>
      <c r="I5267"/>
      <c r="J5267"/>
      <c r="K5267"/>
    </row>
    <row r="5268" spans="1:11">
      <c r="A5268"/>
      <c r="B5268"/>
      <c r="C5268"/>
      <c r="D5268"/>
      <c r="E5268"/>
      <c r="F5268"/>
      <c r="G5268"/>
      <c r="H5268"/>
      <c r="I5268"/>
      <c r="J5268"/>
      <c r="K5268"/>
    </row>
    <row r="5269" spans="1:11">
      <c r="A5269"/>
      <c r="B5269"/>
      <c r="C5269"/>
      <c r="D5269"/>
      <c r="E5269"/>
      <c r="F5269"/>
      <c r="G5269"/>
      <c r="H5269"/>
      <c r="I5269"/>
      <c r="J5269"/>
      <c r="K5269"/>
    </row>
    <row r="5270" spans="1:11">
      <c r="A5270"/>
      <c r="B5270"/>
      <c r="C5270"/>
      <c r="D5270"/>
      <c r="E5270"/>
      <c r="F5270"/>
      <c r="G5270"/>
      <c r="H5270"/>
      <c r="I5270"/>
      <c r="J5270"/>
      <c r="K5270"/>
    </row>
    <row r="5271" spans="1:11">
      <c r="A5271"/>
      <c r="B5271"/>
      <c r="C5271"/>
      <c r="D5271"/>
      <c r="E5271"/>
      <c r="F5271"/>
      <c r="G5271"/>
      <c r="H5271"/>
      <c r="I5271"/>
      <c r="J5271"/>
      <c r="K5271"/>
    </row>
    <row r="5272" spans="1:11">
      <c r="A5272"/>
      <c r="B5272"/>
      <c r="C5272"/>
      <c r="D5272"/>
      <c r="E5272"/>
      <c r="F5272"/>
      <c r="G5272"/>
      <c r="H5272"/>
      <c r="I5272"/>
      <c r="J5272"/>
      <c r="K5272"/>
    </row>
    <row r="5273" spans="1:11">
      <c r="A5273"/>
      <c r="B5273"/>
      <c r="C5273"/>
      <c r="D5273"/>
      <c r="E5273"/>
      <c r="F5273"/>
      <c r="G5273"/>
      <c r="H5273"/>
      <c r="I5273"/>
      <c r="J5273"/>
      <c r="K5273"/>
    </row>
    <row r="5274" spans="1:11">
      <c r="A5274"/>
      <c r="B5274"/>
      <c r="C5274"/>
      <c r="D5274"/>
      <c r="E5274"/>
      <c r="F5274"/>
      <c r="G5274"/>
      <c r="H5274"/>
      <c r="I5274"/>
      <c r="J5274"/>
      <c r="K5274"/>
    </row>
    <row r="5275" spans="1:11">
      <c r="A5275"/>
      <c r="B5275"/>
      <c r="C5275"/>
      <c r="D5275"/>
      <c r="E5275"/>
      <c r="F5275"/>
      <c r="G5275"/>
      <c r="H5275"/>
      <c r="I5275"/>
      <c r="J5275"/>
      <c r="K5275"/>
    </row>
    <row r="5276" spans="1:11">
      <c r="A5276"/>
      <c r="B5276"/>
      <c r="C5276"/>
      <c r="D5276"/>
      <c r="E5276"/>
      <c r="F5276"/>
      <c r="G5276"/>
      <c r="H5276"/>
      <c r="I5276"/>
      <c r="J5276"/>
      <c r="K5276"/>
    </row>
    <row r="5277" spans="1:11">
      <c r="A5277"/>
      <c r="B5277"/>
      <c r="C5277"/>
      <c r="D5277"/>
      <c r="E5277"/>
      <c r="F5277"/>
      <c r="G5277"/>
      <c r="H5277"/>
      <c r="I5277"/>
      <c r="J5277"/>
      <c r="K5277"/>
    </row>
    <row r="5278" spans="1:11">
      <c r="A5278"/>
      <c r="B5278"/>
      <c r="C5278"/>
      <c r="D5278"/>
      <c r="E5278"/>
      <c r="F5278"/>
      <c r="G5278"/>
      <c r="H5278"/>
      <c r="I5278"/>
      <c r="J5278"/>
      <c r="K5278"/>
    </row>
    <row r="5279" spans="1:11">
      <c r="A5279"/>
      <c r="B5279"/>
      <c r="C5279"/>
      <c r="D5279"/>
      <c r="E5279"/>
      <c r="F5279"/>
      <c r="G5279"/>
      <c r="H5279"/>
      <c r="I5279"/>
      <c r="J5279"/>
      <c r="K5279"/>
    </row>
    <row r="5280" spans="1:11">
      <c r="A5280"/>
      <c r="B5280"/>
      <c r="C5280"/>
      <c r="D5280"/>
      <c r="E5280"/>
      <c r="F5280"/>
      <c r="G5280"/>
      <c r="H5280"/>
      <c r="I5280"/>
      <c r="J5280"/>
      <c r="K5280"/>
    </row>
    <row r="5281" spans="1:11">
      <c r="A5281"/>
      <c r="B5281"/>
      <c r="C5281"/>
      <c r="D5281"/>
      <c r="E5281"/>
      <c r="F5281"/>
      <c r="G5281"/>
      <c r="H5281"/>
      <c r="I5281"/>
      <c r="J5281"/>
      <c r="K5281"/>
    </row>
    <row r="5282" spans="1:11">
      <c r="A5282"/>
      <c r="B5282"/>
      <c r="C5282"/>
      <c r="D5282"/>
      <c r="E5282"/>
      <c r="F5282"/>
      <c r="G5282"/>
      <c r="H5282"/>
      <c r="I5282"/>
      <c r="J5282"/>
      <c r="K5282"/>
    </row>
    <row r="5283" spans="1:11">
      <c r="A5283"/>
      <c r="B5283"/>
      <c r="C5283"/>
      <c r="D5283"/>
      <c r="E5283"/>
      <c r="F5283"/>
      <c r="G5283"/>
      <c r="H5283"/>
      <c r="I5283"/>
      <c r="J5283"/>
      <c r="K5283"/>
    </row>
    <row r="5284" spans="1:11">
      <c r="A5284"/>
      <c r="B5284"/>
      <c r="C5284"/>
      <c r="D5284"/>
      <c r="E5284"/>
      <c r="F5284"/>
      <c r="G5284"/>
      <c r="H5284"/>
      <c r="I5284"/>
      <c r="J5284"/>
      <c r="K5284"/>
    </row>
    <row r="5285" spans="1:11">
      <c r="A5285"/>
      <c r="B5285"/>
      <c r="C5285"/>
      <c r="D5285"/>
      <c r="E5285"/>
      <c r="F5285"/>
      <c r="G5285"/>
      <c r="H5285"/>
      <c r="I5285"/>
      <c r="J5285"/>
      <c r="K5285"/>
    </row>
    <row r="5286" spans="1:11">
      <c r="A5286"/>
      <c r="B5286"/>
      <c r="C5286"/>
      <c r="D5286"/>
      <c r="E5286"/>
      <c r="F5286"/>
      <c r="G5286"/>
      <c r="H5286"/>
      <c r="I5286"/>
      <c r="J5286"/>
      <c r="K5286"/>
    </row>
    <row r="5287" spans="1:11">
      <c r="A5287"/>
      <c r="B5287"/>
      <c r="C5287"/>
      <c r="D5287"/>
      <c r="E5287"/>
      <c r="F5287"/>
      <c r="G5287"/>
      <c r="H5287"/>
      <c r="I5287"/>
      <c r="J5287"/>
      <c r="K5287"/>
    </row>
    <row r="5288" spans="1:11">
      <c r="A5288"/>
      <c r="B5288"/>
      <c r="C5288"/>
      <c r="D5288"/>
      <c r="E5288"/>
      <c r="F5288"/>
      <c r="G5288"/>
      <c r="H5288"/>
      <c r="I5288"/>
      <c r="J5288"/>
      <c r="K5288"/>
    </row>
    <row r="5289" spans="1:11">
      <c r="A5289"/>
      <c r="B5289"/>
      <c r="C5289"/>
      <c r="D5289"/>
      <c r="E5289"/>
      <c r="F5289"/>
      <c r="G5289"/>
      <c r="H5289"/>
      <c r="I5289"/>
      <c r="J5289"/>
      <c r="K5289"/>
    </row>
    <row r="5290" spans="1:11">
      <c r="A5290"/>
      <c r="B5290"/>
      <c r="C5290"/>
      <c r="D5290"/>
      <c r="E5290"/>
      <c r="F5290"/>
      <c r="G5290"/>
      <c r="H5290"/>
      <c r="I5290"/>
      <c r="J5290"/>
      <c r="K5290"/>
    </row>
    <row r="5291" spans="1:11">
      <c r="A5291"/>
      <c r="B5291"/>
      <c r="C5291"/>
      <c r="D5291"/>
      <c r="E5291"/>
      <c r="F5291"/>
      <c r="G5291"/>
      <c r="H5291"/>
      <c r="I5291"/>
      <c r="J5291"/>
      <c r="K5291"/>
    </row>
    <row r="5292" spans="1:11">
      <c r="A5292"/>
      <c r="B5292"/>
      <c r="C5292"/>
      <c r="D5292"/>
      <c r="E5292"/>
      <c r="F5292"/>
      <c r="G5292"/>
      <c r="H5292"/>
      <c r="I5292"/>
      <c r="J5292"/>
      <c r="K5292"/>
    </row>
    <row r="5293" spans="1:11">
      <c r="A5293"/>
      <c r="B5293"/>
      <c r="C5293"/>
      <c r="D5293"/>
      <c r="E5293"/>
      <c r="F5293"/>
      <c r="G5293"/>
      <c r="H5293"/>
      <c r="I5293"/>
      <c r="J5293"/>
      <c r="K5293"/>
    </row>
    <row r="5294" spans="1:11">
      <c r="A5294"/>
      <c r="B5294"/>
      <c r="C5294"/>
      <c r="D5294"/>
      <c r="E5294"/>
      <c r="F5294"/>
      <c r="G5294"/>
      <c r="H5294"/>
      <c r="I5294"/>
      <c r="J5294"/>
      <c r="K5294"/>
    </row>
    <row r="5295" spans="1:11">
      <c r="A5295"/>
      <c r="B5295"/>
      <c r="C5295"/>
      <c r="D5295"/>
      <c r="E5295"/>
      <c r="F5295"/>
      <c r="G5295"/>
      <c r="H5295"/>
      <c r="I5295"/>
      <c r="J5295"/>
      <c r="K5295"/>
    </row>
    <row r="5296" spans="1:11">
      <c r="A5296"/>
      <c r="B5296"/>
      <c r="C5296"/>
      <c r="D5296"/>
      <c r="E5296"/>
      <c r="F5296"/>
      <c r="G5296"/>
      <c r="H5296"/>
      <c r="I5296"/>
      <c r="J5296"/>
      <c r="K5296"/>
    </row>
    <row r="5297" spans="1:11">
      <c r="A5297"/>
      <c r="B5297"/>
      <c r="C5297"/>
      <c r="D5297"/>
      <c r="E5297"/>
      <c r="F5297"/>
      <c r="G5297"/>
      <c r="H5297"/>
      <c r="I5297"/>
      <c r="J5297"/>
      <c r="K5297"/>
    </row>
    <row r="5298" spans="1:11">
      <c r="A5298"/>
      <c r="B5298"/>
      <c r="C5298"/>
      <c r="D5298"/>
      <c r="E5298"/>
      <c r="F5298"/>
      <c r="G5298"/>
      <c r="H5298"/>
      <c r="I5298"/>
      <c r="J5298"/>
      <c r="K5298"/>
    </row>
    <row r="5299" spans="1:11">
      <c r="A5299"/>
      <c r="B5299"/>
      <c r="C5299"/>
      <c r="D5299"/>
      <c r="E5299"/>
      <c r="F5299"/>
      <c r="G5299"/>
      <c r="H5299"/>
      <c r="I5299"/>
      <c r="J5299"/>
      <c r="K5299"/>
    </row>
    <row r="5300" spans="1:11">
      <c r="A5300"/>
      <c r="B5300"/>
      <c r="C5300"/>
      <c r="D5300"/>
      <c r="E5300"/>
      <c r="F5300"/>
      <c r="G5300"/>
      <c r="H5300"/>
      <c r="I5300"/>
      <c r="J5300"/>
      <c r="K5300"/>
    </row>
    <row r="5301" spans="1:11">
      <c r="A5301"/>
      <c r="B5301"/>
      <c r="C5301"/>
      <c r="D5301"/>
      <c r="E5301"/>
      <c r="F5301"/>
      <c r="G5301"/>
      <c r="H5301"/>
      <c r="I5301"/>
      <c r="J5301"/>
      <c r="K5301"/>
    </row>
    <row r="5302" spans="1:11">
      <c r="A5302"/>
      <c r="B5302"/>
      <c r="C5302"/>
      <c r="D5302"/>
      <c r="E5302"/>
      <c r="F5302"/>
      <c r="G5302"/>
      <c r="H5302"/>
      <c r="I5302"/>
      <c r="J5302"/>
      <c r="K5302"/>
    </row>
    <row r="5303" spans="1:11">
      <c r="A5303"/>
      <c r="B5303"/>
      <c r="C5303"/>
      <c r="D5303"/>
      <c r="E5303"/>
      <c r="F5303"/>
      <c r="G5303"/>
      <c r="H5303"/>
      <c r="I5303"/>
      <c r="J5303"/>
      <c r="K5303"/>
    </row>
    <row r="5304" spans="1:11">
      <c r="A5304"/>
      <c r="B5304"/>
      <c r="C5304"/>
      <c r="D5304"/>
      <c r="E5304"/>
      <c r="F5304"/>
      <c r="G5304"/>
      <c r="H5304"/>
      <c r="I5304"/>
      <c r="J5304"/>
      <c r="K5304"/>
    </row>
    <row r="5305" spans="1:11">
      <c r="A5305"/>
      <c r="B5305"/>
      <c r="C5305"/>
      <c r="D5305"/>
      <c r="E5305"/>
      <c r="F5305"/>
      <c r="G5305"/>
      <c r="H5305"/>
      <c r="I5305"/>
      <c r="J5305"/>
      <c r="K5305"/>
    </row>
    <row r="5306" spans="1:11">
      <c r="A5306"/>
      <c r="B5306"/>
      <c r="C5306"/>
      <c r="D5306"/>
      <c r="E5306"/>
      <c r="F5306"/>
      <c r="G5306"/>
      <c r="H5306"/>
      <c r="I5306"/>
      <c r="J5306"/>
      <c r="K5306"/>
    </row>
    <row r="5307" spans="1:11">
      <c r="A5307"/>
      <c r="B5307"/>
      <c r="C5307"/>
      <c r="D5307"/>
      <c r="E5307"/>
      <c r="F5307"/>
      <c r="G5307"/>
      <c r="H5307"/>
      <c r="I5307"/>
      <c r="J5307"/>
      <c r="K5307"/>
    </row>
    <row r="5308" spans="1:11">
      <c r="A5308"/>
      <c r="B5308"/>
      <c r="C5308"/>
      <c r="D5308"/>
      <c r="E5308"/>
      <c r="F5308"/>
      <c r="G5308"/>
      <c r="H5308"/>
      <c r="I5308"/>
      <c r="J5308"/>
      <c r="K5308"/>
    </row>
    <row r="5309" spans="1:11">
      <c r="A5309"/>
      <c r="B5309"/>
      <c r="C5309"/>
      <c r="D5309"/>
      <c r="E5309"/>
      <c r="F5309"/>
      <c r="G5309"/>
      <c r="H5309"/>
      <c r="I5309"/>
      <c r="J5309"/>
      <c r="K5309"/>
    </row>
    <row r="5310" spans="1:11">
      <c r="A5310"/>
      <c r="B5310"/>
      <c r="C5310"/>
      <c r="D5310"/>
      <c r="E5310"/>
      <c r="F5310"/>
      <c r="G5310"/>
      <c r="H5310"/>
      <c r="I5310"/>
      <c r="J5310"/>
      <c r="K5310"/>
    </row>
    <row r="5311" spans="1:11">
      <c r="A5311"/>
      <c r="B5311"/>
      <c r="C5311"/>
      <c r="D5311"/>
      <c r="E5311"/>
      <c r="F5311"/>
      <c r="G5311"/>
      <c r="H5311"/>
      <c r="I5311"/>
      <c r="J5311"/>
      <c r="K5311"/>
    </row>
    <row r="5312" spans="1:11">
      <c r="A5312"/>
      <c r="B5312"/>
      <c r="C5312"/>
      <c r="D5312"/>
      <c r="E5312"/>
      <c r="F5312"/>
      <c r="G5312"/>
      <c r="H5312"/>
      <c r="I5312"/>
      <c r="J5312"/>
      <c r="K5312"/>
    </row>
    <row r="5313" spans="1:11">
      <c r="A5313"/>
      <c r="B5313"/>
      <c r="C5313"/>
      <c r="D5313"/>
      <c r="E5313"/>
      <c r="F5313"/>
      <c r="G5313"/>
      <c r="H5313"/>
      <c r="I5313"/>
      <c r="J5313"/>
      <c r="K5313"/>
    </row>
    <row r="5314" spans="1:11">
      <c r="A5314"/>
      <c r="B5314"/>
      <c r="C5314"/>
      <c r="D5314"/>
      <c r="E5314"/>
      <c r="F5314"/>
      <c r="G5314"/>
      <c r="H5314"/>
      <c r="I5314"/>
      <c r="J5314"/>
      <c r="K5314"/>
    </row>
    <row r="5315" spans="1:11">
      <c r="A5315"/>
      <c r="B5315"/>
      <c r="C5315"/>
      <c r="D5315"/>
      <c r="E5315"/>
      <c r="F5315"/>
      <c r="G5315"/>
      <c r="H5315"/>
      <c r="I5315"/>
      <c r="J5315"/>
      <c r="K5315"/>
    </row>
    <row r="5316" spans="1:11">
      <c r="A5316"/>
      <c r="B5316"/>
      <c r="C5316"/>
      <c r="D5316"/>
      <c r="E5316"/>
      <c r="F5316"/>
      <c r="G5316"/>
      <c r="H5316"/>
      <c r="I5316"/>
      <c r="J5316"/>
      <c r="K5316"/>
    </row>
    <row r="5317" spans="1:11">
      <c r="A5317"/>
      <c r="B5317"/>
      <c r="C5317"/>
      <c r="D5317"/>
      <c r="E5317"/>
      <c r="F5317"/>
      <c r="G5317"/>
      <c r="H5317"/>
      <c r="I5317"/>
      <c r="J5317"/>
      <c r="K5317"/>
    </row>
    <row r="5318" spans="1:11">
      <c r="A5318"/>
      <c r="B5318"/>
      <c r="C5318"/>
      <c r="D5318"/>
      <c r="E5318"/>
      <c r="F5318"/>
      <c r="G5318"/>
      <c r="H5318"/>
      <c r="I5318"/>
      <c r="J5318"/>
      <c r="K5318"/>
    </row>
    <row r="5319" spans="1:11">
      <c r="A5319"/>
      <c r="B5319"/>
      <c r="C5319"/>
      <c r="D5319"/>
      <c r="E5319"/>
      <c r="F5319"/>
      <c r="G5319"/>
      <c r="H5319"/>
      <c r="I5319"/>
      <c r="J5319"/>
      <c r="K5319"/>
    </row>
    <row r="5320" spans="1:11">
      <c r="A5320"/>
      <c r="B5320"/>
      <c r="C5320"/>
      <c r="D5320"/>
      <c r="E5320"/>
      <c r="F5320"/>
      <c r="G5320"/>
      <c r="H5320"/>
      <c r="I5320"/>
      <c r="J5320"/>
      <c r="K5320"/>
    </row>
    <row r="5321" spans="1:11">
      <c r="A5321"/>
      <c r="B5321"/>
      <c r="C5321"/>
      <c r="D5321"/>
      <c r="E5321"/>
      <c r="F5321"/>
      <c r="G5321"/>
      <c r="H5321"/>
      <c r="I5321"/>
      <c r="J5321"/>
      <c r="K5321"/>
    </row>
    <row r="5322" spans="1:11">
      <c r="A5322"/>
      <c r="B5322"/>
      <c r="C5322"/>
      <c r="D5322"/>
      <c r="E5322"/>
      <c r="F5322"/>
      <c r="G5322"/>
      <c r="H5322"/>
      <c r="I5322"/>
      <c r="J5322"/>
      <c r="K5322"/>
    </row>
    <row r="5323" spans="1:11">
      <c r="A5323"/>
      <c r="B5323"/>
      <c r="C5323"/>
      <c r="D5323"/>
      <c r="E5323"/>
      <c r="F5323"/>
      <c r="G5323"/>
      <c r="H5323"/>
      <c r="I5323"/>
      <c r="J5323"/>
      <c r="K5323"/>
    </row>
    <row r="5324" spans="1:11">
      <c r="A5324"/>
      <c r="B5324"/>
      <c r="C5324"/>
      <c r="D5324"/>
      <c r="E5324"/>
      <c r="F5324"/>
      <c r="G5324"/>
      <c r="H5324"/>
      <c r="I5324"/>
      <c r="J5324"/>
      <c r="K5324"/>
    </row>
    <row r="5325" spans="1:11">
      <c r="A5325"/>
      <c r="B5325"/>
      <c r="C5325"/>
      <c r="D5325"/>
      <c r="E5325"/>
      <c r="F5325"/>
      <c r="G5325"/>
      <c r="H5325"/>
      <c r="I5325"/>
      <c r="J5325"/>
      <c r="K5325"/>
    </row>
    <row r="5326" spans="1:11">
      <c r="A5326"/>
      <c r="B5326"/>
      <c r="C5326"/>
      <c r="D5326"/>
      <c r="E5326"/>
      <c r="F5326"/>
      <c r="G5326"/>
      <c r="H5326"/>
      <c r="I5326"/>
      <c r="J5326"/>
      <c r="K5326"/>
    </row>
    <row r="5327" spans="1:11">
      <c r="A5327"/>
      <c r="B5327"/>
      <c r="C5327"/>
      <c r="D5327"/>
      <c r="E5327"/>
      <c r="F5327"/>
      <c r="G5327"/>
      <c r="H5327"/>
      <c r="I5327"/>
      <c r="J5327"/>
      <c r="K5327"/>
    </row>
    <row r="5328" spans="1:11">
      <c r="A5328"/>
      <c r="B5328"/>
      <c r="C5328"/>
      <c r="D5328"/>
      <c r="E5328"/>
      <c r="F5328"/>
      <c r="G5328"/>
      <c r="H5328"/>
      <c r="I5328"/>
      <c r="J5328"/>
      <c r="K5328"/>
    </row>
    <row r="5329" spans="1:11">
      <c r="A5329"/>
      <c r="B5329"/>
      <c r="C5329"/>
      <c r="D5329"/>
      <c r="E5329"/>
      <c r="F5329"/>
      <c r="G5329"/>
      <c r="H5329"/>
      <c r="I5329"/>
      <c r="J5329"/>
      <c r="K5329"/>
    </row>
    <row r="5330" spans="1:11">
      <c r="A5330"/>
      <c r="B5330"/>
      <c r="C5330"/>
      <c r="D5330"/>
      <c r="E5330"/>
      <c r="F5330"/>
      <c r="G5330"/>
      <c r="H5330"/>
      <c r="I5330"/>
      <c r="J5330"/>
      <c r="K5330"/>
    </row>
    <row r="5331" spans="1:11">
      <c r="A5331"/>
      <c r="B5331"/>
      <c r="C5331"/>
      <c r="D5331"/>
      <c r="E5331"/>
      <c r="F5331"/>
      <c r="G5331"/>
      <c r="H5331"/>
      <c r="I5331"/>
      <c r="J5331"/>
      <c r="K5331"/>
    </row>
    <row r="5332" spans="1:11">
      <c r="A5332"/>
      <c r="B5332"/>
      <c r="C5332"/>
      <c r="D5332"/>
      <c r="E5332"/>
      <c r="F5332"/>
      <c r="G5332"/>
      <c r="H5332"/>
      <c r="I5332"/>
      <c r="J5332"/>
      <c r="K5332"/>
    </row>
    <row r="5333" spans="1:11">
      <c r="A5333"/>
      <c r="B5333"/>
      <c r="C5333"/>
      <c r="D5333"/>
      <c r="E5333"/>
      <c r="F5333"/>
      <c r="G5333"/>
      <c r="H5333"/>
      <c r="I5333"/>
      <c r="J5333"/>
      <c r="K5333"/>
    </row>
    <row r="5334" spans="1:11">
      <c r="A5334"/>
      <c r="B5334"/>
      <c r="C5334"/>
      <c r="D5334"/>
      <c r="E5334"/>
      <c r="F5334"/>
      <c r="G5334"/>
      <c r="H5334"/>
      <c r="I5334"/>
      <c r="J5334"/>
      <c r="K5334"/>
    </row>
    <row r="5335" spans="1:11">
      <c r="A5335"/>
      <c r="B5335"/>
      <c r="C5335"/>
      <c r="D5335"/>
      <c r="E5335"/>
      <c r="F5335"/>
      <c r="G5335"/>
      <c r="H5335"/>
      <c r="I5335"/>
      <c r="J5335"/>
      <c r="K5335"/>
    </row>
    <row r="5336" spans="1:11">
      <c r="A5336"/>
      <c r="B5336"/>
      <c r="C5336"/>
      <c r="D5336"/>
      <c r="E5336"/>
      <c r="F5336"/>
      <c r="G5336"/>
      <c r="H5336"/>
      <c r="I5336"/>
      <c r="J5336"/>
      <c r="K5336"/>
    </row>
    <row r="5337" spans="1:11">
      <c r="A5337"/>
      <c r="B5337"/>
      <c r="C5337"/>
      <c r="D5337"/>
      <c r="E5337"/>
      <c r="F5337"/>
      <c r="G5337"/>
      <c r="H5337"/>
      <c r="I5337"/>
      <c r="J5337"/>
      <c r="K5337"/>
    </row>
    <row r="5338" spans="1:11">
      <c r="A5338"/>
      <c r="B5338"/>
      <c r="C5338"/>
      <c r="D5338"/>
      <c r="E5338"/>
      <c r="F5338"/>
      <c r="G5338"/>
      <c r="H5338"/>
      <c r="I5338"/>
      <c r="J5338"/>
      <c r="K5338"/>
    </row>
    <row r="5339" spans="1:11">
      <c r="A5339"/>
      <c r="B5339"/>
      <c r="C5339"/>
      <c r="D5339"/>
      <c r="E5339"/>
      <c r="F5339"/>
      <c r="G5339"/>
      <c r="H5339"/>
      <c r="I5339"/>
      <c r="J5339"/>
      <c r="K5339"/>
    </row>
    <row r="5340" spans="1:11">
      <c r="A5340"/>
      <c r="B5340"/>
      <c r="C5340"/>
      <c r="D5340"/>
      <c r="E5340"/>
      <c r="F5340"/>
      <c r="G5340"/>
      <c r="H5340"/>
      <c r="I5340"/>
      <c r="J5340"/>
      <c r="K5340"/>
    </row>
    <row r="5341" spans="1:11">
      <c r="A5341"/>
      <c r="B5341"/>
      <c r="C5341"/>
      <c r="D5341"/>
      <c r="E5341"/>
      <c r="F5341"/>
      <c r="G5341"/>
      <c r="H5341"/>
      <c r="I5341"/>
      <c r="J5341"/>
      <c r="K5341"/>
    </row>
    <row r="5342" spans="1:11">
      <c r="A5342"/>
      <c r="B5342"/>
      <c r="C5342"/>
      <c r="D5342"/>
      <c r="E5342"/>
      <c r="F5342"/>
      <c r="G5342"/>
      <c r="H5342"/>
      <c r="I5342"/>
      <c r="J5342"/>
      <c r="K5342"/>
    </row>
    <row r="5343" spans="1:11">
      <c r="A5343"/>
      <c r="B5343"/>
      <c r="C5343"/>
      <c r="D5343"/>
      <c r="E5343"/>
      <c r="F5343"/>
      <c r="G5343"/>
      <c r="H5343"/>
      <c r="I5343"/>
      <c r="J5343"/>
      <c r="K5343"/>
    </row>
    <row r="5344" spans="1:11">
      <c r="A5344"/>
      <c r="B5344"/>
      <c r="C5344"/>
      <c r="D5344"/>
      <c r="E5344"/>
      <c r="F5344"/>
      <c r="G5344"/>
      <c r="H5344"/>
      <c r="I5344"/>
      <c r="J5344"/>
      <c r="K5344"/>
    </row>
    <row r="5345" spans="1:11">
      <c r="A5345"/>
      <c r="B5345"/>
      <c r="C5345"/>
      <c r="D5345"/>
      <c r="E5345"/>
      <c r="F5345"/>
      <c r="G5345"/>
      <c r="H5345"/>
      <c r="I5345"/>
      <c r="J5345"/>
      <c r="K5345"/>
    </row>
    <row r="5346" spans="1:11">
      <c r="A5346"/>
      <c r="B5346"/>
      <c r="C5346"/>
      <c r="D5346"/>
      <c r="E5346"/>
      <c r="F5346"/>
      <c r="G5346"/>
      <c r="H5346"/>
      <c r="I5346"/>
      <c r="J5346"/>
      <c r="K5346"/>
    </row>
    <row r="5347" spans="1:11">
      <c r="A5347"/>
      <c r="B5347"/>
      <c r="C5347"/>
      <c r="D5347"/>
      <c r="E5347"/>
      <c r="F5347"/>
      <c r="G5347"/>
      <c r="H5347"/>
      <c r="I5347"/>
      <c r="J5347"/>
      <c r="K5347"/>
    </row>
    <row r="5348" spans="1:11">
      <c r="A5348"/>
      <c r="B5348"/>
      <c r="C5348"/>
      <c r="D5348"/>
      <c r="E5348"/>
      <c r="F5348"/>
      <c r="G5348"/>
      <c r="H5348"/>
      <c r="I5348"/>
      <c r="J5348"/>
      <c r="K5348"/>
    </row>
    <row r="5349" spans="1:11">
      <c r="A5349"/>
      <c r="B5349"/>
      <c r="C5349"/>
      <c r="D5349"/>
      <c r="E5349"/>
      <c r="F5349"/>
      <c r="G5349"/>
      <c r="H5349"/>
      <c r="I5349"/>
      <c r="J5349"/>
      <c r="K5349"/>
    </row>
    <row r="5350" spans="1:11">
      <c r="A5350"/>
      <c r="B5350"/>
      <c r="C5350"/>
      <c r="D5350"/>
      <c r="E5350"/>
      <c r="F5350"/>
      <c r="G5350"/>
      <c r="H5350"/>
      <c r="I5350"/>
      <c r="J5350"/>
      <c r="K5350"/>
    </row>
    <row r="5351" spans="1:11">
      <c r="A5351"/>
      <c r="B5351"/>
      <c r="C5351"/>
      <c r="D5351"/>
      <c r="E5351"/>
      <c r="F5351"/>
      <c r="G5351"/>
      <c r="H5351"/>
      <c r="I5351"/>
      <c r="J5351"/>
      <c r="K5351"/>
    </row>
    <row r="5352" spans="1:11">
      <c r="A5352"/>
      <c r="B5352"/>
      <c r="C5352"/>
      <c r="D5352"/>
      <c r="E5352"/>
      <c r="F5352"/>
      <c r="G5352"/>
      <c r="H5352"/>
      <c r="I5352"/>
      <c r="J5352"/>
      <c r="K5352"/>
    </row>
    <row r="5353" spans="1:11">
      <c r="A5353"/>
      <c r="B5353"/>
      <c r="C5353"/>
      <c r="D5353"/>
      <c r="E5353"/>
      <c r="F5353"/>
      <c r="G5353"/>
      <c r="H5353"/>
      <c r="I5353"/>
      <c r="J5353"/>
      <c r="K5353"/>
    </row>
    <row r="5354" spans="1:11">
      <c r="A5354"/>
      <c r="B5354"/>
      <c r="C5354"/>
      <c r="D5354"/>
      <c r="E5354"/>
      <c r="F5354"/>
      <c r="G5354"/>
      <c r="H5354"/>
      <c r="I5354"/>
      <c r="J5354"/>
      <c r="K5354"/>
    </row>
    <row r="5355" spans="1:11">
      <c r="A5355"/>
      <c r="B5355"/>
      <c r="C5355"/>
      <c r="D5355"/>
      <c r="E5355"/>
      <c r="F5355"/>
      <c r="G5355"/>
      <c r="H5355"/>
      <c r="I5355"/>
      <c r="J5355"/>
      <c r="K5355"/>
    </row>
    <row r="5356" spans="1:11">
      <c r="A5356"/>
      <c r="B5356"/>
      <c r="C5356"/>
      <c r="D5356"/>
      <c r="E5356"/>
      <c r="F5356"/>
      <c r="G5356"/>
      <c r="H5356"/>
      <c r="I5356"/>
      <c r="J5356"/>
      <c r="K5356"/>
    </row>
    <row r="5357" spans="1:11">
      <c r="A5357"/>
      <c r="B5357"/>
      <c r="C5357"/>
      <c r="D5357"/>
      <c r="E5357"/>
      <c r="F5357"/>
      <c r="G5357"/>
      <c r="H5357"/>
      <c r="I5357"/>
      <c r="J5357"/>
      <c r="K5357"/>
    </row>
    <row r="5358" spans="1:11">
      <c r="A5358"/>
      <c r="B5358"/>
      <c r="C5358"/>
      <c r="D5358"/>
      <c r="E5358"/>
      <c r="F5358"/>
      <c r="G5358"/>
      <c r="H5358"/>
      <c r="I5358"/>
      <c r="J5358"/>
      <c r="K5358"/>
    </row>
    <row r="5359" spans="1:11">
      <c r="A5359"/>
      <c r="B5359"/>
      <c r="C5359"/>
      <c r="D5359"/>
      <c r="E5359"/>
      <c r="F5359"/>
      <c r="G5359"/>
      <c r="H5359"/>
      <c r="I5359"/>
      <c r="J5359"/>
      <c r="K5359"/>
    </row>
    <row r="5360" spans="1:11">
      <c r="A5360"/>
      <c r="B5360"/>
      <c r="C5360"/>
      <c r="D5360"/>
      <c r="E5360"/>
      <c r="F5360"/>
      <c r="G5360"/>
      <c r="H5360"/>
      <c r="I5360"/>
      <c r="J5360"/>
      <c r="K5360"/>
    </row>
    <row r="5361" spans="1:11">
      <c r="A5361"/>
      <c r="B5361"/>
      <c r="C5361"/>
      <c r="D5361"/>
      <c r="E5361"/>
      <c r="F5361"/>
      <c r="G5361"/>
      <c r="H5361"/>
      <c r="I5361"/>
      <c r="J5361"/>
      <c r="K5361"/>
    </row>
    <row r="5362" spans="1:11">
      <c r="A5362"/>
      <c r="B5362"/>
      <c r="C5362"/>
      <c r="D5362"/>
      <c r="E5362"/>
      <c r="F5362"/>
      <c r="G5362"/>
      <c r="H5362"/>
      <c r="I5362"/>
      <c r="J5362"/>
      <c r="K5362"/>
    </row>
    <row r="5363" spans="1:11">
      <c r="A5363"/>
      <c r="B5363"/>
      <c r="C5363"/>
      <c r="D5363"/>
      <c r="E5363"/>
      <c r="F5363"/>
      <c r="G5363"/>
      <c r="H5363"/>
      <c r="I5363"/>
      <c r="J5363"/>
      <c r="K5363"/>
    </row>
    <row r="5364" spans="1:11">
      <c r="A5364"/>
      <c r="B5364"/>
      <c r="C5364"/>
      <c r="D5364"/>
      <c r="E5364"/>
      <c r="F5364"/>
      <c r="G5364"/>
      <c r="H5364"/>
      <c r="I5364"/>
      <c r="J5364"/>
      <c r="K5364"/>
    </row>
    <row r="5365" spans="1:11">
      <c r="A5365"/>
      <c r="B5365"/>
      <c r="C5365"/>
      <c r="D5365"/>
      <c r="E5365"/>
      <c r="F5365"/>
      <c r="G5365"/>
      <c r="H5365"/>
      <c r="I5365"/>
      <c r="J5365"/>
      <c r="K5365"/>
    </row>
    <row r="5366" spans="1:11">
      <c r="A5366"/>
      <c r="B5366"/>
      <c r="C5366"/>
      <c r="D5366"/>
      <c r="E5366"/>
      <c r="F5366"/>
      <c r="G5366"/>
      <c r="H5366"/>
      <c r="I5366"/>
      <c r="J5366"/>
      <c r="K5366"/>
    </row>
    <row r="5367" spans="1:11">
      <c r="A5367"/>
      <c r="B5367"/>
      <c r="C5367"/>
      <c r="D5367"/>
      <c r="E5367"/>
      <c r="F5367"/>
      <c r="G5367"/>
      <c r="H5367"/>
      <c r="I5367"/>
      <c r="J5367"/>
      <c r="K5367"/>
    </row>
    <row r="5368" spans="1:11">
      <c r="A5368"/>
      <c r="B5368"/>
      <c r="C5368"/>
      <c r="D5368"/>
      <c r="E5368"/>
      <c r="F5368"/>
      <c r="G5368"/>
      <c r="H5368"/>
      <c r="I5368"/>
      <c r="J5368"/>
      <c r="K5368"/>
    </row>
    <row r="5369" spans="1:11">
      <c r="A5369"/>
      <c r="B5369"/>
      <c r="C5369"/>
      <c r="D5369"/>
      <c r="E5369"/>
      <c r="F5369"/>
      <c r="G5369"/>
      <c r="H5369"/>
      <c r="I5369"/>
      <c r="J5369"/>
      <c r="K5369"/>
    </row>
    <row r="5370" spans="1:11">
      <c r="A5370"/>
      <c r="B5370"/>
      <c r="C5370"/>
      <c r="D5370"/>
      <c r="E5370"/>
      <c r="F5370"/>
      <c r="G5370"/>
      <c r="H5370"/>
      <c r="I5370"/>
      <c r="J5370"/>
      <c r="K5370"/>
    </row>
    <row r="5371" spans="1:11">
      <c r="A5371"/>
      <c r="B5371"/>
      <c r="C5371"/>
      <c r="D5371"/>
      <c r="E5371"/>
      <c r="F5371"/>
      <c r="G5371"/>
      <c r="H5371"/>
      <c r="I5371"/>
      <c r="J5371"/>
      <c r="K5371"/>
    </row>
    <row r="5372" spans="1:11">
      <c r="A5372"/>
      <c r="B5372"/>
      <c r="C5372"/>
      <c r="D5372"/>
      <c r="E5372"/>
      <c r="F5372"/>
      <c r="G5372"/>
      <c r="H5372"/>
      <c r="I5372"/>
      <c r="J5372"/>
      <c r="K5372"/>
    </row>
    <row r="5373" spans="1:11">
      <c r="A5373"/>
      <c r="B5373"/>
      <c r="C5373"/>
      <c r="D5373"/>
      <c r="E5373"/>
      <c r="F5373"/>
      <c r="G5373"/>
      <c r="H5373"/>
      <c r="I5373"/>
      <c r="J5373"/>
      <c r="K5373"/>
    </row>
    <row r="5374" spans="1:11">
      <c r="A5374"/>
      <c r="B5374"/>
      <c r="C5374"/>
      <c r="D5374"/>
      <c r="E5374"/>
      <c r="F5374"/>
      <c r="G5374"/>
      <c r="H5374"/>
      <c r="I5374"/>
      <c r="J5374"/>
      <c r="K5374"/>
    </row>
    <row r="5375" spans="1:11">
      <c r="A5375"/>
      <c r="B5375"/>
      <c r="C5375"/>
      <c r="D5375"/>
      <c r="E5375"/>
      <c r="F5375"/>
      <c r="G5375"/>
      <c r="H5375"/>
      <c r="I5375"/>
      <c r="J5375"/>
      <c r="K5375"/>
    </row>
    <row r="5376" spans="1:11">
      <c r="A5376"/>
      <c r="B5376"/>
      <c r="C5376"/>
      <c r="D5376"/>
      <c r="E5376"/>
      <c r="F5376"/>
      <c r="G5376"/>
      <c r="H5376"/>
      <c r="I5376"/>
      <c r="J5376"/>
      <c r="K5376"/>
    </row>
    <row r="5377" spans="1:11">
      <c r="A5377"/>
      <c r="B5377"/>
      <c r="C5377"/>
      <c r="D5377"/>
      <c r="E5377"/>
      <c r="F5377"/>
      <c r="G5377"/>
      <c r="H5377"/>
      <c r="I5377"/>
      <c r="J5377"/>
      <c r="K5377"/>
    </row>
    <row r="5378" spans="1:11">
      <c r="A5378"/>
      <c r="B5378"/>
      <c r="C5378"/>
      <c r="D5378"/>
      <c r="E5378"/>
      <c r="F5378"/>
      <c r="G5378"/>
      <c r="H5378"/>
      <c r="I5378"/>
      <c r="J5378"/>
      <c r="K5378"/>
    </row>
    <row r="5379" spans="1:11">
      <c r="A5379"/>
      <c r="B5379"/>
      <c r="C5379"/>
      <c r="D5379"/>
      <c r="E5379"/>
      <c r="F5379"/>
      <c r="G5379"/>
      <c r="H5379"/>
      <c r="I5379"/>
      <c r="J5379"/>
      <c r="K5379"/>
    </row>
    <row r="5380" spans="1:11">
      <c r="A5380"/>
      <c r="B5380"/>
      <c r="C5380"/>
      <c r="D5380"/>
      <c r="E5380"/>
      <c r="F5380"/>
      <c r="G5380"/>
      <c r="H5380"/>
      <c r="I5380"/>
      <c r="J5380"/>
      <c r="K5380"/>
    </row>
    <row r="5381" spans="1:11">
      <c r="A5381"/>
      <c r="B5381"/>
      <c r="C5381"/>
      <c r="D5381"/>
      <c r="E5381"/>
      <c r="F5381"/>
      <c r="G5381"/>
      <c r="H5381"/>
      <c r="I5381"/>
      <c r="J5381"/>
      <c r="K5381"/>
    </row>
    <row r="5382" spans="1:11">
      <c r="A5382"/>
      <c r="B5382"/>
      <c r="C5382"/>
      <c r="D5382"/>
      <c r="E5382"/>
      <c r="F5382"/>
      <c r="G5382"/>
      <c r="H5382"/>
      <c r="I5382"/>
      <c r="J5382"/>
      <c r="K5382"/>
    </row>
    <row r="5383" spans="1:11">
      <c r="A5383"/>
      <c r="B5383"/>
      <c r="C5383"/>
      <c r="D5383"/>
      <c r="E5383"/>
      <c r="F5383"/>
      <c r="G5383"/>
      <c r="H5383"/>
      <c r="I5383"/>
      <c r="J5383"/>
      <c r="K5383"/>
    </row>
    <row r="5384" spans="1:11">
      <c r="A5384"/>
      <c r="B5384"/>
      <c r="C5384"/>
      <c r="D5384"/>
      <c r="E5384"/>
      <c r="F5384"/>
      <c r="G5384"/>
      <c r="H5384"/>
      <c r="I5384"/>
      <c r="J5384"/>
      <c r="K5384"/>
    </row>
    <row r="5385" spans="1:11">
      <c r="A5385"/>
      <c r="B5385"/>
      <c r="C5385"/>
      <c r="D5385"/>
      <c r="E5385"/>
      <c r="F5385"/>
      <c r="G5385"/>
      <c r="H5385"/>
      <c r="I5385"/>
      <c r="J5385"/>
      <c r="K5385"/>
    </row>
    <row r="5386" spans="1:11">
      <c r="A5386"/>
      <c r="B5386"/>
      <c r="C5386"/>
      <c r="D5386"/>
      <c r="E5386"/>
      <c r="F5386"/>
      <c r="G5386"/>
      <c r="H5386"/>
      <c r="I5386"/>
      <c r="J5386"/>
      <c r="K5386"/>
    </row>
    <row r="5387" spans="1:11">
      <c r="A5387"/>
      <c r="B5387"/>
      <c r="C5387"/>
      <c r="D5387"/>
      <c r="E5387"/>
      <c r="F5387"/>
      <c r="G5387"/>
      <c r="H5387"/>
      <c r="I5387"/>
      <c r="J5387"/>
      <c r="K5387"/>
    </row>
    <row r="5388" spans="1:11">
      <c r="A5388"/>
      <c r="B5388"/>
      <c r="C5388"/>
      <c r="D5388"/>
      <c r="E5388"/>
      <c r="F5388"/>
      <c r="G5388"/>
      <c r="H5388"/>
      <c r="I5388"/>
      <c r="J5388"/>
      <c r="K5388"/>
    </row>
    <row r="5389" spans="1:11">
      <c r="A5389"/>
      <c r="B5389"/>
      <c r="C5389"/>
      <c r="D5389"/>
      <c r="E5389"/>
      <c r="F5389"/>
      <c r="G5389"/>
      <c r="H5389"/>
      <c r="I5389"/>
      <c r="J5389"/>
      <c r="K5389"/>
    </row>
    <row r="5390" spans="1:11">
      <c r="A5390"/>
      <c r="B5390"/>
      <c r="C5390"/>
      <c r="D5390"/>
      <c r="E5390"/>
      <c r="F5390"/>
      <c r="G5390"/>
      <c r="H5390"/>
      <c r="I5390"/>
      <c r="J5390"/>
      <c r="K5390"/>
    </row>
    <row r="5391" spans="1:11">
      <c r="A5391"/>
      <c r="B5391"/>
      <c r="C5391"/>
      <c r="D5391"/>
      <c r="E5391"/>
      <c r="F5391"/>
      <c r="G5391"/>
      <c r="H5391"/>
      <c r="I5391"/>
      <c r="J5391"/>
      <c r="K5391"/>
    </row>
    <row r="5392" spans="1:11">
      <c r="A5392"/>
      <c r="B5392"/>
      <c r="C5392"/>
      <c r="D5392"/>
      <c r="E5392"/>
      <c r="F5392"/>
      <c r="G5392"/>
      <c r="H5392"/>
      <c r="I5392"/>
      <c r="J5392"/>
      <c r="K5392"/>
    </row>
    <row r="5393" spans="1:11">
      <c r="A5393"/>
      <c r="B5393"/>
      <c r="C5393"/>
      <c r="D5393"/>
      <c r="E5393"/>
      <c r="F5393"/>
      <c r="G5393"/>
      <c r="H5393"/>
      <c r="I5393"/>
      <c r="J5393"/>
      <c r="K5393"/>
    </row>
    <row r="5394" spans="1:11">
      <c r="A5394"/>
      <c r="B5394"/>
      <c r="C5394"/>
      <c r="D5394"/>
      <c r="E5394"/>
      <c r="F5394"/>
      <c r="G5394"/>
      <c r="H5394"/>
      <c r="I5394"/>
      <c r="J5394"/>
      <c r="K5394"/>
    </row>
    <row r="5395" spans="1:11">
      <c r="A5395"/>
      <c r="B5395"/>
      <c r="C5395"/>
      <c r="D5395"/>
      <c r="E5395"/>
      <c r="F5395"/>
      <c r="G5395"/>
      <c r="H5395"/>
      <c r="I5395"/>
      <c r="J5395"/>
      <c r="K5395"/>
    </row>
    <row r="5396" spans="1:11">
      <c r="A5396"/>
      <c r="B5396"/>
      <c r="C5396"/>
      <c r="D5396"/>
      <c r="E5396"/>
      <c r="F5396"/>
      <c r="G5396"/>
      <c r="H5396"/>
      <c r="I5396"/>
      <c r="J5396"/>
      <c r="K5396"/>
    </row>
    <row r="5397" spans="1:11">
      <c r="A5397"/>
      <c r="B5397"/>
      <c r="C5397"/>
      <c r="D5397"/>
      <c r="E5397"/>
      <c r="F5397"/>
      <c r="G5397"/>
      <c r="H5397"/>
      <c r="I5397"/>
      <c r="J5397"/>
      <c r="K5397"/>
    </row>
    <row r="5398" spans="1:11">
      <c r="A5398"/>
      <c r="B5398"/>
      <c r="C5398"/>
      <c r="D5398"/>
      <c r="E5398"/>
      <c r="F5398"/>
      <c r="G5398"/>
      <c r="H5398"/>
      <c r="I5398"/>
      <c r="J5398"/>
      <c r="K5398"/>
    </row>
    <row r="5399" spans="1:11">
      <c r="A5399"/>
      <c r="B5399"/>
      <c r="C5399"/>
      <c r="D5399"/>
      <c r="E5399"/>
      <c r="F5399"/>
      <c r="G5399"/>
      <c r="H5399"/>
      <c r="I5399"/>
      <c r="J5399"/>
      <c r="K5399"/>
    </row>
    <row r="5400" spans="1:11">
      <c r="A5400"/>
      <c r="B5400"/>
      <c r="C5400"/>
      <c r="D5400"/>
      <c r="E5400"/>
      <c r="F5400"/>
      <c r="G5400"/>
      <c r="H5400"/>
      <c r="I5400"/>
      <c r="J5400"/>
      <c r="K5400"/>
    </row>
    <row r="5401" spans="1:11">
      <c r="A5401"/>
      <c r="B5401"/>
      <c r="C5401"/>
      <c r="D5401"/>
      <c r="E5401"/>
      <c r="F5401"/>
      <c r="G5401"/>
      <c r="H5401"/>
      <c r="I5401"/>
      <c r="J5401"/>
      <c r="K5401"/>
    </row>
    <row r="5402" spans="1:11">
      <c r="A5402"/>
      <c r="B5402"/>
      <c r="C5402"/>
      <c r="D5402"/>
      <c r="E5402"/>
      <c r="F5402"/>
      <c r="G5402"/>
      <c r="H5402"/>
      <c r="I5402"/>
      <c r="J5402"/>
      <c r="K5402"/>
    </row>
    <row r="5403" spans="1:11">
      <c r="A5403"/>
      <c r="B5403"/>
      <c r="C5403"/>
      <c r="D5403"/>
      <c r="E5403"/>
      <c r="F5403"/>
      <c r="G5403"/>
      <c r="H5403"/>
      <c r="I5403"/>
      <c r="J5403"/>
      <c r="K5403"/>
    </row>
    <row r="5404" spans="1:11">
      <c r="A5404"/>
      <c r="B5404"/>
      <c r="C5404"/>
      <c r="D5404"/>
      <c r="E5404"/>
      <c r="F5404"/>
      <c r="G5404"/>
      <c r="H5404"/>
      <c r="I5404"/>
      <c r="J5404"/>
      <c r="K5404"/>
    </row>
    <row r="5405" spans="1:11">
      <c r="A5405"/>
      <c r="B5405"/>
      <c r="C5405"/>
      <c r="D5405"/>
      <c r="E5405"/>
      <c r="F5405"/>
      <c r="G5405"/>
      <c r="H5405"/>
      <c r="I5405"/>
      <c r="J5405"/>
      <c r="K5405"/>
    </row>
    <row r="5406" spans="1:11">
      <c r="A5406"/>
      <c r="B5406"/>
      <c r="C5406"/>
      <c r="D5406"/>
      <c r="E5406"/>
      <c r="F5406"/>
      <c r="G5406"/>
      <c r="H5406"/>
      <c r="I5406"/>
      <c r="J5406"/>
      <c r="K5406"/>
    </row>
    <row r="5407" spans="1:11">
      <c r="A5407"/>
      <c r="B5407"/>
      <c r="C5407"/>
      <c r="D5407"/>
      <c r="E5407"/>
      <c r="F5407"/>
      <c r="G5407"/>
      <c r="H5407"/>
      <c r="I5407"/>
      <c r="J5407"/>
      <c r="K5407"/>
    </row>
    <row r="5408" spans="1:11">
      <c r="A5408"/>
      <c r="B5408"/>
      <c r="C5408"/>
      <c r="D5408"/>
      <c r="E5408"/>
      <c r="F5408"/>
      <c r="G5408"/>
      <c r="H5408"/>
      <c r="I5408"/>
      <c r="J5408"/>
      <c r="K5408"/>
    </row>
    <row r="5409" spans="1:11">
      <c r="A5409"/>
      <c r="B5409"/>
      <c r="C5409"/>
      <c r="D5409"/>
      <c r="E5409"/>
      <c r="F5409"/>
      <c r="G5409"/>
      <c r="H5409"/>
      <c r="I5409"/>
      <c r="J5409"/>
      <c r="K5409"/>
    </row>
    <row r="5410" spans="1:11">
      <c r="A5410"/>
      <c r="B5410"/>
      <c r="C5410"/>
      <c r="D5410"/>
      <c r="E5410"/>
      <c r="F5410"/>
      <c r="G5410"/>
      <c r="H5410"/>
      <c r="I5410"/>
      <c r="J5410"/>
      <c r="K5410"/>
    </row>
    <row r="5411" spans="1:11">
      <c r="A5411"/>
      <c r="B5411"/>
      <c r="C5411"/>
      <c r="D5411"/>
      <c r="E5411"/>
      <c r="F5411"/>
      <c r="G5411"/>
      <c r="H5411"/>
      <c r="I5411"/>
      <c r="J5411"/>
      <c r="K5411"/>
    </row>
    <row r="5412" spans="1:11">
      <c r="A5412"/>
      <c r="B5412"/>
      <c r="C5412"/>
      <c r="D5412"/>
      <c r="E5412"/>
      <c r="F5412"/>
      <c r="G5412"/>
      <c r="H5412"/>
      <c r="I5412"/>
      <c r="J5412"/>
      <c r="K5412"/>
    </row>
    <row r="5413" spans="1:11">
      <c r="A5413"/>
      <c r="B5413"/>
      <c r="C5413"/>
      <c r="D5413"/>
      <c r="E5413"/>
      <c r="F5413"/>
      <c r="G5413"/>
      <c r="H5413"/>
      <c r="I5413"/>
      <c r="J5413"/>
      <c r="K5413"/>
    </row>
    <row r="5414" spans="1:11">
      <c r="A5414"/>
      <c r="B5414"/>
      <c r="C5414"/>
      <c r="D5414"/>
      <c r="E5414"/>
      <c r="F5414"/>
      <c r="G5414"/>
      <c r="H5414"/>
      <c r="I5414"/>
      <c r="J5414"/>
      <c r="K5414"/>
    </row>
    <row r="5415" spans="1:11">
      <c r="A5415"/>
      <c r="B5415"/>
      <c r="C5415"/>
      <c r="D5415"/>
      <c r="E5415"/>
      <c r="F5415"/>
      <c r="G5415"/>
      <c r="H5415"/>
      <c r="I5415"/>
      <c r="J5415"/>
      <c r="K5415"/>
    </row>
    <row r="5416" spans="1:11">
      <c r="A5416"/>
      <c r="B5416"/>
      <c r="C5416"/>
      <c r="D5416"/>
      <c r="E5416"/>
      <c r="F5416"/>
      <c r="G5416"/>
      <c r="H5416"/>
      <c r="I5416"/>
      <c r="J5416"/>
      <c r="K5416"/>
    </row>
    <row r="5417" spans="1:11">
      <c r="A5417"/>
      <c r="B5417"/>
      <c r="C5417"/>
      <c r="D5417"/>
      <c r="E5417"/>
      <c r="F5417"/>
      <c r="G5417"/>
      <c r="H5417"/>
      <c r="I5417"/>
      <c r="J5417"/>
      <c r="K5417"/>
    </row>
    <row r="5418" spans="1:11">
      <c r="A5418"/>
      <c r="B5418"/>
      <c r="C5418"/>
      <c r="D5418"/>
      <c r="E5418"/>
      <c r="F5418"/>
      <c r="G5418"/>
      <c r="H5418"/>
      <c r="I5418"/>
      <c r="J5418"/>
      <c r="K5418"/>
    </row>
    <row r="5419" spans="1:11">
      <c r="A5419"/>
      <c r="B5419"/>
      <c r="C5419"/>
      <c r="D5419"/>
      <c r="E5419"/>
      <c r="F5419"/>
      <c r="G5419"/>
      <c r="H5419"/>
      <c r="I5419"/>
      <c r="J5419"/>
      <c r="K5419"/>
    </row>
    <row r="5420" spans="1:11">
      <c r="A5420"/>
      <c r="B5420"/>
      <c r="C5420"/>
      <c r="D5420"/>
      <c r="E5420"/>
      <c r="F5420"/>
      <c r="G5420"/>
      <c r="H5420"/>
      <c r="I5420"/>
      <c r="J5420"/>
      <c r="K5420"/>
    </row>
    <row r="5421" spans="1:11">
      <c r="A5421"/>
      <c r="B5421"/>
      <c r="C5421"/>
      <c r="D5421"/>
      <c r="E5421"/>
      <c r="F5421"/>
      <c r="G5421"/>
      <c r="H5421"/>
      <c r="I5421"/>
      <c r="J5421"/>
      <c r="K5421"/>
    </row>
    <row r="5422" spans="1:11">
      <c r="A5422"/>
      <c r="B5422"/>
      <c r="C5422"/>
      <c r="D5422"/>
      <c r="E5422"/>
      <c r="F5422"/>
      <c r="G5422"/>
      <c r="H5422"/>
      <c r="I5422"/>
      <c r="J5422"/>
      <c r="K5422"/>
    </row>
    <row r="5423" spans="1:11">
      <c r="A5423"/>
      <c r="B5423"/>
      <c r="C5423"/>
      <c r="D5423"/>
      <c r="E5423"/>
      <c r="F5423"/>
      <c r="G5423"/>
      <c r="H5423"/>
      <c r="I5423"/>
      <c r="J5423"/>
      <c r="K5423"/>
    </row>
    <row r="5424" spans="1:11">
      <c r="A5424"/>
      <c r="B5424"/>
      <c r="C5424"/>
      <c r="D5424"/>
      <c r="E5424"/>
      <c r="F5424"/>
      <c r="G5424"/>
      <c r="H5424"/>
      <c r="I5424"/>
      <c r="J5424"/>
      <c r="K5424"/>
    </row>
    <row r="5425" spans="1:11">
      <c r="A5425"/>
      <c r="B5425"/>
      <c r="C5425"/>
      <c r="D5425"/>
      <c r="E5425"/>
      <c r="F5425"/>
      <c r="G5425"/>
      <c r="H5425"/>
      <c r="I5425"/>
      <c r="J5425"/>
      <c r="K5425"/>
    </row>
    <row r="5426" spans="1:11">
      <c r="A5426"/>
      <c r="B5426"/>
      <c r="C5426"/>
      <c r="D5426"/>
      <c r="E5426"/>
      <c r="F5426"/>
      <c r="G5426"/>
      <c r="H5426"/>
      <c r="I5426"/>
      <c r="J5426"/>
      <c r="K5426"/>
    </row>
    <row r="5427" spans="1:11">
      <c r="A5427"/>
      <c r="B5427"/>
      <c r="C5427"/>
      <c r="D5427"/>
      <c r="E5427"/>
      <c r="F5427"/>
      <c r="G5427"/>
      <c r="H5427"/>
      <c r="I5427"/>
      <c r="J5427"/>
      <c r="K5427"/>
    </row>
    <row r="5428" spans="1:11">
      <c r="A5428"/>
      <c r="B5428"/>
      <c r="C5428"/>
      <c r="D5428"/>
      <c r="E5428"/>
      <c r="F5428"/>
      <c r="G5428"/>
      <c r="H5428"/>
      <c r="I5428"/>
      <c r="J5428"/>
      <c r="K5428"/>
    </row>
    <row r="5429" spans="1:11">
      <c r="A5429"/>
      <c r="B5429"/>
      <c r="C5429"/>
      <c r="D5429"/>
      <c r="E5429"/>
      <c r="F5429"/>
      <c r="G5429"/>
      <c r="H5429"/>
      <c r="I5429"/>
      <c r="J5429"/>
      <c r="K5429"/>
    </row>
    <row r="5430" spans="1:11">
      <c r="A5430"/>
      <c r="B5430"/>
      <c r="C5430"/>
      <c r="D5430"/>
      <c r="E5430"/>
      <c r="F5430"/>
      <c r="G5430"/>
      <c r="H5430"/>
      <c r="I5430"/>
      <c r="J5430"/>
      <c r="K5430"/>
    </row>
    <row r="5431" spans="1:11">
      <c r="A5431"/>
      <c r="B5431"/>
      <c r="C5431"/>
      <c r="D5431"/>
      <c r="E5431"/>
      <c r="F5431"/>
      <c r="G5431"/>
      <c r="H5431"/>
      <c r="I5431"/>
      <c r="J5431"/>
      <c r="K5431"/>
    </row>
    <row r="5432" spans="1:11">
      <c r="A5432"/>
      <c r="B5432"/>
      <c r="C5432"/>
      <c r="D5432"/>
      <c r="E5432"/>
      <c r="F5432"/>
      <c r="G5432"/>
      <c r="H5432"/>
      <c r="I5432"/>
      <c r="J5432"/>
      <c r="K5432"/>
    </row>
    <row r="5433" spans="1:11">
      <c r="A5433"/>
      <c r="B5433"/>
      <c r="C5433"/>
      <c r="D5433"/>
      <c r="E5433"/>
      <c r="F5433"/>
      <c r="G5433"/>
      <c r="H5433"/>
      <c r="I5433"/>
      <c r="J5433"/>
      <c r="K5433"/>
    </row>
    <row r="5434" spans="1:11">
      <c r="A5434"/>
      <c r="B5434"/>
      <c r="C5434"/>
      <c r="D5434"/>
      <c r="E5434"/>
      <c r="F5434"/>
      <c r="G5434"/>
      <c r="H5434"/>
      <c r="I5434"/>
      <c r="J5434"/>
      <c r="K5434"/>
    </row>
    <row r="5435" spans="1:11">
      <c r="A5435"/>
      <c r="B5435"/>
      <c r="C5435"/>
      <c r="D5435"/>
      <c r="E5435"/>
      <c r="F5435"/>
      <c r="G5435"/>
      <c r="H5435"/>
      <c r="I5435"/>
      <c r="J5435"/>
      <c r="K5435"/>
    </row>
    <row r="5436" spans="1:11">
      <c r="A5436"/>
      <c r="B5436"/>
      <c r="C5436"/>
      <c r="D5436"/>
      <c r="E5436"/>
      <c r="F5436"/>
      <c r="G5436"/>
      <c r="H5436"/>
      <c r="I5436"/>
      <c r="J5436"/>
      <c r="K5436"/>
    </row>
    <row r="5437" spans="1:11">
      <c r="A5437"/>
      <c r="B5437"/>
      <c r="C5437"/>
      <c r="D5437"/>
      <c r="E5437"/>
      <c r="F5437"/>
      <c r="G5437"/>
      <c r="H5437"/>
      <c r="I5437"/>
      <c r="J5437"/>
      <c r="K5437"/>
    </row>
    <row r="5438" spans="1:11">
      <c r="A5438"/>
      <c r="B5438"/>
      <c r="C5438"/>
      <c r="D5438"/>
      <c r="E5438"/>
      <c r="F5438"/>
      <c r="G5438"/>
      <c r="H5438"/>
      <c r="I5438"/>
      <c r="J5438"/>
      <c r="K5438"/>
    </row>
    <row r="5439" spans="1:11">
      <c r="A5439"/>
      <c r="B5439"/>
      <c r="C5439"/>
      <c r="D5439"/>
      <c r="E5439"/>
      <c r="F5439"/>
      <c r="G5439"/>
      <c r="H5439"/>
      <c r="I5439"/>
      <c r="J5439"/>
      <c r="K5439"/>
    </row>
    <row r="5440" spans="1:11">
      <c r="A5440"/>
      <c r="B5440"/>
      <c r="C5440"/>
      <c r="D5440"/>
      <c r="E5440"/>
      <c r="F5440"/>
      <c r="G5440"/>
      <c r="H5440"/>
      <c r="I5440"/>
      <c r="J5440"/>
      <c r="K5440"/>
    </row>
    <row r="5441" spans="1:11">
      <c r="A5441"/>
      <c r="B5441"/>
      <c r="C5441"/>
      <c r="D5441"/>
      <c r="E5441"/>
      <c r="F5441"/>
      <c r="G5441"/>
      <c r="H5441"/>
      <c r="I5441"/>
      <c r="J5441"/>
      <c r="K5441"/>
    </row>
    <row r="5442" spans="1:11">
      <c r="A5442"/>
      <c r="B5442"/>
      <c r="C5442"/>
      <c r="D5442"/>
      <c r="E5442"/>
      <c r="F5442"/>
      <c r="G5442"/>
      <c r="H5442"/>
      <c r="I5442"/>
      <c r="J5442"/>
      <c r="K5442"/>
    </row>
    <row r="5443" spans="1:11">
      <c r="A5443"/>
      <c r="B5443"/>
      <c r="C5443"/>
      <c r="D5443"/>
      <c r="E5443"/>
      <c r="F5443"/>
      <c r="G5443"/>
      <c r="H5443"/>
      <c r="I5443"/>
      <c r="J5443"/>
      <c r="K5443"/>
    </row>
    <row r="5444" spans="1:11">
      <c r="A5444"/>
      <c r="B5444"/>
      <c r="C5444"/>
      <c r="D5444"/>
      <c r="E5444"/>
      <c r="F5444"/>
      <c r="G5444"/>
      <c r="H5444"/>
      <c r="I5444"/>
      <c r="J5444"/>
      <c r="K5444"/>
    </row>
    <row r="5445" spans="1:11">
      <c r="A5445"/>
      <c r="B5445"/>
      <c r="C5445"/>
      <c r="D5445"/>
      <c r="E5445"/>
      <c r="F5445"/>
      <c r="G5445"/>
      <c r="H5445"/>
      <c r="I5445"/>
      <c r="J5445"/>
      <c r="K5445"/>
    </row>
    <row r="5446" spans="1:11">
      <c r="A5446"/>
      <c r="B5446"/>
      <c r="C5446"/>
      <c r="D5446"/>
      <c r="E5446"/>
      <c r="F5446"/>
      <c r="G5446"/>
      <c r="H5446"/>
      <c r="I5446"/>
      <c r="J5446"/>
      <c r="K5446"/>
    </row>
    <row r="5447" spans="1:11">
      <c r="A5447"/>
      <c r="B5447"/>
      <c r="C5447"/>
      <c r="D5447"/>
      <c r="E5447"/>
      <c r="F5447"/>
      <c r="G5447"/>
      <c r="H5447"/>
      <c r="I5447"/>
      <c r="J5447"/>
      <c r="K5447"/>
    </row>
    <row r="5448" spans="1:11">
      <c r="A5448"/>
      <c r="B5448"/>
      <c r="C5448"/>
      <c r="D5448"/>
      <c r="E5448"/>
      <c r="F5448"/>
      <c r="G5448"/>
      <c r="H5448"/>
      <c r="I5448"/>
      <c r="J5448"/>
      <c r="K5448"/>
    </row>
    <row r="5449" spans="1:11">
      <c r="A5449"/>
      <c r="B5449"/>
      <c r="C5449"/>
      <c r="D5449"/>
      <c r="E5449"/>
      <c r="F5449"/>
      <c r="G5449"/>
      <c r="H5449"/>
      <c r="I5449"/>
      <c r="J5449"/>
      <c r="K5449"/>
    </row>
    <row r="5450" spans="1:11">
      <c r="A5450"/>
      <c r="B5450"/>
      <c r="C5450"/>
      <c r="D5450"/>
      <c r="E5450"/>
      <c r="F5450"/>
      <c r="G5450"/>
      <c r="H5450"/>
      <c r="I5450"/>
      <c r="J5450"/>
      <c r="K5450"/>
    </row>
    <row r="5451" spans="1:11">
      <c r="A5451"/>
      <c r="B5451"/>
      <c r="C5451"/>
      <c r="D5451"/>
      <c r="E5451"/>
      <c r="F5451"/>
      <c r="G5451"/>
      <c r="H5451"/>
      <c r="I5451"/>
      <c r="J5451"/>
      <c r="K5451"/>
    </row>
    <row r="5452" spans="1:11">
      <c r="A5452"/>
      <c r="B5452"/>
      <c r="C5452"/>
      <c r="D5452"/>
      <c r="E5452"/>
      <c r="F5452"/>
      <c r="G5452"/>
      <c r="H5452"/>
      <c r="I5452"/>
      <c r="J5452"/>
      <c r="K5452"/>
    </row>
    <row r="5453" spans="1:11">
      <c r="A5453"/>
      <c r="B5453"/>
      <c r="C5453"/>
      <c r="D5453"/>
      <c r="E5453"/>
      <c r="F5453"/>
      <c r="G5453"/>
      <c r="H5453"/>
      <c r="I5453"/>
      <c r="J5453"/>
      <c r="K5453"/>
    </row>
    <row r="5454" spans="1:11">
      <c r="A5454"/>
      <c r="B5454"/>
      <c r="C5454"/>
      <c r="D5454"/>
      <c r="E5454"/>
      <c r="F5454"/>
      <c r="G5454"/>
      <c r="H5454"/>
      <c r="I5454"/>
      <c r="J5454"/>
      <c r="K5454"/>
    </row>
    <row r="5455" spans="1:11">
      <c r="A5455"/>
      <c r="B5455"/>
      <c r="C5455"/>
      <c r="D5455"/>
      <c r="E5455"/>
      <c r="F5455"/>
      <c r="G5455"/>
      <c r="H5455"/>
      <c r="I5455"/>
      <c r="J5455"/>
      <c r="K5455"/>
    </row>
    <row r="5456" spans="1:11">
      <c r="A5456"/>
      <c r="B5456"/>
      <c r="C5456"/>
      <c r="D5456"/>
      <c r="E5456"/>
      <c r="F5456"/>
      <c r="G5456"/>
      <c r="H5456"/>
      <c r="I5456"/>
      <c r="J5456"/>
      <c r="K5456"/>
    </row>
    <row r="5457" spans="1:11">
      <c r="A5457"/>
      <c r="B5457"/>
      <c r="C5457"/>
      <c r="D5457"/>
      <c r="E5457"/>
      <c r="F5457"/>
      <c r="G5457"/>
      <c r="H5457"/>
      <c r="I5457"/>
      <c r="J5457"/>
      <c r="K5457"/>
    </row>
    <row r="5458" spans="1:11">
      <c r="A5458"/>
      <c r="B5458"/>
      <c r="C5458"/>
      <c r="D5458"/>
      <c r="E5458"/>
      <c r="F5458"/>
      <c r="G5458"/>
      <c r="H5458"/>
      <c r="I5458"/>
      <c r="J5458"/>
      <c r="K5458"/>
    </row>
    <row r="5459" spans="1:11">
      <c r="A5459"/>
      <c r="B5459"/>
      <c r="C5459"/>
      <c r="D5459"/>
      <c r="E5459"/>
      <c r="F5459"/>
      <c r="G5459"/>
      <c r="H5459"/>
      <c r="I5459"/>
      <c r="J5459"/>
      <c r="K5459"/>
    </row>
    <row r="5460" spans="1:11">
      <c r="A5460"/>
      <c r="B5460"/>
      <c r="C5460"/>
      <c r="D5460"/>
      <c r="E5460"/>
      <c r="F5460"/>
      <c r="G5460"/>
      <c r="H5460"/>
      <c r="I5460"/>
      <c r="J5460"/>
      <c r="K5460"/>
    </row>
    <row r="5461" spans="1:11">
      <c r="A5461"/>
      <c r="B5461"/>
      <c r="C5461"/>
      <c r="D5461"/>
      <c r="E5461"/>
      <c r="F5461"/>
      <c r="G5461"/>
      <c r="H5461"/>
      <c r="I5461"/>
      <c r="J5461"/>
      <c r="K5461"/>
    </row>
    <row r="5462" spans="1:11">
      <c r="A5462"/>
      <c r="B5462"/>
      <c r="C5462"/>
      <c r="D5462"/>
      <c r="E5462"/>
      <c r="F5462"/>
      <c r="G5462"/>
      <c r="H5462"/>
      <c r="I5462"/>
      <c r="J5462"/>
      <c r="K5462"/>
    </row>
    <row r="5463" spans="1:11">
      <c r="A5463"/>
      <c r="B5463"/>
      <c r="C5463"/>
      <c r="D5463"/>
      <c r="E5463"/>
      <c r="F5463"/>
      <c r="G5463"/>
      <c r="H5463"/>
      <c r="I5463"/>
      <c r="J5463"/>
      <c r="K5463"/>
    </row>
    <row r="5464" spans="1:11">
      <c r="A5464"/>
      <c r="B5464"/>
      <c r="C5464"/>
      <c r="D5464"/>
      <c r="E5464"/>
      <c r="F5464"/>
      <c r="G5464"/>
      <c r="H5464"/>
      <c r="I5464"/>
      <c r="J5464"/>
      <c r="K5464"/>
    </row>
    <row r="5465" spans="1:11">
      <c r="A5465"/>
      <c r="B5465"/>
      <c r="C5465"/>
      <c r="D5465"/>
      <c r="E5465"/>
      <c r="F5465"/>
      <c r="G5465"/>
      <c r="H5465"/>
      <c r="I5465"/>
      <c r="J5465"/>
      <c r="K5465"/>
    </row>
    <row r="5466" spans="1:11">
      <c r="A5466"/>
      <c r="B5466"/>
      <c r="C5466"/>
      <c r="D5466"/>
      <c r="E5466"/>
      <c r="F5466"/>
      <c r="G5466"/>
      <c r="H5466"/>
      <c r="I5466"/>
      <c r="J5466"/>
      <c r="K5466"/>
    </row>
    <row r="5467" spans="1:11">
      <c r="A5467"/>
      <c r="B5467"/>
      <c r="C5467"/>
      <c r="D5467"/>
      <c r="E5467"/>
      <c r="F5467"/>
      <c r="G5467"/>
      <c r="H5467"/>
      <c r="I5467"/>
      <c r="J5467"/>
      <c r="K5467"/>
    </row>
    <row r="5468" spans="1:11">
      <c r="A5468"/>
      <c r="B5468"/>
      <c r="C5468"/>
      <c r="D5468"/>
      <c r="E5468"/>
      <c r="F5468"/>
      <c r="G5468"/>
      <c r="H5468"/>
      <c r="I5468"/>
      <c r="J5468"/>
      <c r="K5468"/>
    </row>
    <row r="5469" spans="1:11">
      <c r="A5469"/>
      <c r="B5469"/>
      <c r="C5469"/>
      <c r="D5469"/>
      <c r="E5469"/>
      <c r="F5469"/>
      <c r="G5469"/>
      <c r="H5469"/>
      <c r="I5469"/>
      <c r="J5469"/>
      <c r="K5469"/>
    </row>
    <row r="5470" spans="1:11">
      <c r="A5470"/>
      <c r="B5470"/>
      <c r="C5470"/>
      <c r="D5470"/>
      <c r="E5470"/>
      <c r="F5470"/>
      <c r="G5470"/>
      <c r="H5470"/>
      <c r="I5470"/>
      <c r="J5470"/>
      <c r="K5470"/>
    </row>
    <row r="5471" spans="1:11">
      <c r="A5471"/>
      <c r="B5471"/>
      <c r="C5471"/>
      <c r="D5471"/>
      <c r="E5471"/>
      <c r="F5471"/>
      <c r="G5471"/>
      <c r="H5471"/>
      <c r="I5471"/>
      <c r="J5471"/>
      <c r="K5471"/>
    </row>
    <row r="5472" spans="1:11">
      <c r="A5472"/>
      <c r="B5472"/>
      <c r="C5472"/>
      <c r="D5472"/>
      <c r="E5472"/>
      <c r="F5472"/>
      <c r="G5472"/>
      <c r="H5472"/>
      <c r="I5472"/>
      <c r="J5472"/>
      <c r="K5472"/>
    </row>
    <row r="5473" spans="1:11">
      <c r="A5473"/>
      <c r="B5473"/>
      <c r="C5473"/>
      <c r="D5473"/>
      <c r="E5473"/>
      <c r="F5473"/>
      <c r="G5473"/>
      <c r="H5473"/>
      <c r="I5473"/>
      <c r="J5473"/>
      <c r="K5473"/>
    </row>
    <row r="5474" spans="1:11">
      <c r="A5474"/>
      <c r="B5474"/>
      <c r="C5474"/>
      <c r="D5474"/>
      <c r="E5474"/>
      <c r="F5474"/>
      <c r="G5474"/>
      <c r="H5474"/>
      <c r="I5474"/>
      <c r="J5474"/>
      <c r="K5474"/>
    </row>
    <row r="5475" spans="1:11">
      <c r="A5475"/>
      <c r="B5475"/>
      <c r="C5475"/>
      <c r="D5475"/>
      <c r="E5475"/>
      <c r="F5475"/>
      <c r="G5475"/>
      <c r="H5475"/>
      <c r="I5475"/>
      <c r="J5475"/>
      <c r="K5475"/>
    </row>
    <row r="5476" spans="1:11">
      <c r="A5476"/>
      <c r="B5476"/>
      <c r="C5476"/>
      <c r="D5476"/>
      <c r="E5476"/>
      <c r="F5476"/>
      <c r="G5476"/>
      <c r="H5476"/>
      <c r="I5476"/>
      <c r="J5476"/>
      <c r="K5476"/>
    </row>
    <row r="5477" spans="1:11">
      <c r="A5477"/>
      <c r="B5477"/>
      <c r="C5477"/>
      <c r="D5477"/>
      <c r="E5477"/>
      <c r="F5477"/>
      <c r="G5477"/>
      <c r="H5477"/>
      <c r="I5477"/>
      <c r="J5477"/>
      <c r="K5477"/>
    </row>
    <row r="5478" spans="1:11">
      <c r="A5478"/>
      <c r="B5478"/>
      <c r="C5478"/>
      <c r="D5478"/>
      <c r="E5478"/>
      <c r="F5478"/>
      <c r="G5478"/>
      <c r="H5478"/>
      <c r="I5478"/>
      <c r="J5478"/>
      <c r="K5478"/>
    </row>
    <row r="5479" spans="1:11">
      <c r="A5479"/>
      <c r="B5479"/>
      <c r="C5479"/>
      <c r="D5479"/>
      <c r="E5479"/>
      <c r="F5479"/>
      <c r="G5479"/>
      <c r="H5479"/>
      <c r="I5479"/>
      <c r="J5479"/>
      <c r="K5479"/>
    </row>
    <row r="5480" spans="1:11">
      <c r="A5480"/>
      <c r="B5480"/>
      <c r="C5480"/>
      <c r="D5480"/>
      <c r="E5480"/>
      <c r="F5480"/>
      <c r="G5480"/>
      <c r="H5480"/>
      <c r="I5480"/>
      <c r="J5480"/>
      <c r="K5480"/>
    </row>
    <row r="5481" spans="1:11">
      <c r="A5481"/>
      <c r="B5481"/>
      <c r="C5481"/>
      <c r="D5481"/>
      <c r="E5481"/>
      <c r="F5481"/>
      <c r="G5481"/>
      <c r="H5481"/>
      <c r="I5481"/>
      <c r="J5481"/>
      <c r="K5481"/>
    </row>
    <row r="5482" spans="1:11">
      <c r="A5482"/>
      <c r="B5482"/>
      <c r="C5482"/>
      <c r="D5482"/>
      <c r="E5482"/>
      <c r="F5482"/>
      <c r="G5482"/>
      <c r="H5482"/>
      <c r="I5482"/>
      <c r="J5482"/>
      <c r="K5482"/>
    </row>
    <row r="5483" spans="1:11">
      <c r="A5483"/>
      <c r="B5483"/>
      <c r="C5483"/>
      <c r="D5483"/>
      <c r="E5483"/>
      <c r="F5483"/>
      <c r="G5483"/>
      <c r="H5483"/>
      <c r="I5483"/>
      <c r="J5483"/>
      <c r="K5483"/>
    </row>
    <row r="5484" spans="1:11">
      <c r="A5484"/>
      <c r="B5484"/>
      <c r="C5484"/>
      <c r="D5484"/>
      <c r="E5484"/>
      <c r="F5484"/>
      <c r="G5484"/>
      <c r="H5484"/>
      <c r="I5484"/>
      <c r="J5484"/>
      <c r="K5484"/>
    </row>
    <row r="5485" spans="1:11">
      <c r="A5485"/>
      <c r="B5485"/>
      <c r="C5485"/>
      <c r="D5485"/>
      <c r="E5485"/>
      <c r="F5485"/>
      <c r="G5485"/>
      <c r="H5485"/>
      <c r="I5485"/>
      <c r="J5485"/>
      <c r="K5485"/>
    </row>
    <row r="5486" spans="1:11">
      <c r="A5486"/>
      <c r="B5486"/>
      <c r="C5486"/>
      <c r="D5486"/>
      <c r="E5486"/>
      <c r="F5486"/>
      <c r="G5486"/>
      <c r="H5486"/>
      <c r="I5486"/>
      <c r="J5486"/>
      <c r="K5486"/>
    </row>
    <row r="5487" spans="1:11">
      <c r="A5487"/>
      <c r="B5487"/>
      <c r="C5487"/>
      <c r="D5487"/>
      <c r="E5487"/>
      <c r="F5487"/>
      <c r="G5487"/>
      <c r="H5487"/>
      <c r="I5487"/>
      <c r="J5487"/>
      <c r="K5487"/>
    </row>
    <row r="5488" spans="1:11">
      <c r="A5488"/>
      <c r="B5488"/>
      <c r="C5488"/>
      <c r="D5488"/>
      <c r="E5488"/>
      <c r="F5488"/>
      <c r="G5488"/>
      <c r="H5488"/>
      <c r="I5488"/>
      <c r="J5488"/>
      <c r="K5488"/>
    </row>
    <row r="5489" spans="1:11">
      <c r="A5489"/>
      <c r="B5489"/>
      <c r="C5489"/>
      <c r="D5489"/>
      <c r="E5489"/>
      <c r="F5489"/>
      <c r="G5489"/>
      <c r="H5489"/>
      <c r="I5489"/>
      <c r="J5489"/>
      <c r="K5489"/>
    </row>
    <row r="5490" spans="1:11">
      <c r="A5490"/>
      <c r="B5490"/>
      <c r="C5490"/>
      <c r="D5490"/>
      <c r="E5490"/>
      <c r="F5490"/>
      <c r="G5490"/>
      <c r="H5490"/>
      <c r="I5490"/>
      <c r="J5490"/>
      <c r="K5490"/>
    </row>
    <row r="5491" spans="1:11">
      <c r="A5491"/>
      <c r="B5491"/>
      <c r="C5491"/>
      <c r="D5491"/>
      <c r="E5491"/>
      <c r="F5491"/>
      <c r="G5491"/>
      <c r="H5491"/>
      <c r="I5491"/>
      <c r="J5491"/>
      <c r="K5491"/>
    </row>
    <row r="5492" spans="1:11">
      <c r="A5492"/>
      <c r="B5492"/>
      <c r="C5492"/>
      <c r="D5492"/>
      <c r="E5492"/>
      <c r="F5492"/>
      <c r="G5492"/>
      <c r="H5492"/>
      <c r="I5492"/>
      <c r="J5492"/>
      <c r="K5492"/>
    </row>
    <row r="5493" spans="1:11">
      <c r="A5493"/>
      <c r="B5493"/>
      <c r="C5493"/>
      <c r="D5493"/>
      <c r="E5493"/>
      <c r="F5493"/>
      <c r="G5493"/>
      <c r="H5493"/>
      <c r="I5493"/>
      <c r="J5493"/>
      <c r="K5493"/>
    </row>
    <row r="5494" spans="1:11">
      <c r="A5494"/>
      <c r="B5494"/>
      <c r="C5494"/>
      <c r="D5494"/>
      <c r="E5494"/>
      <c r="F5494"/>
      <c r="G5494"/>
      <c r="H5494"/>
      <c r="I5494"/>
      <c r="J5494"/>
      <c r="K5494"/>
    </row>
    <row r="5495" spans="1:11">
      <c r="A5495"/>
      <c r="B5495"/>
      <c r="C5495"/>
      <c r="D5495"/>
      <c r="E5495"/>
      <c r="F5495"/>
      <c r="G5495"/>
      <c r="H5495"/>
      <c r="I5495"/>
      <c r="J5495"/>
      <c r="K5495"/>
    </row>
    <row r="5496" spans="1:11">
      <c r="A5496"/>
      <c r="B5496"/>
      <c r="C5496"/>
      <c r="D5496"/>
      <c r="E5496"/>
      <c r="F5496"/>
      <c r="G5496"/>
      <c r="H5496"/>
      <c r="I5496"/>
      <c r="J5496"/>
      <c r="K5496"/>
    </row>
    <row r="5497" spans="1:11">
      <c r="A5497"/>
      <c r="B5497"/>
      <c r="C5497"/>
      <c r="D5497"/>
      <c r="E5497"/>
      <c r="F5497"/>
      <c r="G5497"/>
      <c r="H5497"/>
      <c r="I5497"/>
      <c r="J5497"/>
      <c r="K5497"/>
    </row>
    <row r="5498" spans="1:11">
      <c r="A5498"/>
      <c r="B5498"/>
      <c r="C5498"/>
      <c r="D5498"/>
      <c r="E5498"/>
      <c r="F5498"/>
      <c r="G5498"/>
      <c r="H5498"/>
      <c r="I5498"/>
      <c r="J5498"/>
      <c r="K5498"/>
    </row>
    <row r="5499" spans="1:11">
      <c r="A5499"/>
      <c r="B5499"/>
      <c r="C5499"/>
      <c r="D5499"/>
      <c r="E5499"/>
      <c r="F5499"/>
      <c r="G5499"/>
      <c r="H5499"/>
      <c r="I5499"/>
      <c r="J5499"/>
      <c r="K5499"/>
    </row>
    <row r="5500" spans="1:11">
      <c r="A5500"/>
      <c r="B5500"/>
      <c r="C5500"/>
      <c r="D5500"/>
      <c r="E5500"/>
      <c r="F5500"/>
      <c r="G5500"/>
      <c r="H5500"/>
      <c r="I5500"/>
      <c r="J5500"/>
      <c r="K5500"/>
    </row>
    <row r="5501" spans="1:11">
      <c r="A5501"/>
      <c r="B5501"/>
      <c r="C5501"/>
      <c r="D5501"/>
      <c r="E5501"/>
      <c r="F5501"/>
      <c r="G5501"/>
      <c r="H5501"/>
      <c r="I5501"/>
      <c r="J5501"/>
      <c r="K5501"/>
    </row>
    <row r="5502" spans="1:11">
      <c r="A5502"/>
      <c r="B5502"/>
      <c r="C5502"/>
      <c r="D5502"/>
      <c r="E5502"/>
      <c r="F5502"/>
      <c r="G5502"/>
      <c r="H5502"/>
      <c r="I5502"/>
      <c r="J5502"/>
      <c r="K5502"/>
    </row>
    <row r="5503" spans="1:11">
      <c r="A5503"/>
      <c r="B5503"/>
      <c r="C5503"/>
      <c r="D5503"/>
      <c r="E5503"/>
      <c r="F5503"/>
      <c r="G5503"/>
      <c r="H5503"/>
      <c r="I5503"/>
      <c r="J5503"/>
      <c r="K5503"/>
    </row>
    <row r="5504" spans="1:11">
      <c r="A5504"/>
      <c r="B5504"/>
      <c r="C5504"/>
      <c r="D5504"/>
      <c r="E5504"/>
      <c r="F5504"/>
      <c r="G5504"/>
      <c r="H5504"/>
      <c r="I5504"/>
      <c r="J5504"/>
      <c r="K5504"/>
    </row>
    <row r="5505" spans="1:11">
      <c r="A5505"/>
      <c r="B5505"/>
      <c r="C5505"/>
      <c r="D5505"/>
      <c r="E5505"/>
      <c r="F5505"/>
      <c r="G5505"/>
      <c r="H5505"/>
      <c r="I5505"/>
      <c r="J5505"/>
      <c r="K5505"/>
    </row>
    <row r="5506" spans="1:11">
      <c r="A5506"/>
      <c r="B5506"/>
      <c r="C5506"/>
      <c r="D5506"/>
      <c r="E5506"/>
      <c r="F5506"/>
      <c r="G5506"/>
      <c r="H5506"/>
      <c r="I5506"/>
      <c r="J5506"/>
      <c r="K5506"/>
    </row>
    <row r="5507" spans="1:11">
      <c r="A5507"/>
      <c r="B5507"/>
      <c r="C5507"/>
      <c r="D5507"/>
      <c r="E5507"/>
      <c r="F5507"/>
      <c r="G5507"/>
      <c r="H5507"/>
      <c r="I5507"/>
      <c r="J5507"/>
      <c r="K5507"/>
    </row>
    <row r="5508" spans="1:11">
      <c r="A5508"/>
      <c r="B5508"/>
      <c r="C5508"/>
      <c r="D5508"/>
      <c r="E5508"/>
      <c r="F5508"/>
      <c r="G5508"/>
      <c r="H5508"/>
      <c r="I5508"/>
      <c r="J5508"/>
      <c r="K5508"/>
    </row>
    <row r="5509" spans="1:11">
      <c r="A5509"/>
      <c r="B5509"/>
      <c r="C5509"/>
      <c r="D5509"/>
      <c r="E5509"/>
      <c r="F5509"/>
      <c r="G5509"/>
      <c r="H5509"/>
      <c r="I5509"/>
      <c r="J5509"/>
      <c r="K5509"/>
    </row>
    <row r="5510" spans="1:11">
      <c r="A5510"/>
      <c r="B5510"/>
      <c r="C5510"/>
      <c r="D5510"/>
      <c r="E5510"/>
      <c r="F5510"/>
      <c r="G5510"/>
      <c r="H5510"/>
      <c r="I5510"/>
      <c r="J5510"/>
      <c r="K5510"/>
    </row>
    <row r="5511" spans="1:11">
      <c r="A5511"/>
      <c r="B5511"/>
      <c r="C5511"/>
      <c r="D5511"/>
      <c r="E5511"/>
      <c r="F5511"/>
      <c r="G5511"/>
      <c r="H5511"/>
      <c r="I5511"/>
      <c r="J5511"/>
      <c r="K5511"/>
    </row>
    <row r="5512" spans="1:11">
      <c r="A5512"/>
      <c r="B5512"/>
      <c r="C5512"/>
      <c r="D5512"/>
      <c r="E5512"/>
      <c r="F5512"/>
      <c r="G5512"/>
      <c r="H5512"/>
      <c r="I5512"/>
      <c r="J5512"/>
      <c r="K5512"/>
    </row>
    <row r="5513" spans="1:11">
      <c r="A5513"/>
      <c r="B5513"/>
      <c r="C5513"/>
      <c r="D5513"/>
      <c r="E5513"/>
      <c r="F5513"/>
      <c r="G5513"/>
      <c r="H5513"/>
      <c r="I5513"/>
      <c r="J5513"/>
      <c r="K5513"/>
    </row>
    <row r="5514" spans="1:11">
      <c r="A5514"/>
      <c r="B5514"/>
      <c r="C5514"/>
      <c r="D5514"/>
      <c r="E5514"/>
      <c r="F5514"/>
      <c r="G5514"/>
      <c r="H5514"/>
      <c r="I5514"/>
      <c r="J5514"/>
      <c r="K5514"/>
    </row>
    <row r="5515" spans="1:11">
      <c r="A5515"/>
      <c r="B5515"/>
      <c r="C5515"/>
      <c r="D5515"/>
      <c r="E5515"/>
      <c r="F5515"/>
      <c r="G5515"/>
      <c r="H5515"/>
      <c r="I5515"/>
      <c r="J5515"/>
      <c r="K5515"/>
    </row>
    <row r="5516" spans="1:11">
      <c r="A5516"/>
      <c r="B5516"/>
      <c r="C5516"/>
      <c r="D5516"/>
      <c r="E5516"/>
      <c r="F5516"/>
      <c r="G5516"/>
      <c r="H5516"/>
      <c r="I5516"/>
      <c r="J5516"/>
      <c r="K5516"/>
    </row>
    <row r="5517" spans="1:11">
      <c r="A5517"/>
      <c r="B5517"/>
      <c r="C5517"/>
      <c r="D5517"/>
      <c r="E5517"/>
      <c r="F5517"/>
      <c r="G5517"/>
      <c r="H5517"/>
      <c r="I5517"/>
      <c r="J5517"/>
      <c r="K5517"/>
    </row>
    <row r="5518" spans="1:11">
      <c r="A5518"/>
      <c r="B5518"/>
      <c r="C5518"/>
      <c r="D5518"/>
      <c r="E5518"/>
      <c r="F5518"/>
      <c r="G5518"/>
      <c r="H5518"/>
      <c r="I5518"/>
      <c r="J5518"/>
      <c r="K5518"/>
    </row>
    <row r="5519" spans="1:11">
      <c r="A5519"/>
      <c r="B5519"/>
      <c r="C5519"/>
      <c r="D5519"/>
      <c r="E5519"/>
      <c r="F5519"/>
      <c r="G5519"/>
      <c r="H5519"/>
      <c r="I5519"/>
      <c r="J5519"/>
      <c r="K5519"/>
    </row>
    <row r="5520" spans="1:11">
      <c r="A5520"/>
      <c r="B5520"/>
      <c r="C5520"/>
      <c r="D5520"/>
      <c r="E5520"/>
      <c r="F5520"/>
      <c r="G5520"/>
      <c r="H5520"/>
      <c r="I5520"/>
      <c r="J5520"/>
      <c r="K5520"/>
    </row>
    <row r="5521" spans="1:11">
      <c r="A5521"/>
      <c r="B5521"/>
      <c r="C5521"/>
      <c r="D5521"/>
      <c r="E5521"/>
      <c r="F5521"/>
      <c r="G5521"/>
      <c r="H5521"/>
      <c r="I5521"/>
      <c r="J5521"/>
      <c r="K5521"/>
    </row>
    <row r="5522" spans="1:11">
      <c r="A5522"/>
      <c r="B5522"/>
      <c r="C5522"/>
      <c r="D5522"/>
      <c r="E5522"/>
      <c r="F5522"/>
      <c r="G5522"/>
      <c r="H5522"/>
      <c r="I5522"/>
      <c r="J5522"/>
      <c r="K5522"/>
    </row>
    <row r="5523" spans="1:11">
      <c r="A5523"/>
      <c r="B5523"/>
      <c r="C5523"/>
      <c r="D5523"/>
      <c r="E5523"/>
      <c r="F5523"/>
      <c r="G5523"/>
      <c r="H5523"/>
      <c r="I5523"/>
      <c r="J5523"/>
      <c r="K5523"/>
    </row>
    <row r="5524" spans="1:11">
      <c r="A5524"/>
      <c r="B5524"/>
      <c r="C5524"/>
      <c r="D5524"/>
      <c r="E5524"/>
      <c r="F5524"/>
      <c r="G5524"/>
      <c r="H5524"/>
      <c r="I5524"/>
      <c r="J5524"/>
      <c r="K5524"/>
    </row>
    <row r="5525" spans="1:11">
      <c r="A5525"/>
      <c r="B5525"/>
      <c r="C5525"/>
      <c r="D5525"/>
      <c r="E5525"/>
      <c r="F5525"/>
      <c r="G5525"/>
      <c r="H5525"/>
      <c r="I5525"/>
      <c r="J5525"/>
      <c r="K5525"/>
    </row>
    <row r="5526" spans="1:11">
      <c r="A5526"/>
      <c r="B5526"/>
      <c r="C5526"/>
      <c r="D5526"/>
      <c r="E5526"/>
      <c r="F5526"/>
      <c r="G5526"/>
      <c r="H5526"/>
      <c r="I5526"/>
      <c r="J5526"/>
      <c r="K5526"/>
    </row>
    <row r="5527" spans="1:11">
      <c r="A5527"/>
      <c r="B5527"/>
      <c r="C5527"/>
      <c r="D5527"/>
      <c r="E5527"/>
      <c r="F5527"/>
      <c r="G5527"/>
      <c r="H5527"/>
      <c r="I5527"/>
      <c r="J5527"/>
      <c r="K5527"/>
    </row>
    <row r="5528" spans="1:11">
      <c r="A5528"/>
      <c r="B5528"/>
      <c r="C5528"/>
      <c r="D5528"/>
      <c r="E5528"/>
      <c r="F5528"/>
      <c r="G5528"/>
      <c r="H5528"/>
      <c r="I5528"/>
      <c r="J5528"/>
      <c r="K5528"/>
    </row>
    <row r="5529" spans="1:11">
      <c r="A5529"/>
      <c r="B5529"/>
      <c r="C5529"/>
      <c r="D5529"/>
      <c r="E5529"/>
      <c r="F5529"/>
      <c r="G5529"/>
      <c r="H5529"/>
      <c r="I5529"/>
      <c r="J5529"/>
      <c r="K5529"/>
    </row>
    <row r="5530" spans="1:11">
      <c r="A5530"/>
      <c r="B5530"/>
      <c r="C5530"/>
      <c r="D5530"/>
      <c r="E5530"/>
      <c r="F5530"/>
      <c r="G5530"/>
      <c r="H5530"/>
      <c r="I5530"/>
      <c r="J5530"/>
      <c r="K5530"/>
    </row>
    <row r="5531" spans="1:11">
      <c r="A5531"/>
      <c r="B5531"/>
      <c r="C5531"/>
      <c r="D5531"/>
      <c r="E5531"/>
      <c r="F5531"/>
      <c r="G5531"/>
      <c r="H5531"/>
      <c r="I5531"/>
      <c r="J5531"/>
      <c r="K5531"/>
    </row>
    <row r="5532" spans="1:11">
      <c r="A5532"/>
      <c r="B5532"/>
      <c r="C5532"/>
      <c r="D5532"/>
      <c r="E5532"/>
      <c r="F5532"/>
      <c r="G5532"/>
      <c r="H5532"/>
      <c r="I5532"/>
      <c r="J5532"/>
      <c r="K5532"/>
    </row>
    <row r="5533" spans="1:11">
      <c r="A5533"/>
      <c r="B5533"/>
      <c r="C5533"/>
      <c r="D5533"/>
      <c r="E5533"/>
      <c r="F5533"/>
      <c r="G5533"/>
      <c r="H5533"/>
      <c r="I5533"/>
      <c r="J5533"/>
      <c r="K5533"/>
    </row>
    <row r="5534" spans="1:11">
      <c r="A5534"/>
      <c r="B5534"/>
      <c r="C5534"/>
      <c r="D5534"/>
      <c r="E5534"/>
      <c r="F5534"/>
      <c r="G5534"/>
      <c r="H5534"/>
      <c r="I5534"/>
      <c r="J5534"/>
      <c r="K5534"/>
    </row>
    <row r="5535" spans="1:11">
      <c r="A5535"/>
      <c r="B5535"/>
      <c r="C5535"/>
      <c r="D5535"/>
      <c r="E5535"/>
      <c r="F5535"/>
      <c r="G5535"/>
      <c r="H5535"/>
      <c r="I5535"/>
      <c r="J5535"/>
      <c r="K5535"/>
    </row>
    <row r="5536" spans="1:11">
      <c r="A5536"/>
      <c r="B5536"/>
      <c r="C5536"/>
      <c r="D5536"/>
      <c r="E5536"/>
      <c r="F5536"/>
      <c r="G5536"/>
      <c r="H5536"/>
      <c r="I5536"/>
      <c r="J5536"/>
      <c r="K5536"/>
    </row>
    <row r="5537" spans="1:11">
      <c r="A5537"/>
      <c r="B5537"/>
      <c r="C5537"/>
      <c r="D5537"/>
      <c r="E5537"/>
      <c r="F5537"/>
      <c r="G5537"/>
      <c r="H5537"/>
      <c r="I5537"/>
      <c r="J5537"/>
      <c r="K5537"/>
    </row>
    <row r="5538" spans="1:11">
      <c r="A5538"/>
      <c r="B5538"/>
      <c r="C5538"/>
      <c r="D5538"/>
      <c r="E5538"/>
      <c r="F5538"/>
      <c r="G5538"/>
      <c r="H5538"/>
      <c r="I5538"/>
      <c r="J5538"/>
      <c r="K5538"/>
    </row>
    <row r="5539" spans="1:11">
      <c r="A5539"/>
      <c r="B5539"/>
      <c r="C5539"/>
      <c r="D5539"/>
      <c r="E5539"/>
      <c r="F5539"/>
      <c r="G5539"/>
      <c r="H5539"/>
      <c r="I5539"/>
      <c r="J5539"/>
      <c r="K5539"/>
    </row>
    <row r="5540" spans="1:11">
      <c r="A5540"/>
      <c r="B5540"/>
      <c r="C5540"/>
      <c r="D5540"/>
      <c r="E5540"/>
      <c r="F5540"/>
      <c r="G5540"/>
      <c r="H5540"/>
      <c r="I5540"/>
      <c r="J5540"/>
      <c r="K5540"/>
    </row>
    <row r="5541" spans="1:11">
      <c r="A5541"/>
      <c r="B5541"/>
      <c r="C5541"/>
      <c r="D5541"/>
      <c r="E5541"/>
      <c r="F5541"/>
      <c r="G5541"/>
      <c r="H5541"/>
      <c r="I5541"/>
      <c r="J5541"/>
      <c r="K5541"/>
    </row>
    <row r="5542" spans="1:11">
      <c r="A5542"/>
      <c r="B5542"/>
      <c r="C5542"/>
      <c r="D5542"/>
      <c r="E5542"/>
      <c r="F5542"/>
      <c r="G5542"/>
      <c r="H5542"/>
      <c r="I5542"/>
      <c r="J5542"/>
      <c r="K5542"/>
    </row>
    <row r="5543" spans="1:11">
      <c r="A5543"/>
      <c r="B5543"/>
      <c r="C5543"/>
      <c r="D5543"/>
      <c r="E5543"/>
      <c r="F5543"/>
      <c r="G5543"/>
      <c r="H5543"/>
      <c r="I5543"/>
      <c r="J5543"/>
      <c r="K5543"/>
    </row>
    <row r="5544" spans="1:11">
      <c r="A5544"/>
      <c r="B5544"/>
      <c r="C5544"/>
      <c r="D5544"/>
      <c r="E5544"/>
      <c r="F5544"/>
      <c r="G5544"/>
      <c r="H5544"/>
      <c r="I5544"/>
      <c r="J5544"/>
      <c r="K5544"/>
    </row>
    <row r="5545" spans="1:11">
      <c r="A5545"/>
      <c r="B5545"/>
      <c r="C5545"/>
      <c r="D5545"/>
      <c r="E5545"/>
      <c r="F5545"/>
      <c r="G5545"/>
      <c r="H5545"/>
      <c r="I5545"/>
      <c r="J5545"/>
      <c r="K5545"/>
    </row>
    <row r="5546" spans="1:11">
      <c r="A5546"/>
      <c r="B5546"/>
      <c r="C5546"/>
      <c r="D5546"/>
      <c r="E5546"/>
      <c r="F5546"/>
      <c r="G5546"/>
      <c r="H5546"/>
      <c r="I5546"/>
      <c r="J5546"/>
      <c r="K5546"/>
    </row>
    <row r="5547" spans="1:11">
      <c r="A5547"/>
      <c r="B5547"/>
      <c r="C5547"/>
      <c r="D5547"/>
      <c r="E5547"/>
      <c r="F5547"/>
      <c r="G5547"/>
      <c r="H5547"/>
      <c r="I5547"/>
      <c r="J5547"/>
      <c r="K5547"/>
    </row>
    <row r="5548" spans="1:11">
      <c r="A5548"/>
      <c r="B5548"/>
      <c r="C5548"/>
      <c r="D5548"/>
      <c r="E5548"/>
      <c r="F5548"/>
      <c r="G5548"/>
      <c r="H5548"/>
      <c r="I5548"/>
      <c r="J5548"/>
      <c r="K5548"/>
    </row>
    <row r="5549" spans="1:11">
      <c r="A5549"/>
      <c r="B5549"/>
      <c r="C5549"/>
      <c r="D5549"/>
      <c r="E5549"/>
      <c r="F5549"/>
      <c r="G5549"/>
      <c r="H5549"/>
      <c r="I5549"/>
      <c r="J5549"/>
      <c r="K5549"/>
    </row>
    <row r="5550" spans="1:11">
      <c r="A5550"/>
      <c r="B5550"/>
      <c r="C5550"/>
      <c r="D5550"/>
      <c r="E5550"/>
      <c r="F5550"/>
      <c r="G5550"/>
      <c r="H5550"/>
      <c r="I5550"/>
      <c r="J5550"/>
      <c r="K5550"/>
    </row>
    <row r="5551" spans="1:11">
      <c r="A5551"/>
      <c r="B5551"/>
      <c r="C5551"/>
      <c r="D5551"/>
      <c r="E5551"/>
      <c r="F5551"/>
      <c r="G5551"/>
      <c r="H5551"/>
      <c r="I5551"/>
      <c r="J5551"/>
      <c r="K5551"/>
    </row>
    <row r="5552" spans="1:11">
      <c r="A5552"/>
      <c r="B5552"/>
      <c r="C5552"/>
      <c r="D5552"/>
      <c r="E5552"/>
      <c r="F5552"/>
      <c r="G5552"/>
      <c r="H5552"/>
      <c r="I5552"/>
      <c r="J5552"/>
      <c r="K5552"/>
    </row>
    <row r="5553" spans="1:11">
      <c r="A5553"/>
      <c r="B5553"/>
      <c r="C5553"/>
      <c r="D5553"/>
      <c r="E5553"/>
      <c r="F5553"/>
      <c r="G5553"/>
      <c r="H5553"/>
      <c r="I5553"/>
      <c r="J5553"/>
      <c r="K5553"/>
    </row>
    <row r="5554" spans="1:11">
      <c r="A5554"/>
      <c r="B5554"/>
      <c r="C5554"/>
      <c r="D5554"/>
      <c r="E5554"/>
      <c r="F5554"/>
      <c r="G5554"/>
      <c r="H5554"/>
      <c r="I5554"/>
      <c r="J5554"/>
      <c r="K5554"/>
    </row>
    <row r="5555" spans="1:11">
      <c r="A5555"/>
      <c r="B5555"/>
      <c r="C5555"/>
      <c r="D5555"/>
      <c r="E5555"/>
      <c r="F5555"/>
      <c r="G5555"/>
      <c r="H5555"/>
      <c r="I5555"/>
      <c r="J5555"/>
      <c r="K5555"/>
    </row>
    <row r="5556" spans="1:11">
      <c r="A5556"/>
      <c r="B5556"/>
      <c r="C5556"/>
      <c r="D5556"/>
      <c r="E5556"/>
      <c r="F5556"/>
      <c r="G5556"/>
      <c r="H5556"/>
      <c r="I5556"/>
      <c r="J5556"/>
      <c r="K5556"/>
    </row>
    <row r="5557" spans="1:11">
      <c r="A5557"/>
      <c r="B5557"/>
      <c r="C5557"/>
      <c r="D5557"/>
      <c r="E5557"/>
      <c r="F5557"/>
      <c r="G5557"/>
      <c r="H5557"/>
      <c r="I5557"/>
      <c r="J5557"/>
      <c r="K5557"/>
    </row>
    <row r="5558" spans="1:11">
      <c r="A5558"/>
      <c r="B5558"/>
      <c r="C5558"/>
      <c r="D5558"/>
      <c r="E5558"/>
      <c r="F5558"/>
      <c r="G5558"/>
      <c r="H5558"/>
      <c r="I5558"/>
      <c r="J5558"/>
      <c r="K5558"/>
    </row>
    <row r="5559" spans="1:11">
      <c r="A5559"/>
      <c r="B5559"/>
      <c r="C5559"/>
      <c r="D5559"/>
      <c r="E5559"/>
      <c r="F5559"/>
      <c r="G5559"/>
      <c r="H5559"/>
      <c r="I5559"/>
      <c r="J5559"/>
      <c r="K5559"/>
    </row>
    <row r="5560" spans="1:11">
      <c r="A5560"/>
      <c r="B5560"/>
      <c r="C5560"/>
      <c r="D5560"/>
      <c r="E5560"/>
      <c r="F5560"/>
      <c r="G5560"/>
      <c r="H5560"/>
      <c r="I5560"/>
      <c r="J5560"/>
      <c r="K5560"/>
    </row>
    <row r="5561" spans="1:11">
      <c r="A5561"/>
      <c r="B5561"/>
      <c r="C5561"/>
      <c r="D5561"/>
      <c r="E5561"/>
      <c r="F5561"/>
      <c r="G5561"/>
      <c r="H5561"/>
      <c r="I5561"/>
      <c r="J5561"/>
      <c r="K5561"/>
    </row>
    <row r="5562" spans="1:11">
      <c r="A5562"/>
      <c r="B5562"/>
      <c r="C5562"/>
      <c r="D5562"/>
      <c r="E5562"/>
      <c r="F5562"/>
      <c r="G5562"/>
      <c r="H5562"/>
      <c r="I5562"/>
      <c r="J5562"/>
      <c r="K5562"/>
    </row>
    <row r="5563" spans="1:11">
      <c r="A5563"/>
      <c r="B5563"/>
      <c r="C5563"/>
      <c r="D5563"/>
      <c r="E5563"/>
      <c r="F5563"/>
      <c r="G5563"/>
      <c r="H5563"/>
      <c r="I5563"/>
      <c r="J5563"/>
      <c r="K5563"/>
    </row>
    <row r="5564" spans="1:11">
      <c r="A5564"/>
      <c r="B5564"/>
      <c r="C5564"/>
      <c r="D5564"/>
      <c r="E5564"/>
      <c r="F5564"/>
      <c r="G5564"/>
      <c r="H5564"/>
      <c r="I5564"/>
      <c r="J5564"/>
      <c r="K5564"/>
    </row>
    <row r="5565" spans="1:11">
      <c r="A5565"/>
      <c r="B5565"/>
      <c r="C5565"/>
      <c r="D5565"/>
      <c r="E5565"/>
      <c r="F5565"/>
      <c r="G5565"/>
      <c r="H5565"/>
      <c r="I5565"/>
      <c r="J5565"/>
      <c r="K5565"/>
    </row>
    <row r="5566" spans="1:11">
      <c r="A5566"/>
      <c r="B5566"/>
      <c r="C5566"/>
      <c r="D5566"/>
      <c r="E5566"/>
      <c r="F5566"/>
      <c r="G5566"/>
      <c r="H5566"/>
      <c r="I5566"/>
      <c r="J5566"/>
      <c r="K5566"/>
    </row>
    <row r="5567" spans="1:11">
      <c r="A5567"/>
      <c r="B5567"/>
      <c r="C5567"/>
      <c r="D5567"/>
      <c r="E5567"/>
      <c r="F5567"/>
      <c r="G5567"/>
      <c r="H5567"/>
      <c r="I5567"/>
      <c r="J5567"/>
      <c r="K5567"/>
    </row>
    <row r="5568" spans="1:11">
      <c r="A5568"/>
      <c r="B5568"/>
      <c r="C5568"/>
      <c r="D5568"/>
      <c r="E5568"/>
      <c r="F5568"/>
      <c r="G5568"/>
      <c r="H5568"/>
      <c r="I5568"/>
      <c r="J5568"/>
      <c r="K5568"/>
    </row>
    <row r="5569" spans="1:11">
      <c r="A5569"/>
      <c r="B5569"/>
      <c r="C5569"/>
      <c r="D5569"/>
      <c r="E5569"/>
      <c r="F5569"/>
      <c r="G5569"/>
      <c r="H5569"/>
      <c r="I5569"/>
      <c r="J5569"/>
      <c r="K5569"/>
    </row>
    <row r="5570" spans="1:11">
      <c r="A5570"/>
      <c r="B5570"/>
      <c r="C5570"/>
      <c r="D5570"/>
      <c r="E5570"/>
      <c r="F5570"/>
      <c r="G5570"/>
      <c r="H5570"/>
      <c r="I5570"/>
      <c r="J5570"/>
      <c r="K5570"/>
    </row>
    <row r="5571" spans="1:11">
      <c r="A5571"/>
      <c r="B5571"/>
      <c r="C5571"/>
      <c r="D5571"/>
      <c r="E5571"/>
      <c r="F5571"/>
      <c r="G5571"/>
      <c r="H5571"/>
      <c r="I5571"/>
      <c r="J5571"/>
      <c r="K5571"/>
    </row>
    <row r="5572" spans="1:11">
      <c r="A5572"/>
      <c r="B5572"/>
      <c r="C5572"/>
      <c r="D5572"/>
      <c r="E5572"/>
      <c r="F5572"/>
      <c r="G5572"/>
      <c r="H5572"/>
      <c r="I5572"/>
      <c r="J5572"/>
      <c r="K5572"/>
    </row>
    <row r="5573" spans="1:11">
      <c r="A5573"/>
      <c r="B5573"/>
      <c r="C5573"/>
      <c r="D5573"/>
      <c r="E5573"/>
      <c r="F5573"/>
      <c r="G5573"/>
      <c r="H5573"/>
      <c r="I5573"/>
      <c r="J5573"/>
      <c r="K5573"/>
    </row>
    <row r="5574" spans="1:11">
      <c r="A5574"/>
      <c r="B5574"/>
      <c r="C5574"/>
      <c r="D5574"/>
      <c r="E5574"/>
      <c r="F5574"/>
      <c r="G5574"/>
      <c r="H5574"/>
      <c r="I5574"/>
      <c r="J5574"/>
      <c r="K5574"/>
    </row>
    <row r="5575" spans="1:11">
      <c r="A5575"/>
      <c r="B5575"/>
      <c r="C5575"/>
      <c r="D5575"/>
      <c r="E5575"/>
      <c r="F5575"/>
      <c r="G5575"/>
      <c r="H5575"/>
      <c r="I5575"/>
      <c r="J5575"/>
      <c r="K5575"/>
    </row>
    <row r="5576" spans="1:11">
      <c r="A5576"/>
      <c r="B5576"/>
      <c r="C5576"/>
      <c r="D5576"/>
      <c r="E5576"/>
      <c r="F5576"/>
      <c r="G5576"/>
      <c r="H5576"/>
      <c r="I5576"/>
      <c r="J5576"/>
      <c r="K5576"/>
    </row>
    <row r="5577" spans="1:11">
      <c r="A5577"/>
      <c r="B5577"/>
      <c r="C5577"/>
      <c r="D5577"/>
      <c r="E5577"/>
      <c r="F5577"/>
      <c r="G5577"/>
      <c r="H5577"/>
      <c r="I5577"/>
      <c r="J5577"/>
      <c r="K5577"/>
    </row>
    <row r="5578" spans="1:11">
      <c r="A5578"/>
      <c r="B5578"/>
      <c r="C5578"/>
      <c r="D5578"/>
      <c r="E5578"/>
      <c r="F5578"/>
      <c r="G5578"/>
      <c r="H5578"/>
      <c r="I5578"/>
      <c r="J5578"/>
      <c r="K5578"/>
    </row>
    <row r="5579" spans="1:11">
      <c r="A5579"/>
      <c r="B5579"/>
      <c r="C5579"/>
      <c r="D5579"/>
      <c r="E5579"/>
      <c r="F5579"/>
      <c r="G5579"/>
      <c r="H5579"/>
      <c r="I5579"/>
      <c r="J5579"/>
      <c r="K5579"/>
    </row>
    <row r="5580" spans="1:11">
      <c r="A5580"/>
      <c r="B5580"/>
      <c r="C5580"/>
      <c r="D5580"/>
      <c r="E5580"/>
      <c r="F5580"/>
      <c r="G5580"/>
      <c r="H5580"/>
      <c r="I5580"/>
      <c r="J5580"/>
      <c r="K5580"/>
    </row>
    <row r="5581" spans="1:11">
      <c r="A5581"/>
      <c r="B5581"/>
      <c r="C5581"/>
      <c r="D5581"/>
      <c r="E5581"/>
      <c r="F5581"/>
      <c r="G5581"/>
      <c r="H5581"/>
      <c r="I5581"/>
      <c r="J5581"/>
      <c r="K5581"/>
    </row>
    <row r="5582" spans="1:11">
      <c r="A5582"/>
      <c r="B5582"/>
      <c r="C5582"/>
      <c r="D5582"/>
      <c r="E5582"/>
      <c r="F5582"/>
      <c r="G5582"/>
      <c r="H5582"/>
      <c r="I5582"/>
      <c r="J5582"/>
      <c r="K5582"/>
    </row>
    <row r="5583" spans="1:11">
      <c r="A5583"/>
      <c r="B5583"/>
      <c r="C5583"/>
      <c r="D5583"/>
      <c r="E5583"/>
      <c r="F5583"/>
      <c r="G5583"/>
      <c r="H5583"/>
      <c r="I5583"/>
      <c r="J5583"/>
      <c r="K5583"/>
    </row>
    <row r="5584" spans="1:11">
      <c r="A5584"/>
      <c r="B5584"/>
      <c r="C5584"/>
      <c r="D5584"/>
      <c r="E5584"/>
      <c r="F5584"/>
      <c r="G5584"/>
      <c r="H5584"/>
      <c r="I5584"/>
      <c r="J5584"/>
      <c r="K5584"/>
    </row>
    <row r="5585" spans="1:11">
      <c r="A5585"/>
      <c r="B5585"/>
      <c r="C5585"/>
      <c r="D5585"/>
      <c r="E5585"/>
      <c r="F5585"/>
      <c r="G5585"/>
      <c r="H5585"/>
      <c r="I5585"/>
      <c r="J5585"/>
      <c r="K5585"/>
    </row>
    <row r="5586" spans="1:11">
      <c r="A5586"/>
      <c r="B5586"/>
      <c r="C5586"/>
      <c r="D5586"/>
      <c r="E5586"/>
      <c r="F5586"/>
      <c r="G5586"/>
      <c r="H5586"/>
      <c r="I5586"/>
      <c r="J5586"/>
      <c r="K5586"/>
    </row>
    <row r="5587" spans="1:11">
      <c r="A5587"/>
      <c r="B5587"/>
      <c r="C5587"/>
      <c r="D5587"/>
      <c r="E5587"/>
      <c r="F5587"/>
      <c r="G5587"/>
      <c r="H5587"/>
      <c r="I5587"/>
      <c r="J5587"/>
      <c r="K5587"/>
    </row>
    <row r="5588" spans="1:11">
      <c r="A5588"/>
      <c r="B5588"/>
      <c r="C5588"/>
      <c r="D5588"/>
      <c r="E5588"/>
      <c r="F5588"/>
      <c r="G5588"/>
      <c r="H5588"/>
      <c r="I5588"/>
      <c r="J5588"/>
      <c r="K5588"/>
    </row>
    <row r="5589" spans="1:11">
      <c r="A5589"/>
      <c r="B5589"/>
      <c r="C5589"/>
      <c r="D5589"/>
      <c r="E5589"/>
      <c r="F5589"/>
      <c r="G5589"/>
      <c r="H5589"/>
      <c r="I5589"/>
      <c r="J5589"/>
      <c r="K5589"/>
    </row>
    <row r="5590" spans="1:11">
      <c r="A5590"/>
      <c r="B5590"/>
      <c r="C5590"/>
      <c r="D5590"/>
      <c r="E5590"/>
      <c r="F5590"/>
      <c r="G5590"/>
      <c r="H5590"/>
      <c r="I5590"/>
      <c r="J5590"/>
      <c r="K5590"/>
    </row>
    <row r="5591" spans="1:11">
      <c r="A5591"/>
      <c r="B5591"/>
      <c r="C5591"/>
      <c r="D5591"/>
      <c r="E5591"/>
      <c r="F5591"/>
      <c r="G5591"/>
      <c r="H5591"/>
      <c r="I5591"/>
      <c r="J5591"/>
      <c r="K5591"/>
    </row>
    <row r="5592" spans="1:11">
      <c r="A5592"/>
      <c r="B5592"/>
      <c r="C5592"/>
      <c r="D5592"/>
      <c r="E5592"/>
      <c r="F5592"/>
      <c r="G5592"/>
      <c r="H5592"/>
      <c r="I5592"/>
      <c r="J5592"/>
      <c r="K5592"/>
    </row>
    <row r="5593" spans="1:11">
      <c r="A5593"/>
      <c r="B5593"/>
      <c r="C5593"/>
      <c r="D5593"/>
      <c r="E5593"/>
      <c r="F5593"/>
      <c r="G5593"/>
      <c r="H5593"/>
      <c r="I5593"/>
      <c r="J5593"/>
      <c r="K5593"/>
    </row>
    <row r="5594" spans="1:11">
      <c r="A5594"/>
      <c r="B5594"/>
      <c r="C5594"/>
      <c r="D5594"/>
      <c r="E5594"/>
      <c r="F5594"/>
      <c r="G5594"/>
      <c r="H5594"/>
      <c r="I5594"/>
      <c r="J5594"/>
      <c r="K5594"/>
    </row>
    <row r="5595" spans="1:11">
      <c r="A5595"/>
      <c r="B5595"/>
      <c r="C5595"/>
      <c r="D5595"/>
      <c r="E5595"/>
      <c r="F5595"/>
      <c r="G5595"/>
      <c r="H5595"/>
      <c r="I5595"/>
      <c r="J5595"/>
      <c r="K5595"/>
    </row>
    <row r="5596" spans="1:11">
      <c r="A5596"/>
      <c r="B5596"/>
      <c r="C5596"/>
      <c r="D5596"/>
      <c r="E5596"/>
      <c r="F5596"/>
      <c r="G5596"/>
      <c r="H5596"/>
      <c r="I5596"/>
      <c r="J5596"/>
      <c r="K5596"/>
    </row>
    <row r="5597" spans="1:11">
      <c r="A5597"/>
      <c r="B5597"/>
      <c r="C5597"/>
      <c r="D5597"/>
      <c r="E5597"/>
      <c r="F5597"/>
      <c r="G5597"/>
      <c r="H5597"/>
      <c r="I5597"/>
      <c r="J5597"/>
      <c r="K5597"/>
    </row>
    <row r="5598" spans="1:11">
      <c r="A5598"/>
      <c r="B5598"/>
      <c r="C5598"/>
      <c r="D5598"/>
      <c r="E5598"/>
      <c r="F5598"/>
      <c r="G5598"/>
      <c r="H5598"/>
      <c r="I5598"/>
      <c r="J5598"/>
      <c r="K5598"/>
    </row>
    <row r="5599" spans="1:11">
      <c r="A5599"/>
      <c r="B5599"/>
      <c r="C5599"/>
      <c r="D5599"/>
      <c r="E5599"/>
      <c r="F5599"/>
      <c r="G5599"/>
      <c r="H5599"/>
      <c r="I5599"/>
      <c r="J5599"/>
      <c r="K5599"/>
    </row>
    <row r="5600" spans="1:11">
      <c r="A5600"/>
      <c r="B5600"/>
      <c r="C5600"/>
      <c r="D5600"/>
      <c r="E5600"/>
      <c r="F5600"/>
      <c r="G5600"/>
      <c r="H5600"/>
      <c r="I5600"/>
      <c r="J5600"/>
      <c r="K5600"/>
    </row>
    <row r="5601" spans="1:11">
      <c r="A5601"/>
      <c r="B5601"/>
      <c r="C5601"/>
      <c r="D5601"/>
      <c r="E5601"/>
      <c r="F5601"/>
      <c r="G5601"/>
      <c r="H5601"/>
      <c r="I5601"/>
      <c r="J5601"/>
      <c r="K5601"/>
    </row>
    <row r="5602" spans="1:11">
      <c r="A5602"/>
      <c r="B5602"/>
      <c r="C5602"/>
      <c r="D5602"/>
      <c r="E5602"/>
      <c r="F5602"/>
      <c r="G5602"/>
      <c r="H5602"/>
      <c r="I5602"/>
      <c r="J5602"/>
      <c r="K5602"/>
    </row>
    <row r="5603" spans="1:11">
      <c r="A5603"/>
      <c r="B5603"/>
      <c r="C5603"/>
      <c r="D5603"/>
      <c r="E5603"/>
      <c r="F5603"/>
      <c r="G5603"/>
      <c r="H5603"/>
      <c r="I5603"/>
      <c r="J5603"/>
      <c r="K5603"/>
    </row>
    <row r="5604" spans="1:11">
      <c r="A5604"/>
      <c r="B5604"/>
      <c r="C5604"/>
      <c r="D5604"/>
      <c r="E5604"/>
      <c r="F5604"/>
      <c r="G5604"/>
      <c r="H5604"/>
      <c r="I5604"/>
      <c r="J5604"/>
      <c r="K5604"/>
    </row>
    <row r="5605" spans="1:11">
      <c r="A5605"/>
      <c r="B5605"/>
      <c r="C5605"/>
      <c r="D5605"/>
      <c r="E5605"/>
      <c r="F5605"/>
      <c r="G5605"/>
      <c r="H5605"/>
      <c r="I5605"/>
      <c r="J5605"/>
      <c r="K5605"/>
    </row>
    <row r="5606" spans="1:11">
      <c r="A5606"/>
      <c r="B5606"/>
      <c r="C5606"/>
      <c r="D5606"/>
      <c r="E5606"/>
      <c r="F5606"/>
      <c r="G5606"/>
      <c r="H5606"/>
      <c r="I5606"/>
      <c r="J5606"/>
      <c r="K5606"/>
    </row>
    <row r="5607" spans="1:11">
      <c r="A5607"/>
      <c r="B5607"/>
      <c r="C5607"/>
      <c r="D5607"/>
      <c r="E5607"/>
      <c r="F5607"/>
      <c r="G5607"/>
      <c r="H5607"/>
      <c r="I5607"/>
      <c r="J5607"/>
      <c r="K5607"/>
    </row>
    <row r="5608" spans="1:11">
      <c r="A5608"/>
      <c r="B5608"/>
      <c r="C5608"/>
      <c r="D5608"/>
      <c r="E5608"/>
      <c r="F5608"/>
      <c r="G5608"/>
      <c r="H5608"/>
      <c r="I5608"/>
      <c r="J5608"/>
      <c r="K5608"/>
    </row>
    <row r="5609" spans="1:11">
      <c r="A5609"/>
      <c r="B5609"/>
      <c r="C5609"/>
      <c r="D5609"/>
      <c r="E5609"/>
      <c r="F5609"/>
      <c r="G5609"/>
      <c r="H5609"/>
      <c r="I5609"/>
      <c r="J5609"/>
      <c r="K5609"/>
    </row>
    <row r="5610" spans="1:11">
      <c r="A5610"/>
      <c r="B5610"/>
      <c r="C5610"/>
      <c r="D5610"/>
      <c r="E5610"/>
      <c r="F5610"/>
      <c r="G5610"/>
      <c r="H5610"/>
      <c r="I5610"/>
      <c r="J5610"/>
      <c r="K5610"/>
    </row>
    <row r="5611" spans="1:11">
      <c r="A5611"/>
      <c r="B5611"/>
      <c r="C5611"/>
      <c r="D5611"/>
      <c r="E5611"/>
      <c r="F5611"/>
      <c r="G5611"/>
      <c r="H5611"/>
      <c r="I5611"/>
      <c r="J5611"/>
      <c r="K5611"/>
    </row>
    <row r="5612" spans="1:11">
      <c r="A5612"/>
      <c r="B5612"/>
      <c r="C5612"/>
      <c r="D5612"/>
      <c r="E5612"/>
      <c r="F5612"/>
      <c r="G5612"/>
      <c r="H5612"/>
      <c r="I5612"/>
      <c r="J5612"/>
      <c r="K5612"/>
    </row>
    <row r="5613" spans="1:11">
      <c r="A5613"/>
      <c r="B5613"/>
      <c r="C5613"/>
      <c r="D5613"/>
      <c r="E5613"/>
      <c r="F5613"/>
      <c r="G5613"/>
      <c r="H5613"/>
      <c r="I5613"/>
      <c r="J5613"/>
      <c r="K5613"/>
    </row>
    <row r="5614" spans="1:11">
      <c r="A5614"/>
      <c r="B5614"/>
      <c r="C5614"/>
      <c r="D5614"/>
      <c r="E5614"/>
      <c r="F5614"/>
      <c r="G5614"/>
      <c r="H5614"/>
      <c r="I5614"/>
      <c r="J5614"/>
      <c r="K5614"/>
    </row>
    <row r="5615" spans="1:11">
      <c r="A5615"/>
      <c r="B5615"/>
      <c r="C5615"/>
      <c r="D5615"/>
      <c r="E5615"/>
      <c r="F5615"/>
      <c r="G5615"/>
      <c r="H5615"/>
      <c r="I5615"/>
      <c r="J5615"/>
      <c r="K5615"/>
    </row>
    <row r="5616" spans="1:11">
      <c r="A5616"/>
      <c r="B5616"/>
      <c r="C5616"/>
      <c r="D5616"/>
      <c r="E5616"/>
      <c r="F5616"/>
      <c r="G5616"/>
      <c r="H5616"/>
      <c r="I5616"/>
      <c r="J5616"/>
      <c r="K5616"/>
    </row>
    <row r="5617" spans="1:11">
      <c r="A5617"/>
      <c r="B5617"/>
      <c r="C5617"/>
      <c r="D5617"/>
      <c r="E5617"/>
      <c r="F5617"/>
      <c r="G5617"/>
      <c r="H5617"/>
      <c r="I5617"/>
      <c r="J5617"/>
      <c r="K5617"/>
    </row>
    <row r="5618" spans="1:11">
      <c r="A5618"/>
      <c r="B5618"/>
      <c r="C5618"/>
      <c r="D5618"/>
      <c r="E5618"/>
      <c r="F5618"/>
      <c r="G5618"/>
      <c r="H5618"/>
      <c r="I5618"/>
      <c r="J5618"/>
      <c r="K5618"/>
    </row>
    <row r="5619" spans="1:11">
      <c r="A5619"/>
      <c r="B5619"/>
      <c r="C5619"/>
      <c r="D5619"/>
      <c r="E5619"/>
      <c r="F5619"/>
      <c r="G5619"/>
      <c r="H5619"/>
      <c r="I5619"/>
      <c r="J5619"/>
      <c r="K5619"/>
    </row>
    <row r="5620" spans="1:11">
      <c r="A5620"/>
      <c r="B5620"/>
      <c r="C5620"/>
      <c r="D5620"/>
      <c r="E5620"/>
      <c r="F5620"/>
      <c r="G5620"/>
      <c r="H5620"/>
      <c r="I5620"/>
      <c r="J5620"/>
      <c r="K5620"/>
    </row>
    <row r="5621" spans="1:11">
      <c r="A5621"/>
      <c r="B5621"/>
      <c r="C5621"/>
      <c r="D5621"/>
      <c r="E5621"/>
      <c r="F5621"/>
      <c r="G5621"/>
      <c r="H5621"/>
      <c r="I5621"/>
      <c r="J5621"/>
      <c r="K5621"/>
    </row>
    <row r="5622" spans="1:11">
      <c r="A5622"/>
      <c r="B5622"/>
      <c r="C5622"/>
      <c r="D5622"/>
      <c r="E5622"/>
      <c r="F5622"/>
      <c r="G5622"/>
      <c r="H5622"/>
      <c r="I5622"/>
      <c r="J5622"/>
      <c r="K5622"/>
    </row>
    <row r="5623" spans="1:11">
      <c r="A5623"/>
      <c r="B5623"/>
      <c r="C5623"/>
      <c r="D5623"/>
      <c r="E5623"/>
      <c r="F5623"/>
      <c r="G5623"/>
      <c r="H5623"/>
      <c r="I5623"/>
      <c r="J5623"/>
      <c r="K5623"/>
    </row>
    <row r="5624" spans="1:11">
      <c r="A5624"/>
      <c r="B5624"/>
      <c r="C5624"/>
      <c r="D5624"/>
      <c r="E5624"/>
      <c r="F5624"/>
      <c r="G5624"/>
      <c r="H5624"/>
      <c r="I5624"/>
      <c r="J5624"/>
      <c r="K5624"/>
    </row>
    <row r="5625" spans="1:11">
      <c r="A5625"/>
      <c r="B5625"/>
      <c r="C5625"/>
      <c r="D5625"/>
      <c r="E5625"/>
      <c r="F5625"/>
      <c r="G5625"/>
      <c r="H5625"/>
      <c r="I5625"/>
      <c r="J5625"/>
      <c r="K5625"/>
    </row>
    <row r="5626" spans="1:11">
      <c r="A5626"/>
      <c r="B5626"/>
      <c r="C5626"/>
      <c r="D5626"/>
      <c r="E5626"/>
      <c r="F5626"/>
      <c r="G5626"/>
      <c r="H5626"/>
      <c r="I5626"/>
      <c r="J5626"/>
      <c r="K5626"/>
    </row>
    <row r="5627" spans="1:11">
      <c r="A5627"/>
      <c r="B5627"/>
      <c r="C5627"/>
      <c r="D5627"/>
      <c r="E5627"/>
      <c r="F5627"/>
      <c r="G5627"/>
      <c r="H5627"/>
      <c r="I5627"/>
      <c r="J5627"/>
      <c r="K5627"/>
    </row>
    <row r="5628" spans="1:11">
      <c r="A5628"/>
      <c r="B5628"/>
      <c r="C5628"/>
      <c r="D5628"/>
      <c r="E5628"/>
      <c r="F5628"/>
      <c r="G5628"/>
      <c r="H5628"/>
      <c r="I5628"/>
      <c r="J5628"/>
      <c r="K5628"/>
    </row>
    <row r="5629" spans="1:11">
      <c r="A5629"/>
      <c r="B5629"/>
      <c r="C5629"/>
      <c r="D5629"/>
      <c r="E5629"/>
      <c r="F5629"/>
      <c r="G5629"/>
      <c r="H5629"/>
      <c r="I5629"/>
      <c r="J5629"/>
      <c r="K5629"/>
    </row>
    <row r="5630" spans="1:11">
      <c r="A5630"/>
      <c r="B5630"/>
      <c r="C5630"/>
      <c r="D5630"/>
      <c r="E5630"/>
      <c r="F5630"/>
      <c r="G5630"/>
      <c r="H5630"/>
      <c r="I5630"/>
      <c r="J5630"/>
      <c r="K5630"/>
    </row>
    <row r="5631" spans="1:11">
      <c r="A5631"/>
      <c r="B5631"/>
      <c r="C5631"/>
      <c r="D5631"/>
      <c r="E5631"/>
      <c r="F5631"/>
      <c r="G5631"/>
      <c r="H5631"/>
      <c r="I5631"/>
      <c r="J5631"/>
      <c r="K5631"/>
    </row>
    <row r="5632" spans="1:11">
      <c r="A5632"/>
      <c r="B5632"/>
      <c r="C5632"/>
      <c r="D5632"/>
      <c r="E5632"/>
      <c r="F5632"/>
      <c r="G5632"/>
      <c r="H5632"/>
      <c r="I5632"/>
      <c r="J5632"/>
      <c r="K5632"/>
    </row>
    <row r="5633" spans="1:11">
      <c r="A5633"/>
      <c r="B5633"/>
      <c r="C5633"/>
      <c r="D5633"/>
      <c r="E5633"/>
      <c r="F5633"/>
      <c r="G5633"/>
      <c r="H5633"/>
      <c r="I5633"/>
      <c r="J5633"/>
      <c r="K5633"/>
    </row>
    <row r="5634" spans="1:11">
      <c r="A5634"/>
      <c r="B5634"/>
      <c r="C5634"/>
      <c r="D5634"/>
      <c r="E5634"/>
      <c r="F5634"/>
      <c r="G5634"/>
      <c r="H5634"/>
      <c r="I5634"/>
      <c r="J5634"/>
      <c r="K5634"/>
    </row>
    <row r="5635" spans="1:11">
      <c r="A5635"/>
      <c r="B5635"/>
      <c r="C5635"/>
      <c r="D5635"/>
      <c r="E5635"/>
      <c r="F5635"/>
      <c r="G5635"/>
      <c r="H5635"/>
      <c r="I5635"/>
      <c r="J5635"/>
      <c r="K5635"/>
    </row>
    <row r="5636" spans="1:11">
      <c r="A5636"/>
      <c r="B5636"/>
      <c r="C5636"/>
      <c r="D5636"/>
      <c r="E5636"/>
      <c r="F5636"/>
      <c r="G5636"/>
      <c r="H5636"/>
      <c r="I5636"/>
      <c r="J5636"/>
      <c r="K5636"/>
    </row>
    <row r="5637" spans="1:11">
      <c r="A5637"/>
      <c r="B5637"/>
      <c r="C5637"/>
      <c r="D5637"/>
      <c r="E5637"/>
      <c r="F5637"/>
      <c r="G5637"/>
      <c r="H5637"/>
      <c r="I5637"/>
      <c r="J5637"/>
      <c r="K5637"/>
    </row>
    <row r="5638" spans="1:11">
      <c r="A5638"/>
      <c r="B5638"/>
      <c r="C5638"/>
      <c r="D5638"/>
      <c r="E5638"/>
      <c r="F5638"/>
      <c r="G5638"/>
      <c r="H5638"/>
      <c r="I5638"/>
      <c r="J5638"/>
      <c r="K5638"/>
    </row>
    <row r="5639" spans="1:11">
      <c r="A5639"/>
      <c r="B5639"/>
      <c r="C5639"/>
      <c r="D5639"/>
      <c r="E5639"/>
      <c r="F5639"/>
      <c r="G5639"/>
      <c r="H5639"/>
      <c r="I5639"/>
      <c r="J5639"/>
      <c r="K5639"/>
    </row>
    <row r="5640" spans="1:11">
      <c r="A5640"/>
      <c r="B5640"/>
      <c r="C5640"/>
      <c r="D5640"/>
      <c r="E5640"/>
      <c r="F5640"/>
      <c r="G5640"/>
      <c r="H5640"/>
      <c r="I5640"/>
      <c r="J5640"/>
      <c r="K5640"/>
    </row>
    <row r="5641" spans="1:11">
      <c r="A5641"/>
      <c r="B5641"/>
      <c r="C5641"/>
      <c r="D5641"/>
      <c r="E5641"/>
      <c r="F5641"/>
      <c r="G5641"/>
      <c r="H5641"/>
      <c r="I5641"/>
      <c r="J5641"/>
      <c r="K5641"/>
    </row>
    <row r="5642" spans="1:11">
      <c r="A5642"/>
      <c r="B5642"/>
      <c r="C5642"/>
      <c r="D5642"/>
      <c r="E5642"/>
      <c r="F5642"/>
      <c r="G5642"/>
      <c r="H5642"/>
      <c r="I5642"/>
      <c r="J5642"/>
      <c r="K5642"/>
    </row>
    <row r="5643" spans="1:11">
      <c r="A5643"/>
      <c r="B5643"/>
      <c r="C5643"/>
      <c r="D5643"/>
      <c r="E5643"/>
      <c r="F5643"/>
      <c r="G5643"/>
      <c r="H5643"/>
      <c r="I5643"/>
      <c r="J5643"/>
      <c r="K5643"/>
    </row>
    <row r="5644" spans="1:11">
      <c r="A5644"/>
      <c r="B5644"/>
      <c r="C5644"/>
      <c r="D5644"/>
      <c r="E5644"/>
      <c r="F5644"/>
      <c r="G5644"/>
      <c r="H5644"/>
      <c r="I5644"/>
      <c r="J5644"/>
      <c r="K5644"/>
    </row>
    <row r="5645" spans="1:11">
      <c r="A5645"/>
      <c r="B5645"/>
      <c r="C5645"/>
      <c r="D5645"/>
      <c r="E5645"/>
      <c r="F5645"/>
      <c r="G5645"/>
      <c r="H5645"/>
      <c r="I5645"/>
      <c r="J5645"/>
      <c r="K5645"/>
    </row>
    <row r="5646" spans="1:11">
      <c r="A5646"/>
      <c r="B5646"/>
      <c r="C5646"/>
      <c r="D5646"/>
      <c r="E5646"/>
      <c r="F5646"/>
      <c r="G5646"/>
      <c r="H5646"/>
      <c r="I5646"/>
      <c r="J5646"/>
      <c r="K5646"/>
    </row>
    <row r="5647" spans="1:11">
      <c r="A5647"/>
      <c r="B5647"/>
      <c r="C5647"/>
      <c r="D5647"/>
      <c r="E5647"/>
      <c r="F5647"/>
      <c r="G5647"/>
      <c r="H5647"/>
      <c r="I5647"/>
      <c r="J5647"/>
      <c r="K5647"/>
    </row>
    <row r="5648" spans="1:11">
      <c r="A5648"/>
      <c r="B5648"/>
      <c r="C5648"/>
      <c r="D5648"/>
      <c r="E5648"/>
      <c r="F5648"/>
      <c r="G5648"/>
      <c r="H5648"/>
      <c r="I5648"/>
      <c r="J5648"/>
      <c r="K5648"/>
    </row>
    <row r="5649" spans="1:11">
      <c r="A5649"/>
      <c r="B5649"/>
      <c r="C5649"/>
      <c r="D5649"/>
      <c r="E5649"/>
      <c r="F5649"/>
      <c r="G5649"/>
      <c r="H5649"/>
      <c r="I5649"/>
      <c r="J5649"/>
      <c r="K5649"/>
    </row>
    <row r="5650" spans="1:11">
      <c r="A5650"/>
      <c r="B5650"/>
      <c r="C5650"/>
      <c r="D5650"/>
      <c r="E5650"/>
      <c r="F5650"/>
      <c r="G5650"/>
      <c r="H5650"/>
      <c r="I5650"/>
      <c r="J5650"/>
      <c r="K5650"/>
    </row>
    <row r="5651" spans="1:11">
      <c r="A5651"/>
      <c r="B5651"/>
      <c r="C5651"/>
      <c r="D5651"/>
      <c r="E5651"/>
      <c r="F5651"/>
      <c r="G5651"/>
      <c r="H5651"/>
      <c r="I5651"/>
      <c r="J5651"/>
      <c r="K5651"/>
    </row>
    <row r="5652" spans="1:11">
      <c r="A5652"/>
      <c r="B5652"/>
      <c r="C5652"/>
      <c r="D5652"/>
      <c r="E5652"/>
      <c r="F5652"/>
      <c r="G5652"/>
      <c r="H5652"/>
      <c r="I5652"/>
      <c r="J5652"/>
      <c r="K5652"/>
    </row>
    <row r="5653" spans="1:11">
      <c r="A5653"/>
      <c r="B5653"/>
      <c r="C5653"/>
      <c r="D5653"/>
      <c r="E5653"/>
      <c r="F5653"/>
      <c r="G5653"/>
      <c r="H5653"/>
      <c r="I5653"/>
      <c r="J5653"/>
      <c r="K5653"/>
    </row>
    <row r="5654" spans="1:11">
      <c r="A5654"/>
      <c r="B5654"/>
      <c r="C5654"/>
      <c r="D5654"/>
      <c r="E5654"/>
      <c r="F5654"/>
      <c r="G5654"/>
      <c r="H5654"/>
      <c r="I5654"/>
      <c r="J5654"/>
      <c r="K5654"/>
    </row>
    <row r="5655" spans="1:11">
      <c r="A5655"/>
      <c r="B5655"/>
      <c r="C5655"/>
      <c r="D5655"/>
      <c r="E5655"/>
      <c r="F5655"/>
      <c r="G5655"/>
      <c r="H5655"/>
      <c r="I5655"/>
      <c r="J5655"/>
      <c r="K5655"/>
    </row>
    <row r="5656" spans="1:11">
      <c r="A5656"/>
      <c r="B5656"/>
      <c r="C5656"/>
      <c r="D5656"/>
      <c r="E5656"/>
      <c r="F5656"/>
      <c r="G5656"/>
      <c r="H5656"/>
      <c r="I5656"/>
      <c r="J5656"/>
      <c r="K5656"/>
    </row>
    <row r="5657" spans="1:11">
      <c r="A5657"/>
      <c r="B5657"/>
      <c r="C5657"/>
      <c r="D5657"/>
      <c r="E5657"/>
      <c r="F5657"/>
      <c r="G5657"/>
      <c r="H5657"/>
      <c r="I5657"/>
      <c r="J5657"/>
      <c r="K5657"/>
    </row>
    <row r="5658" spans="1:11">
      <c r="A5658"/>
      <c r="B5658"/>
      <c r="C5658"/>
      <c r="D5658"/>
      <c r="E5658"/>
      <c r="F5658"/>
      <c r="G5658"/>
      <c r="H5658"/>
      <c r="I5658"/>
      <c r="J5658"/>
      <c r="K5658"/>
    </row>
    <row r="5659" spans="1:11">
      <c r="A5659"/>
      <c r="B5659"/>
      <c r="C5659"/>
      <c r="D5659"/>
      <c r="E5659"/>
      <c r="F5659"/>
      <c r="G5659"/>
      <c r="H5659"/>
      <c r="I5659"/>
      <c r="J5659"/>
      <c r="K5659"/>
    </row>
    <row r="5660" spans="1:11">
      <c r="A5660"/>
      <c r="B5660"/>
      <c r="C5660"/>
      <c r="D5660"/>
      <c r="E5660"/>
      <c r="F5660"/>
      <c r="G5660"/>
      <c r="H5660"/>
      <c r="I5660"/>
      <c r="J5660"/>
      <c r="K5660"/>
    </row>
    <row r="5661" spans="1:11">
      <c r="A5661"/>
      <c r="B5661"/>
      <c r="C5661"/>
      <c r="D5661"/>
      <c r="E5661"/>
      <c r="F5661"/>
      <c r="G5661"/>
      <c r="H5661"/>
      <c r="I5661"/>
      <c r="J5661"/>
      <c r="K5661"/>
    </row>
    <row r="5662" spans="1:11">
      <c r="A5662"/>
      <c r="B5662"/>
      <c r="C5662"/>
      <c r="D5662"/>
      <c r="E5662"/>
      <c r="F5662"/>
      <c r="G5662"/>
      <c r="H5662"/>
      <c r="I5662"/>
      <c r="J5662"/>
      <c r="K5662"/>
    </row>
    <row r="5663" spans="1:11">
      <c r="A5663"/>
      <c r="B5663"/>
      <c r="C5663"/>
      <c r="D5663"/>
      <c r="E5663"/>
      <c r="F5663"/>
      <c r="G5663"/>
      <c r="H5663"/>
      <c r="I5663"/>
      <c r="J5663"/>
      <c r="K5663"/>
    </row>
    <row r="5664" spans="1:11">
      <c r="A5664"/>
      <c r="B5664"/>
      <c r="C5664"/>
      <c r="D5664"/>
      <c r="E5664"/>
      <c r="F5664"/>
      <c r="G5664"/>
      <c r="H5664"/>
      <c r="I5664"/>
      <c r="J5664"/>
      <c r="K5664"/>
    </row>
    <row r="5665" spans="1:11">
      <c r="A5665"/>
      <c r="B5665"/>
      <c r="C5665"/>
      <c r="D5665"/>
      <c r="E5665"/>
      <c r="F5665"/>
      <c r="G5665"/>
      <c r="H5665"/>
      <c r="I5665"/>
      <c r="J5665"/>
      <c r="K5665"/>
    </row>
    <row r="5666" spans="1:11">
      <c r="A5666"/>
      <c r="B5666"/>
      <c r="C5666"/>
      <c r="D5666"/>
      <c r="E5666"/>
      <c r="F5666"/>
      <c r="G5666"/>
      <c r="H5666"/>
      <c r="I5666"/>
      <c r="J5666"/>
      <c r="K5666"/>
    </row>
    <row r="5667" spans="1:11">
      <c r="A5667"/>
      <c r="B5667"/>
      <c r="C5667"/>
      <c r="D5667"/>
      <c r="E5667"/>
      <c r="F5667"/>
      <c r="G5667"/>
      <c r="H5667"/>
      <c r="I5667"/>
      <c r="J5667"/>
      <c r="K5667"/>
    </row>
    <row r="5668" spans="1:11">
      <c r="A5668"/>
      <c r="B5668"/>
      <c r="C5668"/>
      <c r="D5668"/>
      <c r="E5668"/>
      <c r="F5668"/>
      <c r="G5668"/>
      <c r="H5668"/>
      <c r="I5668"/>
      <c r="J5668"/>
      <c r="K5668"/>
    </row>
    <row r="5669" spans="1:11">
      <c r="A5669"/>
      <c r="B5669"/>
      <c r="C5669"/>
      <c r="D5669"/>
      <c r="E5669"/>
      <c r="F5669"/>
      <c r="G5669"/>
      <c r="H5669"/>
      <c r="I5669"/>
      <c r="J5669"/>
      <c r="K5669"/>
    </row>
    <row r="5670" spans="1:11">
      <c r="A5670"/>
      <c r="B5670"/>
      <c r="C5670"/>
      <c r="D5670"/>
      <c r="E5670"/>
      <c r="F5670"/>
      <c r="G5670"/>
      <c r="H5670"/>
      <c r="I5670"/>
      <c r="J5670"/>
      <c r="K5670"/>
    </row>
    <row r="5671" spans="1:11">
      <c r="A5671"/>
      <c r="B5671"/>
      <c r="C5671"/>
      <c r="D5671"/>
      <c r="E5671"/>
      <c r="F5671"/>
      <c r="G5671"/>
      <c r="H5671"/>
      <c r="I5671"/>
      <c r="J5671"/>
      <c r="K5671"/>
    </row>
    <row r="5672" spans="1:11">
      <c r="A5672"/>
      <c r="B5672"/>
      <c r="C5672"/>
      <c r="D5672"/>
      <c r="E5672"/>
      <c r="F5672"/>
      <c r="G5672"/>
      <c r="H5672"/>
      <c r="I5672"/>
      <c r="J5672"/>
      <c r="K5672"/>
    </row>
    <row r="5673" spans="1:11">
      <c r="A5673"/>
      <c r="B5673"/>
      <c r="C5673"/>
      <c r="D5673"/>
      <c r="E5673"/>
      <c r="F5673"/>
      <c r="G5673"/>
      <c r="H5673"/>
      <c r="I5673"/>
      <c r="J5673"/>
      <c r="K5673"/>
    </row>
    <row r="5674" spans="1:11">
      <c r="A5674"/>
      <c r="B5674"/>
      <c r="C5674"/>
      <c r="D5674"/>
      <c r="E5674"/>
      <c r="F5674"/>
      <c r="G5674"/>
      <c r="H5674"/>
      <c r="I5674"/>
      <c r="J5674"/>
      <c r="K5674"/>
    </row>
    <row r="5675" spans="1:11">
      <c r="A5675"/>
      <c r="B5675"/>
      <c r="C5675"/>
      <c r="D5675"/>
      <c r="E5675"/>
      <c r="F5675"/>
      <c r="G5675"/>
      <c r="H5675"/>
      <c r="I5675"/>
      <c r="J5675"/>
      <c r="K5675"/>
    </row>
    <row r="5676" spans="1:11">
      <c r="A5676"/>
      <c r="B5676"/>
      <c r="C5676"/>
      <c r="D5676"/>
      <c r="E5676"/>
      <c r="F5676"/>
      <c r="G5676"/>
      <c r="H5676"/>
      <c r="I5676"/>
      <c r="J5676"/>
      <c r="K5676"/>
    </row>
    <row r="5677" spans="1:11">
      <c r="A5677"/>
      <c r="B5677"/>
      <c r="C5677"/>
      <c r="D5677"/>
      <c r="E5677"/>
      <c r="F5677"/>
      <c r="G5677"/>
      <c r="H5677"/>
      <c r="I5677"/>
      <c r="J5677"/>
      <c r="K5677"/>
    </row>
    <row r="5678" spans="1:11">
      <c r="A5678"/>
      <c r="B5678"/>
      <c r="C5678"/>
      <c r="D5678"/>
      <c r="E5678"/>
      <c r="F5678"/>
      <c r="G5678"/>
      <c r="H5678"/>
      <c r="I5678"/>
      <c r="J5678"/>
      <c r="K5678"/>
    </row>
    <row r="5679" spans="1:11">
      <c r="A5679"/>
      <c r="B5679"/>
      <c r="C5679"/>
      <c r="D5679"/>
      <c r="E5679"/>
      <c r="F5679"/>
      <c r="G5679"/>
      <c r="H5679"/>
      <c r="I5679"/>
      <c r="J5679"/>
      <c r="K5679"/>
    </row>
    <row r="5680" spans="1:11">
      <c r="A5680"/>
      <c r="B5680"/>
      <c r="C5680"/>
      <c r="D5680"/>
      <c r="E5680"/>
      <c r="F5680"/>
      <c r="G5680"/>
      <c r="H5680"/>
      <c r="I5680"/>
      <c r="J5680"/>
      <c r="K5680"/>
    </row>
    <row r="5681" spans="1:11">
      <c r="A5681"/>
      <c r="B5681"/>
      <c r="C5681"/>
      <c r="D5681"/>
      <c r="E5681"/>
      <c r="F5681"/>
      <c r="G5681"/>
      <c r="H5681"/>
      <c r="I5681"/>
      <c r="J5681"/>
      <c r="K5681"/>
    </row>
    <row r="5682" spans="1:11">
      <c r="A5682"/>
      <c r="B5682"/>
      <c r="C5682"/>
      <c r="D5682"/>
      <c r="E5682"/>
      <c r="F5682"/>
      <c r="G5682"/>
      <c r="H5682"/>
      <c r="I5682"/>
      <c r="J5682"/>
      <c r="K5682"/>
    </row>
    <row r="5683" spans="1:11">
      <c r="A5683"/>
      <c r="B5683"/>
      <c r="C5683"/>
      <c r="D5683"/>
      <c r="E5683"/>
      <c r="F5683"/>
      <c r="G5683"/>
      <c r="H5683"/>
      <c r="I5683"/>
      <c r="J5683"/>
      <c r="K5683"/>
    </row>
    <row r="5684" spans="1:11">
      <c r="A5684"/>
      <c r="B5684"/>
      <c r="C5684"/>
      <c r="D5684"/>
      <c r="E5684"/>
      <c r="F5684"/>
      <c r="G5684"/>
      <c r="H5684"/>
      <c r="I5684"/>
      <c r="J5684"/>
      <c r="K5684"/>
    </row>
    <row r="5685" spans="1:11">
      <c r="A5685"/>
      <c r="B5685"/>
      <c r="C5685"/>
      <c r="D5685"/>
      <c r="E5685"/>
      <c r="F5685"/>
      <c r="G5685"/>
      <c r="H5685"/>
      <c r="I5685"/>
      <c r="J5685"/>
      <c r="K5685"/>
    </row>
    <row r="5686" spans="1:11">
      <c r="A5686"/>
      <c r="B5686"/>
      <c r="C5686"/>
      <c r="D5686"/>
      <c r="E5686"/>
      <c r="F5686"/>
      <c r="G5686"/>
      <c r="H5686"/>
      <c r="I5686"/>
      <c r="J5686"/>
      <c r="K5686"/>
    </row>
    <row r="5687" spans="1:11">
      <c r="A5687"/>
      <c r="B5687"/>
      <c r="C5687"/>
      <c r="D5687"/>
      <c r="E5687"/>
      <c r="F5687"/>
      <c r="G5687"/>
      <c r="H5687"/>
      <c r="I5687"/>
      <c r="J5687"/>
      <c r="K5687"/>
    </row>
    <row r="5688" spans="1:11">
      <c r="A5688"/>
      <c r="B5688"/>
      <c r="C5688"/>
      <c r="D5688"/>
      <c r="E5688"/>
      <c r="F5688"/>
      <c r="G5688"/>
      <c r="H5688"/>
      <c r="I5688"/>
      <c r="J5688"/>
      <c r="K5688"/>
    </row>
    <row r="5689" spans="1:11">
      <c r="A5689"/>
      <c r="B5689"/>
      <c r="C5689"/>
      <c r="D5689"/>
      <c r="E5689"/>
      <c r="F5689"/>
      <c r="G5689"/>
      <c r="H5689"/>
      <c r="I5689"/>
      <c r="J5689"/>
      <c r="K5689"/>
    </row>
    <row r="5690" spans="1:11">
      <c r="A5690"/>
      <c r="B5690"/>
      <c r="C5690"/>
      <c r="D5690"/>
      <c r="E5690"/>
      <c r="F5690"/>
      <c r="G5690"/>
      <c r="H5690"/>
      <c r="I5690"/>
      <c r="J5690"/>
      <c r="K5690"/>
    </row>
    <row r="5691" spans="1:11">
      <c r="A5691"/>
      <c r="B5691"/>
      <c r="C5691"/>
      <c r="D5691"/>
      <c r="E5691"/>
      <c r="F5691"/>
      <c r="G5691"/>
      <c r="H5691"/>
      <c r="I5691"/>
      <c r="J5691"/>
      <c r="K5691"/>
    </row>
    <row r="5692" spans="1:11">
      <c r="A5692"/>
      <c r="B5692"/>
      <c r="C5692"/>
      <c r="D5692"/>
      <c r="E5692"/>
      <c r="F5692"/>
      <c r="G5692"/>
      <c r="H5692"/>
      <c r="I5692"/>
      <c r="J5692"/>
      <c r="K5692"/>
    </row>
    <row r="5693" spans="1:11">
      <c r="A5693"/>
      <c r="B5693"/>
      <c r="C5693"/>
      <c r="D5693"/>
      <c r="E5693"/>
      <c r="F5693"/>
      <c r="G5693"/>
      <c r="H5693"/>
      <c r="I5693"/>
      <c r="J5693"/>
      <c r="K5693"/>
    </row>
    <row r="5694" spans="1:11">
      <c r="A5694"/>
      <c r="B5694"/>
      <c r="C5694"/>
      <c r="D5694"/>
      <c r="E5694"/>
      <c r="F5694"/>
      <c r="G5694"/>
      <c r="H5694"/>
      <c r="I5694"/>
      <c r="J5694"/>
      <c r="K5694"/>
    </row>
    <row r="5695" spans="1:11">
      <c r="A5695"/>
      <c r="B5695"/>
      <c r="C5695"/>
      <c r="D5695"/>
      <c r="E5695"/>
      <c r="F5695"/>
      <c r="G5695"/>
      <c r="H5695"/>
      <c r="I5695"/>
      <c r="J5695"/>
      <c r="K5695"/>
    </row>
    <row r="5696" spans="1:11">
      <c r="A5696"/>
      <c r="B5696"/>
      <c r="C5696"/>
      <c r="D5696"/>
      <c r="E5696"/>
      <c r="F5696"/>
      <c r="G5696"/>
      <c r="H5696"/>
      <c r="I5696"/>
      <c r="J5696"/>
      <c r="K5696"/>
    </row>
    <row r="5697" spans="1:11">
      <c r="A5697"/>
      <c r="B5697"/>
      <c r="C5697"/>
      <c r="D5697"/>
      <c r="E5697"/>
      <c r="F5697"/>
      <c r="G5697"/>
      <c r="H5697"/>
      <c r="I5697"/>
      <c r="J5697"/>
      <c r="K5697"/>
    </row>
    <row r="5698" spans="1:11">
      <c r="A5698"/>
      <c r="B5698"/>
      <c r="C5698"/>
      <c r="D5698"/>
      <c r="E5698"/>
      <c r="F5698"/>
      <c r="G5698"/>
      <c r="H5698"/>
      <c r="I5698"/>
      <c r="J5698"/>
      <c r="K5698"/>
    </row>
    <row r="5699" spans="1:11">
      <c r="A5699"/>
      <c r="B5699"/>
      <c r="C5699"/>
      <c r="D5699"/>
      <c r="E5699"/>
      <c r="F5699"/>
      <c r="G5699"/>
      <c r="H5699"/>
      <c r="I5699"/>
      <c r="J5699"/>
      <c r="K5699"/>
    </row>
    <row r="5700" spans="1:11">
      <c r="A5700"/>
      <c r="B5700"/>
      <c r="C5700"/>
      <c r="D5700"/>
      <c r="E5700"/>
      <c r="F5700"/>
      <c r="G5700"/>
      <c r="H5700"/>
      <c r="I5700"/>
      <c r="J5700"/>
      <c r="K5700"/>
    </row>
    <row r="5701" spans="1:11">
      <c r="A5701"/>
      <c r="B5701"/>
      <c r="C5701"/>
      <c r="D5701"/>
      <c r="E5701"/>
      <c r="F5701"/>
      <c r="G5701"/>
      <c r="H5701"/>
      <c r="I5701"/>
      <c r="J5701"/>
      <c r="K5701"/>
    </row>
    <row r="5702" spans="1:11">
      <c r="A5702"/>
      <c r="B5702"/>
      <c r="C5702"/>
      <c r="D5702"/>
      <c r="E5702"/>
      <c r="F5702"/>
      <c r="G5702"/>
      <c r="H5702"/>
      <c r="I5702"/>
      <c r="J5702"/>
      <c r="K5702"/>
    </row>
    <row r="5703" spans="1:11">
      <c r="A5703"/>
      <c r="B5703"/>
      <c r="C5703"/>
      <c r="D5703"/>
      <c r="E5703"/>
      <c r="F5703"/>
      <c r="G5703"/>
      <c r="H5703"/>
      <c r="I5703"/>
      <c r="J5703"/>
      <c r="K5703"/>
    </row>
    <row r="5704" spans="1:11">
      <c r="A5704"/>
      <c r="B5704"/>
      <c r="C5704"/>
      <c r="D5704"/>
      <c r="E5704"/>
      <c r="F5704"/>
      <c r="G5704"/>
      <c r="H5704"/>
      <c r="I5704"/>
      <c r="J5704"/>
      <c r="K5704"/>
    </row>
    <row r="5705" spans="1:11">
      <c r="A5705"/>
      <c r="B5705"/>
      <c r="C5705"/>
      <c r="D5705"/>
      <c r="E5705"/>
      <c r="F5705"/>
      <c r="G5705"/>
      <c r="H5705"/>
      <c r="I5705"/>
      <c r="J5705"/>
      <c r="K5705"/>
    </row>
    <row r="5706" spans="1:11">
      <c r="A5706"/>
      <c r="B5706"/>
      <c r="C5706"/>
      <c r="D5706"/>
      <c r="E5706"/>
      <c r="F5706"/>
      <c r="G5706"/>
      <c r="H5706"/>
      <c r="I5706"/>
      <c r="J5706"/>
      <c r="K5706"/>
    </row>
    <row r="5707" spans="1:11">
      <c r="A5707"/>
      <c r="B5707"/>
      <c r="C5707"/>
      <c r="D5707"/>
      <c r="E5707"/>
      <c r="F5707"/>
      <c r="G5707"/>
      <c r="H5707"/>
      <c r="I5707"/>
      <c r="J5707"/>
      <c r="K5707"/>
    </row>
    <row r="5708" spans="1:11">
      <c r="A5708"/>
      <c r="B5708"/>
      <c r="C5708"/>
      <c r="D5708"/>
      <c r="E5708"/>
      <c r="F5708"/>
      <c r="G5708"/>
      <c r="H5708"/>
      <c r="I5708"/>
      <c r="J5708"/>
      <c r="K5708"/>
    </row>
    <row r="5709" spans="1:11">
      <c r="A5709"/>
      <c r="B5709"/>
      <c r="C5709"/>
      <c r="D5709"/>
      <c r="E5709"/>
      <c r="F5709"/>
      <c r="G5709"/>
      <c r="H5709"/>
      <c r="I5709"/>
      <c r="J5709"/>
      <c r="K5709"/>
    </row>
    <row r="5710" spans="1:11">
      <c r="A5710"/>
      <c r="B5710"/>
      <c r="C5710"/>
      <c r="D5710"/>
      <c r="E5710"/>
      <c r="F5710"/>
      <c r="G5710"/>
      <c r="H5710"/>
      <c r="I5710"/>
      <c r="J5710"/>
      <c r="K5710"/>
    </row>
    <row r="5711" spans="1:11">
      <c r="A5711"/>
      <c r="B5711"/>
      <c r="C5711"/>
      <c r="D5711"/>
      <c r="E5711"/>
      <c r="F5711"/>
      <c r="G5711"/>
      <c r="H5711"/>
      <c r="I5711"/>
      <c r="J5711"/>
      <c r="K5711"/>
    </row>
    <row r="5712" spans="1:11">
      <c r="A5712"/>
      <c r="B5712"/>
      <c r="C5712"/>
      <c r="D5712"/>
      <c r="E5712"/>
      <c r="F5712"/>
      <c r="G5712"/>
      <c r="H5712"/>
      <c r="I5712"/>
      <c r="J5712"/>
      <c r="K5712"/>
    </row>
    <row r="5713" spans="1:11">
      <c r="A5713"/>
      <c r="B5713"/>
      <c r="C5713"/>
      <c r="D5713"/>
      <c r="E5713"/>
      <c r="F5713"/>
      <c r="G5713"/>
      <c r="H5713"/>
      <c r="I5713"/>
      <c r="J5713"/>
      <c r="K5713"/>
    </row>
    <row r="5714" spans="1:11">
      <c r="A5714"/>
      <c r="B5714"/>
      <c r="C5714"/>
      <c r="D5714"/>
      <c r="E5714"/>
      <c r="F5714"/>
      <c r="G5714"/>
      <c r="H5714"/>
      <c r="I5714"/>
      <c r="J5714"/>
      <c r="K5714"/>
    </row>
    <row r="5715" spans="1:11">
      <c r="A5715"/>
      <c r="B5715"/>
      <c r="C5715"/>
      <c r="D5715"/>
      <c r="E5715"/>
      <c r="F5715"/>
      <c r="G5715"/>
      <c r="H5715"/>
      <c r="I5715"/>
      <c r="J5715"/>
      <c r="K5715"/>
    </row>
    <row r="5716" spans="1:11">
      <c r="A5716"/>
      <c r="B5716"/>
      <c r="C5716"/>
      <c r="D5716"/>
      <c r="E5716"/>
      <c r="F5716"/>
      <c r="G5716"/>
      <c r="H5716"/>
      <c r="I5716"/>
      <c r="J5716"/>
      <c r="K5716"/>
    </row>
    <row r="5717" spans="1:11">
      <c r="A5717"/>
      <c r="B5717"/>
      <c r="C5717"/>
      <c r="D5717"/>
      <c r="E5717"/>
      <c r="F5717"/>
      <c r="G5717"/>
      <c r="H5717"/>
      <c r="I5717"/>
      <c r="J5717"/>
      <c r="K5717"/>
    </row>
    <row r="5718" spans="1:11">
      <c r="A5718"/>
      <c r="B5718"/>
      <c r="C5718"/>
      <c r="D5718"/>
      <c r="E5718"/>
      <c r="F5718"/>
      <c r="G5718"/>
      <c r="H5718"/>
      <c r="I5718"/>
      <c r="J5718"/>
      <c r="K5718"/>
    </row>
    <row r="5719" spans="1:11">
      <c r="A5719"/>
      <c r="B5719"/>
      <c r="C5719"/>
      <c r="D5719"/>
      <c r="E5719"/>
      <c r="F5719"/>
      <c r="G5719"/>
      <c r="H5719"/>
      <c r="I5719"/>
      <c r="J5719"/>
      <c r="K5719"/>
    </row>
    <row r="5720" spans="1:11">
      <c r="A5720"/>
      <c r="B5720"/>
      <c r="C5720"/>
      <c r="D5720"/>
      <c r="E5720"/>
      <c r="F5720"/>
      <c r="G5720"/>
      <c r="H5720"/>
      <c r="I5720"/>
      <c r="J5720"/>
      <c r="K5720"/>
    </row>
    <row r="5721" spans="1:11">
      <c r="A5721"/>
      <c r="B5721"/>
      <c r="C5721"/>
      <c r="D5721"/>
      <c r="E5721"/>
      <c r="F5721"/>
      <c r="G5721"/>
      <c r="H5721"/>
      <c r="I5721"/>
      <c r="J5721"/>
      <c r="K5721"/>
    </row>
    <row r="5722" spans="1:11">
      <c r="A5722"/>
      <c r="B5722"/>
      <c r="C5722"/>
      <c r="D5722"/>
      <c r="E5722"/>
      <c r="F5722"/>
      <c r="G5722"/>
      <c r="H5722"/>
      <c r="I5722"/>
      <c r="J5722"/>
      <c r="K5722"/>
    </row>
    <row r="5723" spans="1:11">
      <c r="A5723"/>
      <c r="B5723"/>
      <c r="C5723"/>
      <c r="D5723"/>
      <c r="E5723"/>
      <c r="F5723"/>
      <c r="G5723"/>
      <c r="H5723"/>
      <c r="I5723"/>
      <c r="J5723"/>
      <c r="K5723"/>
    </row>
    <row r="5724" spans="1:11">
      <c r="A5724"/>
      <c r="B5724"/>
      <c r="C5724"/>
      <c r="D5724"/>
      <c r="E5724"/>
      <c r="F5724"/>
      <c r="G5724"/>
      <c r="H5724"/>
      <c r="I5724"/>
      <c r="J5724"/>
      <c r="K5724"/>
    </row>
    <row r="5725" spans="1:11">
      <c r="A5725"/>
      <c r="B5725"/>
      <c r="C5725"/>
      <c r="D5725"/>
      <c r="E5725"/>
      <c r="F5725"/>
      <c r="G5725"/>
      <c r="H5725"/>
      <c r="I5725"/>
      <c r="J5725"/>
      <c r="K5725"/>
    </row>
    <row r="5726" spans="1:11">
      <c r="A5726"/>
      <c r="B5726"/>
      <c r="C5726"/>
      <c r="D5726"/>
      <c r="E5726"/>
      <c r="F5726"/>
      <c r="G5726"/>
      <c r="H5726"/>
      <c r="I5726"/>
      <c r="J5726"/>
      <c r="K5726"/>
    </row>
    <row r="5727" spans="1:11">
      <c r="A5727"/>
      <c r="B5727"/>
      <c r="C5727"/>
      <c r="D5727"/>
      <c r="E5727"/>
      <c r="F5727"/>
      <c r="G5727"/>
      <c r="H5727"/>
      <c r="I5727"/>
      <c r="J5727"/>
      <c r="K5727"/>
    </row>
    <row r="5728" spans="1:11">
      <c r="A5728"/>
      <c r="B5728"/>
      <c r="C5728"/>
      <c r="D5728"/>
      <c r="E5728"/>
      <c r="F5728"/>
      <c r="G5728"/>
      <c r="H5728"/>
      <c r="I5728"/>
      <c r="J5728"/>
      <c r="K5728"/>
    </row>
    <row r="5729" spans="1:11">
      <c r="A5729"/>
      <c r="B5729"/>
      <c r="C5729"/>
      <c r="D5729"/>
      <c r="E5729"/>
      <c r="F5729"/>
      <c r="G5729"/>
      <c r="H5729"/>
      <c r="I5729"/>
      <c r="J5729"/>
      <c r="K5729"/>
    </row>
    <row r="5730" spans="1:11">
      <c r="A5730"/>
      <c r="B5730"/>
      <c r="C5730"/>
      <c r="D5730"/>
      <c r="E5730"/>
      <c r="F5730"/>
      <c r="G5730"/>
      <c r="H5730"/>
      <c r="I5730"/>
      <c r="J5730"/>
      <c r="K5730"/>
    </row>
    <row r="5731" spans="1:11">
      <c r="A5731"/>
      <c r="B5731"/>
      <c r="C5731"/>
      <c r="D5731"/>
      <c r="E5731"/>
      <c r="F5731"/>
      <c r="G5731"/>
      <c r="H5731"/>
      <c r="I5731"/>
      <c r="J5731"/>
      <c r="K5731"/>
    </row>
    <row r="5732" spans="1:11">
      <c r="A5732"/>
      <c r="B5732"/>
      <c r="C5732"/>
      <c r="D5732"/>
      <c r="E5732"/>
      <c r="F5732"/>
      <c r="G5732"/>
      <c r="H5732"/>
      <c r="I5732"/>
      <c r="J5732"/>
      <c r="K5732"/>
    </row>
    <row r="5733" spans="1:11">
      <c r="A5733"/>
      <c r="B5733"/>
      <c r="C5733"/>
      <c r="D5733"/>
      <c r="E5733"/>
      <c r="F5733"/>
      <c r="G5733"/>
      <c r="H5733"/>
      <c r="I5733"/>
      <c r="J5733"/>
      <c r="K5733"/>
    </row>
    <row r="5734" spans="1:11">
      <c r="A5734"/>
      <c r="B5734"/>
      <c r="C5734"/>
      <c r="D5734"/>
      <c r="E5734"/>
      <c r="F5734"/>
      <c r="G5734"/>
      <c r="H5734"/>
      <c r="I5734"/>
      <c r="J5734"/>
      <c r="K5734"/>
    </row>
    <row r="5735" spans="1:11">
      <c r="A5735"/>
      <c r="B5735"/>
      <c r="C5735"/>
      <c r="D5735"/>
      <c r="E5735"/>
      <c r="F5735"/>
      <c r="G5735"/>
      <c r="H5735"/>
      <c r="I5735"/>
      <c r="J5735"/>
      <c r="K5735"/>
    </row>
    <row r="5736" spans="1:11">
      <c r="A5736"/>
      <c r="B5736"/>
      <c r="C5736"/>
      <c r="D5736"/>
      <c r="E5736"/>
      <c r="F5736"/>
      <c r="G5736"/>
      <c r="H5736"/>
      <c r="I5736"/>
      <c r="J5736"/>
      <c r="K5736"/>
    </row>
    <row r="5737" spans="1:11">
      <c r="A5737"/>
      <c r="B5737"/>
      <c r="C5737"/>
      <c r="D5737"/>
      <c r="E5737"/>
      <c r="F5737"/>
      <c r="G5737"/>
      <c r="H5737"/>
      <c r="I5737"/>
      <c r="J5737"/>
      <c r="K5737"/>
    </row>
    <row r="5738" spans="1:11">
      <c r="A5738"/>
      <c r="B5738"/>
      <c r="C5738"/>
      <c r="D5738"/>
      <c r="E5738"/>
      <c r="F5738"/>
      <c r="G5738"/>
      <c r="H5738"/>
      <c r="I5738"/>
      <c r="J5738"/>
      <c r="K5738"/>
    </row>
    <row r="5739" spans="1:11">
      <c r="A5739"/>
      <c r="B5739"/>
      <c r="C5739"/>
      <c r="D5739"/>
      <c r="E5739"/>
      <c r="F5739"/>
      <c r="G5739"/>
      <c r="H5739"/>
      <c r="I5739"/>
      <c r="J5739"/>
      <c r="K5739"/>
    </row>
    <row r="5740" spans="1:11">
      <c r="A5740"/>
      <c r="B5740"/>
      <c r="C5740"/>
      <c r="D5740"/>
      <c r="E5740"/>
      <c r="F5740"/>
      <c r="G5740"/>
      <c r="H5740"/>
      <c r="I5740"/>
      <c r="J5740"/>
      <c r="K5740"/>
    </row>
    <row r="5741" spans="1:11">
      <c r="A5741"/>
      <c r="B5741"/>
      <c r="C5741"/>
      <c r="D5741"/>
      <c r="E5741"/>
      <c r="F5741"/>
      <c r="G5741"/>
      <c r="H5741"/>
      <c r="I5741"/>
      <c r="J5741"/>
      <c r="K5741"/>
    </row>
    <row r="5742" spans="1:11">
      <c r="A5742"/>
      <c r="B5742"/>
      <c r="C5742"/>
      <c r="D5742"/>
      <c r="E5742"/>
      <c r="F5742"/>
      <c r="G5742"/>
      <c r="H5742"/>
      <c r="I5742"/>
      <c r="J5742"/>
      <c r="K5742"/>
    </row>
    <row r="5743" spans="1:11">
      <c r="A5743"/>
      <c r="B5743"/>
      <c r="C5743"/>
      <c r="D5743"/>
      <c r="E5743"/>
      <c r="F5743"/>
      <c r="G5743"/>
      <c r="H5743"/>
      <c r="I5743"/>
      <c r="J5743"/>
      <c r="K5743"/>
    </row>
    <row r="5744" spans="1:11">
      <c r="A5744"/>
      <c r="B5744"/>
      <c r="C5744"/>
      <c r="D5744"/>
      <c r="E5744"/>
      <c r="F5744"/>
      <c r="G5744"/>
      <c r="H5744"/>
      <c r="I5744"/>
      <c r="J5744"/>
      <c r="K5744"/>
    </row>
    <row r="5745" spans="1:11">
      <c r="A5745"/>
      <c r="B5745"/>
      <c r="C5745"/>
      <c r="D5745"/>
      <c r="E5745"/>
      <c r="F5745"/>
      <c r="G5745"/>
      <c r="H5745"/>
      <c r="I5745"/>
      <c r="J5745"/>
      <c r="K5745"/>
    </row>
    <row r="5746" spans="1:11">
      <c r="A5746"/>
      <c r="B5746"/>
      <c r="C5746"/>
      <c r="D5746"/>
      <c r="E5746"/>
      <c r="F5746"/>
      <c r="G5746"/>
      <c r="H5746"/>
      <c r="I5746"/>
      <c r="J5746"/>
      <c r="K5746"/>
    </row>
    <row r="5747" spans="1:11">
      <c r="A5747"/>
      <c r="B5747"/>
      <c r="C5747"/>
      <c r="D5747"/>
      <c r="E5747"/>
      <c r="F5747"/>
      <c r="G5747"/>
      <c r="H5747"/>
      <c r="I5747"/>
      <c r="J5747"/>
      <c r="K5747"/>
    </row>
    <row r="5748" spans="1:11">
      <c r="A5748"/>
      <c r="B5748"/>
      <c r="C5748"/>
      <c r="D5748"/>
      <c r="E5748"/>
      <c r="F5748"/>
      <c r="G5748"/>
      <c r="H5748"/>
      <c r="I5748"/>
      <c r="J5748"/>
      <c r="K5748"/>
    </row>
    <row r="5749" spans="1:11">
      <c r="A5749"/>
      <c r="B5749"/>
      <c r="C5749"/>
      <c r="D5749"/>
      <c r="E5749"/>
      <c r="F5749"/>
      <c r="G5749"/>
      <c r="H5749"/>
      <c r="I5749"/>
      <c r="J5749"/>
      <c r="K5749"/>
    </row>
    <row r="5750" spans="1:11">
      <c r="A5750"/>
      <c r="B5750"/>
      <c r="C5750"/>
      <c r="D5750"/>
      <c r="E5750"/>
      <c r="F5750"/>
      <c r="G5750"/>
      <c r="H5750"/>
      <c r="I5750"/>
      <c r="J5750"/>
      <c r="K5750"/>
    </row>
    <row r="5751" spans="1:11">
      <c r="A5751"/>
      <c r="B5751"/>
      <c r="C5751"/>
      <c r="D5751"/>
      <c r="E5751"/>
      <c r="F5751"/>
      <c r="G5751"/>
      <c r="H5751"/>
      <c r="I5751"/>
      <c r="J5751"/>
      <c r="K5751"/>
    </row>
    <row r="5752" spans="1:11">
      <c r="A5752"/>
      <c r="B5752"/>
      <c r="C5752"/>
      <c r="D5752"/>
      <c r="E5752"/>
      <c r="F5752"/>
      <c r="G5752"/>
      <c r="H5752"/>
      <c r="I5752"/>
      <c r="J5752"/>
      <c r="K5752"/>
    </row>
    <row r="5753" spans="1:11">
      <c r="A5753"/>
      <c r="B5753"/>
      <c r="C5753"/>
      <c r="D5753"/>
      <c r="E5753"/>
      <c r="F5753"/>
      <c r="G5753"/>
      <c r="H5753"/>
      <c r="I5753"/>
      <c r="J5753"/>
      <c r="K5753"/>
    </row>
    <row r="5754" spans="1:11">
      <c r="A5754"/>
      <c r="B5754"/>
      <c r="C5754"/>
      <c r="D5754"/>
      <c r="E5754"/>
      <c r="F5754"/>
      <c r="G5754"/>
      <c r="H5754"/>
      <c r="I5754"/>
      <c r="J5754"/>
      <c r="K5754"/>
    </row>
    <row r="5755" spans="1:11">
      <c r="A5755"/>
      <c r="B5755"/>
      <c r="C5755"/>
      <c r="D5755"/>
      <c r="E5755"/>
      <c r="F5755"/>
      <c r="G5755"/>
      <c r="H5755"/>
      <c r="I5755"/>
      <c r="J5755"/>
      <c r="K5755"/>
    </row>
    <row r="5756" spans="1:11">
      <c r="A5756"/>
      <c r="B5756"/>
      <c r="C5756"/>
      <c r="D5756"/>
      <c r="E5756"/>
      <c r="F5756"/>
      <c r="G5756"/>
      <c r="H5756"/>
      <c r="I5756"/>
      <c r="J5756"/>
      <c r="K5756"/>
    </row>
    <row r="5757" spans="1:11">
      <c r="A5757"/>
      <c r="B5757"/>
      <c r="C5757"/>
      <c r="D5757"/>
      <c r="E5757"/>
      <c r="F5757"/>
      <c r="G5757"/>
      <c r="H5757"/>
      <c r="I5757"/>
      <c r="J5757"/>
      <c r="K5757"/>
    </row>
    <row r="5758" spans="1:11">
      <c r="A5758"/>
      <c r="B5758"/>
      <c r="C5758"/>
      <c r="D5758"/>
      <c r="E5758"/>
      <c r="F5758"/>
      <c r="G5758"/>
      <c r="H5758"/>
      <c r="I5758"/>
      <c r="J5758"/>
      <c r="K5758"/>
    </row>
    <row r="5759" spans="1:11">
      <c r="A5759"/>
      <c r="B5759"/>
      <c r="C5759"/>
      <c r="D5759"/>
      <c r="E5759"/>
      <c r="F5759"/>
      <c r="G5759"/>
      <c r="H5759"/>
      <c r="I5759"/>
      <c r="J5759"/>
      <c r="K5759"/>
    </row>
    <row r="5760" spans="1:11">
      <c r="A5760"/>
      <c r="B5760"/>
      <c r="C5760"/>
      <c r="D5760"/>
      <c r="E5760"/>
      <c r="F5760"/>
      <c r="G5760"/>
      <c r="H5760"/>
      <c r="I5760"/>
      <c r="J5760"/>
      <c r="K5760"/>
    </row>
    <row r="5761" spans="1:11">
      <c r="A5761"/>
      <c r="B5761"/>
      <c r="C5761"/>
      <c r="D5761"/>
      <c r="E5761"/>
      <c r="F5761"/>
      <c r="G5761"/>
      <c r="H5761"/>
      <c r="I5761"/>
      <c r="J5761"/>
      <c r="K5761"/>
    </row>
    <row r="5762" spans="1:11">
      <c r="A5762"/>
      <c r="B5762"/>
      <c r="C5762"/>
      <c r="D5762"/>
      <c r="E5762"/>
      <c r="F5762"/>
      <c r="G5762"/>
      <c r="H5762"/>
      <c r="I5762"/>
      <c r="J5762"/>
      <c r="K5762"/>
    </row>
    <row r="5763" spans="1:11">
      <c r="A5763"/>
      <c r="B5763"/>
      <c r="C5763"/>
      <c r="D5763"/>
      <c r="E5763"/>
      <c r="F5763"/>
      <c r="G5763"/>
      <c r="H5763"/>
      <c r="I5763"/>
      <c r="J5763"/>
      <c r="K5763"/>
    </row>
    <row r="5764" spans="1:11">
      <c r="A5764"/>
      <c r="B5764"/>
      <c r="C5764"/>
      <c r="D5764"/>
      <c r="E5764"/>
      <c r="F5764"/>
      <c r="G5764"/>
      <c r="H5764"/>
      <c r="I5764"/>
      <c r="J5764"/>
      <c r="K5764"/>
    </row>
    <row r="5765" spans="1:11">
      <c r="A5765"/>
      <c r="B5765"/>
      <c r="C5765"/>
      <c r="D5765"/>
      <c r="E5765"/>
      <c r="F5765"/>
      <c r="G5765"/>
      <c r="H5765"/>
      <c r="I5765"/>
      <c r="J5765"/>
      <c r="K5765"/>
    </row>
    <row r="5766" spans="1:11">
      <c r="A5766"/>
      <c r="B5766"/>
      <c r="C5766"/>
      <c r="D5766"/>
      <c r="E5766"/>
      <c r="F5766"/>
      <c r="G5766"/>
      <c r="H5766"/>
      <c r="I5766"/>
      <c r="J5766"/>
      <c r="K5766"/>
    </row>
    <row r="5767" spans="1:11">
      <c r="A5767"/>
      <c r="B5767"/>
      <c r="C5767"/>
      <c r="D5767"/>
      <c r="E5767"/>
      <c r="F5767"/>
      <c r="G5767"/>
      <c r="H5767"/>
      <c r="I5767"/>
      <c r="J5767"/>
      <c r="K5767"/>
    </row>
    <row r="5768" spans="1:11">
      <c r="A5768"/>
      <c r="B5768"/>
      <c r="C5768"/>
      <c r="D5768"/>
      <c r="E5768"/>
      <c r="F5768"/>
      <c r="G5768"/>
      <c r="H5768"/>
      <c r="I5768"/>
      <c r="J5768"/>
      <c r="K5768"/>
    </row>
    <row r="5769" spans="1:11">
      <c r="A5769"/>
      <c r="B5769"/>
      <c r="C5769"/>
      <c r="D5769"/>
      <c r="E5769"/>
      <c r="F5769"/>
      <c r="G5769"/>
      <c r="H5769"/>
      <c r="I5769"/>
      <c r="J5769"/>
      <c r="K5769"/>
    </row>
    <row r="5770" spans="1:11">
      <c r="A5770"/>
      <c r="B5770"/>
      <c r="C5770"/>
      <c r="D5770"/>
      <c r="E5770"/>
      <c r="F5770"/>
      <c r="G5770"/>
      <c r="H5770"/>
      <c r="I5770"/>
      <c r="J5770"/>
      <c r="K5770"/>
    </row>
    <row r="5771" spans="1:11">
      <c r="A5771"/>
      <c r="B5771"/>
      <c r="C5771"/>
      <c r="D5771"/>
      <c r="E5771"/>
      <c r="F5771"/>
      <c r="G5771"/>
      <c r="H5771"/>
      <c r="I5771"/>
      <c r="J5771"/>
      <c r="K5771"/>
    </row>
    <row r="5772" spans="1:11">
      <c r="A5772"/>
      <c r="B5772"/>
      <c r="C5772"/>
      <c r="D5772"/>
      <c r="E5772"/>
      <c r="F5772"/>
      <c r="G5772"/>
      <c r="H5772"/>
      <c r="I5772"/>
      <c r="J5772"/>
      <c r="K5772"/>
    </row>
    <row r="5773" spans="1:11">
      <c r="A5773"/>
      <c r="B5773"/>
      <c r="C5773"/>
      <c r="D5773"/>
      <c r="E5773"/>
      <c r="F5773"/>
      <c r="G5773"/>
      <c r="H5773"/>
      <c r="I5773"/>
      <c r="J5773"/>
      <c r="K5773"/>
    </row>
    <row r="5774" spans="1:11">
      <c r="A5774"/>
      <c r="B5774"/>
      <c r="C5774"/>
      <c r="D5774"/>
      <c r="E5774"/>
      <c r="F5774"/>
      <c r="G5774"/>
      <c r="H5774"/>
      <c r="I5774"/>
      <c r="J5774"/>
      <c r="K5774"/>
    </row>
    <row r="5775" spans="1:11">
      <c r="A5775"/>
      <c r="B5775"/>
      <c r="C5775"/>
      <c r="D5775"/>
      <c r="E5775"/>
      <c r="F5775"/>
      <c r="G5775"/>
      <c r="H5775"/>
      <c r="I5775"/>
      <c r="J5775"/>
      <c r="K5775"/>
    </row>
    <row r="5776" spans="1:11">
      <c r="A5776"/>
      <c r="B5776"/>
      <c r="C5776"/>
      <c r="D5776"/>
      <c r="E5776"/>
      <c r="F5776"/>
      <c r="G5776"/>
      <c r="H5776"/>
      <c r="I5776"/>
      <c r="J5776"/>
      <c r="K5776"/>
    </row>
    <row r="5777" spans="1:11">
      <c r="A5777"/>
      <c r="B5777"/>
      <c r="C5777"/>
      <c r="D5777"/>
      <c r="E5777"/>
      <c r="F5777"/>
      <c r="G5777"/>
      <c r="H5777"/>
      <c r="I5777"/>
      <c r="J5777"/>
      <c r="K5777"/>
    </row>
    <row r="5778" spans="1:11">
      <c r="A5778"/>
      <c r="B5778"/>
      <c r="C5778"/>
      <c r="D5778"/>
      <c r="E5778"/>
      <c r="F5778"/>
      <c r="G5778"/>
      <c r="H5778"/>
      <c r="I5778"/>
      <c r="J5778"/>
      <c r="K5778"/>
    </row>
    <row r="5779" spans="1:11">
      <c r="A5779"/>
      <c r="B5779"/>
      <c r="C5779"/>
      <c r="D5779"/>
      <c r="E5779"/>
      <c r="F5779"/>
      <c r="G5779"/>
      <c r="H5779"/>
      <c r="I5779"/>
      <c r="J5779"/>
      <c r="K5779"/>
    </row>
    <row r="5780" spans="1:11">
      <c r="A5780"/>
      <c r="B5780"/>
      <c r="C5780"/>
      <c r="D5780"/>
      <c r="E5780"/>
      <c r="F5780"/>
      <c r="G5780"/>
      <c r="H5780"/>
      <c r="I5780"/>
      <c r="J5780"/>
      <c r="K5780"/>
    </row>
    <row r="5781" spans="1:11">
      <c r="A5781"/>
      <c r="B5781"/>
      <c r="C5781"/>
      <c r="D5781"/>
      <c r="E5781"/>
      <c r="F5781"/>
      <c r="G5781"/>
      <c r="H5781"/>
      <c r="I5781"/>
      <c r="J5781"/>
      <c r="K5781"/>
    </row>
    <row r="5782" spans="1:11">
      <c r="A5782"/>
      <c r="B5782"/>
      <c r="C5782"/>
      <c r="D5782"/>
      <c r="E5782"/>
      <c r="F5782"/>
      <c r="G5782"/>
      <c r="H5782"/>
      <c r="I5782"/>
      <c r="J5782"/>
      <c r="K5782"/>
    </row>
    <row r="5783" spans="1:11">
      <c r="A5783"/>
      <c r="B5783"/>
      <c r="C5783"/>
      <c r="D5783"/>
      <c r="E5783"/>
      <c r="F5783"/>
      <c r="G5783"/>
      <c r="H5783"/>
      <c r="I5783"/>
      <c r="J5783"/>
      <c r="K5783"/>
    </row>
    <row r="5784" spans="1:11">
      <c r="A5784"/>
      <c r="B5784"/>
      <c r="C5784"/>
      <c r="D5784"/>
      <c r="E5784"/>
      <c r="F5784"/>
      <c r="G5784"/>
      <c r="H5784"/>
      <c r="I5784"/>
      <c r="J5784"/>
      <c r="K5784"/>
    </row>
    <row r="5785" spans="1:11">
      <c r="A5785"/>
      <c r="B5785"/>
      <c r="C5785"/>
      <c r="D5785"/>
      <c r="E5785"/>
      <c r="F5785"/>
      <c r="G5785"/>
      <c r="H5785"/>
      <c r="I5785"/>
      <c r="J5785"/>
      <c r="K5785"/>
    </row>
    <row r="5786" spans="1:11">
      <c r="A5786"/>
      <c r="B5786"/>
      <c r="C5786"/>
      <c r="D5786"/>
      <c r="E5786"/>
      <c r="F5786"/>
      <c r="G5786"/>
      <c r="H5786"/>
      <c r="I5786"/>
      <c r="J5786"/>
      <c r="K5786"/>
    </row>
    <row r="5787" spans="1:11">
      <c r="A5787"/>
      <c r="B5787"/>
      <c r="C5787"/>
      <c r="D5787"/>
      <c r="E5787"/>
      <c r="F5787"/>
      <c r="G5787"/>
      <c r="H5787"/>
      <c r="I5787"/>
      <c r="J5787"/>
      <c r="K5787"/>
    </row>
    <row r="5788" spans="1:11">
      <c r="A5788"/>
      <c r="B5788"/>
      <c r="C5788"/>
      <c r="D5788"/>
      <c r="E5788"/>
      <c r="F5788"/>
      <c r="G5788"/>
      <c r="H5788"/>
      <c r="I5788"/>
      <c r="J5788"/>
      <c r="K5788"/>
    </row>
    <row r="5789" spans="1:11">
      <c r="A5789"/>
      <c r="B5789"/>
      <c r="C5789"/>
      <c r="D5789"/>
      <c r="E5789"/>
      <c r="F5789"/>
      <c r="G5789"/>
      <c r="H5789"/>
      <c r="I5789"/>
      <c r="J5789"/>
      <c r="K5789"/>
    </row>
    <row r="5790" spans="1:11">
      <c r="A5790"/>
      <c r="B5790"/>
      <c r="C5790"/>
      <c r="D5790"/>
      <c r="E5790"/>
      <c r="F5790"/>
      <c r="G5790"/>
      <c r="H5790"/>
      <c r="I5790"/>
      <c r="J5790"/>
      <c r="K5790"/>
    </row>
    <row r="5791" spans="1:11">
      <c r="A5791"/>
      <c r="B5791"/>
      <c r="C5791"/>
      <c r="D5791"/>
      <c r="E5791"/>
      <c r="F5791"/>
      <c r="G5791"/>
      <c r="H5791"/>
      <c r="I5791"/>
      <c r="J5791"/>
      <c r="K5791"/>
    </row>
    <row r="5792" spans="1:11">
      <c r="A5792"/>
      <c r="B5792"/>
      <c r="C5792"/>
      <c r="D5792"/>
      <c r="E5792"/>
      <c r="F5792"/>
      <c r="G5792"/>
      <c r="H5792"/>
      <c r="I5792"/>
      <c r="J5792"/>
      <c r="K5792"/>
    </row>
    <row r="5793" spans="1:11">
      <c r="A5793"/>
      <c r="B5793"/>
      <c r="C5793"/>
      <c r="D5793"/>
      <c r="E5793"/>
      <c r="F5793"/>
      <c r="G5793"/>
      <c r="H5793"/>
      <c r="I5793"/>
      <c r="J5793"/>
      <c r="K5793"/>
    </row>
    <row r="5794" spans="1:11">
      <c r="A5794"/>
      <c r="B5794"/>
      <c r="C5794"/>
      <c r="D5794"/>
      <c r="E5794"/>
      <c r="F5794"/>
      <c r="G5794"/>
      <c r="H5794"/>
      <c r="I5794"/>
      <c r="J5794"/>
      <c r="K5794"/>
    </row>
    <row r="5795" spans="1:11">
      <c r="A5795"/>
      <c r="B5795"/>
      <c r="C5795"/>
      <c r="D5795"/>
      <c r="E5795"/>
      <c r="F5795"/>
      <c r="G5795"/>
      <c r="H5795"/>
      <c r="I5795"/>
      <c r="J5795"/>
      <c r="K5795"/>
    </row>
    <row r="5796" spans="1:11">
      <c r="A5796"/>
      <c r="B5796"/>
      <c r="C5796"/>
      <c r="D5796"/>
      <c r="E5796"/>
      <c r="F5796"/>
      <c r="G5796"/>
      <c r="H5796"/>
      <c r="I5796"/>
      <c r="J5796"/>
      <c r="K5796"/>
    </row>
    <row r="5797" spans="1:11">
      <c r="A5797"/>
      <c r="B5797"/>
      <c r="C5797"/>
      <c r="D5797"/>
      <c r="E5797"/>
      <c r="F5797"/>
      <c r="G5797"/>
      <c r="H5797"/>
      <c r="I5797"/>
      <c r="J5797"/>
      <c r="K5797"/>
    </row>
    <row r="5798" spans="1:11">
      <c r="A5798"/>
      <c r="B5798"/>
      <c r="C5798"/>
      <c r="D5798"/>
      <c r="E5798"/>
      <c r="F5798"/>
      <c r="G5798"/>
      <c r="H5798"/>
      <c r="I5798"/>
      <c r="J5798"/>
      <c r="K5798"/>
    </row>
    <row r="5799" spans="1:11">
      <c r="A5799"/>
      <c r="B5799"/>
      <c r="C5799"/>
      <c r="D5799"/>
      <c r="E5799"/>
      <c r="F5799"/>
      <c r="G5799"/>
      <c r="H5799"/>
      <c r="I5799"/>
      <c r="J5799"/>
      <c r="K5799"/>
    </row>
    <row r="5800" spans="1:11">
      <c r="A5800"/>
      <c r="B5800"/>
      <c r="C5800"/>
      <c r="D5800"/>
      <c r="E5800"/>
      <c r="F5800"/>
      <c r="G5800"/>
      <c r="H5800"/>
      <c r="I5800"/>
      <c r="J5800"/>
      <c r="K5800"/>
    </row>
    <row r="5801" spans="1:11">
      <c r="A5801"/>
      <c r="B5801"/>
      <c r="C5801"/>
      <c r="D5801"/>
      <c r="E5801"/>
      <c r="F5801"/>
      <c r="G5801"/>
      <c r="H5801"/>
      <c r="I5801"/>
      <c r="J5801"/>
      <c r="K5801"/>
    </row>
    <row r="5802" spans="1:11">
      <c r="A5802"/>
      <c r="B5802"/>
      <c r="C5802"/>
      <c r="D5802"/>
      <c r="E5802"/>
      <c r="F5802"/>
      <c r="G5802"/>
      <c r="H5802"/>
      <c r="I5802"/>
      <c r="J5802"/>
      <c r="K5802"/>
    </row>
    <row r="5803" spans="1:11">
      <c r="A5803"/>
      <c r="B5803"/>
      <c r="C5803"/>
      <c r="D5803"/>
      <c r="E5803"/>
      <c r="F5803"/>
      <c r="G5803"/>
      <c r="H5803"/>
      <c r="I5803"/>
      <c r="J5803"/>
      <c r="K5803"/>
    </row>
    <row r="5804" spans="1:11">
      <c r="A5804"/>
      <c r="B5804"/>
      <c r="C5804"/>
      <c r="D5804"/>
      <c r="E5804"/>
      <c r="F5804"/>
      <c r="G5804"/>
      <c r="H5804"/>
      <c r="I5804"/>
      <c r="J5804"/>
      <c r="K5804"/>
    </row>
    <row r="5805" spans="1:11">
      <c r="A5805"/>
      <c r="B5805"/>
      <c r="C5805"/>
      <c r="D5805"/>
      <c r="E5805"/>
      <c r="F5805"/>
      <c r="G5805"/>
      <c r="H5805"/>
      <c r="I5805"/>
      <c r="J5805"/>
      <c r="K5805"/>
    </row>
    <row r="5806" spans="1:11">
      <c r="A5806"/>
      <c r="B5806"/>
      <c r="C5806"/>
      <c r="D5806"/>
      <c r="E5806"/>
      <c r="F5806"/>
      <c r="G5806"/>
      <c r="H5806"/>
      <c r="I5806"/>
      <c r="J5806"/>
      <c r="K5806"/>
    </row>
    <row r="5807" spans="1:11">
      <c r="A5807"/>
      <c r="B5807"/>
      <c r="C5807"/>
      <c r="D5807"/>
      <c r="E5807"/>
      <c r="F5807"/>
      <c r="G5807"/>
      <c r="H5807"/>
      <c r="I5807"/>
      <c r="J5807"/>
      <c r="K5807"/>
    </row>
    <row r="5808" spans="1:11">
      <c r="A5808"/>
      <c r="B5808"/>
      <c r="C5808"/>
      <c r="D5808"/>
      <c r="E5808"/>
      <c r="F5808"/>
      <c r="G5808"/>
      <c r="H5808"/>
      <c r="I5808"/>
      <c r="J5808"/>
      <c r="K5808"/>
    </row>
    <row r="5809" spans="1:11">
      <c r="A5809"/>
      <c r="B5809"/>
      <c r="C5809"/>
      <c r="D5809"/>
      <c r="E5809"/>
      <c r="F5809"/>
      <c r="G5809"/>
      <c r="H5809"/>
      <c r="I5809"/>
      <c r="J5809"/>
      <c r="K5809"/>
    </row>
    <row r="5810" spans="1:11">
      <c r="A5810"/>
      <c r="B5810"/>
      <c r="C5810"/>
      <c r="D5810"/>
      <c r="E5810"/>
      <c r="F5810"/>
      <c r="G5810"/>
      <c r="H5810"/>
      <c r="I5810"/>
      <c r="J5810"/>
      <c r="K5810"/>
    </row>
    <row r="5811" spans="1:11">
      <c r="A5811"/>
      <c r="B5811"/>
      <c r="C5811"/>
      <c r="D5811"/>
      <c r="E5811"/>
      <c r="F5811"/>
      <c r="G5811"/>
      <c r="H5811"/>
      <c r="I5811"/>
      <c r="J5811"/>
      <c r="K5811"/>
    </row>
    <row r="5812" spans="1:11">
      <c r="A5812"/>
      <c r="B5812"/>
      <c r="C5812"/>
      <c r="D5812"/>
      <c r="E5812"/>
      <c r="F5812"/>
      <c r="G5812"/>
      <c r="H5812"/>
      <c r="I5812"/>
      <c r="J5812"/>
      <c r="K5812"/>
    </row>
    <row r="5813" spans="1:11">
      <c r="A5813"/>
      <c r="B5813"/>
      <c r="C5813"/>
      <c r="D5813"/>
      <c r="E5813"/>
      <c r="F5813"/>
      <c r="G5813"/>
      <c r="H5813"/>
      <c r="I5813"/>
      <c r="J5813"/>
      <c r="K5813"/>
    </row>
    <row r="5814" spans="1:11">
      <c r="A5814"/>
      <c r="B5814"/>
      <c r="C5814"/>
      <c r="D5814"/>
      <c r="E5814"/>
      <c r="F5814"/>
      <c r="G5814"/>
      <c r="H5814"/>
      <c r="I5814"/>
      <c r="J5814"/>
      <c r="K5814"/>
    </row>
    <row r="5815" spans="1:11">
      <c r="A5815"/>
      <c r="B5815"/>
      <c r="C5815"/>
      <c r="D5815"/>
      <c r="E5815"/>
      <c r="F5815"/>
      <c r="G5815"/>
      <c r="H5815"/>
      <c r="I5815"/>
      <c r="J5815"/>
      <c r="K5815"/>
    </row>
    <row r="5816" spans="1:11">
      <c r="A5816"/>
      <c r="B5816"/>
      <c r="C5816"/>
      <c r="D5816"/>
      <c r="E5816"/>
      <c r="F5816"/>
      <c r="G5816"/>
      <c r="H5816"/>
      <c r="I5816"/>
      <c r="J5816"/>
      <c r="K5816"/>
    </row>
    <row r="5817" spans="1:11">
      <c r="A5817"/>
      <c r="B5817"/>
      <c r="C5817"/>
      <c r="D5817"/>
      <c r="E5817"/>
      <c r="F5817"/>
      <c r="G5817"/>
      <c r="H5817"/>
      <c r="I5817"/>
      <c r="J5817"/>
      <c r="K5817"/>
    </row>
    <row r="5818" spans="1:11">
      <c r="A5818"/>
      <c r="B5818"/>
      <c r="C5818"/>
      <c r="D5818"/>
      <c r="E5818"/>
      <c r="F5818"/>
      <c r="G5818"/>
      <c r="H5818"/>
      <c r="I5818"/>
      <c r="J5818"/>
      <c r="K5818"/>
    </row>
    <row r="5819" spans="1:11">
      <c r="A5819"/>
      <c r="B5819"/>
      <c r="C5819"/>
      <c r="D5819"/>
      <c r="E5819"/>
      <c r="F5819"/>
      <c r="G5819"/>
      <c r="H5819"/>
      <c r="I5819"/>
      <c r="J5819"/>
      <c r="K5819"/>
    </row>
    <row r="5820" spans="1:11">
      <c r="A5820"/>
      <c r="B5820"/>
      <c r="C5820"/>
      <c r="D5820"/>
      <c r="E5820"/>
      <c r="F5820"/>
      <c r="G5820"/>
      <c r="H5820"/>
      <c r="I5820"/>
      <c r="J5820"/>
      <c r="K5820"/>
    </row>
    <row r="5821" spans="1:11">
      <c r="A5821"/>
      <c r="B5821"/>
      <c r="C5821"/>
      <c r="D5821"/>
      <c r="E5821"/>
      <c r="F5821"/>
      <c r="G5821"/>
      <c r="H5821"/>
      <c r="I5821"/>
      <c r="J5821"/>
      <c r="K5821"/>
    </row>
    <row r="5822" spans="1:11">
      <c r="A5822"/>
      <c r="B5822"/>
      <c r="C5822"/>
      <c r="D5822"/>
      <c r="E5822"/>
      <c r="F5822"/>
      <c r="G5822"/>
      <c r="H5822"/>
      <c r="I5822"/>
      <c r="J5822"/>
      <c r="K5822"/>
    </row>
    <row r="5823" spans="1:11">
      <c r="A5823"/>
      <c r="B5823"/>
      <c r="C5823"/>
      <c r="D5823"/>
      <c r="E5823"/>
      <c r="F5823"/>
      <c r="G5823"/>
      <c r="H5823"/>
      <c r="I5823"/>
      <c r="J5823"/>
      <c r="K5823"/>
    </row>
    <row r="5824" spans="1:11">
      <c r="A5824"/>
      <c r="B5824"/>
      <c r="C5824"/>
      <c r="D5824"/>
      <c r="E5824"/>
      <c r="F5824"/>
      <c r="G5824"/>
      <c r="H5824"/>
      <c r="I5824"/>
      <c r="J5824"/>
      <c r="K5824"/>
    </row>
    <row r="5825" spans="1:11">
      <c r="A5825"/>
      <c r="B5825"/>
      <c r="C5825"/>
      <c r="D5825"/>
      <c r="E5825"/>
      <c r="F5825"/>
      <c r="G5825"/>
      <c r="H5825"/>
      <c r="I5825"/>
      <c r="J5825"/>
      <c r="K5825"/>
    </row>
    <row r="5826" spans="1:11">
      <c r="A5826"/>
      <c r="B5826"/>
      <c r="C5826"/>
      <c r="D5826"/>
      <c r="E5826"/>
      <c r="F5826"/>
      <c r="G5826"/>
      <c r="H5826"/>
      <c r="I5826"/>
      <c r="J5826"/>
      <c r="K5826"/>
    </row>
    <row r="5827" spans="1:11">
      <c r="A5827"/>
      <c r="B5827"/>
      <c r="C5827"/>
      <c r="D5827"/>
      <c r="E5827"/>
      <c r="F5827"/>
      <c r="G5827"/>
      <c r="H5827"/>
      <c r="I5827"/>
      <c r="J5827"/>
      <c r="K5827"/>
    </row>
    <row r="5828" spans="1:11">
      <c r="A5828"/>
      <c r="B5828"/>
      <c r="C5828"/>
      <c r="D5828"/>
      <c r="E5828"/>
      <c r="F5828"/>
      <c r="G5828"/>
      <c r="H5828"/>
      <c r="I5828"/>
      <c r="J5828"/>
      <c r="K5828"/>
    </row>
    <row r="5829" spans="1:11">
      <c r="A5829"/>
      <c r="B5829"/>
      <c r="C5829"/>
      <c r="D5829"/>
      <c r="E5829"/>
      <c r="F5829"/>
      <c r="G5829"/>
      <c r="H5829"/>
      <c r="I5829"/>
      <c r="J5829"/>
      <c r="K5829"/>
    </row>
    <row r="5830" spans="1:11">
      <c r="A5830"/>
      <c r="B5830"/>
      <c r="C5830"/>
      <c r="D5830"/>
      <c r="E5830"/>
      <c r="F5830"/>
      <c r="G5830"/>
      <c r="H5830"/>
      <c r="I5830"/>
      <c r="J5830"/>
      <c r="K5830"/>
    </row>
    <row r="5831" spans="1:11">
      <c r="A5831"/>
      <c r="B5831"/>
      <c r="C5831"/>
      <c r="D5831"/>
      <c r="E5831"/>
      <c r="F5831"/>
      <c r="G5831"/>
      <c r="H5831"/>
      <c r="I5831"/>
      <c r="J5831"/>
      <c r="K5831"/>
    </row>
    <row r="5832" spans="1:11">
      <c r="A5832"/>
      <c r="B5832"/>
      <c r="C5832"/>
      <c r="D5832"/>
      <c r="E5832"/>
      <c r="F5832"/>
      <c r="G5832"/>
      <c r="H5832"/>
      <c r="I5832"/>
      <c r="J5832"/>
      <c r="K5832"/>
    </row>
    <row r="5833" spans="1:11">
      <c r="A5833"/>
      <c r="B5833"/>
      <c r="C5833"/>
      <c r="D5833"/>
      <c r="E5833"/>
      <c r="F5833"/>
      <c r="G5833"/>
      <c r="H5833"/>
      <c r="I5833"/>
      <c r="J5833"/>
      <c r="K5833"/>
    </row>
    <row r="5834" spans="1:11">
      <c r="A5834"/>
      <c r="B5834"/>
      <c r="C5834"/>
      <c r="D5834"/>
      <c r="E5834"/>
      <c r="F5834"/>
      <c r="G5834"/>
      <c r="H5834"/>
      <c r="I5834"/>
      <c r="J5834"/>
      <c r="K5834"/>
    </row>
    <row r="5835" spans="1:11">
      <c r="A5835"/>
      <c r="B5835"/>
      <c r="C5835"/>
      <c r="D5835"/>
      <c r="E5835"/>
      <c r="F5835"/>
      <c r="G5835"/>
      <c r="H5835"/>
      <c r="I5835"/>
      <c r="J5835"/>
      <c r="K5835"/>
    </row>
    <row r="5836" spans="1:11">
      <c r="A5836"/>
      <c r="B5836"/>
      <c r="C5836"/>
      <c r="D5836"/>
      <c r="E5836"/>
      <c r="F5836"/>
      <c r="G5836"/>
      <c r="H5836"/>
      <c r="I5836"/>
      <c r="J5836"/>
      <c r="K5836"/>
    </row>
    <row r="5837" spans="1:11">
      <c r="A5837"/>
      <c r="B5837"/>
      <c r="C5837"/>
      <c r="D5837"/>
      <c r="E5837"/>
      <c r="F5837"/>
      <c r="G5837"/>
      <c r="H5837"/>
      <c r="I5837"/>
      <c r="J5837"/>
      <c r="K5837"/>
    </row>
    <row r="5838" spans="1:11">
      <c r="A5838"/>
      <c r="B5838"/>
      <c r="C5838"/>
      <c r="D5838"/>
      <c r="E5838"/>
      <c r="F5838"/>
      <c r="G5838"/>
      <c r="H5838"/>
      <c r="I5838"/>
      <c r="J5838"/>
      <c r="K5838"/>
    </row>
    <row r="5839" spans="1:11">
      <c r="A5839"/>
      <c r="B5839"/>
      <c r="C5839"/>
      <c r="D5839"/>
      <c r="E5839"/>
      <c r="F5839"/>
      <c r="G5839"/>
      <c r="H5839"/>
      <c r="I5839"/>
      <c r="J5839"/>
      <c r="K5839"/>
    </row>
    <row r="5840" spans="1:11">
      <c r="A5840"/>
      <c r="B5840"/>
      <c r="C5840"/>
      <c r="D5840"/>
      <c r="E5840"/>
      <c r="F5840"/>
      <c r="G5840"/>
      <c r="H5840"/>
      <c r="I5840"/>
      <c r="J5840"/>
      <c r="K5840"/>
    </row>
    <row r="5841" spans="1:11">
      <c r="A5841"/>
      <c r="B5841"/>
      <c r="C5841"/>
      <c r="D5841"/>
      <c r="E5841"/>
      <c r="F5841"/>
      <c r="G5841"/>
      <c r="H5841"/>
      <c r="I5841"/>
      <c r="J5841"/>
      <c r="K5841"/>
    </row>
    <row r="5842" spans="1:11">
      <c r="A5842"/>
      <c r="B5842"/>
      <c r="C5842"/>
      <c r="D5842"/>
      <c r="E5842"/>
      <c r="F5842"/>
      <c r="G5842"/>
      <c r="H5842"/>
      <c r="I5842"/>
      <c r="J5842"/>
      <c r="K5842"/>
    </row>
    <row r="5843" spans="1:11">
      <c r="A5843"/>
      <c r="B5843"/>
      <c r="C5843"/>
      <c r="D5843"/>
      <c r="E5843"/>
      <c r="F5843"/>
      <c r="G5843"/>
      <c r="H5843"/>
      <c r="I5843"/>
      <c r="J5843"/>
      <c r="K5843"/>
    </row>
    <row r="5844" spans="1:11">
      <c r="A5844"/>
      <c r="B5844"/>
      <c r="C5844"/>
      <c r="D5844"/>
      <c r="E5844"/>
      <c r="F5844"/>
      <c r="G5844"/>
      <c r="H5844"/>
      <c r="I5844"/>
      <c r="J5844"/>
      <c r="K5844"/>
    </row>
    <row r="5845" spans="1:11">
      <c r="A5845"/>
      <c r="B5845"/>
      <c r="C5845"/>
      <c r="D5845"/>
      <c r="E5845"/>
      <c r="F5845"/>
      <c r="G5845"/>
      <c r="H5845"/>
      <c r="I5845"/>
      <c r="J5845"/>
      <c r="K5845"/>
    </row>
    <row r="5846" spans="1:11">
      <c r="A5846"/>
      <c r="B5846"/>
      <c r="C5846"/>
      <c r="D5846"/>
      <c r="E5846"/>
      <c r="F5846"/>
      <c r="G5846"/>
      <c r="H5846"/>
      <c r="I5846"/>
      <c r="J5846"/>
      <c r="K5846"/>
    </row>
    <row r="5847" spans="1:11">
      <c r="A5847"/>
      <c r="B5847"/>
      <c r="C5847"/>
      <c r="D5847"/>
      <c r="E5847"/>
      <c r="F5847"/>
      <c r="G5847"/>
      <c r="H5847"/>
      <c r="I5847"/>
      <c r="J5847"/>
      <c r="K5847"/>
    </row>
    <row r="5848" spans="1:11">
      <c r="A5848"/>
      <c r="B5848"/>
      <c r="C5848"/>
      <c r="D5848"/>
      <c r="E5848"/>
      <c r="F5848"/>
      <c r="G5848"/>
      <c r="H5848"/>
      <c r="I5848"/>
      <c r="J5848"/>
      <c r="K5848"/>
    </row>
    <row r="5849" spans="1:11">
      <c r="A5849"/>
      <c r="B5849"/>
      <c r="C5849"/>
      <c r="D5849"/>
      <c r="E5849"/>
      <c r="F5849"/>
      <c r="G5849"/>
      <c r="H5849"/>
      <c r="I5849"/>
      <c r="J5849"/>
      <c r="K5849"/>
    </row>
    <row r="5850" spans="1:11">
      <c r="A5850"/>
      <c r="B5850"/>
      <c r="C5850"/>
      <c r="D5850"/>
      <c r="E5850"/>
      <c r="F5850"/>
      <c r="G5850"/>
      <c r="H5850"/>
      <c r="I5850"/>
      <c r="J5850"/>
      <c r="K5850"/>
    </row>
    <row r="5851" spans="1:11">
      <c r="A5851"/>
      <c r="B5851"/>
      <c r="C5851"/>
      <c r="D5851"/>
      <c r="E5851"/>
      <c r="F5851"/>
      <c r="G5851"/>
      <c r="H5851"/>
      <c r="I5851"/>
      <c r="J5851"/>
      <c r="K5851"/>
    </row>
    <row r="5852" spans="1:11">
      <c r="A5852"/>
      <c r="B5852"/>
      <c r="C5852"/>
      <c r="D5852"/>
      <c r="E5852"/>
      <c r="F5852"/>
      <c r="G5852"/>
      <c r="H5852"/>
      <c r="I5852"/>
      <c r="J5852"/>
      <c r="K5852"/>
    </row>
    <row r="5853" spans="1:11">
      <c r="A5853"/>
      <c r="B5853"/>
      <c r="C5853"/>
      <c r="D5853"/>
      <c r="E5853"/>
      <c r="F5853"/>
      <c r="G5853"/>
      <c r="H5853"/>
      <c r="I5853"/>
      <c r="J5853"/>
      <c r="K5853"/>
    </row>
    <row r="5854" spans="1:11">
      <c r="A5854"/>
      <c r="B5854"/>
      <c r="C5854"/>
      <c r="D5854"/>
      <c r="E5854"/>
      <c r="F5854"/>
      <c r="G5854"/>
      <c r="H5854"/>
      <c r="I5854"/>
      <c r="J5854"/>
      <c r="K5854"/>
    </row>
    <row r="5855" spans="1:11">
      <c r="A5855"/>
      <c r="B5855"/>
      <c r="C5855"/>
      <c r="D5855"/>
      <c r="E5855"/>
      <c r="F5855"/>
      <c r="G5855"/>
      <c r="H5855"/>
      <c r="I5855"/>
      <c r="J5855"/>
      <c r="K5855"/>
    </row>
    <row r="5856" spans="1:11">
      <c r="A5856"/>
      <c r="B5856"/>
      <c r="C5856"/>
      <c r="D5856"/>
      <c r="E5856"/>
      <c r="F5856"/>
      <c r="G5856"/>
      <c r="H5856"/>
      <c r="I5856"/>
      <c r="J5856"/>
      <c r="K5856"/>
    </row>
    <row r="5857" spans="1:11">
      <c r="A5857"/>
      <c r="B5857"/>
      <c r="C5857"/>
      <c r="D5857"/>
      <c r="E5857"/>
      <c r="F5857"/>
      <c r="G5857"/>
      <c r="H5857"/>
      <c r="I5857"/>
      <c r="J5857"/>
      <c r="K5857"/>
    </row>
    <row r="5858" spans="1:11">
      <c r="A5858"/>
      <c r="B5858"/>
      <c r="C5858"/>
      <c r="D5858"/>
      <c r="E5858"/>
      <c r="F5858"/>
      <c r="G5858"/>
      <c r="H5858"/>
      <c r="I5858"/>
      <c r="J5858"/>
      <c r="K5858"/>
    </row>
    <row r="5859" spans="1:11">
      <c r="A5859"/>
      <c r="B5859"/>
      <c r="C5859"/>
      <c r="D5859"/>
      <c r="E5859"/>
      <c r="F5859"/>
      <c r="G5859"/>
      <c r="H5859"/>
      <c r="I5859"/>
      <c r="J5859"/>
      <c r="K5859"/>
    </row>
    <row r="5860" spans="1:11">
      <c r="A5860"/>
      <c r="B5860"/>
      <c r="C5860"/>
      <c r="D5860"/>
      <c r="E5860"/>
      <c r="F5860"/>
      <c r="G5860"/>
      <c r="H5860"/>
      <c r="I5860"/>
      <c r="J5860"/>
      <c r="K5860"/>
    </row>
    <row r="5861" spans="1:11">
      <c r="A5861"/>
      <c r="B5861"/>
      <c r="C5861"/>
      <c r="D5861"/>
      <c r="E5861"/>
      <c r="F5861"/>
      <c r="G5861"/>
      <c r="H5861"/>
      <c r="I5861"/>
      <c r="J5861"/>
      <c r="K5861"/>
    </row>
    <row r="5862" spans="1:11">
      <c r="A5862"/>
      <c r="B5862"/>
      <c r="C5862"/>
      <c r="D5862"/>
      <c r="E5862"/>
      <c r="F5862"/>
      <c r="G5862"/>
      <c r="H5862"/>
      <c r="I5862"/>
      <c r="J5862"/>
      <c r="K5862"/>
    </row>
    <row r="5863" spans="1:11">
      <c r="A5863"/>
      <c r="B5863"/>
      <c r="C5863"/>
      <c r="D5863"/>
      <c r="E5863"/>
      <c r="F5863"/>
      <c r="G5863"/>
      <c r="H5863"/>
      <c r="I5863"/>
      <c r="J5863"/>
      <c r="K5863"/>
    </row>
    <row r="5864" spans="1:11">
      <c r="A5864"/>
      <c r="B5864"/>
      <c r="C5864"/>
      <c r="D5864"/>
      <c r="E5864"/>
      <c r="F5864"/>
      <c r="G5864"/>
      <c r="H5864"/>
      <c r="I5864"/>
      <c r="J5864"/>
      <c r="K5864"/>
    </row>
    <row r="5865" spans="1:11">
      <c r="A5865"/>
      <c r="B5865"/>
      <c r="C5865"/>
      <c r="D5865"/>
      <c r="E5865"/>
      <c r="F5865"/>
      <c r="G5865"/>
      <c r="H5865"/>
      <c r="I5865"/>
      <c r="J5865"/>
      <c r="K5865"/>
    </row>
    <row r="5866" spans="1:11">
      <c r="A5866"/>
      <c r="B5866"/>
      <c r="C5866"/>
      <c r="D5866"/>
      <c r="E5866"/>
      <c r="F5866"/>
      <c r="G5866"/>
      <c r="H5866"/>
      <c r="I5866"/>
      <c r="J5866"/>
      <c r="K5866"/>
    </row>
    <row r="5867" spans="1:11">
      <c r="A5867"/>
      <c r="B5867"/>
      <c r="C5867"/>
      <c r="D5867"/>
      <c r="E5867"/>
      <c r="F5867"/>
      <c r="G5867"/>
      <c r="H5867"/>
      <c r="I5867"/>
      <c r="J5867"/>
      <c r="K5867"/>
    </row>
    <row r="5868" spans="1:11">
      <c r="A5868"/>
      <c r="B5868"/>
      <c r="C5868"/>
      <c r="D5868"/>
      <c r="E5868"/>
      <c r="F5868"/>
      <c r="G5868"/>
      <c r="H5868"/>
      <c r="I5868"/>
      <c r="J5868"/>
      <c r="K5868"/>
    </row>
    <row r="5869" spans="1:11">
      <c r="A5869"/>
      <c r="B5869"/>
      <c r="C5869"/>
      <c r="D5869"/>
      <c r="E5869"/>
      <c r="F5869"/>
      <c r="G5869"/>
      <c r="H5869"/>
      <c r="I5869"/>
      <c r="J5869"/>
      <c r="K5869"/>
    </row>
    <row r="5870" spans="1:11">
      <c r="A5870"/>
      <c r="B5870"/>
      <c r="C5870"/>
      <c r="D5870"/>
      <c r="E5870"/>
      <c r="F5870"/>
      <c r="G5870"/>
      <c r="H5870"/>
      <c r="I5870"/>
      <c r="J5870"/>
      <c r="K5870"/>
    </row>
    <row r="5871" spans="1:11">
      <c r="A5871"/>
      <c r="B5871"/>
      <c r="C5871"/>
      <c r="D5871"/>
      <c r="E5871"/>
      <c r="F5871"/>
      <c r="G5871"/>
      <c r="H5871"/>
      <c r="I5871"/>
      <c r="J5871"/>
      <c r="K5871"/>
    </row>
    <row r="5872" spans="1:11">
      <c r="A5872"/>
      <c r="B5872"/>
      <c r="C5872"/>
      <c r="D5872"/>
      <c r="E5872"/>
      <c r="F5872"/>
      <c r="G5872"/>
      <c r="H5872"/>
      <c r="I5872"/>
      <c r="J5872"/>
      <c r="K5872"/>
    </row>
    <row r="5873" spans="1:11">
      <c r="A5873"/>
      <c r="B5873"/>
      <c r="C5873"/>
      <c r="D5873"/>
      <c r="E5873"/>
      <c r="F5873"/>
      <c r="G5873"/>
      <c r="H5873"/>
      <c r="I5873"/>
      <c r="J5873"/>
      <c r="K5873"/>
    </row>
    <row r="5874" spans="1:11">
      <c r="A5874"/>
      <c r="B5874"/>
      <c r="C5874"/>
      <c r="D5874"/>
      <c r="E5874"/>
      <c r="F5874"/>
      <c r="G5874"/>
      <c r="H5874"/>
      <c r="I5874"/>
      <c r="J5874"/>
      <c r="K5874"/>
    </row>
    <row r="5875" spans="1:11">
      <c r="A5875"/>
      <c r="B5875"/>
      <c r="C5875"/>
      <c r="D5875"/>
      <c r="E5875"/>
      <c r="F5875"/>
      <c r="G5875"/>
      <c r="H5875"/>
      <c r="I5875"/>
      <c r="J5875"/>
      <c r="K5875"/>
    </row>
    <row r="5876" spans="1:11">
      <c r="A5876"/>
      <c r="B5876"/>
      <c r="C5876"/>
      <c r="D5876"/>
      <c r="E5876"/>
      <c r="F5876"/>
      <c r="G5876"/>
      <c r="H5876"/>
      <c r="I5876"/>
      <c r="J5876"/>
      <c r="K5876"/>
    </row>
    <row r="5877" spans="1:11">
      <c r="A5877"/>
      <c r="B5877"/>
      <c r="C5877"/>
      <c r="D5877"/>
      <c r="E5877"/>
      <c r="F5877"/>
      <c r="G5877"/>
      <c r="H5877"/>
      <c r="I5877"/>
      <c r="J5877"/>
      <c r="K5877"/>
    </row>
    <row r="5878" spans="1:11">
      <c r="A5878"/>
      <c r="B5878"/>
      <c r="C5878"/>
      <c r="D5878"/>
      <c r="E5878"/>
      <c r="F5878"/>
      <c r="G5878"/>
      <c r="H5878"/>
      <c r="I5878"/>
      <c r="J5878"/>
      <c r="K5878"/>
    </row>
    <row r="5879" spans="1:11">
      <c r="A5879"/>
      <c r="B5879"/>
      <c r="C5879"/>
      <c r="D5879"/>
      <c r="E5879"/>
      <c r="F5879"/>
      <c r="G5879"/>
      <c r="H5879"/>
      <c r="I5879"/>
      <c r="J5879"/>
      <c r="K5879"/>
    </row>
    <row r="5880" spans="1:11">
      <c r="A5880"/>
      <c r="B5880"/>
      <c r="C5880"/>
      <c r="D5880"/>
      <c r="E5880"/>
      <c r="F5880"/>
      <c r="G5880"/>
      <c r="H5880"/>
      <c r="I5880"/>
      <c r="J5880"/>
      <c r="K5880"/>
    </row>
    <row r="5881" spans="1:11">
      <c r="A5881"/>
      <c r="B5881"/>
      <c r="C5881"/>
      <c r="D5881"/>
      <c r="E5881"/>
      <c r="F5881"/>
      <c r="G5881"/>
      <c r="H5881"/>
      <c r="I5881"/>
      <c r="J5881"/>
      <c r="K5881"/>
    </row>
    <row r="5882" spans="1:11">
      <c r="A5882"/>
      <c r="B5882"/>
      <c r="C5882"/>
      <c r="D5882"/>
      <c r="E5882"/>
      <c r="F5882"/>
      <c r="G5882"/>
      <c r="H5882"/>
      <c r="I5882"/>
      <c r="J5882"/>
      <c r="K5882"/>
    </row>
    <row r="5883" spans="1:11">
      <c r="A5883"/>
      <c r="B5883"/>
      <c r="C5883"/>
      <c r="D5883"/>
      <c r="E5883"/>
      <c r="F5883"/>
      <c r="G5883"/>
      <c r="H5883"/>
      <c r="I5883"/>
      <c r="J5883"/>
      <c r="K5883"/>
    </row>
    <row r="5884" spans="1:11">
      <c r="A5884"/>
      <c r="B5884"/>
      <c r="C5884"/>
      <c r="D5884"/>
      <c r="E5884"/>
      <c r="F5884"/>
      <c r="G5884"/>
      <c r="H5884"/>
      <c r="I5884"/>
      <c r="J5884"/>
      <c r="K5884"/>
    </row>
    <row r="5885" spans="1:11">
      <c r="A5885"/>
      <c r="B5885"/>
      <c r="C5885"/>
      <c r="D5885"/>
      <c r="E5885"/>
      <c r="F5885"/>
      <c r="G5885"/>
      <c r="H5885"/>
      <c r="I5885"/>
      <c r="J5885"/>
      <c r="K5885"/>
    </row>
    <row r="5886" spans="1:11">
      <c r="A5886"/>
      <c r="B5886"/>
      <c r="C5886"/>
      <c r="D5886"/>
      <c r="E5886"/>
      <c r="F5886"/>
      <c r="G5886"/>
      <c r="H5886"/>
      <c r="I5886"/>
      <c r="J5886"/>
      <c r="K5886"/>
    </row>
    <row r="5887" spans="1:11">
      <c r="A5887"/>
      <c r="B5887"/>
      <c r="C5887"/>
      <c r="D5887"/>
      <c r="E5887"/>
      <c r="F5887"/>
      <c r="G5887"/>
      <c r="H5887"/>
      <c r="I5887"/>
      <c r="J5887"/>
      <c r="K5887"/>
    </row>
    <row r="5888" spans="1:11">
      <c r="A5888"/>
      <c r="B5888"/>
      <c r="C5888"/>
      <c r="D5888"/>
      <c r="E5888"/>
      <c r="F5888"/>
      <c r="G5888"/>
      <c r="H5888"/>
      <c r="I5888"/>
      <c r="J5888"/>
      <c r="K5888"/>
    </row>
    <row r="5889" spans="1:11">
      <c r="A5889"/>
      <c r="B5889"/>
      <c r="C5889"/>
      <c r="D5889"/>
      <c r="E5889"/>
      <c r="F5889"/>
      <c r="G5889"/>
      <c r="H5889"/>
      <c r="I5889"/>
      <c r="J5889"/>
      <c r="K5889"/>
    </row>
    <row r="5890" spans="1:11">
      <c r="A5890"/>
      <c r="B5890"/>
      <c r="C5890"/>
      <c r="D5890"/>
      <c r="E5890"/>
      <c r="F5890"/>
      <c r="G5890"/>
      <c r="H5890"/>
      <c r="I5890"/>
      <c r="J5890"/>
      <c r="K5890"/>
    </row>
    <row r="5891" spans="1:11">
      <c r="A5891"/>
      <c r="B5891"/>
      <c r="C5891"/>
      <c r="D5891"/>
      <c r="E5891"/>
      <c r="F5891"/>
      <c r="G5891"/>
      <c r="H5891"/>
      <c r="I5891"/>
      <c r="J5891"/>
      <c r="K5891"/>
    </row>
    <row r="5892" spans="1:11">
      <c r="A5892"/>
      <c r="B5892"/>
      <c r="C5892"/>
      <c r="D5892"/>
      <c r="E5892"/>
      <c r="F5892"/>
      <c r="G5892"/>
      <c r="H5892"/>
      <c r="I5892"/>
      <c r="J5892"/>
      <c r="K5892"/>
    </row>
    <row r="5893" spans="1:11">
      <c r="A5893"/>
      <c r="B5893"/>
      <c r="C5893"/>
      <c r="D5893"/>
      <c r="E5893"/>
      <c r="F5893"/>
      <c r="G5893"/>
      <c r="H5893"/>
      <c r="I5893"/>
      <c r="J5893"/>
      <c r="K5893"/>
    </row>
    <row r="5894" spans="1:11">
      <c r="A5894"/>
      <c r="B5894"/>
      <c r="C5894"/>
      <c r="D5894"/>
      <c r="E5894"/>
      <c r="F5894"/>
      <c r="G5894"/>
      <c r="H5894"/>
      <c r="I5894"/>
      <c r="J5894"/>
      <c r="K5894"/>
    </row>
    <row r="5895" spans="1:11">
      <c r="A5895"/>
      <c r="B5895"/>
      <c r="C5895"/>
      <c r="D5895"/>
      <c r="E5895"/>
      <c r="F5895"/>
      <c r="G5895"/>
      <c r="H5895"/>
      <c r="I5895"/>
      <c r="J5895"/>
      <c r="K5895"/>
    </row>
    <row r="5896" spans="1:11">
      <c r="A5896"/>
      <c r="B5896"/>
      <c r="C5896"/>
      <c r="D5896"/>
      <c r="E5896"/>
      <c r="F5896"/>
      <c r="G5896"/>
      <c r="H5896"/>
      <c r="I5896"/>
      <c r="J5896"/>
      <c r="K5896"/>
    </row>
    <row r="5897" spans="1:11">
      <c r="A5897"/>
      <c r="B5897"/>
      <c r="C5897"/>
      <c r="D5897"/>
      <c r="E5897"/>
      <c r="F5897"/>
      <c r="G5897"/>
      <c r="H5897"/>
      <c r="I5897"/>
      <c r="J5897"/>
      <c r="K5897"/>
    </row>
    <row r="5898" spans="1:11">
      <c r="A5898"/>
      <c r="B5898"/>
      <c r="C5898"/>
      <c r="D5898"/>
      <c r="E5898"/>
      <c r="F5898"/>
      <c r="G5898"/>
      <c r="H5898"/>
      <c r="I5898"/>
      <c r="J5898"/>
      <c r="K5898"/>
    </row>
    <row r="5899" spans="1:11">
      <c r="A5899"/>
      <c r="B5899"/>
      <c r="C5899"/>
      <c r="D5899"/>
      <c r="E5899"/>
      <c r="F5899"/>
      <c r="G5899"/>
      <c r="H5899"/>
      <c r="I5899"/>
      <c r="J5899"/>
      <c r="K5899"/>
    </row>
    <row r="5900" spans="1:11">
      <c r="A5900"/>
      <c r="B5900"/>
      <c r="C5900"/>
      <c r="D5900"/>
      <c r="E5900"/>
      <c r="F5900"/>
      <c r="G5900"/>
      <c r="H5900"/>
      <c r="I5900"/>
      <c r="J5900"/>
      <c r="K5900"/>
    </row>
    <row r="5901" spans="1:11">
      <c r="A5901"/>
      <c r="B5901"/>
      <c r="C5901"/>
      <c r="D5901"/>
      <c r="E5901"/>
      <c r="F5901"/>
      <c r="G5901"/>
      <c r="H5901"/>
      <c r="I5901"/>
      <c r="J5901"/>
      <c r="K5901"/>
    </row>
    <row r="5902" spans="1:11">
      <c r="A5902"/>
      <c r="B5902"/>
      <c r="C5902"/>
      <c r="D5902"/>
      <c r="E5902"/>
      <c r="F5902"/>
      <c r="G5902"/>
      <c r="H5902"/>
      <c r="I5902"/>
      <c r="J5902"/>
      <c r="K5902"/>
    </row>
    <row r="5903" spans="1:11">
      <c r="A5903"/>
      <c r="B5903"/>
      <c r="C5903"/>
      <c r="D5903"/>
      <c r="E5903"/>
      <c r="F5903"/>
      <c r="G5903"/>
      <c r="H5903"/>
      <c r="I5903"/>
      <c r="J5903"/>
      <c r="K5903"/>
    </row>
    <row r="5904" spans="1:11">
      <c r="A5904"/>
      <c r="B5904"/>
      <c r="C5904"/>
      <c r="D5904"/>
      <c r="E5904"/>
      <c r="F5904"/>
      <c r="G5904"/>
      <c r="H5904"/>
      <c r="I5904"/>
      <c r="J5904"/>
      <c r="K5904"/>
    </row>
    <row r="5905" spans="1:11">
      <c r="A5905"/>
      <c r="B5905"/>
      <c r="C5905"/>
      <c r="D5905"/>
      <c r="E5905"/>
      <c r="F5905"/>
      <c r="G5905"/>
      <c r="H5905"/>
      <c r="I5905"/>
      <c r="J5905"/>
      <c r="K5905"/>
    </row>
    <row r="5906" spans="1:11">
      <c r="A5906"/>
      <c r="B5906"/>
      <c r="C5906"/>
      <c r="D5906"/>
      <c r="E5906"/>
      <c r="F5906"/>
      <c r="G5906"/>
      <c r="H5906"/>
      <c r="I5906"/>
      <c r="J5906"/>
      <c r="K5906"/>
    </row>
    <row r="5907" spans="1:11">
      <c r="A5907"/>
      <c r="B5907"/>
      <c r="C5907"/>
      <c r="D5907"/>
      <c r="E5907"/>
      <c r="F5907"/>
      <c r="G5907"/>
      <c r="H5907"/>
      <c r="I5907"/>
      <c r="J5907"/>
      <c r="K5907"/>
    </row>
    <row r="5908" spans="1:11">
      <c r="A5908"/>
      <c r="B5908"/>
      <c r="C5908"/>
      <c r="D5908"/>
      <c r="E5908"/>
      <c r="F5908"/>
      <c r="G5908"/>
      <c r="H5908"/>
      <c r="I5908"/>
      <c r="J5908"/>
      <c r="K5908"/>
    </row>
    <row r="5909" spans="1:11">
      <c r="A5909"/>
      <c r="B5909"/>
      <c r="C5909"/>
      <c r="D5909"/>
      <c r="E5909"/>
      <c r="F5909"/>
      <c r="G5909"/>
      <c r="H5909"/>
      <c r="I5909"/>
      <c r="J5909"/>
      <c r="K5909"/>
    </row>
    <row r="5910" spans="1:11">
      <c r="A5910"/>
      <c r="B5910"/>
      <c r="C5910"/>
      <c r="D5910"/>
      <c r="E5910"/>
      <c r="F5910"/>
      <c r="G5910"/>
      <c r="H5910"/>
      <c r="I5910"/>
      <c r="J5910"/>
      <c r="K5910"/>
    </row>
    <row r="5911" spans="1:11">
      <c r="A5911"/>
      <c r="B5911"/>
      <c r="C5911"/>
      <c r="D5911"/>
      <c r="E5911"/>
      <c r="F5911"/>
      <c r="G5911"/>
      <c r="H5911"/>
      <c r="I5911"/>
      <c r="J5911"/>
      <c r="K5911"/>
    </row>
    <row r="5912" spans="1:11">
      <c r="A5912"/>
      <c r="B5912"/>
      <c r="C5912"/>
      <c r="D5912"/>
      <c r="E5912"/>
      <c r="F5912"/>
      <c r="G5912"/>
      <c r="H5912"/>
      <c r="I5912"/>
      <c r="J5912"/>
      <c r="K5912"/>
    </row>
    <row r="5913" spans="1:11">
      <c r="A5913"/>
      <c r="B5913"/>
      <c r="C5913"/>
      <c r="D5913"/>
      <c r="E5913"/>
      <c r="F5913"/>
      <c r="G5913"/>
      <c r="H5913"/>
      <c r="I5913"/>
      <c r="J5913"/>
      <c r="K5913"/>
    </row>
    <row r="5914" spans="1:11">
      <c r="A5914"/>
      <c r="B5914"/>
      <c r="C5914"/>
      <c r="D5914"/>
      <c r="E5914"/>
      <c r="F5914"/>
      <c r="G5914"/>
      <c r="H5914"/>
      <c r="I5914"/>
      <c r="J5914"/>
      <c r="K5914"/>
    </row>
    <row r="5915" spans="1:11">
      <c r="A5915"/>
      <c r="B5915"/>
      <c r="C5915"/>
      <c r="D5915"/>
      <c r="E5915"/>
      <c r="F5915"/>
      <c r="G5915"/>
      <c r="H5915"/>
      <c r="I5915"/>
      <c r="J5915"/>
      <c r="K5915"/>
    </row>
    <row r="5916" spans="1:11">
      <c r="A5916"/>
      <c r="B5916"/>
      <c r="C5916"/>
      <c r="D5916"/>
      <c r="E5916"/>
      <c r="F5916"/>
      <c r="G5916"/>
      <c r="H5916"/>
      <c r="I5916"/>
      <c r="J5916"/>
      <c r="K5916"/>
    </row>
    <row r="5917" spans="1:11">
      <c r="A5917"/>
      <c r="B5917"/>
      <c r="C5917"/>
      <c r="D5917"/>
      <c r="E5917"/>
      <c r="F5917"/>
      <c r="G5917"/>
      <c r="H5917"/>
      <c r="I5917"/>
      <c r="J5917"/>
      <c r="K5917"/>
    </row>
    <row r="5918" spans="1:11">
      <c r="A5918"/>
      <c r="B5918"/>
      <c r="C5918"/>
      <c r="D5918"/>
      <c r="E5918"/>
      <c r="F5918"/>
      <c r="G5918"/>
      <c r="H5918"/>
      <c r="I5918"/>
      <c r="J5918"/>
      <c r="K5918"/>
    </row>
    <row r="5919" spans="1:11">
      <c r="A5919"/>
      <c r="B5919"/>
      <c r="C5919"/>
      <c r="D5919"/>
      <c r="E5919"/>
      <c r="F5919"/>
      <c r="G5919"/>
      <c r="H5919"/>
      <c r="I5919"/>
      <c r="J5919"/>
      <c r="K5919"/>
    </row>
    <row r="5920" spans="1:11">
      <c r="A5920"/>
      <c r="B5920"/>
      <c r="C5920"/>
      <c r="D5920"/>
      <c r="E5920"/>
      <c r="F5920"/>
      <c r="G5920"/>
      <c r="H5920"/>
      <c r="I5920"/>
      <c r="J5920"/>
      <c r="K5920"/>
    </row>
    <row r="5921" spans="1:11">
      <c r="A5921"/>
      <c r="B5921"/>
      <c r="C5921"/>
      <c r="D5921"/>
      <c r="E5921"/>
      <c r="F5921"/>
      <c r="G5921"/>
      <c r="H5921"/>
      <c r="I5921"/>
      <c r="J5921"/>
      <c r="K5921"/>
    </row>
    <row r="5922" spans="1:11">
      <c r="A5922"/>
      <c r="B5922"/>
      <c r="C5922"/>
      <c r="D5922"/>
      <c r="E5922"/>
      <c r="F5922"/>
      <c r="G5922"/>
      <c r="H5922"/>
      <c r="I5922"/>
      <c r="J5922"/>
      <c r="K5922"/>
    </row>
    <row r="5923" spans="1:11">
      <c r="A5923"/>
      <c r="B5923"/>
      <c r="C5923"/>
      <c r="D5923"/>
      <c r="E5923"/>
      <c r="F5923"/>
      <c r="G5923"/>
      <c r="H5923"/>
      <c r="I5923"/>
      <c r="J5923"/>
      <c r="K5923"/>
    </row>
    <row r="5924" spans="1:11">
      <c r="A5924"/>
      <c r="B5924"/>
      <c r="C5924"/>
      <c r="D5924"/>
      <c r="E5924"/>
      <c r="F5924"/>
      <c r="G5924"/>
      <c r="H5924"/>
      <c r="I5924"/>
      <c r="J5924"/>
      <c r="K5924"/>
    </row>
    <row r="5925" spans="1:11">
      <c r="A5925"/>
      <c r="B5925"/>
      <c r="C5925"/>
      <c r="D5925"/>
      <c r="E5925"/>
      <c r="F5925"/>
      <c r="G5925"/>
      <c r="H5925"/>
      <c r="I5925"/>
      <c r="J5925"/>
      <c r="K5925"/>
    </row>
    <row r="5926" spans="1:11">
      <c r="A5926"/>
      <c r="B5926"/>
      <c r="C5926"/>
      <c r="D5926"/>
      <c r="E5926"/>
      <c r="F5926"/>
      <c r="G5926"/>
      <c r="H5926"/>
      <c r="I5926"/>
      <c r="J5926"/>
      <c r="K5926"/>
    </row>
    <row r="5927" spans="1:11">
      <c r="A5927"/>
      <c r="B5927"/>
      <c r="C5927"/>
      <c r="D5927"/>
      <c r="E5927"/>
      <c r="F5927"/>
      <c r="G5927"/>
      <c r="H5927"/>
      <c r="I5927"/>
      <c r="J5927"/>
      <c r="K5927"/>
    </row>
    <row r="5928" spans="1:11">
      <c r="A5928"/>
      <c r="B5928"/>
      <c r="C5928"/>
      <c r="D5928"/>
      <c r="E5928"/>
      <c r="F5928"/>
      <c r="G5928"/>
      <c r="H5928"/>
      <c r="I5928"/>
      <c r="J5928"/>
      <c r="K5928"/>
    </row>
    <row r="5929" spans="1:11">
      <c r="A5929"/>
      <c r="B5929"/>
      <c r="C5929"/>
      <c r="D5929"/>
      <c r="E5929"/>
      <c r="F5929"/>
      <c r="G5929"/>
      <c r="H5929"/>
      <c r="I5929"/>
      <c r="J5929"/>
      <c r="K5929"/>
    </row>
    <row r="5930" spans="1:11">
      <c r="A5930"/>
      <c r="B5930"/>
      <c r="C5930"/>
      <c r="D5930"/>
      <c r="E5930"/>
      <c r="F5930"/>
      <c r="G5930"/>
      <c r="H5930"/>
      <c r="I5930"/>
      <c r="J5930"/>
      <c r="K5930"/>
    </row>
    <row r="5931" spans="1:11">
      <c r="A5931"/>
      <c r="B5931"/>
      <c r="C5931"/>
      <c r="D5931"/>
      <c r="E5931"/>
      <c r="F5931"/>
      <c r="G5931"/>
      <c r="H5931"/>
      <c r="I5931"/>
      <c r="J5931"/>
      <c r="K5931"/>
    </row>
    <row r="5932" spans="1:11">
      <c r="A5932"/>
      <c r="B5932"/>
      <c r="C5932"/>
      <c r="D5932"/>
      <c r="E5932"/>
      <c r="F5932"/>
      <c r="G5932"/>
      <c r="H5932"/>
      <c r="I5932"/>
      <c r="J5932"/>
      <c r="K5932"/>
    </row>
    <row r="5933" spans="1:11">
      <c r="A5933"/>
      <c r="B5933"/>
      <c r="C5933"/>
      <c r="D5933"/>
      <c r="E5933"/>
      <c r="F5933"/>
      <c r="G5933"/>
      <c r="H5933"/>
      <c r="I5933"/>
      <c r="J5933"/>
      <c r="K5933"/>
    </row>
    <row r="5934" spans="1:11">
      <c r="A5934"/>
      <c r="B5934"/>
      <c r="C5934"/>
      <c r="D5934"/>
      <c r="E5934"/>
      <c r="F5934"/>
      <c r="G5934"/>
      <c r="H5934"/>
      <c r="I5934"/>
      <c r="J5934"/>
      <c r="K5934"/>
    </row>
    <row r="5935" spans="1:11">
      <c r="A5935"/>
      <c r="B5935"/>
      <c r="C5935"/>
      <c r="D5935"/>
      <c r="E5935"/>
      <c r="F5935"/>
      <c r="G5935"/>
      <c r="H5935"/>
      <c r="I5935"/>
      <c r="J5935"/>
      <c r="K5935"/>
    </row>
    <row r="5936" spans="1:11">
      <c r="A5936"/>
      <c r="B5936"/>
      <c r="C5936"/>
      <c r="D5936"/>
      <c r="E5936"/>
      <c r="F5936"/>
      <c r="G5936"/>
      <c r="H5936"/>
      <c r="I5936"/>
      <c r="J5936"/>
      <c r="K5936"/>
    </row>
    <row r="5937" spans="1:11">
      <c r="A5937"/>
      <c r="B5937"/>
      <c r="C5937"/>
      <c r="D5937"/>
      <c r="E5937"/>
      <c r="F5937"/>
      <c r="G5937"/>
      <c r="H5937"/>
      <c r="I5937"/>
      <c r="J5937"/>
      <c r="K5937"/>
    </row>
    <row r="5938" spans="1:11">
      <c r="A5938"/>
      <c r="B5938"/>
      <c r="C5938"/>
      <c r="D5938"/>
      <c r="E5938"/>
      <c r="F5938"/>
      <c r="G5938"/>
      <c r="H5938"/>
      <c r="I5938"/>
      <c r="J5938"/>
      <c r="K5938"/>
    </row>
    <row r="5939" spans="1:11">
      <c r="A5939"/>
      <c r="B5939"/>
      <c r="C5939"/>
      <c r="D5939"/>
      <c r="E5939"/>
      <c r="F5939"/>
      <c r="G5939"/>
      <c r="H5939"/>
      <c r="I5939"/>
      <c r="J5939"/>
      <c r="K5939"/>
    </row>
    <row r="5940" spans="1:11">
      <c r="A5940"/>
      <c r="B5940"/>
      <c r="C5940"/>
      <c r="D5940"/>
      <c r="E5940"/>
      <c r="F5940"/>
      <c r="G5940"/>
      <c r="H5940"/>
      <c r="I5940"/>
      <c r="J5940"/>
      <c r="K5940"/>
    </row>
    <row r="5941" spans="1:11">
      <c r="A5941"/>
      <c r="B5941"/>
      <c r="C5941"/>
      <c r="D5941"/>
      <c r="E5941"/>
      <c r="F5941"/>
      <c r="G5941"/>
      <c r="H5941"/>
      <c r="I5941"/>
      <c r="J5941"/>
      <c r="K5941"/>
    </row>
    <row r="5942" spans="1:11">
      <c r="A5942"/>
      <c r="B5942"/>
      <c r="C5942"/>
      <c r="D5942"/>
      <c r="E5942"/>
      <c r="F5942"/>
      <c r="G5942"/>
      <c r="H5942"/>
      <c r="I5942"/>
      <c r="J5942"/>
      <c r="K5942"/>
    </row>
    <row r="5943" spans="1:11">
      <c r="A5943"/>
      <c r="B5943"/>
      <c r="C5943"/>
      <c r="D5943"/>
      <c r="E5943"/>
      <c r="F5943"/>
      <c r="G5943"/>
      <c r="H5943"/>
      <c r="I5943"/>
      <c r="J5943"/>
      <c r="K5943"/>
    </row>
    <row r="5944" spans="1:11">
      <c r="A5944"/>
      <c r="B5944"/>
      <c r="C5944"/>
      <c r="D5944"/>
      <c r="E5944"/>
      <c r="F5944"/>
      <c r="G5944"/>
      <c r="H5944"/>
      <c r="I5944"/>
      <c r="J5944"/>
      <c r="K5944"/>
    </row>
    <row r="5945" spans="1:11">
      <c r="A5945"/>
      <c r="B5945"/>
      <c r="C5945"/>
      <c r="D5945"/>
      <c r="E5945"/>
      <c r="F5945"/>
      <c r="G5945"/>
      <c r="H5945"/>
      <c r="I5945"/>
      <c r="J5945"/>
      <c r="K5945"/>
    </row>
    <row r="5946" spans="1:11">
      <c r="A5946"/>
      <c r="B5946"/>
      <c r="C5946"/>
      <c r="D5946"/>
      <c r="E5946"/>
      <c r="F5946"/>
      <c r="G5946"/>
      <c r="H5946"/>
      <c r="I5946"/>
      <c r="J5946"/>
      <c r="K5946"/>
    </row>
    <row r="5947" spans="1:11">
      <c r="A5947"/>
      <c r="B5947"/>
      <c r="C5947"/>
      <c r="D5947"/>
      <c r="E5947"/>
      <c r="F5947"/>
      <c r="G5947"/>
      <c r="H5947"/>
      <c r="I5947"/>
      <c r="J5947"/>
      <c r="K5947"/>
    </row>
    <row r="5948" spans="1:11">
      <c r="A5948"/>
      <c r="B5948"/>
      <c r="C5948"/>
      <c r="D5948"/>
      <c r="E5948"/>
      <c r="F5948"/>
      <c r="G5948"/>
      <c r="H5948"/>
      <c r="I5948"/>
      <c r="J5948"/>
      <c r="K5948"/>
    </row>
    <row r="5949" spans="1:11">
      <c r="A5949"/>
      <c r="B5949"/>
      <c r="C5949"/>
      <c r="D5949"/>
      <c r="E5949"/>
      <c r="F5949"/>
      <c r="G5949"/>
      <c r="H5949"/>
      <c r="I5949"/>
      <c r="J5949"/>
      <c r="K5949"/>
    </row>
    <row r="5950" spans="1:11">
      <c r="A5950"/>
      <c r="B5950"/>
      <c r="C5950"/>
      <c r="D5950"/>
      <c r="E5950"/>
      <c r="F5950"/>
      <c r="G5950"/>
      <c r="H5950"/>
      <c r="I5950"/>
      <c r="J5950"/>
      <c r="K5950"/>
    </row>
    <row r="5951" spans="1:11">
      <c r="A5951"/>
      <c r="B5951"/>
      <c r="C5951"/>
      <c r="D5951"/>
      <c r="E5951"/>
      <c r="F5951"/>
      <c r="G5951"/>
      <c r="H5951"/>
      <c r="I5951"/>
      <c r="J5951"/>
      <c r="K5951"/>
    </row>
    <row r="5952" spans="1:11">
      <c r="A5952"/>
      <c r="B5952"/>
      <c r="C5952"/>
      <c r="D5952"/>
      <c r="E5952"/>
      <c r="F5952"/>
      <c r="G5952"/>
      <c r="H5952"/>
      <c r="I5952"/>
      <c r="J5952"/>
      <c r="K5952"/>
    </row>
    <row r="5953" spans="1:11">
      <c r="A5953"/>
      <c r="B5953"/>
      <c r="C5953"/>
      <c r="D5953"/>
      <c r="E5953"/>
      <c r="F5953"/>
      <c r="G5953"/>
      <c r="H5953"/>
      <c r="I5953"/>
      <c r="J5953"/>
      <c r="K5953"/>
    </row>
    <row r="5954" spans="1:11">
      <c r="A5954"/>
      <c r="B5954"/>
      <c r="C5954"/>
      <c r="D5954"/>
      <c r="E5954"/>
      <c r="F5954"/>
      <c r="G5954"/>
      <c r="H5954"/>
      <c r="I5954"/>
      <c r="J5954"/>
      <c r="K5954"/>
    </row>
    <row r="5955" spans="1:11">
      <c r="A5955"/>
      <c r="B5955"/>
      <c r="C5955"/>
      <c r="D5955"/>
      <c r="E5955"/>
      <c r="F5955"/>
      <c r="G5955"/>
      <c r="H5955"/>
      <c r="I5955"/>
      <c r="J5955"/>
      <c r="K5955"/>
    </row>
    <row r="5956" spans="1:11">
      <c r="A5956"/>
      <c r="B5956"/>
      <c r="C5956"/>
      <c r="D5956"/>
      <c r="E5956"/>
      <c r="F5956"/>
      <c r="G5956"/>
      <c r="H5956"/>
      <c r="I5956"/>
      <c r="J5956"/>
      <c r="K5956"/>
    </row>
    <row r="5957" spans="1:11">
      <c r="A5957"/>
      <c r="B5957"/>
      <c r="C5957"/>
      <c r="D5957"/>
      <c r="E5957"/>
      <c r="F5957"/>
      <c r="G5957"/>
      <c r="H5957"/>
      <c r="I5957"/>
      <c r="J5957"/>
      <c r="K5957"/>
    </row>
    <row r="5958" spans="1:11">
      <c r="A5958"/>
      <c r="B5958"/>
      <c r="C5958"/>
      <c r="D5958"/>
      <c r="E5958"/>
      <c r="F5958"/>
      <c r="G5958"/>
      <c r="H5958"/>
      <c r="I5958"/>
      <c r="J5958"/>
      <c r="K5958"/>
    </row>
    <row r="5959" spans="1:11">
      <c r="A5959"/>
      <c r="B5959"/>
      <c r="C5959"/>
      <c r="D5959"/>
      <c r="E5959"/>
      <c r="F5959"/>
      <c r="G5959"/>
      <c r="H5959"/>
      <c r="I5959"/>
      <c r="J5959"/>
      <c r="K5959"/>
    </row>
    <row r="5960" spans="1:11">
      <c r="A5960"/>
      <c r="B5960"/>
      <c r="C5960"/>
      <c r="D5960"/>
      <c r="E5960"/>
      <c r="F5960"/>
      <c r="G5960"/>
      <c r="H5960"/>
      <c r="I5960"/>
      <c r="J5960"/>
      <c r="K5960"/>
    </row>
    <row r="5961" spans="1:11">
      <c r="A5961"/>
      <c r="B5961"/>
      <c r="C5961"/>
      <c r="D5961"/>
      <c r="E5961"/>
      <c r="F5961"/>
      <c r="G5961"/>
      <c r="H5961"/>
      <c r="I5961"/>
      <c r="J5961"/>
      <c r="K5961"/>
    </row>
    <row r="5962" spans="1:11">
      <c r="A5962"/>
      <c r="B5962"/>
      <c r="C5962"/>
      <c r="D5962"/>
      <c r="E5962"/>
      <c r="F5962"/>
      <c r="G5962"/>
      <c r="H5962"/>
      <c r="I5962"/>
      <c r="J5962"/>
      <c r="K5962"/>
    </row>
    <row r="5963" spans="1:11">
      <c r="A5963"/>
      <c r="B5963"/>
      <c r="C5963"/>
      <c r="D5963"/>
      <c r="E5963"/>
      <c r="F5963"/>
      <c r="G5963"/>
      <c r="H5963"/>
      <c r="I5963"/>
      <c r="J5963"/>
      <c r="K5963"/>
    </row>
    <row r="5964" spans="1:11">
      <c r="A5964"/>
      <c r="B5964"/>
      <c r="C5964"/>
      <c r="D5964"/>
      <c r="E5964"/>
      <c r="F5964"/>
      <c r="G5964"/>
      <c r="H5964"/>
      <c r="I5964"/>
      <c r="J5964"/>
      <c r="K5964"/>
    </row>
    <row r="5965" spans="1:11">
      <c r="A5965"/>
      <c r="B5965"/>
      <c r="C5965"/>
      <c r="D5965"/>
      <c r="E5965"/>
      <c r="F5965"/>
      <c r="G5965"/>
      <c r="H5965"/>
      <c r="I5965"/>
      <c r="J5965"/>
      <c r="K5965"/>
    </row>
    <row r="5966" spans="1:11">
      <c r="A5966"/>
      <c r="B5966"/>
      <c r="C5966"/>
      <c r="D5966"/>
      <c r="E5966"/>
      <c r="F5966"/>
      <c r="G5966"/>
      <c r="H5966"/>
      <c r="I5966"/>
      <c r="J5966"/>
      <c r="K5966"/>
    </row>
    <row r="5967" spans="1:11">
      <c r="A5967"/>
      <c r="B5967"/>
      <c r="C5967"/>
      <c r="D5967"/>
      <c r="E5967"/>
      <c r="F5967"/>
      <c r="G5967"/>
      <c r="H5967"/>
      <c r="I5967"/>
      <c r="J5967"/>
      <c r="K5967"/>
    </row>
    <row r="5968" spans="1:11">
      <c r="A5968"/>
      <c r="B5968"/>
      <c r="C5968"/>
      <c r="D5968"/>
      <c r="E5968"/>
      <c r="F5968"/>
      <c r="G5968"/>
      <c r="H5968"/>
      <c r="I5968"/>
      <c r="J5968"/>
      <c r="K5968"/>
    </row>
    <row r="5969" spans="1:11">
      <c r="A5969"/>
      <c r="B5969"/>
      <c r="C5969"/>
      <c r="D5969"/>
      <c r="E5969"/>
      <c r="F5969"/>
      <c r="G5969"/>
      <c r="H5969"/>
      <c r="I5969"/>
      <c r="J5969"/>
      <c r="K5969"/>
    </row>
    <row r="5970" spans="1:11">
      <c r="A5970"/>
      <c r="B5970"/>
      <c r="C5970"/>
      <c r="D5970"/>
      <c r="E5970"/>
      <c r="F5970"/>
      <c r="G5970"/>
      <c r="H5970"/>
      <c r="I5970"/>
      <c r="J5970"/>
      <c r="K5970"/>
    </row>
    <row r="5971" spans="1:11">
      <c r="A5971"/>
      <c r="B5971"/>
      <c r="C5971"/>
      <c r="D5971"/>
      <c r="E5971"/>
      <c r="F5971"/>
      <c r="G5971"/>
      <c r="H5971"/>
      <c r="I5971"/>
      <c r="J5971"/>
      <c r="K5971"/>
    </row>
    <row r="5972" spans="1:11">
      <c r="A5972"/>
      <c r="B5972"/>
      <c r="C5972"/>
      <c r="D5972"/>
      <c r="E5972"/>
      <c r="F5972"/>
      <c r="G5972"/>
      <c r="H5972"/>
      <c r="I5972"/>
      <c r="J5972"/>
      <c r="K5972"/>
    </row>
    <row r="5973" spans="1:11">
      <c r="A5973"/>
      <c r="B5973"/>
      <c r="C5973"/>
      <c r="D5973"/>
      <c r="E5973"/>
      <c r="F5973"/>
      <c r="G5973"/>
      <c r="H5973"/>
      <c r="I5973"/>
      <c r="J5973"/>
      <c r="K5973"/>
    </row>
    <row r="5974" spans="1:11">
      <c r="A5974"/>
      <c r="B5974"/>
      <c r="C5974"/>
      <c r="D5974"/>
      <c r="E5974"/>
      <c r="F5974"/>
      <c r="G5974"/>
      <c r="H5974"/>
      <c r="I5974"/>
      <c r="J5974"/>
      <c r="K5974"/>
    </row>
    <row r="5975" spans="1:11">
      <c r="A5975"/>
      <c r="B5975"/>
      <c r="C5975"/>
      <c r="D5975"/>
      <c r="E5975"/>
      <c r="F5975"/>
      <c r="G5975"/>
      <c r="H5975"/>
      <c r="I5975"/>
      <c r="J5975"/>
      <c r="K5975"/>
    </row>
    <row r="5976" spans="1:11">
      <c r="A5976"/>
      <c r="B5976"/>
      <c r="C5976"/>
      <c r="D5976"/>
      <c r="E5976"/>
      <c r="F5976"/>
      <c r="G5976"/>
      <c r="H5976"/>
      <c r="I5976"/>
      <c r="J5976"/>
      <c r="K5976"/>
    </row>
    <row r="5977" spans="1:11">
      <c r="A5977"/>
      <c r="B5977"/>
      <c r="C5977"/>
      <c r="D5977"/>
      <c r="E5977"/>
      <c r="F5977"/>
      <c r="G5977"/>
      <c r="H5977"/>
      <c r="I5977"/>
      <c r="J5977"/>
      <c r="K5977"/>
    </row>
    <row r="5978" spans="1:11">
      <c r="A5978"/>
      <c r="B5978"/>
      <c r="C5978"/>
      <c r="D5978"/>
      <c r="E5978"/>
      <c r="F5978"/>
      <c r="G5978"/>
      <c r="H5978"/>
      <c r="I5978"/>
      <c r="J5978"/>
      <c r="K5978"/>
    </row>
    <row r="5979" spans="1:11">
      <c r="A5979"/>
      <c r="B5979"/>
      <c r="C5979"/>
      <c r="D5979"/>
      <c r="E5979"/>
      <c r="F5979"/>
      <c r="G5979"/>
      <c r="H5979"/>
      <c r="I5979"/>
      <c r="J5979"/>
      <c r="K5979"/>
    </row>
    <row r="5980" spans="1:11">
      <c r="A5980"/>
      <c r="B5980"/>
      <c r="C5980"/>
      <c r="D5980"/>
      <c r="E5980"/>
      <c r="F5980"/>
      <c r="G5980"/>
      <c r="H5980"/>
      <c r="I5980"/>
      <c r="J5980"/>
      <c r="K5980"/>
    </row>
    <row r="5981" spans="1:11">
      <c r="A5981"/>
      <c r="B5981"/>
      <c r="C5981"/>
      <c r="D5981"/>
      <c r="E5981"/>
      <c r="F5981"/>
      <c r="G5981"/>
      <c r="H5981"/>
      <c r="I5981"/>
      <c r="J5981"/>
      <c r="K5981"/>
    </row>
    <row r="5982" spans="1:11">
      <c r="A5982"/>
      <c r="B5982"/>
      <c r="C5982"/>
      <c r="D5982"/>
      <c r="E5982"/>
      <c r="F5982"/>
      <c r="G5982"/>
      <c r="H5982"/>
      <c r="I5982"/>
      <c r="J5982"/>
      <c r="K5982"/>
    </row>
    <row r="5983" spans="1:11">
      <c r="A5983"/>
      <c r="B5983"/>
      <c r="C5983"/>
      <c r="D5983"/>
      <c r="E5983"/>
      <c r="F5983"/>
      <c r="G5983"/>
      <c r="H5983"/>
      <c r="I5983"/>
      <c r="J5983"/>
      <c r="K5983"/>
    </row>
    <row r="5984" spans="1:11">
      <c r="A5984"/>
      <c r="B5984"/>
      <c r="C5984"/>
      <c r="D5984"/>
      <c r="E5984"/>
      <c r="F5984"/>
      <c r="G5984"/>
      <c r="H5984"/>
      <c r="I5984"/>
      <c r="J5984"/>
      <c r="K5984"/>
    </row>
    <row r="5985" spans="1:11">
      <c r="A5985"/>
      <c r="B5985"/>
      <c r="C5985"/>
      <c r="D5985"/>
      <c r="E5985"/>
      <c r="F5985"/>
      <c r="G5985"/>
      <c r="H5985"/>
      <c r="I5985"/>
      <c r="J5985"/>
      <c r="K5985"/>
    </row>
    <row r="5986" spans="1:11">
      <c r="A5986"/>
      <c r="B5986"/>
      <c r="C5986"/>
      <c r="D5986"/>
      <c r="E5986"/>
      <c r="F5986"/>
      <c r="G5986"/>
      <c r="H5986"/>
      <c r="I5986"/>
      <c r="J5986"/>
      <c r="K5986"/>
    </row>
    <row r="5987" spans="1:11">
      <c r="A5987"/>
      <c r="B5987"/>
      <c r="C5987"/>
      <c r="D5987"/>
      <c r="E5987"/>
      <c r="F5987"/>
      <c r="G5987"/>
      <c r="H5987"/>
      <c r="I5987"/>
      <c r="J5987"/>
      <c r="K5987"/>
    </row>
    <row r="5988" spans="1:11">
      <c r="A5988"/>
      <c r="B5988"/>
      <c r="C5988"/>
      <c r="D5988"/>
      <c r="E5988"/>
      <c r="F5988"/>
      <c r="G5988"/>
      <c r="H5988"/>
      <c r="I5988"/>
      <c r="J5988"/>
      <c r="K5988"/>
    </row>
    <row r="5989" spans="1:11">
      <c r="A5989"/>
      <c r="B5989"/>
      <c r="C5989"/>
      <c r="D5989"/>
      <c r="E5989"/>
      <c r="F5989"/>
      <c r="G5989"/>
      <c r="H5989"/>
      <c r="I5989"/>
      <c r="J5989"/>
      <c r="K5989"/>
    </row>
    <row r="5990" spans="1:11">
      <c r="A5990"/>
      <c r="B5990"/>
      <c r="C5990"/>
      <c r="D5990"/>
      <c r="E5990"/>
      <c r="F5990"/>
      <c r="G5990"/>
      <c r="H5990"/>
      <c r="I5990"/>
      <c r="J5990"/>
      <c r="K5990"/>
    </row>
    <row r="5991" spans="1:11">
      <c r="A5991"/>
      <c r="B5991"/>
      <c r="C5991"/>
      <c r="D5991"/>
      <c r="E5991"/>
      <c r="F5991"/>
      <c r="G5991"/>
      <c r="H5991"/>
      <c r="I5991"/>
      <c r="J5991"/>
      <c r="K5991"/>
    </row>
    <row r="5992" spans="1:11">
      <c r="A5992"/>
      <c r="B5992"/>
      <c r="C5992"/>
      <c r="D5992"/>
      <c r="E5992"/>
      <c r="F5992"/>
      <c r="G5992"/>
      <c r="H5992"/>
      <c r="I5992"/>
      <c r="J5992"/>
      <c r="K5992"/>
    </row>
    <row r="5993" spans="1:11">
      <c r="A5993"/>
      <c r="B5993"/>
      <c r="C5993"/>
      <c r="D5993"/>
      <c r="E5993"/>
      <c r="F5993"/>
      <c r="G5993"/>
      <c r="H5993"/>
      <c r="I5993"/>
      <c r="J5993"/>
      <c r="K5993"/>
    </row>
    <row r="5994" spans="1:11">
      <c r="A5994"/>
      <c r="B5994"/>
      <c r="C5994"/>
      <c r="D5994"/>
      <c r="E5994"/>
      <c r="F5994"/>
      <c r="G5994"/>
      <c r="H5994"/>
      <c r="I5994"/>
      <c r="J5994"/>
      <c r="K5994"/>
    </row>
    <row r="5995" spans="1:11">
      <c r="A5995"/>
      <c r="B5995"/>
      <c r="C5995"/>
      <c r="D5995"/>
      <c r="E5995"/>
      <c r="F5995"/>
      <c r="G5995"/>
      <c r="H5995"/>
      <c r="I5995"/>
      <c r="J5995"/>
      <c r="K5995"/>
    </row>
    <row r="5996" spans="1:11">
      <c r="A5996"/>
      <c r="B5996"/>
      <c r="C5996"/>
      <c r="D5996"/>
      <c r="E5996"/>
      <c r="F5996"/>
      <c r="G5996"/>
      <c r="H5996"/>
      <c r="I5996"/>
      <c r="J5996"/>
      <c r="K5996"/>
    </row>
    <row r="5997" spans="1:11">
      <c r="A5997"/>
      <c r="B5997"/>
      <c r="C5997"/>
      <c r="D5997"/>
      <c r="E5997"/>
      <c r="F5997"/>
      <c r="G5997"/>
      <c r="H5997"/>
      <c r="I5997"/>
      <c r="J5997"/>
      <c r="K5997"/>
    </row>
    <row r="5998" spans="1:11">
      <c r="A5998"/>
      <c r="B5998"/>
      <c r="C5998"/>
      <c r="D5998"/>
      <c r="E5998"/>
      <c r="F5998"/>
      <c r="G5998"/>
      <c r="H5998"/>
      <c r="I5998"/>
      <c r="J5998"/>
      <c r="K5998"/>
    </row>
    <row r="5999" spans="1:11">
      <c r="A5999"/>
      <c r="B5999"/>
      <c r="C5999"/>
      <c r="D5999"/>
      <c r="E5999"/>
      <c r="F5999"/>
      <c r="G5999"/>
      <c r="H5999"/>
      <c r="I5999"/>
      <c r="J5999"/>
      <c r="K5999"/>
    </row>
    <row r="6000" spans="1:11">
      <c r="A6000"/>
      <c r="B6000"/>
      <c r="C6000"/>
      <c r="D6000"/>
      <c r="E6000"/>
      <c r="F6000"/>
      <c r="G6000"/>
      <c r="H6000"/>
      <c r="I6000"/>
      <c r="J6000"/>
      <c r="K6000"/>
    </row>
    <row r="6001" spans="1:11">
      <c r="A6001"/>
      <c r="B6001"/>
      <c r="C6001"/>
      <c r="D6001"/>
      <c r="E6001"/>
      <c r="F6001"/>
      <c r="G6001"/>
      <c r="H6001"/>
      <c r="I6001"/>
      <c r="J6001"/>
      <c r="K6001"/>
    </row>
    <row r="6002" spans="1:11">
      <c r="A6002"/>
      <c r="B6002"/>
      <c r="C6002"/>
      <c r="D6002"/>
      <c r="E6002"/>
      <c r="F6002"/>
      <c r="G6002"/>
      <c r="H6002"/>
      <c r="I6002"/>
      <c r="J6002"/>
      <c r="K6002"/>
    </row>
    <row r="6003" spans="1:11">
      <c r="A6003"/>
      <c r="B6003"/>
      <c r="C6003"/>
      <c r="D6003"/>
      <c r="E6003"/>
      <c r="F6003"/>
      <c r="G6003"/>
      <c r="H6003"/>
      <c r="I6003"/>
      <c r="J6003"/>
      <c r="K6003"/>
    </row>
    <row r="6004" spans="1:11">
      <c r="A6004"/>
      <c r="B6004"/>
      <c r="C6004"/>
      <c r="D6004"/>
      <c r="E6004"/>
      <c r="F6004"/>
      <c r="G6004"/>
      <c r="H6004"/>
      <c r="I6004"/>
      <c r="J6004"/>
      <c r="K6004"/>
    </row>
    <row r="6005" spans="1:11">
      <c r="A6005"/>
      <c r="B6005"/>
      <c r="C6005"/>
      <c r="D6005"/>
      <c r="E6005"/>
      <c r="F6005"/>
      <c r="G6005"/>
      <c r="H6005"/>
      <c r="I6005"/>
      <c r="J6005"/>
      <c r="K6005"/>
    </row>
    <row r="6006" spans="1:11">
      <c r="A6006"/>
      <c r="B6006"/>
      <c r="C6006"/>
      <c r="D6006"/>
      <c r="E6006"/>
      <c r="F6006"/>
      <c r="G6006"/>
      <c r="H6006"/>
      <c r="I6006"/>
      <c r="J6006"/>
      <c r="K6006"/>
    </row>
    <row r="6007" spans="1:11">
      <c r="A6007"/>
      <c r="B6007"/>
      <c r="C6007"/>
      <c r="D6007"/>
      <c r="E6007"/>
      <c r="F6007"/>
      <c r="G6007"/>
      <c r="H6007"/>
      <c r="I6007"/>
      <c r="J6007"/>
      <c r="K6007"/>
    </row>
    <row r="6008" spans="1:11">
      <c r="A6008"/>
      <c r="B6008"/>
      <c r="C6008"/>
      <c r="D6008"/>
      <c r="E6008"/>
      <c r="F6008"/>
      <c r="G6008"/>
      <c r="H6008"/>
      <c r="I6008"/>
      <c r="J6008"/>
      <c r="K6008"/>
    </row>
    <row r="6009" spans="1:11">
      <c r="A6009"/>
      <c r="B6009"/>
      <c r="C6009"/>
      <c r="D6009"/>
      <c r="E6009"/>
      <c r="F6009"/>
      <c r="G6009"/>
      <c r="H6009"/>
      <c r="I6009"/>
      <c r="J6009"/>
      <c r="K6009"/>
    </row>
    <row r="6010" spans="1:11">
      <c r="A6010"/>
      <c r="B6010"/>
      <c r="C6010"/>
      <c r="D6010"/>
      <c r="E6010"/>
      <c r="F6010"/>
      <c r="G6010"/>
      <c r="H6010"/>
      <c r="I6010"/>
      <c r="J6010"/>
      <c r="K6010"/>
    </row>
    <row r="6011" spans="1:11">
      <c r="A6011"/>
      <c r="B6011"/>
      <c r="C6011"/>
      <c r="D6011"/>
      <c r="E6011"/>
      <c r="F6011"/>
      <c r="G6011"/>
      <c r="H6011"/>
      <c r="I6011"/>
      <c r="J6011"/>
      <c r="K6011"/>
    </row>
    <row r="6012" spans="1:11">
      <c r="A6012"/>
      <c r="B6012"/>
      <c r="C6012"/>
      <c r="D6012"/>
      <c r="E6012"/>
      <c r="F6012"/>
      <c r="G6012"/>
      <c r="H6012"/>
      <c r="I6012"/>
      <c r="J6012"/>
      <c r="K6012"/>
    </row>
    <row r="6013" spans="1:11">
      <c r="A6013"/>
      <c r="B6013"/>
      <c r="C6013"/>
      <c r="D6013"/>
      <c r="E6013"/>
      <c r="F6013"/>
      <c r="G6013"/>
      <c r="H6013"/>
      <c r="I6013"/>
      <c r="J6013"/>
      <c r="K6013"/>
    </row>
    <row r="6014" spans="1:11">
      <c r="A6014"/>
      <c r="B6014"/>
      <c r="C6014"/>
      <c r="D6014"/>
      <c r="E6014"/>
      <c r="F6014"/>
      <c r="G6014"/>
      <c r="H6014"/>
      <c r="I6014"/>
      <c r="J6014"/>
      <c r="K6014"/>
    </row>
    <row r="6015" spans="1:11">
      <c r="A6015"/>
      <c r="B6015"/>
      <c r="C6015"/>
      <c r="D6015"/>
      <c r="E6015"/>
      <c r="F6015"/>
      <c r="G6015"/>
      <c r="H6015"/>
      <c r="I6015"/>
      <c r="J6015"/>
      <c r="K6015"/>
    </row>
    <row r="6016" spans="1:11">
      <c r="A6016"/>
      <c r="B6016"/>
      <c r="C6016"/>
      <c r="D6016"/>
      <c r="E6016"/>
      <c r="F6016"/>
      <c r="G6016"/>
      <c r="H6016"/>
      <c r="I6016"/>
      <c r="J6016"/>
      <c r="K6016"/>
    </row>
    <row r="6017" spans="1:11">
      <c r="A6017"/>
      <c r="B6017"/>
      <c r="C6017"/>
      <c r="D6017"/>
      <c r="E6017"/>
      <c r="F6017"/>
      <c r="G6017"/>
      <c r="H6017"/>
      <c r="I6017"/>
      <c r="J6017"/>
      <c r="K6017"/>
    </row>
    <row r="6018" spans="1:11">
      <c r="A6018"/>
      <c r="B6018"/>
      <c r="C6018"/>
      <c r="D6018"/>
      <c r="E6018"/>
      <c r="F6018"/>
      <c r="G6018"/>
      <c r="H6018"/>
      <c r="I6018"/>
      <c r="J6018"/>
      <c r="K6018"/>
    </row>
    <row r="6019" spans="1:11">
      <c r="A6019"/>
      <c r="B6019"/>
      <c r="C6019"/>
      <c r="D6019"/>
      <c r="E6019"/>
      <c r="F6019"/>
      <c r="G6019"/>
      <c r="H6019"/>
      <c r="I6019"/>
      <c r="J6019"/>
      <c r="K6019"/>
    </row>
    <row r="6020" spans="1:11">
      <c r="A6020"/>
      <c r="B6020"/>
      <c r="C6020"/>
      <c r="D6020"/>
      <c r="E6020"/>
      <c r="F6020"/>
      <c r="G6020"/>
      <c r="H6020"/>
      <c r="I6020"/>
      <c r="J6020"/>
      <c r="K6020"/>
    </row>
    <row r="6021" spans="1:11">
      <c r="A6021"/>
      <c r="B6021"/>
      <c r="C6021"/>
      <c r="D6021"/>
      <c r="E6021"/>
      <c r="F6021"/>
      <c r="G6021"/>
      <c r="H6021"/>
      <c r="I6021"/>
      <c r="J6021"/>
      <c r="K6021"/>
    </row>
    <row r="6022" spans="1:11">
      <c r="A6022"/>
      <c r="B6022"/>
      <c r="C6022"/>
      <c r="D6022"/>
      <c r="E6022"/>
      <c r="F6022"/>
      <c r="G6022"/>
      <c r="H6022"/>
      <c r="I6022"/>
      <c r="J6022"/>
      <c r="K6022"/>
    </row>
    <row r="6023" spans="1:11">
      <c r="A6023"/>
      <c r="B6023"/>
      <c r="C6023"/>
      <c r="D6023"/>
      <c r="E6023"/>
      <c r="F6023"/>
      <c r="G6023"/>
      <c r="H6023"/>
      <c r="I6023"/>
      <c r="J6023"/>
      <c r="K6023"/>
    </row>
    <row r="6024" spans="1:11">
      <c r="A6024"/>
      <c r="B6024"/>
      <c r="C6024"/>
      <c r="D6024"/>
      <c r="E6024"/>
      <c r="F6024"/>
      <c r="G6024"/>
      <c r="H6024"/>
      <c r="I6024"/>
      <c r="J6024"/>
      <c r="K6024"/>
    </row>
    <row r="6025" spans="1:11">
      <c r="A6025"/>
      <c r="B6025"/>
      <c r="C6025"/>
      <c r="D6025"/>
      <c r="E6025"/>
      <c r="F6025"/>
      <c r="G6025"/>
      <c r="H6025"/>
      <c r="I6025"/>
      <c r="J6025"/>
      <c r="K6025"/>
    </row>
    <row r="6026" spans="1:11">
      <c r="A6026"/>
      <c r="B6026"/>
      <c r="C6026"/>
      <c r="D6026"/>
      <c r="E6026"/>
      <c r="F6026"/>
      <c r="G6026"/>
      <c r="H6026"/>
      <c r="I6026"/>
      <c r="J6026"/>
      <c r="K6026"/>
    </row>
    <row r="6027" spans="1:11">
      <c r="A6027"/>
      <c r="B6027"/>
      <c r="C6027"/>
      <c r="D6027"/>
      <c r="E6027"/>
      <c r="F6027"/>
      <c r="G6027"/>
      <c r="H6027"/>
      <c r="I6027"/>
      <c r="J6027"/>
      <c r="K6027"/>
    </row>
    <row r="6028" spans="1:11">
      <c r="A6028"/>
      <c r="B6028"/>
      <c r="C6028"/>
      <c r="D6028"/>
      <c r="E6028"/>
      <c r="F6028"/>
      <c r="G6028"/>
      <c r="H6028"/>
      <c r="I6028"/>
      <c r="J6028"/>
      <c r="K6028"/>
    </row>
    <row r="6029" spans="1:11">
      <c r="A6029"/>
      <c r="B6029"/>
      <c r="C6029"/>
      <c r="D6029"/>
      <c r="E6029"/>
      <c r="F6029"/>
      <c r="G6029"/>
      <c r="H6029"/>
      <c r="I6029"/>
      <c r="J6029"/>
      <c r="K6029"/>
    </row>
    <row r="6030" spans="1:11">
      <c r="A6030"/>
      <c r="B6030"/>
      <c r="C6030"/>
      <c r="D6030"/>
      <c r="E6030"/>
      <c r="F6030"/>
      <c r="G6030"/>
      <c r="H6030"/>
      <c r="I6030"/>
      <c r="J6030"/>
      <c r="K6030"/>
    </row>
    <row r="6031" spans="1:11">
      <c r="A6031"/>
      <c r="B6031"/>
      <c r="C6031"/>
      <c r="D6031"/>
      <c r="E6031"/>
      <c r="F6031"/>
      <c r="G6031"/>
      <c r="H6031"/>
      <c r="I6031"/>
      <c r="J6031"/>
      <c r="K6031"/>
    </row>
    <row r="6032" spans="1:11">
      <c r="A6032"/>
      <c r="B6032"/>
      <c r="C6032"/>
      <c r="D6032"/>
      <c r="E6032"/>
      <c r="F6032"/>
      <c r="G6032"/>
      <c r="H6032"/>
      <c r="I6032"/>
      <c r="J6032"/>
      <c r="K6032"/>
    </row>
    <row r="6033" spans="1:11">
      <c r="A6033"/>
      <c r="B6033"/>
      <c r="C6033"/>
      <c r="D6033"/>
      <c r="E6033"/>
      <c r="F6033"/>
      <c r="G6033"/>
      <c r="H6033"/>
      <c r="I6033"/>
      <c r="J6033"/>
      <c r="K6033"/>
    </row>
    <row r="6034" spans="1:11">
      <c r="A6034"/>
      <c r="B6034"/>
      <c r="C6034"/>
      <c r="D6034"/>
      <c r="E6034"/>
      <c r="F6034"/>
      <c r="G6034"/>
      <c r="H6034"/>
      <c r="I6034"/>
      <c r="J6034"/>
      <c r="K6034"/>
    </row>
    <row r="6035" spans="1:11">
      <c r="A6035"/>
      <c r="B6035"/>
      <c r="C6035"/>
      <c r="D6035"/>
      <c r="E6035"/>
      <c r="F6035"/>
      <c r="G6035"/>
      <c r="H6035"/>
      <c r="I6035"/>
      <c r="J6035"/>
      <c r="K6035"/>
    </row>
    <row r="6036" spans="1:11">
      <c r="A6036"/>
      <c r="B6036"/>
      <c r="C6036"/>
      <c r="D6036"/>
      <c r="E6036"/>
      <c r="F6036"/>
      <c r="G6036"/>
      <c r="H6036"/>
      <c r="I6036"/>
      <c r="J6036"/>
      <c r="K6036"/>
    </row>
    <row r="6037" spans="1:11">
      <c r="A6037"/>
      <c r="B6037"/>
      <c r="C6037"/>
      <c r="D6037"/>
      <c r="E6037"/>
      <c r="F6037"/>
      <c r="G6037"/>
      <c r="H6037"/>
      <c r="I6037"/>
      <c r="J6037"/>
      <c r="K6037"/>
    </row>
    <row r="6038" spans="1:11">
      <c r="A6038"/>
      <c r="B6038"/>
      <c r="C6038"/>
      <c r="D6038"/>
      <c r="E6038"/>
      <c r="F6038"/>
      <c r="G6038"/>
      <c r="H6038"/>
      <c r="I6038"/>
      <c r="J6038"/>
      <c r="K6038"/>
    </row>
    <row r="6039" spans="1:11">
      <c r="A6039"/>
      <c r="B6039"/>
      <c r="C6039"/>
      <c r="D6039"/>
      <c r="E6039"/>
      <c r="F6039"/>
      <c r="G6039"/>
      <c r="H6039"/>
      <c r="I6039"/>
      <c r="J6039"/>
      <c r="K6039"/>
    </row>
    <row r="6040" spans="1:11">
      <c r="A6040"/>
      <c r="B6040"/>
      <c r="C6040"/>
      <c r="D6040"/>
      <c r="E6040"/>
      <c r="F6040"/>
      <c r="G6040"/>
      <c r="H6040"/>
      <c r="I6040"/>
      <c r="J6040"/>
      <c r="K6040"/>
    </row>
    <row r="6041" spans="1:11">
      <c r="A6041"/>
      <c r="B6041"/>
      <c r="C6041"/>
      <c r="D6041"/>
      <c r="E6041"/>
      <c r="F6041"/>
      <c r="G6041"/>
      <c r="H6041"/>
      <c r="I6041"/>
      <c r="J6041"/>
      <c r="K6041"/>
    </row>
    <row r="6042" spans="1:11">
      <c r="A6042"/>
      <c r="B6042"/>
      <c r="C6042"/>
      <c r="D6042"/>
      <c r="E6042"/>
      <c r="F6042"/>
      <c r="G6042"/>
      <c r="H6042"/>
      <c r="I6042"/>
      <c r="J6042"/>
      <c r="K6042"/>
    </row>
    <row r="6043" spans="1:11">
      <c r="A6043"/>
      <c r="B6043"/>
      <c r="C6043"/>
      <c r="D6043"/>
      <c r="E6043"/>
      <c r="F6043"/>
      <c r="G6043"/>
      <c r="H6043"/>
      <c r="I6043"/>
      <c r="J6043"/>
      <c r="K6043"/>
    </row>
    <row r="6044" spans="1:11">
      <c r="A6044"/>
      <c r="B6044"/>
      <c r="C6044"/>
      <c r="D6044"/>
      <c r="E6044"/>
      <c r="F6044"/>
      <c r="G6044"/>
      <c r="H6044"/>
      <c r="I6044"/>
      <c r="J6044"/>
      <c r="K6044"/>
    </row>
    <row r="6045" spans="1:11">
      <c r="A6045"/>
      <c r="B6045"/>
      <c r="C6045"/>
      <c r="D6045"/>
      <c r="E6045"/>
      <c r="F6045"/>
      <c r="G6045"/>
      <c r="H6045"/>
      <c r="I6045"/>
      <c r="J6045"/>
      <c r="K6045"/>
    </row>
    <row r="6046" spans="1:11">
      <c r="A6046"/>
      <c r="B6046"/>
      <c r="C6046"/>
      <c r="D6046"/>
      <c r="E6046"/>
      <c r="F6046"/>
      <c r="G6046"/>
      <c r="H6046"/>
      <c r="I6046"/>
      <c r="J6046"/>
      <c r="K6046"/>
    </row>
    <row r="6047" spans="1:11">
      <c r="A6047"/>
      <c r="B6047"/>
      <c r="C6047"/>
      <c r="D6047"/>
      <c r="E6047"/>
      <c r="F6047"/>
      <c r="G6047"/>
      <c r="H6047"/>
      <c r="I6047"/>
      <c r="J6047"/>
      <c r="K6047"/>
    </row>
    <row r="6048" spans="1:11">
      <c r="A6048"/>
      <c r="B6048"/>
      <c r="C6048"/>
      <c r="D6048"/>
      <c r="E6048"/>
      <c r="F6048"/>
      <c r="G6048"/>
      <c r="H6048"/>
      <c r="I6048"/>
      <c r="J6048"/>
      <c r="K6048"/>
    </row>
    <row r="6049" spans="1:11">
      <c r="A6049"/>
      <c r="B6049"/>
      <c r="C6049"/>
      <c r="D6049"/>
      <c r="E6049"/>
      <c r="F6049"/>
      <c r="G6049"/>
      <c r="H6049"/>
      <c r="I6049"/>
      <c r="J6049"/>
      <c r="K6049"/>
    </row>
    <row r="6050" spans="1:11">
      <c r="A6050"/>
      <c r="B6050"/>
      <c r="C6050"/>
      <c r="D6050"/>
      <c r="E6050"/>
      <c r="F6050"/>
      <c r="G6050"/>
      <c r="H6050"/>
      <c r="I6050"/>
      <c r="J6050"/>
      <c r="K6050"/>
    </row>
    <row r="6051" spans="1:11">
      <c r="A6051"/>
      <c r="B6051"/>
      <c r="C6051"/>
      <c r="D6051"/>
      <c r="E6051"/>
      <c r="F6051"/>
      <c r="G6051"/>
      <c r="H6051"/>
      <c r="I6051"/>
      <c r="J6051"/>
      <c r="K6051"/>
    </row>
    <row r="6052" spans="1:11">
      <c r="A6052"/>
      <c r="B6052"/>
      <c r="C6052"/>
      <c r="D6052"/>
      <c r="E6052"/>
      <c r="F6052"/>
      <c r="G6052"/>
      <c r="H6052"/>
      <c r="I6052"/>
      <c r="J6052"/>
      <c r="K6052"/>
    </row>
    <row r="6053" spans="1:11">
      <c r="A6053"/>
      <c r="B6053"/>
      <c r="C6053"/>
      <c r="D6053"/>
      <c r="E6053"/>
      <c r="F6053"/>
      <c r="G6053"/>
      <c r="H6053"/>
      <c r="I6053"/>
      <c r="J6053"/>
      <c r="K6053"/>
    </row>
    <row r="6054" spans="1:11">
      <c r="A6054"/>
      <c r="B6054"/>
      <c r="C6054"/>
      <c r="D6054"/>
      <c r="E6054"/>
      <c r="F6054"/>
      <c r="G6054"/>
      <c r="H6054"/>
      <c r="I6054"/>
      <c r="J6054"/>
      <c r="K6054"/>
    </row>
    <row r="6055" spans="1:11">
      <c r="A6055"/>
      <c r="B6055"/>
      <c r="C6055"/>
      <c r="D6055"/>
      <c r="E6055"/>
      <c r="F6055"/>
      <c r="G6055"/>
      <c r="H6055"/>
      <c r="I6055"/>
      <c r="J6055"/>
      <c r="K6055"/>
    </row>
    <row r="6056" spans="1:11">
      <c r="A6056"/>
      <c r="B6056"/>
      <c r="C6056"/>
      <c r="D6056"/>
      <c r="E6056"/>
      <c r="F6056"/>
      <c r="G6056"/>
      <c r="H6056"/>
      <c r="I6056"/>
      <c r="J6056"/>
      <c r="K6056"/>
    </row>
    <row r="6057" spans="1:11">
      <c r="A6057"/>
      <c r="B6057"/>
      <c r="C6057"/>
      <c r="D6057"/>
      <c r="E6057"/>
      <c r="F6057"/>
      <c r="G6057"/>
      <c r="H6057"/>
      <c r="I6057"/>
      <c r="J6057"/>
      <c r="K6057"/>
    </row>
    <row r="6058" spans="1:11">
      <c r="A6058"/>
      <c r="B6058"/>
      <c r="C6058"/>
      <c r="D6058"/>
      <c r="E6058"/>
      <c r="F6058"/>
      <c r="G6058"/>
      <c r="H6058"/>
      <c r="I6058"/>
      <c r="J6058"/>
      <c r="K6058"/>
    </row>
    <row r="6059" spans="1:11">
      <c r="A6059"/>
      <c r="B6059"/>
      <c r="C6059"/>
      <c r="D6059"/>
      <c r="E6059"/>
      <c r="F6059"/>
      <c r="G6059"/>
      <c r="H6059"/>
      <c r="I6059"/>
      <c r="J6059"/>
      <c r="K6059"/>
    </row>
    <row r="6060" spans="1:11">
      <c r="A6060"/>
      <c r="B6060"/>
      <c r="C6060"/>
      <c r="D6060"/>
      <c r="E6060"/>
      <c r="F6060"/>
      <c r="G6060"/>
      <c r="H6060"/>
      <c r="I6060"/>
      <c r="J6060"/>
      <c r="K6060"/>
    </row>
    <row r="6061" spans="1:11">
      <c r="A6061"/>
      <c r="B6061"/>
      <c r="C6061"/>
      <c r="D6061"/>
      <c r="E6061"/>
      <c r="F6061"/>
      <c r="G6061"/>
      <c r="H6061"/>
      <c r="I6061"/>
      <c r="J6061"/>
      <c r="K6061"/>
    </row>
    <row r="6062" spans="1:11">
      <c r="A6062"/>
      <c r="B6062"/>
      <c r="C6062"/>
      <c r="D6062"/>
      <c r="E6062"/>
      <c r="F6062"/>
      <c r="G6062"/>
      <c r="H6062"/>
      <c r="I6062"/>
      <c r="J6062"/>
      <c r="K6062"/>
    </row>
    <row r="6063" spans="1:11">
      <c r="A6063"/>
      <c r="B6063"/>
      <c r="C6063"/>
      <c r="D6063"/>
      <c r="E6063"/>
      <c r="F6063"/>
      <c r="G6063"/>
      <c r="H6063"/>
      <c r="I6063"/>
      <c r="J6063"/>
      <c r="K6063"/>
    </row>
    <row r="6064" spans="1:11">
      <c r="A6064"/>
      <c r="B6064"/>
      <c r="C6064"/>
      <c r="D6064"/>
      <c r="E6064"/>
      <c r="F6064"/>
      <c r="G6064"/>
      <c r="H6064"/>
      <c r="I6064"/>
      <c r="J6064"/>
      <c r="K6064"/>
    </row>
    <row r="6065" spans="1:11">
      <c r="A6065"/>
      <c r="B6065"/>
      <c r="C6065"/>
      <c r="D6065"/>
      <c r="E6065"/>
      <c r="F6065"/>
      <c r="G6065"/>
      <c r="H6065"/>
      <c r="I6065"/>
      <c r="J6065"/>
      <c r="K6065"/>
    </row>
    <row r="6066" spans="1:11">
      <c r="A6066"/>
      <c r="B6066"/>
      <c r="C6066"/>
      <c r="D6066"/>
      <c r="E6066"/>
      <c r="F6066"/>
      <c r="G6066"/>
      <c r="H6066"/>
      <c r="I6066"/>
      <c r="J6066"/>
      <c r="K6066"/>
    </row>
    <row r="6067" spans="1:11">
      <c r="A6067"/>
      <c r="B6067"/>
      <c r="C6067"/>
      <c r="D6067"/>
      <c r="E6067"/>
      <c r="F6067"/>
      <c r="G6067"/>
      <c r="H6067"/>
      <c r="I6067"/>
      <c r="J6067"/>
      <c r="K6067"/>
    </row>
    <row r="6068" spans="1:11">
      <c r="A6068"/>
      <c r="B6068"/>
      <c r="C6068"/>
      <c r="D6068"/>
      <c r="E6068"/>
      <c r="F6068"/>
      <c r="G6068"/>
      <c r="H6068"/>
      <c r="I6068"/>
      <c r="J6068"/>
      <c r="K6068"/>
    </row>
    <row r="6069" spans="1:11">
      <c r="A6069"/>
      <c r="B6069"/>
      <c r="C6069"/>
      <c r="D6069"/>
      <c r="E6069"/>
      <c r="F6069"/>
      <c r="G6069"/>
      <c r="H6069"/>
      <c r="I6069"/>
      <c r="J6069"/>
      <c r="K6069"/>
    </row>
    <row r="6070" spans="1:11">
      <c r="A6070"/>
      <c r="B6070"/>
      <c r="C6070"/>
      <c r="D6070"/>
      <c r="E6070"/>
      <c r="F6070"/>
      <c r="G6070"/>
      <c r="H6070"/>
      <c r="I6070"/>
      <c r="J6070"/>
      <c r="K6070"/>
    </row>
    <row r="6071" spans="1:11">
      <c r="A6071"/>
      <c r="B6071"/>
      <c r="C6071"/>
      <c r="D6071"/>
      <c r="E6071"/>
      <c r="F6071"/>
      <c r="G6071"/>
      <c r="H6071"/>
      <c r="I6071"/>
      <c r="J6071"/>
      <c r="K6071"/>
    </row>
    <row r="6072" spans="1:11">
      <c r="A6072"/>
      <c r="B6072"/>
      <c r="C6072"/>
      <c r="D6072"/>
      <c r="E6072"/>
      <c r="F6072"/>
      <c r="G6072"/>
      <c r="H6072"/>
      <c r="I6072"/>
      <c r="J6072"/>
      <c r="K6072"/>
    </row>
    <row r="6073" spans="1:11">
      <c r="A6073"/>
      <c r="B6073"/>
      <c r="C6073"/>
      <c r="D6073"/>
      <c r="E6073"/>
      <c r="F6073"/>
      <c r="G6073"/>
      <c r="H6073"/>
      <c r="I6073"/>
      <c r="J6073"/>
      <c r="K6073"/>
    </row>
    <row r="6074" spans="1:11">
      <c r="A6074"/>
      <c r="B6074"/>
      <c r="C6074"/>
      <c r="D6074"/>
      <c r="E6074"/>
      <c r="F6074"/>
      <c r="G6074"/>
      <c r="H6074"/>
      <c r="I6074"/>
      <c r="J6074"/>
      <c r="K6074"/>
    </row>
    <row r="6075" spans="1:11">
      <c r="A6075"/>
      <c r="B6075"/>
      <c r="C6075"/>
      <c r="D6075"/>
      <c r="E6075"/>
      <c r="F6075"/>
      <c r="G6075"/>
      <c r="H6075"/>
      <c r="I6075"/>
      <c r="J6075"/>
      <c r="K6075"/>
    </row>
    <row r="6076" spans="1:11">
      <c r="A6076"/>
      <c r="B6076"/>
      <c r="C6076"/>
      <c r="D6076"/>
      <c r="E6076"/>
      <c r="F6076"/>
      <c r="G6076"/>
      <c r="H6076"/>
      <c r="I6076"/>
      <c r="J6076"/>
      <c r="K6076"/>
    </row>
    <row r="6077" spans="1:11">
      <c r="A6077"/>
      <c r="B6077"/>
      <c r="C6077"/>
      <c r="D6077"/>
      <c r="E6077"/>
      <c r="F6077"/>
      <c r="G6077"/>
      <c r="H6077"/>
      <c r="I6077"/>
      <c r="J6077"/>
      <c r="K6077"/>
    </row>
    <row r="6078" spans="1:11">
      <c r="A6078"/>
      <c r="B6078"/>
      <c r="C6078"/>
      <c r="D6078"/>
      <c r="E6078"/>
      <c r="F6078"/>
      <c r="G6078"/>
      <c r="H6078"/>
      <c r="I6078"/>
      <c r="J6078"/>
      <c r="K6078"/>
    </row>
    <row r="6079" spans="1:11">
      <c r="A6079"/>
      <c r="B6079"/>
      <c r="C6079"/>
      <c r="D6079"/>
      <c r="E6079"/>
      <c r="F6079"/>
      <c r="G6079"/>
      <c r="H6079"/>
      <c r="I6079"/>
      <c r="J6079"/>
      <c r="K6079"/>
    </row>
    <row r="6080" spans="1:11">
      <c r="A6080"/>
      <c r="B6080"/>
      <c r="C6080"/>
      <c r="D6080"/>
      <c r="E6080"/>
      <c r="F6080"/>
      <c r="G6080"/>
      <c r="H6080"/>
      <c r="I6080"/>
      <c r="J6080"/>
      <c r="K6080"/>
    </row>
    <row r="6081" spans="1:11">
      <c r="A6081"/>
      <c r="B6081"/>
      <c r="C6081"/>
      <c r="D6081"/>
      <c r="E6081"/>
      <c r="F6081"/>
      <c r="G6081"/>
      <c r="H6081"/>
      <c r="I6081"/>
      <c r="J6081"/>
      <c r="K6081"/>
    </row>
    <row r="6082" spans="1:11">
      <c r="A6082"/>
      <c r="B6082"/>
      <c r="C6082"/>
      <c r="D6082"/>
      <c r="E6082"/>
      <c r="F6082"/>
      <c r="G6082"/>
      <c r="H6082"/>
      <c r="I6082"/>
      <c r="J6082"/>
      <c r="K6082"/>
    </row>
    <row r="6083" spans="1:11">
      <c r="A6083"/>
      <c r="B6083"/>
      <c r="C6083"/>
      <c r="D6083"/>
      <c r="E6083"/>
      <c r="F6083"/>
      <c r="G6083"/>
      <c r="H6083"/>
      <c r="I6083"/>
      <c r="J6083"/>
      <c r="K6083"/>
    </row>
    <row r="6084" spans="1:11">
      <c r="A6084"/>
      <c r="B6084"/>
      <c r="C6084"/>
      <c r="D6084"/>
      <c r="E6084"/>
      <c r="F6084"/>
      <c r="G6084"/>
      <c r="H6084"/>
      <c r="I6084"/>
      <c r="J6084"/>
      <c r="K6084"/>
    </row>
    <row r="6085" spans="1:11">
      <c r="A6085"/>
      <c r="B6085"/>
      <c r="C6085"/>
      <c r="D6085"/>
      <c r="E6085"/>
      <c r="F6085"/>
      <c r="G6085"/>
      <c r="H6085"/>
      <c r="I6085"/>
      <c r="J6085"/>
      <c r="K6085"/>
    </row>
    <row r="6086" spans="1:11">
      <c r="A6086"/>
      <c r="B6086"/>
      <c r="C6086"/>
      <c r="D6086"/>
      <c r="E6086"/>
      <c r="F6086"/>
      <c r="G6086"/>
      <c r="H6086"/>
      <c r="I6086"/>
      <c r="J6086"/>
      <c r="K6086"/>
    </row>
    <row r="6087" spans="1:11">
      <c r="A6087"/>
      <c r="B6087"/>
      <c r="C6087"/>
      <c r="D6087"/>
      <c r="E6087"/>
      <c r="F6087"/>
      <c r="G6087"/>
      <c r="H6087"/>
      <c r="I6087"/>
      <c r="J6087"/>
      <c r="K6087"/>
    </row>
    <row r="6088" spans="1:11">
      <c r="A6088"/>
      <c r="B6088"/>
      <c r="C6088"/>
      <c r="D6088"/>
      <c r="E6088"/>
      <c r="F6088"/>
      <c r="G6088"/>
      <c r="H6088"/>
      <c r="I6088"/>
      <c r="J6088"/>
      <c r="K6088"/>
    </row>
    <row r="6089" spans="1:11">
      <c r="A6089"/>
      <c r="B6089"/>
      <c r="C6089"/>
      <c r="D6089"/>
      <c r="E6089"/>
      <c r="F6089"/>
      <c r="G6089"/>
      <c r="H6089"/>
      <c r="I6089"/>
      <c r="J6089"/>
      <c r="K6089"/>
    </row>
    <row r="6090" spans="1:11">
      <c r="A6090"/>
      <c r="B6090"/>
      <c r="C6090"/>
      <c r="D6090"/>
      <c r="E6090"/>
      <c r="F6090"/>
      <c r="G6090"/>
      <c r="H6090"/>
      <c r="I6090"/>
      <c r="J6090"/>
      <c r="K6090"/>
    </row>
    <row r="6091" spans="1:11">
      <c r="A6091"/>
      <c r="B6091"/>
      <c r="C6091"/>
      <c r="D6091"/>
      <c r="E6091"/>
      <c r="F6091"/>
      <c r="G6091"/>
      <c r="H6091"/>
      <c r="I6091"/>
      <c r="J6091"/>
      <c r="K6091"/>
    </row>
    <row r="6092" spans="1:11">
      <c r="A6092"/>
      <c r="B6092"/>
      <c r="C6092"/>
      <c r="D6092"/>
      <c r="E6092"/>
      <c r="F6092"/>
      <c r="G6092"/>
      <c r="H6092"/>
      <c r="I6092"/>
      <c r="J6092"/>
      <c r="K6092"/>
    </row>
    <row r="6093" spans="1:11">
      <c r="A6093"/>
      <c r="B6093"/>
      <c r="C6093"/>
      <c r="D6093"/>
      <c r="E6093"/>
      <c r="F6093"/>
      <c r="G6093"/>
      <c r="H6093"/>
      <c r="I6093"/>
      <c r="J6093"/>
      <c r="K6093"/>
    </row>
    <row r="6094" spans="1:11">
      <c r="A6094"/>
      <c r="B6094"/>
      <c r="C6094"/>
      <c r="D6094"/>
      <c r="E6094"/>
      <c r="F6094"/>
      <c r="G6094"/>
      <c r="H6094"/>
      <c r="I6094"/>
      <c r="J6094"/>
      <c r="K6094"/>
    </row>
    <row r="6095" spans="1:11">
      <c r="A6095"/>
      <c r="B6095"/>
      <c r="C6095"/>
      <c r="D6095"/>
      <c r="E6095"/>
      <c r="F6095"/>
      <c r="G6095"/>
      <c r="H6095"/>
      <c r="I6095"/>
      <c r="J6095"/>
      <c r="K6095"/>
    </row>
    <row r="6096" spans="1:11">
      <c r="A6096"/>
      <c r="B6096"/>
      <c r="C6096"/>
      <c r="D6096"/>
      <c r="E6096"/>
      <c r="F6096"/>
      <c r="G6096"/>
      <c r="H6096"/>
      <c r="I6096"/>
      <c r="J6096"/>
      <c r="K6096"/>
    </row>
    <row r="6097" spans="1:11">
      <c r="A6097"/>
      <c r="B6097"/>
      <c r="C6097"/>
      <c r="D6097"/>
      <c r="E6097"/>
      <c r="F6097"/>
      <c r="G6097"/>
      <c r="H6097"/>
      <c r="I6097"/>
      <c r="J6097"/>
      <c r="K6097"/>
    </row>
    <row r="6098" spans="1:11">
      <c r="A6098"/>
      <c r="B6098"/>
      <c r="C6098"/>
      <c r="D6098"/>
      <c r="E6098"/>
      <c r="F6098"/>
      <c r="G6098"/>
      <c r="H6098"/>
      <c r="I6098"/>
      <c r="J6098"/>
      <c r="K6098"/>
    </row>
    <row r="6099" spans="1:11">
      <c r="A6099"/>
      <c r="B6099"/>
      <c r="C6099"/>
      <c r="D6099"/>
      <c r="E6099"/>
      <c r="F6099"/>
      <c r="G6099"/>
      <c r="H6099"/>
      <c r="I6099"/>
      <c r="J6099"/>
      <c r="K6099"/>
    </row>
    <row r="6100" spans="1:11">
      <c r="A6100"/>
      <c r="B6100"/>
      <c r="C6100"/>
      <c r="D6100"/>
      <c r="E6100"/>
      <c r="F6100"/>
      <c r="G6100"/>
      <c r="H6100"/>
      <c r="I6100"/>
      <c r="J6100"/>
      <c r="K6100"/>
    </row>
    <row r="6101" spans="1:11">
      <c r="A6101"/>
      <c r="B6101"/>
      <c r="C6101"/>
      <c r="D6101"/>
      <c r="E6101"/>
      <c r="F6101"/>
      <c r="G6101"/>
      <c r="H6101"/>
      <c r="I6101"/>
      <c r="J6101"/>
      <c r="K6101"/>
    </row>
    <row r="6102" spans="1:11">
      <c r="A6102"/>
      <c r="B6102"/>
      <c r="C6102"/>
      <c r="D6102"/>
      <c r="E6102"/>
      <c r="F6102"/>
      <c r="G6102"/>
      <c r="H6102"/>
      <c r="I6102"/>
      <c r="J6102"/>
      <c r="K6102"/>
    </row>
    <row r="6103" spans="1:11">
      <c r="A6103"/>
      <c r="B6103"/>
      <c r="C6103"/>
      <c r="D6103"/>
      <c r="E6103"/>
      <c r="F6103"/>
      <c r="G6103"/>
      <c r="H6103"/>
      <c r="I6103"/>
      <c r="J6103"/>
      <c r="K6103"/>
    </row>
    <row r="6104" spans="1:11">
      <c r="A6104"/>
      <c r="B6104"/>
      <c r="C6104"/>
      <c r="D6104"/>
      <c r="E6104"/>
      <c r="F6104"/>
      <c r="G6104"/>
      <c r="H6104"/>
      <c r="I6104"/>
      <c r="J6104"/>
      <c r="K6104"/>
    </row>
    <row r="6105" spans="1:11">
      <c r="A6105"/>
      <c r="B6105"/>
      <c r="C6105"/>
      <c r="D6105"/>
      <c r="E6105"/>
      <c r="F6105"/>
      <c r="G6105"/>
      <c r="H6105"/>
      <c r="I6105"/>
      <c r="J6105"/>
      <c r="K6105"/>
    </row>
    <row r="6106" spans="1:11">
      <c r="A6106"/>
      <c r="B6106"/>
      <c r="C6106"/>
      <c r="D6106"/>
      <c r="E6106"/>
      <c r="F6106"/>
      <c r="G6106"/>
      <c r="H6106"/>
      <c r="I6106"/>
      <c r="J6106"/>
      <c r="K6106"/>
    </row>
    <row r="6107" spans="1:11">
      <c r="A6107"/>
      <c r="B6107"/>
      <c r="C6107"/>
      <c r="D6107"/>
      <c r="E6107"/>
      <c r="F6107"/>
      <c r="G6107"/>
      <c r="H6107"/>
      <c r="I6107"/>
      <c r="J6107"/>
      <c r="K6107"/>
    </row>
    <row r="6108" spans="1:11">
      <c r="A6108"/>
      <c r="B6108"/>
      <c r="C6108"/>
      <c r="D6108"/>
      <c r="E6108"/>
      <c r="F6108"/>
      <c r="G6108"/>
      <c r="H6108"/>
      <c r="I6108"/>
      <c r="J6108"/>
      <c r="K6108"/>
    </row>
    <row r="6109" spans="1:11">
      <c r="A6109"/>
      <c r="B6109"/>
      <c r="C6109"/>
      <c r="D6109"/>
      <c r="E6109"/>
      <c r="F6109"/>
      <c r="G6109"/>
      <c r="H6109"/>
      <c r="I6109"/>
      <c r="J6109"/>
      <c r="K6109"/>
    </row>
  </sheetData>
  <phoneticPr fontId="3" type="noConversion"/>
  <pageMargins left="0.7" right="0.7" top="0.75" bottom="0.75" header="0.3" footer="0.3"/>
  <pageSetup paperSize="9" orientation="portrait" r:id="rId1"/>
  <ignoredErrors>
    <ignoredError sqref="E2620" numberStoredAsText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F736A-CB5B-4E26-B390-72D9C8F1B5F2}">
  <sheetPr codeName="Arkusz1">
    <tabColor theme="5" tint="0.39997558519241921"/>
  </sheetPr>
  <dimension ref="A1:K210"/>
  <sheetViews>
    <sheetView tabSelected="1" workbookViewId="0">
      <selection activeCell="H12" sqref="H12"/>
    </sheetView>
  </sheetViews>
  <sheetFormatPr defaultRowHeight="15"/>
  <cols>
    <col min="1" max="1" width="27.42578125" style="11" bestFit="1" customWidth="1"/>
    <col min="2" max="2" width="4.28515625" style="11" customWidth="1"/>
    <col min="3" max="3" width="47.42578125" customWidth="1"/>
    <col min="9" max="9" width="28.28515625" customWidth="1"/>
    <col min="10" max="10" width="23.5703125" customWidth="1"/>
    <col min="12" max="14" width="10.140625" customWidth="1"/>
  </cols>
  <sheetData>
    <row r="1" spans="1:11">
      <c r="A1" s="11" t="s">
        <v>3768</v>
      </c>
    </row>
    <row r="2" spans="1:11">
      <c r="A2" s="12" t="s">
        <v>3778</v>
      </c>
      <c r="B2" s="13"/>
      <c r="C2" s="8" t="s">
        <v>3769</v>
      </c>
    </row>
    <row r="3" spans="1:11" ht="48">
      <c r="A3" s="15" t="str" cm="1">
        <f t="array" ref="A3:A10">_xlfn.UNIQUE(_xlfn._xlws.FILTER([1]___2022___!$D$1:$D$65536,ISNUMBER(SEARCH(A2,[1]___2022___!$K$1:$K$65536))))</f>
        <v>SSDSC2KB960GZ01</v>
      </c>
      <c r="B3" s="15">
        <f t="shared" ref="B3:B7" si="0">LEN(C3)-LEN(SUBSTITUTE(C3,",",""))+1</f>
        <v>8</v>
      </c>
      <c r="C3" s="7" t="str" cm="1">
        <f t="array" ref="C3">_xlfn.TEXTJOIN(", ",,_xlfn._xlws.FILTER([1]___2022___!$E$1:$E$65536,(([1]___2022___!$D$1:$D$65536=$A3)*(ISNUMBER(SEARCH($A$2,[1]___2022___!$K$1:$K$65536)))),"----------"))</f>
        <v>BTYI201305SL960CGN, BTYI201305T5960CGN, BTYI201305SK960CGN, BTYI204307SZ960CGN, BTYI204307TP960CGN, BTYI204307SX960CGN, BTYI204400KS960CGN, BTYI204307SY960CGN</v>
      </c>
    </row>
    <row r="4" spans="1:11">
      <c r="A4" s="15" t="str">
        <v>M393A4K40EB3-CWE</v>
      </c>
      <c r="B4" s="15">
        <f t="shared" si="0"/>
        <v>4</v>
      </c>
      <c r="C4" s="7" t="str" cm="1">
        <f t="array" ref="C4">_xlfn.TEXTJOIN(", ",,_xlfn._xlws.FILTER([1]___2022___!$E$1:$E$65536,(([1]___2022___!$D$1:$D$65536=$A4)*(ISNUMBER(SEARCH($A$2,[1]___2022___!$K$1:$K$65536)))),"----------"))</f>
        <v>SNL824, SNL825, SNL826, SNL827</v>
      </c>
    </row>
    <row r="5" spans="1:11">
      <c r="A5" s="15" t="str">
        <v>RSC-RR1U-E16</v>
      </c>
      <c r="B5" s="15">
        <f t="shared" si="0"/>
        <v>1</v>
      </c>
      <c r="C5" s="7" t="str" cm="1">
        <f t="array" ref="C5">_xlfn.TEXTJOIN(", ",,_xlfn._xlws.FILTER([1]___2022___!$E$1:$E$65536,(([1]___2022___!$D$1:$D$65536=$A5)*(ISNUMBER(SEARCH($A$2,[1]___2022___!$K$1:$K$65536)))),"----------"))</f>
        <v>VR221S000661</v>
      </c>
    </row>
    <row r="6" spans="1:11">
      <c r="A6" s="15" t="str">
        <v>PSE-ROM740P-0048</v>
      </c>
      <c r="B6" s="15">
        <f t="shared" si="0"/>
        <v>1</v>
      </c>
      <c r="C6" s="7" t="str" cm="1">
        <f t="array" ref="C6">_xlfn.TEXTJOIN(", ",,_xlfn._xlws.FILTER([1]___2022___!$E$1:$E$65536,(([1]___2022___!$D$1:$D$65536=$A6)*(ISNUMBER(SEARCH($A$2,[1]___2022___!$K$1:$K$65536)))),"----------"))</f>
        <v>9KI3196P20036</v>
      </c>
    </row>
    <row r="7" spans="1:11">
      <c r="A7" s="15" t="str">
        <v>MBD-H12SSL-C-O</v>
      </c>
      <c r="B7" s="15">
        <f t="shared" si="0"/>
        <v>1</v>
      </c>
      <c r="C7" s="7" t="str" cm="1">
        <f t="array" ref="C7">_xlfn.TEXTJOIN(", ",,_xlfn._xlws.FILTER([1]___2022___!$E$1:$E$65536,(([1]___2022___!$D$1:$D$65536=$A7)*(ISNUMBER(SEARCH($A$2,[1]___2022___!$K$1:$K$65536)))),"----------"))</f>
        <v>WM214S604468</v>
      </c>
    </row>
    <row r="8" spans="1:11">
      <c r="A8" s="15" t="str">
        <v>CSE-113MFAC2-R606CB</v>
      </c>
      <c r="B8" s="15">
        <f>LEN(C8)-LEN(SUBSTITUTE(C8,",",""))+1</f>
        <v>1</v>
      </c>
      <c r="C8" s="7" t="str" cm="1">
        <f t="array" ref="C8">_xlfn.TEXTJOIN(", ",,_xlfn._xlws.FILTER([1]___2022___!$E$1:$E$65536,(([1]___2022___!$D$1:$D$65536=$A8)*(ISNUMBER(SEARCH($A$2,[1]___2022___!$K$1:$K$65536)))),"----------"))</f>
        <v>C113MLK51P40189</v>
      </c>
    </row>
    <row r="9" spans="1:11">
      <c r="A9" s="15" t="str">
        <v>PWS-606P-1R</v>
      </c>
      <c r="B9" s="15">
        <f>LEN(C9)-LEN(SUBSTITUTE(C9,",",""))+1</f>
        <v>2</v>
      </c>
      <c r="C9" s="7" t="str" cm="1">
        <f t="array" ref="C9">_xlfn.TEXTJOIN(", ",,_xlfn._xlws.FILTER([1]___2022___!$E$1:$E$65536,(([1]___2022___!$D$1:$D$65536=$A9)*(ISNUMBER(SEARCH($A$2,[1]___2022___!$K$1:$K$65536)))),"----------"))</f>
        <v>P606PCL46PB1332, P606PCL46PB1111</v>
      </c>
      <c r="K9" s="79"/>
    </row>
    <row r="10" spans="1:11">
      <c r="A10" s="15" t="str">
        <v>BPN-SAS3-113A-N2</v>
      </c>
      <c r="B10" s="15">
        <f t="shared" ref="B10:B16" si="1">LEN(C10)-LEN(SUBSTITUTE(C10,",",""))+1</f>
        <v>1</v>
      </c>
      <c r="C10" s="7" t="str" cm="1">
        <f t="array" ref="C10">_xlfn.TEXTJOIN(", ",,_xlfn._xlws.FILTER([1]___2022___!$E$1:$E$65536,(([1]___2022___!$D$1:$D$65536=$A10)*(ISNUMBER(SEARCH($A$2,[1]___2022___!$K$1:$K$65536)))),"----------"))</f>
        <v>PB21BS006291</v>
      </c>
    </row>
    <row r="11" spans="1:11">
      <c r="A11" s="15"/>
      <c r="B11" s="15">
        <f t="shared" si="1"/>
        <v>1</v>
      </c>
      <c r="C11" s="7" t="str" cm="1">
        <f t="array" ref="C11">_xlfn.TEXTJOIN(", ",,_xlfn._xlws.FILTER([1]___2022___!$E$1:$E$65536,(([1]___2022___!$D$1:$D$65536=$A11)*(ISNUMBER(SEARCH($A$2,[1]___2022___!$K$1:$K$65536)))),"----------"))</f>
        <v>----------</v>
      </c>
    </row>
    <row r="12" spans="1:11">
      <c r="A12" s="15"/>
      <c r="B12" s="15">
        <f t="shared" si="1"/>
        <v>1</v>
      </c>
      <c r="C12" s="7" t="str" cm="1">
        <f t="array" ref="C12">_xlfn.TEXTJOIN(", ",,_xlfn._xlws.FILTER([1]___2022___!$E$1:$E$65536,(([1]___2022___!$D$1:$D$65536=$A12)*(ISNUMBER(SEARCH($A$2,[1]___2022___!$K$1:$K$65536)))),"----------"))</f>
        <v>----------</v>
      </c>
    </row>
    <row r="13" spans="1:11">
      <c r="A13" s="15"/>
      <c r="B13" s="15">
        <f t="shared" si="1"/>
        <v>1</v>
      </c>
      <c r="C13" s="7" t="str" cm="1">
        <f t="array" ref="C13">_xlfn.TEXTJOIN(", ",,_xlfn._xlws.FILTER([1]___2022___!$E$1:$E$65536,(([1]___2022___!$D$1:$D$65536=$A13)*(ISNUMBER(SEARCH($A$2,[1]___2022___!$K$1:$K$65536)))),"----------"))</f>
        <v>----------</v>
      </c>
    </row>
    <row r="14" spans="1:11">
      <c r="A14" s="15"/>
      <c r="B14" s="15">
        <f t="shared" si="1"/>
        <v>1</v>
      </c>
      <c r="C14" s="7" t="str" cm="1">
        <f t="array" ref="C14">_xlfn.TEXTJOIN(", ",,_xlfn._xlws.FILTER([1]___2022___!$E$1:$E$65536,(([1]___2022___!$D$1:$D$65536=$A14)*(ISNUMBER(SEARCH($A$2,[1]___2022___!$K$1:$K$65536)))),"----------"))</f>
        <v>----------</v>
      </c>
      <c r="I14" s="50"/>
      <c r="K14" s="8"/>
    </row>
    <row r="15" spans="1:11">
      <c r="A15" s="15"/>
      <c r="B15" s="15">
        <f t="shared" si="1"/>
        <v>1</v>
      </c>
      <c r="C15" s="7" t="str" cm="1">
        <f t="array" ref="C15">_xlfn.TEXTJOIN(", ",,_xlfn._xlws.FILTER([1]___2022___!$E$1:$E$65536,(([1]___2022___!$D$1:$D$65536=$A15)*(ISNUMBER(SEARCH($A$2,[1]___2022___!$K$1:$K$65536)))),"----------"))</f>
        <v>----------</v>
      </c>
    </row>
    <row r="16" spans="1:11">
      <c r="A16" s="15"/>
      <c r="B16" s="15">
        <f t="shared" si="1"/>
        <v>1</v>
      </c>
      <c r="C16" s="7" t="str" cm="1">
        <f t="array" ref="C16">_xlfn.TEXTJOIN(", ",,_xlfn._xlws.FILTER([1]___2022___!$E$1:$E$65536,(([1]___2022___!$D$1:$D$65536=$A16)*(ISNUMBER(SEARCH($A$2,[1]___2022___!$K$1:$K$65536)))),"----------"))</f>
        <v>----------</v>
      </c>
    </row>
    <row r="17" spans="1:9" ht="18.75">
      <c r="A17" s="16"/>
      <c r="B17" s="16"/>
      <c r="C17" s="10"/>
      <c r="I17" t="s">
        <v>3352</v>
      </c>
    </row>
    <row r="18" spans="1:9">
      <c r="A18" s="12"/>
      <c r="B18" s="13"/>
      <c r="C18" s="8"/>
      <c r="I18" s="7" t="str" cm="1">
        <f t="array" ref="I18">_xlfn.TEXTJOIN(", ",,_xlfn._xlws.FILTER(Tabela1[[#All],[NUMER SERYJNY]],((Tabela1[[#All],[NAZWA]]=$A18)*(Tabela1[[#All],[KOMENTARZ]]=$A15)),"----------"))</f>
        <v/>
      </c>
    </row>
    <row r="19" spans="1:9">
      <c r="A19" s="14"/>
      <c r="B19" s="14"/>
      <c r="C19" s="9"/>
    </row>
    <row r="20" spans="1:9">
      <c r="A20" s="15"/>
      <c r="B20" s="15"/>
      <c r="C20" s="7"/>
    </row>
    <row r="22" spans="1:9">
      <c r="A22" s="12"/>
      <c r="B22" s="13"/>
      <c r="C22" s="8"/>
    </row>
    <row r="23" spans="1:9">
      <c r="A23" s="14"/>
      <c r="B23" s="14"/>
      <c r="C23" s="9"/>
    </row>
    <row r="24" spans="1:9">
      <c r="A24" s="15"/>
      <c r="B24" s="15"/>
      <c r="C24" s="7"/>
    </row>
    <row r="25" spans="1:9">
      <c r="A25" s="15"/>
      <c r="B25" s="15"/>
      <c r="C25" s="7"/>
    </row>
    <row r="26" spans="1:9">
      <c r="A26" s="15"/>
      <c r="B26" s="15"/>
      <c r="C26" s="7"/>
    </row>
    <row r="27" spans="1:9">
      <c r="A27" s="15"/>
      <c r="B27" s="15"/>
      <c r="C27" s="7"/>
    </row>
    <row r="28" spans="1:9">
      <c r="A28" s="15"/>
      <c r="B28" s="15"/>
      <c r="C28" s="7"/>
    </row>
    <row r="29" spans="1:9">
      <c r="A29" s="15"/>
      <c r="B29" s="15"/>
      <c r="C29" s="7"/>
    </row>
    <row r="30" spans="1:9">
      <c r="A30" s="15"/>
      <c r="B30" s="15"/>
      <c r="C30" s="7"/>
    </row>
    <row r="31" spans="1:9">
      <c r="A31" s="15"/>
      <c r="B31" s="15"/>
      <c r="C31" s="7"/>
    </row>
    <row r="32" spans="1:9">
      <c r="A32" s="15"/>
      <c r="B32" s="15"/>
      <c r="C32" s="7"/>
    </row>
    <row r="33" spans="1:3">
      <c r="A33" s="15"/>
      <c r="B33" s="15"/>
      <c r="C33" s="7"/>
    </row>
    <row r="34" spans="1:3">
      <c r="A34" s="15"/>
      <c r="B34" s="15"/>
      <c r="C34" s="7"/>
    </row>
    <row r="35" spans="1:3">
      <c r="A35" s="15"/>
      <c r="B35" s="15"/>
      <c r="C35" s="7"/>
    </row>
    <row r="36" spans="1:3">
      <c r="A36" s="15"/>
      <c r="B36" s="15"/>
      <c r="C36" s="7"/>
    </row>
    <row r="37" spans="1:3">
      <c r="A37" s="15"/>
      <c r="B37" s="15"/>
      <c r="C37" s="7"/>
    </row>
    <row r="38" spans="1:3">
      <c r="A38" s="15"/>
      <c r="B38" s="15"/>
      <c r="C38" s="7"/>
    </row>
    <row r="39" spans="1:3">
      <c r="A39" s="15"/>
      <c r="B39" s="15"/>
      <c r="C39" s="7"/>
    </row>
    <row r="40" spans="1:3">
      <c r="A40" s="15"/>
      <c r="B40" s="15"/>
      <c r="C40" s="7"/>
    </row>
    <row r="41" spans="1:3">
      <c r="A41" s="15"/>
      <c r="B41" s="15"/>
      <c r="C41" s="7"/>
    </row>
    <row r="42" spans="1:3">
      <c r="A42" s="15"/>
      <c r="B42" s="15"/>
      <c r="C42" s="7"/>
    </row>
    <row r="43" spans="1:3">
      <c r="A43" s="15"/>
      <c r="B43" s="15"/>
      <c r="C43" s="7"/>
    </row>
    <row r="44" spans="1:3">
      <c r="A44" s="15"/>
      <c r="B44" s="15"/>
      <c r="C44" s="7"/>
    </row>
    <row r="45" spans="1:3">
      <c r="A45" s="15"/>
      <c r="B45" s="15"/>
      <c r="C45" s="7"/>
    </row>
    <row r="46" spans="1:3">
      <c r="A46" s="15"/>
      <c r="B46" s="15"/>
      <c r="C46" s="7"/>
    </row>
    <row r="47" spans="1:3">
      <c r="A47" s="15"/>
      <c r="B47" s="15"/>
      <c r="C47" s="7"/>
    </row>
    <row r="48" spans="1:3">
      <c r="A48" s="15"/>
      <c r="B48" s="15"/>
      <c r="C48" s="7"/>
    </row>
    <row r="49" spans="1:3">
      <c r="A49" s="15"/>
      <c r="B49" s="15"/>
      <c r="C49" s="7"/>
    </row>
    <row r="50" spans="1:3">
      <c r="A50" s="12"/>
      <c r="B50" s="13"/>
      <c r="C50" s="8"/>
    </row>
    <row r="51" spans="1:3">
      <c r="A51" s="14"/>
      <c r="B51" s="14"/>
      <c r="C51" s="9"/>
    </row>
    <row r="52" spans="1:3">
      <c r="A52" s="15"/>
      <c r="B52" s="15"/>
      <c r="C52" s="7"/>
    </row>
    <row r="53" spans="1:3">
      <c r="A53" s="15"/>
      <c r="B53" s="15"/>
      <c r="C53" s="7"/>
    </row>
    <row r="54" spans="1:3">
      <c r="A54" s="15"/>
      <c r="B54" s="15"/>
      <c r="C54" s="7"/>
    </row>
    <row r="55" spans="1:3">
      <c r="A55" s="15"/>
      <c r="B55" s="15"/>
      <c r="C55" s="7"/>
    </row>
    <row r="56" spans="1:3">
      <c r="A56" s="15"/>
      <c r="B56" s="15"/>
      <c r="C56" s="7"/>
    </row>
    <row r="57" spans="1:3">
      <c r="A57" s="15"/>
      <c r="B57" s="15"/>
      <c r="C57" s="7"/>
    </row>
    <row r="58" spans="1:3">
      <c r="A58" s="15"/>
      <c r="B58" s="15"/>
      <c r="C58" s="7"/>
    </row>
    <row r="59" spans="1:3">
      <c r="A59" s="15"/>
      <c r="B59" s="15"/>
      <c r="C59" s="7"/>
    </row>
    <row r="60" spans="1:3">
      <c r="A60" s="15"/>
      <c r="B60" s="15"/>
      <c r="C60" s="7"/>
    </row>
    <row r="61" spans="1:3">
      <c r="A61" s="15"/>
      <c r="B61" s="15"/>
      <c r="C61" s="7"/>
    </row>
    <row r="62" spans="1:3">
      <c r="A62" s="15"/>
      <c r="B62" s="15"/>
      <c r="C62" s="7"/>
    </row>
    <row r="63" spans="1:3">
      <c r="A63" s="15"/>
      <c r="B63" s="15"/>
      <c r="C63" s="7"/>
    </row>
    <row r="64" spans="1:3">
      <c r="A64" s="15"/>
      <c r="B64" s="15"/>
      <c r="C64" s="7"/>
    </row>
    <row r="65" spans="1:3">
      <c r="A65" s="15"/>
      <c r="B65" s="15"/>
      <c r="C65" s="7"/>
    </row>
    <row r="66" spans="1:3">
      <c r="A66" s="12"/>
      <c r="B66" s="13"/>
      <c r="C66" s="8"/>
    </row>
    <row r="67" spans="1:3">
      <c r="A67" s="14"/>
      <c r="B67" s="14"/>
      <c r="C67" s="9"/>
    </row>
    <row r="68" spans="1:3">
      <c r="A68" s="15"/>
      <c r="B68" s="15"/>
      <c r="C68" s="7"/>
    </row>
    <row r="69" spans="1:3">
      <c r="A69" s="15"/>
      <c r="B69" s="15"/>
      <c r="C69" s="7"/>
    </row>
    <row r="70" spans="1:3">
      <c r="A70" s="15"/>
      <c r="B70" s="15"/>
      <c r="C70" s="7"/>
    </row>
    <row r="71" spans="1:3">
      <c r="A71" s="15"/>
      <c r="B71" s="15"/>
      <c r="C71" s="7"/>
    </row>
    <row r="72" spans="1:3">
      <c r="A72" s="15"/>
      <c r="B72" s="15"/>
      <c r="C72" s="7"/>
    </row>
    <row r="73" spans="1:3">
      <c r="A73" s="15"/>
      <c r="B73" s="15"/>
      <c r="C73" s="7"/>
    </row>
    <row r="74" spans="1:3">
      <c r="A74" s="15"/>
      <c r="B74" s="15"/>
      <c r="C74" s="7"/>
    </row>
    <row r="75" spans="1:3">
      <c r="A75" s="15"/>
      <c r="B75" s="15"/>
      <c r="C75" s="7"/>
    </row>
    <row r="76" spans="1:3">
      <c r="A76" s="15"/>
      <c r="B76" s="15"/>
      <c r="C76" s="7"/>
    </row>
    <row r="77" spans="1:3">
      <c r="A77" s="15"/>
      <c r="B77" s="15"/>
      <c r="C77" s="7"/>
    </row>
    <row r="78" spans="1:3">
      <c r="A78" s="15"/>
      <c r="B78" s="15"/>
      <c r="C78" s="7"/>
    </row>
    <row r="79" spans="1:3">
      <c r="A79" s="15"/>
      <c r="B79" s="15"/>
      <c r="C79" s="7"/>
    </row>
    <row r="80" spans="1:3">
      <c r="A80" s="15"/>
      <c r="B80" s="15"/>
      <c r="C80" s="7"/>
    </row>
    <row r="81" spans="1:3">
      <c r="A81" s="15"/>
      <c r="B81" s="15"/>
      <c r="C81" s="7"/>
    </row>
    <row r="82" spans="1:3">
      <c r="A82" s="12"/>
      <c r="B82" s="13"/>
      <c r="C82" s="8"/>
    </row>
    <row r="83" spans="1:3">
      <c r="A83" s="14"/>
      <c r="B83" s="14"/>
      <c r="C83" s="9"/>
    </row>
    <row r="84" spans="1:3">
      <c r="A84" s="15"/>
      <c r="B84" s="15"/>
      <c r="C84" s="7"/>
    </row>
    <row r="85" spans="1:3">
      <c r="A85" s="15"/>
      <c r="B85" s="15"/>
      <c r="C85" s="7"/>
    </row>
    <row r="86" spans="1:3">
      <c r="A86" s="15"/>
      <c r="B86" s="15"/>
      <c r="C86" s="7"/>
    </row>
    <row r="87" spans="1:3">
      <c r="A87" s="15"/>
      <c r="B87" s="15"/>
      <c r="C87" s="7"/>
    </row>
    <row r="88" spans="1:3">
      <c r="A88" s="15"/>
      <c r="B88" s="15"/>
      <c r="C88" s="7"/>
    </row>
    <row r="89" spans="1:3">
      <c r="A89" s="15"/>
      <c r="B89" s="15"/>
      <c r="C89" s="7"/>
    </row>
    <row r="90" spans="1:3">
      <c r="A90" s="15"/>
      <c r="B90" s="15"/>
      <c r="C90" s="7"/>
    </row>
    <row r="91" spans="1:3">
      <c r="A91" s="15"/>
      <c r="B91" s="15"/>
      <c r="C91" s="7"/>
    </row>
    <row r="92" spans="1:3">
      <c r="A92" s="15"/>
      <c r="B92" s="15"/>
      <c r="C92" s="7"/>
    </row>
    <row r="93" spans="1:3">
      <c r="A93" s="15"/>
      <c r="B93" s="15"/>
      <c r="C93" s="7"/>
    </row>
    <row r="94" spans="1:3">
      <c r="A94" s="15"/>
      <c r="B94" s="15"/>
      <c r="C94" s="7"/>
    </row>
    <row r="95" spans="1:3">
      <c r="A95" s="15"/>
      <c r="B95" s="15"/>
      <c r="C95" s="7"/>
    </row>
    <row r="96" spans="1:3">
      <c r="A96" s="15"/>
      <c r="B96" s="15"/>
      <c r="C96" s="7"/>
    </row>
    <row r="97" spans="1:3">
      <c r="A97" s="15"/>
      <c r="B97" s="15"/>
      <c r="C97" s="7"/>
    </row>
    <row r="98" spans="1:3">
      <c r="A98" s="15"/>
      <c r="B98" s="15"/>
      <c r="C98" s="7"/>
    </row>
    <row r="99" spans="1:3">
      <c r="A99" s="12"/>
      <c r="B99" s="13"/>
      <c r="C99" s="8"/>
    </row>
    <row r="100" spans="1:3">
      <c r="A100" s="14"/>
      <c r="B100" s="14"/>
      <c r="C100" s="9"/>
    </row>
    <row r="101" spans="1:3">
      <c r="A101" s="15"/>
      <c r="B101" s="15"/>
      <c r="C101" s="7"/>
    </row>
    <row r="102" spans="1:3">
      <c r="A102" s="15"/>
      <c r="B102" s="15"/>
      <c r="C102" s="7"/>
    </row>
    <row r="103" spans="1:3">
      <c r="A103" s="15"/>
      <c r="B103" s="15"/>
      <c r="C103" s="7"/>
    </row>
    <row r="104" spans="1:3">
      <c r="A104" s="15"/>
      <c r="B104" s="15"/>
      <c r="C104" s="7"/>
    </row>
    <row r="105" spans="1:3">
      <c r="A105" s="15"/>
      <c r="B105" s="15"/>
      <c r="C105" s="7"/>
    </row>
    <row r="106" spans="1:3">
      <c r="A106" s="15"/>
      <c r="B106" s="15"/>
      <c r="C106" s="7"/>
    </row>
    <row r="107" spans="1:3">
      <c r="A107" s="15"/>
      <c r="B107" s="15"/>
      <c r="C107" s="7"/>
    </row>
    <row r="108" spans="1:3">
      <c r="A108" s="15"/>
      <c r="B108" s="15"/>
      <c r="C108" s="7"/>
    </row>
    <row r="109" spans="1:3">
      <c r="A109" s="15"/>
      <c r="B109" s="15"/>
      <c r="C109" s="7"/>
    </row>
    <row r="110" spans="1:3">
      <c r="A110" s="15"/>
      <c r="B110" s="15"/>
      <c r="C110" s="7"/>
    </row>
    <row r="111" spans="1:3">
      <c r="A111" s="15"/>
      <c r="B111" s="15"/>
      <c r="C111" s="7"/>
    </row>
    <row r="112" spans="1:3">
      <c r="A112" s="15"/>
      <c r="B112" s="15"/>
      <c r="C112" s="7"/>
    </row>
    <row r="113" spans="1:3">
      <c r="A113" s="15"/>
      <c r="B113" s="15"/>
      <c r="C113" s="7"/>
    </row>
    <row r="115" spans="1:3">
      <c r="A115" s="12"/>
      <c r="B115" s="13"/>
      <c r="C115" s="8"/>
    </row>
    <row r="116" spans="1:3">
      <c r="A116" s="14"/>
      <c r="B116" s="14"/>
      <c r="C116" s="9"/>
    </row>
    <row r="117" spans="1:3">
      <c r="A117" s="15"/>
      <c r="B117" s="15"/>
      <c r="C117" s="7"/>
    </row>
    <row r="118" spans="1:3">
      <c r="A118" s="15"/>
      <c r="B118" s="15"/>
      <c r="C118" s="7"/>
    </row>
    <row r="119" spans="1:3">
      <c r="A119" s="15"/>
      <c r="B119" s="15"/>
      <c r="C119" s="7"/>
    </row>
    <row r="120" spans="1:3">
      <c r="A120" s="15"/>
      <c r="B120" s="15"/>
      <c r="C120" s="7"/>
    </row>
    <row r="121" spans="1:3">
      <c r="A121" s="15"/>
      <c r="B121" s="15"/>
      <c r="C121" s="7"/>
    </row>
    <row r="122" spans="1:3">
      <c r="A122" s="15"/>
      <c r="B122" s="15"/>
      <c r="C122" s="7"/>
    </row>
    <row r="123" spans="1:3">
      <c r="A123" s="15"/>
      <c r="B123" s="15"/>
      <c r="C123" s="7"/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5"/>
      <c r="B126" s="15"/>
      <c r="C126" s="7"/>
    </row>
    <row r="127" spans="1:3">
      <c r="A127" s="15"/>
      <c r="B127" s="15"/>
      <c r="C127" s="7"/>
    </row>
    <row r="128" spans="1:3">
      <c r="A128" s="15"/>
      <c r="B128" s="15"/>
      <c r="C128" s="7"/>
    </row>
    <row r="129" spans="1:3">
      <c r="A129" s="15"/>
      <c r="B129" s="15"/>
      <c r="C129" s="7"/>
    </row>
    <row r="131" spans="1:3">
      <c r="A131" s="12"/>
      <c r="B131" s="13"/>
      <c r="C131" s="8"/>
    </row>
    <row r="132" spans="1:3">
      <c r="A132" s="14"/>
      <c r="B132" s="14"/>
      <c r="C132" s="9"/>
    </row>
    <row r="133" spans="1:3">
      <c r="A133" s="15"/>
      <c r="B133" s="15"/>
      <c r="C133" s="7"/>
    </row>
    <row r="134" spans="1:3">
      <c r="A134" s="15"/>
      <c r="B134" s="15"/>
      <c r="C134" s="7"/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>
      <c r="A137" s="15"/>
      <c r="B137" s="15"/>
      <c r="C137" s="7"/>
    </row>
    <row r="138" spans="1:3">
      <c r="A138" s="15"/>
      <c r="B138" s="15"/>
      <c r="C138" s="7"/>
    </row>
    <row r="139" spans="1:3">
      <c r="A139" s="15"/>
      <c r="B139" s="15"/>
      <c r="C139" s="7"/>
    </row>
    <row r="140" spans="1:3">
      <c r="A140" s="15"/>
      <c r="B140" s="15"/>
      <c r="C140" s="7"/>
    </row>
    <row r="141" spans="1:3">
      <c r="A141" s="15"/>
      <c r="B141" s="15"/>
      <c r="C141" s="7"/>
    </row>
    <row r="142" spans="1:3">
      <c r="A142" s="15"/>
      <c r="B142" s="15"/>
      <c r="C142" s="7"/>
    </row>
    <row r="143" spans="1:3">
      <c r="A143" s="15"/>
      <c r="B143" s="15"/>
      <c r="C143" s="7"/>
    </row>
    <row r="144" spans="1:3">
      <c r="A144" s="15"/>
      <c r="B144" s="15"/>
      <c r="C144" s="7"/>
    </row>
    <row r="145" spans="1:3">
      <c r="A145" s="15"/>
      <c r="B145" s="15"/>
      <c r="C145" s="7"/>
    </row>
    <row r="147" spans="1:3">
      <c r="A147" s="12"/>
      <c r="B147" s="13"/>
      <c r="C147" s="8"/>
    </row>
    <row r="148" spans="1:3">
      <c r="A148" s="14"/>
      <c r="B148" s="14"/>
      <c r="C148" s="9"/>
    </row>
    <row r="149" spans="1:3">
      <c r="A149" s="15"/>
      <c r="B149" s="15"/>
      <c r="C149" s="7"/>
    </row>
    <row r="150" spans="1:3">
      <c r="A150" s="15"/>
      <c r="B150" s="15"/>
      <c r="C150" s="7"/>
    </row>
    <row r="151" spans="1:3">
      <c r="A151" s="15"/>
      <c r="B151" s="15"/>
      <c r="C151" s="7"/>
    </row>
    <row r="152" spans="1:3">
      <c r="A152" s="15"/>
      <c r="B152" s="15"/>
      <c r="C152" s="7"/>
    </row>
    <row r="153" spans="1:3">
      <c r="A153" s="15"/>
      <c r="B153" s="15"/>
      <c r="C153" s="7"/>
    </row>
    <row r="154" spans="1:3">
      <c r="A154" s="15"/>
      <c r="B154" s="15"/>
      <c r="C154" s="7"/>
    </row>
    <row r="155" spans="1:3">
      <c r="A155" s="15"/>
      <c r="B155" s="15"/>
      <c r="C155" s="7"/>
    </row>
    <row r="156" spans="1:3">
      <c r="A156" s="15"/>
      <c r="B156" s="15"/>
      <c r="C156" s="7"/>
    </row>
    <row r="157" spans="1:3">
      <c r="A157" s="15"/>
      <c r="B157" s="15"/>
      <c r="C157" s="7"/>
    </row>
    <row r="158" spans="1:3">
      <c r="A158" s="15"/>
      <c r="B158" s="15"/>
      <c r="C158" s="7"/>
    </row>
    <row r="159" spans="1:3">
      <c r="A159" s="15"/>
      <c r="B159" s="15"/>
      <c r="C159" s="7"/>
    </row>
    <row r="160" spans="1:3">
      <c r="A160" s="15"/>
      <c r="B160" s="15"/>
      <c r="C160" s="7"/>
    </row>
    <row r="161" spans="1:3">
      <c r="A161" s="15"/>
      <c r="B161" s="15"/>
      <c r="C161" s="7"/>
    </row>
    <row r="163" spans="1:3">
      <c r="A163" s="12"/>
      <c r="B163" s="13"/>
      <c r="C163" s="8"/>
    </row>
    <row r="164" spans="1:3">
      <c r="A164" s="14"/>
      <c r="B164" s="14"/>
      <c r="C164" s="9"/>
    </row>
    <row r="165" spans="1:3">
      <c r="A165" s="15"/>
      <c r="B165" s="15"/>
      <c r="C165" s="7"/>
    </row>
    <row r="166" spans="1:3">
      <c r="A166" s="15"/>
      <c r="B166" s="15"/>
      <c r="C166" s="7"/>
    </row>
    <row r="167" spans="1:3">
      <c r="A167" s="15"/>
      <c r="B167" s="15"/>
      <c r="C167" s="7"/>
    </row>
    <row r="168" spans="1:3">
      <c r="A168" s="15"/>
      <c r="B168" s="15"/>
      <c r="C168" s="7"/>
    </row>
    <row r="169" spans="1:3">
      <c r="A169" s="15"/>
      <c r="B169" s="15"/>
      <c r="C169" s="7"/>
    </row>
    <row r="170" spans="1:3">
      <c r="A170" s="15"/>
      <c r="B170" s="15"/>
      <c r="C170" s="7"/>
    </row>
    <row r="171" spans="1:3">
      <c r="A171" s="15"/>
      <c r="B171" s="15"/>
      <c r="C171" s="7"/>
    </row>
    <row r="172" spans="1:3">
      <c r="A172" s="15"/>
      <c r="B172" s="15"/>
      <c r="C172" s="7"/>
    </row>
    <row r="173" spans="1:3">
      <c r="A173" s="15"/>
      <c r="B173" s="15"/>
      <c r="C173" s="7"/>
    </row>
    <row r="174" spans="1:3">
      <c r="A174" s="15"/>
      <c r="B174" s="15"/>
      <c r="C174" s="7"/>
    </row>
    <row r="175" spans="1:3">
      <c r="A175" s="15"/>
      <c r="B175" s="15"/>
      <c r="C175" s="7"/>
    </row>
    <row r="176" spans="1:3">
      <c r="A176" s="15"/>
      <c r="B176" s="15"/>
      <c r="C176" s="7"/>
    </row>
    <row r="177" spans="1:3">
      <c r="A177" s="15"/>
      <c r="B177" s="15"/>
      <c r="C177" s="7"/>
    </row>
    <row r="180" spans="1:3">
      <c r="A180" s="12"/>
      <c r="B180" s="13"/>
      <c r="C180" s="8"/>
    </row>
    <row r="181" spans="1:3">
      <c r="A181" s="14"/>
      <c r="B181" s="14"/>
      <c r="C181" s="9"/>
    </row>
    <row r="182" spans="1:3">
      <c r="A182" s="15"/>
      <c r="B182" s="15"/>
      <c r="C182" s="7"/>
    </row>
    <row r="183" spans="1:3">
      <c r="A183" s="15"/>
      <c r="B183" s="15"/>
      <c r="C183" s="7"/>
    </row>
    <row r="184" spans="1:3">
      <c r="A184" s="15"/>
      <c r="B184" s="15"/>
      <c r="C184" s="7"/>
    </row>
    <row r="185" spans="1:3">
      <c r="A185" s="15"/>
      <c r="B185" s="15"/>
      <c r="C185" s="7"/>
    </row>
    <row r="186" spans="1:3">
      <c r="A186" s="15"/>
      <c r="B186" s="15"/>
      <c r="C186" s="7"/>
    </row>
    <row r="187" spans="1:3">
      <c r="A187" s="15"/>
      <c r="B187" s="15"/>
      <c r="C187" s="7"/>
    </row>
    <row r="188" spans="1:3">
      <c r="A188" s="15"/>
      <c r="B188" s="15"/>
      <c r="C188" s="7"/>
    </row>
    <row r="189" spans="1:3">
      <c r="A189" s="15"/>
      <c r="B189" s="15"/>
      <c r="C189" s="7"/>
    </row>
    <row r="190" spans="1:3">
      <c r="A190" s="15"/>
      <c r="B190" s="15"/>
      <c r="C190" s="7"/>
    </row>
    <row r="191" spans="1:3">
      <c r="A191" s="15"/>
      <c r="B191" s="15"/>
      <c r="C191" s="7"/>
    </row>
    <row r="192" spans="1:3">
      <c r="A192" s="15"/>
      <c r="B192" s="15"/>
      <c r="C192" s="7"/>
    </row>
    <row r="193" spans="1:3">
      <c r="A193" s="15"/>
      <c r="B193" s="15"/>
      <c r="C193" s="7"/>
    </row>
    <row r="194" spans="1:3">
      <c r="A194" s="15"/>
      <c r="B194" s="15"/>
      <c r="C194" s="7"/>
    </row>
    <row r="196" spans="1:3">
      <c r="A196" s="12"/>
      <c r="B196" s="13"/>
      <c r="C196" s="8"/>
    </row>
    <row r="197" spans="1:3">
      <c r="A197" s="14"/>
      <c r="B197" s="14"/>
      <c r="C197" s="9"/>
    </row>
    <row r="198" spans="1:3">
      <c r="A198" s="15"/>
      <c r="B198" s="15"/>
      <c r="C198" s="7"/>
    </row>
    <row r="199" spans="1:3">
      <c r="A199" s="15"/>
      <c r="B199" s="15"/>
      <c r="C199" s="7"/>
    </row>
    <row r="200" spans="1:3">
      <c r="A200" s="15"/>
      <c r="B200" s="15"/>
      <c r="C200" s="7"/>
    </row>
    <row r="201" spans="1:3">
      <c r="A201" s="15"/>
      <c r="B201" s="15"/>
      <c r="C201" s="7"/>
    </row>
    <row r="202" spans="1:3">
      <c r="A202" s="15"/>
      <c r="B202" s="15"/>
      <c r="C202" s="7"/>
    </row>
    <row r="203" spans="1:3">
      <c r="A203" s="15"/>
      <c r="B203" s="15"/>
      <c r="C203" s="7"/>
    </row>
    <row r="204" spans="1:3">
      <c r="A204" s="15"/>
      <c r="B204" s="15"/>
      <c r="C204" s="7"/>
    </row>
    <row r="205" spans="1:3">
      <c r="A205" s="15"/>
      <c r="B205" s="15"/>
      <c r="C205" s="7"/>
    </row>
    <row r="206" spans="1:3">
      <c r="A206" s="15"/>
      <c r="B206" s="15"/>
      <c r="C206" s="7"/>
    </row>
    <row r="207" spans="1:3">
      <c r="A207" s="15"/>
      <c r="B207" s="15"/>
      <c r="C207" s="7"/>
    </row>
    <row r="208" spans="1:3">
      <c r="A208" s="15"/>
      <c r="B208" s="15"/>
      <c r="C208" s="7"/>
    </row>
    <row r="209" spans="1:3">
      <c r="A209" s="15"/>
      <c r="B209" s="15"/>
      <c r="C209" s="7"/>
    </row>
    <row r="210" spans="1:3">
      <c r="A210" s="15"/>
      <c r="B210" s="15"/>
      <c r="C210" s="7"/>
    </row>
  </sheetData>
  <conditionalFormatting sqref="F3">
    <cfRule type="duplicateValues" dxfId="602" priority="35"/>
  </conditionalFormatting>
  <conditionalFormatting sqref="C114 C130 C146 C162 C178:C179 C195 C211:C1048576 C1:C17">
    <cfRule type="duplicateValues" dxfId="601" priority="34"/>
  </conditionalFormatting>
  <conditionalFormatting sqref="C49">
    <cfRule type="duplicateValues" dxfId="600" priority="33"/>
  </conditionalFormatting>
  <conditionalFormatting sqref="C65">
    <cfRule type="duplicateValues" dxfId="599" priority="32"/>
  </conditionalFormatting>
  <conditionalFormatting sqref="C81">
    <cfRule type="duplicateValues" dxfId="598" priority="31"/>
  </conditionalFormatting>
  <conditionalFormatting sqref="C97:C98">
    <cfRule type="duplicateValues" dxfId="597" priority="30"/>
  </conditionalFormatting>
  <conditionalFormatting sqref="C18">
    <cfRule type="duplicateValues" dxfId="596" priority="29"/>
  </conditionalFormatting>
  <conditionalFormatting sqref="C46:C48">
    <cfRule type="duplicateValues" dxfId="595" priority="28"/>
  </conditionalFormatting>
  <conditionalFormatting sqref="C50 C62:C64">
    <cfRule type="duplicateValues" dxfId="594" priority="27"/>
  </conditionalFormatting>
  <conditionalFormatting sqref="C66 C78:C80">
    <cfRule type="duplicateValues" dxfId="593" priority="26"/>
  </conditionalFormatting>
  <conditionalFormatting sqref="C82 C94:C96">
    <cfRule type="duplicateValues" dxfId="592" priority="25"/>
  </conditionalFormatting>
  <conditionalFormatting sqref="C99">
    <cfRule type="duplicateValues" dxfId="591" priority="24"/>
  </conditionalFormatting>
  <conditionalFormatting sqref="C115">
    <cfRule type="duplicateValues" dxfId="590" priority="23"/>
  </conditionalFormatting>
  <conditionalFormatting sqref="C131">
    <cfRule type="duplicateValues" dxfId="589" priority="22"/>
  </conditionalFormatting>
  <conditionalFormatting sqref="C147 C158:C161">
    <cfRule type="duplicateValues" dxfId="588" priority="21"/>
  </conditionalFormatting>
  <conditionalFormatting sqref="C163 C174:C177">
    <cfRule type="duplicateValues" dxfId="587" priority="20"/>
  </conditionalFormatting>
  <conditionalFormatting sqref="C180 C191:C194">
    <cfRule type="duplicateValues" dxfId="586" priority="19"/>
  </conditionalFormatting>
  <conditionalFormatting sqref="C196 C207:C210">
    <cfRule type="duplicateValues" dxfId="585" priority="18"/>
  </conditionalFormatting>
  <conditionalFormatting sqref="C19:C20">
    <cfRule type="duplicateValues" dxfId="584" priority="17"/>
  </conditionalFormatting>
  <conditionalFormatting sqref="C37:C45">
    <cfRule type="duplicateValues" dxfId="583" priority="16"/>
  </conditionalFormatting>
  <conditionalFormatting sqref="C51:C61">
    <cfRule type="duplicateValues" dxfId="582" priority="15"/>
  </conditionalFormatting>
  <conditionalFormatting sqref="C67:C77">
    <cfRule type="duplicateValues" dxfId="581" priority="14"/>
  </conditionalFormatting>
  <conditionalFormatting sqref="C83:C93">
    <cfRule type="duplicateValues" dxfId="580" priority="13"/>
  </conditionalFormatting>
  <conditionalFormatting sqref="C100:C109">
    <cfRule type="duplicateValues" dxfId="579" priority="12"/>
  </conditionalFormatting>
  <conditionalFormatting sqref="C116:C125">
    <cfRule type="duplicateValues" dxfId="578" priority="11"/>
  </conditionalFormatting>
  <conditionalFormatting sqref="C132:C141">
    <cfRule type="duplicateValues" dxfId="577" priority="10"/>
  </conditionalFormatting>
  <conditionalFormatting sqref="C148:C157">
    <cfRule type="duplicateValues" dxfId="576" priority="9"/>
  </conditionalFormatting>
  <conditionalFormatting sqref="C164:C173">
    <cfRule type="duplicateValues" dxfId="575" priority="8"/>
  </conditionalFormatting>
  <conditionalFormatting sqref="C181:C190">
    <cfRule type="duplicateValues" dxfId="574" priority="7"/>
  </conditionalFormatting>
  <conditionalFormatting sqref="C197:C206">
    <cfRule type="duplicateValues" dxfId="573" priority="6"/>
  </conditionalFormatting>
  <conditionalFormatting sqref="C142:C145">
    <cfRule type="duplicateValues" dxfId="572" priority="5"/>
  </conditionalFormatting>
  <conditionalFormatting sqref="C126:C129">
    <cfRule type="duplicateValues" dxfId="571" priority="4"/>
  </conditionalFormatting>
  <conditionalFormatting sqref="C110:C113">
    <cfRule type="duplicateValues" dxfId="570" priority="3"/>
  </conditionalFormatting>
  <conditionalFormatting sqref="C21:C36">
    <cfRule type="duplicateValues" dxfId="569" priority="2"/>
  </conditionalFormatting>
  <conditionalFormatting sqref="I18">
    <cfRule type="duplicateValues" dxfId="568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wartosc">
                <anchor moveWithCells="1" sizeWithCells="1">
                  <from>
                    <xdr:col>8</xdr:col>
                    <xdr:colOff>28575</xdr:colOff>
                    <xdr:row>2</xdr:row>
                    <xdr:rowOff>28575</xdr:rowOff>
                  </from>
                  <to>
                    <xdr:col>8</xdr:col>
                    <xdr:colOff>1876425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8A937-807D-4792-AE2D-2647D05BD058}">
  <sheetPr codeName="Arkusz9">
    <tabColor theme="4"/>
    <pageSetUpPr fitToPage="1"/>
  </sheetPr>
  <dimension ref="A1:J212"/>
  <sheetViews>
    <sheetView topLeftCell="B1" workbookViewId="0">
      <selection activeCell="G9" sqref="G9"/>
    </sheetView>
  </sheetViews>
  <sheetFormatPr defaultRowHeight="21.75"/>
  <cols>
    <col min="1" max="1" width="1.42578125" customWidth="1"/>
    <col min="2" max="2" width="14.28515625" style="58" customWidth="1"/>
    <col min="3" max="3" width="32.85546875" style="61" customWidth="1"/>
    <col min="4" max="4" width="30.85546875" customWidth="1"/>
    <col min="5" max="5" width="32.85546875" customWidth="1"/>
    <col min="6" max="6" width="34" customWidth="1"/>
    <col min="7" max="7" width="40.140625" style="58" customWidth="1"/>
    <col min="8" max="8" width="29.7109375" style="58" customWidth="1"/>
    <col min="9" max="9" width="27.5703125" customWidth="1"/>
    <col min="10" max="10" width="39.85546875" customWidth="1"/>
    <col min="11" max="11" width="32.7109375" customWidth="1"/>
    <col min="12" max="12" width="29.7109375" customWidth="1"/>
  </cols>
  <sheetData>
    <row r="1" spans="1:10" ht="15" customHeight="1" thickBot="1">
      <c r="A1" s="70" t="s">
        <v>3770</v>
      </c>
      <c r="B1" s="71"/>
      <c r="C1" s="51" t="s">
        <v>3771</v>
      </c>
    </row>
    <row r="2" spans="1:10" ht="15" customHeight="1">
      <c r="A2" s="72" t="s">
        <v>3772</v>
      </c>
      <c r="B2" s="73"/>
      <c r="C2" s="52" t="str">
        <f>"COMETA "&amp;F4</f>
        <v>COMETA RS1102V6</v>
      </c>
      <c r="D2" s="8"/>
    </row>
    <row r="3" spans="1:10" ht="15" customHeight="1" thickBot="1">
      <c r="A3" s="74"/>
      <c r="B3" s="75"/>
      <c r="C3" s="53" t="str">
        <f>"("&amp;F4&amp;")"</f>
        <v>(RS1102V6)</v>
      </c>
      <c r="D3" s="8"/>
    </row>
    <row r="4" spans="1:10" ht="48.75" customHeight="1" thickBot="1">
      <c r="A4" s="76" t="str">
        <f>"("&amp;F6&amp;")"</f>
        <v>(C113MLK51P40189)</v>
      </c>
      <c r="B4" s="77"/>
      <c r="C4" s="78"/>
      <c r="D4" s="9"/>
      <c r="E4" t="s">
        <v>3773</v>
      </c>
      <c r="F4" t="s">
        <v>3774</v>
      </c>
    </row>
    <row r="5" spans="1:10" ht="3.75" customHeight="1">
      <c r="A5" s="54"/>
      <c r="B5" s="54"/>
      <c r="C5" s="55"/>
      <c r="D5" s="9"/>
    </row>
    <row r="6" spans="1:10" ht="17.25" customHeight="1">
      <c r="B6" s="56" t="e" cm="1" vm="1">
        <f t="array" ref="B6">_xlfn._xlws.FILTER([1]___2022___!$D$1:$E$65536,[1]___2022___!$K$1:$K$65536=TEST!A2)</f>
        <v>#VALUE!</v>
      </c>
      <c r="C6" s="57"/>
      <c r="D6" s="7"/>
      <c r="E6" t="s">
        <v>3775</v>
      </c>
      <c r="F6" s="63" t="s">
        <v>3352</v>
      </c>
    </row>
    <row r="7" spans="1:10" ht="17.25" customHeight="1">
      <c r="B7" s="56"/>
      <c r="C7" s="57"/>
      <c r="D7" s="7"/>
    </row>
    <row r="8" spans="1:10" ht="17.25" customHeight="1">
      <c r="B8" s="56"/>
      <c r="C8" s="57"/>
      <c r="D8" s="7"/>
      <c r="G8" s="58" t="s">
        <v>3776</v>
      </c>
      <c r="H8" s="58" t="s">
        <v>3777</v>
      </c>
    </row>
    <row r="9" spans="1:10" ht="17.25" customHeight="1">
      <c r="B9" s="56"/>
      <c r="C9" s="57"/>
      <c r="D9" s="7"/>
      <c r="G9" s="58" t="e" cm="1" vm="1">
        <f t="array" ref="G9">_xlfn._xlws.FILTER([1]___2022___!$D$1:$E$65536,[1]___2022___!$K$1:$K$65536=TEST!A2)</f>
        <v>#VALUE!</v>
      </c>
    </row>
    <row r="10" spans="1:10" ht="17.25" customHeight="1">
      <c r="B10" s="56"/>
      <c r="C10" s="57"/>
      <c r="D10" s="7"/>
    </row>
    <row r="11" spans="1:10" ht="17.25" customHeight="1">
      <c r="B11" s="56"/>
      <c r="C11" s="57"/>
      <c r="D11" s="7"/>
      <c r="I11" s="58"/>
      <c r="J11" s="58"/>
    </row>
    <row r="12" spans="1:10" ht="17.25" customHeight="1">
      <c r="B12" s="56"/>
      <c r="C12" s="57"/>
      <c r="D12" s="7"/>
    </row>
    <row r="13" spans="1:10" ht="17.25" customHeight="1">
      <c r="B13" s="56"/>
      <c r="C13" s="57"/>
      <c r="D13" s="7"/>
      <c r="I13" s="58"/>
      <c r="J13" s="64"/>
    </row>
    <row r="14" spans="1:10" ht="17.25" customHeight="1">
      <c r="B14" s="56"/>
      <c r="C14" s="57"/>
      <c r="D14" s="7"/>
      <c r="I14" s="58"/>
      <c r="J14" s="64"/>
    </row>
    <row r="15" spans="1:10" ht="17.25" customHeight="1">
      <c r="B15" s="56"/>
      <c r="C15" s="57"/>
      <c r="D15" s="7"/>
      <c r="I15" s="58"/>
      <c r="J15" s="64"/>
    </row>
    <row r="16" spans="1:10" ht="17.25" customHeight="1">
      <c r="B16" s="56"/>
      <c r="C16" s="57"/>
      <c r="D16" s="7"/>
      <c r="F16" s="65"/>
      <c r="I16" s="58"/>
      <c r="J16" s="64"/>
    </row>
    <row r="17" spans="2:10" ht="17.25" customHeight="1">
      <c r="B17" s="56"/>
      <c r="C17" s="57"/>
      <c r="D17" s="7"/>
      <c r="F17" s="65"/>
      <c r="I17" s="58"/>
      <c r="J17" s="64"/>
    </row>
    <row r="18" spans="2:10" ht="17.25" customHeight="1">
      <c r="B18" s="56"/>
      <c r="C18" s="57"/>
      <c r="D18" s="7"/>
      <c r="F18" s="65"/>
      <c r="I18" s="58"/>
      <c r="J18" s="64"/>
    </row>
    <row r="19" spans="2:10" ht="17.25" customHeight="1">
      <c r="B19" s="56"/>
      <c r="C19" s="57"/>
      <c r="D19" s="10"/>
      <c r="E19" s="66"/>
      <c r="F19" s="65"/>
      <c r="I19" s="58"/>
      <c r="J19" s="64"/>
    </row>
    <row r="20" spans="2:10" ht="17.25" customHeight="1">
      <c r="B20" s="56"/>
      <c r="C20" s="57"/>
      <c r="D20" s="10"/>
      <c r="E20" s="66"/>
      <c r="F20" s="65"/>
      <c r="I20" s="58"/>
      <c r="J20" s="64"/>
    </row>
    <row r="21" spans="2:10" ht="17.25" customHeight="1">
      <c r="B21" s="56"/>
      <c r="C21" s="57"/>
      <c r="D21" s="10"/>
      <c r="E21" s="66"/>
      <c r="F21" s="65"/>
      <c r="I21" s="58"/>
      <c r="J21" s="64"/>
    </row>
    <row r="22" spans="2:10" ht="17.25" customHeight="1">
      <c r="B22" s="56"/>
      <c r="C22" s="57"/>
      <c r="D22" s="67"/>
      <c r="E22" s="66"/>
      <c r="F22" s="65"/>
      <c r="I22" s="58"/>
      <c r="J22" s="64"/>
    </row>
    <row r="23" spans="2:10" ht="17.25" customHeight="1">
      <c r="B23" s="56"/>
      <c r="C23" s="57"/>
      <c r="D23" s="67"/>
      <c r="E23" s="66"/>
      <c r="F23" s="65"/>
      <c r="I23" s="58"/>
      <c r="J23" s="58"/>
    </row>
    <row r="24" spans="2:10" ht="17.25" customHeight="1">
      <c r="B24" s="56"/>
      <c r="C24" s="57"/>
      <c r="D24" s="67"/>
      <c r="E24" s="66"/>
      <c r="F24" s="65"/>
      <c r="I24" s="58"/>
      <c r="J24" s="58"/>
    </row>
    <row r="25" spans="2:10" ht="17.25" customHeight="1">
      <c r="B25" s="56"/>
      <c r="C25" s="57"/>
      <c r="D25" s="67"/>
      <c r="E25" s="66"/>
      <c r="F25" s="65"/>
      <c r="I25" s="58"/>
      <c r="J25" s="58"/>
    </row>
    <row r="26" spans="2:10" ht="17.25" customHeight="1">
      <c r="B26" s="56"/>
      <c r="C26" s="57"/>
      <c r="D26" s="10"/>
      <c r="E26" s="66"/>
      <c r="F26" s="65"/>
      <c r="I26" s="58"/>
      <c r="J26" s="58"/>
    </row>
    <row r="27" spans="2:10" ht="17.25" customHeight="1">
      <c r="B27" s="56"/>
      <c r="C27" s="57"/>
      <c r="D27" s="10"/>
      <c r="E27" s="66"/>
      <c r="F27" s="65"/>
      <c r="I27" s="58"/>
      <c r="J27" s="58"/>
    </row>
    <row r="28" spans="2:10" ht="17.25" customHeight="1">
      <c r="B28" s="56"/>
      <c r="C28" s="57"/>
      <c r="D28" s="10"/>
      <c r="E28" s="66"/>
      <c r="F28" s="65"/>
    </row>
    <row r="29" spans="2:10" ht="17.25" customHeight="1">
      <c r="B29" s="56"/>
      <c r="C29" s="57"/>
      <c r="D29" s="10"/>
      <c r="E29" s="66"/>
      <c r="F29" s="65"/>
    </row>
    <row r="30" spans="2:10" ht="17.25" customHeight="1">
      <c r="B30" s="56"/>
      <c r="C30" s="57"/>
      <c r="D30" s="10"/>
      <c r="E30" s="66"/>
    </row>
    <row r="31" spans="2:10" ht="17.25" customHeight="1">
      <c r="B31" s="56"/>
      <c r="C31" s="57"/>
      <c r="D31" s="10"/>
      <c r="E31" s="66"/>
    </row>
    <row r="32" spans="2:10" ht="17.25" customHeight="1">
      <c r="B32" s="56"/>
      <c r="C32" s="57"/>
      <c r="D32" s="7"/>
      <c r="E32" s="68"/>
    </row>
    <row r="33" spans="2:5" ht="17.25" customHeight="1">
      <c r="B33" s="56"/>
      <c r="C33" s="57"/>
      <c r="D33" s="7"/>
      <c r="E33" s="68"/>
    </row>
    <row r="34" spans="2:5" ht="17.25" customHeight="1">
      <c r="B34" s="56"/>
      <c r="C34" s="57"/>
      <c r="D34" s="7"/>
      <c r="E34" s="68"/>
    </row>
    <row r="35" spans="2:5" ht="17.25" customHeight="1">
      <c r="B35" s="56"/>
      <c r="C35" s="60"/>
      <c r="D35" s="9"/>
      <c r="E35" s="68"/>
    </row>
    <row r="36" spans="2:5" ht="17.25" customHeight="1">
      <c r="B36" s="56"/>
      <c r="C36" s="60"/>
      <c r="D36" s="8"/>
      <c r="E36" s="68"/>
    </row>
    <row r="37" spans="2:5" ht="17.25" customHeight="1">
      <c r="B37" s="56"/>
      <c r="C37" s="60"/>
      <c r="D37" s="9"/>
      <c r="E37" s="68"/>
    </row>
    <row r="38" spans="2:5" ht="17.25" customHeight="1">
      <c r="B38" s="56"/>
      <c r="C38" s="57"/>
      <c r="D38" s="7"/>
      <c r="E38" s="68"/>
    </row>
    <row r="39" spans="2:5" ht="17.25" customHeight="1">
      <c r="B39" s="56"/>
      <c r="C39" s="57"/>
      <c r="D39" s="7"/>
      <c r="E39" s="68"/>
    </row>
    <row r="40" spans="2:5" ht="17.25" customHeight="1">
      <c r="B40" s="56"/>
      <c r="C40" s="57"/>
      <c r="D40" s="7"/>
      <c r="E40" s="68"/>
    </row>
    <row r="41" spans="2:5" ht="17.25" customHeight="1">
      <c r="B41" s="56"/>
      <c r="C41" s="57"/>
      <c r="D41" s="7"/>
      <c r="E41" s="68"/>
    </row>
    <row r="42" spans="2:5" ht="17.25" customHeight="1">
      <c r="B42" s="56"/>
      <c r="C42" s="57"/>
      <c r="D42" s="7"/>
      <c r="E42" s="68"/>
    </row>
    <row r="43" spans="2:5" ht="17.25" customHeight="1">
      <c r="B43" s="56"/>
      <c r="C43" s="57"/>
      <c r="D43" s="7"/>
      <c r="E43" s="68"/>
    </row>
    <row r="44" spans="2:5" ht="17.25" customHeight="1">
      <c r="B44" s="56"/>
      <c r="C44" s="57"/>
      <c r="D44" s="7"/>
      <c r="E44" s="68"/>
    </row>
    <row r="45" spans="2:5" ht="17.25" customHeight="1">
      <c r="B45" s="56"/>
      <c r="C45" s="57"/>
      <c r="D45" s="7"/>
      <c r="E45" s="68"/>
    </row>
    <row r="46" spans="2:5" ht="17.25" customHeight="1">
      <c r="B46" s="56"/>
      <c r="C46" s="57"/>
      <c r="D46" s="7"/>
      <c r="E46" s="68"/>
    </row>
    <row r="47" spans="2:5" ht="17.25" customHeight="1">
      <c r="B47" s="56"/>
      <c r="C47" s="57"/>
      <c r="D47" s="7"/>
      <c r="E47" s="68"/>
    </row>
    <row r="48" spans="2:5" ht="17.25" customHeight="1">
      <c r="B48" s="56"/>
      <c r="C48" s="57"/>
      <c r="D48" s="7"/>
      <c r="E48" s="68"/>
    </row>
    <row r="49" spans="2:5" ht="17.25" customHeight="1">
      <c r="C49" s="57"/>
      <c r="D49" s="7"/>
      <c r="E49" s="68"/>
    </row>
    <row r="50" spans="2:5" ht="17.25" customHeight="1">
      <c r="C50" s="57"/>
      <c r="D50" s="7"/>
      <c r="E50" s="68"/>
    </row>
    <row r="51" spans="2:5" ht="17.25" customHeight="1">
      <c r="C51" s="57"/>
      <c r="D51" s="7"/>
      <c r="E51" s="68"/>
    </row>
    <row r="52" spans="2:5" ht="17.25" customHeight="1">
      <c r="B52" s="59"/>
      <c r="C52" s="60"/>
      <c r="D52" s="8"/>
      <c r="E52" s="68"/>
    </row>
    <row r="53" spans="2:5" ht="17.25" customHeight="1">
      <c r="B53" s="59"/>
      <c r="C53" s="60"/>
      <c r="D53" s="9"/>
      <c r="E53" s="68"/>
    </row>
    <row r="54" spans="2:5" ht="17.25" customHeight="1">
      <c r="C54" s="57"/>
      <c r="D54" s="7"/>
      <c r="E54" s="68"/>
    </row>
    <row r="55" spans="2:5" ht="17.25" customHeight="1">
      <c r="C55" s="57"/>
      <c r="D55" s="7"/>
      <c r="E55" s="68"/>
    </row>
    <row r="56" spans="2:5" ht="17.25" customHeight="1">
      <c r="C56" s="57"/>
      <c r="D56" s="7"/>
      <c r="E56" s="68"/>
    </row>
    <row r="57" spans="2:5" ht="17.25" customHeight="1">
      <c r="C57" s="57"/>
      <c r="D57" s="7"/>
      <c r="E57" s="68"/>
    </row>
    <row r="58" spans="2:5" ht="17.25" customHeight="1">
      <c r="C58" s="57"/>
      <c r="D58" s="7"/>
      <c r="E58" s="68"/>
    </row>
    <row r="59" spans="2:5" ht="17.25" customHeight="1">
      <c r="C59" s="57"/>
      <c r="D59" s="7"/>
      <c r="E59" s="68"/>
    </row>
    <row r="60" spans="2:5" ht="17.25" customHeight="1">
      <c r="C60" s="57"/>
      <c r="D60" s="7"/>
      <c r="E60" s="68"/>
    </row>
    <row r="61" spans="2:5" ht="17.25" customHeight="1">
      <c r="C61" s="57"/>
      <c r="D61" s="7"/>
      <c r="E61" s="68"/>
    </row>
    <row r="62" spans="2:5" ht="17.25" customHeight="1">
      <c r="C62" s="57"/>
      <c r="D62" s="7"/>
      <c r="E62" s="68"/>
    </row>
    <row r="63" spans="2:5" ht="17.25" customHeight="1">
      <c r="C63" s="57"/>
      <c r="D63" s="7"/>
      <c r="E63" s="68"/>
    </row>
    <row r="64" spans="2:5" ht="17.25" customHeight="1">
      <c r="C64" s="57"/>
      <c r="D64" s="7"/>
      <c r="E64" s="68"/>
    </row>
    <row r="65" spans="2:5" ht="17.25" customHeight="1">
      <c r="C65" s="57"/>
      <c r="D65" s="7"/>
      <c r="E65" s="68"/>
    </row>
    <row r="66" spans="2:5" ht="48">
      <c r="C66" s="57"/>
      <c r="D66" s="7"/>
      <c r="E66" s="68"/>
    </row>
    <row r="67" spans="2:5" ht="48">
      <c r="C67" s="57"/>
      <c r="D67" s="7"/>
      <c r="E67" s="68"/>
    </row>
    <row r="68" spans="2:5" ht="48">
      <c r="B68" s="59"/>
      <c r="C68" s="60"/>
      <c r="D68" s="8"/>
      <c r="E68" s="68"/>
    </row>
    <row r="69" spans="2:5" ht="48">
      <c r="B69" s="59"/>
      <c r="C69" s="60"/>
      <c r="D69" s="9"/>
      <c r="E69" s="68"/>
    </row>
    <row r="70" spans="2:5" ht="48">
      <c r="C70" s="57"/>
      <c r="D70" s="7"/>
      <c r="E70" s="68"/>
    </row>
    <row r="71" spans="2:5" ht="48">
      <c r="C71" s="57"/>
      <c r="D71" s="7"/>
      <c r="E71" s="68"/>
    </row>
    <row r="72" spans="2:5" ht="48">
      <c r="C72" s="57"/>
      <c r="D72" s="7"/>
      <c r="E72" s="68"/>
    </row>
    <row r="73" spans="2:5">
      <c r="D73" s="7"/>
    </row>
    <row r="74" spans="2:5">
      <c r="D74" s="7"/>
    </row>
    <row r="75" spans="2:5">
      <c r="D75" s="7"/>
    </row>
    <row r="76" spans="2:5">
      <c r="D76" s="7"/>
    </row>
    <row r="77" spans="2:5">
      <c r="D77" s="7"/>
    </row>
    <row r="78" spans="2:5">
      <c r="D78" s="7"/>
    </row>
    <row r="79" spans="2:5">
      <c r="D79" s="7"/>
    </row>
    <row r="80" spans="2:5">
      <c r="D80" s="7"/>
    </row>
    <row r="81" spans="2:4">
      <c r="D81" s="7"/>
    </row>
    <row r="82" spans="2:4">
      <c r="D82" s="7"/>
    </row>
    <row r="83" spans="2:4">
      <c r="D83" s="7"/>
    </row>
    <row r="84" spans="2:4">
      <c r="B84" s="59"/>
      <c r="C84" s="62"/>
      <c r="D84" s="8"/>
    </row>
    <row r="85" spans="2:4">
      <c r="B85" s="59"/>
      <c r="C85" s="62"/>
      <c r="D85" s="9"/>
    </row>
    <row r="86" spans="2:4">
      <c r="D86" s="7"/>
    </row>
    <row r="87" spans="2:4">
      <c r="D87" s="7"/>
    </row>
    <row r="88" spans="2:4">
      <c r="D88" s="7"/>
    </row>
    <row r="89" spans="2:4">
      <c r="D89" s="7"/>
    </row>
    <row r="90" spans="2:4">
      <c r="D90" s="7"/>
    </row>
    <row r="91" spans="2:4">
      <c r="D91" s="7"/>
    </row>
    <row r="92" spans="2:4">
      <c r="D92" s="7"/>
    </row>
    <row r="93" spans="2:4">
      <c r="D93" s="7"/>
    </row>
    <row r="94" spans="2:4">
      <c r="D94" s="7"/>
    </row>
    <row r="95" spans="2:4">
      <c r="D95" s="7"/>
    </row>
    <row r="96" spans="2:4">
      <c r="D96" s="7"/>
    </row>
    <row r="97" spans="2:4">
      <c r="D97" s="7"/>
    </row>
    <row r="98" spans="2:4">
      <c r="D98" s="7"/>
    </row>
    <row r="99" spans="2:4">
      <c r="D99" s="7"/>
    </row>
    <row r="100" spans="2:4">
      <c r="D100" s="7"/>
    </row>
    <row r="101" spans="2:4">
      <c r="B101" s="59"/>
      <c r="C101" s="62"/>
      <c r="D101" s="8"/>
    </row>
    <row r="102" spans="2:4">
      <c r="B102" s="59"/>
      <c r="C102" s="62"/>
      <c r="D102" s="9"/>
    </row>
    <row r="103" spans="2:4">
      <c r="D103" s="7"/>
    </row>
    <row r="104" spans="2:4">
      <c r="D104" s="7"/>
    </row>
    <row r="105" spans="2:4">
      <c r="D105" s="7"/>
    </row>
    <row r="106" spans="2:4">
      <c r="D106" s="7"/>
    </row>
    <row r="107" spans="2:4">
      <c r="D107" s="7"/>
    </row>
    <row r="108" spans="2:4">
      <c r="D108" s="7"/>
    </row>
    <row r="109" spans="2:4">
      <c r="D109" s="7"/>
    </row>
    <row r="110" spans="2:4">
      <c r="D110" s="7"/>
    </row>
    <row r="111" spans="2:4">
      <c r="D111" s="7"/>
    </row>
    <row r="112" spans="2:4">
      <c r="D112" s="7"/>
    </row>
    <row r="113" spans="2:4">
      <c r="D113" s="7"/>
    </row>
    <row r="114" spans="2:4">
      <c r="D114" s="7"/>
    </row>
    <row r="115" spans="2:4">
      <c r="D115" s="7"/>
    </row>
    <row r="117" spans="2:4">
      <c r="B117" s="59"/>
      <c r="C117" s="62"/>
      <c r="D117" s="8"/>
    </row>
    <row r="118" spans="2:4">
      <c r="B118" s="59"/>
      <c r="C118" s="62"/>
      <c r="D118" s="9"/>
    </row>
    <row r="119" spans="2:4">
      <c r="D119" s="7"/>
    </row>
    <row r="120" spans="2:4">
      <c r="D120" s="7"/>
    </row>
    <row r="121" spans="2:4">
      <c r="D121" s="7"/>
    </row>
    <row r="122" spans="2:4">
      <c r="D122" s="7"/>
    </row>
    <row r="123" spans="2:4">
      <c r="D123" s="7"/>
    </row>
    <row r="124" spans="2:4">
      <c r="D124" s="7"/>
    </row>
    <row r="125" spans="2:4">
      <c r="D125" s="7"/>
    </row>
    <row r="126" spans="2:4">
      <c r="D126" s="7"/>
    </row>
    <row r="127" spans="2:4">
      <c r="D127" s="7"/>
    </row>
    <row r="128" spans="2:4">
      <c r="D128" s="7"/>
    </row>
    <row r="129" spans="2:4">
      <c r="D129" s="7"/>
    </row>
    <row r="130" spans="2:4">
      <c r="D130" s="7"/>
    </row>
    <row r="131" spans="2:4">
      <c r="D131" s="7"/>
    </row>
    <row r="133" spans="2:4">
      <c r="B133" s="59"/>
      <c r="C133" s="62"/>
      <c r="D133" s="8"/>
    </row>
    <row r="134" spans="2:4">
      <c r="B134" s="59"/>
      <c r="C134" s="62"/>
      <c r="D134" s="9"/>
    </row>
    <row r="135" spans="2:4">
      <c r="D135" s="7"/>
    </row>
    <row r="136" spans="2:4">
      <c r="D136" s="7"/>
    </row>
    <row r="137" spans="2:4">
      <c r="D137" s="7"/>
    </row>
    <row r="138" spans="2:4">
      <c r="D138" s="7"/>
    </row>
    <row r="139" spans="2:4">
      <c r="D139" s="7"/>
    </row>
    <row r="140" spans="2:4">
      <c r="D140" s="7"/>
    </row>
    <row r="141" spans="2:4">
      <c r="D141" s="7"/>
    </row>
    <row r="142" spans="2:4">
      <c r="D142" s="7"/>
    </row>
    <row r="143" spans="2:4">
      <c r="D143" s="7"/>
    </row>
    <row r="144" spans="2:4">
      <c r="D144" s="7"/>
    </row>
    <row r="145" spans="2:4">
      <c r="D145" s="7"/>
    </row>
    <row r="146" spans="2:4">
      <c r="D146" s="7"/>
    </row>
    <row r="147" spans="2:4">
      <c r="D147" s="7"/>
    </row>
    <row r="149" spans="2:4">
      <c r="B149" s="59"/>
      <c r="C149" s="62"/>
      <c r="D149" s="8"/>
    </row>
    <row r="150" spans="2:4">
      <c r="B150" s="59"/>
      <c r="C150" s="62"/>
      <c r="D150" s="9"/>
    </row>
    <row r="151" spans="2:4">
      <c r="D151" s="7"/>
    </row>
    <row r="152" spans="2:4">
      <c r="D152" s="7"/>
    </row>
    <row r="153" spans="2:4">
      <c r="D153" s="7"/>
    </row>
    <row r="154" spans="2:4">
      <c r="D154" s="7"/>
    </row>
    <row r="155" spans="2:4">
      <c r="D155" s="7"/>
    </row>
    <row r="156" spans="2:4">
      <c r="D156" s="7"/>
    </row>
    <row r="157" spans="2:4">
      <c r="D157" s="7"/>
    </row>
    <row r="158" spans="2:4">
      <c r="D158" s="7"/>
    </row>
    <row r="159" spans="2:4">
      <c r="D159" s="7"/>
    </row>
    <row r="160" spans="2:4">
      <c r="D160" s="7"/>
    </row>
    <row r="161" spans="2:4">
      <c r="D161" s="7"/>
    </row>
    <row r="162" spans="2:4">
      <c r="D162" s="7"/>
    </row>
    <row r="163" spans="2:4">
      <c r="D163" s="7"/>
    </row>
    <row r="165" spans="2:4">
      <c r="B165" s="59"/>
      <c r="C165" s="62"/>
      <c r="D165" s="8"/>
    </row>
    <row r="166" spans="2:4">
      <c r="B166" s="59"/>
      <c r="C166" s="62"/>
      <c r="D166" s="9"/>
    </row>
    <row r="167" spans="2:4">
      <c r="D167" s="7"/>
    </row>
    <row r="168" spans="2:4">
      <c r="D168" s="7"/>
    </row>
    <row r="169" spans="2:4">
      <c r="D169" s="7"/>
    </row>
    <row r="170" spans="2:4">
      <c r="D170" s="7"/>
    </row>
    <row r="171" spans="2:4">
      <c r="D171" s="7"/>
    </row>
    <row r="172" spans="2:4">
      <c r="D172" s="7"/>
    </row>
    <row r="173" spans="2:4">
      <c r="D173" s="7"/>
    </row>
    <row r="174" spans="2:4">
      <c r="D174" s="7"/>
    </row>
    <row r="175" spans="2:4">
      <c r="D175" s="7"/>
    </row>
    <row r="176" spans="2:4">
      <c r="D176" s="7"/>
    </row>
    <row r="177" spans="2:4">
      <c r="D177" s="7"/>
    </row>
    <row r="178" spans="2:4">
      <c r="D178" s="7"/>
    </row>
    <row r="179" spans="2:4">
      <c r="D179" s="7"/>
    </row>
    <row r="182" spans="2:4">
      <c r="B182" s="59"/>
      <c r="C182" s="62"/>
      <c r="D182" s="8"/>
    </row>
    <row r="183" spans="2:4">
      <c r="B183" s="59"/>
      <c r="C183" s="62"/>
      <c r="D183" s="9"/>
    </row>
    <row r="184" spans="2:4">
      <c r="D184" s="7"/>
    </row>
    <row r="185" spans="2:4">
      <c r="D185" s="7"/>
    </row>
    <row r="186" spans="2:4">
      <c r="D186" s="7"/>
    </row>
    <row r="187" spans="2:4">
      <c r="D187" s="7"/>
    </row>
    <row r="188" spans="2:4">
      <c r="D188" s="7"/>
    </row>
    <row r="189" spans="2:4">
      <c r="D189" s="7"/>
    </row>
    <row r="190" spans="2:4">
      <c r="D190" s="7"/>
    </row>
    <row r="191" spans="2:4">
      <c r="D191" s="7"/>
    </row>
    <row r="192" spans="2:4">
      <c r="D192" s="7"/>
    </row>
    <row r="193" spans="2:4">
      <c r="D193" s="7"/>
    </row>
    <row r="194" spans="2:4">
      <c r="D194" s="7"/>
    </row>
    <row r="195" spans="2:4">
      <c r="D195" s="7"/>
    </row>
    <row r="196" spans="2:4">
      <c r="D196" s="7"/>
    </row>
    <row r="198" spans="2:4">
      <c r="B198" s="59"/>
      <c r="C198" s="62"/>
      <c r="D198" s="8"/>
    </row>
    <row r="199" spans="2:4">
      <c r="B199" s="59"/>
      <c r="C199" s="62"/>
      <c r="D199" s="9"/>
    </row>
    <row r="200" spans="2:4">
      <c r="D200" s="7"/>
    </row>
    <row r="201" spans="2:4">
      <c r="D201" s="7"/>
    </row>
    <row r="202" spans="2:4">
      <c r="D202" s="7"/>
    </row>
    <row r="203" spans="2:4">
      <c r="D203" s="7"/>
    </row>
    <row r="204" spans="2:4">
      <c r="D204" s="7"/>
    </row>
    <row r="205" spans="2:4">
      <c r="D205" s="7"/>
    </row>
    <row r="206" spans="2:4">
      <c r="D206" s="7"/>
    </row>
    <row r="207" spans="2:4">
      <c r="D207" s="7"/>
    </row>
    <row r="208" spans="2:4">
      <c r="D208" s="7"/>
    </row>
    <row r="209" spans="4:4">
      <c r="D209" s="7"/>
    </row>
    <row r="210" spans="4:4">
      <c r="D210" s="7"/>
    </row>
    <row r="211" spans="4:4">
      <c r="D211" s="7"/>
    </row>
    <row r="212" spans="4:4">
      <c r="D212" s="7"/>
    </row>
  </sheetData>
  <mergeCells count="3">
    <mergeCell ref="A1:B1"/>
    <mergeCell ref="A2:B3"/>
    <mergeCell ref="A4:C4"/>
  </mergeCells>
  <conditionalFormatting sqref="D35">
    <cfRule type="duplicateValues" dxfId="567" priority="30"/>
  </conditionalFormatting>
  <conditionalFormatting sqref="D51">
    <cfRule type="duplicateValues" dxfId="566" priority="29"/>
  </conditionalFormatting>
  <conditionalFormatting sqref="D67">
    <cfRule type="duplicateValues" dxfId="565" priority="28"/>
  </conditionalFormatting>
  <conditionalFormatting sqref="D83">
    <cfRule type="duplicateValues" dxfId="564" priority="27"/>
  </conditionalFormatting>
  <conditionalFormatting sqref="D99:D100">
    <cfRule type="duplicateValues" dxfId="563" priority="26"/>
  </conditionalFormatting>
  <conditionalFormatting sqref="D36 D48:D50">
    <cfRule type="duplicateValues" dxfId="562" priority="25"/>
  </conditionalFormatting>
  <conditionalFormatting sqref="D52 D64:D66">
    <cfRule type="duplicateValues" dxfId="561" priority="24"/>
  </conditionalFormatting>
  <conditionalFormatting sqref="D68 D80:D82">
    <cfRule type="duplicateValues" dxfId="560" priority="23"/>
  </conditionalFormatting>
  <conditionalFormatting sqref="D84 D96:D98">
    <cfRule type="duplicateValues" dxfId="559" priority="22"/>
  </conditionalFormatting>
  <conditionalFormatting sqref="D101">
    <cfRule type="duplicateValues" dxfId="558" priority="21"/>
  </conditionalFormatting>
  <conditionalFormatting sqref="D117">
    <cfRule type="duplicateValues" dxfId="557" priority="20"/>
  </conditionalFormatting>
  <conditionalFormatting sqref="D133">
    <cfRule type="duplicateValues" dxfId="556" priority="19"/>
  </conditionalFormatting>
  <conditionalFormatting sqref="D149 D160:D163">
    <cfRule type="duplicateValues" dxfId="555" priority="18"/>
  </conditionalFormatting>
  <conditionalFormatting sqref="D165 D176:D179">
    <cfRule type="duplicateValues" dxfId="554" priority="17"/>
  </conditionalFormatting>
  <conditionalFormatting sqref="D182 D193:D196">
    <cfRule type="duplicateValues" dxfId="553" priority="16"/>
  </conditionalFormatting>
  <conditionalFormatting sqref="D198 D209:D212">
    <cfRule type="duplicateValues" dxfId="552" priority="15"/>
  </conditionalFormatting>
  <conditionalFormatting sqref="D37:D47">
    <cfRule type="duplicateValues" dxfId="551" priority="14"/>
  </conditionalFormatting>
  <conditionalFormatting sqref="D53:D63">
    <cfRule type="duplicateValues" dxfId="550" priority="13"/>
  </conditionalFormatting>
  <conditionalFormatting sqref="D69:D79">
    <cfRule type="duplicateValues" dxfId="549" priority="12"/>
  </conditionalFormatting>
  <conditionalFormatting sqref="D85:D95">
    <cfRule type="duplicateValues" dxfId="548" priority="11"/>
  </conditionalFormatting>
  <conditionalFormatting sqref="D102:D111">
    <cfRule type="duplicateValues" dxfId="547" priority="10"/>
  </conditionalFormatting>
  <conditionalFormatting sqref="D118:D127">
    <cfRule type="duplicateValues" dxfId="546" priority="9"/>
  </conditionalFormatting>
  <conditionalFormatting sqref="D134:D143">
    <cfRule type="duplicateValues" dxfId="545" priority="8"/>
  </conditionalFormatting>
  <conditionalFormatting sqref="D150:D159">
    <cfRule type="duplicateValues" dxfId="544" priority="7"/>
  </conditionalFormatting>
  <conditionalFormatting sqref="D166:D175">
    <cfRule type="duplicateValues" dxfId="543" priority="6"/>
  </conditionalFormatting>
  <conditionalFormatting sqref="D183:D192">
    <cfRule type="duplicateValues" dxfId="542" priority="5"/>
  </conditionalFormatting>
  <conditionalFormatting sqref="D199:D208">
    <cfRule type="duplicateValues" dxfId="541" priority="4"/>
  </conditionalFormatting>
  <conditionalFormatting sqref="D144:D147">
    <cfRule type="duplicateValues" dxfId="540" priority="3"/>
  </conditionalFormatting>
  <conditionalFormatting sqref="D128:D131">
    <cfRule type="duplicateValues" dxfId="539" priority="2"/>
  </conditionalFormatting>
  <conditionalFormatting sqref="D112:D115">
    <cfRule type="duplicateValues" dxfId="538" priority="1"/>
  </conditionalFormatting>
  <conditionalFormatting sqref="D116 D2:D18 D132 D148 D164 D180:D181 D197 D213:D1048576">
    <cfRule type="duplicateValues" dxfId="537" priority="31"/>
  </conditionalFormatting>
  <conditionalFormatting sqref="D32:D34">
    <cfRule type="duplicateValues" dxfId="536" priority="32"/>
  </conditionalFormatting>
  <pageMargins left="7.874015748031496E-2" right="7.874015748031496E-2" top="7.874015748031496E-2" bottom="7.874015748031496E-2" header="0" footer="0"/>
  <pageSetup paperSize="9" fitToHeight="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953CC-7C19-4A15-BF55-FDCD27133AC4}">
  <sheetPr codeName="Arkusz4"/>
  <dimension ref="A1:I210"/>
  <sheetViews>
    <sheetView workbookViewId="0">
      <selection activeCell="C5" sqref="C5"/>
    </sheetView>
  </sheetViews>
  <sheetFormatPr defaultRowHeight="15"/>
  <cols>
    <col min="1" max="1" width="27.42578125" style="11" bestFit="1" customWidth="1"/>
    <col min="2" max="2" width="4.28515625" style="11" customWidth="1"/>
    <col min="3" max="3" width="47.42578125" customWidth="1"/>
    <col min="9" max="9" width="28.28515625" customWidth="1"/>
    <col min="13" max="13" width="28.7109375" bestFit="1" customWidth="1"/>
  </cols>
  <sheetData>
    <row r="1" spans="1:9">
      <c r="A1" s="11" t="s">
        <v>3768</v>
      </c>
    </row>
    <row r="2" spans="1:9">
      <c r="A2" s="12" t="s">
        <v>3722</v>
      </c>
      <c r="B2" s="13"/>
      <c r="C2" s="8"/>
    </row>
    <row r="3" spans="1:9">
      <c r="A3" s="14" t="str" cm="1">
        <f t="array" ref="A3:A16">_xlfn._xlws.SORT(_xlfn.UNIQUE(_xlfn._xlws.FILTER(Tabela1[NAZWA],Tabela1[KOMENTARZ]=A2)))</f>
        <v>AOC-SGP-I4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VA21AS037139</v>
      </c>
    </row>
    <row r="4" spans="1:9">
      <c r="A4" s="15" t="str">
        <v>BPN-SAS3-113A-N2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PB216S000738</v>
      </c>
      <c r="I4" t="str" cm="1">
        <f t="array" ref="I4:I15">_xlfn.UNIQUE(_xlfn._xlws.FILTER([1]___2022___!$D$1:$D$65536,[1]___2022___!$K$1:$K$65536=A2))</f>
        <v xml:space="preserve">M393A4K40EB3-CWE </v>
      </c>
    </row>
    <row r="5" spans="1:9">
      <c r="A5" s="15" t="str">
        <v>CSE-113AC2-706WB2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C1130LK43P90206</v>
      </c>
      <c r="I5" t="str">
        <v>MZ7L3240HCHQ-00A07</v>
      </c>
    </row>
    <row r="6" spans="1:9">
      <c r="A6" s="15" t="str">
        <v xml:space="preserve">M393A4K40EB3-CWE </v>
      </c>
      <c r="B6" s="15">
        <f t="shared" si="0"/>
        <v>4</v>
      </c>
      <c r="C6" s="7" t="str" cm="1">
        <f t="array" ref="C6">_xlfn.TEXTJOIN(", ",,_xlfn._xlws.FILTER(Tabela1[[#All],[NUMER SERYJNY]],((Tabela1[[#All],[NAZWA]]=$A6)*(Tabela1[[#All],[KOMENTARZ]]=$A2)),"----------"))</f>
        <v>SNL909, SNL910, SNL911, SNL912</v>
      </c>
      <c r="I6" t="str">
        <v>MZ7L33T8HBLT-00A07</v>
      </c>
    </row>
    <row r="7" spans="1:9">
      <c r="A7" s="15" t="str">
        <v>MBD-X11DDW-L-O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NM217S006332</v>
      </c>
      <c r="I7" t="str">
        <v>MegaRaid 9361-8i   05-25420-08</v>
      </c>
    </row>
    <row r="8" spans="1:9">
      <c r="A8" s="15" t="str">
        <v>MegaRaid 9361-8i   05-25420-08</v>
      </c>
      <c r="B8" s="15">
        <f>LEN(C8)-LEN(SUBSTITUTE(C8,",",""))+1</f>
        <v>1</v>
      </c>
      <c r="C8" s="7" t="str" cm="1">
        <f t="array" ref="C8">_xlfn.TEXTJOIN(", ",,_xlfn._xlws.FILTER(Tabela1[[#All],[NUMER SERYJNY]],((Tabela1[[#All],[NAZWA]]=$A8)*(Tabela1[[#All],[KOMENTARZ]]=$A2)),"----------"))</f>
        <v>SKC1294050</v>
      </c>
      <c r="I8" t="str">
        <v>CSE-113AC2-706WB2</v>
      </c>
    </row>
    <row r="9" spans="1:9">
      <c r="A9" s="15" t="str">
        <v>MZ7L3240HCHQ-00A07</v>
      </c>
      <c r="B9" s="15">
        <f>LEN(C9)-LEN(SUBSTITUTE(C9,",",""))+1</f>
        <v>2</v>
      </c>
      <c r="C9" s="7" t="str" cm="1">
        <f t="array" ref="C9">_xlfn.TEXTJOIN(", ",,_xlfn._xlws.FILTER(Tabela1[[#All],[NUMER SERYJNY]],((Tabela1[[#All],[NAZWA]]=$A9)*(Tabela1[[#All],[KOMENTARZ]]=$A2)),"----------"))</f>
        <v>S663NE0RC12779, S663NE0RC12783</v>
      </c>
      <c r="I9" t="str">
        <v>PWS-706P-1R</v>
      </c>
    </row>
    <row r="10" spans="1:9">
      <c r="A10" s="15" t="str">
        <v>MZ7L33T8HBLT-00A07</v>
      </c>
      <c r="B10" s="15">
        <f t="shared" ref="B10:B16" si="1">LEN(C10)-LEN(SUBSTITUTE(C10,",",""))+1</f>
        <v>3</v>
      </c>
      <c r="C10" s="7" t="str" cm="1">
        <f t="array" ref="C10">_xlfn.TEXTJOIN(", ",,_xlfn._xlws.FILTER(Tabela1[[#All],[NUMER SERYJNY]],((Tabela1[[#All],[NAZWA]]=$A10)*(Tabela1[[#All],[KOMENTARZ]]=$A2)),"----------"))</f>
        <v>S6ERNE0T603735, S6ERNE0T603736, S6ERNE0T603746</v>
      </c>
      <c r="I10" t="str">
        <v>BPN-SAS3-113A-N2</v>
      </c>
    </row>
    <row r="11" spans="1:9">
      <c r="A11" s="15" t="str">
        <v>P73-08353</v>
      </c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4537000022600</v>
      </c>
      <c r="I11" t="str">
        <v>RSC-R1UW-2E16</v>
      </c>
    </row>
    <row r="12" spans="1:9">
      <c r="A12" s="15" t="str">
        <v>P73-08448</v>
      </c>
      <c r="B12" s="15">
        <f t="shared" si="1"/>
        <v>2</v>
      </c>
      <c r="C12" s="7" t="str" cm="1">
        <f t="array" ref="C12">_xlfn.TEXTJOIN(", ",,_xlfn._xlws.FILTER(Tabela1[[#All],[NUMER SERYJNY]],((Tabela1[[#All],[NAZWA]]=$A12)*(Tabela1[[#All],[KOMENTARZ]]=$A2)),"----------"))</f>
        <v>2219144320212, 2219144320213</v>
      </c>
      <c r="I12" t="str">
        <v>RSC-R1UW-E8R</v>
      </c>
    </row>
    <row r="13" spans="1:9">
      <c r="A13" s="15" t="str">
        <v>PWS-706P-1R</v>
      </c>
      <c r="B13" s="15">
        <f t="shared" si="1"/>
        <v>2</v>
      </c>
      <c r="C13" s="7" t="str" cm="1">
        <f t="array" ref="C13">_xlfn.TEXTJOIN(", ",,_xlfn._xlws.FILTER(Tabela1[[#All],[NUMER SERYJNY]],((Tabela1[[#All],[NAZWA]]=$A13)*(Tabela1[[#All],[KOMENTARZ]]=$A2)),"----------"))</f>
        <v>P7061VL40GB0462, P7061VL40GB0461</v>
      </c>
      <c r="I13" t="str">
        <v>AOC-SGP-I4</v>
      </c>
    </row>
    <row r="14" spans="1:9">
      <c r="A14" s="15" t="str">
        <v>RSC-R1UW-2E16</v>
      </c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SERYJNY]],((Tabela1[[#All],[NAZWA]]=$A14)*(Tabela1[[#All],[KOMENTARZ]]=$A2)),"----------"))</f>
        <v>VR218S031321</v>
      </c>
      <c r="I14" t="str">
        <v>MBD-X11DDW-L-O</v>
      </c>
    </row>
    <row r="15" spans="1:9">
      <c r="A15" s="15" t="str">
        <v>RSC-R1UW-E8R</v>
      </c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SERYJNY]],((Tabela1[[#All],[NAZWA]]=$A15)*(Tabela1[[#All],[KOMENTARZ]]=$A2)),"----------"))</f>
        <v>VR221S013567</v>
      </c>
      <c r="I15" t="str">
        <v>Xeon Silver 4216</v>
      </c>
    </row>
    <row r="16" spans="1:9" ht="24">
      <c r="A16" s="15" t="str">
        <v>Xeon Silver 4216</v>
      </c>
      <c r="B16" s="15">
        <f t="shared" si="1"/>
        <v>2</v>
      </c>
      <c r="C16" s="7" t="str" cm="1">
        <f t="array" ref="C16">_xlfn.TEXTJOIN(", ",,_xlfn._xlws.FILTER(Tabela1[[#All],[NUMER SERYJNY]],((Tabela1[[#All],[NAZWA]]=$A16)*(Tabela1[[#All],[KOMENTARZ]]=$A2)),"----------"))</f>
        <v>35FDFEBE45A82111RFBB     M2T19L2800139, 35FE20BFB041C669RFBB     M2T19L2800257</v>
      </c>
    </row>
    <row r="17" spans="1:3" ht="18.75">
      <c r="A17" s="16"/>
      <c r="B17" s="16"/>
      <c r="C17" s="10"/>
    </row>
    <row r="18" spans="1:3">
      <c r="A18" s="12"/>
      <c r="B18" s="13"/>
      <c r="C18" s="8"/>
    </row>
    <row r="19" spans="1:3">
      <c r="A19" s="14"/>
      <c r="B19" s="14"/>
      <c r="C19" s="9"/>
    </row>
    <row r="20" spans="1:3">
      <c r="A20" s="15"/>
      <c r="B20" s="15"/>
      <c r="C20" s="7"/>
    </row>
    <row r="21" spans="1:3">
      <c r="A21" s="11" t="s">
        <v>3768</v>
      </c>
    </row>
    <row r="22" spans="1:3">
      <c r="A22" s="12" t="s">
        <v>3727</v>
      </c>
      <c r="B22" s="13"/>
      <c r="C22" s="8"/>
    </row>
    <row r="23" spans="1:3">
      <c r="A23" s="14" t="s">
        <v>3746</v>
      </c>
      <c r="B23" s="14">
        <f t="shared" ref="B23:B27" si="2">LEN(C23)-LEN(SUBSTITUTE(C23,",",""))+1</f>
        <v>1</v>
      </c>
      <c r="C23" s="9" t="str" cm="1">
        <f t="array" ref="C23">_xlfn.TEXTJOIN(", ",,_xlfn._xlws.FILTER(Tabela1[[#All],[NUMER SERYJNY]],((Tabela1[[#All],[NAZWA]]=$A23)*(Tabela1[[#All],[KOMENTARZ]]=$A22)),"----------"))</f>
        <v>C1130LK43P90208</v>
      </c>
    </row>
    <row r="24" spans="1:3">
      <c r="A24" s="15" t="s">
        <v>2700</v>
      </c>
      <c r="B24" s="15">
        <f t="shared" si="2"/>
        <v>2</v>
      </c>
      <c r="C24" s="7" t="str" cm="1">
        <f t="array" ref="C24">_xlfn.TEXTJOIN(", ",,_xlfn._xlws.FILTER(Tabela1[[#All],[NUMER SERYJNY]],((Tabela1[[#All],[NAZWA]]=$A24)*(Tabela1[[#All],[KOMENTARZ]]=$A22)),"----------"))</f>
        <v>P7061VL40GB0463, P7061VL40GB0464</v>
      </c>
    </row>
    <row r="25" spans="1:3">
      <c r="A25" s="15" t="s">
        <v>3356</v>
      </c>
      <c r="B25" s="15">
        <f t="shared" si="2"/>
        <v>1</v>
      </c>
      <c r="C25" s="7" t="str" cm="1">
        <f t="array" ref="C25">_xlfn.TEXTJOIN(", ",,_xlfn._xlws.FILTER(Tabela1[[#All],[NUMER SERYJNY]],((Tabela1[[#All],[NAZWA]]=$A25)*(Tabela1[[#All],[KOMENTARZ]]=$A22)),"----------"))</f>
        <v>PB216S000636</v>
      </c>
    </row>
    <row r="26" spans="1:3">
      <c r="A26" s="15" t="s">
        <v>773</v>
      </c>
      <c r="B26" s="15">
        <f t="shared" si="2"/>
        <v>1</v>
      </c>
      <c r="C26" s="7" t="str" cm="1">
        <f t="array" ref="C26">_xlfn.TEXTJOIN(", ",,_xlfn._xlws.FILTER(Tabela1[[#All],[NUMER SERYJNY]],((Tabela1[[#All],[NAZWA]]=$A26)*(Tabela1[[#All],[KOMENTARZ]]=$A22)),"----------"))</f>
        <v>VR218S031323</v>
      </c>
    </row>
    <row r="27" spans="1:3">
      <c r="A27" s="15" t="s">
        <v>293</v>
      </c>
      <c r="B27" s="15">
        <f t="shared" si="2"/>
        <v>1</v>
      </c>
      <c r="C27" s="7" t="str" cm="1">
        <f t="array" ref="C27">_xlfn.TEXTJOIN(", ",,_xlfn._xlws.FILTER(Tabela1[[#All],[NUMER SERYJNY]],((Tabela1[[#All],[NAZWA]]=$A27)*(Tabela1[[#All],[KOMENTARZ]]=$A22)),"----------"))</f>
        <v>VR221S013568</v>
      </c>
    </row>
    <row r="28" spans="1:3">
      <c r="A28" s="15" t="s">
        <v>3760</v>
      </c>
      <c r="B28" s="15">
        <f>LEN(C28)-LEN(SUBSTITUTE(C28,",",""))+1</f>
        <v>1</v>
      </c>
      <c r="C28" s="7" t="str" cm="1">
        <f t="array" ref="C28">_xlfn.TEXTJOIN(", ",,_xlfn._xlws.FILTER(Tabela1[[#All],[NUMER SERYJNY]],((Tabela1[[#All],[NAZWA]]=$A28)*(Tabela1[[#All],[KOMENTARZ]]=$A22)),"----------"))</f>
        <v>NM217S001560</v>
      </c>
    </row>
    <row r="29" spans="1:3" ht="24">
      <c r="A29" s="15" t="s">
        <v>3763</v>
      </c>
      <c r="B29" s="15">
        <f>LEN(C29)-LEN(SUBSTITUTE(C29,",",""))+1</f>
        <v>2</v>
      </c>
      <c r="C29" s="7" t="str" cm="1">
        <f t="array" ref="C29">_xlfn.TEXTJOIN(", ",,_xlfn._xlws.FILTER(Tabela1[[#All],[NUMER SERYJNY]],((Tabela1[[#All],[NAZWA]]=$A29)*(Tabela1[[#All],[KOMENTARZ]]=$A22)),"----------"))</f>
        <v>35FD12FC86622E2BRFBB    M2MX830200342, 35FE11FC938DCADBRFBB   M2T19L2800107</v>
      </c>
    </row>
    <row r="30" spans="1:3">
      <c r="A30" s="15" t="s">
        <v>3757</v>
      </c>
      <c r="B30" s="15">
        <f t="shared" ref="B30:B36" si="3">LEN(C30)-LEN(SUBSTITUTE(C30,",",""))+1</f>
        <v>1</v>
      </c>
      <c r="C30" s="7" t="str" cm="1">
        <f t="array" ref="C30">_xlfn.TEXTJOIN(", ",,_xlfn._xlws.FILTER(Tabela1[[#All],[NUMER SERYJNY]],((Tabela1[[#All],[NAZWA]]=$A30)*(Tabela1[[#All],[KOMENTARZ]]=$A22)),"----------"))</f>
        <v>VA21AS037775</v>
      </c>
    </row>
    <row r="31" spans="1:3">
      <c r="A31" s="15" t="s">
        <v>2990</v>
      </c>
      <c r="B31" s="15">
        <f t="shared" si="3"/>
        <v>4</v>
      </c>
      <c r="C31" s="7" t="str" cm="1">
        <f t="array" ref="C31">_xlfn.TEXTJOIN(", ",,_xlfn._xlws.FILTER(Tabela1[[#All],[NUMER SERYJNY]],((Tabela1[[#All],[NAZWA]]=$A31)*(Tabela1[[#All],[KOMENTARZ]]=$A22)),"----------"))</f>
        <v>SNL913, SNL914, SNL915, SNL916</v>
      </c>
    </row>
    <row r="32" spans="1:3">
      <c r="A32" s="15" t="s">
        <v>3731</v>
      </c>
      <c r="B32" s="15">
        <f t="shared" si="3"/>
        <v>2</v>
      </c>
      <c r="C32" s="7" t="str" cm="1">
        <f t="array" ref="C32">_xlfn.TEXTJOIN(", ",,_xlfn._xlws.FILTER(Tabela1[[#All],[NUMER SERYJNY]],((Tabela1[[#All],[NAZWA]]=$A32)*(Tabela1[[#All],[KOMENTARZ]]=$A22)),"----------"))</f>
        <v>S663NE0RC12798, S663NE0RC12719</v>
      </c>
    </row>
    <row r="33" spans="1:3">
      <c r="A33" s="15" t="s">
        <v>3736</v>
      </c>
      <c r="B33" s="15">
        <f t="shared" si="3"/>
        <v>3</v>
      </c>
      <c r="C33" s="7" t="str" cm="1">
        <f t="array" ref="C33">_xlfn.TEXTJOIN(", ",,_xlfn._xlws.FILTER(Tabela1[[#All],[NUMER SERYJNY]],((Tabela1[[#All],[NAZWA]]=$A33)*(Tabela1[[#All],[KOMENTARZ]]=$A22)),"----------"))</f>
        <v>S6ERNE0T603734, S6ERNE0T603744, S6ERNE0T603745</v>
      </c>
    </row>
    <row r="34" spans="1:3">
      <c r="A34" s="15" t="s">
        <v>3743</v>
      </c>
      <c r="B34" s="15">
        <f t="shared" si="3"/>
        <v>1</v>
      </c>
      <c r="C34" s="7" t="str" cm="1">
        <f t="array" ref="C34">_xlfn.TEXTJOIN(", ",,_xlfn._xlws.FILTER(Tabela1[[#All],[NUMER SERYJNY]],((Tabela1[[#All],[NAZWA]]=$A34)*(Tabela1[[#All],[KOMENTARZ]]=$A22)),"----------"))</f>
        <v>SKC1294600</v>
      </c>
    </row>
    <row r="35" spans="1:3">
      <c r="A35" s="15" t="s">
        <v>3717</v>
      </c>
      <c r="B35" s="15">
        <f t="shared" si="3"/>
        <v>1</v>
      </c>
      <c r="C35" s="7" t="str" cm="1">
        <f t="array" ref="C35">_xlfn.TEXTJOIN(", ",,_xlfn._xlws.FILTER(Tabela1[[#All],[NUMER SERYJNY]],((Tabela1[[#All],[NAZWA]]=$A35)*(Tabela1[[#All],[KOMENTARZ]]=$A22)),"----------"))</f>
        <v>4537000005176</v>
      </c>
    </row>
    <row r="36" spans="1:3">
      <c r="A36" s="15" t="s">
        <v>3718</v>
      </c>
      <c r="B36" s="15">
        <f t="shared" si="3"/>
        <v>2</v>
      </c>
      <c r="C36" s="7" t="str" cm="1">
        <f t="array" ref="C36">_xlfn.TEXTJOIN(", ",,_xlfn._xlws.FILTER(Tabela1[[#All],[NUMER SERYJNY]],((Tabela1[[#All],[NAZWA]]=$A36)*(Tabela1[[#All],[KOMENTARZ]]=$A22)),"----------"))</f>
        <v>2219144320214, 2219144320211</v>
      </c>
    </row>
    <row r="37" spans="1:3">
      <c r="A37" s="15"/>
      <c r="B37" s="15"/>
      <c r="C37" s="7"/>
    </row>
    <row r="38" spans="1:3">
      <c r="A38" s="15"/>
      <c r="B38" s="15"/>
      <c r="C38" s="7"/>
    </row>
    <row r="39" spans="1:3">
      <c r="A39" s="15"/>
      <c r="B39" s="15"/>
      <c r="C39" s="7"/>
    </row>
    <row r="40" spans="1:3">
      <c r="A40" s="15"/>
      <c r="B40" s="15"/>
      <c r="C40" s="7"/>
    </row>
    <row r="41" spans="1:3">
      <c r="A41" s="15"/>
      <c r="B41" s="15"/>
      <c r="C41" s="7"/>
    </row>
    <row r="42" spans="1:3">
      <c r="A42" s="15"/>
      <c r="B42" s="15"/>
      <c r="C42" s="7"/>
    </row>
    <row r="43" spans="1:3">
      <c r="A43" s="15"/>
      <c r="B43" s="15"/>
      <c r="C43" s="7"/>
    </row>
    <row r="44" spans="1:3">
      <c r="A44" s="15"/>
      <c r="B44" s="15"/>
      <c r="C44" s="7"/>
    </row>
    <row r="45" spans="1:3">
      <c r="A45" s="15"/>
      <c r="B45" s="15"/>
      <c r="C45" s="7"/>
    </row>
    <row r="46" spans="1:3">
      <c r="A46" s="15"/>
      <c r="B46" s="15"/>
      <c r="C46" s="7"/>
    </row>
    <row r="47" spans="1:3">
      <c r="A47" s="15"/>
      <c r="B47" s="15"/>
      <c r="C47" s="7"/>
    </row>
    <row r="48" spans="1:3">
      <c r="A48" s="15"/>
      <c r="B48" s="15"/>
      <c r="C48" s="7"/>
    </row>
    <row r="49" spans="1:3">
      <c r="A49" s="15"/>
      <c r="B49" s="15"/>
      <c r="C49" s="7"/>
    </row>
    <row r="50" spans="1:3">
      <c r="A50" s="12"/>
      <c r="B50" s="13"/>
      <c r="C50" s="8"/>
    </row>
    <row r="51" spans="1:3">
      <c r="A51" s="14"/>
      <c r="B51" s="14"/>
      <c r="C51" s="9"/>
    </row>
    <row r="52" spans="1:3">
      <c r="A52" s="15"/>
      <c r="B52" s="15"/>
      <c r="C52" s="7"/>
    </row>
    <row r="53" spans="1:3">
      <c r="A53" s="15"/>
      <c r="B53" s="15"/>
      <c r="C53" s="7"/>
    </row>
    <row r="54" spans="1:3">
      <c r="A54" s="15"/>
      <c r="B54" s="15"/>
      <c r="C54" s="7"/>
    </row>
    <row r="55" spans="1:3">
      <c r="A55" s="15"/>
      <c r="B55" s="15"/>
      <c r="C55" s="7"/>
    </row>
    <row r="56" spans="1:3">
      <c r="A56" s="15"/>
      <c r="B56" s="15"/>
      <c r="C56" s="7"/>
    </row>
    <row r="57" spans="1:3">
      <c r="A57" s="15"/>
      <c r="B57" s="15"/>
      <c r="C57" s="7"/>
    </row>
    <row r="58" spans="1:3">
      <c r="A58" s="15"/>
      <c r="B58" s="15"/>
      <c r="C58" s="7"/>
    </row>
    <row r="59" spans="1:3">
      <c r="A59" s="15"/>
      <c r="B59" s="15"/>
      <c r="C59" s="7"/>
    </row>
    <row r="60" spans="1:3">
      <c r="A60" s="15"/>
      <c r="B60" s="15"/>
      <c r="C60" s="7"/>
    </row>
    <row r="61" spans="1:3">
      <c r="A61" s="15"/>
      <c r="B61" s="15"/>
      <c r="C61" s="7"/>
    </row>
    <row r="62" spans="1:3">
      <c r="A62" s="15"/>
      <c r="B62" s="15"/>
      <c r="C62" s="7"/>
    </row>
    <row r="63" spans="1:3">
      <c r="A63" s="15"/>
      <c r="B63" s="15"/>
      <c r="C63" s="7"/>
    </row>
    <row r="64" spans="1:3">
      <c r="A64" s="15"/>
      <c r="B64" s="15"/>
      <c r="C64" s="7"/>
    </row>
    <row r="65" spans="1:3">
      <c r="A65" s="15"/>
      <c r="B65" s="15"/>
      <c r="C65" s="7"/>
    </row>
    <row r="66" spans="1:3">
      <c r="A66" s="12"/>
      <c r="B66" s="13"/>
      <c r="C66" s="8"/>
    </row>
    <row r="67" spans="1:3">
      <c r="A67" s="14"/>
      <c r="B67" s="14"/>
      <c r="C67" s="9"/>
    </row>
    <row r="68" spans="1:3">
      <c r="A68" s="15"/>
      <c r="B68" s="15"/>
      <c r="C68" s="7"/>
    </row>
    <row r="69" spans="1:3">
      <c r="A69" s="15"/>
      <c r="B69" s="15"/>
      <c r="C69" s="7"/>
    </row>
    <row r="70" spans="1:3">
      <c r="A70" s="15"/>
      <c r="B70" s="15"/>
      <c r="C70" s="7"/>
    </row>
    <row r="71" spans="1:3">
      <c r="A71" s="15"/>
      <c r="B71" s="15"/>
      <c r="C71" s="7"/>
    </row>
    <row r="72" spans="1:3">
      <c r="A72" s="15"/>
      <c r="B72" s="15"/>
      <c r="C72" s="7"/>
    </row>
    <row r="73" spans="1:3">
      <c r="A73" s="15"/>
      <c r="B73" s="15"/>
      <c r="C73" s="7"/>
    </row>
    <row r="74" spans="1:3">
      <c r="A74" s="15"/>
      <c r="B74" s="15"/>
      <c r="C74" s="7"/>
    </row>
    <row r="75" spans="1:3">
      <c r="A75" s="15"/>
      <c r="B75" s="15"/>
      <c r="C75" s="7"/>
    </row>
    <row r="76" spans="1:3">
      <c r="A76" s="15"/>
      <c r="B76" s="15"/>
      <c r="C76" s="7"/>
    </row>
    <row r="77" spans="1:3">
      <c r="A77" s="15"/>
      <c r="B77" s="15"/>
      <c r="C77" s="7"/>
    </row>
    <row r="78" spans="1:3">
      <c r="A78" s="15"/>
      <c r="B78" s="15"/>
      <c r="C78" s="7"/>
    </row>
    <row r="79" spans="1:3">
      <c r="A79" s="15"/>
      <c r="B79" s="15"/>
      <c r="C79" s="7"/>
    </row>
    <row r="80" spans="1:3">
      <c r="A80" s="15"/>
      <c r="B80" s="15"/>
      <c r="C80" s="7"/>
    </row>
    <row r="81" spans="1:3">
      <c r="A81" s="15"/>
      <c r="B81" s="15"/>
      <c r="C81" s="7"/>
    </row>
    <row r="82" spans="1:3">
      <c r="A82" s="12"/>
      <c r="B82" s="13"/>
      <c r="C82" s="8"/>
    </row>
    <row r="83" spans="1:3">
      <c r="A83" s="14"/>
      <c r="B83" s="14"/>
      <c r="C83" s="9"/>
    </row>
    <row r="84" spans="1:3">
      <c r="A84" s="15"/>
      <c r="B84" s="15"/>
      <c r="C84" s="7"/>
    </row>
    <row r="85" spans="1:3">
      <c r="A85" s="15"/>
      <c r="B85" s="15"/>
      <c r="C85" s="7"/>
    </row>
    <row r="86" spans="1:3">
      <c r="A86" s="15"/>
      <c r="B86" s="15"/>
      <c r="C86" s="7"/>
    </row>
    <row r="87" spans="1:3">
      <c r="A87" s="15"/>
      <c r="B87" s="15"/>
      <c r="C87" s="7"/>
    </row>
    <row r="88" spans="1:3">
      <c r="A88" s="15"/>
      <c r="B88" s="15"/>
      <c r="C88" s="7"/>
    </row>
    <row r="89" spans="1:3">
      <c r="A89" s="15"/>
      <c r="B89" s="15"/>
      <c r="C89" s="7"/>
    </row>
    <row r="90" spans="1:3">
      <c r="A90" s="15"/>
      <c r="B90" s="15"/>
      <c r="C90" s="7"/>
    </row>
    <row r="91" spans="1:3">
      <c r="A91" s="15"/>
      <c r="B91" s="15"/>
      <c r="C91" s="7"/>
    </row>
    <row r="92" spans="1:3">
      <c r="A92" s="15"/>
      <c r="B92" s="15"/>
      <c r="C92" s="7"/>
    </row>
    <row r="93" spans="1:3">
      <c r="A93" s="15"/>
      <c r="B93" s="15"/>
      <c r="C93" s="7"/>
    </row>
    <row r="94" spans="1:3">
      <c r="A94" s="15"/>
      <c r="B94" s="15"/>
      <c r="C94" s="7"/>
    </row>
    <row r="95" spans="1:3">
      <c r="A95" s="15"/>
      <c r="B95" s="15"/>
      <c r="C95" s="7"/>
    </row>
    <row r="96" spans="1:3">
      <c r="A96" s="15"/>
      <c r="B96" s="15"/>
      <c r="C96" s="7"/>
    </row>
    <row r="97" spans="1:3">
      <c r="A97" s="15"/>
      <c r="B97" s="15"/>
      <c r="C97" s="7"/>
    </row>
    <row r="98" spans="1:3">
      <c r="A98" s="15"/>
      <c r="B98" s="15"/>
      <c r="C98" s="7"/>
    </row>
    <row r="99" spans="1:3">
      <c r="A99" s="12"/>
      <c r="B99" s="13"/>
      <c r="C99" s="8"/>
    </row>
    <row r="100" spans="1:3">
      <c r="A100" s="14"/>
      <c r="B100" s="14"/>
      <c r="C100" s="9"/>
    </row>
    <row r="101" spans="1:3">
      <c r="A101" s="15"/>
      <c r="B101" s="15"/>
      <c r="C101" s="7"/>
    </row>
    <row r="102" spans="1:3">
      <c r="A102" s="15"/>
      <c r="B102" s="15"/>
      <c r="C102" s="7"/>
    </row>
    <row r="103" spans="1:3">
      <c r="A103" s="15"/>
      <c r="B103" s="15"/>
      <c r="C103" s="7"/>
    </row>
    <row r="104" spans="1:3">
      <c r="A104" s="15"/>
      <c r="B104" s="15"/>
      <c r="C104" s="7"/>
    </row>
    <row r="105" spans="1:3">
      <c r="A105" s="15"/>
      <c r="B105" s="15"/>
      <c r="C105" s="7"/>
    </row>
    <row r="106" spans="1:3">
      <c r="A106" s="15"/>
      <c r="B106" s="15"/>
      <c r="C106" s="7"/>
    </row>
    <row r="107" spans="1:3">
      <c r="A107" s="15"/>
      <c r="B107" s="15"/>
      <c r="C107" s="7"/>
    </row>
    <row r="108" spans="1:3">
      <c r="A108" s="15"/>
      <c r="B108" s="15"/>
      <c r="C108" s="7"/>
    </row>
    <row r="109" spans="1:3">
      <c r="A109" s="15"/>
      <c r="B109" s="15"/>
      <c r="C109" s="7"/>
    </row>
    <row r="110" spans="1:3">
      <c r="A110" s="15"/>
      <c r="B110" s="15"/>
      <c r="C110" s="7"/>
    </row>
    <row r="111" spans="1:3">
      <c r="A111" s="15"/>
      <c r="B111" s="15"/>
      <c r="C111" s="7"/>
    </row>
    <row r="112" spans="1:3">
      <c r="A112" s="15"/>
      <c r="B112" s="15"/>
      <c r="C112" s="7"/>
    </row>
    <row r="113" spans="1:3">
      <c r="A113" s="15"/>
      <c r="B113" s="15"/>
      <c r="C113" s="7"/>
    </row>
    <row r="115" spans="1:3">
      <c r="A115" s="12"/>
      <c r="B115" s="13"/>
      <c r="C115" s="8"/>
    </row>
    <row r="116" spans="1:3">
      <c r="A116" s="14"/>
      <c r="B116" s="14"/>
      <c r="C116" s="9"/>
    </row>
    <row r="117" spans="1:3">
      <c r="A117" s="15"/>
      <c r="B117" s="15"/>
      <c r="C117" s="7"/>
    </row>
    <row r="118" spans="1:3">
      <c r="A118" s="15"/>
      <c r="B118" s="15"/>
      <c r="C118" s="7"/>
    </row>
    <row r="119" spans="1:3">
      <c r="A119" s="15"/>
      <c r="B119" s="15"/>
      <c r="C119" s="7"/>
    </row>
    <row r="120" spans="1:3">
      <c r="A120" s="15"/>
      <c r="B120" s="15"/>
      <c r="C120" s="7"/>
    </row>
    <row r="121" spans="1:3">
      <c r="A121" s="15"/>
      <c r="B121" s="15"/>
      <c r="C121" s="7"/>
    </row>
    <row r="122" spans="1:3">
      <c r="A122" s="15"/>
      <c r="B122" s="15"/>
      <c r="C122" s="7"/>
    </row>
    <row r="123" spans="1:3">
      <c r="A123" s="15"/>
      <c r="B123" s="15"/>
      <c r="C123" s="7"/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5"/>
      <c r="B126" s="15"/>
      <c r="C126" s="7"/>
    </row>
    <row r="127" spans="1:3">
      <c r="A127" s="15"/>
      <c r="B127" s="15"/>
      <c r="C127" s="7"/>
    </row>
    <row r="128" spans="1:3">
      <c r="A128" s="15"/>
      <c r="B128" s="15"/>
      <c r="C128" s="7"/>
    </row>
    <row r="129" spans="1:3">
      <c r="A129" s="15"/>
      <c r="B129" s="15"/>
      <c r="C129" s="7"/>
    </row>
    <row r="131" spans="1:3">
      <c r="A131" s="12"/>
      <c r="B131" s="13"/>
      <c r="C131" s="8"/>
    </row>
    <row r="132" spans="1:3">
      <c r="A132" s="14"/>
      <c r="B132" s="14"/>
      <c r="C132" s="9"/>
    </row>
    <row r="133" spans="1:3">
      <c r="A133" s="15"/>
      <c r="B133" s="15"/>
      <c r="C133" s="7"/>
    </row>
    <row r="134" spans="1:3">
      <c r="A134" s="15"/>
      <c r="B134" s="15"/>
      <c r="C134" s="7"/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>
      <c r="A137" s="15"/>
      <c r="B137" s="15"/>
      <c r="C137" s="7"/>
    </row>
    <row r="138" spans="1:3">
      <c r="A138" s="15"/>
      <c r="B138" s="15"/>
      <c r="C138" s="7"/>
    </row>
    <row r="139" spans="1:3">
      <c r="A139" s="15"/>
      <c r="B139" s="15"/>
      <c r="C139" s="7"/>
    </row>
    <row r="140" spans="1:3">
      <c r="A140" s="15"/>
      <c r="B140" s="15"/>
      <c r="C140" s="7"/>
    </row>
    <row r="141" spans="1:3">
      <c r="A141" s="15"/>
      <c r="B141" s="15"/>
      <c r="C141" s="7"/>
    </row>
    <row r="142" spans="1:3">
      <c r="A142" s="15"/>
      <c r="B142" s="15"/>
      <c r="C142" s="7"/>
    </row>
    <row r="143" spans="1:3">
      <c r="A143" s="15"/>
      <c r="B143" s="15"/>
      <c r="C143" s="7"/>
    </row>
    <row r="144" spans="1:3">
      <c r="A144" s="15"/>
      <c r="B144" s="15"/>
      <c r="C144" s="7"/>
    </row>
    <row r="145" spans="1:3">
      <c r="A145" s="15"/>
      <c r="B145" s="15"/>
      <c r="C145" s="7"/>
    </row>
    <row r="147" spans="1:3">
      <c r="A147" s="12"/>
      <c r="B147" s="13"/>
      <c r="C147" s="8"/>
    </row>
    <row r="148" spans="1:3">
      <c r="A148" s="14"/>
      <c r="B148" s="14"/>
      <c r="C148" s="9"/>
    </row>
    <row r="149" spans="1:3">
      <c r="A149" s="15"/>
      <c r="B149" s="15"/>
      <c r="C149" s="7"/>
    </row>
    <row r="150" spans="1:3">
      <c r="A150" s="15"/>
      <c r="B150" s="15"/>
      <c r="C150" s="7"/>
    </row>
    <row r="151" spans="1:3">
      <c r="A151" s="15"/>
      <c r="B151" s="15"/>
      <c r="C151" s="7"/>
    </row>
    <row r="152" spans="1:3">
      <c r="A152" s="15"/>
      <c r="B152" s="15"/>
      <c r="C152" s="7"/>
    </row>
    <row r="153" spans="1:3">
      <c r="A153" s="15"/>
      <c r="B153" s="15"/>
      <c r="C153" s="7"/>
    </row>
    <row r="154" spans="1:3">
      <c r="A154" s="15"/>
      <c r="B154" s="15"/>
      <c r="C154" s="7"/>
    </row>
    <row r="155" spans="1:3">
      <c r="A155" s="15"/>
      <c r="B155" s="15"/>
      <c r="C155" s="7"/>
    </row>
    <row r="156" spans="1:3">
      <c r="A156" s="15"/>
      <c r="B156" s="15"/>
      <c r="C156" s="7"/>
    </row>
    <row r="157" spans="1:3">
      <c r="A157" s="15"/>
      <c r="B157" s="15"/>
      <c r="C157" s="7"/>
    </row>
    <row r="158" spans="1:3">
      <c r="A158" s="15"/>
      <c r="B158" s="15"/>
      <c r="C158" s="7"/>
    </row>
    <row r="159" spans="1:3">
      <c r="A159" s="15"/>
      <c r="B159" s="15"/>
      <c r="C159" s="7"/>
    </row>
    <row r="160" spans="1:3">
      <c r="A160" s="15"/>
      <c r="B160" s="15"/>
      <c r="C160" s="7"/>
    </row>
    <row r="161" spans="1:3">
      <c r="A161" s="15"/>
      <c r="B161" s="15"/>
      <c r="C161" s="7"/>
    </row>
    <row r="163" spans="1:3">
      <c r="A163" s="12"/>
      <c r="B163" s="13"/>
      <c r="C163" s="8"/>
    </row>
    <row r="164" spans="1:3">
      <c r="A164" s="14"/>
      <c r="B164" s="14"/>
      <c r="C164" s="9"/>
    </row>
    <row r="165" spans="1:3">
      <c r="A165" s="15"/>
      <c r="B165" s="15"/>
      <c r="C165" s="7"/>
    </row>
    <row r="166" spans="1:3">
      <c r="A166" s="15"/>
      <c r="B166" s="15"/>
      <c r="C166" s="7"/>
    </row>
    <row r="167" spans="1:3">
      <c r="A167" s="15"/>
      <c r="B167" s="15"/>
      <c r="C167" s="7"/>
    </row>
    <row r="168" spans="1:3">
      <c r="A168" s="15"/>
      <c r="B168" s="15"/>
      <c r="C168" s="7"/>
    </row>
    <row r="169" spans="1:3">
      <c r="A169" s="15"/>
      <c r="B169" s="15"/>
      <c r="C169" s="7"/>
    </row>
    <row r="170" spans="1:3">
      <c r="A170" s="15"/>
      <c r="B170" s="15"/>
      <c r="C170" s="7"/>
    </row>
    <row r="171" spans="1:3">
      <c r="A171" s="15"/>
      <c r="B171" s="15"/>
      <c r="C171" s="7"/>
    </row>
    <row r="172" spans="1:3">
      <c r="A172" s="15"/>
      <c r="B172" s="15"/>
      <c r="C172" s="7"/>
    </row>
    <row r="173" spans="1:3">
      <c r="A173" s="15"/>
      <c r="B173" s="15"/>
      <c r="C173" s="7"/>
    </row>
    <row r="174" spans="1:3">
      <c r="A174" s="15"/>
      <c r="B174" s="15"/>
      <c r="C174" s="7"/>
    </row>
    <row r="175" spans="1:3">
      <c r="A175" s="15"/>
      <c r="B175" s="15"/>
      <c r="C175" s="7"/>
    </row>
    <row r="176" spans="1:3">
      <c r="A176" s="15"/>
      <c r="B176" s="15"/>
      <c r="C176" s="7"/>
    </row>
    <row r="177" spans="1:3">
      <c r="A177" s="15"/>
      <c r="B177" s="15"/>
      <c r="C177" s="7"/>
    </row>
    <row r="180" spans="1:3">
      <c r="A180" s="12"/>
      <c r="B180" s="13"/>
      <c r="C180" s="8"/>
    </row>
    <row r="181" spans="1:3">
      <c r="A181" s="14"/>
      <c r="B181" s="14"/>
      <c r="C181" s="9"/>
    </row>
    <row r="182" spans="1:3">
      <c r="A182" s="15"/>
      <c r="B182" s="15"/>
      <c r="C182" s="7"/>
    </row>
    <row r="183" spans="1:3">
      <c r="A183" s="15"/>
      <c r="B183" s="15"/>
      <c r="C183" s="7"/>
    </row>
    <row r="184" spans="1:3">
      <c r="A184" s="15"/>
      <c r="B184" s="15"/>
      <c r="C184" s="7"/>
    </row>
    <row r="185" spans="1:3">
      <c r="A185" s="15"/>
      <c r="B185" s="15"/>
      <c r="C185" s="7"/>
    </row>
    <row r="186" spans="1:3">
      <c r="A186" s="15"/>
      <c r="B186" s="15"/>
      <c r="C186" s="7"/>
    </row>
    <row r="187" spans="1:3">
      <c r="A187" s="15"/>
      <c r="B187" s="15"/>
      <c r="C187" s="7"/>
    </row>
    <row r="188" spans="1:3">
      <c r="A188" s="15"/>
      <c r="B188" s="15"/>
      <c r="C188" s="7"/>
    </row>
    <row r="189" spans="1:3">
      <c r="A189" s="15"/>
      <c r="B189" s="15"/>
      <c r="C189" s="7"/>
    </row>
    <row r="190" spans="1:3">
      <c r="A190" s="15"/>
      <c r="B190" s="15"/>
      <c r="C190" s="7"/>
    </row>
    <row r="191" spans="1:3">
      <c r="A191" s="15"/>
      <c r="B191" s="15"/>
      <c r="C191" s="7"/>
    </row>
    <row r="192" spans="1:3">
      <c r="A192" s="15"/>
      <c r="B192" s="15"/>
      <c r="C192" s="7"/>
    </row>
    <row r="193" spans="1:3">
      <c r="A193" s="15"/>
      <c r="B193" s="15"/>
      <c r="C193" s="7"/>
    </row>
    <row r="194" spans="1:3">
      <c r="A194" s="15"/>
      <c r="B194" s="15"/>
      <c r="C194" s="7"/>
    </row>
    <row r="196" spans="1:3">
      <c r="A196" s="12"/>
      <c r="B196" s="13"/>
      <c r="C196" s="8"/>
    </row>
    <row r="197" spans="1:3">
      <c r="A197" s="14"/>
      <c r="B197" s="14"/>
      <c r="C197" s="9"/>
    </row>
    <row r="198" spans="1:3">
      <c r="A198" s="15"/>
      <c r="B198" s="15"/>
      <c r="C198" s="7"/>
    </row>
    <row r="199" spans="1:3">
      <c r="A199" s="15"/>
      <c r="B199" s="15"/>
      <c r="C199" s="7"/>
    </row>
    <row r="200" spans="1:3">
      <c r="A200" s="15"/>
      <c r="B200" s="15"/>
      <c r="C200" s="7"/>
    </row>
    <row r="201" spans="1:3">
      <c r="A201" s="15"/>
      <c r="B201" s="15"/>
      <c r="C201" s="7"/>
    </row>
    <row r="202" spans="1:3">
      <c r="A202" s="15"/>
      <c r="B202" s="15"/>
      <c r="C202" s="7"/>
    </row>
    <row r="203" spans="1:3">
      <c r="A203" s="15"/>
      <c r="B203" s="15"/>
      <c r="C203" s="7"/>
    </row>
    <row r="204" spans="1:3">
      <c r="A204" s="15"/>
      <c r="B204" s="15"/>
      <c r="C204" s="7"/>
    </row>
    <row r="205" spans="1:3">
      <c r="A205" s="15"/>
      <c r="B205" s="15"/>
      <c r="C205" s="7"/>
    </row>
    <row r="206" spans="1:3">
      <c r="A206" s="15"/>
      <c r="B206" s="15"/>
      <c r="C206" s="7"/>
    </row>
    <row r="207" spans="1:3">
      <c r="A207" s="15"/>
      <c r="B207" s="15"/>
      <c r="C207" s="7"/>
    </row>
    <row r="208" spans="1:3">
      <c r="A208" s="15"/>
      <c r="B208" s="15"/>
      <c r="C208" s="7"/>
    </row>
    <row r="209" spans="1:3">
      <c r="A209" s="15"/>
      <c r="B209" s="15"/>
      <c r="C209" s="7"/>
    </row>
    <row r="210" spans="1:3">
      <c r="A210" s="15"/>
      <c r="B210" s="15"/>
      <c r="C210" s="7"/>
    </row>
  </sheetData>
  <sortState xmlns:xlrd2="http://schemas.microsoft.com/office/spreadsheetml/2017/richdata2" ref="O16:O19">
    <sortCondition ref="O16:O19" customList="poniedziałek,wtorek,środa,czwartek,piątek,sobota,niedziela"/>
  </sortState>
  <conditionalFormatting sqref="F3">
    <cfRule type="duplicateValues" dxfId="535" priority="35"/>
  </conditionalFormatting>
  <conditionalFormatting sqref="C1:C17 C114 C130 C146 C162 C178:C179 C195 C211:C1048576">
    <cfRule type="duplicateValues" dxfId="534" priority="34"/>
  </conditionalFormatting>
  <conditionalFormatting sqref="C49">
    <cfRule type="duplicateValues" dxfId="533" priority="32"/>
  </conditionalFormatting>
  <conditionalFormatting sqref="C65">
    <cfRule type="duplicateValues" dxfId="532" priority="31"/>
  </conditionalFormatting>
  <conditionalFormatting sqref="C81">
    <cfRule type="duplicateValues" dxfId="531" priority="30"/>
  </conditionalFormatting>
  <conditionalFormatting sqref="C97:C98">
    <cfRule type="duplicateValues" dxfId="530" priority="29"/>
  </conditionalFormatting>
  <conditionalFormatting sqref="C18">
    <cfRule type="duplicateValues" dxfId="529" priority="28"/>
  </conditionalFormatting>
  <conditionalFormatting sqref="C46:C48">
    <cfRule type="duplicateValues" dxfId="528" priority="27"/>
  </conditionalFormatting>
  <conditionalFormatting sqref="C50 C62:C64">
    <cfRule type="duplicateValues" dxfId="527" priority="26"/>
  </conditionalFormatting>
  <conditionalFormatting sqref="C66 C78:C80">
    <cfRule type="duplicateValues" dxfId="526" priority="25"/>
  </conditionalFormatting>
  <conditionalFormatting sqref="C82 C94:C96">
    <cfRule type="duplicateValues" dxfId="525" priority="24"/>
  </conditionalFormatting>
  <conditionalFormatting sqref="C99">
    <cfRule type="duplicateValues" dxfId="524" priority="23"/>
  </conditionalFormatting>
  <conditionalFormatting sqref="C115">
    <cfRule type="duplicateValues" dxfId="523" priority="22"/>
  </conditionalFormatting>
  <conditionalFormatting sqref="C131">
    <cfRule type="duplicateValues" dxfId="522" priority="21"/>
  </conditionalFormatting>
  <conditionalFormatting sqref="C147 C158:C161">
    <cfRule type="duplicateValues" dxfId="521" priority="20"/>
  </conditionalFormatting>
  <conditionalFormatting sqref="C163 C174:C177">
    <cfRule type="duplicateValues" dxfId="520" priority="19"/>
  </conditionalFormatting>
  <conditionalFormatting sqref="C180 C191:C194">
    <cfRule type="duplicateValues" dxfId="519" priority="18"/>
  </conditionalFormatting>
  <conditionalFormatting sqref="C196 C207:C210">
    <cfRule type="duplicateValues" dxfId="518" priority="17"/>
  </conditionalFormatting>
  <conditionalFormatting sqref="C19:C20">
    <cfRule type="duplicateValues" dxfId="517" priority="16"/>
  </conditionalFormatting>
  <conditionalFormatting sqref="C37:C45">
    <cfRule type="duplicateValues" dxfId="516" priority="15"/>
  </conditionalFormatting>
  <conditionalFormatting sqref="C51:C61">
    <cfRule type="duplicateValues" dxfId="515" priority="14"/>
  </conditionalFormatting>
  <conditionalFormatting sqref="C67:C77">
    <cfRule type="duplicateValues" dxfId="514" priority="13"/>
  </conditionalFormatting>
  <conditionalFormatting sqref="C83:C93">
    <cfRule type="duplicateValues" dxfId="513" priority="12"/>
  </conditionalFormatting>
  <conditionalFormatting sqref="C100:C109">
    <cfRule type="duplicateValues" dxfId="512" priority="11"/>
  </conditionalFormatting>
  <conditionalFormatting sqref="C116:C125">
    <cfRule type="duplicateValues" dxfId="511" priority="10"/>
  </conditionalFormatting>
  <conditionalFormatting sqref="C132:C141">
    <cfRule type="duplicateValues" dxfId="510" priority="9"/>
  </conditionalFormatting>
  <conditionalFormatting sqref="C148:C157">
    <cfRule type="duplicateValues" dxfId="509" priority="8"/>
  </conditionalFormatting>
  <conditionalFormatting sqref="C164:C173">
    <cfRule type="duplicateValues" dxfId="508" priority="7"/>
  </conditionalFormatting>
  <conditionalFormatting sqref="C181:C190">
    <cfRule type="duplicateValues" dxfId="507" priority="6"/>
  </conditionalFormatting>
  <conditionalFormatting sqref="C197:C206">
    <cfRule type="duplicateValues" dxfId="506" priority="5"/>
  </conditionalFormatting>
  <conditionalFormatting sqref="C142:C145">
    <cfRule type="duplicateValues" dxfId="505" priority="4"/>
  </conditionalFormatting>
  <conditionalFormatting sqref="C126:C129">
    <cfRule type="duplicateValues" dxfId="504" priority="3"/>
  </conditionalFormatting>
  <conditionalFormatting sqref="C110:C113">
    <cfRule type="duplicateValues" dxfId="503" priority="2"/>
  </conditionalFormatting>
  <conditionalFormatting sqref="C21:C36">
    <cfRule type="duplicateValues" dxfId="502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66F4D-41DB-4478-982B-BA44C70F5450}">
  <sheetPr codeName="Arkusz5"/>
  <dimension ref="A1:D327"/>
  <sheetViews>
    <sheetView topLeftCell="A19" workbookViewId="0">
      <selection activeCell="C20" sqref="C20"/>
    </sheetView>
  </sheetViews>
  <sheetFormatPr defaultRowHeight="15"/>
  <cols>
    <col min="1" max="1" width="33.85546875" style="11" bestFit="1" customWidth="1"/>
    <col min="2" max="2" width="4.28515625" style="11" customWidth="1"/>
    <col min="3" max="3" width="47.42578125" customWidth="1"/>
    <col min="4" max="4" width="10.140625" bestFit="1" customWidth="1"/>
  </cols>
  <sheetData>
    <row r="1" spans="1:4">
      <c r="A1" s="11" t="s">
        <v>3534</v>
      </c>
    </row>
    <row r="2" spans="1:4">
      <c r="A2" s="12" t="s">
        <v>3535</v>
      </c>
      <c r="B2" s="13"/>
      <c r="C2" s="8"/>
    </row>
    <row r="3" spans="1:4">
      <c r="A3" s="14" t="s">
        <v>965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A345069X2721202</v>
      </c>
      <c r="D3" s="6"/>
    </row>
    <row r="4" spans="1:4">
      <c r="A4" s="15" t="s">
        <v>967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C5100LL25RA0473</v>
      </c>
    </row>
    <row r="5" spans="1:4">
      <c r="A5" s="15" t="s">
        <v>969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P20310L48G50299</v>
      </c>
    </row>
    <row r="6" spans="1:4">
      <c r="A6" s="15" t="s">
        <v>17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VR219S016038</v>
      </c>
    </row>
    <row r="7" spans="1:4">
      <c r="A7" s="15" t="s">
        <v>975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EB227S007041</v>
      </c>
    </row>
    <row r="8" spans="1:4">
      <c r="A8" s="15" t="s">
        <v>971</v>
      </c>
      <c r="B8" s="15">
        <f>LEN(C8)-LEN(SUBSTITUTE(C8,",",""))+1</f>
        <v>1</v>
      </c>
      <c r="C8" s="7" t="str" cm="1">
        <f t="array" ref="C8">_xlfn.TEXTJOIN(", ",,_xlfn._xlws.FILTER(Tabela1[[#All],[NUMER SERYJNY]],((Tabela1[[#All],[NAZWA]]=$A8)*(Tabela1[[#All],[KOMENTARZ]]=$A2)),"----------"))</f>
        <v>VM224S013209</v>
      </c>
    </row>
    <row r="9" spans="1:4">
      <c r="A9" s="15" t="s">
        <v>3441</v>
      </c>
      <c r="B9" s="15">
        <f>LEN(C9)-LEN(SUBSTITUTE(C9,",",""))+1</f>
        <v>1</v>
      </c>
      <c r="C9" s="7" t="str" cm="1">
        <f t="array" ref="C9">_xlfn.TEXTJOIN(", ",,_xlfn._xlws.FILTER(Tabela1[[#All],[NUMER SERYJNY]],((Tabela1[[#All],[NAZWA]]=$A9)*(Tabela1[[#All],[KOMENTARZ]]=$A2)),"----------"))</f>
        <v>X212K767 02076   U2XN436702076</v>
      </c>
    </row>
    <row r="10" spans="1:4">
      <c r="A10" s="15" t="s">
        <v>3553</v>
      </c>
      <c r="B10" s="15">
        <f t="shared" ref="B10:B15" si="1">LEN(C10)-LEN(SUBSTITUTE(C10,",",""))+1</f>
        <v>2</v>
      </c>
      <c r="C10" s="7" t="str" cm="1">
        <f t="array" ref="C10">_xlfn.TEXTJOIN(", ",,_xlfn._xlws.FILTER(Tabela1[[#All],[NUMER SERYJNY]],((Tabela1[[#All],[NAZWA]]=$A10)*(Tabela1[[#All],[KOMENTARZ]]=$A2)),"----------"))</f>
        <v>80AD01215075427B06, 80AD0121507542C3D9</v>
      </c>
    </row>
    <row r="11" spans="1:4">
      <c r="A11" s="15" t="s">
        <v>3302</v>
      </c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S664NE0RC25593</v>
      </c>
    </row>
    <row r="12" spans="1:4">
      <c r="A12" s="15" t="s">
        <v>976</v>
      </c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2219145923985</v>
      </c>
    </row>
    <row r="13" spans="1:4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SERYJNY]],((Tabela1[[#All],[NAZWA]]=$A13)*(Tabela1[[#All],[KOMENTARZ]]=$A$2)),"----------"))</f>
        <v>----------</v>
      </c>
    </row>
    <row r="14" spans="1:4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SERYJNY]],((Tabela1[[#All],[NAZWA]]=$A14)*(Tabela1[[#All],[KOMENTARZ]]=$A$2)),"----------"))</f>
        <v>----------</v>
      </c>
    </row>
    <row r="15" spans="1:4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SERYJNY]],((Tabela1[[#All],[NAZWA]]=$A15)*(Tabela1[[#All],[KOMENTARZ]]=$A$2)),"----------"))</f>
        <v>----------</v>
      </c>
    </row>
    <row r="16" spans="1:4" ht="18.75">
      <c r="A16" s="16"/>
      <c r="B16" s="16"/>
      <c r="C16" s="10"/>
    </row>
    <row r="17" spans="1:3">
      <c r="A17" s="12"/>
      <c r="B17" s="13"/>
      <c r="C17" s="8"/>
    </row>
    <row r="18" spans="1:3">
      <c r="A18" s="11" t="s">
        <v>3329</v>
      </c>
    </row>
    <row r="19" spans="1:3">
      <c r="A19" s="12" t="s">
        <v>3536</v>
      </c>
      <c r="B19" s="13"/>
      <c r="C19" s="8"/>
    </row>
    <row r="20" spans="1:3">
      <c r="A20" s="14" t="s">
        <v>965</v>
      </c>
      <c r="B20" s="14">
        <f t="shared" ref="B20:B24" si="2">LEN(C20)-LEN(SUBSTITUTE(C20,",",""))+1</f>
        <v>1</v>
      </c>
      <c r="C20" s="9" t="str" cm="1">
        <f t="array" ref="C20">_xlfn.TEXTJOIN(", ",,_xlfn._xlws.FILTER(Tabela1[[#All],[NUMER SERYJNY]],((Tabela1[[#All],[NAZWA]]=$A20)*(Tabela1[[#All],[KOMENTARZ]]=$A19)),"----------"))</f>
        <v>A345069X2721176</v>
      </c>
    </row>
    <row r="21" spans="1:3">
      <c r="A21" s="15" t="s">
        <v>967</v>
      </c>
      <c r="B21" s="15">
        <f t="shared" si="2"/>
        <v>1</v>
      </c>
      <c r="C21" s="7" t="str" cm="1">
        <f t="array" ref="C21">_xlfn.TEXTJOIN(", ",,_xlfn._xlws.FILTER(Tabela1[[#All],[NUMER SERYJNY]],((Tabela1[[#All],[NAZWA]]=$A21)*(Tabela1[[#All],[KOMENTARZ]]=$A19)),"----------"))</f>
        <v>C5100LL02RA0339</v>
      </c>
    </row>
    <row r="22" spans="1:3">
      <c r="A22" s="15" t="s">
        <v>969</v>
      </c>
      <c r="B22" s="15">
        <f t="shared" si="2"/>
        <v>1</v>
      </c>
      <c r="C22" s="7" t="str" cm="1">
        <f t="array" ref="C22">_xlfn.TEXTJOIN(", ",,_xlfn._xlws.FILTER(Tabela1[[#All],[NUMER SERYJNY]],((Tabela1[[#All],[NAZWA]]=$A22)*(Tabela1[[#All],[KOMENTARZ]]=$A19)),"----------"))</f>
        <v>P20310L48G50296</v>
      </c>
    </row>
    <row r="23" spans="1:3">
      <c r="A23" s="15" t="s">
        <v>17</v>
      </c>
      <c r="B23" s="15">
        <f t="shared" si="2"/>
        <v>1</v>
      </c>
      <c r="C23" s="7" t="str" cm="1">
        <f t="array" ref="C23">_xlfn.TEXTJOIN(", ",,_xlfn._xlws.FILTER(Tabela1[[#All],[NUMER SERYJNY]],((Tabela1[[#All],[NAZWA]]=$A23)*(Tabela1[[#All],[KOMENTARZ]]=$A19)),"----------"))</f>
        <v>VR219S016075</v>
      </c>
    </row>
    <row r="24" spans="1:3">
      <c r="A24" s="15" t="s">
        <v>975</v>
      </c>
      <c r="B24" s="15">
        <f t="shared" si="2"/>
        <v>1</v>
      </c>
      <c r="C24" s="7" t="str" cm="1">
        <f t="array" ref="C24">_xlfn.TEXTJOIN(", ",,_xlfn._xlws.FILTER(Tabela1[[#All],[NUMER SERYJNY]],((Tabela1[[#All],[NAZWA]]=$A24)*(Tabela1[[#All],[KOMENTARZ]]=$A19)),"----------"))</f>
        <v>EB227S007584</v>
      </c>
    </row>
    <row r="25" spans="1:3">
      <c r="A25" s="15" t="s">
        <v>971</v>
      </c>
      <c r="B25" s="15">
        <f>LEN(C25)-LEN(SUBSTITUTE(C25,",",""))+1</f>
        <v>1</v>
      </c>
      <c r="C25" s="7" t="str" cm="1">
        <f t="array" ref="C25">_xlfn.TEXTJOIN(", ",,_xlfn._xlws.FILTER(Tabela1[[#All],[NUMER SERYJNY]],((Tabela1[[#All],[NAZWA]]=$A25)*(Tabela1[[#All],[KOMENTARZ]]=$A19)),"----------"))</f>
        <v>VM226S001984</v>
      </c>
    </row>
    <row r="26" spans="1:3">
      <c r="A26" s="15" t="s">
        <v>3441</v>
      </c>
      <c r="B26" s="15">
        <f>LEN(C26)-LEN(SUBSTITUTE(C26,",",""))+1</f>
        <v>1</v>
      </c>
      <c r="C26" s="7" t="str" cm="1">
        <f t="array" ref="C26">_xlfn.TEXTJOIN(", ",,_xlfn._xlws.FILTER(Tabela1[[#All],[NUMER SERYJNY]],((Tabela1[[#All],[NAZWA]]=$A26)*(Tabela1[[#All],[KOMENTARZ]]=$A19)),"----------"))</f>
        <v>X212K767 03225   U2KJ702903225</v>
      </c>
    </row>
    <row r="27" spans="1:3">
      <c r="A27" s="15" t="s">
        <v>3553</v>
      </c>
      <c r="B27" s="15">
        <f t="shared" ref="B27:B32" si="3">LEN(C27)-LEN(SUBSTITUTE(C27,",",""))+1</f>
        <v>2</v>
      </c>
      <c r="C27" s="7" t="str" cm="1">
        <f t="array" ref="C27">_xlfn.TEXTJOIN(", ",,_xlfn._xlws.FILTER(Tabela1[[#All],[NUMER SERYJNY]],((Tabela1[[#All],[NAZWA]]=$A27)*(Tabela1[[#All],[KOMENTARZ]]=$A19)),"----------"))</f>
        <v>80AD01215075427AC4, 80AD01215075427AC3</v>
      </c>
    </row>
    <row r="28" spans="1:3">
      <c r="A28" s="15" t="s">
        <v>3302</v>
      </c>
      <c r="B28" s="15">
        <f t="shared" si="3"/>
        <v>1</v>
      </c>
      <c r="C28" s="7" t="str" cm="1">
        <f t="array" ref="C28">_xlfn.TEXTJOIN(", ",,_xlfn._xlws.FILTER(Tabela1[[#All],[NUMER SERYJNY]],((Tabela1[[#All],[NAZWA]]=$A28)*(Tabela1[[#All],[KOMENTARZ]]=$A19)),"----------"))</f>
        <v>S664NE0RC25583</v>
      </c>
    </row>
    <row r="29" spans="1:3">
      <c r="A29" s="15" t="s">
        <v>976</v>
      </c>
      <c r="B29" s="15">
        <f t="shared" si="3"/>
        <v>1</v>
      </c>
      <c r="C29" s="7" t="str" cm="1">
        <f t="array" ref="C29">_xlfn.TEXTJOIN(", ",,_xlfn._xlws.FILTER(Tabela1[[#All],[NUMER SERYJNY]],((Tabela1[[#All],[NAZWA]]=$A29)*(Tabela1[[#All],[KOMENTARZ]]=$A19)),"----------"))</f>
        <v>2219145923984</v>
      </c>
    </row>
    <row r="30" spans="1:3">
      <c r="A30" s="15"/>
      <c r="B30" s="15">
        <f t="shared" si="3"/>
        <v>1</v>
      </c>
      <c r="C30" s="7" t="str" cm="1">
        <f t="array" ref="C30">_xlfn.TEXTJOIN(", ",,_xlfn._xlws.FILTER(Tabela1[[#All],[NUMER SERYJNY]],((Tabela1[[#All],[NAZWA]]=$A30)*(Tabela1[[#All],[KOMENTARZ]]=$A$2)),"----------"))</f>
        <v>----------</v>
      </c>
    </row>
    <row r="31" spans="1:3">
      <c r="A31" s="15"/>
      <c r="B31" s="15">
        <f t="shared" si="3"/>
        <v>1</v>
      </c>
      <c r="C31" s="7" t="str" cm="1">
        <f t="array" ref="C31">_xlfn.TEXTJOIN(", ",,_xlfn._xlws.FILTER(Tabela1[[#All],[NUMER SERYJNY]],((Tabela1[[#All],[NAZWA]]=$A31)*(Tabela1[[#All],[KOMENTARZ]]=$A$2)),"----------"))</f>
        <v>----------</v>
      </c>
    </row>
    <row r="32" spans="1:3">
      <c r="A32" s="15"/>
      <c r="B32" s="15">
        <f t="shared" si="3"/>
        <v>1</v>
      </c>
      <c r="C32" s="7" t="str" cm="1">
        <f t="array" ref="C32">_xlfn.TEXTJOIN(", ",,_xlfn._xlws.FILTER(Tabela1[[#All],[NUMER SERYJNY]],((Tabela1[[#All],[NAZWA]]=$A32)*(Tabela1[[#All],[KOMENTARZ]]=$A$2)),"----------"))</f>
        <v>----------</v>
      </c>
    </row>
    <row r="33" spans="1:3">
      <c r="A33" s="12"/>
      <c r="B33" s="13"/>
      <c r="C33" s="8"/>
    </row>
    <row r="34" spans="1:3">
      <c r="A34" s="14"/>
      <c r="B34" s="14"/>
      <c r="C34" s="9"/>
    </row>
    <row r="35" spans="1:3">
      <c r="A35" s="11" t="s">
        <v>3329</v>
      </c>
    </row>
    <row r="36" spans="1:3">
      <c r="A36" s="12" t="s">
        <v>3537</v>
      </c>
      <c r="B36" s="13"/>
      <c r="C36" s="8"/>
    </row>
    <row r="37" spans="1:3">
      <c r="A37" s="14" t="s">
        <v>965</v>
      </c>
      <c r="B37" s="14">
        <f t="shared" ref="B37:B41" si="4">LEN(C37)-LEN(SUBSTITUTE(C37,",",""))+1</f>
        <v>1</v>
      </c>
      <c r="C37" s="9" t="str" cm="1">
        <f t="array" ref="C37">_xlfn.TEXTJOIN(", ",,_xlfn._xlws.FILTER(Tabela1[[#All],[NUMER SERYJNY]],((Tabela1[[#All],[NAZWA]]=$A37)*(Tabela1[[#All],[KOMENTARZ]]=$A36)),"----------"))</f>
        <v>A345069X2721201</v>
      </c>
    </row>
    <row r="38" spans="1:3">
      <c r="A38" s="15" t="s">
        <v>967</v>
      </c>
      <c r="B38" s="15">
        <f t="shared" si="4"/>
        <v>1</v>
      </c>
      <c r="C38" s="7" t="str" cm="1">
        <f t="array" ref="C38">_xlfn.TEXTJOIN(", ",,_xlfn._xlws.FILTER(Tabela1[[#All],[NUMER SERYJNY]],((Tabela1[[#All],[NAZWA]]=$A38)*(Tabela1[[#All],[KOMENTARZ]]=$A36)),"----------"))</f>
        <v>C5100LL25RA0474</v>
      </c>
    </row>
    <row r="39" spans="1:3">
      <c r="A39" s="15" t="s">
        <v>969</v>
      </c>
      <c r="B39" s="15">
        <f t="shared" si="4"/>
        <v>1</v>
      </c>
      <c r="C39" s="7" t="str" cm="1">
        <f t="array" ref="C39">_xlfn.TEXTJOIN(", ",,_xlfn._xlws.FILTER(Tabela1[[#All],[NUMER SERYJNY]],((Tabela1[[#All],[NAZWA]]=$A39)*(Tabela1[[#All],[KOMENTARZ]]=$A36)),"----------"))</f>
        <v>P20310L48G50305</v>
      </c>
    </row>
    <row r="40" spans="1:3">
      <c r="A40" s="15" t="s">
        <v>17</v>
      </c>
      <c r="B40" s="15">
        <f t="shared" si="4"/>
        <v>1</v>
      </c>
      <c r="C40" s="7" t="str" cm="1">
        <f t="array" ref="C40">_xlfn.TEXTJOIN(", ",,_xlfn._xlws.FILTER(Tabela1[[#All],[NUMER SERYJNY]],((Tabela1[[#All],[NAZWA]]=$A40)*(Tabela1[[#All],[KOMENTARZ]]=$A36)),"----------"))</f>
        <v>VR219S016076</v>
      </c>
    </row>
    <row r="41" spans="1:3">
      <c r="A41" s="15" t="s">
        <v>975</v>
      </c>
      <c r="B41" s="15">
        <f t="shared" si="4"/>
        <v>1</v>
      </c>
      <c r="C41" s="7" t="str" cm="1">
        <f t="array" ref="C41">_xlfn.TEXTJOIN(", ",,_xlfn._xlws.FILTER(Tabela1[[#All],[NUMER SERYJNY]],((Tabela1[[#All],[NAZWA]]=$A41)*(Tabela1[[#All],[KOMENTARZ]]=$A36)),"----------"))</f>
        <v>EB227S007580</v>
      </c>
    </row>
    <row r="42" spans="1:3">
      <c r="A42" s="15" t="s">
        <v>971</v>
      </c>
      <c r="B42" s="15">
        <f>LEN(C42)-LEN(SUBSTITUTE(C42,",",""))+1</f>
        <v>1</v>
      </c>
      <c r="C42" s="7" t="str" cm="1">
        <f t="array" ref="C42">_xlfn.TEXTJOIN(", ",,_xlfn._xlws.FILTER(Tabela1[[#All],[NUMER SERYJNY]],((Tabela1[[#All],[NAZWA]]=$A42)*(Tabela1[[#All],[KOMENTARZ]]=$A36)),"----------"))</f>
        <v>VM224S013214</v>
      </c>
    </row>
    <row r="43" spans="1:3">
      <c r="A43" s="15" t="s">
        <v>3441</v>
      </c>
      <c r="B43" s="15">
        <f>LEN(C43)-LEN(SUBSTITUTE(C43,",",""))+1</f>
        <v>1</v>
      </c>
      <c r="C43" s="7" t="str" cm="1">
        <f t="array" ref="C43">_xlfn.TEXTJOIN(", ",,_xlfn._xlws.FILTER(Tabela1[[#All],[NUMER SERYJNY]],((Tabela1[[#All],[NAZWA]]=$A43)*(Tabela1[[#All],[KOMENTARZ]]=$A36)),"----------"))</f>
        <v>X212K767 02557   U2XN436702557</v>
      </c>
    </row>
    <row r="44" spans="1:3">
      <c r="A44" s="15" t="s">
        <v>3553</v>
      </c>
      <c r="B44" s="15">
        <f t="shared" ref="B44:B49" si="5">LEN(C44)-LEN(SUBSTITUTE(C44,",",""))+1</f>
        <v>2</v>
      </c>
      <c r="C44" s="7" t="str" cm="1">
        <f t="array" ref="C44">_xlfn.TEXTJOIN(", ",,_xlfn._xlws.FILTER(Tabela1[[#All],[NUMER SERYJNY]],((Tabela1[[#All],[NAZWA]]=$A44)*(Tabela1[[#All],[KOMENTARZ]]=$A36)),"----------"))</f>
        <v>80AD01215075427B0A, 80AD01215075427BBF</v>
      </c>
    </row>
    <row r="45" spans="1:3">
      <c r="A45" s="15" t="s">
        <v>3302</v>
      </c>
      <c r="B45" s="15">
        <f t="shared" si="5"/>
        <v>1</v>
      </c>
      <c r="C45" s="7" t="str" cm="1">
        <f t="array" ref="C45">_xlfn.TEXTJOIN(", ",,_xlfn._xlws.FILTER(Tabela1[[#All],[NUMER SERYJNY]],((Tabela1[[#All],[NAZWA]]=$A45)*(Tabela1[[#All],[KOMENTARZ]]=$A36)),"----------"))</f>
        <v>S664NE0RC25585</v>
      </c>
    </row>
    <row r="46" spans="1:3">
      <c r="A46" s="15" t="s">
        <v>976</v>
      </c>
      <c r="B46" s="15">
        <f t="shared" si="5"/>
        <v>1</v>
      </c>
      <c r="C46" s="7" t="str" cm="1">
        <f t="array" ref="C46">_xlfn.TEXTJOIN(", ",,_xlfn._xlws.FILTER(Tabela1[[#All],[NUMER SERYJNY]],((Tabela1[[#All],[NAZWA]]=$A46)*(Tabela1[[#All],[KOMENTARZ]]=$A36)),"----------"))</f>
        <v>2219145923983</v>
      </c>
    </row>
    <row r="47" spans="1:3">
      <c r="A47" s="15"/>
      <c r="B47" s="15">
        <f t="shared" si="5"/>
        <v>1</v>
      </c>
      <c r="C47" s="7" t="str" cm="1">
        <f t="array" ref="C47">_xlfn.TEXTJOIN(", ",,_xlfn._xlws.FILTER(Tabela1[[#All],[NUMER SERYJNY]],((Tabela1[[#All],[NAZWA]]=$A47)*(Tabela1[[#All],[KOMENTARZ]]=$A$2)),"----------"))</f>
        <v>----------</v>
      </c>
    </row>
    <row r="48" spans="1:3">
      <c r="A48" s="15"/>
      <c r="B48" s="15">
        <f t="shared" si="5"/>
        <v>1</v>
      </c>
      <c r="C48" s="7" t="str" cm="1">
        <f t="array" ref="C48">_xlfn.TEXTJOIN(", ",,_xlfn._xlws.FILTER(Tabela1[[#All],[NUMER SERYJNY]],((Tabela1[[#All],[NAZWA]]=$A48)*(Tabela1[[#All],[KOMENTARZ]]=$A$2)),"----------"))</f>
        <v>----------</v>
      </c>
    </row>
    <row r="49" spans="1:3">
      <c r="A49" s="15"/>
      <c r="B49" s="15">
        <f t="shared" si="5"/>
        <v>1</v>
      </c>
      <c r="C49" s="7" t="str" cm="1">
        <f t="array" ref="C49">_xlfn.TEXTJOIN(", ",,_xlfn._xlws.FILTER(Tabela1[[#All],[NUMER SERYJNY]],((Tabela1[[#All],[NAZWA]]=$A49)*(Tabela1[[#All],[KOMENTARZ]]=$A$2)),"----------"))</f>
        <v>----------</v>
      </c>
    </row>
    <row r="50" spans="1:3">
      <c r="A50" s="14"/>
      <c r="B50" s="14"/>
      <c r="C50" s="9"/>
    </row>
    <row r="51" spans="1:3">
      <c r="A51" s="15"/>
      <c r="B51" s="15"/>
      <c r="C51" s="7"/>
    </row>
    <row r="52" spans="1:3">
      <c r="A52" s="11" t="s">
        <v>3329</v>
      </c>
    </row>
    <row r="53" spans="1:3">
      <c r="A53" s="12" t="s">
        <v>3538</v>
      </c>
      <c r="B53" s="13"/>
      <c r="C53" s="8"/>
    </row>
    <row r="54" spans="1:3">
      <c r="A54" s="14" t="s">
        <v>965</v>
      </c>
      <c r="B54" s="14">
        <f t="shared" ref="B54:B58" si="6">LEN(C54)-LEN(SUBSTITUTE(C54,",",""))+1</f>
        <v>1</v>
      </c>
      <c r="C54" s="9" t="str" cm="1">
        <f t="array" ref="C54">_xlfn.TEXTJOIN(", ",,_xlfn._xlws.FILTER(Tabela1[[#All],[NUMER SERYJNY]],((Tabela1[[#All],[NAZWA]]=$A54)*(Tabela1[[#All],[KOMENTARZ]]=$A53)),"----------"))</f>
        <v>A345069X2721205</v>
      </c>
    </row>
    <row r="55" spans="1:3">
      <c r="A55" s="15" t="s">
        <v>967</v>
      </c>
      <c r="B55" s="15">
        <f t="shared" si="6"/>
        <v>1</v>
      </c>
      <c r="C55" s="7" t="str" cm="1">
        <f t="array" ref="C55">_xlfn.TEXTJOIN(", ",,_xlfn._xlws.FILTER(Tabela1[[#All],[NUMER SERYJNY]],((Tabela1[[#All],[NAZWA]]=$A55)*(Tabela1[[#All],[KOMENTARZ]]=$A53)),"----------"))</f>
        <v>C5100LL25RA0450</v>
      </c>
    </row>
    <row r="56" spans="1:3">
      <c r="A56" s="15" t="s">
        <v>969</v>
      </c>
      <c r="B56" s="15">
        <f t="shared" si="6"/>
        <v>1</v>
      </c>
      <c r="C56" s="7" t="str" cm="1">
        <f t="array" ref="C56">_xlfn.TEXTJOIN(", ",,_xlfn._xlws.FILTER(Tabela1[[#All],[NUMER SERYJNY]],((Tabela1[[#All],[NAZWA]]=$A56)*(Tabela1[[#All],[KOMENTARZ]]=$A53)),"----------"))</f>
        <v>P20310L48G50126</v>
      </c>
    </row>
    <row r="57" spans="1:3">
      <c r="A57" s="15" t="s">
        <v>17</v>
      </c>
      <c r="B57" s="15">
        <f t="shared" si="6"/>
        <v>1</v>
      </c>
      <c r="C57" s="7" t="str" cm="1">
        <f t="array" ref="C57">_xlfn.TEXTJOIN(", ",,_xlfn._xlws.FILTER(Tabela1[[#All],[NUMER SERYJNY]],((Tabela1[[#All],[NAZWA]]=$A57)*(Tabela1[[#All],[KOMENTARZ]]=$A53)),"----------"))</f>
        <v>VR219S016022</v>
      </c>
    </row>
    <row r="58" spans="1:3">
      <c r="A58" s="15" t="s">
        <v>975</v>
      </c>
      <c r="B58" s="15">
        <f t="shared" si="6"/>
        <v>1</v>
      </c>
      <c r="C58" s="7" t="str" cm="1">
        <f t="array" ref="C58">_xlfn.TEXTJOIN(", ",,_xlfn._xlws.FILTER(Tabela1[[#All],[NUMER SERYJNY]],((Tabela1[[#All],[NAZWA]]=$A58)*(Tabela1[[#All],[KOMENTARZ]]=$A53)),"----------"))</f>
        <v>EB227S007562</v>
      </c>
    </row>
    <row r="59" spans="1:3">
      <c r="A59" s="15" t="s">
        <v>971</v>
      </c>
      <c r="B59" s="15">
        <f>LEN(C59)-LEN(SUBSTITUTE(C59,",",""))+1</f>
        <v>1</v>
      </c>
      <c r="C59" s="7" t="str" cm="1">
        <f t="array" ref="C59">_xlfn.TEXTJOIN(", ",,_xlfn._xlws.FILTER(Tabela1[[#All],[NUMER SERYJNY]],((Tabela1[[#All],[NAZWA]]=$A59)*(Tabela1[[#All],[KOMENTARZ]]=$A53)),"----------"))</f>
        <v>VM226S001670</v>
      </c>
    </row>
    <row r="60" spans="1:3">
      <c r="A60" s="15" t="s">
        <v>3441</v>
      </c>
      <c r="B60" s="15">
        <f>LEN(C60)-LEN(SUBSTITUTE(C60,",",""))+1</f>
        <v>1</v>
      </c>
      <c r="C60" s="7" t="str" cm="1">
        <f t="array" ref="C60">_xlfn.TEXTJOIN(", ",,_xlfn._xlws.FILTER(Tabela1[[#All],[NUMER SERYJNY]],((Tabela1[[#All],[NAZWA]]=$A60)*(Tabela1[[#All],[KOMENTARZ]]=$A53)),"----------"))</f>
        <v>X212K767 02884  U2XN436702884</v>
      </c>
    </row>
    <row r="61" spans="1:3">
      <c r="A61" s="15" t="s">
        <v>3553</v>
      </c>
      <c r="B61" s="15">
        <f t="shared" ref="B61:B66" si="7">LEN(C61)-LEN(SUBSTITUTE(C61,",",""))+1</f>
        <v>2</v>
      </c>
      <c r="C61" s="7" t="str" cm="1">
        <f t="array" ref="C61">_xlfn.TEXTJOIN(", ",,_xlfn._xlws.FILTER(Tabela1[[#All],[NUMER SERYJNY]],((Tabela1[[#All],[NAZWA]]=$A61)*(Tabela1[[#All],[KOMENTARZ]]=$A53)),"----------"))</f>
        <v>80AD01215075427AD7, 80AD01215075427ACF</v>
      </c>
    </row>
    <row r="62" spans="1:3">
      <c r="A62" s="15" t="s">
        <v>3302</v>
      </c>
      <c r="B62" s="15">
        <f t="shared" si="7"/>
        <v>1</v>
      </c>
      <c r="C62" s="7" t="str" cm="1">
        <f t="array" ref="C62">_xlfn.TEXTJOIN(", ",,_xlfn._xlws.FILTER(Tabela1[[#All],[NUMER SERYJNY]],((Tabela1[[#All],[NAZWA]]=$A62)*(Tabela1[[#All],[KOMENTARZ]]=$A53)),"----------"))</f>
        <v>S664NE0RC25596</v>
      </c>
    </row>
    <row r="63" spans="1:3">
      <c r="A63" s="15" t="s">
        <v>976</v>
      </c>
      <c r="B63" s="15">
        <f t="shared" si="7"/>
        <v>1</v>
      </c>
      <c r="C63" s="7" t="str" cm="1">
        <f t="array" ref="C63">_xlfn.TEXTJOIN(", ",,_xlfn._xlws.FILTER(Tabela1[[#All],[NUMER SERYJNY]],((Tabela1[[#All],[NAZWA]]=$A63)*(Tabela1[[#All],[KOMENTARZ]]=$A53)),"----------"))</f>
        <v>2219145923982</v>
      </c>
    </row>
    <row r="64" spans="1:3">
      <c r="A64" s="15"/>
      <c r="B64" s="15">
        <f t="shared" si="7"/>
        <v>1</v>
      </c>
      <c r="C64" s="7" t="str" cm="1">
        <f t="array" ref="C64">_xlfn.TEXTJOIN(", ",,_xlfn._xlws.FILTER(Tabela1[[#All],[NUMER SERYJNY]],((Tabela1[[#All],[NAZWA]]=$A64)*(Tabela1[[#All],[KOMENTARZ]]=$A$2)),"----------"))</f>
        <v>----------</v>
      </c>
    </row>
    <row r="65" spans="1:3">
      <c r="A65" s="15"/>
      <c r="B65" s="15">
        <f t="shared" si="7"/>
        <v>1</v>
      </c>
      <c r="C65" s="7" t="str" cm="1">
        <f t="array" ref="C65">_xlfn.TEXTJOIN(", ",,_xlfn._xlws.FILTER(Tabela1[[#All],[NUMER SERYJNY]],((Tabela1[[#All],[NAZWA]]=$A65)*(Tabela1[[#All],[KOMENTARZ]]=$A$2)),"----------"))</f>
        <v>----------</v>
      </c>
    </row>
    <row r="66" spans="1:3">
      <c r="A66" s="15"/>
      <c r="B66" s="15">
        <f t="shared" si="7"/>
        <v>1</v>
      </c>
      <c r="C66" s="7" t="str" cm="1">
        <f t="array" ref="C66">_xlfn.TEXTJOIN(", ",,_xlfn._xlws.FILTER(Tabela1[[#All],[NUMER SERYJNY]],((Tabela1[[#All],[NAZWA]]=$A66)*(Tabela1[[#All],[KOMENTARZ]]=$A$2)),"----------"))</f>
        <v>----------</v>
      </c>
    </row>
    <row r="67" spans="1:3">
      <c r="A67" s="15"/>
      <c r="B67" s="15"/>
      <c r="C67" s="7"/>
    </row>
    <row r="68" spans="1:3">
      <c r="A68" s="15"/>
      <c r="B68" s="15"/>
      <c r="C68" s="7"/>
    </row>
    <row r="69" spans="1:3">
      <c r="A69" s="11" t="s">
        <v>3329</v>
      </c>
    </row>
    <row r="70" spans="1:3">
      <c r="A70" s="12" t="s">
        <v>3539</v>
      </c>
      <c r="B70" s="13"/>
      <c r="C70" s="8"/>
    </row>
    <row r="71" spans="1:3">
      <c r="A71" s="14" t="s">
        <v>965</v>
      </c>
      <c r="B71" s="14">
        <f t="shared" ref="B71:B75" si="8">LEN(C71)-LEN(SUBSTITUTE(C71,",",""))+1</f>
        <v>1</v>
      </c>
      <c r="C71" s="9" t="str" cm="1">
        <f t="array" ref="C71">_xlfn.TEXTJOIN(", ",,_xlfn._xlws.FILTER(Tabela1[[#All],[NUMER SERYJNY]],((Tabela1[[#All],[NAZWA]]=$A71)*(Tabela1[[#All],[KOMENTARZ]]=$A70)),"----------"))</f>
        <v>A345069X2721210</v>
      </c>
    </row>
    <row r="72" spans="1:3">
      <c r="A72" s="15" t="s">
        <v>967</v>
      </c>
      <c r="B72" s="15">
        <f t="shared" si="8"/>
        <v>1</v>
      </c>
      <c r="C72" s="7" t="str" cm="1">
        <f t="array" ref="C72">_xlfn.TEXTJOIN(", ",,_xlfn._xlws.FILTER(Tabela1[[#All],[NUMER SERYJNY]],((Tabela1[[#All],[NAZWA]]=$A72)*(Tabela1[[#All],[KOMENTARZ]]=$A70)),"----------"))</f>
        <v>C5100LL25RA0478</v>
      </c>
    </row>
    <row r="73" spans="1:3">
      <c r="A73" s="15" t="s">
        <v>969</v>
      </c>
      <c r="B73" s="15">
        <f t="shared" si="8"/>
        <v>1</v>
      </c>
      <c r="C73" s="7" t="str" cm="1">
        <f t="array" ref="C73">_xlfn.TEXTJOIN(", ",,_xlfn._xlws.FILTER(Tabela1[[#All],[NUMER SERYJNY]],((Tabela1[[#All],[NAZWA]]=$A73)*(Tabela1[[#All],[KOMENTARZ]]=$A70)),"----------"))</f>
        <v>P20310L48G50302</v>
      </c>
    </row>
    <row r="74" spans="1:3">
      <c r="A74" s="15" t="s">
        <v>17</v>
      </c>
      <c r="B74" s="15">
        <f t="shared" si="8"/>
        <v>1</v>
      </c>
      <c r="C74" s="7" t="str" cm="1">
        <f t="array" ref="C74">_xlfn.TEXTJOIN(", ",,_xlfn._xlws.FILTER(Tabela1[[#All],[NUMER SERYJNY]],((Tabela1[[#All],[NAZWA]]=$A74)*(Tabela1[[#All],[KOMENTARZ]]=$A70)),"----------"))</f>
        <v>VR219S016079</v>
      </c>
    </row>
    <row r="75" spans="1:3">
      <c r="A75" s="15" t="s">
        <v>975</v>
      </c>
      <c r="B75" s="15">
        <f t="shared" si="8"/>
        <v>1</v>
      </c>
      <c r="C75" s="7" t="str" cm="1">
        <f t="array" ref="C75">_xlfn.TEXTJOIN(", ",,_xlfn._xlws.FILTER(Tabela1[[#All],[NUMER SERYJNY]],((Tabela1[[#All],[NAZWA]]=$A75)*(Tabela1[[#All],[KOMENTARZ]]=$A70)),"----------"))</f>
        <v>EB227S007575</v>
      </c>
    </row>
    <row r="76" spans="1:3">
      <c r="A76" s="15" t="s">
        <v>971</v>
      </c>
      <c r="B76" s="15">
        <f>LEN(C76)-LEN(SUBSTITUTE(C76,",",""))+1</f>
        <v>1</v>
      </c>
      <c r="C76" s="7" t="str" cm="1">
        <f t="array" ref="C76">_xlfn.TEXTJOIN(", ",,_xlfn._xlws.FILTER(Tabela1[[#All],[NUMER SERYJNY]],((Tabela1[[#All],[NAZWA]]=$A76)*(Tabela1[[#All],[KOMENTARZ]]=$A70)),"----------"))</f>
        <v>VM224S013194</v>
      </c>
    </row>
    <row r="77" spans="1:3">
      <c r="A77" s="15" t="s">
        <v>3441</v>
      </c>
      <c r="B77" s="15">
        <f>LEN(C77)-LEN(SUBSTITUTE(C77,",",""))+1</f>
        <v>1</v>
      </c>
      <c r="C77" s="7" t="str" cm="1">
        <f t="array" ref="C77">_xlfn.TEXTJOIN(", ",,_xlfn._xlws.FILTER(Tabela1[[#All],[NUMER SERYJNY]],((Tabela1[[#All],[NAZWA]]=$A77)*(Tabela1[[#All],[KOMENTARZ]]=$A70)),"----------"))</f>
        <v>X212K767 02829   U2XN436702829</v>
      </c>
    </row>
    <row r="78" spans="1:3">
      <c r="A78" s="15" t="s">
        <v>3553</v>
      </c>
      <c r="B78" s="15">
        <f t="shared" ref="B78:B83" si="9">LEN(C78)-LEN(SUBSTITUTE(C78,",",""))+1</f>
        <v>2</v>
      </c>
      <c r="C78" s="7" t="str" cm="1">
        <f t="array" ref="C78">_xlfn.TEXTJOIN(", ",,_xlfn._xlws.FILTER(Tabela1[[#All],[NUMER SERYJNY]],((Tabela1[[#All],[NAZWA]]=$A78)*(Tabela1[[#All],[KOMENTARZ]]=$A70)),"----------"))</f>
        <v>80AD01215075427ABB, 80AD01215075427AB8</v>
      </c>
    </row>
    <row r="79" spans="1:3">
      <c r="A79" s="15" t="s">
        <v>3302</v>
      </c>
      <c r="B79" s="15">
        <f t="shared" si="9"/>
        <v>1</v>
      </c>
      <c r="C79" s="7" t="str" cm="1">
        <f t="array" ref="C79">_xlfn.TEXTJOIN(", ",,_xlfn._xlws.FILTER(Tabela1[[#All],[NUMER SERYJNY]],((Tabela1[[#All],[NAZWA]]=$A79)*(Tabela1[[#All],[KOMENTARZ]]=$A70)),"----------"))</f>
        <v>S664NE0RC25599</v>
      </c>
    </row>
    <row r="80" spans="1:3">
      <c r="A80" s="15" t="s">
        <v>976</v>
      </c>
      <c r="B80" s="15">
        <f t="shared" si="9"/>
        <v>1</v>
      </c>
      <c r="C80" s="7" t="str" cm="1">
        <f t="array" ref="C80">_xlfn.TEXTJOIN(", ",,_xlfn._xlws.FILTER(Tabela1[[#All],[NUMER SERYJNY]],((Tabela1[[#All],[NAZWA]]=$A80)*(Tabela1[[#All],[KOMENTARZ]]=$A70)),"----------"))</f>
        <v>2219145923981</v>
      </c>
    </row>
    <row r="81" spans="1:3">
      <c r="A81" s="15"/>
      <c r="B81" s="15">
        <f t="shared" si="9"/>
        <v>1</v>
      </c>
      <c r="C81" s="7" t="str" cm="1">
        <f t="array" ref="C81">_xlfn.TEXTJOIN(", ",,_xlfn._xlws.FILTER(Tabela1[[#All],[NUMER SERYJNY]],((Tabela1[[#All],[NAZWA]]=$A81)*(Tabela1[[#All],[KOMENTARZ]]=$A$2)),"----------"))</f>
        <v>----------</v>
      </c>
    </row>
    <row r="82" spans="1:3">
      <c r="A82" s="15"/>
      <c r="B82" s="15">
        <f t="shared" si="9"/>
        <v>1</v>
      </c>
      <c r="C82" s="7" t="str" cm="1">
        <f t="array" ref="C82">_xlfn.TEXTJOIN(", ",,_xlfn._xlws.FILTER(Tabela1[[#All],[NUMER SERYJNY]],((Tabela1[[#All],[NAZWA]]=$A82)*(Tabela1[[#All],[KOMENTARZ]]=$A$2)),"----------"))</f>
        <v>----------</v>
      </c>
    </row>
    <row r="83" spans="1:3">
      <c r="A83" s="15"/>
      <c r="B83" s="15">
        <f t="shared" si="9"/>
        <v>1</v>
      </c>
      <c r="C83" s="7" t="str" cm="1">
        <f t="array" ref="C83">_xlfn.TEXTJOIN(", ",,_xlfn._xlws.FILTER(Tabela1[[#All],[NUMER SERYJNY]],((Tabela1[[#All],[NAZWA]]=$A83)*(Tabela1[[#All],[KOMENTARZ]]=$A$2)),"----------"))</f>
        <v>----------</v>
      </c>
    </row>
    <row r="84" spans="1:3" ht="18.75">
      <c r="A84" s="16"/>
      <c r="B84" s="16"/>
      <c r="C84" s="10"/>
    </row>
    <row r="85" spans="1:3">
      <c r="A85" s="12"/>
      <c r="B85" s="13"/>
      <c r="C85" s="8"/>
    </row>
    <row r="86" spans="1:3">
      <c r="A86" s="11" t="s">
        <v>3329</v>
      </c>
    </row>
    <row r="87" spans="1:3">
      <c r="A87" s="12" t="s">
        <v>3540</v>
      </c>
      <c r="B87" s="13"/>
      <c r="C87" s="8"/>
    </row>
    <row r="88" spans="1:3">
      <c r="A88" s="14" t="s">
        <v>965</v>
      </c>
      <c r="B88" s="14">
        <f t="shared" ref="B88:B92" si="10">LEN(C88)-LEN(SUBSTITUTE(C88,",",""))+1</f>
        <v>1</v>
      </c>
      <c r="C88" s="9" t="str" cm="1">
        <f t="array" ref="C88">_xlfn.TEXTJOIN(", ",,_xlfn._xlws.FILTER(Tabela1[[#All],[NUMER SERYJNY]],((Tabela1[[#All],[NAZWA]]=$A88)*(Tabela1[[#All],[KOMENTARZ]]=$A87)),"----------"))</f>
        <v>A345069X2721208</v>
      </c>
    </row>
    <row r="89" spans="1:3">
      <c r="A89" s="15" t="s">
        <v>967</v>
      </c>
      <c r="B89" s="15">
        <f t="shared" si="10"/>
        <v>1</v>
      </c>
      <c r="C89" s="7" t="str" cm="1">
        <f t="array" ref="C89">_xlfn.TEXTJOIN(", ",,_xlfn._xlws.FILTER(Tabela1[[#All],[NUMER SERYJNY]],((Tabela1[[#All],[NAZWA]]=$A89)*(Tabela1[[#All],[KOMENTARZ]]=$A87)),"----------"))</f>
        <v>C5100LL25RA0472</v>
      </c>
    </row>
    <row r="90" spans="1:3">
      <c r="A90" s="15" t="s">
        <v>969</v>
      </c>
      <c r="B90" s="15">
        <f t="shared" si="10"/>
        <v>1</v>
      </c>
      <c r="C90" s="7" t="str" cm="1">
        <f t="array" ref="C90">_xlfn.TEXTJOIN(", ",,_xlfn._xlws.FILTER(Tabela1[[#All],[NUMER SERYJNY]],((Tabela1[[#All],[NAZWA]]=$A90)*(Tabela1[[#All],[KOMENTARZ]]=$A87)),"----------"))</f>
        <v>P20310L48G50301</v>
      </c>
    </row>
    <row r="91" spans="1:3">
      <c r="A91" s="15" t="s">
        <v>17</v>
      </c>
      <c r="B91" s="15">
        <f t="shared" si="10"/>
        <v>1</v>
      </c>
      <c r="C91" s="7" t="str" cm="1">
        <f t="array" ref="C91">_xlfn.TEXTJOIN(", ",,_xlfn._xlws.FILTER(Tabela1[[#All],[NUMER SERYJNY]],((Tabela1[[#All],[NAZWA]]=$A91)*(Tabela1[[#All],[KOMENTARZ]]=$A87)),"----------"))</f>
        <v>VR219S016078</v>
      </c>
    </row>
    <row r="92" spans="1:3">
      <c r="A92" s="15" t="s">
        <v>975</v>
      </c>
      <c r="B92" s="15">
        <f t="shared" si="10"/>
        <v>1</v>
      </c>
      <c r="C92" s="7" t="str" cm="1">
        <f t="array" ref="C92">_xlfn.TEXTJOIN(", ",,_xlfn._xlws.FILTER(Tabela1[[#All],[NUMER SERYJNY]],((Tabela1[[#All],[NAZWA]]=$A92)*(Tabela1[[#All],[KOMENTARZ]]=$A87)),"----------"))</f>
        <v>EB227S007585</v>
      </c>
    </row>
    <row r="93" spans="1:3">
      <c r="A93" s="15" t="s">
        <v>971</v>
      </c>
      <c r="B93" s="15">
        <f>LEN(C93)-LEN(SUBSTITUTE(C93,",",""))+1</f>
        <v>1</v>
      </c>
      <c r="C93" s="7" t="str" cm="1">
        <f t="array" ref="C93">_xlfn.TEXTJOIN(", ",,_xlfn._xlws.FILTER(Tabela1[[#All],[NUMER SERYJNY]],((Tabela1[[#All],[NAZWA]]=$A93)*(Tabela1[[#All],[KOMENTARZ]]=$A87)),"----------"))</f>
        <v>VM224S013210</v>
      </c>
    </row>
    <row r="94" spans="1:3">
      <c r="A94" s="15" t="s">
        <v>3441</v>
      </c>
      <c r="B94" s="15">
        <f>LEN(C94)-LEN(SUBSTITUTE(C94,",",""))+1</f>
        <v>1</v>
      </c>
      <c r="C94" s="7" t="str" cm="1">
        <f t="array" ref="C94">_xlfn.TEXTJOIN(", ",,_xlfn._xlws.FILTER(Tabela1[[#All],[NUMER SERYJNY]],((Tabela1[[#All],[NAZWA]]=$A94)*(Tabela1[[#All],[KOMENTARZ]]=$A87)),"----------"))</f>
        <v>X212K767 02993   U2XN436702993</v>
      </c>
    </row>
    <row r="95" spans="1:3">
      <c r="A95" s="15" t="s">
        <v>3553</v>
      </c>
      <c r="B95" s="15">
        <f t="shared" ref="B95:B100" si="11">LEN(C95)-LEN(SUBSTITUTE(C95,",",""))+1</f>
        <v>2</v>
      </c>
      <c r="C95" s="7" t="str" cm="1">
        <f t="array" ref="C95">_xlfn.TEXTJOIN(", ",,_xlfn._xlws.FILTER(Tabela1[[#All],[NUMER SERYJNY]],((Tabela1[[#All],[NAZWA]]=$A95)*(Tabela1[[#All],[KOMENTARZ]]=$A87)),"----------"))</f>
        <v>80AD01215075427AAD, 80AD01215075427AB3</v>
      </c>
    </row>
    <row r="96" spans="1:3">
      <c r="A96" s="15" t="s">
        <v>3302</v>
      </c>
      <c r="B96" s="15">
        <f t="shared" si="11"/>
        <v>1</v>
      </c>
      <c r="C96" s="7" t="str" cm="1">
        <f t="array" ref="C96">_xlfn.TEXTJOIN(", ",,_xlfn._xlws.FILTER(Tabela1[[#All],[NUMER SERYJNY]],((Tabela1[[#All],[NAZWA]]=$A96)*(Tabela1[[#All],[KOMENTARZ]]=$A87)),"----------"))</f>
        <v>S664NE0RC25594</v>
      </c>
    </row>
    <row r="97" spans="1:3">
      <c r="A97" s="15" t="s">
        <v>976</v>
      </c>
      <c r="B97" s="15">
        <f t="shared" si="11"/>
        <v>1</v>
      </c>
      <c r="C97" s="7" t="str" cm="1">
        <f t="array" ref="C97">_xlfn.TEXTJOIN(", ",,_xlfn._xlws.FILTER(Tabela1[[#All],[NUMER SERYJNY]],((Tabela1[[#All],[NAZWA]]=$A97)*(Tabela1[[#All],[KOMENTARZ]]=$A87)),"----------"))</f>
        <v>2219145923980</v>
      </c>
    </row>
    <row r="98" spans="1:3">
      <c r="A98" s="15"/>
      <c r="B98" s="15">
        <f t="shared" si="11"/>
        <v>1</v>
      </c>
      <c r="C98" s="7" t="str" cm="1">
        <f t="array" ref="C98">_xlfn.TEXTJOIN(", ",,_xlfn._xlws.FILTER(Tabela1[[#All],[NUMER SERYJNY]],((Tabela1[[#All],[NAZWA]]=$A98)*(Tabela1[[#All],[KOMENTARZ]]=$A$2)),"----------"))</f>
        <v>----------</v>
      </c>
    </row>
    <row r="99" spans="1:3">
      <c r="A99" s="15"/>
      <c r="B99" s="15">
        <f t="shared" si="11"/>
        <v>1</v>
      </c>
      <c r="C99" s="7" t="str" cm="1">
        <f t="array" ref="C99">_xlfn.TEXTJOIN(", ",,_xlfn._xlws.FILTER(Tabela1[[#All],[NUMER SERYJNY]],((Tabela1[[#All],[NAZWA]]=$A99)*(Tabela1[[#All],[KOMENTARZ]]=$A$2)),"----------"))</f>
        <v>----------</v>
      </c>
    </row>
    <row r="100" spans="1:3">
      <c r="A100" s="15"/>
      <c r="B100" s="15">
        <f t="shared" si="11"/>
        <v>1</v>
      </c>
      <c r="C100" s="7" t="str" cm="1">
        <f t="array" ref="C100">_xlfn.TEXTJOIN(", ",,_xlfn._xlws.FILTER(Tabela1[[#All],[NUMER SERYJNY]],((Tabela1[[#All],[NAZWA]]=$A100)*(Tabela1[[#All],[KOMENTARZ]]=$A$2)),"----------"))</f>
        <v>----------</v>
      </c>
    </row>
    <row r="101" spans="1:3">
      <c r="A101" s="12"/>
      <c r="B101" s="13"/>
      <c r="C101" s="8"/>
    </row>
    <row r="102" spans="1:3">
      <c r="A102" s="14"/>
      <c r="B102" s="14"/>
      <c r="C102" s="9"/>
    </row>
    <row r="103" spans="1:3">
      <c r="A103" s="11" t="s">
        <v>3329</v>
      </c>
    </row>
    <row r="104" spans="1:3">
      <c r="A104" s="12" t="s">
        <v>3541</v>
      </c>
      <c r="B104" s="13"/>
      <c r="C104" s="8"/>
    </row>
    <row r="105" spans="1:3">
      <c r="A105" s="14" t="s">
        <v>965</v>
      </c>
      <c r="B105" s="14">
        <f t="shared" ref="B105:B109" si="12">LEN(C105)-LEN(SUBSTITUTE(C105,",",""))+1</f>
        <v>1</v>
      </c>
      <c r="C105" s="9" t="str" cm="1">
        <f t="array" ref="C105">_xlfn.TEXTJOIN(", ",,_xlfn._xlws.FILTER(Tabela1[[#All],[NUMER SERYJNY]],((Tabela1[[#All],[NAZWA]]=$A105)*(Tabela1[[#All],[KOMENTARZ]]=$A104)),"----------"))</f>
        <v>A345069X2721196</v>
      </c>
    </row>
    <row r="106" spans="1:3">
      <c r="A106" s="15" t="s">
        <v>967</v>
      </c>
      <c r="B106" s="15">
        <f t="shared" si="12"/>
        <v>1</v>
      </c>
      <c r="C106" s="7" t="str" cm="1">
        <f t="array" ref="C106">_xlfn.TEXTJOIN(", ",,_xlfn._xlws.FILTER(Tabela1[[#All],[NUMER SERYJNY]],((Tabela1[[#All],[NAZWA]]=$A106)*(Tabela1[[#All],[KOMENTARZ]]=$A104)),"----------"))</f>
        <v>C5100LL25RA0470</v>
      </c>
    </row>
    <row r="107" spans="1:3">
      <c r="A107" s="15" t="s">
        <v>969</v>
      </c>
      <c r="B107" s="15">
        <f t="shared" si="12"/>
        <v>1</v>
      </c>
      <c r="C107" s="7" t="str" cm="1">
        <f t="array" ref="C107">_xlfn.TEXTJOIN(", ",,_xlfn._xlws.FILTER(Tabela1[[#All],[NUMER SERYJNY]],((Tabela1[[#All],[NAZWA]]=$A107)*(Tabela1[[#All],[KOMENTARZ]]=$A104)),"----------"))</f>
        <v>P20310L48G50179</v>
      </c>
    </row>
    <row r="108" spans="1:3">
      <c r="A108" s="15" t="s">
        <v>17</v>
      </c>
      <c r="B108" s="15">
        <f t="shared" si="12"/>
        <v>1</v>
      </c>
      <c r="C108" s="7" t="str" cm="1">
        <f t="array" ref="C108">_xlfn.TEXTJOIN(", ",,_xlfn._xlws.FILTER(Tabela1[[#All],[NUMER SERYJNY]],((Tabela1[[#All],[NAZWA]]=$A108)*(Tabela1[[#All],[KOMENTARZ]]=$A104)),"----------"))</f>
        <v>VR219S016025</v>
      </c>
    </row>
    <row r="109" spans="1:3">
      <c r="A109" s="15" t="s">
        <v>975</v>
      </c>
      <c r="B109" s="15">
        <f t="shared" si="12"/>
        <v>1</v>
      </c>
      <c r="C109" s="7" t="str" cm="1">
        <f t="array" ref="C109">_xlfn.TEXTJOIN(", ",,_xlfn._xlws.FILTER(Tabela1[[#All],[NUMER SERYJNY]],((Tabela1[[#All],[NAZWA]]=$A109)*(Tabela1[[#All],[KOMENTARZ]]=$A104)),"----------"))</f>
        <v>EB227S007053</v>
      </c>
    </row>
    <row r="110" spans="1:3">
      <c r="A110" s="15" t="s">
        <v>971</v>
      </c>
      <c r="B110" s="15">
        <f>LEN(C110)-LEN(SUBSTITUTE(C110,",",""))+1</f>
        <v>1</v>
      </c>
      <c r="C110" s="7" t="str" cm="1">
        <f t="array" ref="C110">_xlfn.TEXTJOIN(", ",,_xlfn._xlws.FILTER(Tabela1[[#All],[NUMER SERYJNY]],((Tabela1[[#All],[NAZWA]]=$A110)*(Tabela1[[#All],[KOMENTARZ]]=$A104)),"----------"))</f>
        <v>VM224S013143</v>
      </c>
    </row>
    <row r="111" spans="1:3">
      <c r="A111" s="15" t="s">
        <v>3441</v>
      </c>
      <c r="B111" s="15">
        <f>LEN(C111)-LEN(SUBSTITUTE(C111,",",""))+1</f>
        <v>1</v>
      </c>
      <c r="C111" s="7" t="str" cm="1">
        <f t="array" ref="C111">_xlfn.TEXTJOIN(", ",,_xlfn._xlws.FILTER(Tabela1[[#All],[NUMER SERYJNY]],((Tabela1[[#All],[NAZWA]]=$A111)*(Tabela1[[#All],[KOMENTARZ]]=$A104)),"----------"))</f>
        <v>X212K767 01762   U2XN436701762</v>
      </c>
    </row>
    <row r="112" spans="1:3">
      <c r="A112" s="15" t="s">
        <v>3553</v>
      </c>
      <c r="B112" s="15">
        <f t="shared" ref="B112:B117" si="13">LEN(C112)-LEN(SUBSTITUTE(C112,",",""))+1</f>
        <v>2</v>
      </c>
      <c r="C112" s="7" t="str" cm="1">
        <f t="array" ref="C112">_xlfn.TEXTJOIN(", ",,_xlfn._xlws.FILTER(Tabela1[[#All],[NUMER SERYJNY]],((Tabela1[[#All],[NAZWA]]=$A112)*(Tabela1[[#All],[KOMENTARZ]]=$A104)),"----------"))</f>
        <v>80AD01215075427AA8, 80AD01215075427A94</v>
      </c>
    </row>
    <row r="113" spans="1:3">
      <c r="A113" s="15" t="s">
        <v>3302</v>
      </c>
      <c r="B113" s="15">
        <f t="shared" si="13"/>
        <v>1</v>
      </c>
      <c r="C113" s="7" t="str" cm="1">
        <f t="array" ref="C113">_xlfn.TEXTJOIN(", ",,_xlfn._xlws.FILTER(Tabela1[[#All],[NUMER SERYJNY]],((Tabela1[[#All],[NAZWA]]=$A113)*(Tabela1[[#All],[KOMENTARZ]]=$A104)),"----------"))</f>
        <v>S664NE0RC25854</v>
      </c>
    </row>
    <row r="114" spans="1:3">
      <c r="A114" s="15" t="s">
        <v>976</v>
      </c>
      <c r="B114" s="15">
        <f t="shared" si="13"/>
        <v>1</v>
      </c>
      <c r="C114" s="7" t="str" cm="1">
        <f t="array" ref="C114">_xlfn.TEXTJOIN(", ",,_xlfn._xlws.FILTER(Tabela1[[#All],[NUMER SERYJNY]],((Tabela1[[#All],[NAZWA]]=$A114)*(Tabela1[[#All],[KOMENTARZ]]=$A104)),"----------"))</f>
        <v>2219145923978</v>
      </c>
    </row>
    <row r="115" spans="1:3">
      <c r="A115" s="15"/>
      <c r="B115" s="15">
        <f t="shared" si="13"/>
        <v>1</v>
      </c>
      <c r="C115" s="7" t="str" cm="1">
        <f t="array" ref="C115">_xlfn.TEXTJOIN(", ",,_xlfn._xlws.FILTER(Tabela1[[#All],[NUMER SERYJNY]],((Tabela1[[#All],[NAZWA]]=$A115)*(Tabela1[[#All],[KOMENTARZ]]=$A$2)),"----------"))</f>
        <v>----------</v>
      </c>
    </row>
    <row r="116" spans="1:3">
      <c r="A116" s="15"/>
      <c r="B116" s="15">
        <f t="shared" si="13"/>
        <v>1</v>
      </c>
      <c r="C116" s="7" t="str" cm="1">
        <f t="array" ref="C116">_xlfn.TEXTJOIN(", ",,_xlfn._xlws.FILTER(Tabela1[[#All],[NUMER SERYJNY]],((Tabela1[[#All],[NAZWA]]=$A116)*(Tabela1[[#All],[KOMENTARZ]]=$A$2)),"----------"))</f>
        <v>----------</v>
      </c>
    </row>
    <row r="117" spans="1:3">
      <c r="A117" s="15"/>
      <c r="B117" s="15">
        <f t="shared" si="13"/>
        <v>1</v>
      </c>
      <c r="C117" s="7" t="str" cm="1">
        <f t="array" ref="C117">_xlfn.TEXTJOIN(", ",,_xlfn._xlws.FILTER(Tabela1[[#All],[NUMER SERYJNY]],((Tabela1[[#All],[NAZWA]]=$A117)*(Tabela1[[#All],[KOMENTARZ]]=$A$2)),"----------"))</f>
        <v>----------</v>
      </c>
    </row>
    <row r="118" spans="1:3">
      <c r="A118" s="14"/>
      <c r="B118" s="14"/>
      <c r="C118" s="9"/>
    </row>
    <row r="119" spans="1:3">
      <c r="A119" s="15"/>
      <c r="B119" s="15"/>
      <c r="C119" s="7"/>
    </row>
    <row r="120" spans="1:3">
      <c r="A120" s="11" t="s">
        <v>3329</v>
      </c>
    </row>
    <row r="121" spans="1:3">
      <c r="A121" s="12" t="s">
        <v>3542</v>
      </c>
      <c r="B121" s="13"/>
      <c r="C121" s="8"/>
    </row>
    <row r="122" spans="1:3">
      <c r="A122" s="14" t="s">
        <v>965</v>
      </c>
      <c r="B122" s="14">
        <f t="shared" ref="B122:B126" si="14">LEN(C122)-LEN(SUBSTITUTE(C122,",",""))+1</f>
        <v>1</v>
      </c>
      <c r="C122" s="9" t="str" cm="1">
        <f t="array" ref="C122">_xlfn.TEXTJOIN(", ",,_xlfn._xlws.FILTER(Tabela1[[#All],[NUMER SERYJNY]],((Tabela1[[#All],[NAZWA]]=$A122)*(Tabela1[[#All],[KOMENTARZ]]=$A121)),"----------"))</f>
        <v>A345069X2721177</v>
      </c>
    </row>
    <row r="123" spans="1:3">
      <c r="A123" s="15" t="s">
        <v>967</v>
      </c>
      <c r="B123" s="15">
        <f t="shared" si="14"/>
        <v>1</v>
      </c>
      <c r="C123" s="7" t="str" cm="1">
        <f t="array" ref="C123">_xlfn.TEXTJOIN(", ",,_xlfn._xlws.FILTER(Tabela1[[#All],[NUMER SERYJNY]],((Tabela1[[#All],[NAZWA]]=$A123)*(Tabela1[[#All],[KOMENTARZ]]=$A121)),"----------"))</f>
        <v>C5100LL02RA0337</v>
      </c>
    </row>
    <row r="124" spans="1:3">
      <c r="A124" s="15" t="s">
        <v>969</v>
      </c>
      <c r="B124" s="15">
        <f t="shared" si="14"/>
        <v>1</v>
      </c>
      <c r="C124" s="7" t="str" cm="1">
        <f t="array" ref="C124">_xlfn.TEXTJOIN(", ",,_xlfn._xlws.FILTER(Tabela1[[#All],[NUMER SERYJNY]],((Tabela1[[#All],[NAZWA]]=$A124)*(Tabela1[[#All],[KOMENTARZ]]=$A121)),"----------"))</f>
        <v>P20310L48G50295</v>
      </c>
    </row>
    <row r="125" spans="1:3">
      <c r="A125" s="15" t="s">
        <v>17</v>
      </c>
      <c r="B125" s="15">
        <f t="shared" si="14"/>
        <v>1</v>
      </c>
      <c r="C125" s="7" t="str" cm="1">
        <f t="array" ref="C125">_xlfn.TEXTJOIN(", ",,_xlfn._xlws.FILTER(Tabela1[[#All],[NUMER SERYJNY]],((Tabela1[[#All],[NAZWA]]=$A125)*(Tabela1[[#All],[KOMENTARZ]]=$A121)),"----------"))</f>
        <v>VR219S016037</v>
      </c>
    </row>
    <row r="126" spans="1:3">
      <c r="A126" s="15" t="s">
        <v>975</v>
      </c>
      <c r="B126" s="15">
        <f t="shared" si="14"/>
        <v>1</v>
      </c>
      <c r="C126" s="7" t="str" cm="1">
        <f t="array" ref="C126">_xlfn.TEXTJOIN(", ",,_xlfn._xlws.FILTER(Tabela1[[#All],[NUMER SERYJNY]],((Tabela1[[#All],[NAZWA]]=$A126)*(Tabela1[[#All],[KOMENTARZ]]=$A121)),"----------"))</f>
        <v>EB227S007569</v>
      </c>
    </row>
    <row r="127" spans="1:3">
      <c r="A127" s="15" t="s">
        <v>971</v>
      </c>
      <c r="B127" s="15">
        <f>LEN(C127)-LEN(SUBSTITUTE(C127,",",""))+1</f>
        <v>1</v>
      </c>
      <c r="C127" s="7" t="str" cm="1">
        <f t="array" ref="C127">_xlfn.TEXTJOIN(", ",,_xlfn._xlws.FILTER(Tabela1[[#All],[NUMER SERYJNY]],((Tabela1[[#All],[NAZWA]]=$A127)*(Tabela1[[#All],[KOMENTARZ]]=$A121)),"----------"))</f>
        <v>VM226S001738</v>
      </c>
    </row>
    <row r="128" spans="1:3">
      <c r="A128" s="15" t="s">
        <v>3441</v>
      </c>
      <c r="B128" s="15">
        <f>LEN(C128)-LEN(SUBSTITUTE(C128,",",""))+1</f>
        <v>1</v>
      </c>
      <c r="C128" s="7" t="str" cm="1">
        <f t="array" ref="C128">_xlfn.TEXTJOIN(", ",,_xlfn._xlws.FILTER(Tabela1[[#All],[NUMER SERYJNY]],((Tabela1[[#All],[NAZWA]]=$A128)*(Tabela1[[#All],[KOMENTARZ]]=$A121)),"----------"))</f>
        <v>X212K767 02458   U2KJ702902458</v>
      </c>
    </row>
    <row r="129" spans="1:3">
      <c r="A129" s="15" t="s">
        <v>3553</v>
      </c>
      <c r="B129" s="15">
        <f t="shared" ref="B129:B134" si="15">LEN(C129)-LEN(SUBSTITUTE(C129,",",""))+1</f>
        <v>2</v>
      </c>
      <c r="C129" s="7" t="str" cm="1">
        <f t="array" ref="C129">_xlfn.TEXTJOIN(", ",,_xlfn._xlws.FILTER(Tabela1[[#All],[NUMER SERYJNY]],((Tabela1[[#All],[NAZWA]]=$A129)*(Tabela1[[#All],[KOMENTARZ]]=$A121)),"----------"))</f>
        <v>80AD01215075427A99, 80AD01215075427A96</v>
      </c>
    </row>
    <row r="130" spans="1:3">
      <c r="A130" s="15" t="s">
        <v>3302</v>
      </c>
      <c r="B130" s="15">
        <f t="shared" si="15"/>
        <v>1</v>
      </c>
      <c r="C130" s="7" t="str" cm="1">
        <f t="array" ref="C130">_xlfn.TEXTJOIN(", ",,_xlfn._xlws.FILTER(Tabela1[[#All],[NUMER SERYJNY]],((Tabela1[[#All],[NAZWA]]=$A130)*(Tabela1[[#All],[KOMENTARZ]]=$A121)),"----------"))</f>
        <v>S664NE0RC25845</v>
      </c>
    </row>
    <row r="131" spans="1:3">
      <c r="A131" s="15" t="s">
        <v>976</v>
      </c>
      <c r="B131" s="15">
        <f t="shared" si="15"/>
        <v>1</v>
      </c>
      <c r="C131" s="7" t="str" cm="1">
        <f t="array" ref="C131">_xlfn.TEXTJOIN(", ",,_xlfn._xlws.FILTER(Tabela1[[#All],[NUMER SERYJNY]],((Tabela1[[#All],[NAZWA]]=$A131)*(Tabela1[[#All],[KOMENTARZ]]=$A121)),"----------"))</f>
        <v>2219145923979</v>
      </c>
    </row>
    <row r="132" spans="1:3">
      <c r="A132" s="15"/>
      <c r="B132" s="15">
        <f t="shared" si="15"/>
        <v>1</v>
      </c>
      <c r="C132" s="7" t="str" cm="1">
        <f t="array" ref="C132">_xlfn.TEXTJOIN(", ",,_xlfn._xlws.FILTER(Tabela1[[#All],[NUMER SERYJNY]],((Tabela1[[#All],[NAZWA]]=$A132)*(Tabela1[[#All],[KOMENTARZ]]=$A$2)),"----------"))</f>
        <v>----------</v>
      </c>
    </row>
    <row r="133" spans="1:3">
      <c r="A133" s="15"/>
      <c r="B133" s="15">
        <f t="shared" si="15"/>
        <v>1</v>
      </c>
      <c r="C133" s="7" t="str" cm="1">
        <f t="array" ref="C133">_xlfn.TEXTJOIN(", ",,_xlfn._xlws.FILTER(Tabela1[[#All],[NUMER SERYJNY]],((Tabela1[[#All],[NAZWA]]=$A133)*(Tabela1[[#All],[KOMENTARZ]]=$A$2)),"----------"))</f>
        <v>----------</v>
      </c>
    </row>
    <row r="134" spans="1:3">
      <c r="A134" s="15"/>
      <c r="B134" s="15">
        <f t="shared" si="15"/>
        <v>1</v>
      </c>
      <c r="C134" s="7" t="str" cm="1">
        <f t="array" ref="C134">_xlfn.TEXTJOIN(", ",,_xlfn._xlws.FILTER(Tabela1[[#All],[NUMER SERYJNY]],((Tabela1[[#All],[NAZWA]]=$A134)*(Tabela1[[#All],[KOMENTARZ]]=$A$2)),"----------"))</f>
        <v>----------</v>
      </c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>
      <c r="A137" s="15"/>
      <c r="B137" s="15"/>
      <c r="C137" s="7"/>
    </row>
    <row r="138" spans="1:3">
      <c r="A138" s="15"/>
      <c r="B138" s="15"/>
      <c r="C138" s="7"/>
    </row>
    <row r="139" spans="1:3">
      <c r="A139" s="11" t="s">
        <v>3329</v>
      </c>
    </row>
    <row r="140" spans="1:3">
      <c r="A140" s="12" t="s">
        <v>3543</v>
      </c>
      <c r="B140" s="13"/>
      <c r="C140" s="8"/>
    </row>
    <row r="141" spans="1:3">
      <c r="A141" s="14" t="s">
        <v>965</v>
      </c>
      <c r="B141" s="14">
        <f t="shared" ref="B141:B145" si="16">LEN(C141)-LEN(SUBSTITUTE(C141,",",""))+1</f>
        <v>1</v>
      </c>
      <c r="C141" s="9" t="str" cm="1">
        <f t="array" ref="C141">_xlfn.TEXTJOIN(", ",,_xlfn._xlws.FILTER(Tabela1[[#All],[NUMER SERYJNY]],((Tabela1[[#All],[NAZWA]]=$A141)*(Tabela1[[#All],[KOMENTARZ]]=$A140)),"----------"))</f>
        <v>A345069X2721190</v>
      </c>
    </row>
    <row r="142" spans="1:3">
      <c r="A142" s="15" t="s">
        <v>967</v>
      </c>
      <c r="B142" s="15">
        <f t="shared" si="16"/>
        <v>1</v>
      </c>
      <c r="C142" s="7" t="str" cm="1">
        <f t="array" ref="C142">_xlfn.TEXTJOIN(", ",,_xlfn._xlws.FILTER(Tabela1[[#All],[NUMER SERYJNY]],((Tabela1[[#All],[NAZWA]]=$A142)*(Tabela1[[#All],[KOMENTARZ]]=$A140)),"----------"))</f>
        <v>C5100LL25RA0457</v>
      </c>
    </row>
    <row r="143" spans="1:3">
      <c r="A143" s="15" t="s">
        <v>969</v>
      </c>
      <c r="B143" s="15">
        <f t="shared" si="16"/>
        <v>1</v>
      </c>
      <c r="C143" s="7" t="str" cm="1">
        <f t="array" ref="C143">_xlfn.TEXTJOIN(", ",,_xlfn._xlws.FILTER(Tabela1[[#All],[NUMER SERYJNY]],((Tabela1[[#All],[NAZWA]]=$A143)*(Tabela1[[#All],[KOMENTARZ]]=$A140)),"----------"))</f>
        <v>P20310L48G50293</v>
      </c>
    </row>
    <row r="144" spans="1:3">
      <c r="A144" s="15" t="s">
        <v>17</v>
      </c>
      <c r="B144" s="15">
        <f t="shared" si="16"/>
        <v>1</v>
      </c>
      <c r="C144" s="7" t="str" cm="1">
        <f t="array" ref="C144">_xlfn.TEXTJOIN(", ",,_xlfn._xlws.FILTER(Tabela1[[#All],[NUMER SERYJNY]],((Tabela1[[#All],[NAZWA]]=$A144)*(Tabela1[[#All],[KOMENTARZ]]=$A140)),"----------"))</f>
        <v>VR219S016044</v>
      </c>
    </row>
    <row r="145" spans="1:3">
      <c r="A145" s="15" t="s">
        <v>975</v>
      </c>
      <c r="B145" s="15">
        <f t="shared" si="16"/>
        <v>1</v>
      </c>
      <c r="C145" s="7" t="str" cm="1">
        <f t="array" ref="C145">_xlfn.TEXTJOIN(", ",,_xlfn._xlws.FILTER(Tabela1[[#All],[NUMER SERYJNY]],((Tabela1[[#All],[NAZWA]]=$A145)*(Tabela1[[#All],[KOMENTARZ]]=$A140)),"----------"))</f>
        <v>EB227S007570</v>
      </c>
    </row>
    <row r="146" spans="1:3">
      <c r="A146" s="15" t="s">
        <v>971</v>
      </c>
      <c r="B146" s="15">
        <f>LEN(C146)-LEN(SUBSTITUTE(C146,",",""))+1</f>
        <v>1</v>
      </c>
      <c r="C146" s="7" t="str" cm="1">
        <f t="array" ref="C146">_xlfn.TEXTJOIN(", ",,_xlfn._xlws.FILTER(Tabela1[[#All],[NUMER SERYJNY]],((Tabela1[[#All],[NAZWA]]=$A146)*(Tabela1[[#All],[KOMENTARZ]]=$A140)),"----------"))</f>
        <v>VM226S001977</v>
      </c>
    </row>
    <row r="147" spans="1:3">
      <c r="A147" s="15" t="s">
        <v>3441</v>
      </c>
      <c r="B147" s="15">
        <f>LEN(C147)-LEN(SUBSTITUTE(C147,",",""))+1</f>
        <v>1</v>
      </c>
      <c r="C147" s="7" t="str" cm="1">
        <f t="array" ref="C147">_xlfn.TEXTJOIN(", ",,_xlfn._xlws.FILTER(Tabela1[[#All],[NUMER SERYJNY]],((Tabela1[[#All],[NAZWA]]=$A147)*(Tabela1[[#All],[KOMENTARZ]]=$A140)),"----------"))</f>
        <v>X212K767 01511   U2XN436701511</v>
      </c>
    </row>
    <row r="148" spans="1:3">
      <c r="A148" s="15" t="s">
        <v>3553</v>
      </c>
      <c r="B148" s="15">
        <f t="shared" ref="B148:B153" si="17">LEN(C148)-LEN(SUBSTITUTE(C148,",",""))+1</f>
        <v>2</v>
      </c>
      <c r="C148" s="7" t="str" cm="1">
        <f t="array" ref="C148">_xlfn.TEXTJOIN(", ",,_xlfn._xlws.FILTER(Tabela1[[#All],[NUMER SERYJNY]],((Tabela1[[#All],[NAZWA]]=$A148)*(Tabela1[[#All],[KOMENTARZ]]=$A140)),"----------"))</f>
        <v>80AD01215075427A95, 80AD01215075427AB7</v>
      </c>
    </row>
    <row r="149" spans="1:3">
      <c r="A149" s="15" t="s">
        <v>3302</v>
      </c>
      <c r="B149" s="15">
        <f t="shared" si="17"/>
        <v>1</v>
      </c>
      <c r="C149" s="7" t="str" cm="1">
        <f t="array" ref="C149">_xlfn.TEXTJOIN(", ",,_xlfn._xlws.FILTER(Tabela1[[#All],[NUMER SERYJNY]],((Tabela1[[#All],[NAZWA]]=$A149)*(Tabela1[[#All],[KOMENTARZ]]=$A140)),"----------"))</f>
        <v>S664NE0RC25848</v>
      </c>
    </row>
    <row r="150" spans="1:3">
      <c r="A150" s="15" t="s">
        <v>976</v>
      </c>
      <c r="B150" s="15">
        <f t="shared" si="17"/>
        <v>1</v>
      </c>
      <c r="C150" s="7" t="str" cm="1">
        <f t="array" ref="C150">_xlfn.TEXTJOIN(", ",,_xlfn._xlws.FILTER(Tabela1[[#All],[NUMER SERYJNY]],((Tabela1[[#All],[NAZWA]]=$A150)*(Tabela1[[#All],[KOMENTARZ]]=$A140)),"----------"))</f>
        <v>2219145923977</v>
      </c>
    </row>
    <row r="151" spans="1:3">
      <c r="A151" s="15"/>
      <c r="B151" s="15">
        <f t="shared" si="17"/>
        <v>1</v>
      </c>
      <c r="C151" s="7" t="str" cm="1">
        <f t="array" ref="C151">_xlfn.TEXTJOIN(", ",,_xlfn._xlws.FILTER(Tabela1[[#All],[NUMER SERYJNY]],((Tabela1[[#All],[NAZWA]]=$A151)*(Tabela1[[#All],[KOMENTARZ]]=$A$2)),"----------"))</f>
        <v>----------</v>
      </c>
    </row>
    <row r="152" spans="1:3">
      <c r="A152" s="15"/>
      <c r="B152" s="15">
        <f t="shared" si="17"/>
        <v>1</v>
      </c>
      <c r="C152" s="7" t="str" cm="1">
        <f t="array" ref="C152">_xlfn.TEXTJOIN(", ",,_xlfn._xlws.FILTER(Tabela1[[#All],[NUMER SERYJNY]],((Tabela1[[#All],[NAZWA]]=$A152)*(Tabela1[[#All],[KOMENTARZ]]=$A$2)),"----------"))</f>
        <v>----------</v>
      </c>
    </row>
    <row r="153" spans="1:3">
      <c r="A153" s="15"/>
      <c r="B153" s="15">
        <f t="shared" si="17"/>
        <v>1</v>
      </c>
      <c r="C153" s="7" t="str" cm="1">
        <f t="array" ref="C153">_xlfn.TEXTJOIN(", ",,_xlfn._xlws.FILTER(Tabela1[[#All],[NUMER SERYJNY]],((Tabela1[[#All],[NAZWA]]=$A153)*(Tabela1[[#All],[KOMENTARZ]]=$A$2)),"----------"))</f>
        <v>----------</v>
      </c>
    </row>
    <row r="154" spans="1:3" ht="18.75">
      <c r="A154" s="16"/>
      <c r="B154" s="16"/>
      <c r="C154" s="10"/>
    </row>
    <row r="155" spans="1:3">
      <c r="A155" s="12"/>
      <c r="B155" s="13"/>
      <c r="C155" s="8"/>
    </row>
    <row r="156" spans="1:3">
      <c r="A156" s="11" t="s">
        <v>3329</v>
      </c>
    </row>
    <row r="157" spans="1:3">
      <c r="A157" s="12" t="s">
        <v>3544</v>
      </c>
      <c r="B157" s="13"/>
      <c r="C157" s="8"/>
    </row>
    <row r="158" spans="1:3">
      <c r="A158" s="14" t="s">
        <v>965</v>
      </c>
      <c r="B158" s="14">
        <f t="shared" ref="B158:B162" si="18">LEN(C158)-LEN(SUBSTITUTE(C158,",",""))+1</f>
        <v>1</v>
      </c>
      <c r="C158" s="9" t="str" cm="1">
        <f t="array" ref="C158">_xlfn.TEXTJOIN(", ",,_xlfn._xlws.FILTER(Tabela1[[#All],[NUMER SERYJNY]],((Tabela1[[#All],[NAZWA]]=$A158)*(Tabela1[[#All],[KOMENTARZ]]=$A157)),"----------"))</f>
        <v>A345069X2721189</v>
      </c>
    </row>
    <row r="159" spans="1:3">
      <c r="A159" s="15" t="s">
        <v>967</v>
      </c>
      <c r="B159" s="15">
        <f t="shared" si="18"/>
        <v>1</v>
      </c>
      <c r="C159" s="7" t="str" cm="1">
        <f t="array" ref="C159">_xlfn.TEXTJOIN(", ",,_xlfn._xlws.FILTER(Tabela1[[#All],[NUMER SERYJNY]],((Tabela1[[#All],[NAZWA]]=$A159)*(Tabela1[[#All],[KOMENTARZ]]=$A157)),"----------"))</f>
        <v>C5100LL25RA0454</v>
      </c>
    </row>
    <row r="160" spans="1:3">
      <c r="A160" s="15" t="s">
        <v>969</v>
      </c>
      <c r="B160" s="15">
        <f t="shared" si="18"/>
        <v>1</v>
      </c>
      <c r="C160" s="7" t="str" cm="1">
        <f t="array" ref="C160">_xlfn.TEXTJOIN(", ",,_xlfn._xlws.FILTER(Tabela1[[#All],[NUMER SERYJNY]],((Tabela1[[#All],[NAZWA]]=$A160)*(Tabela1[[#All],[KOMENTARZ]]=$A157)),"----------"))</f>
        <v>P20310L48G50127</v>
      </c>
    </row>
    <row r="161" spans="1:3">
      <c r="A161" s="15" t="s">
        <v>17</v>
      </c>
      <c r="B161" s="15">
        <f t="shared" si="18"/>
        <v>1</v>
      </c>
      <c r="C161" s="7" t="str" cm="1">
        <f t="array" ref="C161">_xlfn.TEXTJOIN(", ",,_xlfn._xlws.FILTER(Tabela1[[#All],[NUMER SERYJNY]],((Tabela1[[#All],[NAZWA]]=$A161)*(Tabela1[[#All],[KOMENTARZ]]=$A157)),"----------"))</f>
        <v>VR219S016051</v>
      </c>
    </row>
    <row r="162" spans="1:3">
      <c r="A162" s="15" t="s">
        <v>975</v>
      </c>
      <c r="B162" s="15">
        <f t="shared" si="18"/>
        <v>1</v>
      </c>
      <c r="C162" s="7" t="str" cm="1">
        <f t="array" ref="C162">_xlfn.TEXTJOIN(", ",,_xlfn._xlws.FILTER(Tabela1[[#All],[NUMER SERYJNY]],((Tabela1[[#All],[NAZWA]]=$A162)*(Tabela1[[#All],[KOMENTARZ]]=$A157)),"----------"))</f>
        <v>EB227S007572</v>
      </c>
    </row>
    <row r="163" spans="1:3">
      <c r="A163" s="15" t="s">
        <v>971</v>
      </c>
      <c r="B163" s="15">
        <f>LEN(C163)-LEN(SUBSTITUTE(C163,",",""))+1</f>
        <v>1</v>
      </c>
      <c r="C163" s="7" t="str" cm="1">
        <f t="array" ref="C163">_xlfn.TEXTJOIN(", ",,_xlfn._xlws.FILTER(Tabela1[[#All],[NUMER SERYJNY]],((Tabela1[[#All],[NAZWA]]=$A163)*(Tabela1[[#All],[KOMENTARZ]]=$A157)),"----------"))</f>
        <v>VM226S001847</v>
      </c>
    </row>
    <row r="164" spans="1:3">
      <c r="A164" s="15" t="s">
        <v>3441</v>
      </c>
      <c r="B164" s="15">
        <f>LEN(C164)-LEN(SUBSTITUTE(C164,",",""))+1</f>
        <v>1</v>
      </c>
      <c r="C164" s="7" t="str" cm="1">
        <f t="array" ref="C164">_xlfn.TEXTJOIN(", ",,_xlfn._xlws.FILTER(Tabela1[[#All],[NUMER SERYJNY]],((Tabela1[[#All],[NAZWA]]=$A164)*(Tabela1[[#All],[KOMENTARZ]]=$A157)),"----------"))</f>
        <v>X212K767 02988   U2XN436702988</v>
      </c>
    </row>
    <row r="165" spans="1:3">
      <c r="A165" s="15" t="s">
        <v>3553</v>
      </c>
      <c r="B165" s="15">
        <f t="shared" ref="B165:B170" si="19">LEN(C165)-LEN(SUBSTITUTE(C165,",",""))+1</f>
        <v>2</v>
      </c>
      <c r="C165" s="7" t="str" cm="1">
        <f t="array" ref="C165">_xlfn.TEXTJOIN(", ",,_xlfn._xlws.FILTER(Tabela1[[#All],[NUMER SERYJNY]],((Tabela1[[#All],[NAZWA]]=$A165)*(Tabela1[[#All],[KOMENTARZ]]=$A157)),"----------"))</f>
        <v>80AD01215075427BC0, 80AD01215075427ACD</v>
      </c>
    </row>
    <row r="166" spans="1:3">
      <c r="A166" s="15" t="s">
        <v>3302</v>
      </c>
      <c r="B166" s="15">
        <f t="shared" si="19"/>
        <v>1</v>
      </c>
      <c r="C166" s="7" t="str" cm="1">
        <f t="array" ref="C166">_xlfn.TEXTJOIN(", ",,_xlfn._xlws.FILTER(Tabela1[[#All],[NUMER SERYJNY]],((Tabela1[[#All],[NAZWA]]=$A166)*(Tabela1[[#All],[KOMENTARZ]]=$A157)),"----------"))</f>
        <v>S664NE0RC25855</v>
      </c>
    </row>
    <row r="167" spans="1:3">
      <c r="A167" s="15" t="s">
        <v>976</v>
      </c>
      <c r="B167" s="15">
        <f t="shared" si="19"/>
        <v>1</v>
      </c>
      <c r="C167" s="7" t="str" cm="1">
        <f t="array" ref="C167">_xlfn.TEXTJOIN(", ",,_xlfn._xlws.FILTER(Tabela1[[#All],[NUMER SERYJNY]],((Tabela1[[#All],[NAZWA]]=$A167)*(Tabela1[[#All],[KOMENTARZ]]=$A157)),"----------"))</f>
        <v>2219145923976</v>
      </c>
    </row>
    <row r="168" spans="1:3">
      <c r="A168" s="15"/>
      <c r="B168" s="15">
        <f t="shared" si="19"/>
        <v>1</v>
      </c>
      <c r="C168" s="7" t="str" cm="1">
        <f t="array" ref="C168">_xlfn.TEXTJOIN(", ",,_xlfn._xlws.FILTER(Tabela1[[#All],[NUMER SERYJNY]],((Tabela1[[#All],[NAZWA]]=$A168)*(Tabela1[[#All],[KOMENTARZ]]=$A$2)),"----------"))</f>
        <v>----------</v>
      </c>
    </row>
    <row r="169" spans="1:3">
      <c r="A169" s="15"/>
      <c r="B169" s="15">
        <f t="shared" si="19"/>
        <v>1</v>
      </c>
      <c r="C169" s="7" t="str" cm="1">
        <f t="array" ref="C169">_xlfn.TEXTJOIN(", ",,_xlfn._xlws.FILTER(Tabela1[[#All],[NUMER SERYJNY]],((Tabela1[[#All],[NAZWA]]=$A169)*(Tabela1[[#All],[KOMENTARZ]]=$A$2)),"----------"))</f>
        <v>----------</v>
      </c>
    </row>
    <row r="170" spans="1:3">
      <c r="A170" s="15"/>
      <c r="B170" s="15">
        <f t="shared" si="19"/>
        <v>1</v>
      </c>
      <c r="C170" s="7" t="str" cm="1">
        <f t="array" ref="C170">_xlfn.TEXTJOIN(", ",,_xlfn._xlws.FILTER(Tabela1[[#All],[NUMER SERYJNY]],((Tabela1[[#All],[NAZWA]]=$A170)*(Tabela1[[#All],[KOMENTARZ]]=$A$2)),"----------"))</f>
        <v>----------</v>
      </c>
    </row>
    <row r="171" spans="1:3">
      <c r="A171" s="12"/>
      <c r="B171" s="13"/>
      <c r="C171" s="8"/>
    </row>
    <row r="172" spans="1:3">
      <c r="A172" s="14"/>
      <c r="B172" s="14"/>
      <c r="C172" s="9"/>
    </row>
    <row r="173" spans="1:3">
      <c r="A173" s="11" t="s">
        <v>3329</v>
      </c>
    </row>
    <row r="174" spans="1:3">
      <c r="A174" s="12" t="s">
        <v>3545</v>
      </c>
      <c r="B174" s="13"/>
      <c r="C174" s="8"/>
    </row>
    <row r="175" spans="1:3">
      <c r="A175" s="14" t="s">
        <v>965</v>
      </c>
      <c r="B175" s="14">
        <f t="shared" ref="B175:B179" si="20">LEN(C175)-LEN(SUBSTITUTE(C175,",",""))+1</f>
        <v>1</v>
      </c>
      <c r="C175" s="9" t="str" cm="1">
        <f t="array" ref="C175">_xlfn.TEXTJOIN(", ",,_xlfn._xlws.FILTER(Tabela1[[#All],[NUMER SERYJNY]],((Tabela1[[#All],[NAZWA]]=$A175)*(Tabela1[[#All],[KOMENTARZ]]=$A174)),"----------"))</f>
        <v>A345069X2721212</v>
      </c>
    </row>
    <row r="176" spans="1:3">
      <c r="A176" s="15" t="s">
        <v>967</v>
      </c>
      <c r="B176" s="15">
        <f t="shared" si="20"/>
        <v>1</v>
      </c>
      <c r="C176" s="7" t="str" cm="1">
        <f t="array" ref="C176">_xlfn.TEXTJOIN(", ",,_xlfn._xlws.FILTER(Tabela1[[#All],[NUMER SERYJNY]],((Tabela1[[#All],[NAZWA]]=$A176)*(Tabela1[[#All],[KOMENTARZ]]=$A174)),"----------"))</f>
        <v>C5100LL25RA0465</v>
      </c>
    </row>
    <row r="177" spans="1:3">
      <c r="A177" s="15" t="s">
        <v>969</v>
      </c>
      <c r="B177" s="15">
        <f t="shared" si="20"/>
        <v>1</v>
      </c>
      <c r="C177" s="7" t="str" cm="1">
        <f t="array" ref="C177">_xlfn.TEXTJOIN(", ",,_xlfn._xlws.FILTER(Tabela1[[#All],[NUMER SERYJNY]],((Tabela1[[#All],[NAZWA]]=$A177)*(Tabela1[[#All],[KOMENTARZ]]=$A174)),"----------"))</f>
        <v>P20310L48G50190</v>
      </c>
    </row>
    <row r="178" spans="1:3">
      <c r="A178" s="15" t="s">
        <v>17</v>
      </c>
      <c r="B178" s="15">
        <f t="shared" si="20"/>
        <v>1</v>
      </c>
      <c r="C178" s="7" t="str" cm="1">
        <f t="array" ref="C178">_xlfn.TEXTJOIN(", ",,_xlfn._xlws.FILTER(Tabela1[[#All],[NUMER SERYJNY]],((Tabela1[[#All],[NAZWA]]=$A178)*(Tabela1[[#All],[KOMENTARZ]]=$A174)),"----------"))</f>
        <v>VR219S016023</v>
      </c>
    </row>
    <row r="179" spans="1:3">
      <c r="A179" s="15" t="s">
        <v>975</v>
      </c>
      <c r="B179" s="15">
        <f t="shared" si="20"/>
        <v>1</v>
      </c>
      <c r="C179" s="7" t="str" cm="1">
        <f t="array" ref="C179">_xlfn.TEXTJOIN(", ",,_xlfn._xlws.FILTER(Tabela1[[#All],[NUMER SERYJNY]],((Tabela1[[#All],[NAZWA]]=$A179)*(Tabela1[[#All],[KOMENTARZ]]=$A174)),"----------"))</f>
        <v>EB227S007052</v>
      </c>
    </row>
    <row r="180" spans="1:3">
      <c r="A180" s="15" t="s">
        <v>971</v>
      </c>
      <c r="B180" s="15">
        <f>LEN(C180)-LEN(SUBSTITUTE(C180,",",""))+1</f>
        <v>1</v>
      </c>
      <c r="C180" s="7" t="str" cm="1">
        <f t="array" ref="C180">_xlfn.TEXTJOIN(", ",,_xlfn._xlws.FILTER(Tabela1[[#All],[NUMER SERYJNY]],((Tabela1[[#All],[NAZWA]]=$A180)*(Tabela1[[#All],[KOMENTARZ]]=$A174)),"----------"))</f>
        <v>VM224S013139</v>
      </c>
    </row>
    <row r="181" spans="1:3">
      <c r="A181" s="15" t="s">
        <v>3441</v>
      </c>
      <c r="B181" s="15">
        <f>LEN(C181)-LEN(SUBSTITUTE(C181,",",""))+1</f>
        <v>1</v>
      </c>
      <c r="C181" s="7" t="str" cm="1">
        <f t="array" ref="C181">_xlfn.TEXTJOIN(", ",,_xlfn._xlws.FILTER(Tabela1[[#All],[NUMER SERYJNY]],((Tabela1[[#All],[NAZWA]]=$A181)*(Tabela1[[#All],[KOMENTARZ]]=$A174)),"----------"))</f>
        <v>X212K767 02075   U2XN436702075</v>
      </c>
    </row>
    <row r="182" spans="1:3">
      <c r="A182" s="15" t="s">
        <v>3553</v>
      </c>
      <c r="B182" s="15">
        <f t="shared" ref="B182:B187" si="21">LEN(C182)-LEN(SUBSTITUTE(C182,",",""))+1</f>
        <v>2</v>
      </c>
      <c r="C182" s="7" t="str" cm="1">
        <f t="array" ref="C182">_xlfn.TEXTJOIN(", ",,_xlfn._xlws.FILTER(Tabela1[[#All],[NUMER SERYJNY]],((Tabela1[[#All],[NAZWA]]=$A182)*(Tabela1[[#All],[KOMENTARZ]]=$A174)),"----------"))</f>
        <v>80AD01215075427ACC, 80AD01215075427AB6</v>
      </c>
    </row>
    <row r="183" spans="1:3">
      <c r="A183" s="15" t="s">
        <v>3302</v>
      </c>
      <c r="B183" s="15">
        <f t="shared" si="21"/>
        <v>1</v>
      </c>
      <c r="C183" s="7" t="str" cm="1">
        <f t="array" ref="C183">_xlfn.TEXTJOIN(", ",,_xlfn._xlws.FILTER(Tabela1[[#All],[NUMER SERYJNY]],((Tabela1[[#All],[NAZWA]]=$A183)*(Tabela1[[#All],[KOMENTARZ]]=$A174)),"----------"))</f>
        <v>S664NE0RC25859</v>
      </c>
    </row>
    <row r="184" spans="1:3">
      <c r="A184" s="15" t="s">
        <v>976</v>
      </c>
      <c r="B184" s="15">
        <f t="shared" si="21"/>
        <v>1</v>
      </c>
      <c r="C184" s="7" t="str" cm="1">
        <f t="array" ref="C184">_xlfn.TEXTJOIN(", ",,_xlfn._xlws.FILTER(Tabela1[[#All],[NUMER SERYJNY]],((Tabela1[[#All],[NAZWA]]=$A184)*(Tabela1[[#All],[KOMENTARZ]]=$A174)),"----------"))</f>
        <v>2219145923975</v>
      </c>
    </row>
    <row r="185" spans="1:3">
      <c r="A185" s="15"/>
      <c r="B185" s="15">
        <f t="shared" si="21"/>
        <v>1</v>
      </c>
      <c r="C185" s="7" t="str" cm="1">
        <f t="array" ref="C185">_xlfn.TEXTJOIN(", ",,_xlfn._xlws.FILTER(Tabela1[[#All],[NUMER SERYJNY]],((Tabela1[[#All],[NAZWA]]=$A185)*(Tabela1[[#All],[KOMENTARZ]]=$A$2)),"----------"))</f>
        <v>----------</v>
      </c>
    </row>
    <row r="186" spans="1:3">
      <c r="A186" s="15"/>
      <c r="B186" s="15">
        <f t="shared" si="21"/>
        <v>1</v>
      </c>
      <c r="C186" s="7" t="str" cm="1">
        <f t="array" ref="C186">_xlfn.TEXTJOIN(", ",,_xlfn._xlws.FILTER(Tabela1[[#All],[NUMER SERYJNY]],((Tabela1[[#All],[NAZWA]]=$A186)*(Tabela1[[#All],[KOMENTARZ]]=$A$2)),"----------"))</f>
        <v>----------</v>
      </c>
    </row>
    <row r="187" spans="1:3">
      <c r="A187" s="15"/>
      <c r="B187" s="15">
        <f t="shared" si="21"/>
        <v>1</v>
      </c>
      <c r="C187" s="7" t="str" cm="1">
        <f t="array" ref="C187">_xlfn.TEXTJOIN(", ",,_xlfn._xlws.FILTER(Tabela1[[#All],[NUMER SERYJNY]],((Tabela1[[#All],[NAZWA]]=$A187)*(Tabela1[[#All],[KOMENTARZ]]=$A$2)),"----------"))</f>
        <v>----------</v>
      </c>
    </row>
    <row r="188" spans="1:3">
      <c r="A188" s="14"/>
      <c r="B188" s="14"/>
      <c r="C188" s="9"/>
    </row>
    <row r="189" spans="1:3">
      <c r="A189" s="15"/>
      <c r="B189" s="15"/>
      <c r="C189" s="7"/>
    </row>
    <row r="190" spans="1:3">
      <c r="A190" s="11" t="s">
        <v>3329</v>
      </c>
    </row>
    <row r="191" spans="1:3">
      <c r="A191" s="12" t="s">
        <v>3546</v>
      </c>
      <c r="B191" s="13"/>
      <c r="C191" s="8"/>
    </row>
    <row r="192" spans="1:3">
      <c r="A192" s="14" t="s">
        <v>965</v>
      </c>
      <c r="B192" s="14">
        <f t="shared" ref="B192:B196" si="22">LEN(C192)-LEN(SUBSTITUTE(C192,",",""))+1</f>
        <v>1</v>
      </c>
      <c r="C192" s="9" t="str" cm="1">
        <f t="array" ref="C192">_xlfn.TEXTJOIN(", ",,_xlfn._xlws.FILTER(Tabela1[[#All],[NUMER SERYJNY]],((Tabela1[[#All],[NAZWA]]=$A192)*(Tabela1[[#All],[KOMENTARZ]]=$A191)),"----------"))</f>
        <v>A345069X2721194</v>
      </c>
    </row>
    <row r="193" spans="1:3">
      <c r="A193" s="15" t="s">
        <v>967</v>
      </c>
      <c r="B193" s="15">
        <f t="shared" si="22"/>
        <v>1</v>
      </c>
      <c r="C193" s="7" t="str" cm="1">
        <f t="array" ref="C193">_xlfn.TEXTJOIN(", ",,_xlfn._xlws.FILTER(Tabela1[[#All],[NUMER SERYJNY]],((Tabela1[[#All],[NAZWA]]=$A193)*(Tabela1[[#All],[KOMENTARZ]]=$A191)),"----------"))</f>
        <v>C5100LL25RA0466</v>
      </c>
    </row>
    <row r="194" spans="1:3">
      <c r="A194" s="15" t="s">
        <v>969</v>
      </c>
      <c r="B194" s="15">
        <f t="shared" si="22"/>
        <v>1</v>
      </c>
      <c r="C194" s="7" t="str" cm="1">
        <f t="array" ref="C194">_xlfn.TEXTJOIN(", ",,_xlfn._xlws.FILTER(Tabela1[[#All],[NUMER SERYJNY]],((Tabela1[[#All],[NAZWA]]=$A194)*(Tabela1[[#All],[KOMENTARZ]]=$A191)),"----------"))</f>
        <v>P20310L48G50181</v>
      </c>
    </row>
    <row r="195" spans="1:3">
      <c r="A195" s="15" t="s">
        <v>17</v>
      </c>
      <c r="B195" s="15">
        <f t="shared" si="22"/>
        <v>1</v>
      </c>
      <c r="C195" s="7" t="str" cm="1">
        <f t="array" ref="C195">_xlfn.TEXTJOIN(", ",,_xlfn._xlws.FILTER(Tabela1[[#All],[NUMER SERYJNY]],((Tabela1[[#All],[NAZWA]]=$A195)*(Tabela1[[#All],[KOMENTARZ]]=$A191)),"----------"))</f>
        <v>VR219S016030</v>
      </c>
    </row>
    <row r="196" spans="1:3">
      <c r="A196" s="15" t="s">
        <v>975</v>
      </c>
      <c r="B196" s="15">
        <f t="shared" si="22"/>
        <v>1</v>
      </c>
      <c r="C196" s="7" t="str" cm="1">
        <f t="array" ref="C196">_xlfn.TEXTJOIN(", ",,_xlfn._xlws.FILTER(Tabela1[[#All],[NUMER SERYJNY]],((Tabela1[[#All],[NAZWA]]=$A196)*(Tabela1[[#All],[KOMENTARZ]]=$A191)),"----------"))</f>
        <v>EB227S007042</v>
      </c>
    </row>
    <row r="197" spans="1:3">
      <c r="A197" s="15" t="s">
        <v>971</v>
      </c>
      <c r="B197" s="15">
        <f>LEN(C197)-LEN(SUBSTITUTE(C197,",",""))+1</f>
        <v>1</v>
      </c>
      <c r="C197" s="7" t="str" cm="1">
        <f t="array" ref="C197">_xlfn.TEXTJOIN(", ",,_xlfn._xlws.FILTER(Tabela1[[#All],[NUMER SERYJNY]],((Tabela1[[#All],[NAZWA]]=$A197)*(Tabela1[[#All],[KOMENTARZ]]=$A191)),"----------"))</f>
        <v>VM224S012310</v>
      </c>
    </row>
    <row r="198" spans="1:3">
      <c r="A198" s="15" t="s">
        <v>3441</v>
      </c>
      <c r="B198" s="15">
        <f>LEN(C198)-LEN(SUBSTITUTE(C198,",",""))+1</f>
        <v>1</v>
      </c>
      <c r="C198" s="7" t="str" cm="1">
        <f t="array" ref="C198">_xlfn.TEXTJOIN(", ",,_xlfn._xlws.FILTER(Tabela1[[#All],[NUMER SERYJNY]],((Tabela1[[#All],[NAZWA]]=$A198)*(Tabela1[[#All],[KOMENTARZ]]=$A191)),"----------"))</f>
        <v>X212K767 01535   U2XN436701535</v>
      </c>
    </row>
    <row r="199" spans="1:3">
      <c r="A199" s="15" t="s">
        <v>3553</v>
      </c>
      <c r="B199" s="15">
        <f t="shared" ref="B199:B204" si="23">LEN(C199)-LEN(SUBSTITUTE(C199,",",""))+1</f>
        <v>2</v>
      </c>
      <c r="C199" s="7" t="str" cm="1">
        <f t="array" ref="C199">_xlfn.TEXTJOIN(", ",,_xlfn._xlws.FILTER(Tabela1[[#All],[NUMER SERYJNY]],((Tabela1[[#All],[NAZWA]]=$A199)*(Tabela1[[#All],[KOMENTARZ]]=$A191)),"----------"))</f>
        <v>80AD01215075427BC1, 80AD01215075427ABA</v>
      </c>
    </row>
    <row r="200" spans="1:3">
      <c r="A200" s="15" t="s">
        <v>3302</v>
      </c>
      <c r="B200" s="15">
        <f t="shared" si="23"/>
        <v>1</v>
      </c>
      <c r="C200" s="7" t="str" cm="1">
        <f t="array" ref="C200">_xlfn.TEXTJOIN(", ",,_xlfn._xlws.FILTER(Tabela1[[#All],[NUMER SERYJNY]],((Tabela1[[#All],[NAZWA]]=$A200)*(Tabela1[[#All],[KOMENTARZ]]=$A191)),"----------"))</f>
        <v>S664NE0RC25846</v>
      </c>
    </row>
    <row r="201" spans="1:3">
      <c r="A201" s="15" t="s">
        <v>976</v>
      </c>
      <c r="B201" s="15">
        <f t="shared" si="23"/>
        <v>1</v>
      </c>
      <c r="C201" s="7" t="str" cm="1">
        <f t="array" ref="C201">_xlfn.TEXTJOIN(", ",,_xlfn._xlws.FILTER(Tabela1[[#All],[NUMER SERYJNY]],((Tabela1[[#All],[NAZWA]]=$A201)*(Tabela1[[#All],[KOMENTARZ]]=$A191)),"----------"))</f>
        <v>2219145923974</v>
      </c>
    </row>
    <row r="202" spans="1:3">
      <c r="A202" s="15"/>
      <c r="B202" s="15">
        <f t="shared" si="23"/>
        <v>1</v>
      </c>
      <c r="C202" s="7" t="str" cm="1">
        <f t="array" ref="C202">_xlfn.TEXTJOIN(", ",,_xlfn._xlws.FILTER(Tabela1[[#All],[NUMER SERYJNY]],((Tabela1[[#All],[NAZWA]]=$A202)*(Tabela1[[#All],[KOMENTARZ]]=$A$2)),"----------"))</f>
        <v>----------</v>
      </c>
    </row>
    <row r="203" spans="1:3">
      <c r="A203" s="15"/>
      <c r="B203" s="15">
        <f t="shared" si="23"/>
        <v>1</v>
      </c>
      <c r="C203" s="7" t="str" cm="1">
        <f t="array" ref="C203">_xlfn.TEXTJOIN(", ",,_xlfn._xlws.FILTER(Tabela1[[#All],[NUMER SERYJNY]],((Tabela1[[#All],[NAZWA]]=$A203)*(Tabela1[[#All],[KOMENTARZ]]=$A$2)),"----------"))</f>
        <v>----------</v>
      </c>
    </row>
    <row r="204" spans="1:3">
      <c r="A204" s="15"/>
      <c r="B204" s="15">
        <f t="shared" si="23"/>
        <v>1</v>
      </c>
      <c r="C204" s="7" t="str" cm="1">
        <f t="array" ref="C204">_xlfn.TEXTJOIN(", ",,_xlfn._xlws.FILTER(Tabela1[[#All],[NUMER SERYJNY]],((Tabela1[[#All],[NAZWA]]=$A204)*(Tabela1[[#All],[KOMENTARZ]]=$A$2)),"----------"))</f>
        <v>----------</v>
      </c>
    </row>
    <row r="205" spans="1:3">
      <c r="A205" s="15"/>
      <c r="B205" s="15"/>
      <c r="C205" s="7"/>
    </row>
    <row r="206" spans="1:3">
      <c r="A206" s="15"/>
      <c r="B206" s="15"/>
      <c r="C206" s="7"/>
    </row>
    <row r="207" spans="1:3">
      <c r="A207" s="11" t="s">
        <v>3329</v>
      </c>
    </row>
    <row r="208" spans="1:3">
      <c r="A208" s="12" t="s">
        <v>3547</v>
      </c>
      <c r="B208" s="13"/>
      <c r="C208" s="8"/>
    </row>
    <row r="209" spans="1:3">
      <c r="A209" s="14" t="s">
        <v>965</v>
      </c>
      <c r="B209" s="14">
        <f t="shared" ref="B209:B213" si="24">LEN(C209)-LEN(SUBSTITUTE(C209,",",""))+1</f>
        <v>1</v>
      </c>
      <c r="C209" s="9" t="str" cm="1">
        <f t="array" ref="C209">_xlfn.TEXTJOIN(", ",,_xlfn._xlws.FILTER(Tabela1[[#All],[NUMER SERYJNY]],((Tabela1[[#All],[NAZWA]]=$A209)*(Tabela1[[#All],[KOMENTARZ]]=$A208)),"----------"))</f>
        <v>A345069X2721216</v>
      </c>
    </row>
    <row r="210" spans="1:3">
      <c r="A210" s="15" t="s">
        <v>967</v>
      </c>
      <c r="B210" s="15">
        <f t="shared" si="24"/>
        <v>1</v>
      </c>
      <c r="C210" s="7" t="str" cm="1">
        <f t="array" ref="C210">_xlfn.TEXTJOIN(", ",,_xlfn._xlws.FILTER(Tabela1[[#All],[NUMER SERYJNY]],((Tabela1[[#All],[NAZWA]]=$A210)*(Tabela1[[#All],[KOMENTARZ]]=$A208)),"----------"))</f>
        <v>C5100LL25RA0464</v>
      </c>
    </row>
    <row r="211" spans="1:3">
      <c r="A211" s="15" t="s">
        <v>969</v>
      </c>
      <c r="B211" s="15">
        <f t="shared" si="24"/>
        <v>1</v>
      </c>
      <c r="C211" s="7" t="str" cm="1">
        <f t="array" ref="C211">_xlfn.TEXTJOIN(", ",,_xlfn._xlws.FILTER(Tabela1[[#All],[NUMER SERYJNY]],((Tabela1[[#All],[NAZWA]]=$A211)*(Tabela1[[#All],[KOMENTARZ]]=$A208)),"----------"))</f>
        <v>P20310L48G50188</v>
      </c>
    </row>
    <row r="212" spans="1:3">
      <c r="A212" s="15" t="s">
        <v>17</v>
      </c>
      <c r="B212" s="15">
        <f t="shared" si="24"/>
        <v>1</v>
      </c>
      <c r="C212" s="7" t="str" cm="1">
        <f t="array" ref="C212">_xlfn.TEXTJOIN(", ",,_xlfn._xlws.FILTER(Tabela1[[#All],[NUMER SERYJNY]],((Tabela1[[#All],[NAZWA]]=$A212)*(Tabela1[[#All],[KOMENTARZ]]=$A208)),"----------"))</f>
        <v>VR219S016047</v>
      </c>
    </row>
    <row r="213" spans="1:3">
      <c r="A213" s="15" t="s">
        <v>975</v>
      </c>
      <c r="B213" s="15">
        <f t="shared" si="24"/>
        <v>1</v>
      </c>
      <c r="C213" s="7" t="str" cm="1">
        <f t="array" ref="C213">_xlfn.TEXTJOIN(", ",,_xlfn._xlws.FILTER(Tabela1[[#All],[NUMER SERYJNY]],((Tabela1[[#All],[NAZWA]]=$A213)*(Tabela1[[#All],[KOMENTARZ]]=$A208)),"----------"))</f>
        <v>EB227S007044</v>
      </c>
    </row>
    <row r="214" spans="1:3">
      <c r="A214" s="15" t="s">
        <v>971</v>
      </c>
      <c r="B214" s="15">
        <f>LEN(C214)-LEN(SUBSTITUTE(C214,",",""))+1</f>
        <v>1</v>
      </c>
      <c r="C214" s="7" t="str" cm="1">
        <f t="array" ref="C214">_xlfn.TEXTJOIN(", ",,_xlfn._xlws.FILTER(Tabela1[[#All],[NUMER SERYJNY]],((Tabela1[[#All],[NAZWA]]=$A214)*(Tabela1[[#All],[KOMENTARZ]]=$A208)),"----------"))</f>
        <v>VM224S013142</v>
      </c>
    </row>
    <row r="215" spans="1:3">
      <c r="A215" s="15" t="s">
        <v>3441</v>
      </c>
      <c r="B215" s="15">
        <f>LEN(C215)-LEN(SUBSTITUTE(C215,",",""))+1</f>
        <v>1</v>
      </c>
      <c r="C215" s="7" t="str" cm="1">
        <f t="array" ref="C215">_xlfn.TEXTJOIN(", ",,_xlfn._xlws.FILTER(Tabela1[[#All],[NUMER SERYJNY]],((Tabela1[[#All],[NAZWA]]=$A215)*(Tabela1[[#All],[KOMENTARZ]]=$A208)),"----------"))</f>
        <v>X212K767 02790   U2XN436702790</v>
      </c>
    </row>
    <row r="216" spans="1:3">
      <c r="A216" s="15" t="s">
        <v>3553</v>
      </c>
      <c r="B216" s="15">
        <f t="shared" ref="B216:B221" si="25">LEN(C216)-LEN(SUBSTITUTE(C216,",",""))+1</f>
        <v>2</v>
      </c>
      <c r="C216" s="7" t="str" cm="1">
        <f t="array" ref="C216">_xlfn.TEXTJOIN(", ",,_xlfn._xlws.FILTER(Tabela1[[#All],[NUMER SERYJNY]],((Tabela1[[#All],[NAZWA]]=$A216)*(Tabela1[[#All],[KOMENTARZ]]=$A208)),"----------"))</f>
        <v>80AD01215075427AB9, 80AD01215075427A90</v>
      </c>
    </row>
    <row r="217" spans="1:3">
      <c r="A217" s="15" t="s">
        <v>3302</v>
      </c>
      <c r="B217" s="15">
        <f t="shared" si="25"/>
        <v>1</v>
      </c>
      <c r="C217" s="7" t="str" cm="1">
        <f t="array" ref="C217">_xlfn.TEXTJOIN(", ",,_xlfn._xlws.FILTER(Tabela1[[#All],[NUMER SERYJNY]],((Tabela1[[#All],[NAZWA]]=$A217)*(Tabela1[[#All],[KOMENTARZ]]=$A208)),"----------"))</f>
        <v>S664NE0RC25576</v>
      </c>
    </row>
    <row r="218" spans="1:3">
      <c r="A218" s="15" t="s">
        <v>976</v>
      </c>
      <c r="B218" s="15">
        <f t="shared" si="25"/>
        <v>1</v>
      </c>
      <c r="C218" s="7" t="str" cm="1">
        <f t="array" ref="C218">_xlfn.TEXTJOIN(", ",,_xlfn._xlws.FILTER(Tabela1[[#All],[NUMER SERYJNY]],((Tabela1[[#All],[NAZWA]]=$A218)*(Tabela1[[#All],[KOMENTARZ]]=$A208)),"----------"))</f>
        <v>2219145923973</v>
      </c>
    </row>
    <row r="219" spans="1:3">
      <c r="A219" s="15"/>
      <c r="B219" s="15">
        <f t="shared" si="25"/>
        <v>1</v>
      </c>
      <c r="C219" s="7" t="str" cm="1">
        <f t="array" ref="C219">_xlfn.TEXTJOIN(", ",,_xlfn._xlws.FILTER(Tabela1[[#All],[NUMER SERYJNY]],((Tabela1[[#All],[NAZWA]]=$A219)*(Tabela1[[#All],[KOMENTARZ]]=$A$2)),"----------"))</f>
        <v>----------</v>
      </c>
    </row>
    <row r="220" spans="1:3">
      <c r="A220" s="15"/>
      <c r="B220" s="15">
        <f t="shared" si="25"/>
        <v>1</v>
      </c>
      <c r="C220" s="7" t="str" cm="1">
        <f t="array" ref="C220">_xlfn.TEXTJOIN(", ",,_xlfn._xlws.FILTER(Tabela1[[#All],[NUMER SERYJNY]],((Tabela1[[#All],[NAZWA]]=$A220)*(Tabela1[[#All],[KOMENTARZ]]=$A$2)),"----------"))</f>
        <v>----------</v>
      </c>
    </row>
    <row r="221" spans="1:3">
      <c r="A221" s="15"/>
      <c r="B221" s="15">
        <f t="shared" si="25"/>
        <v>1</v>
      </c>
      <c r="C221" s="7" t="str" cm="1">
        <f t="array" ref="C221">_xlfn.TEXTJOIN(", ",,_xlfn._xlws.FILTER(Tabela1[[#All],[NUMER SERYJNY]],((Tabela1[[#All],[NAZWA]]=$A221)*(Tabela1[[#All],[KOMENTARZ]]=$A$2)),"----------"))</f>
        <v>----------</v>
      </c>
    </row>
    <row r="224" spans="1:3">
      <c r="A224" s="11" t="s">
        <v>3329</v>
      </c>
    </row>
    <row r="225" spans="1:3">
      <c r="A225" s="12" t="s">
        <v>3548</v>
      </c>
      <c r="B225" s="13"/>
      <c r="C225" s="8"/>
    </row>
    <row r="226" spans="1:3">
      <c r="A226" s="14" t="s">
        <v>965</v>
      </c>
      <c r="B226" s="14">
        <f t="shared" ref="B226:B230" si="26">LEN(C226)-LEN(SUBSTITUTE(C226,",",""))+1</f>
        <v>1</v>
      </c>
      <c r="C226" s="9" t="str" cm="1">
        <f t="array" ref="C226">_xlfn.TEXTJOIN(", ",,_xlfn._xlws.FILTER(Tabela1[[#All],[NUMER SERYJNY]],((Tabela1[[#All],[NAZWA]]=$A226)*(Tabela1[[#All],[KOMENTARZ]]=$A225)),"----------"))</f>
        <v>A345069X2721206</v>
      </c>
    </row>
    <row r="227" spans="1:3">
      <c r="A227" s="15" t="s">
        <v>967</v>
      </c>
      <c r="B227" s="15">
        <f t="shared" si="26"/>
        <v>1</v>
      </c>
      <c r="C227" s="7" t="str" cm="1">
        <f t="array" ref="C227">_xlfn.TEXTJOIN(", ",,_xlfn._xlws.FILTER(Tabela1[[#All],[NUMER SERYJNY]],((Tabela1[[#All],[NAZWA]]=$A227)*(Tabela1[[#All],[KOMENTARZ]]=$A225)),"----------"))</f>
        <v>C5100LL25RA0447</v>
      </c>
    </row>
    <row r="228" spans="1:3">
      <c r="A228" s="15" t="s">
        <v>969</v>
      </c>
      <c r="B228" s="15">
        <f t="shared" si="26"/>
        <v>1</v>
      </c>
      <c r="C228" s="7" t="str" cm="1">
        <f t="array" ref="C228">_xlfn.TEXTJOIN(", ",,_xlfn._xlws.FILTER(Tabela1[[#All],[NUMER SERYJNY]],((Tabela1[[#All],[NAZWA]]=$A228)*(Tabela1[[#All],[KOMENTARZ]]=$A225)),"----------"))</f>
        <v>P20310L48G50303</v>
      </c>
    </row>
    <row r="229" spans="1:3">
      <c r="A229" s="15" t="s">
        <v>17</v>
      </c>
      <c r="B229" s="15">
        <f t="shared" si="26"/>
        <v>1</v>
      </c>
      <c r="C229" s="7" t="str" cm="1">
        <f t="array" ref="C229">_xlfn.TEXTJOIN(", ",,_xlfn._xlws.FILTER(Tabela1[[#All],[NUMER SERYJNY]],((Tabela1[[#All],[NAZWA]]=$A229)*(Tabela1[[#All],[KOMENTARZ]]=$A225)),"----------"))</f>
        <v>VR219S016043</v>
      </c>
    </row>
    <row r="230" spans="1:3">
      <c r="A230" s="15" t="s">
        <v>975</v>
      </c>
      <c r="B230" s="15">
        <f t="shared" si="26"/>
        <v>1</v>
      </c>
      <c r="C230" s="7" t="str" cm="1">
        <f t="array" ref="C230">_xlfn.TEXTJOIN(", ",,_xlfn._xlws.FILTER(Tabela1[[#All],[NUMER SERYJNY]],((Tabela1[[#All],[NAZWA]]=$A230)*(Tabela1[[#All],[KOMENTARZ]]=$A225)),"----------"))</f>
        <v>EB227S007586</v>
      </c>
    </row>
    <row r="231" spans="1:3">
      <c r="A231" s="15" t="s">
        <v>971</v>
      </c>
      <c r="B231" s="15">
        <f>LEN(C231)-LEN(SUBSTITUTE(C231,",",""))+1</f>
        <v>1</v>
      </c>
      <c r="C231" s="7" t="str" cm="1">
        <f t="array" ref="C231">_xlfn.TEXTJOIN(", ",,_xlfn._xlws.FILTER(Tabela1[[#All],[NUMER SERYJNY]],((Tabela1[[#All],[NAZWA]]=$A231)*(Tabela1[[#All],[KOMENTARZ]]=$A225)),"----------"))</f>
        <v>VM224S013201</v>
      </c>
    </row>
    <row r="232" spans="1:3">
      <c r="A232" s="15" t="s">
        <v>3441</v>
      </c>
      <c r="B232" s="15">
        <f>LEN(C232)-LEN(SUBSTITUTE(C232,",",""))+1</f>
        <v>1</v>
      </c>
      <c r="C232" s="7" t="str" cm="1">
        <f t="array" ref="C232">_xlfn.TEXTJOIN(", ",,_xlfn._xlws.FILTER(Tabela1[[#All],[NUMER SERYJNY]],((Tabela1[[#All],[NAZWA]]=$A232)*(Tabela1[[#All],[KOMENTARZ]]=$A225)),"----------"))</f>
        <v>X212K767 02159  U2KJ702902159</v>
      </c>
    </row>
    <row r="233" spans="1:3">
      <c r="A233" s="15" t="s">
        <v>3553</v>
      </c>
      <c r="B233" s="15">
        <f t="shared" ref="B233:B238" si="27">LEN(C233)-LEN(SUBSTITUTE(C233,",",""))+1</f>
        <v>2</v>
      </c>
      <c r="C233" s="7" t="str" cm="1">
        <f t="array" ref="C233">_xlfn.TEXTJOIN(", ",,_xlfn._xlws.FILTER(Tabela1[[#All],[NUMER SERYJNY]],((Tabela1[[#All],[NAZWA]]=$A233)*(Tabela1[[#All],[KOMENTARZ]]=$A225)),"----------"))</f>
        <v>80AD01215075427B61, 80AD01215075427B0B</v>
      </c>
    </row>
    <row r="234" spans="1:3">
      <c r="A234" s="15" t="s">
        <v>3302</v>
      </c>
      <c r="B234" s="15">
        <f t="shared" si="27"/>
        <v>1</v>
      </c>
      <c r="C234" s="7" t="str" cm="1">
        <f t="array" ref="C234">_xlfn.TEXTJOIN(", ",,_xlfn._xlws.FILTER(Tabela1[[#All],[NUMER SERYJNY]],((Tabela1[[#All],[NAZWA]]=$A234)*(Tabela1[[#All],[KOMENTARZ]]=$A225)),"----------"))</f>
        <v>S664NE0RC25579</v>
      </c>
    </row>
    <row r="235" spans="1:3">
      <c r="A235" s="15" t="s">
        <v>976</v>
      </c>
      <c r="B235" s="15">
        <f t="shared" si="27"/>
        <v>1</v>
      </c>
      <c r="C235" s="7" t="str" cm="1">
        <f t="array" ref="C235">_xlfn.TEXTJOIN(", ",,_xlfn._xlws.FILTER(Tabela1[[#All],[NUMER SERYJNY]],((Tabela1[[#All],[NAZWA]]=$A235)*(Tabela1[[#All],[KOMENTARZ]]=$A225)),"----------"))</f>
        <v>2219145924006</v>
      </c>
    </row>
    <row r="236" spans="1:3">
      <c r="A236" s="15"/>
      <c r="B236" s="15">
        <f t="shared" si="27"/>
        <v>1</v>
      </c>
      <c r="C236" s="7" t="str" cm="1">
        <f t="array" ref="C236">_xlfn.TEXTJOIN(", ",,_xlfn._xlws.FILTER(Tabela1[[#All],[NUMER SERYJNY]],((Tabela1[[#All],[NAZWA]]=$A236)*(Tabela1[[#All],[KOMENTARZ]]=$A$2)),"----------"))</f>
        <v>----------</v>
      </c>
    </row>
    <row r="237" spans="1:3">
      <c r="A237" s="15"/>
      <c r="B237" s="15">
        <f t="shared" si="27"/>
        <v>1</v>
      </c>
      <c r="C237" s="7" t="str" cm="1">
        <f t="array" ref="C237">_xlfn.TEXTJOIN(", ",,_xlfn._xlws.FILTER(Tabela1[[#All],[NUMER SERYJNY]],((Tabela1[[#All],[NAZWA]]=$A237)*(Tabela1[[#All],[KOMENTARZ]]=$A$2)),"----------"))</f>
        <v>----------</v>
      </c>
    </row>
    <row r="238" spans="1:3">
      <c r="A238" s="15"/>
      <c r="B238" s="15">
        <f t="shared" si="27"/>
        <v>1</v>
      </c>
      <c r="C238" s="7" t="str" cm="1">
        <f t="array" ref="C238">_xlfn.TEXTJOIN(", ",,_xlfn._xlws.FILTER(Tabela1[[#All],[NUMER SERYJNY]],((Tabela1[[#All],[NAZWA]]=$A238)*(Tabela1[[#All],[KOMENTARZ]]=$A$2)),"----------"))</f>
        <v>----------</v>
      </c>
    </row>
    <row r="242" spans="1:3">
      <c r="A242" s="11" t="s">
        <v>3329</v>
      </c>
    </row>
    <row r="243" spans="1:3">
      <c r="A243" s="12" t="s">
        <v>3549</v>
      </c>
      <c r="B243" s="13"/>
      <c r="C243" s="8"/>
    </row>
    <row r="244" spans="1:3">
      <c r="A244" s="14" t="s">
        <v>965</v>
      </c>
      <c r="B244" s="14">
        <f t="shared" ref="B244:B248" si="28">LEN(C244)-LEN(SUBSTITUTE(C244,",",""))+1</f>
        <v>1</v>
      </c>
      <c r="C244" s="9" t="str" cm="1">
        <f t="array" ref="C244">_xlfn.TEXTJOIN(", ",,_xlfn._xlws.FILTER(Tabela1[[#All],[NUMER SERYJNY]],((Tabela1[[#All],[NAZWA]]=$A244)*(Tabela1[[#All],[KOMENTARZ]]=$A243)),"----------"))</f>
        <v>A345069X2721199</v>
      </c>
    </row>
    <row r="245" spans="1:3">
      <c r="A245" s="15" t="s">
        <v>967</v>
      </c>
      <c r="B245" s="15">
        <f t="shared" si="28"/>
        <v>1</v>
      </c>
      <c r="C245" s="7" t="str" cm="1">
        <f t="array" ref="C245">_xlfn.TEXTJOIN(", ",,_xlfn._xlws.FILTER(Tabela1[[#All],[NUMER SERYJNY]],((Tabela1[[#All],[NAZWA]]=$A245)*(Tabela1[[#All],[KOMENTARZ]]=$A243)),"----------"))</f>
        <v>C5100LL25RA0449</v>
      </c>
    </row>
    <row r="246" spans="1:3">
      <c r="A246" s="15" t="s">
        <v>969</v>
      </c>
      <c r="B246" s="15">
        <f t="shared" si="28"/>
        <v>1</v>
      </c>
      <c r="C246" s="7" t="str" cm="1">
        <f t="array" ref="C246">_xlfn.TEXTJOIN(", ",,_xlfn._xlws.FILTER(Tabela1[[#All],[NUMER SERYJNY]],((Tabela1[[#All],[NAZWA]]=$A246)*(Tabela1[[#All],[KOMENTARZ]]=$A243)),"----------"))</f>
        <v>P20310L48G50125</v>
      </c>
    </row>
    <row r="247" spans="1:3">
      <c r="A247" s="15" t="s">
        <v>17</v>
      </c>
      <c r="B247" s="15">
        <f t="shared" si="28"/>
        <v>1</v>
      </c>
      <c r="C247" s="7" t="str" cm="1">
        <f t="array" ref="C247">_xlfn.TEXTJOIN(", ",,_xlfn._xlws.FILTER(Tabela1[[#All],[NUMER SERYJNY]],((Tabela1[[#All],[NAZWA]]=$A247)*(Tabela1[[#All],[KOMENTARZ]]=$A243)),"----------"))</f>
        <v>VR219S016050</v>
      </c>
    </row>
    <row r="248" spans="1:3">
      <c r="A248" s="15" t="s">
        <v>975</v>
      </c>
      <c r="B248" s="15">
        <f t="shared" si="28"/>
        <v>1</v>
      </c>
      <c r="C248" s="7" t="str" cm="1">
        <f t="array" ref="C248">_xlfn.TEXTJOIN(", ",,_xlfn._xlws.FILTER(Tabela1[[#All],[NUMER SERYJNY]],((Tabela1[[#All],[NAZWA]]=$A248)*(Tabela1[[#All],[KOMENTARZ]]=$A243)),"----------"))</f>
        <v>EB227S007056</v>
      </c>
    </row>
    <row r="249" spans="1:3">
      <c r="A249" s="15" t="s">
        <v>971</v>
      </c>
      <c r="B249" s="15">
        <f>LEN(C249)-LEN(SUBSTITUTE(C249,",",""))+1</f>
        <v>1</v>
      </c>
      <c r="C249" s="7" t="str" cm="1">
        <f t="array" ref="C249">_xlfn.TEXTJOIN(", ",,_xlfn._xlws.FILTER(Tabela1[[#All],[NUMER SERYJNY]],((Tabela1[[#All],[NAZWA]]=$A249)*(Tabela1[[#All],[KOMENTARZ]]=$A243)),"----------"))</f>
        <v>VM224S013216</v>
      </c>
    </row>
    <row r="250" spans="1:3">
      <c r="A250" s="15" t="s">
        <v>3441</v>
      </c>
      <c r="B250" s="15">
        <f>LEN(C250)-LEN(SUBSTITUTE(C250,",",""))+1</f>
        <v>1</v>
      </c>
      <c r="C250" s="7" t="str" cm="1">
        <f t="array" ref="C250">_xlfn.TEXTJOIN(", ",,_xlfn._xlws.FILTER(Tabela1[[#All],[NUMER SERYJNY]],((Tabela1[[#All],[NAZWA]]=$A250)*(Tabela1[[#All],[KOMENTARZ]]=$A243)),"----------"))</f>
        <v>X212K767 02119   U2XN436702119</v>
      </c>
    </row>
    <row r="251" spans="1:3">
      <c r="A251" s="15" t="s">
        <v>3553</v>
      </c>
      <c r="B251" s="15">
        <f t="shared" ref="B251:B256" si="29">LEN(C251)-LEN(SUBSTITUTE(C251,",",""))+1</f>
        <v>2</v>
      </c>
      <c r="C251" s="7" t="str" cm="1">
        <f t="array" ref="C251">_xlfn.TEXTJOIN(", ",,_xlfn._xlws.FILTER(Tabela1[[#All],[NUMER SERYJNY]],((Tabela1[[#All],[NAZWA]]=$A251)*(Tabela1[[#All],[KOMENTARZ]]=$A243)),"----------"))</f>
        <v>80AD01215075427AD5, 80AD01215075427AC7</v>
      </c>
    </row>
    <row r="252" spans="1:3">
      <c r="A252" s="15" t="s">
        <v>3302</v>
      </c>
      <c r="B252" s="15">
        <f t="shared" si="29"/>
        <v>1</v>
      </c>
      <c r="C252" s="7" t="str" cm="1">
        <f t="array" ref="C252">_xlfn.TEXTJOIN(", ",,_xlfn._xlws.FILTER(Tabela1[[#All],[NUMER SERYJNY]],((Tabela1[[#All],[NAZWA]]=$A252)*(Tabela1[[#All],[KOMENTARZ]]=$A243)),"----------"))</f>
        <v>S664NE0RC25580</v>
      </c>
    </row>
    <row r="253" spans="1:3">
      <c r="A253" s="15" t="s">
        <v>976</v>
      </c>
      <c r="B253" s="15">
        <f t="shared" si="29"/>
        <v>1</v>
      </c>
      <c r="C253" s="7" t="str" cm="1">
        <f t="array" ref="C253">_xlfn.TEXTJOIN(", ",,_xlfn._xlws.FILTER(Tabela1[[#All],[NUMER SERYJNY]],((Tabela1[[#All],[NAZWA]]=$A253)*(Tabela1[[#All],[KOMENTARZ]]=$A243)),"----------"))</f>
        <v>2219145924005</v>
      </c>
    </row>
    <row r="254" spans="1:3">
      <c r="A254" s="15"/>
      <c r="B254" s="15">
        <f t="shared" si="29"/>
        <v>1</v>
      </c>
      <c r="C254" s="7" t="str" cm="1">
        <f t="array" ref="C254">_xlfn.TEXTJOIN(", ",,_xlfn._xlws.FILTER(Tabela1[[#All],[NUMER SERYJNY]],((Tabela1[[#All],[NAZWA]]=$A254)*(Tabela1[[#All],[KOMENTARZ]]=$A$2)),"----------"))</f>
        <v>----------</v>
      </c>
    </row>
    <row r="255" spans="1:3">
      <c r="A255" s="15"/>
      <c r="B255" s="15">
        <f t="shared" si="29"/>
        <v>1</v>
      </c>
      <c r="C255" s="7" t="str" cm="1">
        <f t="array" ref="C255">_xlfn.TEXTJOIN(", ",,_xlfn._xlws.FILTER(Tabela1[[#All],[NUMER SERYJNY]],((Tabela1[[#All],[NAZWA]]=$A255)*(Tabela1[[#All],[KOMENTARZ]]=$A$2)),"----------"))</f>
        <v>----------</v>
      </c>
    </row>
    <row r="256" spans="1:3">
      <c r="A256" s="15"/>
      <c r="B256" s="15">
        <f t="shared" si="29"/>
        <v>1</v>
      </c>
      <c r="C256" s="7" t="str" cm="1">
        <f t="array" ref="C256">_xlfn.TEXTJOIN(", ",,_xlfn._xlws.FILTER(Tabela1[[#All],[NUMER SERYJNY]],((Tabela1[[#All],[NAZWA]]=$A256)*(Tabela1[[#All],[KOMENTARZ]]=$A$2)),"----------"))</f>
        <v>----------</v>
      </c>
    </row>
    <row r="260" spans="1:3">
      <c r="A260" s="11" t="s">
        <v>3329</v>
      </c>
    </row>
    <row r="261" spans="1:3">
      <c r="A261" s="12" t="s">
        <v>3550</v>
      </c>
      <c r="B261" s="13"/>
      <c r="C261" s="8"/>
    </row>
    <row r="262" spans="1:3">
      <c r="A262" s="14" t="s">
        <v>965</v>
      </c>
      <c r="B262" s="14">
        <f t="shared" ref="B262:B266" si="30">LEN(C262)-LEN(SUBSTITUTE(C262,",",""))+1</f>
        <v>1</v>
      </c>
      <c r="C262" s="9" t="str" cm="1">
        <f t="array" ref="C262">_xlfn.TEXTJOIN(", ",,_xlfn._xlws.FILTER(Tabela1[[#All],[NUMER SERYJNY]],((Tabela1[[#All],[NAZWA]]=$A262)*(Tabela1[[#All],[KOMENTARZ]]=$A261)),"----------"))</f>
        <v>A345069X2721218</v>
      </c>
    </row>
    <row r="263" spans="1:3">
      <c r="A263" s="15" t="s">
        <v>967</v>
      </c>
      <c r="B263" s="15">
        <f t="shared" si="30"/>
        <v>1</v>
      </c>
      <c r="C263" s="7" t="str" cm="1">
        <f t="array" ref="C263">_xlfn.TEXTJOIN(", ",,_xlfn._xlws.FILTER(Tabela1[[#All],[NUMER SERYJNY]],((Tabela1[[#All],[NAZWA]]=$A263)*(Tabela1[[#All],[KOMENTARZ]]=$A261)),"----------"))</f>
        <v>C5100LL25RA0467</v>
      </c>
    </row>
    <row r="264" spans="1:3">
      <c r="A264" s="15" t="s">
        <v>969</v>
      </c>
      <c r="B264" s="15">
        <f t="shared" si="30"/>
        <v>1</v>
      </c>
      <c r="C264" s="7" t="str" cm="1">
        <f t="array" ref="C264">_xlfn.TEXTJOIN(", ",,_xlfn._xlws.FILTER(Tabela1[[#All],[NUMER SERYJNY]],((Tabela1[[#All],[NAZWA]]=$A264)*(Tabela1[[#All],[KOMENTARZ]]=$A261)),"----------"))</f>
        <v>P20310L48G50187</v>
      </c>
    </row>
    <row r="265" spans="1:3">
      <c r="A265" s="15" t="s">
        <v>17</v>
      </c>
      <c r="B265" s="15">
        <f t="shared" si="30"/>
        <v>1</v>
      </c>
      <c r="C265" s="7" t="str" cm="1">
        <f t="array" ref="C265">_xlfn.TEXTJOIN(", ",,_xlfn._xlws.FILTER(Tabela1[[#All],[NUMER SERYJNY]],((Tabela1[[#All],[NAZWA]]=$A265)*(Tabela1[[#All],[KOMENTARZ]]=$A261)),"----------"))</f>
        <v>VR219S016003</v>
      </c>
    </row>
    <row r="266" spans="1:3">
      <c r="A266" s="15" t="s">
        <v>975</v>
      </c>
      <c r="B266" s="15">
        <f t="shared" si="30"/>
        <v>1</v>
      </c>
      <c r="C266" s="7" t="str" cm="1">
        <f t="array" ref="C266">_xlfn.TEXTJOIN(", ",,_xlfn._xlws.FILTER(Tabela1[[#All],[NUMER SERYJNY]],((Tabela1[[#All],[NAZWA]]=$A266)*(Tabela1[[#All],[KOMENTARZ]]=$A261)),"----------"))</f>
        <v>EB227S007048</v>
      </c>
    </row>
    <row r="267" spans="1:3">
      <c r="A267" s="15" t="s">
        <v>971</v>
      </c>
      <c r="B267" s="15">
        <f>LEN(C267)-LEN(SUBSTITUTE(C267,",",""))+1</f>
        <v>1</v>
      </c>
      <c r="C267" s="7" t="str" cm="1">
        <f t="array" ref="C267">_xlfn.TEXTJOIN(", ",,_xlfn._xlws.FILTER(Tabela1[[#All],[NUMER SERYJNY]],((Tabela1[[#All],[NAZWA]]=$A267)*(Tabela1[[#All],[KOMENTARZ]]=$A261)),"----------"))</f>
        <v>VM224S013137</v>
      </c>
    </row>
    <row r="268" spans="1:3">
      <c r="A268" s="15" t="s">
        <v>3441</v>
      </c>
      <c r="B268" s="15">
        <f>LEN(C268)-LEN(SUBSTITUTE(C268,",",""))+1</f>
        <v>1</v>
      </c>
      <c r="C268" s="7" t="str" cm="1">
        <f t="array" ref="C268">_xlfn.TEXTJOIN(", ",,_xlfn._xlws.FILTER(Tabela1[[#All],[NUMER SERYJNY]],((Tabela1[[#All],[NAZWA]]=$A268)*(Tabela1[[#All],[KOMENTARZ]]=$A261)),"----------"))</f>
        <v>X212K767 02698   U2XN436702698</v>
      </c>
    </row>
    <row r="269" spans="1:3">
      <c r="A269" s="15" t="s">
        <v>3553</v>
      </c>
      <c r="B269" s="15">
        <f t="shared" ref="B269:B274" si="31">LEN(C269)-LEN(SUBSTITUTE(C269,",",""))+1</f>
        <v>2</v>
      </c>
      <c r="C269" s="7" t="str" cm="1">
        <f t="array" ref="C269">_xlfn.TEXTJOIN(", ",,_xlfn._xlws.FILTER(Tabela1[[#All],[NUMER SERYJNY]],((Tabela1[[#All],[NAZWA]]=$A269)*(Tabela1[[#All],[KOMENTARZ]]=$A261)),"----------"))</f>
        <v>80AD01215075427AD4, 80AD01215075427ACE</v>
      </c>
    </row>
    <row r="270" spans="1:3">
      <c r="A270" s="15" t="s">
        <v>3302</v>
      </c>
      <c r="B270" s="15">
        <f t="shared" si="31"/>
        <v>1</v>
      </c>
      <c r="C270" s="7" t="str" cm="1">
        <f t="array" ref="C270">_xlfn.TEXTJOIN(", ",,_xlfn._xlws.FILTER(Tabela1[[#All],[NUMER SERYJNY]],((Tabela1[[#All],[NAZWA]]=$A270)*(Tabela1[[#All],[KOMENTARZ]]=$A261)),"----------"))</f>
        <v>S664NE0RC25586</v>
      </c>
    </row>
    <row r="271" spans="1:3">
      <c r="A271" s="15" t="s">
        <v>976</v>
      </c>
      <c r="B271" s="15">
        <f t="shared" si="31"/>
        <v>1</v>
      </c>
      <c r="C271" s="7" t="str" cm="1">
        <f t="array" ref="C271">_xlfn.TEXTJOIN(", ",,_xlfn._xlws.FILTER(Tabela1[[#All],[NUMER SERYJNY]],((Tabela1[[#All],[NAZWA]]=$A271)*(Tabela1[[#All],[KOMENTARZ]]=$A261)),"----------"))</f>
        <v>2219145924004</v>
      </c>
    </row>
    <row r="272" spans="1:3">
      <c r="A272" s="15"/>
      <c r="B272" s="15">
        <f t="shared" si="31"/>
        <v>1</v>
      </c>
      <c r="C272" s="7" t="str" cm="1">
        <f t="array" ref="C272">_xlfn.TEXTJOIN(", ",,_xlfn._xlws.FILTER(Tabela1[[#All],[NUMER SERYJNY]],((Tabela1[[#All],[NAZWA]]=$A272)*(Tabela1[[#All],[KOMENTARZ]]=$A$2)),"----------"))</f>
        <v>----------</v>
      </c>
    </row>
    <row r="273" spans="1:3">
      <c r="A273" s="15"/>
      <c r="B273" s="15">
        <f t="shared" si="31"/>
        <v>1</v>
      </c>
      <c r="C273" s="7" t="str" cm="1">
        <f t="array" ref="C273">_xlfn.TEXTJOIN(", ",,_xlfn._xlws.FILTER(Tabela1[[#All],[NUMER SERYJNY]],((Tabela1[[#All],[NAZWA]]=$A273)*(Tabela1[[#All],[KOMENTARZ]]=$A$2)),"----------"))</f>
        <v>----------</v>
      </c>
    </row>
    <row r="274" spans="1:3">
      <c r="A274" s="15"/>
      <c r="B274" s="15">
        <f t="shared" si="31"/>
        <v>1</v>
      </c>
      <c r="C274" s="7" t="str" cm="1">
        <f t="array" ref="C274">_xlfn.TEXTJOIN(", ",,_xlfn._xlws.FILTER(Tabela1[[#All],[NUMER SERYJNY]],((Tabela1[[#All],[NAZWA]]=$A274)*(Tabela1[[#All],[KOMENTARZ]]=$A$2)),"----------"))</f>
        <v>----------</v>
      </c>
    </row>
    <row r="277" spans="1:3">
      <c r="A277" s="11" t="s">
        <v>3329</v>
      </c>
    </row>
    <row r="278" spans="1:3">
      <c r="A278" s="12" t="s">
        <v>3551</v>
      </c>
      <c r="B278" s="13"/>
      <c r="C278" s="8"/>
    </row>
    <row r="279" spans="1:3">
      <c r="A279" s="14" t="s">
        <v>965</v>
      </c>
      <c r="B279" s="14">
        <f t="shared" ref="B279:B283" si="32">LEN(C279)-LEN(SUBSTITUTE(C279,",",""))+1</f>
        <v>1</v>
      </c>
      <c r="C279" s="9" t="str" cm="1">
        <f t="array" ref="C279">_xlfn.TEXTJOIN(", ",,_xlfn._xlws.FILTER(Tabela1[[#All],[NUMER SERYJNY]],((Tabela1[[#All],[NAZWA]]=$A279)*(Tabela1[[#All],[KOMENTARZ]]=$A278)),"----------"))</f>
        <v>A345069X2721215</v>
      </c>
    </row>
    <row r="280" spans="1:3">
      <c r="A280" s="15" t="s">
        <v>967</v>
      </c>
      <c r="B280" s="15">
        <f t="shared" si="32"/>
        <v>1</v>
      </c>
      <c r="C280" s="7" t="str" cm="1">
        <f t="array" ref="C280">_xlfn.TEXTJOIN(", ",,_xlfn._xlws.FILTER(Tabela1[[#All],[NUMER SERYJNY]],((Tabela1[[#All],[NAZWA]]=$A280)*(Tabela1[[#All],[KOMENTARZ]]=$A278)),"----------"))</f>
        <v>C5100LL25RA0477</v>
      </c>
    </row>
    <row r="281" spans="1:3">
      <c r="A281" s="15" t="s">
        <v>969</v>
      </c>
      <c r="B281" s="15">
        <f t="shared" si="32"/>
        <v>1</v>
      </c>
      <c r="C281" s="7" t="str" cm="1">
        <f t="array" ref="C281">_xlfn.TEXTJOIN(", ",,_xlfn._xlws.FILTER(Tabela1[[#All],[NUMER SERYJNY]],((Tabela1[[#All],[NAZWA]]=$A281)*(Tabela1[[#All],[KOMENTARZ]]=$A278)),"----------"))</f>
        <v>P20310L48G50193</v>
      </c>
    </row>
    <row r="282" spans="1:3">
      <c r="A282" s="15" t="s">
        <v>17</v>
      </c>
      <c r="B282" s="15">
        <f t="shared" si="32"/>
        <v>1</v>
      </c>
      <c r="C282" s="7" t="str" cm="1">
        <f t="array" ref="C282">_xlfn.TEXTJOIN(", ",,_xlfn._xlws.FILTER(Tabela1[[#All],[NUMER SERYJNY]],((Tabela1[[#All],[NAZWA]]=$A282)*(Tabela1[[#All],[KOMENTARZ]]=$A278)),"----------"))</f>
        <v>VR219S016073</v>
      </c>
    </row>
    <row r="283" spans="1:3">
      <c r="A283" s="15" t="s">
        <v>975</v>
      </c>
      <c r="B283" s="15">
        <f t="shared" si="32"/>
        <v>1</v>
      </c>
      <c r="C283" s="7" t="str" cm="1">
        <f t="array" ref="C283">_xlfn.TEXTJOIN(", ",,_xlfn._xlws.FILTER(Tabela1[[#All],[NUMER SERYJNY]],((Tabela1[[#All],[NAZWA]]=$A283)*(Tabela1[[#All],[KOMENTARZ]]=$A278)),"----------"))</f>
        <v>EB227S007047</v>
      </c>
    </row>
    <row r="284" spans="1:3">
      <c r="A284" s="15" t="s">
        <v>971</v>
      </c>
      <c r="B284" s="15">
        <f>LEN(C284)-LEN(SUBSTITUTE(C284,",",""))+1</f>
        <v>1</v>
      </c>
      <c r="C284" s="7" t="str" cm="1">
        <f t="array" ref="C284">_xlfn.TEXTJOIN(", ",,_xlfn._xlws.FILTER(Tabela1[[#All],[NUMER SERYJNY]],((Tabela1[[#All],[NAZWA]]=$A284)*(Tabela1[[#All],[KOMENTARZ]]=$A278)),"----------"))</f>
        <v>VM224S013136</v>
      </c>
    </row>
    <row r="285" spans="1:3">
      <c r="A285" s="15" t="s">
        <v>3441</v>
      </c>
      <c r="B285" s="15">
        <f>LEN(C285)-LEN(SUBSTITUTE(C285,",",""))+1</f>
        <v>1</v>
      </c>
      <c r="C285" s="7" t="str" cm="1">
        <f t="array" ref="C285">_xlfn.TEXTJOIN(", ",,_xlfn._xlws.FILTER(Tabela1[[#All],[NUMER SERYJNY]],((Tabela1[[#All],[NAZWA]]=$A285)*(Tabela1[[#All],[KOMENTARZ]]=$A278)),"----------"))</f>
        <v>X212K767 01300   U2XN436701300</v>
      </c>
    </row>
    <row r="286" spans="1:3">
      <c r="A286" s="15" t="s">
        <v>3553</v>
      </c>
      <c r="B286" s="15">
        <f t="shared" ref="B286:B291" si="33">LEN(C286)-LEN(SUBSTITUTE(C286,",",""))+1</f>
        <v>2</v>
      </c>
      <c r="C286" s="7" t="str" cm="1">
        <f t="array" ref="C286">_xlfn.TEXTJOIN(", ",,_xlfn._xlws.FILTER(Tabela1[[#All],[NUMER SERYJNY]],((Tabela1[[#All],[NAZWA]]=$A286)*(Tabela1[[#All],[KOMENTARZ]]=$A278)),"----------"))</f>
        <v>80AD01215075427AB5, 80AD01215075427AAF</v>
      </c>
    </row>
    <row r="287" spans="1:3">
      <c r="A287" s="15" t="s">
        <v>3302</v>
      </c>
      <c r="B287" s="15">
        <f t="shared" si="33"/>
        <v>1</v>
      </c>
      <c r="C287" s="7" t="str" cm="1">
        <f t="array" ref="C287">_xlfn.TEXTJOIN(", ",,_xlfn._xlws.FILTER(Tabela1[[#All],[NUMER SERYJNY]],((Tabela1[[#All],[NAZWA]]=$A287)*(Tabela1[[#All],[KOMENTARZ]]=$A278)),"----------"))</f>
        <v>S664NE0RC25590</v>
      </c>
    </row>
    <row r="288" spans="1:3">
      <c r="A288" s="15" t="s">
        <v>976</v>
      </c>
      <c r="B288" s="15">
        <f t="shared" si="33"/>
        <v>1</v>
      </c>
      <c r="C288" s="7" t="str" cm="1">
        <f t="array" ref="C288">_xlfn.TEXTJOIN(", ",,_xlfn._xlws.FILTER(Tabela1[[#All],[NUMER SERYJNY]],((Tabela1[[#All],[NAZWA]]=$A288)*(Tabela1[[#All],[KOMENTARZ]]=$A278)),"----------"))</f>
        <v>2219145924002</v>
      </c>
    </row>
    <row r="289" spans="1:3">
      <c r="A289" s="15"/>
      <c r="B289" s="15">
        <f t="shared" si="33"/>
        <v>1</v>
      </c>
      <c r="C289" s="7" t="str" cm="1">
        <f t="array" ref="C289">_xlfn.TEXTJOIN(", ",,_xlfn._xlws.FILTER(Tabela1[[#All],[NUMER SERYJNY]],((Tabela1[[#All],[NAZWA]]=$A289)*(Tabela1[[#All],[KOMENTARZ]]=$A$2)),"----------"))</f>
        <v>----------</v>
      </c>
    </row>
    <row r="290" spans="1:3">
      <c r="A290" s="15"/>
      <c r="B290" s="15">
        <f t="shared" si="33"/>
        <v>1</v>
      </c>
      <c r="C290" s="7" t="str" cm="1">
        <f t="array" ref="C290">_xlfn.TEXTJOIN(", ",,_xlfn._xlws.FILTER(Tabela1[[#All],[NUMER SERYJNY]],((Tabela1[[#All],[NAZWA]]=$A290)*(Tabela1[[#All],[KOMENTARZ]]=$A$2)),"----------"))</f>
        <v>----------</v>
      </c>
    </row>
    <row r="291" spans="1:3">
      <c r="A291" s="15"/>
      <c r="B291" s="15">
        <f t="shared" si="33"/>
        <v>1</v>
      </c>
      <c r="C291" s="7" t="str" cm="1">
        <f t="array" ref="C291">_xlfn.TEXTJOIN(", ",,_xlfn._xlws.FILTER(Tabela1[[#All],[NUMER SERYJNY]],((Tabela1[[#All],[NAZWA]]=$A291)*(Tabela1[[#All],[KOMENTARZ]]=$A$2)),"----------"))</f>
        <v>----------</v>
      </c>
    </row>
    <row r="295" spans="1:3">
      <c r="A295" s="11" t="s">
        <v>3329</v>
      </c>
    </row>
    <row r="296" spans="1:3">
      <c r="A296" s="12" t="s">
        <v>3552</v>
      </c>
      <c r="B296" s="13"/>
      <c r="C296" s="8"/>
    </row>
    <row r="297" spans="1:3">
      <c r="A297" s="14" t="s">
        <v>965</v>
      </c>
      <c r="B297" s="14">
        <f t="shared" ref="B297:B301" si="34">LEN(C297)-LEN(SUBSTITUTE(C297,",",""))+1</f>
        <v>1</v>
      </c>
      <c r="C297" s="9" t="str" cm="1">
        <f t="array" ref="C297">_xlfn.TEXTJOIN(", ",,_xlfn._xlws.FILTER(Tabela1[[#All],[NUMER SERYJNY]],((Tabela1[[#All],[NAZWA]]=$A297)*(Tabela1[[#All],[KOMENTARZ]]=$A296)),"----------"))</f>
        <v>A345069X2721192</v>
      </c>
    </row>
    <row r="298" spans="1:3">
      <c r="A298" s="15" t="s">
        <v>967</v>
      </c>
      <c r="B298" s="15">
        <f t="shared" si="34"/>
        <v>1</v>
      </c>
      <c r="C298" s="7" t="str" cm="1">
        <f t="array" ref="C298">_xlfn.TEXTJOIN(", ",,_xlfn._xlws.FILTER(Tabela1[[#All],[NUMER SERYJNY]],((Tabela1[[#All],[NAZWA]]=$A298)*(Tabela1[[#All],[KOMENTARZ]]=$A296)),"----------"))</f>
        <v>C5100LL25RA0460</v>
      </c>
    </row>
    <row r="299" spans="1:3">
      <c r="A299" s="15" t="s">
        <v>969</v>
      </c>
      <c r="B299" s="15">
        <f t="shared" si="34"/>
        <v>1</v>
      </c>
      <c r="C299" s="7" t="str" cm="1">
        <f t="array" ref="C299">_xlfn.TEXTJOIN(", ",,_xlfn._xlws.FILTER(Tabela1[[#All],[NUMER SERYJNY]],((Tabela1[[#All],[NAZWA]]=$A299)*(Tabela1[[#All],[KOMENTARZ]]=$A296)),"----------"))</f>
        <v>P20310L48G50121</v>
      </c>
    </row>
    <row r="300" spans="1:3">
      <c r="A300" s="15" t="s">
        <v>17</v>
      </c>
      <c r="B300" s="15">
        <f t="shared" si="34"/>
        <v>1</v>
      </c>
      <c r="C300" s="7" t="str" cm="1">
        <f t="array" ref="C300">_xlfn.TEXTJOIN(", ",,_xlfn._xlws.FILTER(Tabela1[[#All],[NUMER SERYJNY]],((Tabela1[[#All],[NAZWA]]=$A300)*(Tabela1[[#All],[KOMENTARZ]]=$A296)),"----------"))</f>
        <v>VR219S016048</v>
      </c>
    </row>
    <row r="301" spans="1:3">
      <c r="A301" s="15" t="s">
        <v>975</v>
      </c>
      <c r="B301" s="15">
        <f t="shared" si="34"/>
        <v>1</v>
      </c>
      <c r="C301" s="7" t="str" cm="1">
        <f t="array" ref="C301">_xlfn.TEXTJOIN(", ",,_xlfn._xlws.FILTER(Tabela1[[#All],[NUMER SERYJNY]],((Tabela1[[#All],[NAZWA]]=$A301)*(Tabela1[[#All],[KOMENTARZ]]=$A296)),"----------"))</f>
        <v>EB20BS009551</v>
      </c>
    </row>
    <row r="302" spans="1:3">
      <c r="A302" s="15" t="s">
        <v>971</v>
      </c>
      <c r="B302" s="15">
        <f>LEN(C302)-LEN(SUBSTITUTE(C302,",",""))+1</f>
        <v>1</v>
      </c>
      <c r="C302" s="7" t="str" cm="1">
        <f t="array" ref="C302">_xlfn.TEXTJOIN(", ",,_xlfn._xlws.FILTER(Tabela1[[#All],[NUMER SERYJNY]],((Tabela1[[#All],[NAZWA]]=$A302)*(Tabela1[[#All],[KOMENTARZ]]=$A296)),"----------"))</f>
        <v>VM226S001853</v>
      </c>
    </row>
    <row r="303" spans="1:3">
      <c r="A303" s="15" t="s">
        <v>3441</v>
      </c>
      <c r="B303" s="15">
        <f>LEN(C303)-LEN(SUBSTITUTE(C303,",",""))+1</f>
        <v>1</v>
      </c>
      <c r="C303" s="7" t="str" cm="1">
        <f t="array" ref="C303">_xlfn.TEXTJOIN(", ",,_xlfn._xlws.FILTER(Tabela1[[#All],[NUMER SERYJNY]],((Tabela1[[#All],[NAZWA]]=$A303)*(Tabela1[[#All],[KOMENTARZ]]=$A296)),"----------"))</f>
        <v>X212K767 02060   U2XN436702060 </v>
      </c>
    </row>
    <row r="304" spans="1:3">
      <c r="A304" s="15" t="s">
        <v>3553</v>
      </c>
      <c r="B304" s="15">
        <f t="shared" ref="B304:B309" si="35">LEN(C304)-LEN(SUBSTITUTE(C304,",",""))+1</f>
        <v>2</v>
      </c>
      <c r="C304" s="7" t="str" cm="1">
        <f t="array" ref="C304">_xlfn.TEXTJOIN(", ",,_xlfn._xlws.FILTER(Tabela1[[#All],[NUMER SERYJNY]],((Tabela1[[#All],[NAZWA]]=$A304)*(Tabela1[[#All],[KOMENTARZ]]=$A296)),"----------"))</f>
        <v>80AD01215075427A69, 80AD01215075427AAC</v>
      </c>
    </row>
    <row r="305" spans="1:3">
      <c r="A305" s="15" t="s">
        <v>3302</v>
      </c>
      <c r="B305" s="15">
        <f t="shared" si="35"/>
        <v>1</v>
      </c>
      <c r="C305" s="7" t="str" cm="1">
        <f t="array" ref="C305">_xlfn.TEXTJOIN(", ",,_xlfn._xlws.FILTER(Tabela1[[#All],[NUMER SERYJNY]],((Tabela1[[#All],[NAZWA]]=$A305)*(Tabela1[[#All],[KOMENTARZ]]=$A296)),"----------"))</f>
        <v>S664NE0RC25577</v>
      </c>
    </row>
    <row r="306" spans="1:3">
      <c r="A306" s="15" t="s">
        <v>976</v>
      </c>
      <c r="B306" s="15">
        <f t="shared" si="35"/>
        <v>1</v>
      </c>
      <c r="C306" s="7" t="str" cm="1">
        <f t="array" ref="C306">_xlfn.TEXTJOIN(", ",,_xlfn._xlws.FILTER(Tabela1[[#All],[NUMER SERYJNY]],((Tabela1[[#All],[NAZWA]]=$A306)*(Tabela1[[#All],[KOMENTARZ]]=$A296)),"----------"))</f>
        <v>2219145924003</v>
      </c>
    </row>
    <row r="307" spans="1:3">
      <c r="A307" s="15"/>
      <c r="B307" s="15">
        <f t="shared" si="35"/>
        <v>1</v>
      </c>
      <c r="C307" s="7" t="str" cm="1">
        <f t="array" ref="C307">_xlfn.TEXTJOIN(", ",,_xlfn._xlws.FILTER(Tabela1[[#All],[NUMER SERYJNY]],((Tabela1[[#All],[NAZWA]]=$A307)*(Tabela1[[#All],[KOMENTARZ]]=$A$2)),"----------"))</f>
        <v>----------</v>
      </c>
    </row>
    <row r="308" spans="1:3">
      <c r="A308" s="15"/>
      <c r="B308" s="15">
        <f t="shared" si="35"/>
        <v>1</v>
      </c>
      <c r="C308" s="7" t="str" cm="1">
        <f t="array" ref="C308">_xlfn.TEXTJOIN(", ",,_xlfn._xlws.FILTER(Tabela1[[#All],[NUMER SERYJNY]],((Tabela1[[#All],[NAZWA]]=$A308)*(Tabela1[[#All],[KOMENTARZ]]=$A$2)),"----------"))</f>
        <v>----------</v>
      </c>
    </row>
    <row r="309" spans="1:3">
      <c r="A309" s="15"/>
      <c r="B309" s="15">
        <f t="shared" si="35"/>
        <v>1</v>
      </c>
      <c r="C309" s="7" t="str" cm="1">
        <f t="array" ref="C309">_xlfn.TEXTJOIN(", ",,_xlfn._xlws.FILTER(Tabela1[[#All],[NUMER SERYJNY]],((Tabela1[[#All],[NAZWA]]=$A309)*(Tabela1[[#All],[KOMENTARZ]]=$A$2)),"----------"))</f>
        <v>----------</v>
      </c>
    </row>
    <row r="314" spans="1:3">
      <c r="A314" s="12"/>
      <c r="B314" s="13"/>
      <c r="C314" s="8"/>
    </row>
    <row r="315" spans="1:3">
      <c r="A315" s="14"/>
      <c r="B315" s="14"/>
      <c r="C315" s="9"/>
    </row>
    <row r="316" spans="1:3">
      <c r="A316" s="15"/>
      <c r="B316" s="15"/>
      <c r="C316" s="7"/>
    </row>
    <row r="317" spans="1:3">
      <c r="A317" s="15"/>
      <c r="B317" s="15"/>
      <c r="C317" s="7"/>
    </row>
    <row r="318" spans="1:3">
      <c r="A318" s="15"/>
      <c r="B318" s="15"/>
      <c r="C318" s="7"/>
    </row>
    <row r="319" spans="1:3">
      <c r="A319" s="15"/>
      <c r="B319" s="15"/>
      <c r="C319" s="7"/>
    </row>
    <row r="320" spans="1:3">
      <c r="A320" s="15"/>
      <c r="B320" s="15"/>
      <c r="C320" s="7"/>
    </row>
    <row r="321" spans="1:3">
      <c r="A321" s="15"/>
      <c r="B321" s="15"/>
      <c r="C321" s="7"/>
    </row>
    <row r="322" spans="1:3">
      <c r="A322" s="15"/>
      <c r="B322" s="15"/>
      <c r="C322" s="7"/>
    </row>
    <row r="323" spans="1:3">
      <c r="A323" s="15"/>
      <c r="B323" s="15"/>
      <c r="C323" s="7"/>
    </row>
    <row r="324" spans="1:3">
      <c r="A324" s="15"/>
      <c r="B324" s="15"/>
      <c r="C324" s="7"/>
    </row>
    <row r="325" spans="1:3">
      <c r="A325" s="15"/>
      <c r="B325" s="15"/>
      <c r="C325" s="7"/>
    </row>
    <row r="326" spans="1:3">
      <c r="A326" s="15"/>
      <c r="B326" s="15"/>
      <c r="C326" s="7"/>
    </row>
    <row r="327" spans="1:3">
      <c r="A327" s="15"/>
      <c r="B327" s="15"/>
      <c r="C327" s="7"/>
    </row>
  </sheetData>
  <conditionalFormatting sqref="F3">
    <cfRule type="duplicateValues" dxfId="501" priority="66"/>
  </conditionalFormatting>
  <conditionalFormatting sqref="C1:C16 C222:C223 C239:C241 C257:C259 C275:C276 C292:C294 C310:C312 C328:C1048576">
    <cfRule type="duplicateValues" dxfId="500" priority="65"/>
  </conditionalFormatting>
  <conditionalFormatting sqref="C67:C68">
    <cfRule type="duplicateValues" dxfId="499" priority="64"/>
  </conditionalFormatting>
  <conditionalFormatting sqref="C17">
    <cfRule type="duplicateValues" dxfId="498" priority="63"/>
  </conditionalFormatting>
  <conditionalFormatting sqref="C33">
    <cfRule type="duplicateValues" dxfId="497" priority="62"/>
  </conditionalFormatting>
  <conditionalFormatting sqref="C34">
    <cfRule type="duplicateValues" dxfId="496" priority="61"/>
  </conditionalFormatting>
  <conditionalFormatting sqref="C50:C51">
    <cfRule type="duplicateValues" dxfId="495" priority="60"/>
  </conditionalFormatting>
  <conditionalFormatting sqref="C30:C32">
    <cfRule type="duplicateValues" dxfId="494" priority="59"/>
  </conditionalFormatting>
  <conditionalFormatting sqref="C47:C49">
    <cfRule type="duplicateValues" dxfId="493" priority="58"/>
  </conditionalFormatting>
  <conditionalFormatting sqref="C64:C66">
    <cfRule type="duplicateValues" dxfId="492" priority="57"/>
  </conditionalFormatting>
  <conditionalFormatting sqref="C18:C29">
    <cfRule type="duplicateValues" dxfId="491" priority="56"/>
  </conditionalFormatting>
  <conditionalFormatting sqref="C35:C46">
    <cfRule type="duplicateValues" dxfId="490" priority="55"/>
  </conditionalFormatting>
  <conditionalFormatting sqref="C52:C63">
    <cfRule type="duplicateValues" dxfId="489" priority="54"/>
  </conditionalFormatting>
  <conditionalFormatting sqref="C1:C68 C222:C223 C239:C241 C257:C259 C275:C276 C292:C294 C310:C312 C328:C1048576">
    <cfRule type="duplicateValues" dxfId="488" priority="53"/>
  </conditionalFormatting>
  <conditionalFormatting sqref="C69:C84">
    <cfRule type="duplicateValues" dxfId="487" priority="52"/>
  </conditionalFormatting>
  <conditionalFormatting sqref="C135:C136">
    <cfRule type="duplicateValues" dxfId="486" priority="51"/>
  </conditionalFormatting>
  <conditionalFormatting sqref="C85">
    <cfRule type="duplicateValues" dxfId="485" priority="50"/>
  </conditionalFormatting>
  <conditionalFormatting sqref="C101">
    <cfRule type="duplicateValues" dxfId="484" priority="49"/>
  </conditionalFormatting>
  <conditionalFormatting sqref="C102">
    <cfRule type="duplicateValues" dxfId="483" priority="48"/>
  </conditionalFormatting>
  <conditionalFormatting sqref="C118:C119">
    <cfRule type="duplicateValues" dxfId="482" priority="47"/>
  </conditionalFormatting>
  <conditionalFormatting sqref="C98:C100">
    <cfRule type="duplicateValues" dxfId="481" priority="46"/>
  </conditionalFormatting>
  <conditionalFormatting sqref="C115:C117">
    <cfRule type="duplicateValues" dxfId="480" priority="45"/>
  </conditionalFormatting>
  <conditionalFormatting sqref="C132:C134">
    <cfRule type="duplicateValues" dxfId="479" priority="44"/>
  </conditionalFormatting>
  <conditionalFormatting sqref="C86:C97">
    <cfRule type="duplicateValues" dxfId="478" priority="43"/>
  </conditionalFormatting>
  <conditionalFormatting sqref="C103:C114">
    <cfRule type="duplicateValues" dxfId="477" priority="42"/>
  </conditionalFormatting>
  <conditionalFormatting sqref="C120:C131">
    <cfRule type="duplicateValues" dxfId="476" priority="41"/>
  </conditionalFormatting>
  <conditionalFormatting sqref="C69:C136">
    <cfRule type="duplicateValues" dxfId="475" priority="40"/>
  </conditionalFormatting>
  <conditionalFormatting sqref="C137:C138">
    <cfRule type="duplicateValues" dxfId="474" priority="39"/>
  </conditionalFormatting>
  <conditionalFormatting sqref="C137:C138">
    <cfRule type="duplicateValues" dxfId="473" priority="38"/>
  </conditionalFormatting>
  <conditionalFormatting sqref="C139:C154">
    <cfRule type="duplicateValues" dxfId="472" priority="37"/>
  </conditionalFormatting>
  <conditionalFormatting sqref="C205:C206">
    <cfRule type="duplicateValues" dxfId="471" priority="36"/>
  </conditionalFormatting>
  <conditionalFormatting sqref="C155">
    <cfRule type="duplicateValues" dxfId="470" priority="35"/>
  </conditionalFormatting>
  <conditionalFormatting sqref="C171">
    <cfRule type="duplicateValues" dxfId="469" priority="34"/>
  </conditionalFormatting>
  <conditionalFormatting sqref="C172">
    <cfRule type="duplicateValues" dxfId="468" priority="33"/>
  </conditionalFormatting>
  <conditionalFormatting sqref="C188:C189">
    <cfRule type="duplicateValues" dxfId="467" priority="32"/>
  </conditionalFormatting>
  <conditionalFormatting sqref="C168:C170">
    <cfRule type="duplicateValues" dxfId="466" priority="31"/>
  </conditionalFormatting>
  <conditionalFormatting sqref="C156:C167">
    <cfRule type="duplicateValues" dxfId="465" priority="28"/>
  </conditionalFormatting>
  <conditionalFormatting sqref="C139:C221">
    <cfRule type="duplicateValues" dxfId="464" priority="25"/>
  </conditionalFormatting>
  <conditionalFormatting sqref="C185:C187">
    <cfRule type="duplicateValues" dxfId="463" priority="24"/>
  </conditionalFormatting>
  <conditionalFormatting sqref="C173:C184">
    <cfRule type="duplicateValues" dxfId="462" priority="23"/>
  </conditionalFormatting>
  <conditionalFormatting sqref="C202:C204">
    <cfRule type="duplicateValues" dxfId="461" priority="22"/>
  </conditionalFormatting>
  <conditionalFormatting sqref="C190:C201">
    <cfRule type="duplicateValues" dxfId="460" priority="21"/>
  </conditionalFormatting>
  <conditionalFormatting sqref="C219:C221">
    <cfRule type="duplicateValues" dxfId="459" priority="20"/>
  </conditionalFormatting>
  <conditionalFormatting sqref="C207:C218">
    <cfRule type="duplicateValues" dxfId="458" priority="19"/>
  </conditionalFormatting>
  <conditionalFormatting sqref="C236:C238">
    <cfRule type="duplicateValues" dxfId="457" priority="18"/>
  </conditionalFormatting>
  <conditionalFormatting sqref="C224:C235">
    <cfRule type="duplicateValues" dxfId="456" priority="17"/>
  </conditionalFormatting>
  <conditionalFormatting sqref="C224:C238">
    <cfRule type="duplicateValues" dxfId="455" priority="16"/>
  </conditionalFormatting>
  <conditionalFormatting sqref="C254:C256">
    <cfRule type="duplicateValues" dxfId="454" priority="15"/>
  </conditionalFormatting>
  <conditionalFormatting sqref="C242:C253">
    <cfRule type="duplicateValues" dxfId="453" priority="14"/>
  </conditionalFormatting>
  <conditionalFormatting sqref="C242:C256">
    <cfRule type="duplicateValues" dxfId="452" priority="13"/>
  </conditionalFormatting>
  <conditionalFormatting sqref="C272:C274">
    <cfRule type="duplicateValues" dxfId="451" priority="12"/>
  </conditionalFormatting>
  <conditionalFormatting sqref="C260:C271">
    <cfRule type="duplicateValues" dxfId="450" priority="11"/>
  </conditionalFormatting>
  <conditionalFormatting sqref="C260:C274">
    <cfRule type="duplicateValues" dxfId="449" priority="10"/>
  </conditionalFormatting>
  <conditionalFormatting sqref="C289:C291">
    <cfRule type="duplicateValues" dxfId="448" priority="9"/>
  </conditionalFormatting>
  <conditionalFormatting sqref="C277:C288">
    <cfRule type="duplicateValues" dxfId="447" priority="8"/>
  </conditionalFormatting>
  <conditionalFormatting sqref="C277:C291">
    <cfRule type="duplicateValues" dxfId="446" priority="7"/>
  </conditionalFormatting>
  <conditionalFormatting sqref="C307:C309">
    <cfRule type="duplicateValues" dxfId="445" priority="6"/>
  </conditionalFormatting>
  <conditionalFormatting sqref="C295:C306">
    <cfRule type="duplicateValues" dxfId="444" priority="5"/>
  </conditionalFormatting>
  <conditionalFormatting sqref="C295:C309">
    <cfRule type="duplicateValues" dxfId="443" priority="4"/>
  </conditionalFormatting>
  <conditionalFormatting sqref="C325:C327">
    <cfRule type="duplicateValues" dxfId="442" priority="3"/>
  </conditionalFormatting>
  <conditionalFormatting sqref="C313:C324">
    <cfRule type="duplicateValues" dxfId="441" priority="2"/>
  </conditionalFormatting>
  <conditionalFormatting sqref="C313:C327">
    <cfRule type="duplicateValues" dxfId="440" priority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766C3-6EC7-4BE3-BB60-FC0201C7B2C5}">
  <sheetPr codeName="Arkusz6"/>
  <dimension ref="A1:D206"/>
  <sheetViews>
    <sheetView workbookViewId="0">
      <selection activeCell="A35" sqref="A35"/>
    </sheetView>
  </sheetViews>
  <sheetFormatPr defaultRowHeight="15"/>
  <cols>
    <col min="1" max="1" width="33.85546875" style="11" bestFit="1" customWidth="1"/>
    <col min="2" max="2" width="4.28515625" style="11" customWidth="1"/>
    <col min="3" max="3" width="47.42578125" customWidth="1"/>
    <col min="4" max="4" width="10.140625" bestFit="1" customWidth="1"/>
  </cols>
  <sheetData>
    <row r="1" spans="1:4">
      <c r="A1" s="11" t="s">
        <v>3534</v>
      </c>
    </row>
    <row r="2" spans="1:4">
      <c r="A2" s="12" t="s">
        <v>3421</v>
      </c>
      <c r="B2" s="13"/>
      <c r="C2" s="8"/>
    </row>
    <row r="3" spans="1:4">
      <c r="A3" s="14" t="s">
        <v>965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A345069X2721184</v>
      </c>
      <c r="D3" s="6"/>
    </row>
    <row r="4" spans="1:4">
      <c r="A4" s="15" t="s">
        <v>967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C5100LL25RA0458</v>
      </c>
    </row>
    <row r="5" spans="1:4">
      <c r="A5" s="15" t="s">
        <v>969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P20310L48G50119</v>
      </c>
    </row>
    <row r="6" spans="1:4">
      <c r="A6" s="15" t="s">
        <v>17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VR219S016005</v>
      </c>
    </row>
    <row r="7" spans="1:4">
      <c r="A7" s="15" t="s">
        <v>975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EB227S007043</v>
      </c>
    </row>
    <row r="8" spans="1:4">
      <c r="A8" s="15" t="s">
        <v>971</v>
      </c>
      <c r="B8" s="15">
        <f>LEN(C8)-LEN(SUBSTITUTE(C8,",",""))+1</f>
        <v>1</v>
      </c>
      <c r="C8" s="7" t="str" cm="1">
        <f t="array" ref="C8">_xlfn.TEXTJOIN(", ",,_xlfn._xlws.FILTER(Tabela1[[#All],[NUMER SERYJNY]],((Tabela1[[#All],[NAZWA]]=$A8)*(Tabela1[[#All],[KOMENTARZ]]=$A2)),"----------"))</f>
        <v>VM226S001849</v>
      </c>
    </row>
    <row r="9" spans="1:4">
      <c r="A9" s="15" t="s">
        <v>3441</v>
      </c>
      <c r="B9" s="15">
        <f>LEN(C9)-LEN(SUBSTITUTE(C9,",",""))+1</f>
        <v>1</v>
      </c>
      <c r="C9" s="7" t="str" cm="1">
        <f t="array" ref="C9">_xlfn.TEXTJOIN(", ",,_xlfn._xlws.FILTER(Tabela1[[#All],[NUMER SERYJNY]],((Tabela1[[#All],[NAZWA]]=$A9)*(Tabela1[[#All],[KOMENTARZ]]=$A2)),"----------"))</f>
        <v>X225K132  01846</v>
      </c>
    </row>
    <row r="10" spans="1:4">
      <c r="A10" s="15" t="s">
        <v>3052</v>
      </c>
      <c r="B10" s="15">
        <f t="shared" ref="B10:B15" si="1">LEN(C10)-LEN(SUBSTITUTE(C10,",",""))+1</f>
        <v>2</v>
      </c>
      <c r="C10" s="7" t="str" cm="1">
        <f t="array" ref="C10">_xlfn.TEXTJOIN(", ",,_xlfn._xlws.FILTER(Tabela1[[#All],[NUMER SERYJNY]],((Tabela1[[#All],[NAZWA]]=$A10)*(Tabela1[[#All],[KOMENTARZ]]=$A2)),"----------"))</f>
        <v>80AD0121507542C29F, 80AD0121507542C29E</v>
      </c>
    </row>
    <row r="11" spans="1:4">
      <c r="A11" s="15" t="s">
        <v>3302</v>
      </c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S664NE0RC27049</v>
      </c>
    </row>
    <row r="12" spans="1:4">
      <c r="A12" s="15" t="s">
        <v>976</v>
      </c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2219145923987</v>
      </c>
    </row>
    <row r="13" spans="1:4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SERYJNY]],((Tabela1[[#All],[NAZWA]]=$A13)*(Tabela1[[#All],[KOMENTARZ]]=$A$2)),"----------"))</f>
        <v>----------</v>
      </c>
    </row>
    <row r="14" spans="1:4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SERYJNY]],((Tabela1[[#All],[NAZWA]]=$A14)*(Tabela1[[#All],[KOMENTARZ]]=$A$2)),"----------"))</f>
        <v>----------</v>
      </c>
    </row>
    <row r="15" spans="1:4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SERYJNY]],((Tabela1[[#All],[NAZWA]]=$A15)*(Tabela1[[#All],[KOMENTARZ]]=$A$2)),"----------"))</f>
        <v>----------</v>
      </c>
    </row>
    <row r="16" spans="1:4" ht="18.75">
      <c r="A16" s="16"/>
      <c r="B16" s="16"/>
      <c r="C16" s="10"/>
    </row>
    <row r="17" spans="1:3">
      <c r="A17" s="12"/>
      <c r="B17" s="13"/>
      <c r="C17" s="8"/>
    </row>
    <row r="18" spans="1:3">
      <c r="A18" s="11" t="s">
        <v>3329</v>
      </c>
    </row>
    <row r="19" spans="1:3">
      <c r="A19" s="12" t="s">
        <v>3422</v>
      </c>
      <c r="B19" s="13"/>
      <c r="C19" s="8"/>
    </row>
    <row r="20" spans="1:3">
      <c r="A20" s="14" t="s">
        <v>965</v>
      </c>
      <c r="B20" s="14">
        <f t="shared" ref="B20:B24" si="2">LEN(C20)-LEN(SUBSTITUTE(C20,",",""))+1</f>
        <v>1</v>
      </c>
      <c r="C20" s="9" t="str" cm="1">
        <f t="array" ref="C20">_xlfn.TEXTJOIN(", ",,_xlfn._xlws.FILTER(Tabela1[[#All],[NUMER SERYJNY]],((Tabela1[[#All],[NAZWA]]=$A20)*(Tabela1[[#All],[KOMENTARZ]]=$A19)),"----------"))</f>
        <v>A345069X2721186</v>
      </c>
    </row>
    <row r="21" spans="1:3">
      <c r="A21" s="15" t="s">
        <v>967</v>
      </c>
      <c r="B21" s="15">
        <f t="shared" si="2"/>
        <v>1</v>
      </c>
      <c r="C21" s="7" t="str" cm="1">
        <f t="array" ref="C21">_xlfn.TEXTJOIN(", ",,_xlfn._xlws.FILTER(Tabela1[[#All],[NUMER SERYJNY]],((Tabela1[[#All],[NAZWA]]=$A21)*(Tabela1[[#All],[KOMENTARZ]]=$A19)),"----------"))</f>
        <v>C5100LL25RA0441</v>
      </c>
    </row>
    <row r="22" spans="1:3">
      <c r="A22" s="15" t="s">
        <v>969</v>
      </c>
      <c r="B22" s="15">
        <f t="shared" si="2"/>
        <v>1</v>
      </c>
      <c r="C22" s="7" t="str" cm="1">
        <f t="array" ref="C22">_xlfn.TEXTJOIN(", ",,_xlfn._xlws.FILTER(Tabela1[[#All],[NUMER SERYJNY]],((Tabela1[[#All],[NAZWA]]=$A22)*(Tabela1[[#All],[KOMENTARZ]]=$A19)),"----------"))</f>
        <v>P20310L48G50117</v>
      </c>
    </row>
    <row r="23" spans="1:3">
      <c r="A23" s="15" t="s">
        <v>17</v>
      </c>
      <c r="B23" s="15">
        <f t="shared" si="2"/>
        <v>1</v>
      </c>
      <c r="C23" s="7" t="str" cm="1">
        <f t="array" ref="C23">_xlfn.TEXTJOIN(", ",,_xlfn._xlws.FILTER(Tabela1[[#All],[NUMER SERYJNY]],((Tabela1[[#All],[NAZWA]]=$A23)*(Tabela1[[#All],[KOMENTARZ]]=$A19)),"----------"))</f>
        <v>VR219S016021</v>
      </c>
    </row>
    <row r="24" spans="1:3">
      <c r="A24" s="15" t="s">
        <v>975</v>
      </c>
      <c r="B24" s="15">
        <f t="shared" si="2"/>
        <v>1</v>
      </c>
      <c r="C24" s="7" t="str" cm="1">
        <f t="array" ref="C24">_xlfn.TEXTJOIN(", ",,_xlfn._xlws.FILTER(Tabela1[[#All],[NUMER SERYJNY]],((Tabela1[[#All],[NAZWA]]=$A24)*(Tabela1[[#All],[KOMENTARZ]]=$A19)),"----------"))</f>
        <v>EB227S007561</v>
      </c>
    </row>
    <row r="25" spans="1:3">
      <c r="A25" s="15" t="s">
        <v>971</v>
      </c>
      <c r="B25" s="15">
        <f>LEN(C25)-LEN(SUBSTITUTE(C25,",",""))+1</f>
        <v>1</v>
      </c>
      <c r="C25" s="7" t="str" cm="1">
        <f t="array" ref="C25">_xlfn.TEXTJOIN(", ",,_xlfn._xlws.FILTER(Tabela1[[#All],[NUMER SERYJNY]],((Tabela1[[#All],[NAZWA]]=$A25)*(Tabela1[[#All],[KOMENTARZ]]=$A19)),"----------"))</f>
        <v>VM224S005752</v>
      </c>
    </row>
    <row r="26" spans="1:3">
      <c r="A26" s="15" t="s">
        <v>3441</v>
      </c>
      <c r="B26" s="15">
        <f>LEN(C26)-LEN(SUBSTITUTE(C26,",",""))+1</f>
        <v>1</v>
      </c>
      <c r="C26" s="7" t="str" cm="1">
        <f t="array" ref="C26">_xlfn.TEXTJOIN(", ",,_xlfn._xlws.FILTER(Tabela1[[#All],[NUMER SERYJNY]],((Tabela1[[#All],[NAZWA]]=$A26)*(Tabela1[[#All],[KOMENTARZ]]=$A19)),"----------"))</f>
        <v>X225K132  01845</v>
      </c>
    </row>
    <row r="27" spans="1:3">
      <c r="A27" s="15" t="s">
        <v>3052</v>
      </c>
      <c r="B27" s="15">
        <f t="shared" ref="B27:B32" si="3">LEN(C27)-LEN(SUBSTITUTE(C27,",",""))+1</f>
        <v>2</v>
      </c>
      <c r="C27" s="7" t="str" cm="1">
        <f t="array" ref="C27">_xlfn.TEXTJOIN(", ",,_xlfn._xlws.FILTER(Tabela1[[#All],[NUMER SERYJNY]],((Tabela1[[#All],[NAZWA]]=$A27)*(Tabela1[[#All],[KOMENTARZ]]=$A19)),"----------"))</f>
        <v>80AD0121507542C304, 80AD0121507542C285</v>
      </c>
    </row>
    <row r="28" spans="1:3">
      <c r="A28" s="15" t="s">
        <v>3302</v>
      </c>
      <c r="B28" s="15">
        <f t="shared" si="3"/>
        <v>1</v>
      </c>
      <c r="C28" s="7" t="str" cm="1">
        <f t="array" ref="C28">_xlfn.TEXTJOIN(", ",,_xlfn._xlws.FILTER(Tabela1[[#All],[NUMER SERYJNY]],((Tabela1[[#All],[NAZWA]]=$A28)*(Tabela1[[#All],[KOMENTARZ]]=$A19)),"----------"))</f>
        <v>s664ne0rc26641</v>
      </c>
    </row>
    <row r="29" spans="1:3">
      <c r="A29" s="15" t="s">
        <v>976</v>
      </c>
      <c r="B29" s="15">
        <f t="shared" si="3"/>
        <v>1</v>
      </c>
      <c r="C29" s="7" t="str" cm="1">
        <f t="array" ref="C29">_xlfn.TEXTJOIN(", ",,_xlfn._xlws.FILTER(Tabela1[[#All],[NUMER SERYJNY]],((Tabela1[[#All],[NAZWA]]=$A29)*(Tabela1[[#All],[KOMENTARZ]]=$A19)),"----------"))</f>
        <v>2219145923986</v>
      </c>
    </row>
    <row r="30" spans="1:3">
      <c r="A30" s="15"/>
      <c r="B30" s="15">
        <f t="shared" si="3"/>
        <v>1</v>
      </c>
      <c r="C30" s="7" t="str" cm="1">
        <f t="array" ref="C30">_xlfn.TEXTJOIN(", ",,_xlfn._xlws.FILTER(Tabela1[[#All],[NUMER SERYJNY]],((Tabela1[[#All],[NAZWA]]=$A30)*(Tabela1[[#All],[KOMENTARZ]]=$A$2)),"----------"))</f>
        <v>----------</v>
      </c>
    </row>
    <row r="31" spans="1:3">
      <c r="A31" s="15"/>
      <c r="B31" s="15">
        <f t="shared" si="3"/>
        <v>1</v>
      </c>
      <c r="C31" s="7" t="str" cm="1">
        <f t="array" ref="C31">_xlfn.TEXTJOIN(", ",,_xlfn._xlws.FILTER(Tabela1[[#All],[NUMER SERYJNY]],((Tabela1[[#All],[NAZWA]]=$A31)*(Tabela1[[#All],[KOMENTARZ]]=$A$2)),"----------"))</f>
        <v>----------</v>
      </c>
    </row>
    <row r="32" spans="1:3">
      <c r="A32" s="15"/>
      <c r="B32" s="15">
        <f t="shared" si="3"/>
        <v>1</v>
      </c>
      <c r="C32" s="7" t="str" cm="1">
        <f t="array" ref="C32">_xlfn.TEXTJOIN(", ",,_xlfn._xlws.FILTER(Tabela1[[#All],[NUMER SERYJNY]],((Tabela1[[#All],[NAZWA]]=$A32)*(Tabela1[[#All],[KOMENTARZ]]=$A$2)),"----------"))</f>
        <v>----------</v>
      </c>
    </row>
    <row r="33" spans="1:3">
      <c r="A33" s="12"/>
      <c r="B33" s="13"/>
      <c r="C33" s="8"/>
    </row>
    <row r="34" spans="1:3">
      <c r="A34" s="14"/>
      <c r="B34" s="14"/>
      <c r="C34" s="9"/>
    </row>
    <row r="35" spans="1:3">
      <c r="A35" s="11" t="s">
        <v>3329</v>
      </c>
    </row>
    <row r="36" spans="1:3">
      <c r="A36" s="12" t="s">
        <v>3423</v>
      </c>
      <c r="B36" s="13"/>
      <c r="C36" s="8"/>
    </row>
    <row r="37" spans="1:3">
      <c r="A37" s="14" t="s">
        <v>965</v>
      </c>
      <c r="B37" s="14">
        <f t="shared" ref="B37:B41" si="4">LEN(C37)-LEN(SUBSTITUTE(C37,",",""))+1</f>
        <v>1</v>
      </c>
      <c r="C37" s="9" t="str" cm="1">
        <f t="array" ref="C37">_xlfn.TEXTJOIN(", ",,_xlfn._xlws.FILTER(Tabela1[[#All],[NUMER SERYJNY]],((Tabela1[[#All],[NAZWA]]=$A37)*(Tabela1[[#All],[KOMENTARZ]]=$A36)),"----------"))</f>
        <v>A345069X2721178</v>
      </c>
    </row>
    <row r="38" spans="1:3">
      <c r="A38" s="15" t="s">
        <v>967</v>
      </c>
      <c r="B38" s="15">
        <f t="shared" si="4"/>
        <v>1</v>
      </c>
      <c r="C38" s="7" t="str" cm="1">
        <f t="array" ref="C38">_xlfn.TEXTJOIN(", ",,_xlfn._xlws.FILTER(Tabela1[[#All],[NUMER SERYJNY]],((Tabela1[[#All],[NAZWA]]=$A38)*(Tabela1[[#All],[KOMENTARZ]]=$A36)),"----------"))</f>
        <v>C5100LL25RA0452</v>
      </c>
    </row>
    <row r="39" spans="1:3">
      <c r="A39" s="15" t="s">
        <v>969</v>
      </c>
      <c r="B39" s="15">
        <f t="shared" si="4"/>
        <v>1</v>
      </c>
      <c r="C39" s="7" t="str" cm="1">
        <f t="array" ref="C39">_xlfn.TEXTJOIN(", ",,_xlfn._xlws.FILTER(Tabela1[[#All],[NUMER SERYJNY]],((Tabela1[[#All],[NAZWA]]=$A39)*(Tabela1[[#All],[KOMENTARZ]]=$A36)),"----------"))</f>
        <v>P20310L48G50297</v>
      </c>
    </row>
    <row r="40" spans="1:3">
      <c r="A40" s="15" t="s">
        <v>17</v>
      </c>
      <c r="B40" s="15">
        <f t="shared" si="4"/>
        <v>1</v>
      </c>
      <c r="C40" s="7" t="str" cm="1">
        <f t="array" ref="C40">_xlfn.TEXTJOIN(", ",,_xlfn._xlws.FILTER(Tabela1[[#All],[NUMER SERYJNY]],((Tabela1[[#All],[NAZWA]]=$A40)*(Tabela1[[#All],[KOMENTARZ]]=$A36)),"----------"))</f>
        <v>VR219S016046</v>
      </c>
    </row>
    <row r="41" spans="1:3">
      <c r="A41" s="15" t="s">
        <v>975</v>
      </c>
      <c r="B41" s="15">
        <f t="shared" si="4"/>
        <v>1</v>
      </c>
      <c r="C41" s="7" t="str" cm="1">
        <f t="array" ref="C41">_xlfn.TEXTJOIN(", ",,_xlfn._xlws.FILTER(Tabela1[[#All],[NUMER SERYJNY]],((Tabela1[[#All],[NAZWA]]=$A41)*(Tabela1[[#All],[KOMENTARZ]]=$A36)),"----------"))</f>
        <v>EB227S007576</v>
      </c>
    </row>
    <row r="42" spans="1:3">
      <c r="A42" s="15" t="s">
        <v>971</v>
      </c>
      <c r="B42" s="15">
        <f>LEN(C42)-LEN(SUBSTITUTE(C42,",",""))+1</f>
        <v>1</v>
      </c>
      <c r="C42" s="7" t="str" cm="1">
        <f t="array" ref="C42">_xlfn.TEXTJOIN(", ",,_xlfn._xlws.FILTER(Tabela1[[#All],[NUMER SERYJNY]],((Tabela1[[#All],[NAZWA]]=$A42)*(Tabela1[[#All],[KOMENTARZ]]=$A36)),"----------"))</f>
        <v>VM226S001671</v>
      </c>
    </row>
    <row r="43" spans="1:3">
      <c r="A43" s="15" t="s">
        <v>3441</v>
      </c>
      <c r="B43" s="15">
        <f>LEN(C43)-LEN(SUBSTITUTE(C43,",",""))+1</f>
        <v>1</v>
      </c>
      <c r="C43" s="7" t="str" cm="1">
        <f t="array" ref="C43">_xlfn.TEXTJOIN(", ",,_xlfn._xlws.FILTER(Tabela1[[#All],[NUMER SERYJNY]],((Tabela1[[#All],[NAZWA]]=$A43)*(Tabela1[[#All],[KOMENTARZ]]=$A36)),"----------"))</f>
        <v xml:space="preserve">X225K132  02405 </v>
      </c>
    </row>
    <row r="44" spans="1:3">
      <c r="A44" s="15" t="s">
        <v>3052</v>
      </c>
      <c r="B44" s="15">
        <f t="shared" ref="B44:B49" si="5">LEN(C44)-LEN(SUBSTITUTE(C44,",",""))+1</f>
        <v>2</v>
      </c>
      <c r="C44" s="7" t="str" cm="1">
        <f t="array" ref="C44">_xlfn.TEXTJOIN(", ",,_xlfn._xlws.FILTER(Tabela1[[#All],[NUMER SERYJNY]],((Tabela1[[#All],[NAZWA]]=$A44)*(Tabela1[[#All],[KOMENTARZ]]=$A36)),"----------"))</f>
        <v>80AD0121507542C2A0, 80AD0121507542C27D</v>
      </c>
    </row>
    <row r="45" spans="1:3">
      <c r="A45" s="15" t="s">
        <v>3302</v>
      </c>
      <c r="B45" s="15">
        <f t="shared" si="5"/>
        <v>1</v>
      </c>
      <c r="C45" s="7" t="str" cm="1">
        <f t="array" ref="C45">_xlfn.TEXTJOIN(", ",,_xlfn._xlws.FILTER(Tabela1[[#All],[NUMER SERYJNY]],((Tabela1[[#All],[NAZWA]]=$A45)*(Tabela1[[#All],[KOMENTARZ]]=$A36)),"----------"))</f>
        <v>s664ne0rc27061</v>
      </c>
    </row>
    <row r="46" spans="1:3">
      <c r="A46" s="15" t="s">
        <v>976</v>
      </c>
      <c r="B46" s="15">
        <f t="shared" si="5"/>
        <v>1</v>
      </c>
      <c r="C46" s="7" t="str" cm="1">
        <f t="array" ref="C46">_xlfn.TEXTJOIN(", ",,_xlfn._xlws.FILTER(Tabela1[[#All],[NUMER SERYJNY]],((Tabela1[[#All],[NAZWA]]=$A46)*(Tabela1[[#All],[KOMENTARZ]]=$A36)),"----------"))</f>
        <v>2219145923988</v>
      </c>
    </row>
    <row r="47" spans="1:3">
      <c r="A47" s="15"/>
      <c r="B47" s="15">
        <f t="shared" si="5"/>
        <v>1</v>
      </c>
      <c r="C47" s="7" t="str" cm="1">
        <f t="array" ref="C47">_xlfn.TEXTJOIN(", ",,_xlfn._xlws.FILTER(Tabela1[[#All],[NUMER SERYJNY]],((Tabela1[[#All],[NAZWA]]=$A47)*(Tabela1[[#All],[KOMENTARZ]]=$A$2)),"----------"))</f>
        <v>----------</v>
      </c>
    </row>
    <row r="48" spans="1:3">
      <c r="A48" s="15"/>
      <c r="B48" s="15">
        <f t="shared" si="5"/>
        <v>1</v>
      </c>
      <c r="C48" s="7" t="str" cm="1">
        <f t="array" ref="C48">_xlfn.TEXTJOIN(", ",,_xlfn._xlws.FILTER(Tabela1[[#All],[NUMER SERYJNY]],((Tabela1[[#All],[NAZWA]]=$A48)*(Tabela1[[#All],[KOMENTARZ]]=$A$2)),"----------"))</f>
        <v>----------</v>
      </c>
    </row>
    <row r="49" spans="1:3">
      <c r="A49" s="15"/>
      <c r="B49" s="15">
        <f t="shared" si="5"/>
        <v>1</v>
      </c>
      <c r="C49" s="7" t="str" cm="1">
        <f t="array" ref="C49">_xlfn.TEXTJOIN(", ",,_xlfn._xlws.FILTER(Tabela1[[#All],[NUMER SERYJNY]],((Tabela1[[#All],[NAZWA]]=$A49)*(Tabela1[[#All],[KOMENTARZ]]=$A$2)),"----------"))</f>
        <v>----------</v>
      </c>
    </row>
    <row r="50" spans="1:3">
      <c r="A50" s="14"/>
      <c r="B50" s="14"/>
      <c r="C50" s="9"/>
    </row>
    <row r="51" spans="1:3">
      <c r="A51" s="15"/>
      <c r="B51" s="15"/>
      <c r="C51" s="7"/>
    </row>
    <row r="52" spans="1:3">
      <c r="A52" s="11" t="s">
        <v>3329</v>
      </c>
    </row>
    <row r="53" spans="1:3">
      <c r="A53" s="12" t="s">
        <v>3429</v>
      </c>
      <c r="B53" s="13"/>
      <c r="C53" s="8"/>
    </row>
    <row r="54" spans="1:3">
      <c r="A54" s="14" t="s">
        <v>965</v>
      </c>
      <c r="B54" s="14">
        <f t="shared" ref="B54:B58" si="6">LEN(C54)-LEN(SUBSTITUTE(C54,",",""))+1</f>
        <v>1</v>
      </c>
      <c r="C54" s="9" t="str" cm="1">
        <f t="array" ref="C54">_xlfn.TEXTJOIN(", ",,_xlfn._xlws.FILTER(Tabela1[[#All],[NUMER SERYJNY]],((Tabela1[[#All],[NAZWA]]=$A54)*(Tabela1[[#All],[KOMENTARZ]]=$A53)),"----------"))</f>
        <v>A345069X2721213</v>
      </c>
    </row>
    <row r="55" spans="1:3">
      <c r="A55" s="15" t="s">
        <v>967</v>
      </c>
      <c r="B55" s="15">
        <f t="shared" si="6"/>
        <v>1</v>
      </c>
      <c r="C55" s="7" t="str" cm="1">
        <f t="array" ref="C55">_xlfn.TEXTJOIN(", ",,_xlfn._xlws.FILTER(Tabela1[[#All],[NUMER SERYJNY]],((Tabela1[[#All],[NAZWA]]=$A55)*(Tabela1[[#All],[KOMENTARZ]]=$A53)),"----------"))</f>
        <v>C5100LL25RA0463</v>
      </c>
    </row>
    <row r="56" spans="1:3">
      <c r="A56" s="15" t="s">
        <v>969</v>
      </c>
      <c r="B56" s="15">
        <f t="shared" si="6"/>
        <v>1</v>
      </c>
      <c r="C56" s="7" t="str" cm="1">
        <f t="array" ref="C56">_xlfn.TEXTJOIN(", ",,_xlfn._xlws.FILTER(Tabela1[[#All],[NUMER SERYJNY]],((Tabela1[[#All],[NAZWA]]=$A56)*(Tabela1[[#All],[KOMENTARZ]]=$A53)),"----------"))</f>
        <v>P20310L48G50194</v>
      </c>
    </row>
    <row r="57" spans="1:3">
      <c r="A57" s="15" t="s">
        <v>17</v>
      </c>
      <c r="B57" s="15">
        <f t="shared" si="6"/>
        <v>1</v>
      </c>
      <c r="C57" s="7" t="str" cm="1">
        <f t="array" ref="C57">_xlfn.TEXTJOIN(", ",,_xlfn._xlws.FILTER(Tabela1[[#All],[NUMER SERYJNY]],((Tabela1[[#All],[NAZWA]]=$A57)*(Tabela1[[#All],[KOMENTARZ]]=$A53)),"----------"))</f>
        <v>VR219S016041</v>
      </c>
    </row>
    <row r="58" spans="1:3">
      <c r="A58" s="15" t="s">
        <v>975</v>
      </c>
      <c r="B58" s="15">
        <f t="shared" si="6"/>
        <v>1</v>
      </c>
      <c r="C58" s="7" t="str" cm="1">
        <f t="array" ref="C58">_xlfn.TEXTJOIN(", ",,_xlfn._xlws.FILTER(Tabela1[[#All],[NUMER SERYJNY]],((Tabela1[[#All],[NAZWA]]=$A58)*(Tabela1[[#All],[KOMENTARZ]]=$A53)),"----------"))</f>
        <v>EB227S007051</v>
      </c>
    </row>
    <row r="59" spans="1:3">
      <c r="A59" s="15" t="s">
        <v>971</v>
      </c>
      <c r="B59" s="15">
        <f>LEN(C59)-LEN(SUBSTITUTE(C59,",",""))+1</f>
        <v>1</v>
      </c>
      <c r="C59" s="7" t="str" cm="1">
        <f t="array" ref="C59">_xlfn.TEXTJOIN(", ",,_xlfn._xlws.FILTER(Tabela1[[#All],[NUMER SERYJNY]],((Tabela1[[#All],[NAZWA]]=$A59)*(Tabela1[[#All],[KOMENTARZ]]=$A53)),"----------"))</f>
        <v>VM224S013144</v>
      </c>
    </row>
    <row r="60" spans="1:3">
      <c r="A60" s="15" t="s">
        <v>3441</v>
      </c>
      <c r="B60" s="15">
        <f>LEN(C60)-LEN(SUBSTITUTE(C60,",",""))+1</f>
        <v>1</v>
      </c>
      <c r="C60" s="7" t="str" cm="1">
        <f t="array" ref="C60">_xlfn.TEXTJOIN(", ",,_xlfn._xlws.FILTER(Tabela1[[#All],[NUMER SERYJNY]],((Tabela1[[#All],[NAZWA]]=$A60)*(Tabela1[[#All],[KOMENTARZ]]=$A53)),"----------"))</f>
        <v>X225K132  01978</v>
      </c>
    </row>
    <row r="61" spans="1:3">
      <c r="A61" s="15" t="s">
        <v>3052</v>
      </c>
      <c r="B61" s="15">
        <f t="shared" ref="B61:B66" si="7">LEN(C61)-LEN(SUBSTITUTE(C61,",",""))+1</f>
        <v>2</v>
      </c>
      <c r="C61" s="7" t="str" cm="1">
        <f t="array" ref="C61">_xlfn.TEXTJOIN(", ",,_xlfn._xlws.FILTER(Tabela1[[#All],[NUMER SERYJNY]],((Tabela1[[#All],[NAZWA]]=$A61)*(Tabela1[[#All],[KOMENTARZ]]=$A53)),"----------"))</f>
        <v>80AD0121507542C2D1, 80AD0121507542C282</v>
      </c>
    </row>
    <row r="62" spans="1:3">
      <c r="A62" s="15" t="s">
        <v>3302</v>
      </c>
      <c r="B62" s="15">
        <f t="shared" si="7"/>
        <v>1</v>
      </c>
      <c r="C62" s="7" t="str" cm="1">
        <f t="array" ref="C62">_xlfn.TEXTJOIN(", ",,_xlfn._xlws.FILTER(Tabela1[[#All],[NUMER SERYJNY]],((Tabela1[[#All],[NAZWA]]=$A62)*(Tabela1[[#All],[KOMENTARZ]]=$A53)),"----------"))</f>
        <v>s664ne0rc27062</v>
      </c>
    </row>
    <row r="63" spans="1:3">
      <c r="A63" s="15" t="s">
        <v>976</v>
      </c>
      <c r="B63" s="15">
        <f t="shared" si="7"/>
        <v>1</v>
      </c>
      <c r="C63" s="7" t="str" cm="1">
        <f t="array" ref="C63">_xlfn.TEXTJOIN(", ",,_xlfn._xlws.FILTER(Tabela1[[#All],[NUMER SERYJNY]],((Tabela1[[#All],[NAZWA]]=$A63)*(Tabela1[[#All],[KOMENTARZ]]=$A53)),"----------"))</f>
        <v>2219145923994</v>
      </c>
    </row>
    <row r="64" spans="1:3">
      <c r="A64" s="15"/>
      <c r="B64" s="15">
        <f t="shared" si="7"/>
        <v>1</v>
      </c>
      <c r="C64" s="7" t="str" cm="1">
        <f t="array" ref="C64">_xlfn.TEXTJOIN(", ",,_xlfn._xlws.FILTER(Tabela1[[#All],[NUMER SERYJNY]],((Tabela1[[#All],[NAZWA]]=$A64)*(Tabela1[[#All],[KOMENTARZ]]=$A$2)),"----------"))</f>
        <v>----------</v>
      </c>
    </row>
    <row r="65" spans="1:3">
      <c r="A65" s="15"/>
      <c r="B65" s="15">
        <f t="shared" si="7"/>
        <v>1</v>
      </c>
      <c r="C65" s="7" t="str" cm="1">
        <f t="array" ref="C65">_xlfn.TEXTJOIN(", ",,_xlfn._xlws.FILTER(Tabela1[[#All],[NUMER SERYJNY]],((Tabela1[[#All],[NAZWA]]=$A65)*(Tabela1[[#All],[KOMENTARZ]]=$A$2)),"----------"))</f>
        <v>----------</v>
      </c>
    </row>
    <row r="66" spans="1:3">
      <c r="A66" s="15"/>
      <c r="B66" s="15">
        <f t="shared" si="7"/>
        <v>1</v>
      </c>
      <c r="C66" s="7" t="str" cm="1">
        <f t="array" ref="C66">_xlfn.TEXTJOIN(", ",,_xlfn._xlws.FILTER(Tabela1[[#All],[NUMER SERYJNY]],((Tabela1[[#All],[NAZWA]]=$A66)*(Tabela1[[#All],[KOMENTARZ]]=$A$2)),"----------"))</f>
        <v>----------</v>
      </c>
    </row>
    <row r="67" spans="1:3">
      <c r="A67" s="15"/>
      <c r="B67" s="15"/>
      <c r="C67" s="7"/>
    </row>
    <row r="68" spans="1:3">
      <c r="A68" s="15"/>
      <c r="B68" s="15"/>
      <c r="C68" s="7"/>
    </row>
    <row r="69" spans="1:3">
      <c r="A69" s="11" t="s">
        <v>3329</v>
      </c>
    </row>
    <row r="70" spans="1:3">
      <c r="A70" s="12" t="s">
        <v>3428</v>
      </c>
      <c r="B70" s="13"/>
      <c r="C70" s="8"/>
    </row>
    <row r="71" spans="1:3">
      <c r="A71" s="14" t="s">
        <v>965</v>
      </c>
      <c r="B71" s="14">
        <f t="shared" ref="B71:B75" si="8">LEN(C71)-LEN(SUBSTITUTE(C71,",",""))+1</f>
        <v>1</v>
      </c>
      <c r="C71" s="9" t="str" cm="1">
        <f t="array" ref="C71">_xlfn.TEXTJOIN(", ",,_xlfn._xlws.FILTER(Tabela1[[#All],[NUMER SERYJNY]],((Tabela1[[#All],[NAZWA]]=$A71)*(Tabela1[[#All],[KOMENTARZ]]=$A70)),"----------"))</f>
        <v>A345069X2721207</v>
      </c>
    </row>
    <row r="72" spans="1:3">
      <c r="A72" s="15" t="s">
        <v>967</v>
      </c>
      <c r="B72" s="15">
        <f t="shared" si="8"/>
        <v>1</v>
      </c>
      <c r="C72" s="7" t="str" cm="1">
        <f t="array" ref="C72">_xlfn.TEXTJOIN(", ",,_xlfn._xlws.FILTER(Tabela1[[#All],[NUMER SERYJNY]],((Tabela1[[#All],[NAZWA]]=$A72)*(Tabela1[[#All],[KOMENTARZ]]=$A70)),"----------"))</f>
        <v>C5100LL25RA0471</v>
      </c>
    </row>
    <row r="73" spans="1:3">
      <c r="A73" s="15" t="s">
        <v>969</v>
      </c>
      <c r="B73" s="15">
        <f t="shared" si="8"/>
        <v>1</v>
      </c>
      <c r="C73" s="7" t="str" cm="1">
        <f t="array" ref="C73">_xlfn.TEXTJOIN(", ",,_xlfn._xlws.FILTER(Tabela1[[#All],[NUMER SERYJNY]],((Tabela1[[#All],[NAZWA]]=$A73)*(Tabela1[[#All],[KOMENTARZ]]=$A70)),"----------"))</f>
        <v>P20310L48G50186</v>
      </c>
    </row>
    <row r="74" spans="1:3">
      <c r="A74" s="15" t="s">
        <v>17</v>
      </c>
      <c r="B74" s="15">
        <f t="shared" si="8"/>
        <v>1</v>
      </c>
      <c r="C74" s="7" t="str" cm="1">
        <f t="array" ref="C74">_xlfn.TEXTJOIN(", ",,_xlfn._xlws.FILTER(Tabela1[[#All],[NUMER SERYJNY]],((Tabela1[[#All],[NAZWA]]=$A74)*(Tabela1[[#All],[KOMENTARZ]]=$A70)),"----------"))</f>
        <v>VR219S016072</v>
      </c>
    </row>
    <row r="75" spans="1:3">
      <c r="A75" s="15" t="s">
        <v>975</v>
      </c>
      <c r="B75" s="15">
        <f t="shared" si="8"/>
        <v>1</v>
      </c>
      <c r="C75" s="7" t="str" cm="1">
        <f t="array" ref="C75">_xlfn.TEXTJOIN(", ",,_xlfn._xlws.FILTER(Tabela1[[#All],[NUMER SERYJNY]],((Tabela1[[#All],[NAZWA]]=$A75)*(Tabela1[[#All],[KOMENTARZ]]=$A70)),"----------"))</f>
        <v>EB227S007582</v>
      </c>
    </row>
    <row r="76" spans="1:3">
      <c r="A76" s="15" t="s">
        <v>971</v>
      </c>
      <c r="B76" s="15">
        <f>LEN(C76)-LEN(SUBSTITUTE(C76,",",""))+1</f>
        <v>1</v>
      </c>
      <c r="C76" s="7" t="str" cm="1">
        <f t="array" ref="C76">_xlfn.TEXTJOIN(", ",,_xlfn._xlws.FILTER(Tabela1[[#All],[NUMER SERYJNY]],((Tabela1[[#All],[NAZWA]]=$A76)*(Tabela1[[#All],[KOMENTARZ]]=$A70)),"----------"))</f>
        <v>VM224S013212</v>
      </c>
    </row>
    <row r="77" spans="1:3">
      <c r="A77" s="15" t="s">
        <v>3441</v>
      </c>
      <c r="B77" s="15">
        <f>LEN(C77)-LEN(SUBSTITUTE(C77,",",""))+1</f>
        <v>1</v>
      </c>
      <c r="C77" s="7" t="str" cm="1">
        <f t="array" ref="C77">_xlfn.TEXTJOIN(", ",,_xlfn._xlws.FILTER(Tabela1[[#All],[NUMER SERYJNY]],((Tabela1[[#All],[NAZWA]]=$A77)*(Tabela1[[#All],[KOMENTARZ]]=$A70)),"----------"))</f>
        <v>X225K132  00450</v>
      </c>
    </row>
    <row r="78" spans="1:3">
      <c r="A78" s="15" t="s">
        <v>3052</v>
      </c>
      <c r="B78" s="15">
        <f t="shared" ref="B78:B83" si="9">LEN(C78)-LEN(SUBSTITUTE(C78,",",""))+1</f>
        <v>2</v>
      </c>
      <c r="C78" s="7" t="str" cm="1">
        <f t="array" ref="C78">_xlfn.TEXTJOIN(", ",,_xlfn._xlws.FILTER(Tabela1[[#All],[NUMER SERYJNY]],((Tabela1[[#All],[NAZWA]]=$A78)*(Tabela1[[#All],[KOMENTARZ]]=$A70)),"----------"))</f>
        <v>80AD0121507542C283, 80AD0121507542C38B</v>
      </c>
    </row>
    <row r="79" spans="1:3">
      <c r="A79" s="15" t="s">
        <v>3302</v>
      </c>
      <c r="B79" s="15">
        <f t="shared" si="9"/>
        <v>1</v>
      </c>
      <c r="C79" s="7" t="str" cm="1">
        <f t="array" ref="C79">_xlfn.TEXTJOIN(", ",,_xlfn._xlws.FILTER(Tabela1[[#All],[NUMER SERYJNY]],((Tabela1[[#All],[NAZWA]]=$A79)*(Tabela1[[#All],[KOMENTARZ]]=$A70)),"----------"))</f>
        <v>s664ne0rc27053</v>
      </c>
    </row>
    <row r="80" spans="1:3">
      <c r="A80" s="15" t="s">
        <v>976</v>
      </c>
      <c r="B80" s="15">
        <f t="shared" si="9"/>
        <v>1</v>
      </c>
      <c r="C80" s="7" t="str" cm="1">
        <f t="array" ref="C80">_xlfn.TEXTJOIN(", ",,_xlfn._xlws.FILTER(Tabela1[[#All],[NUMER SERYJNY]],((Tabela1[[#All],[NAZWA]]=$A80)*(Tabela1[[#All],[KOMENTARZ]]=$A70)),"----------"))</f>
        <v>2219145923993</v>
      </c>
    </row>
    <row r="81" spans="1:3">
      <c r="A81" s="15"/>
      <c r="B81" s="15">
        <f t="shared" si="9"/>
        <v>1</v>
      </c>
      <c r="C81" s="7" t="str" cm="1">
        <f t="array" ref="C81">_xlfn.TEXTJOIN(", ",,_xlfn._xlws.FILTER(Tabela1[[#All],[NUMER SERYJNY]],((Tabela1[[#All],[NAZWA]]=$A81)*(Tabela1[[#All],[KOMENTARZ]]=$A$2)),"----------"))</f>
        <v>----------</v>
      </c>
    </row>
    <row r="82" spans="1:3">
      <c r="A82" s="15"/>
      <c r="B82" s="15">
        <f t="shared" si="9"/>
        <v>1</v>
      </c>
      <c r="C82" s="7" t="str" cm="1">
        <f t="array" ref="C82">_xlfn.TEXTJOIN(", ",,_xlfn._xlws.FILTER(Tabela1[[#All],[NUMER SERYJNY]],((Tabela1[[#All],[NAZWA]]=$A82)*(Tabela1[[#All],[KOMENTARZ]]=$A$2)),"----------"))</f>
        <v>----------</v>
      </c>
    </row>
    <row r="83" spans="1:3">
      <c r="A83" s="15"/>
      <c r="B83" s="15">
        <f t="shared" si="9"/>
        <v>1</v>
      </c>
      <c r="C83" s="7" t="str" cm="1">
        <f t="array" ref="C83">_xlfn.TEXTJOIN(", ",,_xlfn._xlws.FILTER(Tabela1[[#All],[NUMER SERYJNY]],((Tabela1[[#All],[NAZWA]]=$A83)*(Tabela1[[#All],[KOMENTARZ]]=$A$2)),"----------"))</f>
        <v>----------</v>
      </c>
    </row>
    <row r="84" spans="1:3" ht="18.75">
      <c r="A84" s="16"/>
      <c r="B84" s="16"/>
      <c r="C84" s="10"/>
    </row>
    <row r="85" spans="1:3">
      <c r="A85" s="12"/>
      <c r="B85" s="13"/>
      <c r="C85" s="8"/>
    </row>
    <row r="86" spans="1:3">
      <c r="A86" s="11" t="s">
        <v>3329</v>
      </c>
    </row>
    <row r="87" spans="1:3">
      <c r="A87" s="12" t="s">
        <v>3424</v>
      </c>
      <c r="B87" s="13"/>
      <c r="C87" s="8"/>
    </row>
    <row r="88" spans="1:3">
      <c r="A88" s="14" t="s">
        <v>965</v>
      </c>
      <c r="B88" s="14">
        <f t="shared" ref="B88:B92" si="10">LEN(C88)-LEN(SUBSTITUTE(C88,",",""))+1</f>
        <v>1</v>
      </c>
      <c r="C88" s="9" t="str" cm="1">
        <f t="array" ref="C88">_xlfn.TEXTJOIN(", ",,_xlfn._xlws.FILTER(Tabela1[[#All],[NUMER SERYJNY]],((Tabela1[[#All],[NAZWA]]=$A88)*(Tabela1[[#All],[KOMENTARZ]]=$A87)),"----------"))</f>
        <v>A345069X2721182</v>
      </c>
    </row>
    <row r="89" spans="1:3">
      <c r="A89" s="15" t="s">
        <v>967</v>
      </c>
      <c r="B89" s="15">
        <f t="shared" si="10"/>
        <v>1</v>
      </c>
      <c r="C89" s="7" t="str" cm="1">
        <f t="array" ref="C89">_xlfn.TEXTJOIN(", ",,_xlfn._xlws.FILTER(Tabela1[[#All],[NUMER SERYJNY]],((Tabela1[[#All],[NAZWA]]=$A89)*(Tabela1[[#All],[KOMENTARZ]]=$A87)),"----------"))</f>
        <v>C5100LL25RA0451</v>
      </c>
    </row>
    <row r="90" spans="1:3">
      <c r="A90" s="15" t="s">
        <v>969</v>
      </c>
      <c r="B90" s="15">
        <f t="shared" si="10"/>
        <v>1</v>
      </c>
      <c r="C90" s="7" t="str" cm="1">
        <f t="array" ref="C90">_xlfn.TEXTJOIN(", ",,_xlfn._xlws.FILTER(Tabela1[[#All],[NUMER SERYJNY]],((Tabela1[[#All],[NAZWA]]=$A90)*(Tabela1[[#All],[KOMENTARZ]]=$A87)),"----------"))</f>
        <v>P20310L48G50122</v>
      </c>
    </row>
    <row r="91" spans="1:3">
      <c r="A91" s="15" t="s">
        <v>17</v>
      </c>
      <c r="B91" s="15">
        <f t="shared" si="10"/>
        <v>1</v>
      </c>
      <c r="C91" s="7" t="str" cm="1">
        <f t="array" ref="C91">_xlfn.TEXTJOIN(", ",,_xlfn._xlws.FILTER(Tabela1[[#All],[NUMER SERYJNY]],((Tabela1[[#All],[NAZWA]]=$A91)*(Tabela1[[#All],[KOMENTARZ]]=$A87)),"----------"))</f>
        <v>VR219S016032</v>
      </c>
    </row>
    <row r="92" spans="1:3">
      <c r="A92" s="15" t="s">
        <v>975</v>
      </c>
      <c r="B92" s="15">
        <f t="shared" si="10"/>
        <v>1</v>
      </c>
      <c r="C92" s="7" t="str" cm="1">
        <f t="array" ref="C92">_xlfn.TEXTJOIN(", ",,_xlfn._xlws.FILTER(Tabela1[[#All],[NUMER SERYJNY]],((Tabela1[[#All],[NAZWA]]=$A92)*(Tabela1[[#All],[KOMENTARZ]]=$A87)),"----------"))</f>
        <v>EB227S007566</v>
      </c>
    </row>
    <row r="93" spans="1:3">
      <c r="A93" s="15" t="s">
        <v>971</v>
      </c>
      <c r="B93" s="15">
        <f>LEN(C93)-LEN(SUBSTITUTE(C93,",",""))+1</f>
        <v>1</v>
      </c>
      <c r="C93" s="7" t="str" cm="1">
        <f t="array" ref="C93">_xlfn.TEXTJOIN(", ",,_xlfn._xlws.FILTER(Tabela1[[#All],[NUMER SERYJNY]],((Tabela1[[#All],[NAZWA]]=$A93)*(Tabela1[[#All],[KOMENTARZ]]=$A87)),"----------"))</f>
        <v>VM226S001828</v>
      </c>
    </row>
    <row r="94" spans="1:3">
      <c r="A94" s="15" t="s">
        <v>3441</v>
      </c>
      <c r="B94" s="15">
        <f>LEN(C94)-LEN(SUBSTITUTE(C94,",",""))+1</f>
        <v>1</v>
      </c>
      <c r="C94" s="7" t="str" cm="1">
        <f t="array" ref="C94">_xlfn.TEXTJOIN(", ",,_xlfn._xlws.FILTER(Tabela1[[#All],[NUMER SERYJNY]],((Tabela1[[#All],[NAZWA]]=$A94)*(Tabela1[[#All],[KOMENTARZ]]=$A87)),"----------"))</f>
        <v>X225K132  00739</v>
      </c>
    </row>
    <row r="95" spans="1:3">
      <c r="A95" s="15" t="s">
        <v>3052</v>
      </c>
      <c r="B95" s="15">
        <f t="shared" ref="B95:B100" si="11">LEN(C95)-LEN(SUBSTITUTE(C95,",",""))+1</f>
        <v>2</v>
      </c>
      <c r="C95" s="7" t="str" cm="1">
        <f t="array" ref="C95">_xlfn.TEXTJOIN(", ",,_xlfn._xlws.FILTER(Tabela1[[#All],[NUMER SERYJNY]],((Tabela1[[#All],[NAZWA]]=$A95)*(Tabela1[[#All],[KOMENTARZ]]=$A87)),"----------"))</f>
        <v>80AD0121507542C38C, 80AD0121507542C296</v>
      </c>
    </row>
    <row r="96" spans="1:3">
      <c r="A96" s="15" t="s">
        <v>3302</v>
      </c>
      <c r="B96" s="15">
        <f t="shared" si="11"/>
        <v>1</v>
      </c>
      <c r="C96" s="7" t="str" cm="1">
        <f t="array" ref="C96">_xlfn.TEXTJOIN(", ",,_xlfn._xlws.FILTER(Tabela1[[#All],[NUMER SERYJNY]],((Tabela1[[#All],[NAZWA]]=$A96)*(Tabela1[[#All],[KOMENTARZ]]=$A87)),"----------"))</f>
        <v>S664NE0RC27027</v>
      </c>
    </row>
    <row r="97" spans="1:3">
      <c r="A97" s="15" t="s">
        <v>976</v>
      </c>
      <c r="B97" s="15">
        <f t="shared" si="11"/>
        <v>1</v>
      </c>
      <c r="C97" s="7" t="str" cm="1">
        <f t="array" ref="C97">_xlfn.TEXTJOIN(", ",,_xlfn._xlws.FILTER(Tabela1[[#All],[NUMER SERYJNY]],((Tabela1[[#All],[NAZWA]]=$A97)*(Tabela1[[#All],[KOMENTARZ]]=$A87)),"----------"))</f>
        <v>2219145923989</v>
      </c>
    </row>
    <row r="98" spans="1:3">
      <c r="A98" s="15"/>
      <c r="B98" s="15">
        <f t="shared" si="11"/>
        <v>1</v>
      </c>
      <c r="C98" s="7" t="str" cm="1">
        <f t="array" ref="C98">_xlfn.TEXTJOIN(", ",,_xlfn._xlws.FILTER(Tabela1[[#All],[NUMER SERYJNY]],((Tabela1[[#All],[NAZWA]]=$A98)*(Tabela1[[#All],[KOMENTARZ]]=$A$2)),"----------"))</f>
        <v>----------</v>
      </c>
    </row>
    <row r="99" spans="1:3">
      <c r="A99" s="15"/>
      <c r="B99" s="15">
        <f t="shared" si="11"/>
        <v>1</v>
      </c>
      <c r="C99" s="7" t="str" cm="1">
        <f t="array" ref="C99">_xlfn.TEXTJOIN(", ",,_xlfn._xlws.FILTER(Tabela1[[#All],[NUMER SERYJNY]],((Tabela1[[#All],[NAZWA]]=$A99)*(Tabela1[[#All],[KOMENTARZ]]=$A$2)),"----------"))</f>
        <v>----------</v>
      </c>
    </row>
    <row r="100" spans="1:3">
      <c r="A100" s="15"/>
      <c r="B100" s="15">
        <f t="shared" si="11"/>
        <v>1</v>
      </c>
      <c r="C100" s="7" t="str" cm="1">
        <f t="array" ref="C100">_xlfn.TEXTJOIN(", ",,_xlfn._xlws.FILTER(Tabela1[[#All],[NUMER SERYJNY]],((Tabela1[[#All],[NAZWA]]=$A100)*(Tabela1[[#All],[KOMENTARZ]]=$A$2)),"----------"))</f>
        <v>----------</v>
      </c>
    </row>
    <row r="101" spans="1:3">
      <c r="A101" s="12"/>
      <c r="B101" s="13"/>
      <c r="C101" s="8"/>
    </row>
    <row r="102" spans="1:3">
      <c r="A102" s="14"/>
      <c r="B102" s="14"/>
      <c r="C102" s="9"/>
    </row>
    <row r="103" spans="1:3">
      <c r="A103" s="11" t="s">
        <v>3329</v>
      </c>
    </row>
    <row r="104" spans="1:3">
      <c r="A104" s="12" t="s">
        <v>3425</v>
      </c>
      <c r="B104" s="13"/>
      <c r="C104" s="8"/>
    </row>
    <row r="105" spans="1:3">
      <c r="A105" s="14" t="s">
        <v>965</v>
      </c>
      <c r="B105" s="14">
        <f t="shared" ref="B105:B109" si="12">LEN(C105)-LEN(SUBSTITUTE(C105,",",""))+1</f>
        <v>1</v>
      </c>
      <c r="C105" s="9" t="str" cm="1">
        <f t="array" ref="C105">_xlfn.TEXTJOIN(", ",,_xlfn._xlws.FILTER(Tabela1[[#All],[NUMER SERYJNY]],((Tabela1[[#All],[NAZWA]]=$A105)*(Tabela1[[#All],[KOMENTARZ]]=$A104)),"----------"))</f>
        <v>A345069X2721174</v>
      </c>
    </row>
    <row r="106" spans="1:3">
      <c r="A106" s="15" t="s">
        <v>967</v>
      </c>
      <c r="B106" s="15">
        <f t="shared" si="12"/>
        <v>1</v>
      </c>
      <c r="C106" s="7" t="str" cm="1">
        <f t="array" ref="C106">_xlfn.TEXTJOIN(", ",,_xlfn._xlws.FILTER(Tabela1[[#All],[NUMER SERYJNY]],((Tabela1[[#All],[NAZWA]]=$A106)*(Tabela1[[#All],[KOMENTARZ]]=$A104)),"----------"))</f>
        <v>C5100LL25RA0443</v>
      </c>
    </row>
    <row r="107" spans="1:3">
      <c r="A107" s="15" t="s">
        <v>969</v>
      </c>
      <c r="B107" s="15">
        <f t="shared" si="12"/>
        <v>1</v>
      </c>
      <c r="C107" s="7" t="str" cm="1">
        <f t="array" ref="C107">_xlfn.TEXTJOIN(", ",,_xlfn._xlws.FILTER(Tabela1[[#All],[NUMER SERYJNY]],((Tabela1[[#All],[NAZWA]]=$A107)*(Tabela1[[#All],[KOMENTARZ]]=$A104)),"----------"))</f>
        <v>P20310L48G50184</v>
      </c>
    </row>
    <row r="108" spans="1:3">
      <c r="A108" s="15" t="s">
        <v>17</v>
      </c>
      <c r="B108" s="15">
        <f t="shared" si="12"/>
        <v>1</v>
      </c>
      <c r="C108" s="7" t="str" cm="1">
        <f t="array" ref="C108">_xlfn.TEXTJOIN(", ",,_xlfn._xlws.FILTER(Tabela1[[#All],[NUMER SERYJNY]],((Tabela1[[#All],[NAZWA]]=$A108)*(Tabela1[[#All],[KOMENTARZ]]=$A104)),"----------"))</f>
        <v>VR219S016040</v>
      </c>
    </row>
    <row r="109" spans="1:3">
      <c r="A109" s="15" t="s">
        <v>975</v>
      </c>
      <c r="B109" s="15">
        <f t="shared" si="12"/>
        <v>1</v>
      </c>
      <c r="C109" s="7" t="str" cm="1">
        <f t="array" ref="C109">_xlfn.TEXTJOIN(", ",,_xlfn._xlws.FILTER(Tabela1[[#All],[NUMER SERYJNY]],((Tabela1[[#All],[NAZWA]]=$A109)*(Tabela1[[#All],[KOMENTARZ]]=$A104)),"----------"))</f>
        <v>EB227S007583</v>
      </c>
    </row>
    <row r="110" spans="1:3">
      <c r="A110" s="15" t="s">
        <v>971</v>
      </c>
      <c r="B110" s="15">
        <f>LEN(C110)-LEN(SUBSTITUTE(C110,",",""))+1</f>
        <v>1</v>
      </c>
      <c r="C110" s="7" t="str" cm="1">
        <f t="array" ref="C110">_xlfn.TEXTJOIN(", ",,_xlfn._xlws.FILTER(Tabela1[[#All],[NUMER SERYJNY]],((Tabela1[[#All],[NAZWA]]=$A110)*(Tabela1[[#All],[KOMENTARZ]]=$A104)),"----------"))</f>
        <v>VM226S001850</v>
      </c>
    </row>
    <row r="111" spans="1:3">
      <c r="A111" s="15" t="s">
        <v>3441</v>
      </c>
      <c r="B111" s="15">
        <f>LEN(C111)-LEN(SUBSTITUTE(C111,",",""))+1</f>
        <v>1</v>
      </c>
      <c r="C111" s="7" t="str" cm="1">
        <f t="array" ref="C111">_xlfn.TEXTJOIN(", ",,_xlfn._xlws.FILTER(Tabela1[[#All],[NUMER SERYJNY]],((Tabela1[[#All],[NAZWA]]=$A111)*(Tabela1[[#All],[KOMENTARZ]]=$A104)),"----------"))</f>
        <v>X225K132  00055</v>
      </c>
    </row>
    <row r="112" spans="1:3">
      <c r="A112" s="15" t="s">
        <v>3052</v>
      </c>
      <c r="B112" s="15">
        <f t="shared" ref="B112:B117" si="13">LEN(C112)-LEN(SUBSTITUTE(C112,",",""))+1</f>
        <v>2</v>
      </c>
      <c r="C112" s="7" t="str" cm="1">
        <f t="array" ref="C112">_xlfn.TEXTJOIN(", ",,_xlfn._xlws.FILTER(Tabela1[[#All],[NUMER SERYJNY]],((Tabela1[[#All],[NAZWA]]=$A112)*(Tabela1[[#All],[KOMENTARZ]]=$A104)),"----------"))</f>
        <v>80AD0121507542C38D, 80AD0121507542C387</v>
      </c>
    </row>
    <row r="113" spans="1:3">
      <c r="A113" s="15" t="s">
        <v>3302</v>
      </c>
      <c r="B113" s="15">
        <f t="shared" si="13"/>
        <v>1</v>
      </c>
      <c r="C113" s="7" t="str" cm="1">
        <f t="array" ref="C113">_xlfn.TEXTJOIN(", ",,_xlfn._xlws.FILTER(Tabela1[[#All],[NUMER SERYJNY]],((Tabela1[[#All],[NAZWA]]=$A113)*(Tabela1[[#All],[KOMENTARZ]]=$A104)),"----------"))</f>
        <v>s664ne0rc27026</v>
      </c>
    </row>
    <row r="114" spans="1:3">
      <c r="A114" s="15" t="s">
        <v>976</v>
      </c>
      <c r="B114" s="15">
        <f t="shared" si="13"/>
        <v>1</v>
      </c>
      <c r="C114" s="7" t="str" cm="1">
        <f t="array" ref="C114">_xlfn.TEXTJOIN(", ",,_xlfn._xlws.FILTER(Tabela1[[#All],[NUMER SERYJNY]],((Tabela1[[#All],[NAZWA]]=$A114)*(Tabela1[[#All],[KOMENTARZ]]=$A104)),"----------"))</f>
        <v>2219145923990</v>
      </c>
    </row>
    <row r="115" spans="1:3">
      <c r="A115" s="15"/>
      <c r="B115" s="15">
        <f t="shared" si="13"/>
        <v>1</v>
      </c>
      <c r="C115" s="7" t="str" cm="1">
        <f t="array" ref="C115">_xlfn.TEXTJOIN(", ",,_xlfn._xlws.FILTER(Tabela1[[#All],[NUMER SERYJNY]],((Tabela1[[#All],[NAZWA]]=$A115)*(Tabela1[[#All],[KOMENTARZ]]=$A$2)),"----------"))</f>
        <v>----------</v>
      </c>
    </row>
    <row r="116" spans="1:3">
      <c r="A116" s="15"/>
      <c r="B116" s="15">
        <f t="shared" si="13"/>
        <v>1</v>
      </c>
      <c r="C116" s="7" t="str" cm="1">
        <f t="array" ref="C116">_xlfn.TEXTJOIN(", ",,_xlfn._xlws.FILTER(Tabela1[[#All],[NUMER SERYJNY]],((Tabela1[[#All],[NAZWA]]=$A116)*(Tabela1[[#All],[KOMENTARZ]]=$A$2)),"----------"))</f>
        <v>----------</v>
      </c>
    </row>
    <row r="117" spans="1:3">
      <c r="A117" s="15"/>
      <c r="B117" s="15">
        <f t="shared" si="13"/>
        <v>1</v>
      </c>
      <c r="C117" s="7" t="str" cm="1">
        <f t="array" ref="C117">_xlfn.TEXTJOIN(", ",,_xlfn._xlws.FILTER(Tabela1[[#All],[NUMER SERYJNY]],((Tabela1[[#All],[NAZWA]]=$A117)*(Tabela1[[#All],[KOMENTARZ]]=$A$2)),"----------"))</f>
        <v>----------</v>
      </c>
    </row>
    <row r="118" spans="1:3">
      <c r="A118" s="14"/>
      <c r="B118" s="14"/>
      <c r="C118" s="9"/>
    </row>
    <row r="119" spans="1:3">
      <c r="A119" s="15"/>
      <c r="B119" s="15"/>
      <c r="C119" s="7"/>
    </row>
    <row r="120" spans="1:3">
      <c r="A120" s="11" t="s">
        <v>3329</v>
      </c>
    </row>
    <row r="121" spans="1:3">
      <c r="A121" s="12" t="s">
        <v>3426</v>
      </c>
      <c r="B121" s="13"/>
      <c r="C121" s="8"/>
    </row>
    <row r="122" spans="1:3">
      <c r="A122" s="14" t="s">
        <v>965</v>
      </c>
      <c r="B122" s="14">
        <f t="shared" ref="B122:B126" si="14">LEN(C122)-LEN(SUBSTITUTE(C122,",",""))+1</f>
        <v>1</v>
      </c>
      <c r="C122" s="9" t="str" cm="1">
        <f t="array" ref="C122">_xlfn.TEXTJOIN(", ",,_xlfn._xlws.FILTER(Tabela1[[#All],[NUMER SERYJNY]],((Tabela1[[#All],[NAZWA]]=$A122)*(Tabela1[[#All],[KOMENTARZ]]=$A121)),"----------"))</f>
        <v>A345069X2721183</v>
      </c>
    </row>
    <row r="123" spans="1:3">
      <c r="A123" s="15" t="s">
        <v>967</v>
      </c>
      <c r="B123" s="15">
        <f t="shared" si="14"/>
        <v>1</v>
      </c>
      <c r="C123" s="7" t="str" cm="1">
        <f t="array" ref="C123">_xlfn.TEXTJOIN(", ",,_xlfn._xlws.FILTER(Tabela1[[#All],[NUMER SERYJNY]],((Tabela1[[#All],[NAZWA]]=$A123)*(Tabela1[[#All],[KOMENTARZ]]=$A121)),"----------"))</f>
        <v>C5100LL25RA0453</v>
      </c>
    </row>
    <row r="124" spans="1:3">
      <c r="A124" s="15" t="s">
        <v>969</v>
      </c>
      <c r="B124" s="15">
        <f t="shared" si="14"/>
        <v>1</v>
      </c>
      <c r="C124" s="7" t="str" cm="1">
        <f t="array" ref="C124">_xlfn.TEXTJOIN(", ",,_xlfn._xlws.FILTER(Tabela1[[#All],[NUMER SERYJNY]],((Tabela1[[#All],[NAZWA]]=$A124)*(Tabela1[[#All],[KOMENTARZ]]=$A121)),"----------"))</f>
        <v>P20310L48G50120</v>
      </c>
    </row>
    <row r="125" spans="1:3">
      <c r="A125" s="15" t="s">
        <v>17</v>
      </c>
      <c r="B125" s="15">
        <f t="shared" si="14"/>
        <v>1</v>
      </c>
      <c r="C125" s="7" t="str" cm="1">
        <f t="array" ref="C125">_xlfn.TEXTJOIN(", ",,_xlfn._xlws.FILTER(Tabela1[[#All],[NUMER SERYJNY]],((Tabela1[[#All],[NAZWA]]=$A125)*(Tabela1[[#All],[KOMENTARZ]]=$A121)),"----------"))</f>
        <v>VR219S016024</v>
      </c>
    </row>
    <row r="126" spans="1:3">
      <c r="A126" s="15" t="s">
        <v>975</v>
      </c>
      <c r="B126" s="15">
        <f t="shared" si="14"/>
        <v>1</v>
      </c>
      <c r="C126" s="7" t="str" cm="1">
        <f t="array" ref="C126">_xlfn.TEXTJOIN(", ",,_xlfn._xlws.FILTER(Tabela1[[#All],[NUMER SERYJNY]],((Tabela1[[#All],[NAZWA]]=$A126)*(Tabela1[[#All],[KOMENTARZ]]=$A121)),"----------"))</f>
        <v>EB227S007571</v>
      </c>
    </row>
    <row r="127" spans="1:3">
      <c r="A127" s="15" t="s">
        <v>971</v>
      </c>
      <c r="B127" s="15">
        <f>LEN(C127)-LEN(SUBSTITUTE(C127,",",""))+1</f>
        <v>1</v>
      </c>
      <c r="C127" s="7" t="str" cm="1">
        <f t="array" ref="C127">_xlfn.TEXTJOIN(", ",,_xlfn._xlws.FILTER(Tabela1[[#All],[NUMER SERYJNY]],((Tabela1[[#All],[NAZWA]]=$A127)*(Tabela1[[#All],[KOMENTARZ]]=$A121)),"----------"))</f>
        <v>VM226S001848</v>
      </c>
    </row>
    <row r="128" spans="1:3">
      <c r="A128" s="15" t="s">
        <v>3441</v>
      </c>
      <c r="B128" s="15">
        <f>LEN(C128)-LEN(SUBSTITUTE(C128,",",""))+1</f>
        <v>1</v>
      </c>
      <c r="C128" s="7" t="str" cm="1">
        <f t="array" ref="C128">_xlfn.TEXTJOIN(", ",,_xlfn._xlws.FILTER(Tabela1[[#All],[NUMER SERYJNY]],((Tabela1[[#All],[NAZWA]]=$A128)*(Tabela1[[#All],[KOMENTARZ]]=$A121)),"----------"))</f>
        <v>X225K132  02003</v>
      </c>
    </row>
    <row r="129" spans="1:3">
      <c r="A129" s="15" t="s">
        <v>3052</v>
      </c>
      <c r="B129" s="15">
        <f t="shared" ref="B129:B134" si="15">LEN(C129)-LEN(SUBSTITUTE(C129,",",""))+1</f>
        <v>2</v>
      </c>
      <c r="C129" s="7" t="str" cm="1">
        <f t="array" ref="C129">_xlfn.TEXTJOIN(", ",,_xlfn._xlws.FILTER(Tabela1[[#All],[NUMER SERYJNY]],((Tabela1[[#All],[NAZWA]]=$A129)*(Tabela1[[#All],[KOMENTARZ]]=$A121)),"----------"))</f>
        <v>80AD0121507542C38E, 80AD0121507542C2D2</v>
      </c>
    </row>
    <row r="130" spans="1:3">
      <c r="A130" s="15" t="s">
        <v>3302</v>
      </c>
      <c r="B130" s="15">
        <f t="shared" si="15"/>
        <v>1</v>
      </c>
      <c r="C130" s="7" t="str" cm="1">
        <f t="array" ref="C130">_xlfn.TEXTJOIN(", ",,_xlfn._xlws.FILTER(Tabela1[[#All],[NUMER SERYJNY]],((Tabela1[[#All],[NAZWA]]=$A130)*(Tabela1[[#All],[KOMENTARZ]]=$A121)),"----------"))</f>
        <v>s664ne0rc27041</v>
      </c>
    </row>
    <row r="131" spans="1:3">
      <c r="A131" s="15" t="s">
        <v>976</v>
      </c>
      <c r="B131" s="15">
        <f t="shared" si="15"/>
        <v>1</v>
      </c>
      <c r="C131" s="7" t="str" cm="1">
        <f t="array" ref="C131">_xlfn.TEXTJOIN(", ",,_xlfn._xlws.FILTER(Tabela1[[#All],[NUMER SERYJNY]],((Tabela1[[#All],[NAZWA]]=$A131)*(Tabela1[[#All],[KOMENTARZ]]=$A121)),"----------"))</f>
        <v>2219145923991</v>
      </c>
    </row>
    <row r="132" spans="1:3">
      <c r="A132" s="15"/>
      <c r="B132" s="15">
        <f t="shared" si="15"/>
        <v>1</v>
      </c>
      <c r="C132" s="7" t="str" cm="1">
        <f t="array" ref="C132">_xlfn.TEXTJOIN(", ",,_xlfn._xlws.FILTER(Tabela1[[#All],[NUMER SERYJNY]],((Tabela1[[#All],[NAZWA]]=$A132)*(Tabela1[[#All],[KOMENTARZ]]=$A$2)),"----------"))</f>
        <v>----------</v>
      </c>
    </row>
    <row r="133" spans="1:3">
      <c r="A133" s="15"/>
      <c r="B133" s="15">
        <f t="shared" si="15"/>
        <v>1</v>
      </c>
      <c r="C133" s="7" t="str" cm="1">
        <f t="array" ref="C133">_xlfn.TEXTJOIN(", ",,_xlfn._xlws.FILTER(Tabela1[[#All],[NUMER SERYJNY]],((Tabela1[[#All],[NAZWA]]=$A133)*(Tabela1[[#All],[KOMENTARZ]]=$A$2)),"----------"))</f>
        <v>----------</v>
      </c>
    </row>
    <row r="134" spans="1:3">
      <c r="A134" s="15"/>
      <c r="B134" s="15">
        <f t="shared" si="15"/>
        <v>1</v>
      </c>
      <c r="C134" s="7" t="str" cm="1">
        <f t="array" ref="C134">_xlfn.TEXTJOIN(", ",,_xlfn._xlws.FILTER(Tabela1[[#All],[NUMER SERYJNY]],((Tabela1[[#All],[NAZWA]]=$A134)*(Tabela1[[#All],[KOMENTARZ]]=$A$2)),"----------"))</f>
        <v>----------</v>
      </c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>
      <c r="A137" s="15"/>
      <c r="B137" s="15"/>
      <c r="C137" s="7"/>
    </row>
    <row r="138" spans="1:3">
      <c r="A138" s="15"/>
      <c r="B138" s="15"/>
      <c r="C138" s="7"/>
    </row>
    <row r="139" spans="1:3">
      <c r="A139" s="11" t="s">
        <v>3329</v>
      </c>
    </row>
    <row r="140" spans="1:3">
      <c r="A140" s="12" t="s">
        <v>3427</v>
      </c>
      <c r="B140" s="13"/>
      <c r="C140" s="8"/>
    </row>
    <row r="141" spans="1:3">
      <c r="A141" s="14" t="s">
        <v>965</v>
      </c>
      <c r="B141" s="14">
        <f t="shared" ref="B141:B145" si="16">LEN(C141)-LEN(SUBSTITUTE(C141,",",""))+1</f>
        <v>1</v>
      </c>
      <c r="C141" s="9" t="str" cm="1">
        <f t="array" ref="C141">_xlfn.TEXTJOIN(", ",,_xlfn._xlws.FILTER(Tabela1[[#All],[NUMER SERYJNY]],((Tabela1[[#All],[NAZWA]]=$A141)*(Tabela1[[#All],[KOMENTARZ]]=$A140)),"----------"))</f>
        <v>A345069X2721214</v>
      </c>
    </row>
    <row r="142" spans="1:3">
      <c r="A142" s="15" t="s">
        <v>967</v>
      </c>
      <c r="B142" s="15">
        <f t="shared" si="16"/>
        <v>1</v>
      </c>
      <c r="C142" s="7" t="str" cm="1">
        <f t="array" ref="C142">_xlfn.TEXTJOIN(", ",,_xlfn._xlws.FILTER(Tabela1[[#All],[NUMER SERYJNY]],((Tabela1[[#All],[NAZWA]]=$A142)*(Tabela1[[#All],[KOMENTARZ]]=$A140)),"----------"))</f>
        <v>C5100LL25RA0469</v>
      </c>
    </row>
    <row r="143" spans="1:3">
      <c r="A143" s="15" t="s">
        <v>969</v>
      </c>
      <c r="B143" s="15">
        <f t="shared" si="16"/>
        <v>1</v>
      </c>
      <c r="C143" s="7" t="str" cm="1">
        <f t="array" ref="C143">_xlfn.TEXTJOIN(", ",,_xlfn._xlws.FILTER(Tabela1[[#All],[NUMER SERYJNY]],((Tabela1[[#All],[NAZWA]]=$A143)*(Tabela1[[#All],[KOMENTARZ]]=$A140)),"----------"))</f>
        <v>P20310L48G50183</v>
      </c>
    </row>
    <row r="144" spans="1:3">
      <c r="A144" s="15" t="s">
        <v>17</v>
      </c>
      <c r="B144" s="15">
        <f t="shared" si="16"/>
        <v>1</v>
      </c>
      <c r="C144" s="7" t="str" cm="1">
        <f t="array" ref="C144">_xlfn.TEXTJOIN(", ",,_xlfn._xlws.FILTER(Tabela1[[#All],[NUMER SERYJNY]],((Tabela1[[#All],[NAZWA]]=$A144)*(Tabela1[[#All],[KOMENTARZ]]=$A140)),"----------"))</f>
        <v>VR219S016074</v>
      </c>
    </row>
    <row r="145" spans="1:3">
      <c r="A145" s="15" t="s">
        <v>975</v>
      </c>
      <c r="B145" s="15">
        <f t="shared" si="16"/>
        <v>1</v>
      </c>
      <c r="C145" s="7" t="str" cm="1">
        <f t="array" ref="C145">_xlfn.TEXTJOIN(", ",,_xlfn._xlws.FILTER(Tabela1[[#All],[NUMER SERYJNY]],((Tabela1[[#All],[NAZWA]]=$A145)*(Tabela1[[#All],[KOMENTARZ]]=$A140)),"----------"))</f>
        <v>EB227S007049</v>
      </c>
    </row>
    <row r="146" spans="1:3">
      <c r="A146" s="15" t="s">
        <v>971</v>
      </c>
      <c r="B146" s="15">
        <f>LEN(C146)-LEN(SUBSTITUTE(C146,",",""))+1</f>
        <v>1</v>
      </c>
      <c r="C146" s="7" t="str" cm="1">
        <f t="array" ref="C146">_xlfn.TEXTJOIN(", ",,_xlfn._xlws.FILTER(Tabela1[[#All],[NUMER SERYJNY]],((Tabela1[[#All],[NAZWA]]=$A146)*(Tabela1[[#All],[KOMENTARZ]]=$A140)),"----------"))</f>
        <v>VM224S013153</v>
      </c>
    </row>
    <row r="147" spans="1:3">
      <c r="A147" s="15" t="s">
        <v>3441</v>
      </c>
      <c r="B147" s="15">
        <f>LEN(C147)-LEN(SUBSTITUTE(C147,",",""))+1</f>
        <v>1</v>
      </c>
      <c r="C147" s="7" t="str" cm="1">
        <f t="array" ref="C147">_xlfn.TEXTJOIN(", ",,_xlfn._xlws.FILTER(Tabela1[[#All],[NUMER SERYJNY]],((Tabela1[[#All],[NAZWA]]=$A147)*(Tabela1[[#All],[KOMENTARZ]]=$A140)),"----------"))</f>
        <v>X225K132 01706</v>
      </c>
    </row>
    <row r="148" spans="1:3">
      <c r="A148" s="15" t="s">
        <v>3052</v>
      </c>
      <c r="B148" s="15">
        <f t="shared" ref="B148:B153" si="17">LEN(C148)-LEN(SUBSTITUTE(C148,",",""))+1</f>
        <v>2</v>
      </c>
      <c r="C148" s="7" t="str" cm="1">
        <f t="array" ref="C148">_xlfn.TEXTJOIN(", ",,_xlfn._xlws.FILTER(Tabela1[[#All],[NUMER SERYJNY]],((Tabela1[[#All],[NAZWA]]=$A148)*(Tabela1[[#All],[KOMENTARZ]]=$A140)),"----------"))</f>
        <v>80AD0121507542C38F, 80AD0121507542C389</v>
      </c>
    </row>
    <row r="149" spans="1:3">
      <c r="A149" s="15" t="s">
        <v>3302</v>
      </c>
      <c r="B149" s="15">
        <f t="shared" si="17"/>
        <v>1</v>
      </c>
      <c r="C149" s="7" t="str" cm="1">
        <f t="array" ref="C149">_xlfn.TEXTJOIN(", ",,_xlfn._xlws.FILTER(Tabela1[[#All],[NUMER SERYJNY]],((Tabela1[[#All],[NAZWA]]=$A149)*(Tabela1[[#All],[KOMENTARZ]]=$A140)),"----------"))</f>
        <v>s664ne0rc27039</v>
      </c>
    </row>
    <row r="150" spans="1:3">
      <c r="A150" s="15" t="s">
        <v>976</v>
      </c>
      <c r="B150" s="15">
        <f t="shared" si="17"/>
        <v>1</v>
      </c>
      <c r="C150" s="7" t="str" cm="1">
        <f t="array" ref="C150">_xlfn.TEXTJOIN(", ",,_xlfn._xlws.FILTER(Tabela1[[#All],[NUMER SERYJNY]],((Tabela1[[#All],[NAZWA]]=$A150)*(Tabela1[[#All],[KOMENTARZ]]=$A140)),"----------"))</f>
        <v>2219145923992</v>
      </c>
    </row>
    <row r="151" spans="1:3">
      <c r="A151" s="15"/>
      <c r="B151" s="15">
        <f t="shared" si="17"/>
        <v>1</v>
      </c>
      <c r="C151" s="7" t="str" cm="1">
        <f t="array" ref="C151">_xlfn.TEXTJOIN(", ",,_xlfn._xlws.FILTER(Tabela1[[#All],[NUMER SERYJNY]],((Tabela1[[#All],[NAZWA]]=$A151)*(Tabela1[[#All],[KOMENTARZ]]=$A$2)),"----------"))</f>
        <v>----------</v>
      </c>
    </row>
    <row r="152" spans="1:3">
      <c r="A152" s="15"/>
      <c r="B152" s="15">
        <f t="shared" si="17"/>
        <v>1</v>
      </c>
      <c r="C152" s="7" t="str" cm="1">
        <f t="array" ref="C152">_xlfn.TEXTJOIN(", ",,_xlfn._xlws.FILTER(Tabela1[[#All],[NUMER SERYJNY]],((Tabela1[[#All],[NAZWA]]=$A152)*(Tabela1[[#All],[KOMENTARZ]]=$A$2)),"----------"))</f>
        <v>----------</v>
      </c>
    </row>
    <row r="153" spans="1:3">
      <c r="A153" s="15"/>
      <c r="B153" s="15">
        <f t="shared" si="17"/>
        <v>1</v>
      </c>
      <c r="C153" s="7" t="str" cm="1">
        <f t="array" ref="C153">_xlfn.TEXTJOIN(", ",,_xlfn._xlws.FILTER(Tabela1[[#All],[NUMER SERYJNY]],((Tabela1[[#All],[NAZWA]]=$A153)*(Tabela1[[#All],[KOMENTARZ]]=$A$2)),"----------"))</f>
        <v>----------</v>
      </c>
    </row>
    <row r="154" spans="1:3" ht="18.75">
      <c r="A154" s="16"/>
      <c r="B154" s="16"/>
      <c r="C154" s="10"/>
    </row>
    <row r="155" spans="1:3">
      <c r="A155" s="12"/>
      <c r="B155" s="13"/>
      <c r="C155" s="8"/>
    </row>
    <row r="156" spans="1:3">
      <c r="A156" s="11" t="s">
        <v>3329</v>
      </c>
    </row>
    <row r="157" spans="1:3">
      <c r="A157" s="12" t="s">
        <v>3430</v>
      </c>
      <c r="B157" s="13"/>
      <c r="C157" s="8"/>
    </row>
    <row r="158" spans="1:3">
      <c r="A158" s="14" t="s">
        <v>965</v>
      </c>
      <c r="B158" s="14">
        <f t="shared" ref="B158:B162" si="18">LEN(C158)-LEN(SUBSTITUTE(C158,",",""))+1</f>
        <v>1</v>
      </c>
      <c r="C158" s="9" t="str" cm="1">
        <f t="array" ref="C158">_xlfn.TEXTJOIN(", ",,_xlfn._xlws.FILTER(Tabela1[[#All],[NUMER SERYJNY]],((Tabela1[[#All],[NAZWA]]=$A158)*(Tabela1[[#All],[KOMENTARZ]]=$A157)),"----------"))</f>
        <v>A345069X2721179</v>
      </c>
    </row>
    <row r="159" spans="1:3">
      <c r="A159" s="15" t="s">
        <v>967</v>
      </c>
      <c r="B159" s="15">
        <f t="shared" si="18"/>
        <v>1</v>
      </c>
      <c r="C159" s="7" t="str" cm="1">
        <f t="array" ref="C159">_xlfn.TEXTJOIN(", ",,_xlfn._xlws.FILTER(Tabela1[[#All],[NUMER SERYJNY]],((Tabela1[[#All],[NAZWA]]=$A159)*(Tabela1[[#All],[KOMENTARZ]]=$A157)),"----------"))</f>
        <v>C5100LL02RA0336</v>
      </c>
    </row>
    <row r="160" spans="1:3">
      <c r="A160" s="15" t="s">
        <v>969</v>
      </c>
      <c r="B160" s="15">
        <f t="shared" si="18"/>
        <v>1</v>
      </c>
      <c r="C160" s="7" t="str" cm="1">
        <f t="array" ref="C160">_xlfn.TEXTJOIN(", ",,_xlfn._xlws.FILTER(Tabela1[[#All],[NUMER SERYJNY]],((Tabela1[[#All],[NAZWA]]=$A160)*(Tabela1[[#All],[KOMENTARZ]]=$A157)),"----------"))</f>
        <v>P20310L48G50291</v>
      </c>
    </row>
    <row r="161" spans="1:3">
      <c r="A161" s="15" t="s">
        <v>17</v>
      </c>
      <c r="B161" s="15">
        <f t="shared" si="18"/>
        <v>1</v>
      </c>
      <c r="C161" s="7" t="str" cm="1">
        <f t="array" ref="C161">_xlfn.TEXTJOIN(", ",,_xlfn._xlws.FILTER(Tabela1[[#All],[NUMER SERYJNY]],((Tabela1[[#All],[NAZWA]]=$A161)*(Tabela1[[#All],[KOMENTARZ]]=$A157)),"----------"))</f>
        <v>VR219S016027</v>
      </c>
    </row>
    <row r="162" spans="1:3">
      <c r="A162" s="15" t="s">
        <v>975</v>
      </c>
      <c r="B162" s="15">
        <f t="shared" si="18"/>
        <v>1</v>
      </c>
      <c r="C162" s="7" t="str" cm="1">
        <f t="array" ref="C162">_xlfn.TEXTJOIN(", ",,_xlfn._xlws.FILTER(Tabela1[[#All],[NUMER SERYJNY]],((Tabela1[[#All],[NAZWA]]=$A162)*(Tabela1[[#All],[KOMENTARZ]]=$A157)),"----------"))</f>
        <v>EB227S007563</v>
      </c>
    </row>
    <row r="163" spans="1:3">
      <c r="A163" s="15" t="s">
        <v>971</v>
      </c>
      <c r="B163" s="15">
        <f>LEN(C163)-LEN(SUBSTITUTE(C163,",",""))+1</f>
        <v>1</v>
      </c>
      <c r="C163" s="7" t="str" cm="1">
        <f t="array" ref="C163">_xlfn.TEXTJOIN(", ",,_xlfn._xlws.FILTER(Tabela1[[#All],[NUMER SERYJNY]],((Tabela1[[#All],[NAZWA]]=$A163)*(Tabela1[[#All],[KOMENTARZ]]=$A157)),"----------"))</f>
        <v>VM226S001885</v>
      </c>
    </row>
    <row r="164" spans="1:3">
      <c r="A164" s="15" t="s">
        <v>3441</v>
      </c>
      <c r="B164" s="15">
        <f>LEN(C164)-LEN(SUBSTITUTE(C164,",",""))+1</f>
        <v>1</v>
      </c>
      <c r="C164" s="7" t="str" cm="1">
        <f t="array" ref="C164">_xlfn.TEXTJOIN(", ",,_xlfn._xlws.FILTER(Tabela1[[#All],[NUMER SERYJNY]],((Tabela1[[#All],[NAZWA]]=$A164)*(Tabela1[[#All],[KOMENTARZ]]=$A157)),"----------"))</f>
        <v>X225K132 02203</v>
      </c>
    </row>
    <row r="165" spans="1:3">
      <c r="A165" s="15" t="s">
        <v>3052</v>
      </c>
      <c r="B165" s="15">
        <f t="shared" ref="B165:B170" si="19">LEN(C165)-LEN(SUBSTITUTE(C165,",",""))+1</f>
        <v>2</v>
      </c>
      <c r="C165" s="7" t="str" cm="1">
        <f t="array" ref="C165">_xlfn.TEXTJOIN(", ",,_xlfn._xlws.FILTER(Tabela1[[#All],[NUMER SERYJNY]],((Tabela1[[#All],[NAZWA]]=$A165)*(Tabela1[[#All],[KOMENTARZ]]=$A157)),"----------"))</f>
        <v>80AD0121507542C391, 80AD0121507542C390</v>
      </c>
    </row>
    <row r="166" spans="1:3">
      <c r="A166" s="15" t="s">
        <v>3302</v>
      </c>
      <c r="B166" s="15">
        <f t="shared" si="19"/>
        <v>1</v>
      </c>
      <c r="C166" s="7" t="str" cm="1">
        <f t="array" ref="C166">_xlfn.TEXTJOIN(", ",,_xlfn._xlws.FILTER(Tabela1[[#All],[NUMER SERYJNY]],((Tabela1[[#All],[NAZWA]]=$A166)*(Tabela1[[#All],[KOMENTARZ]]=$A157)),"----------"))</f>
        <v>S664NE0RC27040</v>
      </c>
    </row>
    <row r="167" spans="1:3">
      <c r="A167" s="15" t="s">
        <v>976</v>
      </c>
      <c r="B167" s="15">
        <f t="shared" si="19"/>
        <v>1</v>
      </c>
      <c r="C167" s="7" t="str" cm="1">
        <f t="array" ref="C167">_xlfn.TEXTJOIN(", ",,_xlfn._xlws.FILTER(Tabela1[[#All],[NUMER SERYJNY]],((Tabela1[[#All],[NAZWA]]=$A167)*(Tabela1[[#All],[KOMENTARZ]]=$A157)),"----------"))</f>
        <v>2219145923995</v>
      </c>
    </row>
    <row r="168" spans="1:3">
      <c r="A168" s="15"/>
      <c r="B168" s="15">
        <f t="shared" si="19"/>
        <v>1</v>
      </c>
      <c r="C168" s="7" t="str" cm="1">
        <f t="array" ref="C168">_xlfn.TEXTJOIN(", ",,_xlfn._xlws.FILTER(Tabela1[[#All],[NUMER SERYJNY]],((Tabela1[[#All],[NAZWA]]=$A168)*(Tabela1[[#All],[KOMENTARZ]]=$A$2)),"----------"))</f>
        <v>----------</v>
      </c>
    </row>
    <row r="169" spans="1:3">
      <c r="A169" s="15"/>
      <c r="B169" s="15">
        <f t="shared" si="19"/>
        <v>1</v>
      </c>
      <c r="C169" s="7" t="str" cm="1">
        <f t="array" ref="C169">_xlfn.TEXTJOIN(", ",,_xlfn._xlws.FILTER(Tabela1[[#All],[NUMER SERYJNY]],((Tabela1[[#All],[NAZWA]]=$A169)*(Tabela1[[#All],[KOMENTARZ]]=$A$2)),"----------"))</f>
        <v>----------</v>
      </c>
    </row>
    <row r="170" spans="1:3">
      <c r="A170" s="15"/>
      <c r="B170" s="15">
        <f t="shared" si="19"/>
        <v>1</v>
      </c>
      <c r="C170" s="7" t="str" cm="1">
        <f t="array" ref="C170">_xlfn.TEXTJOIN(", ",,_xlfn._xlws.FILTER(Tabela1[[#All],[NUMER SERYJNY]],((Tabela1[[#All],[NAZWA]]=$A170)*(Tabela1[[#All],[KOMENTARZ]]=$A$2)),"----------"))</f>
        <v>----------</v>
      </c>
    </row>
    <row r="171" spans="1:3">
      <c r="A171" s="12"/>
      <c r="B171" s="13"/>
      <c r="C171" s="8"/>
    </row>
    <row r="172" spans="1:3">
      <c r="A172" s="14"/>
      <c r="B172" s="14"/>
      <c r="C172" s="9"/>
    </row>
    <row r="174" spans="1:3">
      <c r="A174" s="12"/>
      <c r="B174" s="13"/>
      <c r="C174" s="8"/>
    </row>
    <row r="175" spans="1:3">
      <c r="A175" s="14"/>
      <c r="B175" s="14"/>
      <c r="C175" s="9"/>
    </row>
    <row r="176" spans="1:3">
      <c r="A176" s="15"/>
      <c r="B176" s="15"/>
      <c r="C176" s="7"/>
    </row>
    <row r="177" spans="1:3">
      <c r="A177" s="15"/>
      <c r="B177" s="15"/>
      <c r="C177" s="7"/>
    </row>
    <row r="178" spans="1:3">
      <c r="A178" s="15"/>
      <c r="B178" s="15"/>
      <c r="C178" s="7"/>
    </row>
    <row r="179" spans="1:3">
      <c r="A179" s="15"/>
      <c r="B179" s="15"/>
      <c r="C179" s="7"/>
    </row>
    <row r="180" spans="1:3">
      <c r="A180" s="15"/>
      <c r="B180" s="15"/>
      <c r="C180" s="7"/>
    </row>
    <row r="181" spans="1:3">
      <c r="A181" s="15"/>
      <c r="B181" s="15"/>
      <c r="C181" s="7"/>
    </row>
    <row r="182" spans="1:3">
      <c r="A182" s="15"/>
      <c r="B182" s="15"/>
      <c r="C182" s="7"/>
    </row>
    <row r="183" spans="1:3">
      <c r="A183" s="15"/>
      <c r="B183" s="15"/>
      <c r="C183" s="7"/>
    </row>
    <row r="184" spans="1:3">
      <c r="A184" s="15"/>
      <c r="B184" s="15"/>
      <c r="C184" s="7"/>
    </row>
    <row r="185" spans="1:3">
      <c r="A185" s="15"/>
      <c r="B185" s="15"/>
      <c r="C185" s="7"/>
    </row>
    <row r="186" spans="1:3">
      <c r="A186" s="15"/>
      <c r="B186" s="15"/>
      <c r="C186" s="7"/>
    </row>
    <row r="187" spans="1:3">
      <c r="A187" s="15"/>
      <c r="B187" s="15"/>
      <c r="C187" s="7"/>
    </row>
    <row r="188" spans="1:3">
      <c r="A188" s="14"/>
      <c r="B188" s="14"/>
      <c r="C188" s="9"/>
    </row>
    <row r="189" spans="1:3">
      <c r="A189" s="15"/>
      <c r="B189" s="15"/>
      <c r="C189" s="7"/>
    </row>
    <row r="191" spans="1:3">
      <c r="A191" s="12"/>
      <c r="B191" s="13"/>
      <c r="C191" s="8"/>
    </row>
    <row r="192" spans="1:3">
      <c r="A192" s="14"/>
      <c r="B192" s="14"/>
      <c r="C192" s="9"/>
    </row>
    <row r="193" spans="1:3">
      <c r="A193" s="15"/>
      <c r="B193" s="15"/>
      <c r="C193" s="7"/>
    </row>
    <row r="194" spans="1:3">
      <c r="A194" s="15"/>
      <c r="B194" s="15"/>
      <c r="C194" s="7"/>
    </row>
    <row r="195" spans="1:3">
      <c r="A195" s="15"/>
      <c r="B195" s="15"/>
      <c r="C195" s="7"/>
    </row>
    <row r="196" spans="1:3">
      <c r="A196" s="15"/>
      <c r="B196" s="15"/>
      <c r="C196" s="7"/>
    </row>
    <row r="197" spans="1:3">
      <c r="A197" s="15"/>
      <c r="B197" s="15"/>
      <c r="C197" s="7"/>
    </row>
    <row r="198" spans="1:3">
      <c r="A198" s="15"/>
      <c r="B198" s="15"/>
      <c r="C198" s="7"/>
    </row>
    <row r="199" spans="1:3">
      <c r="A199" s="15"/>
      <c r="B199" s="15"/>
      <c r="C199" s="7"/>
    </row>
    <row r="200" spans="1:3">
      <c r="A200" s="15"/>
      <c r="B200" s="15"/>
      <c r="C200" s="7"/>
    </row>
    <row r="201" spans="1:3">
      <c r="A201" s="15"/>
      <c r="B201" s="15"/>
      <c r="C201" s="7"/>
    </row>
    <row r="202" spans="1:3">
      <c r="A202" s="15"/>
      <c r="B202" s="15"/>
      <c r="C202" s="7"/>
    </row>
    <row r="203" spans="1:3">
      <c r="A203" s="15"/>
      <c r="B203" s="15"/>
      <c r="C203" s="7"/>
    </row>
    <row r="204" spans="1:3">
      <c r="A204" s="15"/>
      <c r="B204" s="15"/>
      <c r="C204" s="7"/>
    </row>
    <row r="205" spans="1:3">
      <c r="A205" s="15"/>
      <c r="B205" s="15"/>
      <c r="C205" s="7"/>
    </row>
    <row r="206" spans="1:3">
      <c r="A206" s="15"/>
      <c r="B206" s="15"/>
      <c r="C206" s="7"/>
    </row>
  </sheetData>
  <conditionalFormatting sqref="F3">
    <cfRule type="duplicateValues" dxfId="439" priority="42"/>
  </conditionalFormatting>
  <conditionalFormatting sqref="C1:C16 C207:C1048576">
    <cfRule type="duplicateValues" dxfId="438" priority="41"/>
  </conditionalFormatting>
  <conditionalFormatting sqref="C67:C68">
    <cfRule type="duplicateValues" dxfId="437" priority="40"/>
  </conditionalFormatting>
  <conditionalFormatting sqref="C17">
    <cfRule type="duplicateValues" dxfId="436" priority="39"/>
  </conditionalFormatting>
  <conditionalFormatting sqref="C33">
    <cfRule type="duplicateValues" dxfId="435" priority="38"/>
  </conditionalFormatting>
  <conditionalFormatting sqref="C34">
    <cfRule type="duplicateValues" dxfId="434" priority="37"/>
  </conditionalFormatting>
  <conditionalFormatting sqref="C50:C51">
    <cfRule type="duplicateValues" dxfId="433" priority="36"/>
  </conditionalFormatting>
  <conditionalFormatting sqref="C30:C32">
    <cfRule type="duplicateValues" dxfId="432" priority="35"/>
  </conditionalFormatting>
  <conditionalFormatting sqref="C47:C49">
    <cfRule type="duplicateValues" dxfId="431" priority="34"/>
  </conditionalFormatting>
  <conditionalFormatting sqref="C64:C66">
    <cfRule type="duplicateValues" dxfId="430" priority="33"/>
  </conditionalFormatting>
  <conditionalFormatting sqref="C18:C29">
    <cfRule type="duplicateValues" dxfId="429" priority="32"/>
  </conditionalFormatting>
  <conditionalFormatting sqref="C35:C46">
    <cfRule type="duplicateValues" dxfId="428" priority="31"/>
  </conditionalFormatting>
  <conditionalFormatting sqref="C52:C63">
    <cfRule type="duplicateValues" dxfId="427" priority="30"/>
  </conditionalFormatting>
  <conditionalFormatting sqref="C1:C68 C207:C1048576">
    <cfRule type="duplicateValues" dxfId="426" priority="29"/>
  </conditionalFormatting>
  <conditionalFormatting sqref="C69:C84">
    <cfRule type="duplicateValues" dxfId="425" priority="28"/>
  </conditionalFormatting>
  <conditionalFormatting sqref="C135:C136">
    <cfRule type="duplicateValues" dxfId="424" priority="27"/>
  </conditionalFormatting>
  <conditionalFormatting sqref="C85">
    <cfRule type="duplicateValues" dxfId="423" priority="26"/>
  </conditionalFormatting>
  <conditionalFormatting sqref="C101">
    <cfRule type="duplicateValues" dxfId="422" priority="25"/>
  </conditionalFormatting>
  <conditionalFormatting sqref="C102">
    <cfRule type="duplicateValues" dxfId="421" priority="24"/>
  </conditionalFormatting>
  <conditionalFormatting sqref="C118:C119">
    <cfRule type="duplicateValues" dxfId="420" priority="23"/>
  </conditionalFormatting>
  <conditionalFormatting sqref="C98:C100">
    <cfRule type="duplicateValues" dxfId="419" priority="22"/>
  </conditionalFormatting>
  <conditionalFormatting sqref="C115:C117">
    <cfRule type="duplicateValues" dxfId="418" priority="21"/>
  </conditionalFormatting>
  <conditionalFormatting sqref="C132:C134">
    <cfRule type="duplicateValues" dxfId="417" priority="20"/>
  </conditionalFormatting>
  <conditionalFormatting sqref="C86:C97">
    <cfRule type="duplicateValues" dxfId="416" priority="19"/>
  </conditionalFormatting>
  <conditionalFormatting sqref="C103:C114">
    <cfRule type="duplicateValues" dxfId="415" priority="18"/>
  </conditionalFormatting>
  <conditionalFormatting sqref="C120:C131">
    <cfRule type="duplicateValues" dxfId="414" priority="17"/>
  </conditionalFormatting>
  <conditionalFormatting sqref="C69:C136">
    <cfRule type="duplicateValues" dxfId="413" priority="16"/>
  </conditionalFormatting>
  <conditionalFormatting sqref="C137:C138">
    <cfRule type="duplicateValues" dxfId="412" priority="15"/>
  </conditionalFormatting>
  <conditionalFormatting sqref="C137:C138">
    <cfRule type="duplicateValues" dxfId="411" priority="14"/>
  </conditionalFormatting>
  <conditionalFormatting sqref="C139:C154">
    <cfRule type="duplicateValues" dxfId="410" priority="13"/>
  </conditionalFormatting>
  <conditionalFormatting sqref="C205:C206">
    <cfRule type="duplicateValues" dxfId="409" priority="12"/>
  </conditionalFormatting>
  <conditionalFormatting sqref="C155">
    <cfRule type="duplicateValues" dxfId="408" priority="11"/>
  </conditionalFormatting>
  <conditionalFormatting sqref="C171">
    <cfRule type="duplicateValues" dxfId="407" priority="10"/>
  </conditionalFormatting>
  <conditionalFormatting sqref="C172">
    <cfRule type="duplicateValues" dxfId="406" priority="9"/>
  </conditionalFormatting>
  <conditionalFormatting sqref="C188:C189">
    <cfRule type="duplicateValues" dxfId="405" priority="8"/>
  </conditionalFormatting>
  <conditionalFormatting sqref="C168:C170">
    <cfRule type="duplicateValues" dxfId="404" priority="7"/>
  </conditionalFormatting>
  <conditionalFormatting sqref="C185:C187">
    <cfRule type="duplicateValues" dxfId="403" priority="6"/>
  </conditionalFormatting>
  <conditionalFormatting sqref="C202:C204">
    <cfRule type="duplicateValues" dxfId="402" priority="5"/>
  </conditionalFormatting>
  <conditionalFormatting sqref="C156:C167">
    <cfRule type="duplicateValues" dxfId="401" priority="4"/>
  </conditionalFormatting>
  <conditionalFormatting sqref="C173:C184">
    <cfRule type="duplicateValues" dxfId="400" priority="3"/>
  </conditionalFormatting>
  <conditionalFormatting sqref="C190:C201">
    <cfRule type="duplicateValues" dxfId="399" priority="2"/>
  </conditionalFormatting>
  <conditionalFormatting sqref="C139:C206">
    <cfRule type="duplicateValues" dxfId="398" priority="1"/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5D2A8-B59A-4017-AE2D-A2072069155C}">
  <sheetPr codeName="Arkusz7"/>
  <dimension ref="A1:J210"/>
  <sheetViews>
    <sheetView workbookViewId="0">
      <selection activeCell="C3" sqref="C3"/>
    </sheetView>
  </sheetViews>
  <sheetFormatPr defaultRowHeight="15"/>
  <cols>
    <col min="1" max="1" width="27.42578125" style="11" bestFit="1" customWidth="1"/>
    <col min="2" max="2" width="4.28515625" style="11" customWidth="1"/>
    <col min="3" max="3" width="47.42578125" customWidth="1"/>
    <col min="5" max="5" width="24.28515625" customWidth="1"/>
    <col min="6" max="6" width="21.5703125" customWidth="1"/>
    <col min="9" max="9" width="21.28515625" customWidth="1"/>
    <col min="10" max="10" width="13.5703125" customWidth="1"/>
  </cols>
  <sheetData>
    <row r="1" spans="1:10">
      <c r="A1" s="11" t="s">
        <v>3358</v>
      </c>
    </row>
    <row r="2" spans="1:10">
      <c r="A2" s="12" t="s">
        <v>3332</v>
      </c>
      <c r="B2" s="13"/>
      <c r="C2" s="8"/>
    </row>
    <row r="3" spans="1:10">
      <c r="A3" s="14" t="s">
        <v>3351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C113MLK51P40189</v>
      </c>
      <c r="F3" t="str" cm="1">
        <f t="array" ref="F3:F10">_xlfn.UNIQUE(_xlfn._xlws.FILTER(Tabela1[NAZWA],Tabela1[KOMENTARZ]=Arkusz3!A2))</f>
        <v>SSDSC2KB960GZ01</v>
      </c>
    </row>
    <row r="4" spans="1:10">
      <c r="A4" s="15" t="s">
        <v>3353</v>
      </c>
      <c r="B4" s="15">
        <f t="shared" si="0"/>
        <v>2</v>
      </c>
      <c r="C4" s="7" t="str" cm="1">
        <f t="array" ref="C4">_xlfn.TEXTJOIN(", ",,_xlfn._xlws.FILTER(Tabela1[[#All],[NUMER SERYJNY]],((Tabela1[[#All],[NAZWA]]=$A4)*(Tabela1[[#All],[KOMENTARZ]]=$A2)),"----------"))</f>
        <v>P606PCL46PB1332, P606PCL46PB1111</v>
      </c>
      <c r="F4" t="str">
        <v>M393A4K40EB3-CWE</v>
      </c>
    </row>
    <row r="5" spans="1:10">
      <c r="A5" s="15" t="s">
        <v>3356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PB21BS006291</v>
      </c>
      <c r="F5" t="str">
        <v>RSC-RR1U-E16</v>
      </c>
    </row>
    <row r="6" spans="1:10">
      <c r="A6" s="15" t="s">
        <v>914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WM214S604468</v>
      </c>
      <c r="F6" t="str">
        <v>PSE-ROM740P-0048</v>
      </c>
    </row>
    <row r="7" spans="1:10">
      <c r="A7" s="15" t="s">
        <v>3348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9KI3196P20036</v>
      </c>
      <c r="F7" t="str">
        <v>MBD-H12SSL-C-O</v>
      </c>
    </row>
    <row r="8" spans="1:10">
      <c r="A8" s="15" t="s">
        <v>3341</v>
      </c>
      <c r="B8" s="15">
        <f>LEN(C8)-LEN(SUBSTITUTE(C8,",",""))+1</f>
        <v>4</v>
      </c>
      <c r="C8" s="7" t="str" cm="1">
        <f t="array" ref="C8">_xlfn.TEXTJOIN(", ",,_xlfn._xlws.FILTER(Tabela1[[#All],[NUMER SERYJNY]],((Tabela1[[#All],[NAZWA]]=$A8)*(Tabela1[[#All],[KOMENTARZ]]=$A2)),"----------"))</f>
        <v>SNL824, SNL825, SNL826, SNL827</v>
      </c>
      <c r="F8" t="str">
        <v>CSE-113MFAC2-R606CB</v>
      </c>
    </row>
    <row r="9" spans="1:10" ht="48">
      <c r="A9" s="15" t="s">
        <v>3330</v>
      </c>
      <c r="B9" s="15">
        <f>LEN(C9)-LEN(SUBSTITUTE(C9,",",""))+1</f>
        <v>8</v>
      </c>
      <c r="C9" s="7" t="str" cm="1">
        <f t="array" ref="C9">_xlfn.TEXTJOIN(", ",,_xlfn._xlws.FILTER(Tabela1[[#All],[NUMER SERYJNY]],((Tabela1[[#All],[NAZWA]]=$A9)*(Tabela1[[#All],[KOMENTARZ]]=$A2)),"----------"))</f>
        <v>BTYI201305SL960CGN, BTYI201305T5960CGN, BTYI201305SK960CGN, BTYI204307SZ960CGN, BTYI204307TP960CGN, BTYI204307SX960CGN, BTYI204400KS960CGN, BTYI204307SY960CGN</v>
      </c>
      <c r="F9" t="str">
        <v>PWS-606P-1R</v>
      </c>
    </row>
    <row r="10" spans="1:10">
      <c r="A10" s="15"/>
      <c r="B10" s="15">
        <f t="shared" ref="B10:B16" si="1">LEN(C10)-LEN(SUBSTITUTE(C10,",",""))+1</f>
        <v>1</v>
      </c>
      <c r="C10" s="7" t="str" cm="1">
        <f t="array" ref="C10">_xlfn.TEXTJOIN(", ",,_xlfn._xlws.FILTER(Tabela1[[#All],[NUMER SERYJNY]],((Tabela1[[#All],[NAZWA]]=$A10)*(Tabela1[[#All],[KOMENTARZ]]=$A2)),"----------"))</f>
        <v>----------</v>
      </c>
      <c r="F10" t="str">
        <v>BPN-SAS3-113A-N2</v>
      </c>
      <c r="I10" t="str" cm="1">
        <f t="array" ref="I10:I28">_xlfn._xlws.FILTER(Tabela1[NAZWA],Tabela1[KOMENTARZ]=Arkusz3!A2)</f>
        <v>SSDSC2KB960GZ01</v>
      </c>
      <c r="J10" t="str" cm="1">
        <f t="array" ref="J10:J17">_xlfn.UNIQUE(_xlfn._xlws.FILTER(Tabela1[[#All],[NUMER SERYJNY]],((Tabela1[[#All],[NAZWA]]=$I10)*(Tabela1[[#All],[KOMENTARZ]]=$A$2)),"----------"))</f>
        <v>BTYI201305SL960CGN</v>
      </c>
    </row>
    <row r="11" spans="1:10">
      <c r="A11" s="15"/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----------</v>
      </c>
      <c r="I11" t="str">
        <v>SSDSC2KB960GZ01</v>
      </c>
      <c r="J11" t="str">
        <v>BTYI201305T5960CGN</v>
      </c>
    </row>
    <row r="12" spans="1:10">
      <c r="A12" s="15"/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----------</v>
      </c>
      <c r="I12" t="str">
        <v>SSDSC2KB960GZ01</v>
      </c>
      <c r="J12" t="str">
        <v>BTYI201305SK960CGN</v>
      </c>
    </row>
    <row r="13" spans="1:10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SERYJNY]],((Tabela1[[#All],[NAZWA]]=$A13)*(Tabela1[[#All],[KOMENTARZ]]=$A2)),"----------"))</f>
        <v>----------</v>
      </c>
      <c r="I13" t="str">
        <v>SSDSC2KB960GZ01</v>
      </c>
      <c r="J13" t="str">
        <v>BTYI204307SZ960CGN</v>
      </c>
    </row>
    <row r="14" spans="1:10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SERYJNY]],((Tabela1[[#All],[NAZWA]]=$A14)*(Tabela1[[#All],[KOMENTARZ]]=$A2)),"----------"))</f>
        <v>----------</v>
      </c>
      <c r="I14" t="str">
        <v>SSDSC2KB960GZ01</v>
      </c>
      <c r="J14" t="str">
        <v>BTYI204307TP960CGN</v>
      </c>
    </row>
    <row r="15" spans="1:10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SERYJNY]],((Tabela1[[#All],[NAZWA]]=$A15)*(Tabela1[[#All],[KOMENTARZ]]=$A2)),"----------"))</f>
        <v>----------</v>
      </c>
      <c r="I15" t="str">
        <v>SSDSC2KB960GZ01</v>
      </c>
      <c r="J15" t="str">
        <v>BTYI204307SX960CGN</v>
      </c>
    </row>
    <row r="16" spans="1:10">
      <c r="A16" s="15"/>
      <c r="B16" s="15">
        <f t="shared" si="1"/>
        <v>1</v>
      </c>
      <c r="C16" s="7" t="str" cm="1">
        <f t="array" ref="C16">_xlfn.TEXTJOIN(", ",,_xlfn._xlws.FILTER(Tabela1[[#All],[NUMER SERYJNY]],((Tabela1[[#All],[NAZWA]]=$A16)*(Tabela1[[#All],[KOMENTARZ]]=$A2)),"----------"))</f>
        <v>----------</v>
      </c>
      <c r="I16" t="str">
        <v>SSDSC2KB960GZ01</v>
      </c>
      <c r="J16" t="str">
        <v>BTYI204400KS960CGN</v>
      </c>
    </row>
    <row r="17" spans="1:10" ht="18.75">
      <c r="A17" s="16"/>
      <c r="B17" s="16"/>
      <c r="C17" s="10"/>
      <c r="I17" t="str">
        <v>SSDSC2KB960GZ01</v>
      </c>
      <c r="J17" t="str">
        <v>BTYI204307SY960CGN</v>
      </c>
    </row>
    <row r="18" spans="1:10">
      <c r="A18" s="12"/>
      <c r="B18" s="13"/>
      <c r="C18" s="8"/>
      <c r="I18" t="str">
        <v>M393A4K40EB3-CWE</v>
      </c>
      <c r="J18" t="str" cm="1">
        <f t="array" ref="J18:J21">_xlfn.UNIQUE(_xlfn._xlws.FILTER(Tabela1[[#All],[NUMER SERYJNY]],((Tabela1[[#All],[NAZWA]]=$I18)*(Tabela1[[#All],[KOMENTARZ]]=$A$2)),"----------"))</f>
        <v>SNL824</v>
      </c>
    </row>
    <row r="19" spans="1:10">
      <c r="A19" s="14"/>
      <c r="B19" s="14"/>
      <c r="C19" s="9"/>
      <c r="I19" t="str">
        <v>M393A4K40EB3-CWE</v>
      </c>
      <c r="J19" t="str">
        <v>SNL825</v>
      </c>
    </row>
    <row r="20" spans="1:10">
      <c r="A20" s="15"/>
      <c r="B20" s="15"/>
      <c r="C20" s="7"/>
      <c r="I20" t="str">
        <v>M393A4K40EB3-CWE</v>
      </c>
      <c r="J20" t="str">
        <v>SNL826</v>
      </c>
    </row>
    <row r="21" spans="1:10">
      <c r="A21" s="15"/>
      <c r="B21" s="15"/>
      <c r="C21" s="7"/>
      <c r="I21" t="str">
        <v>M393A4K40EB3-CWE</v>
      </c>
      <c r="J21" t="str">
        <v>SNL827</v>
      </c>
    </row>
    <row r="22" spans="1:10">
      <c r="A22" s="15"/>
      <c r="B22" s="15"/>
      <c r="C22" s="7"/>
      <c r="I22" t="str">
        <v>RSC-RR1U-E16</v>
      </c>
      <c r="J22" t="str" cm="1">
        <f t="array" ref="J22">_xlfn.UNIQUE(_xlfn._xlws.FILTER(Tabela1[[#All],[NUMER SERYJNY]],((Tabela1[[#All],[NAZWA]]=$I22)*(Tabela1[[#All],[KOMENTARZ]]=$A$2)),"----------"))</f>
        <v>VR221S000661</v>
      </c>
    </row>
    <row r="23" spans="1:10">
      <c r="A23" s="15"/>
      <c r="B23" s="15"/>
      <c r="C23" s="7"/>
      <c r="I23" t="str">
        <v>PSE-ROM740P-0048</v>
      </c>
      <c r="J23" t="str" cm="1">
        <f t="array" ref="J23">_xlfn.UNIQUE(_xlfn._xlws.FILTER(Tabela1[[#All],[NUMER SERYJNY]],((Tabela1[[#All],[NAZWA]]=$I23)*(Tabela1[[#All],[KOMENTARZ]]=$A$2)),"----------"))</f>
        <v>9KI3196P20036</v>
      </c>
    </row>
    <row r="24" spans="1:10">
      <c r="A24" s="15"/>
      <c r="B24" s="15"/>
      <c r="C24" s="7"/>
      <c r="I24" t="str">
        <v>MBD-H12SSL-C-O</v>
      </c>
      <c r="J24" t="str" cm="1">
        <f t="array" ref="J24">_xlfn.UNIQUE(_xlfn._xlws.FILTER(Tabela1[[#All],[NUMER SERYJNY]],((Tabela1[[#All],[NAZWA]]=$I24)*(Tabela1[[#All],[KOMENTARZ]]=$A$2)),"----------"))</f>
        <v>WM214S604468</v>
      </c>
    </row>
    <row r="25" spans="1:10">
      <c r="A25" s="15"/>
      <c r="B25" s="15"/>
      <c r="C25" s="7"/>
      <c r="I25" t="str">
        <v>CSE-113MFAC2-R606CB</v>
      </c>
      <c r="J25" t="str" cm="1">
        <f t="array" ref="J25">_xlfn.UNIQUE(_xlfn._xlws.FILTER(Tabela1[[#All],[NUMER SERYJNY]],((Tabela1[[#All],[NAZWA]]=$I25)*(Tabela1[[#All],[KOMENTARZ]]=$A$2)),"----------"))</f>
        <v>C113MLK51P40189</v>
      </c>
    </row>
    <row r="26" spans="1:10">
      <c r="A26" s="15"/>
      <c r="B26" s="15"/>
      <c r="C26" s="7"/>
      <c r="I26" t="str">
        <v>PWS-606P-1R</v>
      </c>
      <c r="J26" t="str" cm="1">
        <f t="array" ref="J26:J27">_xlfn.UNIQUE(_xlfn._xlws.FILTER(Tabela1[[#All],[NUMER SERYJNY]],((Tabela1[[#All],[NAZWA]]=$I26)*(Tabela1[[#All],[KOMENTARZ]]=$A$2)),"----------"))</f>
        <v>P606PCL46PB1332</v>
      </c>
    </row>
    <row r="27" spans="1:10">
      <c r="A27" s="15"/>
      <c r="B27" s="15"/>
      <c r="C27" s="7"/>
      <c r="I27" t="str">
        <v>PWS-606P-1R</v>
      </c>
      <c r="J27" t="str">
        <v>P606PCL46PB1111</v>
      </c>
    </row>
    <row r="28" spans="1:10">
      <c r="A28" s="15"/>
      <c r="B28" s="15"/>
      <c r="C28" s="7"/>
      <c r="I28" t="str">
        <v>BPN-SAS3-113A-N2</v>
      </c>
      <c r="J28" t="str" cm="1">
        <f t="array" ref="J28">_xlfn.UNIQUE(_xlfn._xlws.FILTER(Tabela1[[#All],[NUMER SERYJNY]],((Tabela1[[#All],[NAZWA]]=$I28)*(Tabela1[[#All],[KOMENTARZ]]=$A$2)),"----------"))</f>
        <v>PB21BS006291</v>
      </c>
    </row>
    <row r="29" spans="1:10">
      <c r="A29" s="15"/>
      <c r="B29" s="15"/>
      <c r="C29" s="7"/>
    </row>
    <row r="30" spans="1:10">
      <c r="A30" s="15"/>
      <c r="B30" s="15"/>
      <c r="C30" s="7"/>
    </row>
    <row r="31" spans="1:10">
      <c r="A31" s="15"/>
      <c r="B31" s="15"/>
      <c r="C31" s="7"/>
    </row>
    <row r="32" spans="1:10">
      <c r="A32" s="15"/>
      <c r="B32" s="15"/>
      <c r="C32" s="7"/>
    </row>
    <row r="33" spans="1:3">
      <c r="A33" s="14"/>
      <c r="B33" s="14"/>
      <c r="C33" s="9"/>
    </row>
    <row r="34" spans="1:3">
      <c r="A34" s="12"/>
      <c r="B34" s="13"/>
      <c r="C34" s="8"/>
    </row>
    <row r="35" spans="1:3">
      <c r="A35" s="14"/>
      <c r="B35" s="14"/>
      <c r="C35" s="9"/>
    </row>
    <row r="36" spans="1:3">
      <c r="A36" s="15"/>
      <c r="B36" s="15"/>
      <c r="C36" s="7"/>
    </row>
    <row r="37" spans="1:3">
      <c r="A37" s="15"/>
      <c r="B37" s="15"/>
      <c r="C37" s="7"/>
    </row>
    <row r="38" spans="1:3">
      <c r="A38" s="15"/>
      <c r="B38" s="15"/>
      <c r="C38" s="7"/>
    </row>
    <row r="39" spans="1:3">
      <c r="A39" s="15"/>
      <c r="B39" s="15"/>
      <c r="C39" s="7"/>
    </row>
    <row r="40" spans="1:3">
      <c r="A40" s="15"/>
      <c r="B40" s="15"/>
      <c r="C40" s="7"/>
    </row>
    <row r="41" spans="1:3">
      <c r="A41" s="15"/>
      <c r="B41" s="15"/>
      <c r="C41" s="7"/>
    </row>
    <row r="42" spans="1:3">
      <c r="A42" s="15"/>
      <c r="B42" s="15"/>
      <c r="C42" s="7"/>
    </row>
    <row r="43" spans="1:3">
      <c r="A43" s="15"/>
      <c r="B43" s="15"/>
      <c r="C43" s="7"/>
    </row>
    <row r="44" spans="1:3">
      <c r="A44" s="15"/>
      <c r="B44" s="15"/>
      <c r="C44" s="7"/>
    </row>
    <row r="45" spans="1:3">
      <c r="A45" s="15"/>
      <c r="B45" s="15"/>
      <c r="C45" s="7"/>
    </row>
    <row r="46" spans="1:3">
      <c r="A46" s="15"/>
      <c r="B46" s="15"/>
      <c r="C46" s="7"/>
    </row>
    <row r="47" spans="1:3">
      <c r="A47" s="15"/>
      <c r="B47" s="15"/>
      <c r="C47" s="7"/>
    </row>
    <row r="48" spans="1:3">
      <c r="A48" s="15"/>
      <c r="B48" s="15"/>
      <c r="C48" s="7"/>
    </row>
    <row r="49" spans="1:3">
      <c r="A49" s="15"/>
      <c r="B49" s="15"/>
      <c r="C49" s="7"/>
    </row>
    <row r="50" spans="1:3">
      <c r="A50" s="12"/>
      <c r="B50" s="13"/>
      <c r="C50" s="8"/>
    </row>
    <row r="51" spans="1:3">
      <c r="A51" s="14"/>
      <c r="B51" s="14"/>
      <c r="C51" s="9"/>
    </row>
    <row r="52" spans="1:3">
      <c r="A52" s="15"/>
      <c r="B52" s="15"/>
      <c r="C52" s="7"/>
    </row>
    <row r="53" spans="1:3">
      <c r="A53" s="15"/>
      <c r="B53" s="15"/>
      <c r="C53" s="7"/>
    </row>
    <row r="54" spans="1:3">
      <c r="A54" s="15"/>
      <c r="B54" s="15"/>
      <c r="C54" s="7"/>
    </row>
    <row r="55" spans="1:3">
      <c r="A55" s="15"/>
      <c r="B55" s="15"/>
      <c r="C55" s="7"/>
    </row>
    <row r="56" spans="1:3">
      <c r="A56" s="15"/>
      <c r="B56" s="15"/>
      <c r="C56" s="7"/>
    </row>
    <row r="57" spans="1:3">
      <c r="A57" s="15"/>
      <c r="B57" s="15"/>
      <c r="C57" s="7"/>
    </row>
    <row r="58" spans="1:3">
      <c r="A58" s="15"/>
      <c r="B58" s="15"/>
      <c r="C58" s="7"/>
    </row>
    <row r="59" spans="1:3">
      <c r="A59" s="15"/>
      <c r="B59" s="15"/>
      <c r="C59" s="7"/>
    </row>
    <row r="60" spans="1:3">
      <c r="A60" s="15"/>
      <c r="B60" s="15"/>
      <c r="C60" s="7"/>
    </row>
    <row r="61" spans="1:3">
      <c r="A61" s="15"/>
      <c r="B61" s="15"/>
      <c r="C61" s="7"/>
    </row>
    <row r="62" spans="1:3">
      <c r="A62" s="15"/>
      <c r="B62" s="15"/>
      <c r="C62" s="7"/>
    </row>
    <row r="63" spans="1:3">
      <c r="A63" s="15"/>
      <c r="B63" s="15"/>
      <c r="C63" s="7"/>
    </row>
    <row r="64" spans="1:3">
      <c r="A64" s="15"/>
      <c r="B64" s="15"/>
      <c r="C64" s="7"/>
    </row>
    <row r="65" spans="1:3">
      <c r="A65" s="15"/>
      <c r="B65" s="15"/>
      <c r="C65" s="7"/>
    </row>
    <row r="66" spans="1:3">
      <c r="A66" s="12"/>
      <c r="B66" s="13"/>
      <c r="C66" s="8"/>
    </row>
    <row r="67" spans="1:3">
      <c r="A67" s="14"/>
      <c r="B67" s="14"/>
      <c r="C67" s="9"/>
    </row>
    <row r="68" spans="1:3">
      <c r="A68" s="15"/>
      <c r="B68" s="15"/>
      <c r="C68" s="7"/>
    </row>
    <row r="69" spans="1:3">
      <c r="A69" s="15"/>
      <c r="B69" s="15"/>
      <c r="C69" s="7"/>
    </row>
    <row r="70" spans="1:3">
      <c r="A70" s="15"/>
      <c r="B70" s="15"/>
      <c r="C70" s="7"/>
    </row>
    <row r="71" spans="1:3">
      <c r="A71" s="15"/>
      <c r="B71" s="15"/>
      <c r="C71" s="7"/>
    </row>
    <row r="72" spans="1:3">
      <c r="A72" s="15"/>
      <c r="B72" s="15"/>
      <c r="C72" s="7"/>
    </row>
    <row r="73" spans="1:3">
      <c r="A73" s="15"/>
      <c r="B73" s="15"/>
      <c r="C73" s="7"/>
    </row>
    <row r="74" spans="1:3">
      <c r="A74" s="15"/>
      <c r="B74" s="15"/>
      <c r="C74" s="7"/>
    </row>
    <row r="75" spans="1:3">
      <c r="A75" s="15"/>
      <c r="B75" s="15"/>
      <c r="C75" s="7"/>
    </row>
    <row r="76" spans="1:3">
      <c r="A76" s="15"/>
      <c r="B76" s="15"/>
      <c r="C76" s="7"/>
    </row>
    <row r="77" spans="1:3">
      <c r="A77" s="15"/>
      <c r="B77" s="15"/>
      <c r="C77" s="7"/>
    </row>
    <row r="78" spans="1:3">
      <c r="A78" s="15"/>
      <c r="B78" s="15"/>
      <c r="C78" s="7"/>
    </row>
    <row r="79" spans="1:3">
      <c r="A79" s="15"/>
      <c r="B79" s="15"/>
      <c r="C79" s="7"/>
    </row>
    <row r="80" spans="1:3">
      <c r="A80" s="15"/>
      <c r="B80" s="15"/>
      <c r="C80" s="7"/>
    </row>
    <row r="81" spans="1:3">
      <c r="A81" s="15"/>
      <c r="B81" s="15"/>
      <c r="C81" s="7"/>
    </row>
    <row r="82" spans="1:3">
      <c r="A82" s="12"/>
      <c r="B82" s="13"/>
      <c r="C82" s="8"/>
    </row>
    <row r="83" spans="1:3">
      <c r="A83" s="14"/>
      <c r="B83" s="14"/>
      <c r="C83" s="9"/>
    </row>
    <row r="84" spans="1:3">
      <c r="A84" s="15"/>
      <c r="B84" s="15"/>
      <c r="C84" s="7"/>
    </row>
    <row r="85" spans="1:3">
      <c r="A85" s="15"/>
      <c r="B85" s="15"/>
      <c r="C85" s="7"/>
    </row>
    <row r="86" spans="1:3">
      <c r="A86" s="15"/>
      <c r="B86" s="15"/>
      <c r="C86" s="7"/>
    </row>
    <row r="87" spans="1:3">
      <c r="A87" s="15"/>
      <c r="B87" s="15"/>
      <c r="C87" s="7"/>
    </row>
    <row r="88" spans="1:3">
      <c r="A88" s="15"/>
      <c r="B88" s="15"/>
      <c r="C88" s="7"/>
    </row>
    <row r="89" spans="1:3">
      <c r="A89" s="15"/>
      <c r="B89" s="15"/>
      <c r="C89" s="7"/>
    </row>
    <row r="90" spans="1:3">
      <c r="A90" s="15"/>
      <c r="B90" s="15"/>
      <c r="C90" s="7"/>
    </row>
    <row r="91" spans="1:3">
      <c r="A91" s="15"/>
      <c r="B91" s="15"/>
      <c r="C91" s="7"/>
    </row>
    <row r="92" spans="1:3">
      <c r="A92" s="15"/>
      <c r="B92" s="15"/>
      <c r="C92" s="7"/>
    </row>
    <row r="93" spans="1:3">
      <c r="A93" s="15"/>
      <c r="B93" s="15"/>
      <c r="C93" s="7"/>
    </row>
    <row r="94" spans="1:3">
      <c r="A94" s="15"/>
      <c r="B94" s="15"/>
      <c r="C94" s="7"/>
    </row>
    <row r="95" spans="1:3">
      <c r="A95" s="15"/>
      <c r="B95" s="15"/>
      <c r="C95" s="7"/>
    </row>
    <row r="96" spans="1:3">
      <c r="A96" s="15"/>
      <c r="B96" s="15"/>
      <c r="C96" s="7"/>
    </row>
    <row r="97" spans="1:3">
      <c r="A97" s="15"/>
      <c r="B97" s="15"/>
      <c r="C97" s="7"/>
    </row>
    <row r="98" spans="1:3">
      <c r="A98" s="15"/>
      <c r="B98" s="15"/>
      <c r="C98" s="7"/>
    </row>
    <row r="99" spans="1:3">
      <c r="A99" s="12"/>
      <c r="B99" s="13"/>
      <c r="C99" s="8"/>
    </row>
    <row r="100" spans="1:3">
      <c r="A100" s="14"/>
      <c r="B100" s="14"/>
      <c r="C100" s="9"/>
    </row>
    <row r="101" spans="1:3">
      <c r="A101" s="15"/>
      <c r="B101" s="15"/>
      <c r="C101" s="7"/>
    </row>
    <row r="102" spans="1:3">
      <c r="A102" s="15"/>
      <c r="B102" s="15"/>
      <c r="C102" s="7"/>
    </row>
    <row r="103" spans="1:3">
      <c r="A103" s="15"/>
      <c r="B103" s="15"/>
      <c r="C103" s="7"/>
    </row>
    <row r="104" spans="1:3">
      <c r="A104" s="15"/>
      <c r="B104" s="15"/>
      <c r="C104" s="7"/>
    </row>
    <row r="105" spans="1:3">
      <c r="A105" s="15"/>
      <c r="B105" s="15"/>
      <c r="C105" s="7"/>
    </row>
    <row r="106" spans="1:3">
      <c r="A106" s="15"/>
      <c r="B106" s="15"/>
      <c r="C106" s="7"/>
    </row>
    <row r="107" spans="1:3">
      <c r="A107" s="15"/>
      <c r="B107" s="15"/>
      <c r="C107" s="7"/>
    </row>
    <row r="108" spans="1:3">
      <c r="A108" s="15"/>
      <c r="B108" s="15"/>
      <c r="C108" s="7"/>
    </row>
    <row r="109" spans="1:3">
      <c r="A109" s="15"/>
      <c r="B109" s="15"/>
      <c r="C109" s="7"/>
    </row>
    <row r="110" spans="1:3">
      <c r="A110" s="15"/>
      <c r="B110" s="15"/>
      <c r="C110" s="7"/>
    </row>
    <row r="111" spans="1:3">
      <c r="A111" s="15"/>
      <c r="B111" s="15"/>
      <c r="C111" s="7"/>
    </row>
    <row r="112" spans="1:3">
      <c r="A112" s="15"/>
      <c r="B112" s="15"/>
      <c r="C112" s="7"/>
    </row>
    <row r="113" spans="1:3">
      <c r="A113" s="15"/>
      <c r="B113" s="15"/>
      <c r="C113" s="7"/>
    </row>
    <row r="115" spans="1:3">
      <c r="A115" s="12"/>
      <c r="B115" s="13"/>
      <c r="C115" s="8"/>
    </row>
    <row r="116" spans="1:3">
      <c r="A116" s="14"/>
      <c r="B116" s="14"/>
      <c r="C116" s="9"/>
    </row>
    <row r="117" spans="1:3">
      <c r="A117" s="15"/>
      <c r="B117" s="15"/>
      <c r="C117" s="7"/>
    </row>
    <row r="118" spans="1:3">
      <c r="A118" s="15"/>
      <c r="B118" s="15"/>
      <c r="C118" s="7"/>
    </row>
    <row r="119" spans="1:3">
      <c r="A119" s="15"/>
      <c r="B119" s="15"/>
      <c r="C119" s="7"/>
    </row>
    <row r="120" spans="1:3">
      <c r="A120" s="15"/>
      <c r="B120" s="15"/>
      <c r="C120" s="7"/>
    </row>
    <row r="121" spans="1:3">
      <c r="A121" s="15"/>
      <c r="B121" s="15"/>
      <c r="C121" s="7"/>
    </row>
    <row r="122" spans="1:3">
      <c r="A122" s="15"/>
      <c r="B122" s="15"/>
      <c r="C122" s="7"/>
    </row>
    <row r="123" spans="1:3">
      <c r="A123" s="15"/>
      <c r="B123" s="15"/>
      <c r="C123" s="7"/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5"/>
      <c r="B126" s="15"/>
      <c r="C126" s="7"/>
    </row>
    <row r="127" spans="1:3">
      <c r="A127" s="15"/>
      <c r="B127" s="15"/>
      <c r="C127" s="7"/>
    </row>
    <row r="128" spans="1:3">
      <c r="A128" s="15"/>
      <c r="B128" s="15"/>
      <c r="C128" s="7"/>
    </row>
    <row r="129" spans="1:3">
      <c r="A129" s="15"/>
      <c r="B129" s="15"/>
      <c r="C129" s="7"/>
    </row>
    <row r="131" spans="1:3">
      <c r="A131" s="12"/>
      <c r="B131" s="13"/>
      <c r="C131" s="8"/>
    </row>
    <row r="132" spans="1:3">
      <c r="A132" s="14"/>
      <c r="B132" s="14"/>
      <c r="C132" s="9"/>
    </row>
    <row r="133" spans="1:3">
      <c r="A133" s="15"/>
      <c r="B133" s="15"/>
      <c r="C133" s="7"/>
    </row>
    <row r="134" spans="1:3">
      <c r="A134" s="15"/>
      <c r="B134" s="15"/>
      <c r="C134" s="7"/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>
      <c r="A137" s="15"/>
      <c r="B137" s="15"/>
      <c r="C137" s="7"/>
    </row>
    <row r="138" spans="1:3">
      <c r="A138" s="15"/>
      <c r="B138" s="15"/>
      <c r="C138" s="7"/>
    </row>
    <row r="139" spans="1:3">
      <c r="A139" s="15"/>
      <c r="B139" s="15"/>
      <c r="C139" s="7"/>
    </row>
    <row r="140" spans="1:3">
      <c r="A140" s="15"/>
      <c r="B140" s="15"/>
      <c r="C140" s="7"/>
    </row>
    <row r="141" spans="1:3">
      <c r="A141" s="15"/>
      <c r="B141" s="15"/>
      <c r="C141" s="7"/>
    </row>
    <row r="142" spans="1:3">
      <c r="A142" s="15"/>
      <c r="B142" s="15"/>
      <c r="C142" s="7"/>
    </row>
    <row r="143" spans="1:3">
      <c r="A143" s="15"/>
      <c r="B143" s="15"/>
      <c r="C143" s="7"/>
    </row>
    <row r="144" spans="1:3">
      <c r="A144" s="15"/>
      <c r="B144" s="15"/>
      <c r="C144" s="7"/>
    </row>
    <row r="145" spans="1:3">
      <c r="A145" s="15"/>
      <c r="B145" s="15"/>
      <c r="C145" s="7"/>
    </row>
    <row r="147" spans="1:3">
      <c r="A147" s="12"/>
      <c r="B147" s="13"/>
      <c r="C147" s="8"/>
    </row>
    <row r="148" spans="1:3">
      <c r="A148" s="14"/>
      <c r="B148" s="14"/>
      <c r="C148" s="9"/>
    </row>
    <row r="149" spans="1:3">
      <c r="A149" s="15"/>
      <c r="B149" s="15"/>
      <c r="C149" s="7"/>
    </row>
    <row r="150" spans="1:3">
      <c r="A150" s="15"/>
      <c r="B150" s="15"/>
      <c r="C150" s="7"/>
    </row>
    <row r="151" spans="1:3">
      <c r="A151" s="15"/>
      <c r="B151" s="15"/>
      <c r="C151" s="7"/>
    </row>
    <row r="152" spans="1:3">
      <c r="A152" s="15"/>
      <c r="B152" s="15"/>
      <c r="C152" s="7"/>
    </row>
    <row r="153" spans="1:3">
      <c r="A153" s="15"/>
      <c r="B153" s="15"/>
      <c r="C153" s="7"/>
    </row>
    <row r="154" spans="1:3">
      <c r="A154" s="15"/>
      <c r="B154" s="15"/>
      <c r="C154" s="7"/>
    </row>
    <row r="155" spans="1:3">
      <c r="A155" s="15"/>
      <c r="B155" s="15"/>
      <c r="C155" s="7"/>
    </row>
    <row r="156" spans="1:3">
      <c r="A156" s="15"/>
      <c r="B156" s="15"/>
      <c r="C156" s="7"/>
    </row>
    <row r="157" spans="1:3">
      <c r="A157" s="15"/>
      <c r="B157" s="15"/>
      <c r="C157" s="7"/>
    </row>
    <row r="158" spans="1:3">
      <c r="A158" s="15"/>
      <c r="B158" s="15"/>
      <c r="C158" s="7"/>
    </row>
    <row r="159" spans="1:3">
      <c r="A159" s="15"/>
      <c r="B159" s="15"/>
      <c r="C159" s="7"/>
    </row>
    <row r="160" spans="1:3">
      <c r="A160" s="15"/>
      <c r="B160" s="15"/>
      <c r="C160" s="7"/>
    </row>
    <row r="161" spans="1:3">
      <c r="A161" s="15"/>
      <c r="B161" s="15"/>
      <c r="C161" s="7"/>
    </row>
    <row r="163" spans="1:3">
      <c r="A163" s="12"/>
      <c r="B163" s="13"/>
      <c r="C163" s="8"/>
    </row>
    <row r="164" spans="1:3">
      <c r="A164" s="14"/>
      <c r="B164" s="14"/>
      <c r="C164" s="9"/>
    </row>
    <row r="165" spans="1:3">
      <c r="A165" s="15"/>
      <c r="B165" s="15"/>
      <c r="C165" s="7"/>
    </row>
    <row r="166" spans="1:3">
      <c r="A166" s="15"/>
      <c r="B166" s="15"/>
      <c r="C166" s="7"/>
    </row>
    <row r="167" spans="1:3">
      <c r="A167" s="15"/>
      <c r="B167" s="15"/>
      <c r="C167" s="7"/>
    </row>
    <row r="168" spans="1:3">
      <c r="A168" s="15"/>
      <c r="B168" s="15"/>
      <c r="C168" s="7"/>
    </row>
    <row r="169" spans="1:3">
      <c r="A169" s="15"/>
      <c r="B169" s="15"/>
      <c r="C169" s="7"/>
    </row>
    <row r="170" spans="1:3">
      <c r="A170" s="15"/>
      <c r="B170" s="15"/>
      <c r="C170" s="7"/>
    </row>
    <row r="171" spans="1:3">
      <c r="A171" s="15"/>
      <c r="B171" s="15"/>
      <c r="C171" s="7"/>
    </row>
    <row r="172" spans="1:3">
      <c r="A172" s="15"/>
      <c r="B172" s="15"/>
      <c r="C172" s="7"/>
    </row>
    <row r="173" spans="1:3">
      <c r="A173" s="15"/>
      <c r="B173" s="15"/>
      <c r="C173" s="7"/>
    </row>
    <row r="174" spans="1:3">
      <c r="A174" s="15"/>
      <c r="B174" s="15"/>
      <c r="C174" s="7"/>
    </row>
    <row r="175" spans="1:3">
      <c r="A175" s="15"/>
      <c r="B175" s="15"/>
      <c r="C175" s="7"/>
    </row>
    <row r="176" spans="1:3">
      <c r="A176" s="15"/>
      <c r="B176" s="15"/>
      <c r="C176" s="7"/>
    </row>
    <row r="177" spans="1:3">
      <c r="A177" s="15"/>
      <c r="B177" s="15"/>
      <c r="C177" s="7"/>
    </row>
    <row r="180" spans="1:3">
      <c r="A180" s="12"/>
      <c r="B180" s="13"/>
      <c r="C180" s="8"/>
    </row>
    <row r="181" spans="1:3">
      <c r="A181" s="14"/>
      <c r="B181" s="14"/>
      <c r="C181" s="9"/>
    </row>
    <row r="182" spans="1:3">
      <c r="A182" s="15"/>
      <c r="B182" s="15"/>
      <c r="C182" s="7"/>
    </row>
    <row r="183" spans="1:3">
      <c r="A183" s="15"/>
      <c r="B183" s="15"/>
      <c r="C183" s="7"/>
    </row>
    <row r="184" spans="1:3">
      <c r="A184" s="15"/>
      <c r="B184" s="15"/>
      <c r="C184" s="7"/>
    </row>
    <row r="185" spans="1:3">
      <c r="A185" s="15"/>
      <c r="B185" s="15"/>
      <c r="C185" s="7"/>
    </row>
    <row r="186" spans="1:3">
      <c r="A186" s="15"/>
      <c r="B186" s="15"/>
      <c r="C186" s="7"/>
    </row>
    <row r="187" spans="1:3">
      <c r="A187" s="15"/>
      <c r="B187" s="15"/>
      <c r="C187" s="7"/>
    </row>
    <row r="188" spans="1:3">
      <c r="A188" s="15"/>
      <c r="B188" s="15"/>
      <c r="C188" s="7"/>
    </row>
    <row r="189" spans="1:3">
      <c r="A189" s="15"/>
      <c r="B189" s="15"/>
      <c r="C189" s="7"/>
    </row>
    <row r="190" spans="1:3">
      <c r="A190" s="15"/>
      <c r="B190" s="15"/>
      <c r="C190" s="7"/>
    </row>
    <row r="191" spans="1:3">
      <c r="A191" s="15"/>
      <c r="B191" s="15"/>
      <c r="C191" s="7"/>
    </row>
    <row r="192" spans="1:3">
      <c r="A192" s="15"/>
      <c r="B192" s="15"/>
      <c r="C192" s="7"/>
    </row>
    <row r="193" spans="1:3">
      <c r="A193" s="15"/>
      <c r="B193" s="15"/>
      <c r="C193" s="7"/>
    </row>
    <row r="194" spans="1:3">
      <c r="A194" s="15"/>
      <c r="B194" s="15"/>
      <c r="C194" s="7"/>
    </row>
    <row r="196" spans="1:3">
      <c r="A196" s="12"/>
      <c r="B196" s="13"/>
      <c r="C196" s="8"/>
    </row>
    <row r="197" spans="1:3">
      <c r="A197" s="14"/>
      <c r="B197" s="14"/>
      <c r="C197" s="9"/>
    </row>
    <row r="198" spans="1:3">
      <c r="A198" s="15"/>
      <c r="B198" s="15"/>
      <c r="C198" s="7"/>
    </row>
    <row r="199" spans="1:3">
      <c r="A199" s="15"/>
      <c r="B199" s="15"/>
      <c r="C199" s="7"/>
    </row>
    <row r="200" spans="1:3">
      <c r="A200" s="15"/>
      <c r="B200" s="15"/>
      <c r="C200" s="7"/>
    </row>
    <row r="201" spans="1:3">
      <c r="A201" s="15"/>
      <c r="B201" s="15"/>
      <c r="C201" s="7"/>
    </row>
    <row r="202" spans="1:3">
      <c r="A202" s="15"/>
      <c r="B202" s="15"/>
      <c r="C202" s="7"/>
    </row>
    <row r="203" spans="1:3">
      <c r="A203" s="15"/>
      <c r="B203" s="15"/>
      <c r="C203" s="7"/>
    </row>
    <row r="204" spans="1:3">
      <c r="A204" s="15"/>
      <c r="B204" s="15"/>
      <c r="C204" s="7"/>
    </row>
    <row r="205" spans="1:3">
      <c r="A205" s="15"/>
      <c r="B205" s="15"/>
      <c r="C205" s="7"/>
    </row>
    <row r="206" spans="1:3">
      <c r="A206" s="15"/>
      <c r="B206" s="15"/>
      <c r="C206" s="7"/>
    </row>
    <row r="207" spans="1:3">
      <c r="A207" s="15"/>
      <c r="B207" s="15"/>
      <c r="C207" s="7"/>
    </row>
    <row r="208" spans="1:3">
      <c r="A208" s="15"/>
      <c r="B208" s="15"/>
      <c r="C208" s="7"/>
    </row>
    <row r="209" spans="1:3">
      <c r="A209" s="15"/>
      <c r="B209" s="15"/>
      <c r="C209" s="7"/>
    </row>
    <row r="210" spans="1:3">
      <c r="A210" s="15"/>
      <c r="B210" s="15"/>
      <c r="C210" s="7"/>
    </row>
  </sheetData>
  <sortState xmlns:xlrd2="http://schemas.microsoft.com/office/spreadsheetml/2017/richdata2" ref="J7:J14">
    <sortCondition ref="J7:J14" customList="CSE,PWS,BPN,MBD"/>
  </sortState>
  <conditionalFormatting sqref="F3">
    <cfRule type="duplicateValues" dxfId="397" priority="34"/>
  </conditionalFormatting>
  <conditionalFormatting sqref="C1:C17 C114 C130 C146 C162 C178:C179 C195 C211:C1048576">
    <cfRule type="duplicateValues" dxfId="396" priority="33"/>
  </conditionalFormatting>
  <conditionalFormatting sqref="C33">
    <cfRule type="duplicateValues" dxfId="395" priority="32"/>
  </conditionalFormatting>
  <conditionalFormatting sqref="C49">
    <cfRule type="duplicateValues" dxfId="394" priority="31"/>
  </conditionalFormatting>
  <conditionalFormatting sqref="C65">
    <cfRule type="duplicateValues" dxfId="393" priority="30"/>
  </conditionalFormatting>
  <conditionalFormatting sqref="C81">
    <cfRule type="duplicateValues" dxfId="392" priority="29"/>
  </conditionalFormatting>
  <conditionalFormatting sqref="C97:C98">
    <cfRule type="duplicateValues" dxfId="391" priority="28"/>
  </conditionalFormatting>
  <conditionalFormatting sqref="C18 C30:C32">
    <cfRule type="duplicateValues" dxfId="390" priority="27"/>
  </conditionalFormatting>
  <conditionalFormatting sqref="C34 C46:C48">
    <cfRule type="duplicateValues" dxfId="389" priority="26"/>
  </conditionalFormatting>
  <conditionalFormatting sqref="C50 C62:C64">
    <cfRule type="duplicateValues" dxfId="388" priority="25"/>
  </conditionalFormatting>
  <conditionalFormatting sqref="C66 C78:C80">
    <cfRule type="duplicateValues" dxfId="387" priority="24"/>
  </conditionalFormatting>
  <conditionalFormatting sqref="C82 C94:C96">
    <cfRule type="duplicateValues" dxfId="386" priority="23"/>
  </conditionalFormatting>
  <conditionalFormatting sqref="C99">
    <cfRule type="duplicateValues" dxfId="385" priority="22"/>
  </conditionalFormatting>
  <conditionalFormatting sqref="C115">
    <cfRule type="duplicateValues" dxfId="384" priority="21"/>
  </conditionalFormatting>
  <conditionalFormatting sqref="C131">
    <cfRule type="duplicateValues" dxfId="383" priority="20"/>
  </conditionalFormatting>
  <conditionalFormatting sqref="C147 C158:C161">
    <cfRule type="duplicateValues" dxfId="382" priority="19"/>
  </conditionalFormatting>
  <conditionalFormatting sqref="C163 C174:C177">
    <cfRule type="duplicateValues" dxfId="381" priority="18"/>
  </conditionalFormatting>
  <conditionalFormatting sqref="C180 C191:C194">
    <cfRule type="duplicateValues" dxfId="380" priority="17"/>
  </conditionalFormatting>
  <conditionalFormatting sqref="C196 C207:C210">
    <cfRule type="duplicateValues" dxfId="379" priority="16"/>
  </conditionalFormatting>
  <conditionalFormatting sqref="C19:C29">
    <cfRule type="duplicateValues" dxfId="378" priority="15"/>
  </conditionalFormatting>
  <conditionalFormatting sqref="C35:C45">
    <cfRule type="duplicateValues" dxfId="377" priority="14"/>
  </conditionalFormatting>
  <conditionalFormatting sqref="C51:C61">
    <cfRule type="duplicateValues" dxfId="376" priority="13"/>
  </conditionalFormatting>
  <conditionalFormatting sqref="C67:C77">
    <cfRule type="duplicateValues" dxfId="375" priority="12"/>
  </conditionalFormatting>
  <conditionalFormatting sqref="C83:C93">
    <cfRule type="duplicateValues" dxfId="374" priority="11"/>
  </conditionalFormatting>
  <conditionalFormatting sqref="C100:C109">
    <cfRule type="duplicateValues" dxfId="373" priority="10"/>
  </conditionalFormatting>
  <conditionalFormatting sqref="C116:C125">
    <cfRule type="duplicateValues" dxfId="372" priority="9"/>
  </conditionalFormatting>
  <conditionalFormatting sqref="C132:C141">
    <cfRule type="duplicateValues" dxfId="371" priority="8"/>
  </conditionalFormatting>
  <conditionalFormatting sqref="C148:C157">
    <cfRule type="duplicateValues" dxfId="370" priority="7"/>
  </conditionalFormatting>
  <conditionalFormatting sqref="C164:C173">
    <cfRule type="duplicateValues" dxfId="369" priority="6"/>
  </conditionalFormatting>
  <conditionalFormatting sqref="C181:C190">
    <cfRule type="duplicateValues" dxfId="368" priority="5"/>
  </conditionalFormatting>
  <conditionalFormatting sqref="C197:C206">
    <cfRule type="duplicateValues" dxfId="367" priority="4"/>
  </conditionalFormatting>
  <conditionalFormatting sqref="C142:C145">
    <cfRule type="duplicateValues" dxfId="366" priority="3"/>
  </conditionalFormatting>
  <conditionalFormatting sqref="C126:C129">
    <cfRule type="duplicateValues" dxfId="365" priority="2"/>
  </conditionalFormatting>
  <conditionalFormatting sqref="C110:C113">
    <cfRule type="duplicateValues" dxfId="364" priority="1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99900A-AE84-4BC0-A751-AFF62500943B}">
  <sheetPr codeName="Arkusz8"/>
  <dimension ref="A1:D206"/>
  <sheetViews>
    <sheetView topLeftCell="A168" workbookViewId="0">
      <selection activeCell="A202" sqref="A202"/>
    </sheetView>
  </sheetViews>
  <sheetFormatPr defaultRowHeight="15"/>
  <cols>
    <col min="1" max="1" width="33.85546875" style="11" bestFit="1" customWidth="1"/>
    <col min="2" max="2" width="4.28515625" style="11" customWidth="1"/>
    <col min="3" max="3" width="47.42578125" customWidth="1"/>
    <col min="4" max="4" width="10.140625" bestFit="1" customWidth="1"/>
  </cols>
  <sheetData>
    <row r="1" spans="1:4">
      <c r="A1" s="11" t="s">
        <v>3329</v>
      </c>
    </row>
    <row r="2" spans="1:4">
      <c r="A2" s="12" t="s">
        <v>3259</v>
      </c>
      <c r="B2" s="13"/>
      <c r="C2" s="8"/>
    </row>
    <row r="3" spans="1:4">
      <c r="A3" s="14" t="s">
        <v>965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A345069X2602002</v>
      </c>
      <c r="D3" s="6"/>
    </row>
    <row r="4" spans="1:4">
      <c r="A4" s="15" t="s">
        <v>967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C5100LL02RA0321</v>
      </c>
    </row>
    <row r="5" spans="1:4">
      <c r="A5" s="15" t="s">
        <v>969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P20310L48G50398</v>
      </c>
    </row>
    <row r="6" spans="1:4">
      <c r="A6" s="15" t="s">
        <v>17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VR21CS000973</v>
      </c>
    </row>
    <row r="7" spans="1:4">
      <c r="A7" s="15" t="s">
        <v>975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EB20BS009547</v>
      </c>
    </row>
    <row r="8" spans="1:4">
      <c r="A8" s="15" t="s">
        <v>971</v>
      </c>
      <c r="B8" s="15">
        <f>LEN(C8)-LEN(SUBSTITUTE(C8,",",""))+1</f>
        <v>1</v>
      </c>
      <c r="C8" s="7" t="str" cm="1">
        <f t="array" ref="C8">_xlfn.TEXTJOIN(", ",,_xlfn._xlws.FILTER(Tabela1[[#All],[NUMER SERYJNY]],((Tabela1[[#All],[NAZWA]]=$A8)*(Tabela1[[#All],[KOMENTARZ]]=$A2)),"----------"))</f>
        <v>VM221S012532</v>
      </c>
    </row>
    <row r="9" spans="1:4">
      <c r="A9" s="15" t="s">
        <v>3048</v>
      </c>
      <c r="B9" s="15">
        <f>LEN(C9)-LEN(SUBSTITUTE(C9,",",""))+1</f>
        <v>1</v>
      </c>
      <c r="C9" s="7" t="str" cm="1">
        <f t="array" ref="C9">_xlfn.TEXTJOIN(", ",,_xlfn._xlws.FILTER(Tabela1[[#All],[NUMER SERYJNY]],((Tabela1[[#All],[NAZWA]]=$A9)*(Tabela1[[#All],[KOMENTARZ]]=$A2)),"----------"))</f>
        <v>X212K806  U2TC541202091</v>
      </c>
    </row>
    <row r="10" spans="1:4">
      <c r="A10" s="15" t="s">
        <v>956</v>
      </c>
      <c r="B10" s="15">
        <f t="shared" ref="B10:B15" si="1">LEN(C10)-LEN(SUBSTITUTE(C10,",",""))+1</f>
        <v>2</v>
      </c>
      <c r="C10" s="7" t="str" cm="1">
        <f t="array" ref="C10">_xlfn.TEXTJOIN(", ",,_xlfn._xlws.FILTER(Tabela1[[#All],[NUMER SERYJNY]],((Tabela1[[#All],[NAZWA]]=$A10)*(Tabela1[[#All],[KOMENTARZ]]=$A2)),"----------"))</f>
        <v>1940559, 1940563</v>
      </c>
    </row>
    <row r="11" spans="1:4">
      <c r="A11" s="15" t="s">
        <v>3302</v>
      </c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S664NE0T209010</v>
      </c>
    </row>
    <row r="12" spans="1:4">
      <c r="A12" s="15" t="s">
        <v>976</v>
      </c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02219144001148</v>
      </c>
    </row>
    <row r="13" spans="1:4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SERYJNY]],((Tabela1[[#All],[NAZWA]]=$A13)*(Tabela1[[#All],[KOMENTARZ]]=$A$2)),"----------"))</f>
        <v>----------</v>
      </c>
    </row>
    <row r="14" spans="1:4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SERYJNY]],((Tabela1[[#All],[NAZWA]]=$A14)*(Tabela1[[#All],[KOMENTARZ]]=$A$2)),"----------"))</f>
        <v>----------</v>
      </c>
    </row>
    <row r="15" spans="1:4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SERYJNY]],((Tabela1[[#All],[NAZWA]]=$A15)*(Tabela1[[#All],[KOMENTARZ]]=$A$2)),"----------"))</f>
        <v>----------</v>
      </c>
    </row>
    <row r="16" spans="1:4" ht="18.75">
      <c r="A16" s="16"/>
      <c r="B16" s="16"/>
      <c r="C16" s="10"/>
    </row>
    <row r="17" spans="1:3">
      <c r="A17" s="12"/>
      <c r="B17" s="13"/>
      <c r="C17" s="8"/>
    </row>
    <row r="18" spans="1:3">
      <c r="A18" s="11" t="s">
        <v>3329</v>
      </c>
    </row>
    <row r="19" spans="1:3">
      <c r="A19" s="12" t="s">
        <v>3257</v>
      </c>
      <c r="B19" s="13"/>
      <c r="C19" s="8"/>
    </row>
    <row r="20" spans="1:3">
      <c r="A20" s="14" t="s">
        <v>965</v>
      </c>
      <c r="B20" s="14">
        <f t="shared" ref="B20:B24" si="2">LEN(C20)-LEN(SUBSTITUTE(C20,",",""))+1</f>
        <v>1</v>
      </c>
      <c r="C20" s="9" t="str" cm="1">
        <f t="array" ref="C20">_xlfn.TEXTJOIN(", ",,_xlfn._xlws.FILTER(Tabela1[[#All],[NUMER SERYJNY]],((Tabela1[[#All],[NAZWA]]=$A20)*(Tabela1[[#All],[KOMENTARZ]]=$A19)),"----------"))</f>
        <v>A345069X2602007</v>
      </c>
    </row>
    <row r="21" spans="1:3">
      <c r="A21" s="15" t="s">
        <v>967</v>
      </c>
      <c r="B21" s="15">
        <f t="shared" si="2"/>
        <v>1</v>
      </c>
      <c r="C21" s="7" t="str" cm="1">
        <f t="array" ref="C21">_xlfn.TEXTJOIN(", ",,_xlfn._xlws.FILTER(Tabela1[[#All],[NUMER SERYJNY]],((Tabela1[[#All],[NAZWA]]=$A21)*(Tabela1[[#All],[KOMENTARZ]]=$A19)),"----------"))</f>
        <v>C5100LL02RA0335</v>
      </c>
    </row>
    <row r="22" spans="1:3">
      <c r="A22" s="15" t="s">
        <v>969</v>
      </c>
      <c r="B22" s="15">
        <f t="shared" si="2"/>
        <v>1</v>
      </c>
      <c r="C22" s="7" t="str" cm="1">
        <f t="array" ref="C22">_xlfn.TEXTJOIN(", ",,_xlfn._xlws.FILTER(Tabela1[[#All],[NUMER SERYJNY]],((Tabela1[[#All],[NAZWA]]=$A22)*(Tabela1[[#All],[KOMENTARZ]]=$A19)),"----------"))</f>
        <v>P20310L48G50390</v>
      </c>
    </row>
    <row r="23" spans="1:3">
      <c r="A23" s="15" t="s">
        <v>17</v>
      </c>
      <c r="B23" s="15">
        <f t="shared" si="2"/>
        <v>1</v>
      </c>
      <c r="C23" s="7" t="str" cm="1">
        <f t="array" ref="C23">_xlfn.TEXTJOIN(", ",,_xlfn._xlws.FILTER(Tabela1[[#All],[NUMER SERYJNY]],((Tabela1[[#All],[NAZWA]]=$A23)*(Tabela1[[#All],[KOMENTARZ]]=$A19)),"----------"))</f>
        <v>VR21CS000923</v>
      </c>
    </row>
    <row r="24" spans="1:3">
      <c r="A24" s="15" t="s">
        <v>975</v>
      </c>
      <c r="B24" s="15">
        <f t="shared" si="2"/>
        <v>1</v>
      </c>
      <c r="C24" s="7" t="str" cm="1">
        <f t="array" ref="C24">_xlfn.TEXTJOIN(", ",,_xlfn._xlws.FILTER(Tabela1[[#All],[NUMER SERYJNY]],((Tabela1[[#All],[NAZWA]]=$A24)*(Tabela1[[#All],[KOMENTARZ]]=$A19)),"----------"))</f>
        <v>EB20BS009578</v>
      </c>
    </row>
    <row r="25" spans="1:3">
      <c r="A25" s="15" t="s">
        <v>971</v>
      </c>
      <c r="B25" s="15">
        <f>LEN(C25)-LEN(SUBSTITUTE(C25,",",""))+1</f>
        <v>1</v>
      </c>
      <c r="C25" s="7" t="str" cm="1">
        <f t="array" ref="C25">_xlfn.TEXTJOIN(", ",,_xlfn._xlws.FILTER(Tabela1[[#All],[NUMER SERYJNY]],((Tabela1[[#All],[NAZWA]]=$A25)*(Tabela1[[#All],[KOMENTARZ]]=$A19)),"----------"))</f>
        <v>VM221S012705</v>
      </c>
    </row>
    <row r="26" spans="1:3">
      <c r="A26" s="15" t="s">
        <v>3048</v>
      </c>
      <c r="B26" s="15">
        <f>LEN(C26)-LEN(SUBSTITUTE(C26,",",""))+1</f>
        <v>1</v>
      </c>
      <c r="C26" s="7" t="str" cm="1">
        <f t="array" ref="C26">_xlfn.TEXTJOIN(", ",,_xlfn._xlws.FILTER(Tabela1[[#All],[NUMER SERYJNY]],((Tabela1[[#All],[NAZWA]]=$A26)*(Tabela1[[#All],[KOMENTARZ]]=$A19)),"----------"))</f>
        <v>X212K806  U2AW250300426</v>
      </c>
    </row>
    <row r="27" spans="1:3">
      <c r="A27" s="15" t="s">
        <v>956</v>
      </c>
      <c r="B27" s="15">
        <f t="shared" ref="B27:B32" si="3">LEN(C27)-LEN(SUBSTITUTE(C27,",",""))+1</f>
        <v>2</v>
      </c>
      <c r="C27" s="7" t="str" cm="1">
        <f t="array" ref="C27">_xlfn.TEXTJOIN(", ",,_xlfn._xlws.FILTER(Tabela1[[#All],[NUMER SERYJNY]],((Tabela1[[#All],[NAZWA]]=$A27)*(Tabela1[[#All],[KOMENTARZ]]=$A19)),"----------"))</f>
        <v>1940546, 1940542</v>
      </c>
    </row>
    <row r="28" spans="1:3">
      <c r="A28" s="15" t="s">
        <v>3302</v>
      </c>
      <c r="B28" s="15">
        <f t="shared" si="3"/>
        <v>1</v>
      </c>
      <c r="C28" s="7" t="str" cm="1">
        <f t="array" ref="C28">_xlfn.TEXTJOIN(", ",,_xlfn._xlws.FILTER(Tabela1[[#All],[NUMER SERYJNY]],((Tabela1[[#All],[NAZWA]]=$A28)*(Tabela1[[#All],[KOMENTARZ]]=$A19)),"----------"))</f>
        <v>S664NE0T209018</v>
      </c>
    </row>
    <row r="29" spans="1:3">
      <c r="A29" s="15" t="s">
        <v>976</v>
      </c>
      <c r="B29" s="15">
        <f t="shared" si="3"/>
        <v>1</v>
      </c>
      <c r="C29" s="7" t="str" cm="1">
        <f t="array" ref="C29">_xlfn.TEXTJOIN(", ",,_xlfn._xlws.FILTER(Tabela1[[#All],[NUMER SERYJNY]],((Tabela1[[#All],[NAZWA]]=$A29)*(Tabela1[[#All],[KOMENTARZ]]=$A19)),"----------"))</f>
        <v>02219144001153</v>
      </c>
    </row>
    <row r="30" spans="1:3">
      <c r="A30" s="15"/>
      <c r="B30" s="15">
        <f t="shared" si="3"/>
        <v>1</v>
      </c>
      <c r="C30" s="7" t="str" cm="1">
        <f t="array" ref="C30">_xlfn.TEXTJOIN(", ",,_xlfn._xlws.FILTER(Tabela1[[#All],[NUMER SERYJNY]],((Tabela1[[#All],[NAZWA]]=$A30)*(Tabela1[[#All],[KOMENTARZ]]=$A$2)),"----------"))</f>
        <v>----------</v>
      </c>
    </row>
    <row r="31" spans="1:3">
      <c r="A31" s="15"/>
      <c r="B31" s="15">
        <f t="shared" si="3"/>
        <v>1</v>
      </c>
      <c r="C31" s="7" t="str" cm="1">
        <f t="array" ref="C31">_xlfn.TEXTJOIN(", ",,_xlfn._xlws.FILTER(Tabela1[[#All],[NUMER SERYJNY]],((Tabela1[[#All],[NAZWA]]=$A31)*(Tabela1[[#All],[KOMENTARZ]]=$A$2)),"----------"))</f>
        <v>----------</v>
      </c>
    </row>
    <row r="32" spans="1:3">
      <c r="A32" s="15"/>
      <c r="B32" s="15">
        <f t="shared" si="3"/>
        <v>1</v>
      </c>
      <c r="C32" s="7" t="str" cm="1">
        <f t="array" ref="C32">_xlfn.TEXTJOIN(", ",,_xlfn._xlws.FILTER(Tabela1[[#All],[NUMER SERYJNY]],((Tabela1[[#All],[NAZWA]]=$A32)*(Tabela1[[#All],[KOMENTARZ]]=$A$2)),"----------"))</f>
        <v>----------</v>
      </c>
    </row>
    <row r="33" spans="1:3">
      <c r="A33" s="12"/>
      <c r="B33" s="13"/>
      <c r="C33" s="8"/>
    </row>
    <row r="34" spans="1:3">
      <c r="A34" s="14"/>
      <c r="B34" s="14"/>
      <c r="C34" s="9"/>
    </row>
    <row r="35" spans="1:3">
      <c r="A35" s="11" t="s">
        <v>3329</v>
      </c>
    </row>
    <row r="36" spans="1:3">
      <c r="A36" s="12" t="s">
        <v>3260</v>
      </c>
      <c r="B36" s="13"/>
      <c r="C36" s="8"/>
    </row>
    <row r="37" spans="1:3">
      <c r="A37" s="14" t="s">
        <v>965</v>
      </c>
      <c r="B37" s="14">
        <f t="shared" ref="B37:B41" si="4">LEN(C37)-LEN(SUBSTITUTE(C37,",",""))+1</f>
        <v>1</v>
      </c>
      <c r="C37" s="9" t="str" cm="1">
        <f t="array" ref="C37">_xlfn.TEXTJOIN(", ",,_xlfn._xlws.FILTER(Tabela1[[#All],[NUMER SERYJNY]],((Tabela1[[#All],[NAZWA]]=$A37)*(Tabela1[[#All],[KOMENTARZ]]=$A36)),"----------"))</f>
        <v>A345069X2602001</v>
      </c>
    </row>
    <row r="38" spans="1:3">
      <c r="A38" s="15" t="s">
        <v>967</v>
      </c>
      <c r="B38" s="15">
        <f t="shared" si="4"/>
        <v>1</v>
      </c>
      <c r="C38" s="7" t="str" cm="1">
        <f t="array" ref="C38">_xlfn.TEXTJOIN(", ",,_xlfn._xlws.FILTER(Tabela1[[#All],[NUMER SERYJNY]],((Tabela1[[#All],[NAZWA]]=$A38)*(Tabela1[[#All],[KOMENTARZ]]=$A36)),"----------"))</f>
        <v>C5100LL02RA0322</v>
      </c>
    </row>
    <row r="39" spans="1:3">
      <c r="A39" s="15" t="s">
        <v>969</v>
      </c>
      <c r="B39" s="15">
        <f t="shared" si="4"/>
        <v>1</v>
      </c>
      <c r="C39" s="7" t="str" cm="1">
        <f t="array" ref="C39">_xlfn.TEXTJOIN(", ",,_xlfn._xlws.FILTER(Tabela1[[#All],[NUMER SERYJNY]],((Tabela1[[#All],[NAZWA]]=$A39)*(Tabela1[[#All],[KOMENTARZ]]=$A36)),"----------"))</f>
        <v>P20310L48G50397</v>
      </c>
    </row>
    <row r="40" spans="1:3">
      <c r="A40" s="15" t="s">
        <v>17</v>
      </c>
      <c r="B40" s="15">
        <f t="shared" si="4"/>
        <v>1</v>
      </c>
      <c r="C40" s="7" t="str" cm="1">
        <f t="array" ref="C40">_xlfn.TEXTJOIN(", ",,_xlfn._xlws.FILTER(Tabela1[[#All],[NUMER SERYJNY]],((Tabela1[[#All],[NAZWA]]=$A40)*(Tabela1[[#All],[KOMENTARZ]]=$A36)),"----------"))</f>
        <v>VR21CS000921</v>
      </c>
    </row>
    <row r="41" spans="1:3">
      <c r="A41" s="15" t="s">
        <v>975</v>
      </c>
      <c r="B41" s="15">
        <f t="shared" si="4"/>
        <v>1</v>
      </c>
      <c r="C41" s="7" t="str" cm="1">
        <f t="array" ref="C41">_xlfn.TEXTJOIN(", ",,_xlfn._xlws.FILTER(Tabela1[[#All],[NUMER SERYJNY]],((Tabela1[[#All],[NAZWA]]=$A41)*(Tabela1[[#All],[KOMENTARZ]]=$A36)),"----------"))</f>
        <v>EB20BS009572</v>
      </c>
    </row>
    <row r="42" spans="1:3">
      <c r="A42" s="15" t="s">
        <v>971</v>
      </c>
      <c r="B42" s="15">
        <f>LEN(C42)-LEN(SUBSTITUTE(C42,",",""))+1</f>
        <v>1</v>
      </c>
      <c r="C42" s="7" t="str" cm="1">
        <f t="array" ref="C42">_xlfn.TEXTJOIN(", ",,_xlfn._xlws.FILTER(Tabela1[[#All],[NUMER SERYJNY]],((Tabela1[[#All],[NAZWA]]=$A42)*(Tabela1[[#All],[KOMENTARZ]]=$A36)),"----------"))</f>
        <v>VM221S012528</v>
      </c>
    </row>
    <row r="43" spans="1:3">
      <c r="A43" s="15" t="s">
        <v>3048</v>
      </c>
      <c r="B43" s="15">
        <f>LEN(C43)-LEN(SUBSTITUTE(C43,",",""))+1</f>
        <v>1</v>
      </c>
      <c r="C43" s="7" t="str" cm="1">
        <f t="array" ref="C43">_xlfn.TEXTJOIN(", ",,_xlfn._xlws.FILTER(Tabela1[[#All],[NUMER SERYJNY]],((Tabela1[[#All],[NAZWA]]=$A43)*(Tabela1[[#All],[KOMENTARZ]]=$A36)),"----------"))</f>
        <v>X221K741 01555</v>
      </c>
    </row>
    <row r="44" spans="1:3">
      <c r="A44" s="15" t="s">
        <v>956</v>
      </c>
      <c r="B44" s="15">
        <f t="shared" ref="B44:B49" si="5">LEN(C44)-LEN(SUBSTITUTE(C44,",",""))+1</f>
        <v>2</v>
      </c>
      <c r="C44" s="7" t="str" cm="1">
        <f t="array" ref="C44">_xlfn.TEXTJOIN(", ",,_xlfn._xlws.FILTER(Tabela1[[#All],[NUMER SERYJNY]],((Tabela1[[#All],[NAZWA]]=$A44)*(Tabela1[[#All],[KOMENTARZ]]=$A36)),"----------"))</f>
        <v>1940558, 1940550</v>
      </c>
    </row>
    <row r="45" spans="1:3">
      <c r="A45" s="15" t="s">
        <v>3302</v>
      </c>
      <c r="B45" s="15">
        <f t="shared" si="5"/>
        <v>1</v>
      </c>
      <c r="C45" s="7" t="str" cm="1">
        <f t="array" ref="C45">_xlfn.TEXTJOIN(", ",,_xlfn._xlws.FILTER(Tabela1[[#All],[NUMER SERYJNY]],((Tabela1[[#All],[NAZWA]]=$A45)*(Tabela1[[#All],[KOMENTARZ]]=$A36)),"----------"))</f>
        <v>S664NE0T209016</v>
      </c>
    </row>
    <row r="46" spans="1:3">
      <c r="A46" s="15" t="s">
        <v>976</v>
      </c>
      <c r="B46" s="15">
        <f t="shared" si="5"/>
        <v>1</v>
      </c>
      <c r="C46" s="7" t="str" cm="1">
        <f t="array" ref="C46">_xlfn.TEXTJOIN(", ",,_xlfn._xlws.FILTER(Tabela1[[#All],[NUMER SERYJNY]],((Tabela1[[#All],[NAZWA]]=$A46)*(Tabela1[[#All],[KOMENTARZ]]=$A36)),"----------"))</f>
        <v>02219144001152</v>
      </c>
    </row>
    <row r="47" spans="1:3">
      <c r="A47" s="15"/>
      <c r="B47" s="15">
        <f t="shared" si="5"/>
        <v>1</v>
      </c>
      <c r="C47" s="7" t="str" cm="1">
        <f t="array" ref="C47">_xlfn.TEXTJOIN(", ",,_xlfn._xlws.FILTER(Tabela1[[#All],[NUMER SERYJNY]],((Tabela1[[#All],[NAZWA]]=$A47)*(Tabela1[[#All],[KOMENTARZ]]=$A$2)),"----------"))</f>
        <v>----------</v>
      </c>
    </row>
    <row r="48" spans="1:3">
      <c r="A48" s="15"/>
      <c r="B48" s="15">
        <f t="shared" si="5"/>
        <v>1</v>
      </c>
      <c r="C48" s="7" t="str" cm="1">
        <f t="array" ref="C48">_xlfn.TEXTJOIN(", ",,_xlfn._xlws.FILTER(Tabela1[[#All],[NUMER SERYJNY]],((Tabela1[[#All],[NAZWA]]=$A48)*(Tabela1[[#All],[KOMENTARZ]]=$A$2)),"----------"))</f>
        <v>----------</v>
      </c>
    </row>
    <row r="49" spans="1:3">
      <c r="A49" s="15"/>
      <c r="B49" s="15">
        <f t="shared" si="5"/>
        <v>1</v>
      </c>
      <c r="C49" s="7" t="str" cm="1">
        <f t="array" ref="C49">_xlfn.TEXTJOIN(", ",,_xlfn._xlws.FILTER(Tabela1[[#All],[NUMER SERYJNY]],((Tabela1[[#All],[NAZWA]]=$A49)*(Tabela1[[#All],[KOMENTARZ]]=$A$2)),"----------"))</f>
        <v>----------</v>
      </c>
    </row>
    <row r="50" spans="1:3">
      <c r="A50" s="14"/>
      <c r="B50" s="14"/>
      <c r="C50" s="9"/>
    </row>
    <row r="51" spans="1:3">
      <c r="A51" s="15"/>
      <c r="B51" s="15"/>
      <c r="C51" s="7"/>
    </row>
    <row r="52" spans="1:3">
      <c r="A52" s="11" t="s">
        <v>3329</v>
      </c>
    </row>
    <row r="53" spans="1:3">
      <c r="A53" s="12" t="s">
        <v>3261</v>
      </c>
      <c r="B53" s="13"/>
      <c r="C53" s="8"/>
    </row>
    <row r="54" spans="1:3">
      <c r="A54" s="14" t="s">
        <v>965</v>
      </c>
      <c r="B54" s="14">
        <f t="shared" ref="B54:B58" si="6">LEN(C54)-LEN(SUBSTITUTE(C54,",",""))+1</f>
        <v>1</v>
      </c>
      <c r="C54" s="9" t="str" cm="1">
        <f t="array" ref="C54">_xlfn.TEXTJOIN(", ",,_xlfn._xlws.FILTER(Tabela1[[#All],[NUMER SERYJNY]],((Tabela1[[#All],[NAZWA]]=$A54)*(Tabela1[[#All],[KOMENTARZ]]=$A53)),"----------"))</f>
        <v>A345069X2601996</v>
      </c>
    </row>
    <row r="55" spans="1:3">
      <c r="A55" s="15" t="s">
        <v>967</v>
      </c>
      <c r="B55" s="15">
        <f t="shared" si="6"/>
        <v>1</v>
      </c>
      <c r="C55" s="7" t="str" cm="1">
        <f t="array" ref="C55">_xlfn.TEXTJOIN(", ",,_xlfn._xlws.FILTER(Tabela1[[#All],[NUMER SERYJNY]],((Tabela1[[#All],[NAZWA]]=$A55)*(Tabela1[[#All],[KOMENTARZ]]=$A53)),"----------"))</f>
        <v>C5100LL02RA0323</v>
      </c>
    </row>
    <row r="56" spans="1:3">
      <c r="A56" s="15" t="s">
        <v>969</v>
      </c>
      <c r="B56" s="15">
        <f t="shared" si="6"/>
        <v>1</v>
      </c>
      <c r="C56" s="7" t="str" cm="1">
        <f t="array" ref="C56">_xlfn.TEXTJOIN(", ",,_xlfn._xlws.FILTER(Tabela1[[#All],[NUMER SERYJNY]],((Tabela1[[#All],[NAZWA]]=$A56)*(Tabela1[[#All],[KOMENTARZ]]=$A53)),"----------"))</f>
        <v>P20310L48G50388</v>
      </c>
    </row>
    <row r="57" spans="1:3">
      <c r="A57" s="15" t="s">
        <v>17</v>
      </c>
      <c r="B57" s="15">
        <f t="shared" si="6"/>
        <v>1</v>
      </c>
      <c r="C57" s="7" t="str" cm="1">
        <f t="array" ref="C57">_xlfn.TEXTJOIN(", ",,_xlfn._xlws.FILTER(Tabela1[[#All],[NUMER SERYJNY]],((Tabela1[[#All],[NAZWA]]=$A57)*(Tabela1[[#All],[KOMENTARZ]]=$A53)),"----------"))</f>
        <v>VR21CS000975</v>
      </c>
    </row>
    <row r="58" spans="1:3">
      <c r="A58" s="15" t="s">
        <v>975</v>
      </c>
      <c r="B58" s="15">
        <f t="shared" si="6"/>
        <v>1</v>
      </c>
      <c r="C58" s="7" t="str" cm="1">
        <f t="array" ref="C58">_xlfn.TEXTJOIN(", ",,_xlfn._xlws.FILTER(Tabela1[[#All],[NUMER SERYJNY]],((Tabela1[[#All],[NAZWA]]=$A58)*(Tabela1[[#All],[KOMENTARZ]]=$A53)),"----------"))</f>
        <v>EB20BS009565</v>
      </c>
    </row>
    <row r="59" spans="1:3">
      <c r="A59" s="15" t="s">
        <v>971</v>
      </c>
      <c r="B59" s="15">
        <f>LEN(C59)-LEN(SUBSTITUTE(C59,",",""))+1</f>
        <v>1</v>
      </c>
      <c r="C59" s="7" t="str" cm="1">
        <f t="array" ref="C59">_xlfn.TEXTJOIN(", ",,_xlfn._xlws.FILTER(Tabela1[[#All],[NUMER SERYJNY]],((Tabela1[[#All],[NAZWA]]=$A59)*(Tabela1[[#All],[KOMENTARZ]]=$A53)),"----------"))</f>
        <v>VM221S012671</v>
      </c>
    </row>
    <row r="60" spans="1:3">
      <c r="A60" s="15" t="s">
        <v>3048</v>
      </c>
      <c r="B60" s="15">
        <f>LEN(C60)-LEN(SUBSTITUTE(C60,",",""))+1</f>
        <v>1</v>
      </c>
      <c r="C60" s="7" t="str" cm="1">
        <f t="array" ref="C60">_xlfn.TEXTJOIN(", ",,_xlfn._xlws.FILTER(Tabela1[[#All],[NUMER SERYJNY]],((Tabela1[[#All],[NAZWA]]=$A60)*(Tabela1[[#All],[KOMENTARZ]]=$A53)),"----------"))</f>
        <v>X221K741 00193</v>
      </c>
    </row>
    <row r="61" spans="1:3">
      <c r="A61" s="15" t="s">
        <v>956</v>
      </c>
      <c r="B61" s="15">
        <f t="shared" ref="B61:B66" si="7">LEN(C61)-LEN(SUBSTITUTE(C61,",",""))+1</f>
        <v>2</v>
      </c>
      <c r="C61" s="7" t="str" cm="1">
        <f t="array" ref="C61">_xlfn.TEXTJOIN(", ",,_xlfn._xlws.FILTER(Tabela1[[#All],[NUMER SERYJNY]],((Tabela1[[#All],[NAZWA]]=$A61)*(Tabela1[[#All],[KOMENTARZ]]=$A53)),"----------"))</f>
        <v>1940554, 1940551</v>
      </c>
    </row>
    <row r="62" spans="1:3">
      <c r="A62" s="15" t="s">
        <v>3302</v>
      </c>
      <c r="B62" s="15">
        <f t="shared" si="7"/>
        <v>1</v>
      </c>
      <c r="C62" s="7" t="str" cm="1">
        <f t="array" ref="C62">_xlfn.TEXTJOIN(", ",,_xlfn._xlws.FILTER(Tabela1[[#All],[NUMER SERYJNY]],((Tabela1[[#All],[NAZWA]]=$A62)*(Tabela1[[#All],[KOMENTARZ]]=$A53)),"----------"))</f>
        <v>S664NE0T209015</v>
      </c>
    </row>
    <row r="63" spans="1:3">
      <c r="A63" s="15" t="s">
        <v>976</v>
      </c>
      <c r="B63" s="15">
        <f t="shared" si="7"/>
        <v>1</v>
      </c>
      <c r="C63" s="7" t="str" cm="1">
        <f t="array" ref="C63">_xlfn.TEXTJOIN(", ",,_xlfn._xlws.FILTER(Tabela1[[#All],[NUMER SERYJNY]],((Tabela1[[#All],[NAZWA]]=$A63)*(Tabela1[[#All],[KOMENTARZ]]=$A53)),"----------"))</f>
        <v>02219144001151</v>
      </c>
    </row>
    <row r="64" spans="1:3">
      <c r="A64" s="15"/>
      <c r="B64" s="15">
        <f t="shared" si="7"/>
        <v>1</v>
      </c>
      <c r="C64" s="7" t="str" cm="1">
        <f t="array" ref="C64">_xlfn.TEXTJOIN(", ",,_xlfn._xlws.FILTER(Tabela1[[#All],[NUMER SERYJNY]],((Tabela1[[#All],[NAZWA]]=$A64)*(Tabela1[[#All],[KOMENTARZ]]=$A$2)),"----------"))</f>
        <v>----------</v>
      </c>
    </row>
    <row r="65" spans="1:3">
      <c r="A65" s="15"/>
      <c r="B65" s="15">
        <f t="shared" si="7"/>
        <v>1</v>
      </c>
      <c r="C65" s="7" t="str" cm="1">
        <f t="array" ref="C65">_xlfn.TEXTJOIN(", ",,_xlfn._xlws.FILTER(Tabela1[[#All],[NUMER SERYJNY]],((Tabela1[[#All],[NAZWA]]=$A65)*(Tabela1[[#All],[KOMENTARZ]]=$A$2)),"----------"))</f>
        <v>----------</v>
      </c>
    </row>
    <row r="66" spans="1:3">
      <c r="A66" s="15"/>
      <c r="B66" s="15">
        <f t="shared" si="7"/>
        <v>1</v>
      </c>
      <c r="C66" s="7" t="str" cm="1">
        <f t="array" ref="C66">_xlfn.TEXTJOIN(", ",,_xlfn._xlws.FILTER(Tabela1[[#All],[NUMER SERYJNY]],((Tabela1[[#All],[NAZWA]]=$A66)*(Tabela1[[#All],[KOMENTARZ]]=$A$2)),"----------"))</f>
        <v>----------</v>
      </c>
    </row>
    <row r="67" spans="1:3">
      <c r="A67" s="15"/>
      <c r="B67" s="15"/>
      <c r="C67" s="7"/>
    </row>
    <row r="68" spans="1:3">
      <c r="A68" s="15"/>
      <c r="B68" s="15"/>
      <c r="C68" s="7"/>
    </row>
    <row r="69" spans="1:3">
      <c r="A69" s="11" t="s">
        <v>3329</v>
      </c>
    </row>
    <row r="70" spans="1:3">
      <c r="A70" s="12" t="s">
        <v>3262</v>
      </c>
      <c r="B70" s="13"/>
      <c r="C70" s="8"/>
    </row>
    <row r="71" spans="1:3">
      <c r="A71" s="14" t="s">
        <v>965</v>
      </c>
      <c r="B71" s="14">
        <f t="shared" ref="B71:B75" si="8">LEN(C71)-LEN(SUBSTITUTE(C71,",",""))+1</f>
        <v>1</v>
      </c>
      <c r="C71" s="9" t="str" cm="1">
        <f t="array" ref="C71">_xlfn.TEXTJOIN(", ",,_xlfn._xlws.FILTER(Tabela1[[#All],[NUMER SERYJNY]],((Tabela1[[#All],[NAZWA]]=$A71)*(Tabela1[[#All],[KOMENTARZ]]=$A70)),"----------"))</f>
        <v>A345069X2602009</v>
      </c>
    </row>
    <row r="72" spans="1:3">
      <c r="A72" s="15" t="s">
        <v>967</v>
      </c>
      <c r="B72" s="15">
        <f t="shared" si="8"/>
        <v>1</v>
      </c>
      <c r="C72" s="7" t="str" cm="1">
        <f t="array" ref="C72">_xlfn.TEXTJOIN(", ",,_xlfn._xlws.FILTER(Tabela1[[#All],[NUMER SERYJNY]],((Tabela1[[#All],[NAZWA]]=$A72)*(Tabela1[[#All],[KOMENTARZ]]=$A70)),"----------"))</f>
        <v>C5100LL02RA0332</v>
      </c>
    </row>
    <row r="73" spans="1:3">
      <c r="A73" s="15" t="s">
        <v>969</v>
      </c>
      <c r="B73" s="15">
        <f t="shared" si="8"/>
        <v>1</v>
      </c>
      <c r="C73" s="7" t="str" cm="1">
        <f t="array" ref="C73">_xlfn.TEXTJOIN(", ",,_xlfn._xlws.FILTER(Tabela1[[#All],[NUMER SERYJNY]],((Tabela1[[#All],[NAZWA]]=$A73)*(Tabela1[[#All],[KOMENTARZ]]=$A70)),"----------"))</f>
        <v>P20310L48G50392</v>
      </c>
    </row>
    <row r="74" spans="1:3">
      <c r="A74" s="15" t="s">
        <v>17</v>
      </c>
      <c r="B74" s="15">
        <f t="shared" si="8"/>
        <v>1</v>
      </c>
      <c r="C74" s="7" t="str" cm="1">
        <f t="array" ref="C74">_xlfn.TEXTJOIN(", ",,_xlfn._xlws.FILTER(Tabela1[[#All],[NUMER SERYJNY]],((Tabela1[[#All],[NAZWA]]=$A74)*(Tabela1[[#All],[KOMENTARZ]]=$A70)),"----------"))</f>
        <v>VR21CS000972</v>
      </c>
    </row>
    <row r="75" spans="1:3">
      <c r="A75" s="15" t="s">
        <v>975</v>
      </c>
      <c r="B75" s="15">
        <f t="shared" si="8"/>
        <v>1</v>
      </c>
      <c r="C75" s="7" t="str" cm="1">
        <f t="array" ref="C75">_xlfn.TEXTJOIN(", ",,_xlfn._xlws.FILTER(Tabela1[[#All],[NUMER SERYJNY]],((Tabela1[[#All],[NAZWA]]=$A75)*(Tabela1[[#All],[KOMENTARZ]]=$A70)),"----------"))</f>
        <v>EB20BS009557</v>
      </c>
    </row>
    <row r="76" spans="1:3">
      <c r="A76" s="15" t="s">
        <v>971</v>
      </c>
      <c r="B76" s="15">
        <f>LEN(C76)-LEN(SUBSTITUTE(C76,",",""))+1</f>
        <v>1</v>
      </c>
      <c r="C76" s="7" t="str" cm="1">
        <f t="array" ref="C76">_xlfn.TEXTJOIN(", ",,_xlfn._xlws.FILTER(Tabela1[[#All],[NUMER SERYJNY]],((Tabela1[[#All],[NAZWA]]=$A76)*(Tabela1[[#All],[KOMENTARZ]]=$A70)),"----------"))</f>
        <v>VM221S012673</v>
      </c>
    </row>
    <row r="77" spans="1:3">
      <c r="A77" s="15" t="s">
        <v>3048</v>
      </c>
      <c r="B77" s="15">
        <f>LEN(C77)-LEN(SUBSTITUTE(C77,",",""))+1</f>
        <v>1</v>
      </c>
      <c r="C77" s="7" t="str" cm="1">
        <f t="array" ref="C77">_xlfn.TEXTJOIN(", ",,_xlfn._xlws.FILTER(Tabela1[[#All],[NUMER SERYJNY]],((Tabela1[[#All],[NAZWA]]=$A77)*(Tabela1[[#All],[KOMENTARZ]]=$A70)),"----------"))</f>
        <v>X221K741 01548</v>
      </c>
    </row>
    <row r="78" spans="1:3">
      <c r="A78" s="15" t="s">
        <v>956</v>
      </c>
      <c r="B78" s="15">
        <f t="shared" ref="B78:B83" si="9">LEN(C78)-LEN(SUBSTITUTE(C78,",",""))+1</f>
        <v>2</v>
      </c>
      <c r="C78" s="7" t="str" cm="1">
        <f t="array" ref="C78">_xlfn.TEXTJOIN(", ",,_xlfn._xlws.FILTER(Tabela1[[#All],[NUMER SERYJNY]],((Tabela1[[#All],[NAZWA]]=$A78)*(Tabela1[[#All],[KOMENTARZ]]=$A70)),"----------"))</f>
        <v>1940543, 1940555</v>
      </c>
    </row>
    <row r="79" spans="1:3">
      <c r="A79" s="15" t="s">
        <v>3302</v>
      </c>
      <c r="B79" s="15">
        <f t="shared" si="9"/>
        <v>1</v>
      </c>
      <c r="C79" s="7" t="str" cm="1">
        <f t="array" ref="C79">_xlfn.TEXTJOIN(", ",,_xlfn._xlws.FILTER(Tabela1[[#All],[NUMER SERYJNY]],((Tabela1[[#All],[NAZWA]]=$A79)*(Tabela1[[#All],[KOMENTARZ]]=$A70)),"----------"))</f>
        <v>S664NE0T209020</v>
      </c>
    </row>
    <row r="80" spans="1:3">
      <c r="A80" s="15" t="s">
        <v>976</v>
      </c>
      <c r="B80" s="15">
        <f t="shared" si="9"/>
        <v>1</v>
      </c>
      <c r="C80" s="7" t="str" cm="1">
        <f t="array" ref="C80">_xlfn.TEXTJOIN(", ",,_xlfn._xlws.FILTER(Tabela1[[#All],[NUMER SERYJNY]],((Tabela1[[#All],[NAZWA]]=$A80)*(Tabela1[[#All],[KOMENTARZ]]=$A70)),"----------"))</f>
        <v>02219144001150</v>
      </c>
    </row>
    <row r="81" spans="1:3">
      <c r="A81" s="15"/>
      <c r="B81" s="15">
        <f t="shared" si="9"/>
        <v>1</v>
      </c>
      <c r="C81" s="7" t="str" cm="1">
        <f t="array" ref="C81">_xlfn.TEXTJOIN(", ",,_xlfn._xlws.FILTER(Tabela1[[#All],[NUMER SERYJNY]],((Tabela1[[#All],[NAZWA]]=$A81)*(Tabela1[[#All],[KOMENTARZ]]=$A$2)),"----------"))</f>
        <v>----------</v>
      </c>
    </row>
    <row r="82" spans="1:3">
      <c r="A82" s="15"/>
      <c r="B82" s="15">
        <f t="shared" si="9"/>
        <v>1</v>
      </c>
      <c r="C82" s="7" t="str" cm="1">
        <f t="array" ref="C82">_xlfn.TEXTJOIN(", ",,_xlfn._xlws.FILTER(Tabela1[[#All],[NUMER SERYJNY]],((Tabela1[[#All],[NAZWA]]=$A82)*(Tabela1[[#All],[KOMENTARZ]]=$A$2)),"----------"))</f>
        <v>----------</v>
      </c>
    </row>
    <row r="83" spans="1:3">
      <c r="A83" s="15"/>
      <c r="B83" s="15">
        <f t="shared" si="9"/>
        <v>1</v>
      </c>
      <c r="C83" s="7" t="str" cm="1">
        <f t="array" ref="C83">_xlfn.TEXTJOIN(", ",,_xlfn._xlws.FILTER(Tabela1[[#All],[NUMER SERYJNY]],((Tabela1[[#All],[NAZWA]]=$A83)*(Tabela1[[#All],[KOMENTARZ]]=$A$2)),"----------"))</f>
        <v>----------</v>
      </c>
    </row>
    <row r="84" spans="1:3" ht="18.75">
      <c r="A84" s="16"/>
      <c r="B84" s="16"/>
      <c r="C84" s="10"/>
    </row>
    <row r="85" spans="1:3">
      <c r="A85" s="12"/>
      <c r="B85" s="13"/>
      <c r="C85" s="8"/>
    </row>
    <row r="86" spans="1:3">
      <c r="A86" s="11" t="s">
        <v>3329</v>
      </c>
    </row>
    <row r="87" spans="1:3">
      <c r="A87" s="12" t="s">
        <v>3264</v>
      </c>
      <c r="B87" s="13"/>
      <c r="C87" s="8"/>
    </row>
    <row r="88" spans="1:3">
      <c r="A88" s="14" t="s">
        <v>965</v>
      </c>
      <c r="B88" s="14">
        <f t="shared" ref="B88:B92" si="10">LEN(C88)-LEN(SUBSTITUTE(C88,",",""))+1</f>
        <v>1</v>
      </c>
      <c r="C88" s="9" t="str" cm="1">
        <f t="array" ref="C88">_xlfn.TEXTJOIN(", ",,_xlfn._xlws.FILTER(Tabela1[[#All],[NUMER SERYJNY]],((Tabela1[[#All],[NAZWA]]=$A88)*(Tabela1[[#All],[KOMENTARZ]]=$A87)),"----------"))</f>
        <v>A345069X2602004</v>
      </c>
    </row>
    <row r="89" spans="1:3">
      <c r="A89" s="15" t="s">
        <v>967</v>
      </c>
      <c r="B89" s="15">
        <f t="shared" si="10"/>
        <v>1</v>
      </c>
      <c r="C89" s="7" t="str" cm="1">
        <f t="array" ref="C89">_xlfn.TEXTJOIN(", ",,_xlfn._xlws.FILTER(Tabela1[[#All],[NUMER SERYJNY]],((Tabela1[[#All],[NAZWA]]=$A89)*(Tabela1[[#All],[KOMENTARZ]]=$A87)),"----------"))</f>
        <v>C5100LL02RA0325</v>
      </c>
    </row>
    <row r="90" spans="1:3">
      <c r="A90" s="15" t="s">
        <v>969</v>
      </c>
      <c r="B90" s="15">
        <f t="shared" si="10"/>
        <v>1</v>
      </c>
      <c r="C90" s="7" t="str" cm="1">
        <f t="array" ref="C90">_xlfn.TEXTJOIN(", ",,_xlfn._xlws.FILTER(Tabela1[[#All],[NUMER SERYJNY]],((Tabela1[[#All],[NAZWA]]=$A90)*(Tabela1[[#All],[KOMENTARZ]]=$A87)),"----------"))</f>
        <v>P20310L48G50429</v>
      </c>
    </row>
    <row r="91" spans="1:3">
      <c r="A91" s="15" t="s">
        <v>17</v>
      </c>
      <c r="B91" s="15">
        <f t="shared" si="10"/>
        <v>1</v>
      </c>
      <c r="C91" s="7" t="str" cm="1">
        <f t="array" ref="C91">_xlfn.TEXTJOIN(", ",,_xlfn._xlws.FILTER(Tabela1[[#All],[NUMER SERYJNY]],((Tabela1[[#All],[NAZWA]]=$A91)*(Tabela1[[#All],[KOMENTARZ]]=$A87)),"----------"))</f>
        <v>VR21CS000922</v>
      </c>
    </row>
    <row r="92" spans="1:3">
      <c r="A92" s="15" t="s">
        <v>975</v>
      </c>
      <c r="B92" s="15">
        <f t="shared" si="10"/>
        <v>1</v>
      </c>
      <c r="C92" s="7" t="str" cm="1">
        <f t="array" ref="C92">_xlfn.TEXTJOIN(", ",,_xlfn._xlws.FILTER(Tabela1[[#All],[NUMER SERYJNY]],((Tabela1[[#All],[NAZWA]]=$A92)*(Tabela1[[#All],[KOMENTARZ]]=$A87)),"----------"))</f>
        <v>EB20BS009542</v>
      </c>
    </row>
    <row r="93" spans="1:3">
      <c r="A93" s="15" t="s">
        <v>971</v>
      </c>
      <c r="B93" s="15">
        <f>LEN(C93)-LEN(SUBSTITUTE(C93,",",""))+1</f>
        <v>1</v>
      </c>
      <c r="C93" s="7" t="str" cm="1">
        <f t="array" ref="C93">_xlfn.TEXTJOIN(", ",,_xlfn._xlws.FILTER(Tabela1[[#All],[NUMER SERYJNY]],((Tabela1[[#All],[NAZWA]]=$A93)*(Tabela1[[#All],[KOMENTARZ]]=$A87)),"----------"))</f>
        <v>VM221S012530</v>
      </c>
    </row>
    <row r="94" spans="1:3">
      <c r="A94" s="15" t="s">
        <v>3048</v>
      </c>
      <c r="B94" s="15">
        <f>LEN(C94)-LEN(SUBSTITUTE(C94,",",""))+1</f>
        <v>1</v>
      </c>
      <c r="C94" s="7" t="str" cm="1">
        <f t="array" ref="C94">_xlfn.TEXTJOIN(", ",,_xlfn._xlws.FILTER(Tabela1[[#All],[NUMER SERYJNY]],((Tabela1[[#All],[NAZWA]]=$A94)*(Tabela1[[#All],[KOMENTARZ]]=$A87)),"----------"))</f>
        <v>X221K741 02272</v>
      </c>
    </row>
    <row r="95" spans="1:3">
      <c r="A95" s="15" t="s">
        <v>956</v>
      </c>
      <c r="B95" s="15">
        <f t="shared" ref="B95:B100" si="11">LEN(C95)-LEN(SUBSTITUTE(C95,",",""))+1</f>
        <v>2</v>
      </c>
      <c r="C95" s="7" t="str" cm="1">
        <f t="array" ref="C95">_xlfn.TEXTJOIN(", ",,_xlfn._xlws.FILTER(Tabela1[[#All],[NUMER SERYJNY]],((Tabela1[[#All],[NAZWA]]=$A95)*(Tabela1[[#All],[KOMENTARZ]]=$A87)),"----------"))</f>
        <v>SNL693, SNL694</v>
      </c>
    </row>
    <row r="96" spans="1:3">
      <c r="A96" s="15" t="s">
        <v>3302</v>
      </c>
      <c r="B96" s="15">
        <f t="shared" si="11"/>
        <v>1</v>
      </c>
      <c r="C96" s="7" t="str" cm="1">
        <f t="array" ref="C96">_xlfn.TEXTJOIN(", ",,_xlfn._xlws.FILTER(Tabela1[[#All],[NUMER SERYJNY]],((Tabela1[[#All],[NAZWA]]=$A96)*(Tabela1[[#All],[KOMENTARZ]]=$A87)),"----------"))</f>
        <v>S664NE0T209019</v>
      </c>
    </row>
    <row r="97" spans="1:3">
      <c r="A97" s="15" t="s">
        <v>976</v>
      </c>
      <c r="B97" s="15">
        <f t="shared" si="11"/>
        <v>1</v>
      </c>
      <c r="C97" s="7" t="str" cm="1">
        <f t="array" ref="C97">_xlfn.TEXTJOIN(", ",,_xlfn._xlws.FILTER(Tabela1[[#All],[NUMER SERYJNY]],((Tabela1[[#All],[NAZWA]]=$A97)*(Tabela1[[#All],[KOMENTARZ]]=$A87)),"----------"))</f>
        <v>02219144001149</v>
      </c>
    </row>
    <row r="98" spans="1:3">
      <c r="A98" s="15"/>
      <c r="B98" s="15">
        <f t="shared" si="11"/>
        <v>1</v>
      </c>
      <c r="C98" s="7" t="str" cm="1">
        <f t="array" ref="C98">_xlfn.TEXTJOIN(", ",,_xlfn._xlws.FILTER(Tabela1[[#All],[NUMER SERYJNY]],((Tabela1[[#All],[NAZWA]]=$A98)*(Tabela1[[#All],[KOMENTARZ]]=$A$2)),"----------"))</f>
        <v>----------</v>
      </c>
    </row>
    <row r="99" spans="1:3">
      <c r="A99" s="15"/>
      <c r="B99" s="15">
        <f t="shared" si="11"/>
        <v>1</v>
      </c>
      <c r="C99" s="7" t="str" cm="1">
        <f t="array" ref="C99">_xlfn.TEXTJOIN(", ",,_xlfn._xlws.FILTER(Tabela1[[#All],[NUMER SERYJNY]],((Tabela1[[#All],[NAZWA]]=$A99)*(Tabela1[[#All],[KOMENTARZ]]=$A$2)),"----------"))</f>
        <v>----------</v>
      </c>
    </row>
    <row r="100" spans="1:3">
      <c r="A100" s="15"/>
      <c r="B100" s="15">
        <f t="shared" si="11"/>
        <v>1</v>
      </c>
      <c r="C100" s="7" t="str" cm="1">
        <f t="array" ref="C100">_xlfn.TEXTJOIN(", ",,_xlfn._xlws.FILTER(Tabela1[[#All],[NUMER SERYJNY]],((Tabela1[[#All],[NAZWA]]=$A100)*(Tabela1[[#All],[KOMENTARZ]]=$A$2)),"----------"))</f>
        <v>----------</v>
      </c>
    </row>
    <row r="101" spans="1:3">
      <c r="A101" s="12"/>
      <c r="B101" s="13"/>
      <c r="C101" s="8"/>
    </row>
    <row r="102" spans="1:3">
      <c r="A102" s="14"/>
      <c r="B102" s="14"/>
      <c r="C102" s="9"/>
    </row>
    <row r="103" spans="1:3">
      <c r="A103" s="11" t="s">
        <v>3329</v>
      </c>
    </row>
    <row r="104" spans="1:3">
      <c r="A104" s="12" t="s">
        <v>3323</v>
      </c>
      <c r="B104" s="13"/>
      <c r="C104" s="8"/>
    </row>
    <row r="105" spans="1:3">
      <c r="A105" s="14" t="s">
        <v>965</v>
      </c>
      <c r="B105" s="14">
        <f t="shared" ref="B105:B109" si="12">LEN(C105)-LEN(SUBSTITUTE(C105,",",""))+1</f>
        <v>1</v>
      </c>
      <c r="C105" s="9" t="str" cm="1">
        <f t="array" ref="C105">_xlfn.TEXTJOIN(", ",,_xlfn._xlws.FILTER(Tabela1[[#All],[NUMER SERYJNY]],((Tabela1[[#All],[NAZWA]]=$A105)*(Tabela1[[#All],[KOMENTARZ]]=$A104)),"----------"))</f>
        <v>A345069X2721181</v>
      </c>
    </row>
    <row r="106" spans="1:3">
      <c r="A106" s="15" t="s">
        <v>967</v>
      </c>
      <c r="B106" s="15">
        <f t="shared" si="12"/>
        <v>1</v>
      </c>
      <c r="C106" s="7" t="str" cm="1">
        <f t="array" ref="C106">_xlfn.TEXTJOIN(", ",,_xlfn._xlws.FILTER(Tabela1[[#All],[NUMER SERYJNY]],((Tabela1[[#All],[NAZWA]]=$A106)*(Tabela1[[#All],[KOMENTARZ]]=$A104)),"----------"))</f>
        <v>C5100LL02RA0340</v>
      </c>
    </row>
    <row r="107" spans="1:3">
      <c r="A107" s="15" t="s">
        <v>969</v>
      </c>
      <c r="B107" s="15">
        <f t="shared" si="12"/>
        <v>1</v>
      </c>
      <c r="C107" s="7" t="str" cm="1">
        <f t="array" ref="C107">_xlfn.TEXTJOIN(", ",,_xlfn._xlws.FILTER(Tabela1[[#All],[NUMER SERYJNY]],((Tabela1[[#All],[NAZWA]]=$A107)*(Tabela1[[#All],[KOMENTARZ]]=$A104)),"----------"))</f>
        <v>P20310L48G50306</v>
      </c>
    </row>
    <row r="108" spans="1:3">
      <c r="A108" s="15" t="s">
        <v>17</v>
      </c>
      <c r="B108" s="15">
        <f t="shared" si="12"/>
        <v>1</v>
      </c>
      <c r="C108" s="7" t="str" cm="1">
        <f t="array" ref="C108">_xlfn.TEXTJOIN(", ",,_xlfn._xlws.FILTER(Tabela1[[#All],[NUMER SERYJNY]],((Tabela1[[#All],[NAZWA]]=$A108)*(Tabela1[[#All],[KOMENTARZ]]=$A104)),"----------"))</f>
        <v>VR219S016035</v>
      </c>
    </row>
    <row r="109" spans="1:3">
      <c r="A109" s="15" t="s">
        <v>975</v>
      </c>
      <c r="B109" s="15">
        <f t="shared" si="12"/>
        <v>1</v>
      </c>
      <c r="C109" s="7" t="str" cm="1">
        <f t="array" ref="C109">_xlfn.TEXTJOIN(", ",,_xlfn._xlws.FILTER(Tabela1[[#All],[NUMER SERYJNY]],((Tabela1[[#All],[NAZWA]]=$A109)*(Tabela1[[#All],[KOMENTARZ]]=$A104)),"----------"))</f>
        <v>EB227S007567</v>
      </c>
    </row>
    <row r="110" spans="1:3">
      <c r="A110" s="15" t="s">
        <v>971</v>
      </c>
      <c r="B110" s="15">
        <f>LEN(C110)-LEN(SUBSTITUTE(C110,",",""))+1</f>
        <v>1</v>
      </c>
      <c r="C110" s="7" t="str" cm="1">
        <f t="array" ref="C110">_xlfn.TEXTJOIN(", ",,_xlfn._xlws.FILTER(Tabela1[[#All],[NUMER SERYJNY]],((Tabela1[[#All],[NAZWA]]=$A110)*(Tabela1[[#All],[KOMENTARZ]]=$A104)),"----------"))</f>
        <v>VM226S001935</v>
      </c>
    </row>
    <row r="111" spans="1:3">
      <c r="A111" s="15" t="s">
        <v>3048</v>
      </c>
      <c r="B111" s="15">
        <f>LEN(C111)-LEN(SUBSTITUTE(C111,",",""))+1</f>
        <v>1</v>
      </c>
      <c r="C111" s="7" t="str" cm="1">
        <f t="array" ref="C111">_xlfn.TEXTJOIN(", ",,_xlfn._xlws.FILTER(Tabela1[[#All],[NUMER SERYJNY]],((Tabela1[[#All],[NAZWA]]=$A111)*(Tabela1[[#All],[KOMENTARZ]]=$A104)),"----------"))</f>
        <v>X221K741 02015</v>
      </c>
    </row>
    <row r="112" spans="1:3">
      <c r="A112" s="15" t="s">
        <v>2852</v>
      </c>
      <c r="B112" s="15">
        <f t="shared" ref="B112:B117" si="13">LEN(C112)-LEN(SUBSTITUTE(C112,",",""))+1</f>
        <v>2</v>
      </c>
      <c r="C112" s="7" t="str" cm="1">
        <f t="array" ref="C112">_xlfn.TEXTJOIN(", ",,_xlfn._xlws.FILTER(Tabela1[[#All],[NUMER SERYJNY]],((Tabela1[[#All],[NAZWA]]=$A112)*(Tabela1[[#All],[KOMENTARZ]]=$A104)),"----------"))</f>
        <v>SNL701, SNL702</v>
      </c>
    </row>
    <row r="113" spans="1:3">
      <c r="A113" s="15" t="s">
        <v>3302</v>
      </c>
      <c r="B113" s="15">
        <f t="shared" si="13"/>
        <v>1</v>
      </c>
      <c r="C113" s="7" t="str" cm="1">
        <f t="array" ref="C113">_xlfn.TEXTJOIN(", ",,_xlfn._xlws.FILTER(Tabela1[[#All],[NUMER SERYJNY]],((Tabela1[[#All],[NAZWA]]=$A113)*(Tabela1[[#All],[KOMENTARZ]]=$A104)),"----------"))</f>
        <v>s664ne0rc27052</v>
      </c>
    </row>
    <row r="114" spans="1:3">
      <c r="A114" s="15" t="s">
        <v>976</v>
      </c>
      <c r="B114" s="15">
        <f t="shared" si="13"/>
        <v>1</v>
      </c>
      <c r="C114" s="7" t="str" cm="1">
        <f t="array" ref="C114">_xlfn.TEXTJOIN(", ",,_xlfn._xlws.FILTER(Tabela1[[#All],[NUMER SERYJNY]],((Tabela1[[#All],[NAZWA]]=$A114)*(Tabela1[[#All],[KOMENTARZ]]=$A104)),"----------"))</f>
        <v>2219145923997</v>
      </c>
    </row>
    <row r="115" spans="1:3">
      <c r="A115" s="15"/>
      <c r="B115" s="15">
        <f t="shared" si="13"/>
        <v>1</v>
      </c>
      <c r="C115" s="7" t="str" cm="1">
        <f t="array" ref="C115">_xlfn.TEXTJOIN(", ",,_xlfn._xlws.FILTER(Tabela1[[#All],[NUMER SERYJNY]],((Tabela1[[#All],[NAZWA]]=$A115)*(Tabela1[[#All],[KOMENTARZ]]=$A$2)),"----------"))</f>
        <v>----------</v>
      </c>
    </row>
    <row r="116" spans="1:3">
      <c r="A116" s="15"/>
      <c r="B116" s="15">
        <f t="shared" si="13"/>
        <v>1</v>
      </c>
      <c r="C116" s="7" t="str" cm="1">
        <f t="array" ref="C116">_xlfn.TEXTJOIN(", ",,_xlfn._xlws.FILTER(Tabela1[[#All],[NUMER SERYJNY]],((Tabela1[[#All],[NAZWA]]=$A116)*(Tabela1[[#All],[KOMENTARZ]]=$A$2)),"----------"))</f>
        <v>----------</v>
      </c>
    </row>
    <row r="117" spans="1:3">
      <c r="A117" s="15"/>
      <c r="B117" s="15">
        <f t="shared" si="13"/>
        <v>1</v>
      </c>
      <c r="C117" s="7" t="str" cm="1">
        <f t="array" ref="C117">_xlfn.TEXTJOIN(", ",,_xlfn._xlws.FILTER(Tabela1[[#All],[NUMER SERYJNY]],((Tabela1[[#All],[NAZWA]]=$A117)*(Tabela1[[#All],[KOMENTARZ]]=$A$2)),"----------"))</f>
        <v>----------</v>
      </c>
    </row>
    <row r="118" spans="1:3">
      <c r="A118" s="14"/>
      <c r="B118" s="14"/>
      <c r="C118" s="9"/>
    </row>
    <row r="119" spans="1:3">
      <c r="A119" s="15"/>
      <c r="B119" s="15"/>
      <c r="C119" s="7"/>
    </row>
    <row r="120" spans="1:3">
      <c r="A120" s="11" t="s">
        <v>3329</v>
      </c>
    </row>
    <row r="121" spans="1:3">
      <c r="A121" s="12" t="s">
        <v>3324</v>
      </c>
      <c r="B121" s="13"/>
      <c r="C121" s="8"/>
    </row>
    <row r="122" spans="1:3">
      <c r="A122" s="14" t="s">
        <v>965</v>
      </c>
      <c r="B122" s="14">
        <f t="shared" ref="B122:B126" si="14">LEN(C122)-LEN(SUBSTITUTE(C122,",",""))+1</f>
        <v>1</v>
      </c>
      <c r="C122" s="9" t="str" cm="1">
        <f t="array" ref="C122">_xlfn.TEXTJOIN(", ",,_xlfn._xlws.FILTER(Tabela1[[#All],[NUMER SERYJNY]],((Tabela1[[#All],[NAZWA]]=$A122)*(Tabela1[[#All],[KOMENTARZ]]=$A121)),"----------"))</f>
        <v>A345069X2721217</v>
      </c>
    </row>
    <row r="123" spans="1:3">
      <c r="A123" s="15" t="s">
        <v>967</v>
      </c>
      <c r="B123" s="15">
        <f t="shared" si="14"/>
        <v>1</v>
      </c>
      <c r="C123" s="7" t="str" cm="1">
        <f t="array" ref="C123">_xlfn.TEXTJOIN(", ",,_xlfn._xlws.FILTER(Tabela1[[#All],[NUMER SERYJNY]],((Tabela1[[#All],[NAZWA]]=$A123)*(Tabela1[[#All],[KOMENTARZ]]=$A121)),"----------"))</f>
        <v>C5100LL25RA0462</v>
      </c>
    </row>
    <row r="124" spans="1:3">
      <c r="A124" s="15" t="s">
        <v>969</v>
      </c>
      <c r="B124" s="15">
        <f t="shared" si="14"/>
        <v>1</v>
      </c>
      <c r="C124" s="7" t="str" cm="1">
        <f t="array" ref="C124">_xlfn.TEXTJOIN(", ",,_xlfn._xlws.FILTER(Tabela1[[#All],[NUMER SERYJNY]],((Tabela1[[#All],[NAZWA]]=$A124)*(Tabela1[[#All],[KOMENTARZ]]=$A121)),"----------"))</f>
        <v>P20310L48G50189</v>
      </c>
    </row>
    <row r="125" spans="1:3">
      <c r="A125" s="15" t="s">
        <v>17</v>
      </c>
      <c r="B125" s="15">
        <f t="shared" si="14"/>
        <v>1</v>
      </c>
      <c r="C125" s="7" t="str" cm="1">
        <f t="array" ref="C125">_xlfn.TEXTJOIN(", ",,_xlfn._xlws.FILTER(Tabela1[[#All],[NUMER SERYJNY]],((Tabela1[[#All],[NAZWA]]=$A125)*(Tabela1[[#All],[KOMENTARZ]]=$A121)),"----------"))</f>
        <v>VR219S016004</v>
      </c>
    </row>
    <row r="126" spans="1:3">
      <c r="A126" s="15" t="s">
        <v>975</v>
      </c>
      <c r="B126" s="15">
        <f t="shared" si="14"/>
        <v>1</v>
      </c>
      <c r="C126" s="7" t="str" cm="1">
        <f t="array" ref="C126">_xlfn.TEXTJOIN(", ",,_xlfn._xlws.FILTER(Tabela1[[#All],[NUMER SERYJNY]],((Tabela1[[#All],[NAZWA]]=$A126)*(Tabela1[[#All],[KOMENTARZ]]=$A121)),"----------"))</f>
        <v>EB227S007050</v>
      </c>
    </row>
    <row r="127" spans="1:3">
      <c r="A127" s="15" t="s">
        <v>971</v>
      </c>
      <c r="B127" s="15">
        <f>LEN(C127)-LEN(SUBSTITUTE(C127,",",""))+1</f>
        <v>1</v>
      </c>
      <c r="C127" s="7" t="str" cm="1">
        <f t="array" ref="C127">_xlfn.TEXTJOIN(", ",,_xlfn._xlws.FILTER(Tabela1[[#All],[NUMER SERYJNY]],((Tabela1[[#All],[NAZWA]]=$A127)*(Tabela1[[#All],[KOMENTARZ]]=$A121)),"----------"))</f>
        <v>VM224S013140</v>
      </c>
    </row>
    <row r="128" spans="1:3">
      <c r="A128" s="15" t="s">
        <v>3048</v>
      </c>
      <c r="B128" s="15">
        <f>LEN(C128)-LEN(SUBSTITUTE(C128,",",""))+1</f>
        <v>1</v>
      </c>
      <c r="C128" s="7" t="str" cm="1">
        <f t="array" ref="C128">_xlfn.TEXTJOIN(", ",,_xlfn._xlws.FILTER(Tabela1[[#All],[NUMER SERYJNY]],((Tabela1[[#All],[NAZWA]]=$A128)*(Tabela1[[#All],[KOMENTARZ]]=$A121)),"----------"))</f>
        <v>X221K741 02282</v>
      </c>
    </row>
    <row r="129" spans="1:3">
      <c r="A129" s="15" t="s">
        <v>2852</v>
      </c>
      <c r="B129" s="15">
        <f t="shared" ref="B129:B134" si="15">LEN(C129)-LEN(SUBSTITUTE(C129,",",""))+1</f>
        <v>2</v>
      </c>
      <c r="C129" s="7" t="str" cm="1">
        <f t="array" ref="C129">_xlfn.TEXTJOIN(", ",,_xlfn._xlws.FILTER(Tabela1[[#All],[NUMER SERYJNY]],((Tabela1[[#All],[NAZWA]]=$A129)*(Tabela1[[#All],[KOMENTARZ]]=$A121)),"----------"))</f>
        <v>SNL699, SNL700</v>
      </c>
    </row>
    <row r="130" spans="1:3">
      <c r="A130" s="15" t="s">
        <v>3302</v>
      </c>
      <c r="B130" s="15">
        <f t="shared" si="15"/>
        <v>1</v>
      </c>
      <c r="C130" s="7" t="str" cm="1">
        <f t="array" ref="C130">_xlfn.TEXTJOIN(", ",,_xlfn._xlws.FILTER(Tabela1[[#All],[NUMER SERYJNY]],((Tabela1[[#All],[NAZWA]]=$A130)*(Tabela1[[#All],[KOMENTARZ]]=$A121)),"----------"))</f>
        <v>s664ne0rc27042</v>
      </c>
    </row>
    <row r="131" spans="1:3">
      <c r="A131" s="15" t="s">
        <v>976</v>
      </c>
      <c r="B131" s="15">
        <f t="shared" si="15"/>
        <v>1</v>
      </c>
      <c r="C131" s="7" t="str" cm="1">
        <f t="array" ref="C131">_xlfn.TEXTJOIN(", ",,_xlfn._xlws.FILTER(Tabela1[[#All],[NUMER SERYJNY]],((Tabela1[[#All],[NAZWA]]=$A131)*(Tabela1[[#All],[KOMENTARZ]]=$A121)),"----------"))</f>
        <v>2219145923996</v>
      </c>
    </row>
    <row r="132" spans="1:3">
      <c r="A132" s="15"/>
      <c r="B132" s="15">
        <f t="shared" si="15"/>
        <v>1</v>
      </c>
      <c r="C132" s="7" t="str" cm="1">
        <f t="array" ref="C132">_xlfn.TEXTJOIN(", ",,_xlfn._xlws.FILTER(Tabela1[[#All],[NUMER SERYJNY]],((Tabela1[[#All],[NAZWA]]=$A132)*(Tabela1[[#All],[KOMENTARZ]]=$A$2)),"----------"))</f>
        <v>----------</v>
      </c>
    </row>
    <row r="133" spans="1:3">
      <c r="A133" s="15"/>
      <c r="B133" s="15">
        <f t="shared" si="15"/>
        <v>1</v>
      </c>
      <c r="C133" s="7" t="str" cm="1">
        <f t="array" ref="C133">_xlfn.TEXTJOIN(", ",,_xlfn._xlws.FILTER(Tabela1[[#All],[NUMER SERYJNY]],((Tabela1[[#All],[NAZWA]]=$A133)*(Tabela1[[#All],[KOMENTARZ]]=$A$2)),"----------"))</f>
        <v>----------</v>
      </c>
    </row>
    <row r="134" spans="1:3">
      <c r="A134" s="15"/>
      <c r="B134" s="15">
        <f t="shared" si="15"/>
        <v>1</v>
      </c>
      <c r="C134" s="7" t="str" cm="1">
        <f t="array" ref="C134">_xlfn.TEXTJOIN(", ",,_xlfn._xlws.FILTER(Tabela1[[#All],[NUMER SERYJNY]],((Tabela1[[#All],[NAZWA]]=$A134)*(Tabela1[[#All],[KOMENTARZ]]=$A$2)),"----------"))</f>
        <v>----------</v>
      </c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>
      <c r="A137" s="15"/>
      <c r="B137" s="15"/>
      <c r="C137" s="7"/>
    </row>
    <row r="138" spans="1:3">
      <c r="A138" s="15"/>
      <c r="B138" s="15"/>
      <c r="C138" s="7"/>
    </row>
    <row r="139" spans="1:3">
      <c r="A139" s="11" t="s">
        <v>3329</v>
      </c>
    </row>
    <row r="140" spans="1:3">
      <c r="A140" s="12" t="s">
        <v>3325</v>
      </c>
      <c r="B140" s="13"/>
      <c r="C140" s="8"/>
    </row>
    <row r="141" spans="1:3">
      <c r="A141" s="14" t="s">
        <v>965</v>
      </c>
      <c r="B141" s="14">
        <f t="shared" ref="B141:B145" si="16">LEN(C141)-LEN(SUBSTITUTE(C141,",",""))+1</f>
        <v>1</v>
      </c>
      <c r="C141" s="9" t="str" cm="1">
        <f t="array" ref="C141">_xlfn.TEXTJOIN(", ",,_xlfn._xlws.FILTER(Tabela1[[#All],[NUMER SERYJNY]],((Tabela1[[#All],[NAZWA]]=$A141)*(Tabela1[[#All],[KOMENTARZ]]=$A140)),"----------"))</f>
        <v>A345069X2721203</v>
      </c>
    </row>
    <row r="142" spans="1:3">
      <c r="A142" s="15" t="s">
        <v>967</v>
      </c>
      <c r="B142" s="15">
        <f t="shared" si="16"/>
        <v>1</v>
      </c>
      <c r="C142" s="7" t="str" cm="1">
        <f t="array" ref="C142">_xlfn.TEXTJOIN(", ",,_xlfn._xlws.FILTER(Tabela1[[#All],[NUMER SERYJNY]],((Tabela1[[#All],[NAZWA]]=$A142)*(Tabela1[[#All],[KOMENTARZ]]=$A140)),"----------"))</f>
        <v>C5100LL25RA0479</v>
      </c>
    </row>
    <row r="143" spans="1:3">
      <c r="A143" s="15" t="s">
        <v>969</v>
      </c>
      <c r="B143" s="15">
        <f t="shared" si="16"/>
        <v>1</v>
      </c>
      <c r="C143" s="7" t="str" cm="1">
        <f t="array" ref="C143">_xlfn.TEXTJOIN(", ",,_xlfn._xlws.FILTER(Tabela1[[#All],[NUMER SERYJNY]],((Tabela1[[#All],[NAZWA]]=$A143)*(Tabela1[[#All],[KOMENTARZ]]=$A140)),"----------"))</f>
        <v>P20310L48G50300</v>
      </c>
    </row>
    <row r="144" spans="1:3">
      <c r="A144" s="15" t="s">
        <v>17</v>
      </c>
      <c r="B144" s="15">
        <f t="shared" si="16"/>
        <v>1</v>
      </c>
      <c r="C144" s="7" t="str" cm="1">
        <f t="array" ref="C144">_xlfn.TEXTJOIN(", ",,_xlfn._xlws.FILTER(Tabela1[[#All],[NUMER SERYJNY]],((Tabela1[[#All],[NAZWA]]=$A144)*(Tabela1[[#All],[KOMENTARZ]]=$A140)),"----------"))</f>
        <v>VR219S016033</v>
      </c>
    </row>
    <row r="145" spans="1:3">
      <c r="A145" s="15" t="s">
        <v>975</v>
      </c>
      <c r="B145" s="15">
        <f t="shared" si="16"/>
        <v>1</v>
      </c>
      <c r="C145" s="7" t="str" cm="1">
        <f t="array" ref="C145">_xlfn.TEXTJOIN(", ",,_xlfn._xlws.FILTER(Tabela1[[#All],[NUMER SERYJNY]],((Tabela1[[#All],[NAZWA]]=$A145)*(Tabela1[[#All],[KOMENTARZ]]=$A140)),"----------"))</f>
        <v>EB227S007579</v>
      </c>
    </row>
    <row r="146" spans="1:3">
      <c r="A146" s="15" t="s">
        <v>971</v>
      </c>
      <c r="B146" s="15">
        <f>LEN(C146)-LEN(SUBSTITUTE(C146,",",""))+1</f>
        <v>1</v>
      </c>
      <c r="C146" s="7" t="str" cm="1">
        <f t="array" ref="C146">_xlfn.TEXTJOIN(", ",,_xlfn._xlws.FILTER(Tabela1[[#All],[NUMER SERYJNY]],((Tabela1[[#All],[NAZWA]]=$A146)*(Tabela1[[#All],[KOMENTARZ]]=$A140)),"----------"))</f>
        <v>VM224S013211</v>
      </c>
    </row>
    <row r="147" spans="1:3">
      <c r="A147" s="15" t="s">
        <v>3048</v>
      </c>
      <c r="B147" s="15">
        <f>LEN(C147)-LEN(SUBSTITUTE(C147,",",""))+1</f>
        <v>1</v>
      </c>
      <c r="C147" s="7" t="str" cm="1">
        <f t="array" ref="C147">_xlfn.TEXTJOIN(", ",,_xlfn._xlws.FILTER(Tabela1[[#All],[NUMER SERYJNY]],((Tabela1[[#All],[NAZWA]]=$A147)*(Tabela1[[#All],[KOMENTARZ]]=$A140)),"----------"))</f>
        <v>X221K741 00006</v>
      </c>
    </row>
    <row r="148" spans="1:3">
      <c r="A148" s="15" t="s">
        <v>2852</v>
      </c>
      <c r="B148" s="15">
        <f t="shared" ref="B148:B153" si="17">LEN(C148)-LEN(SUBSTITUTE(C148,",",""))+1</f>
        <v>2</v>
      </c>
      <c r="C148" s="7" t="str" cm="1">
        <f t="array" ref="C148">_xlfn.TEXTJOIN(", ",,_xlfn._xlws.FILTER(Tabela1[[#All],[NUMER SERYJNY]],((Tabela1[[#All],[NAZWA]]=$A148)*(Tabela1[[#All],[KOMENTARZ]]=$A140)),"----------"))</f>
        <v>SNL697, SNL698</v>
      </c>
    </row>
    <row r="149" spans="1:3">
      <c r="A149" s="15" t="s">
        <v>3302</v>
      </c>
      <c r="B149" s="15">
        <f t="shared" si="17"/>
        <v>1</v>
      </c>
      <c r="C149" s="7" t="str" cm="1">
        <f t="array" ref="C149">_xlfn.TEXTJOIN(", ",,_xlfn._xlws.FILTER(Tabela1[[#All],[NUMER SERYJNY]],((Tabela1[[#All],[NAZWA]]=$A149)*(Tabela1[[#All],[KOMENTARZ]]=$A140)),"----------"))</f>
        <v>s664ne0rc27043</v>
      </c>
    </row>
    <row r="150" spans="1:3">
      <c r="A150" s="15" t="s">
        <v>976</v>
      </c>
      <c r="B150" s="15">
        <f t="shared" si="17"/>
        <v>1</v>
      </c>
      <c r="C150" s="7" t="str" cm="1">
        <f t="array" ref="C150">_xlfn.TEXTJOIN(", ",,_xlfn._xlws.FILTER(Tabela1[[#All],[NUMER SERYJNY]],((Tabela1[[#All],[NAZWA]]=$A150)*(Tabela1[[#All],[KOMENTARZ]]=$A140)),"----------"))</f>
        <v>2219145923998</v>
      </c>
    </row>
    <row r="151" spans="1:3">
      <c r="A151" s="15"/>
      <c r="B151" s="15">
        <f t="shared" si="17"/>
        <v>1</v>
      </c>
      <c r="C151" s="7" t="str" cm="1">
        <f t="array" ref="C151">_xlfn.TEXTJOIN(", ",,_xlfn._xlws.FILTER(Tabela1[[#All],[NUMER SERYJNY]],((Tabela1[[#All],[NAZWA]]=$A151)*(Tabela1[[#All],[KOMENTARZ]]=$A$2)),"----------"))</f>
        <v>----------</v>
      </c>
    </row>
    <row r="152" spans="1:3">
      <c r="A152" s="15"/>
      <c r="B152" s="15">
        <f t="shared" si="17"/>
        <v>1</v>
      </c>
      <c r="C152" s="7" t="str" cm="1">
        <f t="array" ref="C152">_xlfn.TEXTJOIN(", ",,_xlfn._xlws.FILTER(Tabela1[[#All],[NUMER SERYJNY]],((Tabela1[[#All],[NAZWA]]=$A152)*(Tabela1[[#All],[KOMENTARZ]]=$A$2)),"----------"))</f>
        <v>----------</v>
      </c>
    </row>
    <row r="153" spans="1:3">
      <c r="A153" s="15"/>
      <c r="B153" s="15">
        <f t="shared" si="17"/>
        <v>1</v>
      </c>
      <c r="C153" s="7" t="str" cm="1">
        <f t="array" ref="C153">_xlfn.TEXTJOIN(", ",,_xlfn._xlws.FILTER(Tabela1[[#All],[NUMER SERYJNY]],((Tabela1[[#All],[NAZWA]]=$A153)*(Tabela1[[#All],[KOMENTARZ]]=$A$2)),"----------"))</f>
        <v>----------</v>
      </c>
    </row>
    <row r="154" spans="1:3" ht="18.75">
      <c r="A154" s="16"/>
      <c r="B154" s="16"/>
      <c r="C154" s="10"/>
    </row>
    <row r="155" spans="1:3">
      <c r="A155" s="12"/>
      <c r="B155" s="13"/>
      <c r="C155" s="8"/>
    </row>
    <row r="156" spans="1:3">
      <c r="A156" s="11" t="s">
        <v>3329</v>
      </c>
    </row>
    <row r="157" spans="1:3">
      <c r="A157" s="12" t="s">
        <v>3326</v>
      </c>
      <c r="B157" s="13"/>
      <c r="C157" s="8"/>
    </row>
    <row r="158" spans="1:3">
      <c r="A158" s="14" t="s">
        <v>965</v>
      </c>
      <c r="B158" s="14">
        <f t="shared" ref="B158:B162" si="18">LEN(C158)-LEN(SUBSTITUTE(C158,",",""))+1</f>
        <v>1</v>
      </c>
      <c r="C158" s="9" t="str" cm="1">
        <f t="array" ref="C158">_xlfn.TEXTJOIN(", ",,_xlfn._xlws.FILTER(Tabela1[[#All],[NUMER SERYJNY]],((Tabela1[[#All],[NAZWA]]=$A158)*(Tabela1[[#All],[KOMENTARZ]]=$A157)),"----------"))</f>
        <v>A345069X2721193</v>
      </c>
    </row>
    <row r="159" spans="1:3">
      <c r="A159" s="15" t="s">
        <v>967</v>
      </c>
      <c r="B159" s="15">
        <f t="shared" si="18"/>
        <v>1</v>
      </c>
      <c r="C159" s="7" t="str" cm="1">
        <f t="array" ref="C159">_xlfn.TEXTJOIN(", ",,_xlfn._xlws.FILTER(Tabela1[[#All],[NUMER SERYJNY]],((Tabela1[[#All],[NAZWA]]=$A159)*(Tabela1[[#All],[KOMENTARZ]]=$A157)),"----------"))</f>
        <v>C5100LL25RA0445</v>
      </c>
    </row>
    <row r="160" spans="1:3">
      <c r="A160" s="15" t="s">
        <v>969</v>
      </c>
      <c r="B160" s="15">
        <f t="shared" si="18"/>
        <v>1</v>
      </c>
      <c r="C160" s="7" t="str" cm="1">
        <f t="array" ref="C160">_xlfn.TEXTJOIN(", ",,_xlfn._xlws.FILTER(Tabela1[[#All],[NUMER SERYJNY]],((Tabela1[[#All],[NAZWA]]=$A160)*(Tabela1[[#All],[KOMENTARZ]]=$A157)),"----------"))</f>
        <v>P20310L48G50182</v>
      </c>
    </row>
    <row r="161" spans="1:3">
      <c r="A161" s="15" t="s">
        <v>17</v>
      </c>
      <c r="B161" s="15">
        <f t="shared" si="18"/>
        <v>1</v>
      </c>
      <c r="C161" s="7" t="str" cm="1">
        <f t="array" ref="C161">_xlfn.TEXTJOIN(", ",,_xlfn._xlws.FILTER(Tabela1[[#All],[NUMER SERYJNY]],((Tabela1[[#All],[NAZWA]]=$A161)*(Tabela1[[#All],[KOMENTARZ]]=$A157)),"----------"))</f>
        <v>VR219S016001</v>
      </c>
    </row>
    <row r="162" spans="1:3">
      <c r="A162" s="15" t="s">
        <v>975</v>
      </c>
      <c r="B162" s="15">
        <f t="shared" si="18"/>
        <v>1</v>
      </c>
      <c r="C162" s="7" t="str" cm="1">
        <f t="array" ref="C162">_xlfn.TEXTJOIN(", ",,_xlfn._xlws.FILTER(Tabela1[[#All],[NUMER SERYJNY]],((Tabela1[[#All],[NAZWA]]=$A162)*(Tabela1[[#All],[KOMENTARZ]]=$A157)),"----------"))</f>
        <v>EB227S007046</v>
      </c>
    </row>
    <row r="163" spans="1:3">
      <c r="A163" s="15" t="s">
        <v>971</v>
      </c>
      <c r="B163" s="15">
        <f>LEN(C163)-LEN(SUBSTITUTE(C163,",",""))+1</f>
        <v>1</v>
      </c>
      <c r="C163" s="7" t="str" cm="1">
        <f t="array" ref="C163">_xlfn.TEXTJOIN(", ",,_xlfn._xlws.FILTER(Tabela1[[#All],[NUMER SERYJNY]],((Tabela1[[#All],[NAZWA]]=$A163)*(Tabela1[[#All],[KOMENTARZ]]=$A157)),"----------"))</f>
        <v>VM226S001651</v>
      </c>
    </row>
    <row r="164" spans="1:3">
      <c r="A164" s="15" t="s">
        <v>3048</v>
      </c>
      <c r="B164" s="15">
        <f>LEN(C164)-LEN(SUBSTITUTE(C164,",",""))+1</f>
        <v>1</v>
      </c>
      <c r="C164" s="7" t="str" cm="1">
        <f t="array" ref="C164">_xlfn.TEXTJOIN(", ",,_xlfn._xlws.FILTER(Tabela1[[#All],[NUMER SERYJNY]],((Tabela1[[#All],[NAZWA]]=$A164)*(Tabela1[[#All],[KOMENTARZ]]=$A157)),"----------"))</f>
        <v>X221K741 00202</v>
      </c>
    </row>
    <row r="165" spans="1:3">
      <c r="A165" s="15" t="s">
        <v>2852</v>
      </c>
      <c r="B165" s="15">
        <f t="shared" ref="B165:B170" si="19">LEN(C165)-LEN(SUBSTITUTE(C165,",",""))+1</f>
        <v>2</v>
      </c>
      <c r="C165" s="7" t="str" cm="1">
        <f t="array" ref="C165">_xlfn.TEXTJOIN(", ",,_xlfn._xlws.FILTER(Tabela1[[#All],[NUMER SERYJNY]],((Tabela1[[#All],[NAZWA]]=$A165)*(Tabela1[[#All],[KOMENTARZ]]=$A157)),"----------"))</f>
        <v>SNL695, SNL696</v>
      </c>
    </row>
    <row r="166" spans="1:3">
      <c r="A166" s="15" t="s">
        <v>3302</v>
      </c>
      <c r="B166" s="15">
        <f t="shared" si="19"/>
        <v>1</v>
      </c>
      <c r="C166" s="7" t="str" cm="1">
        <f t="array" ref="C166">_xlfn.TEXTJOIN(", ",,_xlfn._xlws.FILTER(Tabela1[[#All],[NUMER SERYJNY]],((Tabela1[[#All],[NAZWA]]=$A166)*(Tabela1[[#All],[KOMENTARZ]]=$A157)),"----------"))</f>
        <v>s664ne0rc27050</v>
      </c>
    </row>
    <row r="167" spans="1:3">
      <c r="A167" s="15" t="s">
        <v>976</v>
      </c>
      <c r="B167" s="15">
        <f t="shared" si="19"/>
        <v>1</v>
      </c>
      <c r="C167" s="7" t="str" cm="1">
        <f t="array" ref="C167">_xlfn.TEXTJOIN(", ",,_xlfn._xlws.FILTER(Tabela1[[#All],[NUMER SERYJNY]],((Tabela1[[#All],[NAZWA]]=$A167)*(Tabela1[[#All],[KOMENTARZ]]=$A157)),"----------"))</f>
        <v>2219145923999</v>
      </c>
    </row>
    <row r="168" spans="1:3">
      <c r="A168" s="15"/>
      <c r="B168" s="15">
        <f t="shared" si="19"/>
        <v>1</v>
      </c>
      <c r="C168" s="7" t="str" cm="1">
        <f t="array" ref="C168">_xlfn.TEXTJOIN(", ",,_xlfn._xlws.FILTER(Tabela1[[#All],[NUMER SERYJNY]],((Tabela1[[#All],[NAZWA]]=$A168)*(Tabela1[[#All],[KOMENTARZ]]=$A$2)),"----------"))</f>
        <v>----------</v>
      </c>
    </row>
    <row r="169" spans="1:3">
      <c r="A169" s="15"/>
      <c r="B169" s="15">
        <f t="shared" si="19"/>
        <v>1</v>
      </c>
      <c r="C169" s="7" t="str" cm="1">
        <f t="array" ref="C169">_xlfn.TEXTJOIN(", ",,_xlfn._xlws.FILTER(Tabela1[[#All],[NUMER SERYJNY]],((Tabela1[[#All],[NAZWA]]=$A169)*(Tabela1[[#All],[KOMENTARZ]]=$A$2)),"----------"))</f>
        <v>----------</v>
      </c>
    </row>
    <row r="170" spans="1:3">
      <c r="A170" s="15"/>
      <c r="B170" s="15">
        <f t="shared" si="19"/>
        <v>1</v>
      </c>
      <c r="C170" s="7" t="str" cm="1">
        <f t="array" ref="C170">_xlfn.TEXTJOIN(", ",,_xlfn._xlws.FILTER(Tabela1[[#All],[NUMER SERYJNY]],((Tabela1[[#All],[NAZWA]]=$A170)*(Tabela1[[#All],[KOMENTARZ]]=$A$2)),"----------"))</f>
        <v>----------</v>
      </c>
    </row>
    <row r="171" spans="1:3">
      <c r="A171" s="12"/>
      <c r="B171" s="13"/>
      <c r="C171" s="8"/>
    </row>
    <row r="172" spans="1:3">
      <c r="A172" s="14"/>
      <c r="B172" s="14"/>
      <c r="C172" s="9"/>
    </row>
    <row r="173" spans="1:3">
      <c r="A173" s="11" t="s">
        <v>3329</v>
      </c>
    </row>
    <row r="174" spans="1:3">
      <c r="A174" s="12" t="s">
        <v>3327</v>
      </c>
      <c r="B174" s="13"/>
      <c r="C174" s="8"/>
    </row>
    <row r="175" spans="1:3">
      <c r="A175" s="14" t="s">
        <v>965</v>
      </c>
      <c r="B175" s="14">
        <f t="shared" ref="B175:B179" si="20">LEN(C175)-LEN(SUBSTITUTE(C175,",",""))+1</f>
        <v>1</v>
      </c>
      <c r="C175" s="9" t="str" cm="1">
        <f t="array" ref="C175">_xlfn.TEXTJOIN(", ",,_xlfn._xlws.FILTER(Tabela1[[#All],[NUMER SERYJNY]],((Tabela1[[#All],[NAZWA]]=$A175)*(Tabela1[[#All],[KOMENTARZ]]=$A174)),"----------"))</f>
        <v>A345069X2721188</v>
      </c>
    </row>
    <row r="176" spans="1:3">
      <c r="A176" s="15" t="s">
        <v>967</v>
      </c>
      <c r="B176" s="15">
        <f t="shared" si="20"/>
        <v>1</v>
      </c>
      <c r="C176" s="7" t="str" cm="1">
        <f t="array" ref="C176">_xlfn.TEXTJOIN(", ",,_xlfn._xlws.FILTER(Tabela1[[#All],[NUMER SERYJNY]],((Tabela1[[#All],[NAZWA]]=$A176)*(Tabela1[[#All],[KOMENTARZ]]=$A174)),"----------"))</f>
        <v>C5100LL25RA0444</v>
      </c>
    </row>
    <row r="177" spans="1:3">
      <c r="A177" s="15" t="s">
        <v>969</v>
      </c>
      <c r="B177" s="15">
        <f t="shared" si="20"/>
        <v>1</v>
      </c>
      <c r="C177" s="7" t="str" cm="1">
        <f t="array" ref="C177">_xlfn.TEXTJOIN(", ",,_xlfn._xlws.FILTER(Tabela1[[#All],[NUMER SERYJNY]],((Tabela1[[#All],[NAZWA]]=$A177)*(Tabela1[[#All],[KOMENTARZ]]=$A174)),"----------"))</f>
        <v>P20310L48G50115</v>
      </c>
    </row>
    <row r="178" spans="1:3">
      <c r="A178" s="15" t="s">
        <v>17</v>
      </c>
      <c r="B178" s="15">
        <f t="shared" si="20"/>
        <v>1</v>
      </c>
      <c r="C178" s="7" t="str" cm="1">
        <f t="array" ref="C178">_xlfn.TEXTJOIN(", ",,_xlfn._xlws.FILTER(Tabela1[[#All],[NUMER SERYJNY]],((Tabela1[[#All],[NAZWA]]=$A178)*(Tabela1[[#All],[KOMENTARZ]]=$A174)),"----------"))</f>
        <v>VR219S016031</v>
      </c>
    </row>
    <row r="179" spans="1:3">
      <c r="A179" s="15" t="s">
        <v>975</v>
      </c>
      <c r="B179" s="15">
        <f t="shared" si="20"/>
        <v>1</v>
      </c>
      <c r="C179" s="7" t="str" cm="1">
        <f t="array" ref="C179">_xlfn.TEXTJOIN(", ",,_xlfn._xlws.FILTER(Tabela1[[#All],[NUMER SERYJNY]],((Tabela1[[#All],[NAZWA]]=$A179)*(Tabela1[[#All],[KOMENTARZ]]=$A174)),"----------"))</f>
        <v>EB227S007057</v>
      </c>
    </row>
    <row r="180" spans="1:3">
      <c r="A180" s="15" t="s">
        <v>971</v>
      </c>
      <c r="B180" s="15">
        <f>LEN(C180)-LEN(SUBSTITUTE(C180,",",""))+1</f>
        <v>1</v>
      </c>
      <c r="C180" s="7" t="str" cm="1">
        <f t="array" ref="C180">_xlfn.TEXTJOIN(", ",,_xlfn._xlws.FILTER(Tabela1[[#All],[NUMER SERYJNY]],((Tabela1[[#All],[NAZWA]]=$A180)*(Tabela1[[#All],[KOMENTARZ]]=$A174)),"----------"))</f>
        <v>VM226S001860</v>
      </c>
    </row>
    <row r="181" spans="1:3">
      <c r="A181" s="15" t="s">
        <v>3048</v>
      </c>
      <c r="B181" s="15">
        <f>LEN(C181)-LEN(SUBSTITUTE(C181,",",""))+1</f>
        <v>1</v>
      </c>
      <c r="C181" s="7" t="str" cm="1">
        <f t="array" ref="C181">_xlfn.TEXTJOIN(", ",,_xlfn._xlws.FILTER(Tabela1[[#All],[NUMER SERYJNY]],((Tabela1[[#All],[NAZWA]]=$A181)*(Tabela1[[#All],[KOMENTARZ]]=$A174)),"----------"))</f>
        <v>X221K741 03182</v>
      </c>
    </row>
    <row r="182" spans="1:3">
      <c r="A182" s="15" t="s">
        <v>2852</v>
      </c>
      <c r="B182" s="15">
        <f t="shared" ref="B182:B187" si="21">LEN(C182)-LEN(SUBSTITUTE(C182,",",""))+1</f>
        <v>2</v>
      </c>
      <c r="C182" s="7" t="str" cm="1">
        <f t="array" ref="C182">_xlfn.TEXTJOIN(", ",,_xlfn._xlws.FILTER(Tabela1[[#All],[NUMER SERYJNY]],((Tabela1[[#All],[NAZWA]]=$A182)*(Tabela1[[#All],[KOMENTARZ]]=$A174)),"----------"))</f>
        <v>SNL703, SNL704</v>
      </c>
    </row>
    <row r="183" spans="1:3">
      <c r="A183" s="15" t="s">
        <v>3302</v>
      </c>
      <c r="B183" s="15">
        <f t="shared" si="21"/>
        <v>1</v>
      </c>
      <c r="C183" s="7" t="str" cm="1">
        <f t="array" ref="C183">_xlfn.TEXTJOIN(", ",,_xlfn._xlws.FILTER(Tabela1[[#All],[NUMER SERYJNY]],((Tabela1[[#All],[NAZWA]]=$A183)*(Tabela1[[#All],[KOMENTARZ]]=$A174)),"----------"))</f>
        <v>s664ne0rc27051</v>
      </c>
    </row>
    <row r="184" spans="1:3">
      <c r="A184" s="15" t="s">
        <v>976</v>
      </c>
      <c r="B184" s="15">
        <f t="shared" si="21"/>
        <v>1</v>
      </c>
      <c r="C184" s="7" t="str" cm="1">
        <f t="array" ref="C184">_xlfn.TEXTJOIN(", ",,_xlfn._xlws.FILTER(Tabela1[[#All],[NUMER SERYJNY]],((Tabela1[[#All],[NAZWA]]=$A184)*(Tabela1[[#All],[KOMENTARZ]]=$A174)),"----------"))</f>
        <v>2219145924000</v>
      </c>
    </row>
    <row r="185" spans="1:3">
      <c r="A185" s="15"/>
      <c r="B185" s="15">
        <f t="shared" si="21"/>
        <v>1</v>
      </c>
      <c r="C185" s="7" t="str" cm="1">
        <f t="array" ref="C185">_xlfn.TEXTJOIN(", ",,_xlfn._xlws.FILTER(Tabela1[[#All],[NUMER SERYJNY]],((Tabela1[[#All],[NAZWA]]=$A185)*(Tabela1[[#All],[KOMENTARZ]]=$A$2)),"----------"))</f>
        <v>----------</v>
      </c>
    </row>
    <row r="186" spans="1:3">
      <c r="A186" s="15"/>
      <c r="B186" s="15">
        <f t="shared" si="21"/>
        <v>1</v>
      </c>
      <c r="C186" s="7" t="str" cm="1">
        <f t="array" ref="C186">_xlfn.TEXTJOIN(", ",,_xlfn._xlws.FILTER(Tabela1[[#All],[NUMER SERYJNY]],((Tabela1[[#All],[NAZWA]]=$A186)*(Tabela1[[#All],[KOMENTARZ]]=$A$2)),"----------"))</f>
        <v>----------</v>
      </c>
    </row>
    <row r="187" spans="1:3">
      <c r="A187" s="15"/>
      <c r="B187" s="15">
        <f t="shared" si="21"/>
        <v>1</v>
      </c>
      <c r="C187" s="7" t="str" cm="1">
        <f t="array" ref="C187">_xlfn.TEXTJOIN(", ",,_xlfn._xlws.FILTER(Tabela1[[#All],[NUMER SERYJNY]],((Tabela1[[#All],[NAZWA]]=$A187)*(Tabela1[[#All],[KOMENTARZ]]=$A$2)),"----------"))</f>
        <v>----------</v>
      </c>
    </row>
    <row r="188" spans="1:3">
      <c r="A188" s="14"/>
      <c r="B188" s="14"/>
      <c r="C188" s="9"/>
    </row>
    <row r="189" spans="1:3">
      <c r="A189" s="15"/>
      <c r="B189" s="15"/>
      <c r="C189" s="7"/>
    </row>
    <row r="190" spans="1:3">
      <c r="A190" s="11" t="s">
        <v>3329</v>
      </c>
    </row>
    <row r="191" spans="1:3">
      <c r="A191" s="12" t="s">
        <v>3328</v>
      </c>
      <c r="B191" s="13"/>
      <c r="C191" s="8"/>
    </row>
    <row r="192" spans="1:3">
      <c r="A192" s="14" t="s">
        <v>965</v>
      </c>
      <c r="B192" s="14">
        <f t="shared" ref="B192:B196" si="22">LEN(C192)-LEN(SUBSTITUTE(C192,",",""))+1</f>
        <v>1</v>
      </c>
      <c r="C192" s="9" t="str" cm="1">
        <f t="array" ref="C192">_xlfn.TEXTJOIN(", ",,_xlfn._xlws.FILTER(Tabela1[[#All],[NUMER SERYJNY]],((Tabela1[[#All],[NAZWA]]=$A192)*(Tabela1[[#All],[KOMENTARZ]]=$A191)),"----------"))</f>
        <v>A345069X2721191</v>
      </c>
    </row>
    <row r="193" spans="1:3">
      <c r="A193" s="15" t="s">
        <v>967</v>
      </c>
      <c r="B193" s="15">
        <f t="shared" si="22"/>
        <v>1</v>
      </c>
      <c r="C193" s="7" t="str" cm="1">
        <f t="array" ref="C193">_xlfn.TEXTJOIN(", ",,_xlfn._xlws.FILTER(Tabela1[[#All],[NUMER SERYJNY]],((Tabela1[[#All],[NAZWA]]=$A193)*(Tabela1[[#All],[KOMENTARZ]]=$A191)),"----------"))</f>
        <v>C5100LL25RA0456</v>
      </c>
    </row>
    <row r="194" spans="1:3">
      <c r="A194" s="15" t="s">
        <v>969</v>
      </c>
      <c r="B194" s="15">
        <f t="shared" si="22"/>
        <v>1</v>
      </c>
      <c r="C194" s="7" t="str" cm="1">
        <f t="array" ref="C194">_xlfn.TEXTJOIN(", ",,_xlfn._xlws.FILTER(Tabela1[[#All],[NUMER SERYJNY]],((Tabela1[[#All],[NAZWA]]=$A194)*(Tabela1[[#All],[KOMENTARZ]]=$A191)),"----------"))</f>
        <v>P20310L48G50294</v>
      </c>
    </row>
    <row r="195" spans="1:3">
      <c r="A195" s="15" t="s">
        <v>17</v>
      </c>
      <c r="B195" s="15">
        <f t="shared" si="22"/>
        <v>1</v>
      </c>
      <c r="C195" s="7" t="str" cm="1">
        <f t="array" ref="C195">_xlfn.TEXTJOIN(", ",,_xlfn._xlws.FILTER(Tabela1[[#All],[NUMER SERYJNY]],((Tabela1[[#All],[NAZWA]]=$A195)*(Tabela1[[#All],[KOMENTARZ]]=$A191)),"----------"))</f>
        <v>VR219S016042</v>
      </c>
    </row>
    <row r="196" spans="1:3">
      <c r="A196" s="15" t="s">
        <v>975</v>
      </c>
      <c r="B196" s="15">
        <f t="shared" si="22"/>
        <v>1</v>
      </c>
      <c r="C196" s="7" t="str" cm="1">
        <f t="array" ref="C196">_xlfn.TEXTJOIN(", ",,_xlfn._xlws.FILTER(Tabela1[[#All],[NUMER SERYJNY]],((Tabela1[[#All],[NAZWA]]=$A196)*(Tabela1[[#All],[KOMENTARZ]]=$A191)),"----------"))</f>
        <v>EB227S007568</v>
      </c>
    </row>
    <row r="197" spans="1:3">
      <c r="A197" s="15" t="s">
        <v>971</v>
      </c>
      <c r="B197" s="15">
        <f>LEN(C197)-LEN(SUBSTITUTE(C197,",",""))+1</f>
        <v>1</v>
      </c>
      <c r="C197" s="7" t="str" cm="1">
        <f t="array" ref="C197">_xlfn.TEXTJOIN(", ",,_xlfn._xlws.FILTER(Tabela1[[#All],[NUMER SERYJNY]],((Tabela1[[#All],[NAZWA]]=$A197)*(Tabela1[[#All],[KOMENTARZ]]=$A191)),"----------"))</f>
        <v>VM226S001930</v>
      </c>
    </row>
    <row r="198" spans="1:3">
      <c r="A198" s="15" t="s">
        <v>3048</v>
      </c>
      <c r="B198" s="15">
        <f>LEN(C198)-LEN(SUBSTITUTE(C198,",",""))+1</f>
        <v>1</v>
      </c>
      <c r="C198" s="7" t="str" cm="1">
        <f t="array" ref="C198">_xlfn.TEXTJOIN(", ",,_xlfn._xlws.FILTER(Tabela1[[#All],[NUMER SERYJNY]],((Tabela1[[#All],[NAZWA]]=$A198)*(Tabela1[[#All],[KOMENTARZ]]=$A191)),"----------"))</f>
        <v>X221K741 01600</v>
      </c>
    </row>
    <row r="199" spans="1:3">
      <c r="A199" s="15" t="s">
        <v>2852</v>
      </c>
      <c r="B199" s="15">
        <f t="shared" ref="B199:B204" si="23">LEN(C199)-LEN(SUBSTITUTE(C199,",",""))+1</f>
        <v>2</v>
      </c>
      <c r="C199" s="7" t="str" cm="1">
        <f t="array" ref="C199">_xlfn.TEXTJOIN(", ",,_xlfn._xlws.FILTER(Tabela1[[#All],[NUMER SERYJNY]],((Tabela1[[#All],[NAZWA]]=$A199)*(Tabela1[[#All],[KOMENTARZ]]=$A191)),"----------"))</f>
        <v>SNL705, SNL706</v>
      </c>
    </row>
    <row r="200" spans="1:3">
      <c r="A200" s="15" t="s">
        <v>3302</v>
      </c>
      <c r="B200" s="15">
        <f t="shared" si="23"/>
        <v>1</v>
      </c>
      <c r="C200" s="7" t="str" cm="1">
        <f t="array" ref="C200">_xlfn.TEXTJOIN(", ",,_xlfn._xlws.FILTER(Tabela1[[#All],[NUMER SERYJNY]],((Tabela1[[#All],[NAZWA]]=$A200)*(Tabela1[[#All],[KOMENTARZ]]=$A191)),"----------"))</f>
        <v>s664ne0rc27060</v>
      </c>
    </row>
    <row r="201" spans="1:3">
      <c r="A201" s="15" t="s">
        <v>976</v>
      </c>
      <c r="B201" s="15">
        <f t="shared" si="23"/>
        <v>1</v>
      </c>
      <c r="C201" s="7" t="str" cm="1">
        <f t="array" ref="C201">_xlfn.TEXTJOIN(", ",,_xlfn._xlws.FILTER(Tabela1[[#All],[NUMER SERYJNY]],((Tabela1[[#All],[NAZWA]]=$A201)*(Tabela1[[#All],[KOMENTARZ]]=$A191)),"----------"))</f>
        <v>2219145924001</v>
      </c>
    </row>
    <row r="202" spans="1:3">
      <c r="A202" s="15"/>
      <c r="B202" s="15">
        <f t="shared" si="23"/>
        <v>1</v>
      </c>
      <c r="C202" s="7" t="str" cm="1">
        <f t="array" ref="C202">_xlfn.TEXTJOIN(", ",,_xlfn._xlws.FILTER(Tabela1[[#All],[NUMER SERYJNY]],((Tabela1[[#All],[NAZWA]]=$A202)*(Tabela1[[#All],[KOMENTARZ]]=$A$2)),"----------"))</f>
        <v>----------</v>
      </c>
    </row>
    <row r="203" spans="1:3">
      <c r="A203" s="15"/>
      <c r="B203" s="15">
        <f t="shared" si="23"/>
        <v>1</v>
      </c>
      <c r="C203" s="7" t="str" cm="1">
        <f t="array" ref="C203">_xlfn.TEXTJOIN(", ",,_xlfn._xlws.FILTER(Tabela1[[#All],[NUMER SERYJNY]],((Tabela1[[#All],[NAZWA]]=$A203)*(Tabela1[[#All],[KOMENTARZ]]=$A$2)),"----------"))</f>
        <v>----------</v>
      </c>
    </row>
    <row r="204" spans="1:3">
      <c r="A204" s="15"/>
      <c r="B204" s="15">
        <f t="shared" si="23"/>
        <v>1</v>
      </c>
      <c r="C204" s="7" t="str" cm="1">
        <f t="array" ref="C204">_xlfn.TEXTJOIN(", ",,_xlfn._xlws.FILTER(Tabela1[[#All],[NUMER SERYJNY]],((Tabela1[[#All],[NAZWA]]=$A204)*(Tabela1[[#All],[KOMENTARZ]]=$A$2)),"----------"))</f>
        <v>----------</v>
      </c>
    </row>
    <row r="205" spans="1:3">
      <c r="A205" s="15"/>
      <c r="B205" s="15"/>
      <c r="C205" s="7"/>
    </row>
    <row r="206" spans="1:3">
      <c r="A206" s="15"/>
      <c r="B206" s="15"/>
      <c r="C206" s="7"/>
    </row>
  </sheetData>
  <conditionalFormatting sqref="F3">
    <cfRule type="duplicateValues" dxfId="363" priority="45"/>
  </conditionalFormatting>
  <conditionalFormatting sqref="C1:C16 C207:C1048576">
    <cfRule type="duplicateValues" dxfId="362" priority="44"/>
  </conditionalFormatting>
  <conditionalFormatting sqref="C67:C68">
    <cfRule type="duplicateValues" dxfId="361" priority="43"/>
  </conditionalFormatting>
  <conditionalFormatting sqref="C17">
    <cfRule type="duplicateValues" dxfId="360" priority="39"/>
  </conditionalFormatting>
  <conditionalFormatting sqref="C33">
    <cfRule type="duplicateValues" dxfId="359" priority="38"/>
  </conditionalFormatting>
  <conditionalFormatting sqref="C34">
    <cfRule type="duplicateValues" dxfId="358" priority="37"/>
  </conditionalFormatting>
  <conditionalFormatting sqref="C50:C51">
    <cfRule type="duplicateValues" dxfId="357" priority="36"/>
  </conditionalFormatting>
  <conditionalFormatting sqref="C30:C32">
    <cfRule type="duplicateValues" dxfId="356" priority="35"/>
  </conditionalFormatting>
  <conditionalFormatting sqref="C47:C49">
    <cfRule type="duplicateValues" dxfId="355" priority="34"/>
  </conditionalFormatting>
  <conditionalFormatting sqref="C64:C66">
    <cfRule type="duplicateValues" dxfId="354" priority="33"/>
  </conditionalFormatting>
  <conditionalFormatting sqref="C18:C29">
    <cfRule type="duplicateValues" dxfId="353" priority="32"/>
  </conditionalFormatting>
  <conditionalFormatting sqref="C35:C46">
    <cfRule type="duplicateValues" dxfId="352" priority="31"/>
  </conditionalFormatting>
  <conditionalFormatting sqref="C52:C63">
    <cfRule type="duplicateValues" dxfId="351" priority="30"/>
  </conditionalFormatting>
  <conditionalFormatting sqref="C1:C68 C207:C1048576">
    <cfRule type="duplicateValues" dxfId="350" priority="29"/>
  </conditionalFormatting>
  <conditionalFormatting sqref="C69:C84">
    <cfRule type="duplicateValues" dxfId="349" priority="28"/>
  </conditionalFormatting>
  <conditionalFormatting sqref="C135:C136">
    <cfRule type="duplicateValues" dxfId="348" priority="27"/>
  </conditionalFormatting>
  <conditionalFormatting sqref="C85">
    <cfRule type="duplicateValues" dxfId="347" priority="26"/>
  </conditionalFormatting>
  <conditionalFormatting sqref="C101">
    <cfRule type="duplicateValues" dxfId="346" priority="25"/>
  </conditionalFormatting>
  <conditionalFormatting sqref="C102">
    <cfRule type="duplicateValues" dxfId="345" priority="24"/>
  </conditionalFormatting>
  <conditionalFormatting sqref="C118:C119">
    <cfRule type="duplicateValues" dxfId="344" priority="23"/>
  </conditionalFormatting>
  <conditionalFormatting sqref="C98:C100">
    <cfRule type="duplicateValues" dxfId="343" priority="22"/>
  </conditionalFormatting>
  <conditionalFormatting sqref="C115:C117">
    <cfRule type="duplicateValues" dxfId="342" priority="21"/>
  </conditionalFormatting>
  <conditionalFormatting sqref="C132:C134">
    <cfRule type="duplicateValues" dxfId="341" priority="20"/>
  </conditionalFormatting>
  <conditionalFormatting sqref="C86:C97">
    <cfRule type="duplicateValues" dxfId="340" priority="19"/>
  </conditionalFormatting>
  <conditionalFormatting sqref="C103:C114">
    <cfRule type="duplicateValues" dxfId="339" priority="18"/>
  </conditionalFormatting>
  <conditionalFormatting sqref="C120:C131">
    <cfRule type="duplicateValues" dxfId="338" priority="17"/>
  </conditionalFormatting>
  <conditionalFormatting sqref="C69:C136">
    <cfRule type="duplicateValues" dxfId="337" priority="16"/>
  </conditionalFormatting>
  <conditionalFormatting sqref="C137:C138">
    <cfRule type="duplicateValues" dxfId="336" priority="15"/>
  </conditionalFormatting>
  <conditionalFormatting sqref="C137:C138">
    <cfRule type="duplicateValues" dxfId="335" priority="14"/>
  </conditionalFormatting>
  <conditionalFormatting sqref="C139:C154">
    <cfRule type="duplicateValues" dxfId="334" priority="13"/>
  </conditionalFormatting>
  <conditionalFormatting sqref="C205:C206">
    <cfRule type="duplicateValues" dxfId="333" priority="12"/>
  </conditionalFormatting>
  <conditionalFormatting sqref="C155">
    <cfRule type="duplicateValues" dxfId="332" priority="11"/>
  </conditionalFormatting>
  <conditionalFormatting sqref="C171">
    <cfRule type="duplicateValues" dxfId="331" priority="10"/>
  </conditionalFormatting>
  <conditionalFormatting sqref="C172">
    <cfRule type="duplicateValues" dxfId="330" priority="9"/>
  </conditionalFormatting>
  <conditionalFormatting sqref="C188:C189">
    <cfRule type="duplicateValues" dxfId="329" priority="8"/>
  </conditionalFormatting>
  <conditionalFormatting sqref="C168:C170">
    <cfRule type="duplicateValues" dxfId="328" priority="7"/>
  </conditionalFormatting>
  <conditionalFormatting sqref="C185:C187">
    <cfRule type="duplicateValues" dxfId="327" priority="6"/>
  </conditionalFormatting>
  <conditionalFormatting sqref="C202:C204">
    <cfRule type="duplicateValues" dxfId="326" priority="5"/>
  </conditionalFormatting>
  <conditionalFormatting sqref="C156:C167">
    <cfRule type="duplicateValues" dxfId="325" priority="4"/>
  </conditionalFormatting>
  <conditionalFormatting sqref="C173:C184">
    <cfRule type="duplicateValues" dxfId="324" priority="3"/>
  </conditionalFormatting>
  <conditionalFormatting sqref="C190:C201">
    <cfRule type="duplicateValues" dxfId="323" priority="2"/>
  </conditionalFormatting>
  <conditionalFormatting sqref="C139:C206">
    <cfRule type="duplicateValues" dxfId="322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7AB07C-4132-4790-8E06-602A985D3295}">
  <sheetPr codeName="Arkusz40"/>
  <dimension ref="A1:C213"/>
  <sheetViews>
    <sheetView workbookViewId="0">
      <selection activeCell="A32" sqref="A32"/>
    </sheetView>
  </sheetViews>
  <sheetFormatPr defaultRowHeight="15"/>
  <cols>
    <col min="1" max="1" width="27.42578125" style="11" bestFit="1" customWidth="1"/>
    <col min="2" max="2" width="4.28515625" style="11" customWidth="1"/>
    <col min="3" max="3" width="47.42578125" customWidth="1"/>
  </cols>
  <sheetData>
    <row r="1" spans="1:3">
      <c r="A1" s="11" t="s">
        <v>3253</v>
      </c>
    </row>
    <row r="2" spans="1:3">
      <c r="A2" s="12" t="s">
        <v>3142</v>
      </c>
      <c r="B2" s="13"/>
      <c r="C2" s="8"/>
    </row>
    <row r="3" spans="1:3">
      <c r="A3" s="15" t="s">
        <v>3124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F3S0R8000755</v>
      </c>
    </row>
    <row r="4" spans="1:3">
      <c r="A4" s="15" t="s">
        <v>2117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M80-E5001000670</v>
      </c>
    </row>
    <row r="5" spans="1:3">
      <c r="A5" s="15" t="s">
        <v>3189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9LB0126N20124</v>
      </c>
    </row>
    <row r="6" spans="1:3" ht="24">
      <c r="A6" s="15" t="s">
        <v>2104</v>
      </c>
      <c r="B6" s="15">
        <f t="shared" si="0"/>
        <v>4</v>
      </c>
      <c r="C6" s="7" t="str" cm="1">
        <f t="array" ref="C6">_xlfn.TEXTJOIN(", ",,_xlfn._xlws.FILTER(Tabela1[[#All],[NUMER SERYJNY]],((Tabela1[[#All],[NAZWA]]=$A6)*(Tabela1[[#All],[KOMENTARZ]]=$A2)),"----------"))</f>
        <v>2216 0000009465823-T000212, 2216 0000009465823-T000108, 2216 0000009465823-T000054, 2216 0000009465823-T000121</v>
      </c>
    </row>
    <row r="7" spans="1:3">
      <c r="A7" s="15" t="s">
        <v>3163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S662NE0T309417</v>
      </c>
    </row>
    <row r="8" spans="1:3">
      <c r="A8" s="15" t="s">
        <v>2096</v>
      </c>
      <c r="B8" s="15">
        <f>LEN(C8)-LEN(SUBSTITUTE(C8,",",""))+1</f>
        <v>1</v>
      </c>
      <c r="C8" s="7" t="str" cm="1">
        <f t="array" ref="C8">_xlfn.TEXTJOIN(", ",,_xlfn._xlws.FILTER(Tabela1[[#All],[NUMER SERYJNY]],((Tabela1[[#All],[NAZWA]]=$A8)*(Tabela1[[#All],[KOMENTARZ]]=$A2)),"----------"))</f>
        <v>S665NE0T301449</v>
      </c>
    </row>
    <row r="9" spans="1:3">
      <c r="A9" s="15"/>
      <c r="B9" s="15">
        <f>LEN(C9)-LEN(SUBSTITUTE(C9,",",""))+1</f>
        <v>1</v>
      </c>
      <c r="C9" s="7" t="str" cm="1">
        <f t="array" ref="C9">_xlfn.TEXTJOIN(", ",,_xlfn._xlws.FILTER(Tabela1[[#All],[NUMER SERYJNY]],((Tabela1[[#All],[NAZWA]]=$A9)*(Tabela1[[#All],[KOMENTARZ]]=$A2)),"----------"))</f>
        <v>----------</v>
      </c>
    </row>
    <row r="10" spans="1:3">
      <c r="A10" s="15"/>
      <c r="B10" s="15">
        <f t="shared" ref="B10:B16" si="1">LEN(C10)-LEN(SUBSTITUTE(C10,",",""))+1</f>
        <v>1</v>
      </c>
      <c r="C10" s="7" t="str" cm="1">
        <f t="array" ref="C10">_xlfn.TEXTJOIN(", ",,_xlfn._xlws.FILTER(Tabela1[[#All],[NUMER SERYJNY]],((Tabela1[[#All],[NAZWA]]=$A10)*(Tabela1[[#All],[KOMENTARZ]]=$A2)),"----------"))</f>
        <v>----------</v>
      </c>
    </row>
    <row r="11" spans="1:3">
      <c r="A11" s="15"/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----------</v>
      </c>
    </row>
    <row r="12" spans="1:3">
      <c r="A12" s="15"/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----------</v>
      </c>
    </row>
    <row r="13" spans="1:3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SERYJNY]],((Tabela1[[#All],[NAZWA]]=$A13)*(Tabela1[[#All],[KOMENTARZ]]=$A2)),"----------"))</f>
        <v>----------</v>
      </c>
    </row>
    <row r="14" spans="1:3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SERYJNY]],((Tabela1[[#All],[NAZWA]]=$A14)*(Tabela1[[#All],[KOMENTARZ]]=$A2)),"----------"))</f>
        <v>----------</v>
      </c>
    </row>
    <row r="15" spans="1:3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SERYJNY]],((Tabela1[[#All],[NAZWA]]=$A15)*(Tabela1[[#All],[KOMENTARZ]]=$A2)),"----------"))</f>
        <v>----------</v>
      </c>
    </row>
    <row r="16" spans="1:3">
      <c r="A16" s="15"/>
      <c r="B16" s="15">
        <f t="shared" si="1"/>
        <v>1</v>
      </c>
      <c r="C16" s="7" t="str" cm="1">
        <f t="array" ref="C16">_xlfn.TEXTJOIN(", ",,_xlfn._xlws.FILTER(Tabela1[[#All],[NUMER SERYJNY]],((Tabela1[[#All],[NAZWA]]=$A16)*(Tabela1[[#All],[KOMENTARZ]]=$A2)),"----------"))</f>
        <v>----------</v>
      </c>
    </row>
    <row r="17" spans="1:3" ht="18.75">
      <c r="A17" s="16"/>
      <c r="B17" s="16"/>
      <c r="C17" s="10"/>
    </row>
    <row r="18" spans="1:3">
      <c r="A18" s="11" t="s">
        <v>3253</v>
      </c>
    </row>
    <row r="19" spans="1:3">
      <c r="A19" s="12" t="s">
        <v>3145</v>
      </c>
      <c r="B19" s="13"/>
      <c r="C19" s="8"/>
    </row>
    <row r="20" spans="1:3">
      <c r="A20" s="15" t="s">
        <v>3124</v>
      </c>
      <c r="B20" s="14">
        <f t="shared" ref="B20:B24" si="2">LEN(C20)-LEN(SUBSTITUTE(C20,",",""))+1</f>
        <v>1</v>
      </c>
      <c r="C20" s="9" t="str" cm="1">
        <f t="array" ref="C20">_xlfn.TEXTJOIN(", ",,_xlfn._xlws.FILTER(Tabela1[[#All],[NUMER SERYJNY]],((Tabela1[[#All],[NAZWA]]=$A20)*(Tabela1[[#All],[KOMENTARZ]]=$A19)),"----------"))</f>
        <v>F3S0R8000766</v>
      </c>
    </row>
    <row r="21" spans="1:3">
      <c r="A21" s="15" t="s">
        <v>2117</v>
      </c>
      <c r="B21" s="15">
        <f t="shared" si="2"/>
        <v>1</v>
      </c>
      <c r="C21" s="7" t="str" cm="1">
        <f t="array" ref="C21">_xlfn.TEXTJOIN(", ",,_xlfn._xlws.FILTER(Tabela1[[#All],[NUMER SERYJNY]],((Tabela1[[#All],[NAZWA]]=$A21)*(Tabela1[[#All],[KOMENTARZ]]=$A19)),"----------"))</f>
        <v>M80-E5001000125</v>
      </c>
    </row>
    <row r="22" spans="1:3">
      <c r="A22" s="15" t="s">
        <v>3189</v>
      </c>
      <c r="B22" s="15">
        <f t="shared" si="2"/>
        <v>1</v>
      </c>
      <c r="C22" s="7" t="str" cm="1">
        <f t="array" ref="C22">_xlfn.TEXTJOIN(", ",,_xlfn._xlws.FILTER(Tabela1[[#All],[NUMER SERYJNY]],((Tabela1[[#All],[NAZWA]]=$A22)*(Tabela1[[#All],[KOMENTARZ]]=$A19)),"----------"))</f>
        <v>9LB0126N20126</v>
      </c>
    </row>
    <row r="23" spans="1:3" ht="24">
      <c r="A23" s="15" t="s">
        <v>2104</v>
      </c>
      <c r="B23" s="15">
        <f t="shared" si="2"/>
        <v>4</v>
      </c>
      <c r="C23" s="7" t="str" cm="1">
        <f t="array" ref="C23">_xlfn.TEXTJOIN(", ",,_xlfn._xlws.FILTER(Tabela1[[#All],[NUMER SERYJNY]],((Tabela1[[#All],[NAZWA]]=$A23)*(Tabela1[[#All],[KOMENTARZ]]=$A19)),"----------"))</f>
        <v>2216 0000009465823-T000205, 2216 0000009465823-T000239, 2216 0000009465823-T000204, 2216 0000009465823-T000078</v>
      </c>
    </row>
    <row r="24" spans="1:3">
      <c r="A24" s="15" t="s">
        <v>3163</v>
      </c>
      <c r="B24" s="15">
        <f t="shared" si="2"/>
        <v>1</v>
      </c>
      <c r="C24" s="7" t="str" cm="1">
        <f t="array" ref="C24">_xlfn.TEXTJOIN(", ",,_xlfn._xlws.FILTER(Tabela1[[#All],[NUMER SERYJNY]],((Tabela1[[#All],[NAZWA]]=$A24)*(Tabela1[[#All],[KOMENTARZ]]=$A19)),"----------"))</f>
        <v>S662NE0T309418</v>
      </c>
    </row>
    <row r="25" spans="1:3">
      <c r="A25" s="15" t="s">
        <v>2096</v>
      </c>
      <c r="B25" s="15">
        <f>LEN(C25)-LEN(SUBSTITUTE(C25,",",""))+1</f>
        <v>1</v>
      </c>
      <c r="C25" s="7" t="str" cm="1">
        <f t="array" ref="C25">_xlfn.TEXTJOIN(", ",,_xlfn._xlws.FILTER(Tabela1[[#All],[NUMER SERYJNY]],((Tabela1[[#All],[NAZWA]]=$A25)*(Tabela1[[#All],[KOMENTARZ]]=$A19)),"----------"))</f>
        <v>S665NE0T301455</v>
      </c>
    </row>
    <row r="26" spans="1:3">
      <c r="A26" s="15"/>
      <c r="B26" s="15">
        <f>LEN(C26)-LEN(SUBSTITUTE(C26,",",""))+1</f>
        <v>1</v>
      </c>
      <c r="C26" s="7" t="str" cm="1">
        <f t="array" ref="C26">_xlfn.TEXTJOIN(", ",,_xlfn._xlws.FILTER(Tabela1[[#All],[NUMER SERYJNY]],((Tabela1[[#All],[NAZWA]]=$A26)*(Tabela1[[#All],[KOMENTARZ]]=$A19)),"----------"))</f>
        <v>----------</v>
      </c>
    </row>
    <row r="27" spans="1:3">
      <c r="A27" s="15"/>
      <c r="B27" s="15">
        <f t="shared" ref="B27:B33" si="3">LEN(C27)-LEN(SUBSTITUTE(C27,",",""))+1</f>
        <v>1</v>
      </c>
      <c r="C27" s="7" t="str" cm="1">
        <f t="array" ref="C27">_xlfn.TEXTJOIN(", ",,_xlfn._xlws.FILTER(Tabela1[[#All],[NUMER SERYJNY]],((Tabela1[[#All],[NAZWA]]=$A27)*(Tabela1[[#All],[KOMENTARZ]]=$A19)),"----------"))</f>
        <v>----------</v>
      </c>
    </row>
    <row r="28" spans="1:3">
      <c r="A28" s="15"/>
      <c r="B28" s="15">
        <f t="shared" si="3"/>
        <v>1</v>
      </c>
      <c r="C28" s="7" t="str" cm="1">
        <f t="array" ref="C28">_xlfn.TEXTJOIN(", ",,_xlfn._xlws.FILTER(Tabela1[[#All],[NUMER SERYJNY]],((Tabela1[[#All],[NAZWA]]=$A28)*(Tabela1[[#All],[KOMENTARZ]]=$A19)),"----------"))</f>
        <v>----------</v>
      </c>
    </row>
    <row r="29" spans="1:3">
      <c r="A29" s="15"/>
      <c r="B29" s="15">
        <f t="shared" si="3"/>
        <v>1</v>
      </c>
      <c r="C29" s="7" t="str" cm="1">
        <f t="array" ref="C29">_xlfn.TEXTJOIN(", ",,_xlfn._xlws.FILTER(Tabela1[[#All],[NUMER SERYJNY]],((Tabela1[[#All],[NAZWA]]=$A29)*(Tabela1[[#All],[KOMENTARZ]]=$A19)),"----------"))</f>
        <v>----------</v>
      </c>
    </row>
    <row r="30" spans="1:3">
      <c r="A30" s="15"/>
      <c r="B30" s="15">
        <f t="shared" si="3"/>
        <v>1</v>
      </c>
      <c r="C30" s="7" t="str" cm="1">
        <f t="array" ref="C30">_xlfn.TEXTJOIN(", ",,_xlfn._xlws.FILTER(Tabela1[[#All],[NUMER SERYJNY]],((Tabela1[[#All],[NAZWA]]=$A30)*(Tabela1[[#All],[KOMENTARZ]]=$A19)),"----------"))</f>
        <v>----------</v>
      </c>
    </row>
    <row r="31" spans="1:3">
      <c r="A31" s="15"/>
      <c r="B31" s="15">
        <f t="shared" si="3"/>
        <v>1</v>
      </c>
      <c r="C31" s="7" t="str" cm="1">
        <f t="array" ref="C31">_xlfn.TEXTJOIN(", ",,_xlfn._xlws.FILTER(Tabela1[[#All],[NUMER SERYJNY]],((Tabela1[[#All],[NAZWA]]=$A31)*(Tabela1[[#All],[KOMENTARZ]]=$A19)),"----------"))</f>
        <v>----------</v>
      </c>
    </row>
    <row r="32" spans="1:3">
      <c r="A32" s="15"/>
      <c r="B32" s="15">
        <f t="shared" si="3"/>
        <v>1</v>
      </c>
      <c r="C32" s="7" t="str" cm="1">
        <f t="array" ref="C32">_xlfn.TEXTJOIN(", ",,_xlfn._xlws.FILTER(Tabela1[[#All],[NUMER SERYJNY]],((Tabela1[[#All],[NAZWA]]=$A32)*(Tabela1[[#All],[KOMENTARZ]]=$A19)),"----------"))</f>
        <v>----------</v>
      </c>
    </row>
    <row r="33" spans="1:3">
      <c r="A33" s="15"/>
      <c r="B33" s="15">
        <f t="shared" si="3"/>
        <v>1</v>
      </c>
      <c r="C33" s="7" t="str" cm="1">
        <f t="array" ref="C33">_xlfn.TEXTJOIN(", ",,_xlfn._xlws.FILTER(Tabela1[[#All],[NUMER SERYJNY]],((Tabela1[[#All],[NAZWA]]=$A33)*(Tabela1[[#All],[KOMENTARZ]]=$A19)),"----------"))</f>
        <v>----------</v>
      </c>
    </row>
    <row r="34" spans="1:3">
      <c r="A34" s="12"/>
      <c r="B34" s="13"/>
      <c r="C34" s="8"/>
    </row>
    <row r="35" spans="1:3">
      <c r="A35" s="14"/>
      <c r="B35" s="14"/>
      <c r="C35" s="9"/>
    </row>
    <row r="36" spans="1:3">
      <c r="A36" s="11" t="s">
        <v>3253</v>
      </c>
    </row>
    <row r="37" spans="1:3">
      <c r="A37" s="12" t="s">
        <v>3148</v>
      </c>
      <c r="B37" s="13"/>
      <c r="C37" s="8"/>
    </row>
    <row r="38" spans="1:3">
      <c r="A38" s="15" t="s">
        <v>3124</v>
      </c>
      <c r="B38" s="14">
        <f t="shared" ref="B38:B42" si="4">LEN(C38)-LEN(SUBSTITUTE(C38,",",""))+1</f>
        <v>1</v>
      </c>
      <c r="C38" s="9" t="str" cm="1">
        <f t="array" ref="C38">_xlfn.TEXTJOIN(", ",,_xlfn._xlws.FILTER(Tabela1[[#All],[NUMER SERYJNY]],((Tabela1[[#All],[NAZWA]]=$A38)*(Tabela1[[#All],[KOMENTARZ]]=$A37)),"----------"))</f>
        <v>F3S0R8000761</v>
      </c>
    </row>
    <row r="39" spans="1:3">
      <c r="A39" s="15" t="s">
        <v>2117</v>
      </c>
      <c r="B39" s="15">
        <f t="shared" si="4"/>
        <v>1</v>
      </c>
      <c r="C39" s="7" t="str" cm="1">
        <f t="array" ref="C39">_xlfn.TEXTJOIN(", ",,_xlfn._xlws.FILTER(Tabela1[[#All],[NUMER SERYJNY]],((Tabela1[[#All],[NAZWA]]=$A39)*(Tabela1[[#All],[KOMENTARZ]]=$A37)),"----------"))</f>
        <v>M80-E5001002054</v>
      </c>
    </row>
    <row r="40" spans="1:3">
      <c r="A40" s="15" t="s">
        <v>3189</v>
      </c>
      <c r="B40" s="15">
        <f t="shared" si="4"/>
        <v>1</v>
      </c>
      <c r="C40" s="7" t="str" cm="1">
        <f t="array" ref="C40">_xlfn.TEXTJOIN(", ",,_xlfn._xlws.FILTER(Tabela1[[#All],[NUMER SERYJNY]],((Tabela1[[#All],[NAZWA]]=$A40)*(Tabela1[[#All],[KOMENTARZ]]=$A37)),"----------"))</f>
        <v>9LB0126N20128</v>
      </c>
    </row>
    <row r="41" spans="1:3" ht="24">
      <c r="A41" s="15" t="s">
        <v>2104</v>
      </c>
      <c r="B41" s="15">
        <f t="shared" si="4"/>
        <v>4</v>
      </c>
      <c r="C41" s="7" t="str" cm="1">
        <f t="array" ref="C41">_xlfn.TEXTJOIN(", ",,_xlfn._xlws.FILTER(Tabela1[[#All],[NUMER SERYJNY]],((Tabela1[[#All],[NAZWA]]=$A41)*(Tabela1[[#All],[KOMENTARZ]]=$A37)),"----------"))</f>
        <v>2216 0000009465823-T000037, 2216 0000009465823-T000032, 2216 0000009465823-T000150, 2216 0000009465823-T000195</v>
      </c>
    </row>
    <row r="42" spans="1:3">
      <c r="A42" s="15" t="s">
        <v>3163</v>
      </c>
      <c r="B42" s="15">
        <f t="shared" si="4"/>
        <v>1</v>
      </c>
      <c r="C42" s="7" t="str" cm="1">
        <f t="array" ref="C42">_xlfn.TEXTJOIN(", ",,_xlfn._xlws.FILTER(Tabela1[[#All],[NUMER SERYJNY]],((Tabela1[[#All],[NAZWA]]=$A42)*(Tabela1[[#All],[KOMENTARZ]]=$A37)),"----------"))</f>
        <v>S662NE0T309408</v>
      </c>
    </row>
    <row r="43" spans="1:3">
      <c r="A43" s="15" t="s">
        <v>2096</v>
      </c>
      <c r="B43" s="15">
        <f>LEN(C43)-LEN(SUBSTITUTE(C43,",",""))+1</f>
        <v>1</v>
      </c>
      <c r="C43" s="7" t="str" cm="1">
        <f t="array" ref="C43">_xlfn.TEXTJOIN(", ",,_xlfn._xlws.FILTER(Tabela1[[#All],[NUMER SERYJNY]],((Tabela1[[#All],[NAZWA]]=$A43)*(Tabela1[[#All],[KOMENTARZ]]=$A37)),"----------"))</f>
        <v>S665NE0T306643</v>
      </c>
    </row>
    <row r="44" spans="1:3">
      <c r="A44" s="15"/>
      <c r="B44" s="15">
        <f>LEN(C44)-LEN(SUBSTITUTE(C44,",",""))+1</f>
        <v>1</v>
      </c>
      <c r="C44" s="7" t="str" cm="1">
        <f t="array" ref="C44">_xlfn.TEXTJOIN(", ",,_xlfn._xlws.FILTER(Tabela1[[#All],[NUMER SERYJNY]],((Tabela1[[#All],[NAZWA]]=$A44)*(Tabela1[[#All],[KOMENTARZ]]=$A37)),"----------"))</f>
        <v>----------</v>
      </c>
    </row>
    <row r="45" spans="1:3">
      <c r="A45" s="15"/>
      <c r="B45" s="15">
        <f t="shared" ref="B45:B51" si="5">LEN(C45)-LEN(SUBSTITUTE(C45,",",""))+1</f>
        <v>1</v>
      </c>
      <c r="C45" s="7" t="str" cm="1">
        <f t="array" ref="C45">_xlfn.TEXTJOIN(", ",,_xlfn._xlws.FILTER(Tabela1[[#All],[NUMER SERYJNY]],((Tabela1[[#All],[NAZWA]]=$A45)*(Tabela1[[#All],[KOMENTARZ]]=$A37)),"----------"))</f>
        <v>----------</v>
      </c>
    </row>
    <row r="46" spans="1:3">
      <c r="A46" s="15"/>
      <c r="B46" s="15">
        <f t="shared" si="5"/>
        <v>1</v>
      </c>
      <c r="C46" s="7" t="str" cm="1">
        <f t="array" ref="C46">_xlfn.TEXTJOIN(", ",,_xlfn._xlws.FILTER(Tabela1[[#All],[NUMER SERYJNY]],((Tabela1[[#All],[NAZWA]]=$A46)*(Tabela1[[#All],[KOMENTARZ]]=$A37)),"----------"))</f>
        <v>----------</v>
      </c>
    </row>
    <row r="47" spans="1:3">
      <c r="A47" s="15"/>
      <c r="B47" s="15">
        <f t="shared" si="5"/>
        <v>1</v>
      </c>
      <c r="C47" s="7" t="str" cm="1">
        <f t="array" ref="C47">_xlfn.TEXTJOIN(", ",,_xlfn._xlws.FILTER(Tabela1[[#All],[NUMER SERYJNY]],((Tabela1[[#All],[NAZWA]]=$A47)*(Tabela1[[#All],[KOMENTARZ]]=$A37)),"----------"))</f>
        <v>----------</v>
      </c>
    </row>
    <row r="48" spans="1:3">
      <c r="A48" s="15"/>
      <c r="B48" s="15">
        <f t="shared" si="5"/>
        <v>1</v>
      </c>
      <c r="C48" s="7" t="str" cm="1">
        <f t="array" ref="C48">_xlfn.TEXTJOIN(", ",,_xlfn._xlws.FILTER(Tabela1[[#All],[NUMER SERYJNY]],((Tabela1[[#All],[NAZWA]]=$A48)*(Tabela1[[#All],[KOMENTARZ]]=$A37)),"----------"))</f>
        <v>----------</v>
      </c>
    </row>
    <row r="49" spans="1:3">
      <c r="A49" s="15"/>
      <c r="B49" s="15">
        <f t="shared" si="5"/>
        <v>1</v>
      </c>
      <c r="C49" s="7" t="str" cm="1">
        <f t="array" ref="C49">_xlfn.TEXTJOIN(", ",,_xlfn._xlws.FILTER(Tabela1[[#All],[NUMER SERYJNY]],((Tabela1[[#All],[NAZWA]]=$A49)*(Tabela1[[#All],[KOMENTARZ]]=$A37)),"----------"))</f>
        <v>----------</v>
      </c>
    </row>
    <row r="50" spans="1:3">
      <c r="A50" s="15"/>
      <c r="B50" s="15">
        <f t="shared" si="5"/>
        <v>1</v>
      </c>
      <c r="C50" s="7" t="str" cm="1">
        <f t="array" ref="C50">_xlfn.TEXTJOIN(", ",,_xlfn._xlws.FILTER(Tabela1[[#All],[NUMER SERYJNY]],((Tabela1[[#All],[NAZWA]]=$A50)*(Tabela1[[#All],[KOMENTARZ]]=$A37)),"----------"))</f>
        <v>----------</v>
      </c>
    </row>
    <row r="51" spans="1:3">
      <c r="A51" s="15"/>
      <c r="B51" s="15">
        <f t="shared" si="5"/>
        <v>1</v>
      </c>
      <c r="C51" s="7" t="str" cm="1">
        <f t="array" ref="C51">_xlfn.TEXTJOIN(", ",,_xlfn._xlws.FILTER(Tabela1[[#All],[NUMER SERYJNY]],((Tabela1[[#All],[NAZWA]]=$A51)*(Tabela1[[#All],[KOMENTARZ]]=$A37)),"----------"))</f>
        <v>----------</v>
      </c>
    </row>
    <row r="52" spans="1:3">
      <c r="A52" s="15"/>
      <c r="B52" s="15"/>
      <c r="C52" s="7"/>
    </row>
    <row r="53" spans="1:3">
      <c r="A53" s="15"/>
      <c r="B53" s="15"/>
      <c r="C53" s="7"/>
    </row>
    <row r="54" spans="1:3">
      <c r="A54" s="11" t="s">
        <v>3253</v>
      </c>
    </row>
    <row r="55" spans="1:3">
      <c r="A55" s="12" t="s">
        <v>3151</v>
      </c>
      <c r="B55" s="13"/>
      <c r="C55" s="8"/>
    </row>
    <row r="56" spans="1:3">
      <c r="A56" s="15" t="s">
        <v>3124</v>
      </c>
      <c r="B56" s="14">
        <f t="shared" ref="B56:B60" si="6">LEN(C56)-LEN(SUBSTITUTE(C56,",",""))+1</f>
        <v>1</v>
      </c>
      <c r="C56" s="9" t="str" cm="1">
        <f t="array" ref="C56">_xlfn.TEXTJOIN(", ",,_xlfn._xlws.FILTER(Tabela1[[#All],[NUMER SERYJNY]],((Tabela1[[#All],[NAZWA]]=$A56)*(Tabela1[[#All],[KOMENTARZ]]=$A55)),"----------"))</f>
        <v>F3S0R8000745</v>
      </c>
    </row>
    <row r="57" spans="1:3">
      <c r="A57" s="15" t="s">
        <v>2117</v>
      </c>
      <c r="B57" s="15">
        <f t="shared" si="6"/>
        <v>1</v>
      </c>
      <c r="C57" s="7" t="str" cm="1">
        <f t="array" ref="C57">_xlfn.TEXTJOIN(", ",,_xlfn._xlws.FILTER(Tabela1[[#All],[NUMER SERYJNY]],((Tabela1[[#All],[NAZWA]]=$A57)*(Tabela1[[#All],[KOMENTARZ]]=$A55)),"----------"))</f>
        <v>M80-E5001000784</v>
      </c>
    </row>
    <row r="58" spans="1:3">
      <c r="A58" s="15" t="s">
        <v>3189</v>
      </c>
      <c r="B58" s="15">
        <f t="shared" si="6"/>
        <v>1</v>
      </c>
      <c r="C58" s="7" t="str" cm="1">
        <f t="array" ref="C58">_xlfn.TEXTJOIN(", ",,_xlfn._xlws.FILTER(Tabela1[[#All],[NUMER SERYJNY]],((Tabela1[[#All],[NAZWA]]=$A58)*(Tabela1[[#All],[KOMENTARZ]]=$A55)),"----------"))</f>
        <v>9LB5921N20124</v>
      </c>
    </row>
    <row r="59" spans="1:3" ht="24">
      <c r="A59" s="15" t="s">
        <v>2104</v>
      </c>
      <c r="B59" s="15">
        <f t="shared" si="6"/>
        <v>4</v>
      </c>
      <c r="C59" s="7" t="str" cm="1">
        <f t="array" ref="C59">_xlfn.TEXTJOIN(", ",,_xlfn._xlws.FILTER(Tabela1[[#All],[NUMER SERYJNY]],((Tabela1[[#All],[NAZWA]]=$A59)*(Tabela1[[#All],[KOMENTARZ]]=$A55)),"----------"))</f>
        <v>2216 0000009465823-T000269, 2216 0000009465823-T000181, 2216 0000009465823-T000183, 2216 0000009465823-T000041</v>
      </c>
    </row>
    <row r="60" spans="1:3">
      <c r="A60" s="15" t="s">
        <v>3163</v>
      </c>
      <c r="B60" s="15">
        <f t="shared" si="6"/>
        <v>1</v>
      </c>
      <c r="C60" s="7" t="str" cm="1">
        <f t="array" ref="C60">_xlfn.TEXTJOIN(", ",,_xlfn._xlws.FILTER(Tabela1[[#All],[NUMER SERYJNY]],((Tabela1[[#All],[NAZWA]]=$A60)*(Tabela1[[#All],[KOMENTARZ]]=$A55)),"----------"))</f>
        <v>S662NE0T309442</v>
      </c>
    </row>
    <row r="61" spans="1:3">
      <c r="A61" s="15" t="s">
        <v>2096</v>
      </c>
      <c r="B61" s="15">
        <f>LEN(C61)-LEN(SUBSTITUTE(C61,",",""))+1</f>
        <v>1</v>
      </c>
      <c r="C61" s="7" t="str" cm="1">
        <f t="array" ref="C61">_xlfn.TEXTJOIN(", ",,_xlfn._xlws.FILTER(Tabela1[[#All],[NUMER SERYJNY]],((Tabela1[[#All],[NAZWA]]=$A61)*(Tabela1[[#All],[KOMENTARZ]]=$A55)),"----------"))</f>
        <v>S665NE0T306641</v>
      </c>
    </row>
    <row r="62" spans="1:3">
      <c r="A62" s="15"/>
      <c r="B62" s="15">
        <f>LEN(C62)-LEN(SUBSTITUTE(C62,",",""))+1</f>
        <v>1</v>
      </c>
      <c r="C62" s="7" t="str" cm="1">
        <f t="array" ref="C62">_xlfn.TEXTJOIN(", ",,_xlfn._xlws.FILTER(Tabela1[[#All],[NUMER SERYJNY]],((Tabela1[[#All],[NAZWA]]=$A62)*(Tabela1[[#All],[KOMENTARZ]]=$A55)),"----------"))</f>
        <v>----------</v>
      </c>
    </row>
    <row r="63" spans="1:3">
      <c r="A63" s="15"/>
      <c r="B63" s="15">
        <f t="shared" ref="B63:B69" si="7">LEN(C63)-LEN(SUBSTITUTE(C63,",",""))+1</f>
        <v>1</v>
      </c>
      <c r="C63" s="7" t="str" cm="1">
        <f t="array" ref="C63">_xlfn.TEXTJOIN(", ",,_xlfn._xlws.FILTER(Tabela1[[#All],[NUMER SERYJNY]],((Tabela1[[#All],[NAZWA]]=$A63)*(Tabela1[[#All],[KOMENTARZ]]=$A55)),"----------"))</f>
        <v>----------</v>
      </c>
    </row>
    <row r="64" spans="1:3">
      <c r="A64" s="15"/>
      <c r="B64" s="15">
        <f t="shared" si="7"/>
        <v>1</v>
      </c>
      <c r="C64" s="7" t="str" cm="1">
        <f t="array" ref="C64">_xlfn.TEXTJOIN(", ",,_xlfn._xlws.FILTER(Tabela1[[#All],[NUMER SERYJNY]],((Tabela1[[#All],[NAZWA]]=$A64)*(Tabela1[[#All],[KOMENTARZ]]=$A55)),"----------"))</f>
        <v>----------</v>
      </c>
    </row>
    <row r="65" spans="1:3">
      <c r="A65" s="15"/>
      <c r="B65" s="15">
        <f t="shared" si="7"/>
        <v>1</v>
      </c>
      <c r="C65" s="7" t="str" cm="1">
        <f t="array" ref="C65">_xlfn.TEXTJOIN(", ",,_xlfn._xlws.FILTER(Tabela1[[#All],[NUMER SERYJNY]],((Tabela1[[#All],[NAZWA]]=$A65)*(Tabela1[[#All],[KOMENTARZ]]=$A55)),"----------"))</f>
        <v>----------</v>
      </c>
    </row>
    <row r="66" spans="1:3">
      <c r="A66" s="15"/>
      <c r="B66" s="15">
        <f t="shared" si="7"/>
        <v>1</v>
      </c>
      <c r="C66" s="7" t="str" cm="1">
        <f t="array" ref="C66">_xlfn.TEXTJOIN(", ",,_xlfn._xlws.FILTER(Tabela1[[#All],[NUMER SERYJNY]],((Tabela1[[#All],[NAZWA]]=$A66)*(Tabela1[[#All],[KOMENTARZ]]=$A55)),"----------"))</f>
        <v>----------</v>
      </c>
    </row>
    <row r="67" spans="1:3">
      <c r="A67" s="15"/>
      <c r="B67" s="15">
        <f t="shared" si="7"/>
        <v>1</v>
      </c>
      <c r="C67" s="7" t="str" cm="1">
        <f t="array" ref="C67">_xlfn.TEXTJOIN(", ",,_xlfn._xlws.FILTER(Tabela1[[#All],[NUMER SERYJNY]],((Tabela1[[#All],[NAZWA]]=$A67)*(Tabela1[[#All],[KOMENTARZ]]=$A55)),"----------"))</f>
        <v>----------</v>
      </c>
    </row>
    <row r="68" spans="1:3">
      <c r="A68" s="15"/>
      <c r="B68" s="15">
        <f t="shared" si="7"/>
        <v>1</v>
      </c>
      <c r="C68" s="7" t="str" cm="1">
        <f t="array" ref="C68">_xlfn.TEXTJOIN(", ",,_xlfn._xlws.FILTER(Tabela1[[#All],[NUMER SERYJNY]],((Tabela1[[#All],[NAZWA]]=$A68)*(Tabela1[[#All],[KOMENTARZ]]=$A55)),"----------"))</f>
        <v>----------</v>
      </c>
    </row>
    <row r="69" spans="1:3">
      <c r="A69" s="15"/>
      <c r="B69" s="15">
        <f t="shared" si="7"/>
        <v>1</v>
      </c>
      <c r="C69" s="7" t="str" cm="1">
        <f t="array" ref="C69">_xlfn.TEXTJOIN(", ",,_xlfn._xlws.FILTER(Tabela1[[#All],[NUMER SERYJNY]],((Tabela1[[#All],[NAZWA]]=$A69)*(Tabela1[[#All],[KOMENTARZ]]=$A55)),"----------"))</f>
        <v>----------</v>
      </c>
    </row>
    <row r="70" spans="1:3">
      <c r="A70" s="15"/>
      <c r="B70" s="15"/>
      <c r="C70" s="7"/>
    </row>
    <row r="71" spans="1:3">
      <c r="A71" s="15"/>
      <c r="B71" s="15"/>
      <c r="C71" s="7"/>
    </row>
    <row r="72" spans="1:3">
      <c r="A72" s="11" t="s">
        <v>3253</v>
      </c>
    </row>
    <row r="73" spans="1:3">
      <c r="A73" s="12" t="s">
        <v>3154</v>
      </c>
      <c r="B73" s="13"/>
      <c r="C73" s="8"/>
    </row>
    <row r="74" spans="1:3">
      <c r="A74" s="15" t="s">
        <v>3124</v>
      </c>
      <c r="B74" s="14">
        <f t="shared" ref="B74:B78" si="8">LEN(C74)-LEN(SUBSTITUTE(C74,",",""))+1</f>
        <v>1</v>
      </c>
      <c r="C74" s="9" t="str" cm="1">
        <f t="array" ref="C74">_xlfn.TEXTJOIN(", ",,_xlfn._xlws.FILTER(Tabela1[[#All],[NUMER SERYJNY]],((Tabela1[[#All],[NAZWA]]=$A74)*(Tabela1[[#All],[KOMENTARZ]]=$A73)),"----------"))</f>
        <v>F3S0R8000758</v>
      </c>
    </row>
    <row r="75" spans="1:3">
      <c r="A75" s="15" t="s">
        <v>2117</v>
      </c>
      <c r="B75" s="15">
        <f t="shared" si="8"/>
        <v>1</v>
      </c>
      <c r="C75" s="7" t="str" cm="1">
        <f t="array" ref="C75">_xlfn.TEXTJOIN(", ",,_xlfn._xlws.FILTER(Tabela1[[#All],[NUMER SERYJNY]],((Tabela1[[#All],[NAZWA]]=$A75)*(Tabela1[[#All],[KOMENTARZ]]=$A73)),"----------"))</f>
        <v>M80-E5001001223</v>
      </c>
    </row>
    <row r="76" spans="1:3">
      <c r="A76" s="15" t="s">
        <v>3189</v>
      </c>
      <c r="B76" s="15">
        <f t="shared" si="8"/>
        <v>1</v>
      </c>
      <c r="C76" s="7" t="str" cm="1">
        <f t="array" ref="C76">_xlfn.TEXTJOIN(", ",,_xlfn._xlws.FILTER(Tabela1[[#All],[NUMER SERYJNY]],((Tabela1[[#All],[NAZWA]]=$A76)*(Tabela1[[#All],[KOMENTARZ]]=$A73)),"----------"))</f>
        <v>9LB5921N20031</v>
      </c>
    </row>
    <row r="77" spans="1:3" ht="24">
      <c r="A77" s="15" t="s">
        <v>2104</v>
      </c>
      <c r="B77" s="15">
        <f t="shared" si="8"/>
        <v>4</v>
      </c>
      <c r="C77" s="7" t="str" cm="1">
        <f t="array" ref="C77">_xlfn.TEXTJOIN(", ",,_xlfn._xlws.FILTER(Tabela1[[#All],[NUMER SERYJNY]],((Tabela1[[#All],[NAZWA]]=$A77)*(Tabela1[[#All],[KOMENTARZ]]=$A73)),"----------"))</f>
        <v>2216 0000009465823-T000178, 2216 0000009465823-T000110, 2216 0000009465823-T000208, 2216 0000009465823-T000112</v>
      </c>
    </row>
    <row r="78" spans="1:3">
      <c r="A78" s="15" t="s">
        <v>3163</v>
      </c>
      <c r="B78" s="15">
        <f t="shared" si="8"/>
        <v>1</v>
      </c>
      <c r="C78" s="7" t="str" cm="1">
        <f t="array" ref="C78">_xlfn.TEXTJOIN(", ",,_xlfn._xlws.FILTER(Tabela1[[#All],[NUMER SERYJNY]],((Tabela1[[#All],[NAZWA]]=$A78)*(Tabela1[[#All],[KOMENTARZ]]=$A73)),"----------"))</f>
        <v>S662NE0T309451</v>
      </c>
    </row>
    <row r="79" spans="1:3">
      <c r="A79" s="15" t="s">
        <v>2096</v>
      </c>
      <c r="B79" s="15">
        <f>LEN(C79)-LEN(SUBSTITUTE(C79,",",""))+1</f>
        <v>1</v>
      </c>
      <c r="C79" s="7" t="str" cm="1">
        <f t="array" ref="C79">_xlfn.TEXTJOIN(", ",,_xlfn._xlws.FILTER(Tabela1[[#All],[NUMER SERYJNY]],((Tabela1[[#All],[NAZWA]]=$A79)*(Tabela1[[#All],[KOMENTARZ]]=$A73)),"----------"))</f>
        <v>S665NE0T306649</v>
      </c>
    </row>
    <row r="80" spans="1:3">
      <c r="A80" s="15"/>
      <c r="B80" s="15">
        <f>LEN(C80)-LEN(SUBSTITUTE(C80,",",""))+1</f>
        <v>1</v>
      </c>
      <c r="C80" s="7" t="str" cm="1">
        <f t="array" ref="C80">_xlfn.TEXTJOIN(", ",,_xlfn._xlws.FILTER(Tabela1[[#All],[NUMER SERYJNY]],((Tabela1[[#All],[NAZWA]]=$A80)*(Tabela1[[#All],[KOMENTARZ]]=$A73)),"----------"))</f>
        <v>----------</v>
      </c>
    </row>
    <row r="81" spans="1:3">
      <c r="A81" s="15"/>
      <c r="B81" s="15">
        <f t="shared" ref="B81:B87" si="9">LEN(C81)-LEN(SUBSTITUTE(C81,",",""))+1</f>
        <v>1</v>
      </c>
      <c r="C81" s="7" t="str" cm="1">
        <f t="array" ref="C81">_xlfn.TEXTJOIN(", ",,_xlfn._xlws.FILTER(Tabela1[[#All],[NUMER SERYJNY]],((Tabela1[[#All],[NAZWA]]=$A81)*(Tabela1[[#All],[KOMENTARZ]]=$A73)),"----------"))</f>
        <v>----------</v>
      </c>
    </row>
    <row r="82" spans="1:3">
      <c r="A82" s="15"/>
      <c r="B82" s="15">
        <f t="shared" si="9"/>
        <v>1</v>
      </c>
      <c r="C82" s="7" t="str" cm="1">
        <f t="array" ref="C82">_xlfn.TEXTJOIN(", ",,_xlfn._xlws.FILTER(Tabela1[[#All],[NUMER SERYJNY]],((Tabela1[[#All],[NAZWA]]=$A82)*(Tabela1[[#All],[KOMENTARZ]]=$A73)),"----------"))</f>
        <v>----------</v>
      </c>
    </row>
    <row r="83" spans="1:3">
      <c r="A83" s="15"/>
      <c r="B83" s="15">
        <f t="shared" si="9"/>
        <v>1</v>
      </c>
      <c r="C83" s="7" t="str" cm="1">
        <f t="array" ref="C83">_xlfn.TEXTJOIN(", ",,_xlfn._xlws.FILTER(Tabela1[[#All],[NUMER SERYJNY]],((Tabela1[[#All],[NAZWA]]=$A83)*(Tabela1[[#All],[KOMENTARZ]]=$A73)),"----------"))</f>
        <v>----------</v>
      </c>
    </row>
    <row r="84" spans="1:3">
      <c r="A84" s="15"/>
      <c r="B84" s="15">
        <f t="shared" si="9"/>
        <v>1</v>
      </c>
      <c r="C84" s="7" t="str" cm="1">
        <f t="array" ref="C84">_xlfn.TEXTJOIN(", ",,_xlfn._xlws.FILTER(Tabela1[[#All],[NUMER SERYJNY]],((Tabela1[[#All],[NAZWA]]=$A84)*(Tabela1[[#All],[KOMENTARZ]]=$A73)),"----------"))</f>
        <v>----------</v>
      </c>
    </row>
    <row r="85" spans="1:3">
      <c r="A85" s="15"/>
      <c r="B85" s="15">
        <f t="shared" si="9"/>
        <v>1</v>
      </c>
      <c r="C85" s="7" t="str" cm="1">
        <f t="array" ref="C85">_xlfn.TEXTJOIN(", ",,_xlfn._xlws.FILTER(Tabela1[[#All],[NUMER SERYJNY]],((Tabela1[[#All],[NAZWA]]=$A85)*(Tabela1[[#All],[KOMENTARZ]]=$A73)),"----------"))</f>
        <v>----------</v>
      </c>
    </row>
    <row r="86" spans="1:3">
      <c r="A86" s="15"/>
      <c r="B86" s="15">
        <f t="shared" si="9"/>
        <v>1</v>
      </c>
      <c r="C86" s="7" t="str" cm="1">
        <f t="array" ref="C86">_xlfn.TEXTJOIN(", ",,_xlfn._xlws.FILTER(Tabela1[[#All],[NUMER SERYJNY]],((Tabela1[[#All],[NAZWA]]=$A86)*(Tabela1[[#All],[KOMENTARZ]]=$A73)),"----------"))</f>
        <v>----------</v>
      </c>
    </row>
    <row r="87" spans="1:3">
      <c r="A87" s="15"/>
      <c r="B87" s="15">
        <f t="shared" si="9"/>
        <v>1</v>
      </c>
      <c r="C87" s="7" t="str" cm="1">
        <f t="array" ref="C87">_xlfn.TEXTJOIN(", ",,_xlfn._xlws.FILTER(Tabela1[[#All],[NUMER SERYJNY]],((Tabela1[[#All],[NAZWA]]=$A87)*(Tabela1[[#All],[KOMENTARZ]]=$A73)),"----------"))</f>
        <v>----------</v>
      </c>
    </row>
    <row r="88" spans="1:3">
      <c r="A88" s="15"/>
      <c r="B88" s="15"/>
      <c r="C88" s="7"/>
    </row>
    <row r="89" spans="1:3">
      <c r="A89" s="15"/>
      <c r="B89" s="15"/>
      <c r="C89" s="7"/>
    </row>
    <row r="90" spans="1:3">
      <c r="A90" s="11" t="s">
        <v>3253</v>
      </c>
    </row>
    <row r="91" spans="1:3">
      <c r="A91" s="12" t="s">
        <v>3160</v>
      </c>
      <c r="B91" s="13"/>
      <c r="C91" s="8"/>
    </row>
    <row r="92" spans="1:3">
      <c r="A92" s="15" t="s">
        <v>3124</v>
      </c>
      <c r="B92" s="14">
        <f t="shared" ref="B92:B96" si="10">LEN(C92)-LEN(SUBSTITUTE(C92,",",""))+1</f>
        <v>1</v>
      </c>
      <c r="C92" s="9" t="str" cm="1">
        <f t="array" ref="C92">_xlfn.TEXTJOIN(", ",,_xlfn._xlws.FILTER(Tabela1[[#All],[NUMER SERYJNY]],((Tabela1[[#All],[NAZWA]]=$A92)*(Tabela1[[#All],[KOMENTARZ]]=$A91)),"----------"))</f>
        <v>F3S0R8000748</v>
      </c>
    </row>
    <row r="93" spans="1:3">
      <c r="A93" s="15" t="s">
        <v>2117</v>
      </c>
      <c r="B93" s="15">
        <f t="shared" si="10"/>
        <v>1</v>
      </c>
      <c r="C93" s="7" t="str" cm="1">
        <f t="array" ref="C93">_xlfn.TEXTJOIN(", ",,_xlfn._xlws.FILTER(Tabela1[[#All],[NUMER SERYJNY]],((Tabela1[[#All],[NAZWA]]=$A93)*(Tabela1[[#All],[KOMENTARZ]]=$A91)),"----------"))</f>
        <v>M80-E5001000518</v>
      </c>
    </row>
    <row r="94" spans="1:3">
      <c r="A94" s="15" t="s">
        <v>3189</v>
      </c>
      <c r="B94" s="15">
        <f t="shared" si="10"/>
        <v>1</v>
      </c>
      <c r="C94" s="7" t="str" cm="1">
        <f t="array" ref="C94">_xlfn.TEXTJOIN(", ",,_xlfn._xlws.FILTER(Tabela1[[#All],[NUMER SERYJNY]],((Tabela1[[#All],[NAZWA]]=$A94)*(Tabela1[[#All],[KOMENTARZ]]=$A91)),"----------"))</f>
        <v>9LB5891N20056</v>
      </c>
    </row>
    <row r="95" spans="1:3" ht="24">
      <c r="A95" s="15" t="s">
        <v>2104</v>
      </c>
      <c r="B95" s="15">
        <f t="shared" si="10"/>
        <v>4</v>
      </c>
      <c r="C95" s="7" t="str" cm="1">
        <f t="array" ref="C95">_xlfn.TEXTJOIN(", ",,_xlfn._xlws.FILTER(Tabela1[[#All],[NUMER SERYJNY]],((Tabela1[[#All],[NAZWA]]=$A95)*(Tabela1[[#All],[KOMENTARZ]]=$A91)),"----------"))</f>
        <v>2216 0000009465823-T000118, 2216 0000009465823-T000100, 2216 0000009465823-T000106, 2216 0000009465823-T000034</v>
      </c>
    </row>
    <row r="96" spans="1:3">
      <c r="A96" s="15" t="s">
        <v>3163</v>
      </c>
      <c r="B96" s="15">
        <f t="shared" si="10"/>
        <v>1</v>
      </c>
      <c r="C96" s="7" t="str" cm="1">
        <f t="array" ref="C96">_xlfn.TEXTJOIN(", ",,_xlfn._xlws.FILTER(Tabela1[[#All],[NUMER SERYJNY]],((Tabela1[[#All],[NAZWA]]=$A96)*(Tabela1[[#All],[KOMENTARZ]]=$A91)),"----------"))</f>
        <v>S662NE0T309459</v>
      </c>
    </row>
    <row r="97" spans="1:3">
      <c r="A97" s="15" t="s">
        <v>2096</v>
      </c>
      <c r="B97" s="15">
        <f>LEN(C97)-LEN(SUBSTITUTE(C97,",",""))+1</f>
        <v>1</v>
      </c>
      <c r="C97" s="7" t="str" cm="1">
        <f t="array" ref="C97">_xlfn.TEXTJOIN(", ",,_xlfn._xlws.FILTER(Tabela1[[#All],[NUMER SERYJNY]],((Tabela1[[#All],[NAZWA]]=$A97)*(Tabela1[[#All],[KOMENTARZ]]=$A91)),"----------"))</f>
        <v>S665NE0T306655</v>
      </c>
    </row>
    <row r="98" spans="1:3">
      <c r="A98" s="15"/>
      <c r="B98" s="15">
        <f>LEN(C98)-LEN(SUBSTITUTE(C98,",",""))+1</f>
        <v>1</v>
      </c>
      <c r="C98" s="7" t="str" cm="1">
        <f t="array" ref="C98">_xlfn.TEXTJOIN(", ",,_xlfn._xlws.FILTER(Tabela1[[#All],[NUMER SERYJNY]],((Tabela1[[#All],[NAZWA]]=$A98)*(Tabela1[[#All],[KOMENTARZ]]=$A91)),"----------"))</f>
        <v>----------</v>
      </c>
    </row>
    <row r="99" spans="1:3">
      <c r="A99" s="15"/>
      <c r="B99" s="15">
        <f t="shared" ref="B99:B105" si="11">LEN(C99)-LEN(SUBSTITUTE(C99,",",""))+1</f>
        <v>1</v>
      </c>
      <c r="C99" s="7" t="str" cm="1">
        <f t="array" ref="C99">_xlfn.TEXTJOIN(", ",,_xlfn._xlws.FILTER(Tabela1[[#All],[NUMER SERYJNY]],((Tabela1[[#All],[NAZWA]]=$A99)*(Tabela1[[#All],[KOMENTARZ]]=$A91)),"----------"))</f>
        <v>----------</v>
      </c>
    </row>
    <row r="100" spans="1:3">
      <c r="A100" s="15"/>
      <c r="B100" s="15">
        <f t="shared" si="11"/>
        <v>1</v>
      </c>
      <c r="C100" s="7" t="str" cm="1">
        <f t="array" ref="C100">_xlfn.TEXTJOIN(", ",,_xlfn._xlws.FILTER(Tabela1[[#All],[NUMER SERYJNY]],((Tabela1[[#All],[NAZWA]]=$A100)*(Tabela1[[#All],[KOMENTARZ]]=$A91)),"----------"))</f>
        <v>----------</v>
      </c>
    </row>
    <row r="101" spans="1:3">
      <c r="A101" s="15"/>
      <c r="B101" s="15">
        <f t="shared" si="11"/>
        <v>1</v>
      </c>
      <c r="C101" s="7" t="str" cm="1">
        <f t="array" ref="C101">_xlfn.TEXTJOIN(", ",,_xlfn._xlws.FILTER(Tabela1[[#All],[NUMER SERYJNY]],((Tabela1[[#All],[NAZWA]]=$A101)*(Tabela1[[#All],[KOMENTARZ]]=$A91)),"----------"))</f>
        <v>----------</v>
      </c>
    </row>
    <row r="102" spans="1:3">
      <c r="A102" s="15"/>
      <c r="B102" s="15">
        <f t="shared" si="11"/>
        <v>1</v>
      </c>
      <c r="C102" s="7" t="str" cm="1">
        <f t="array" ref="C102">_xlfn.TEXTJOIN(", ",,_xlfn._xlws.FILTER(Tabela1[[#All],[NUMER SERYJNY]],((Tabela1[[#All],[NAZWA]]=$A102)*(Tabela1[[#All],[KOMENTARZ]]=$A91)),"----------"))</f>
        <v>----------</v>
      </c>
    </row>
    <row r="103" spans="1:3">
      <c r="A103" s="15"/>
      <c r="B103" s="15">
        <f t="shared" si="11"/>
        <v>1</v>
      </c>
      <c r="C103" s="7" t="str" cm="1">
        <f t="array" ref="C103">_xlfn.TEXTJOIN(", ",,_xlfn._xlws.FILTER(Tabela1[[#All],[NUMER SERYJNY]],((Tabela1[[#All],[NAZWA]]=$A103)*(Tabela1[[#All],[KOMENTARZ]]=$A91)),"----------"))</f>
        <v>----------</v>
      </c>
    </row>
    <row r="104" spans="1:3">
      <c r="A104" s="15"/>
      <c r="B104" s="15">
        <f t="shared" si="11"/>
        <v>1</v>
      </c>
      <c r="C104" s="7" t="str" cm="1">
        <f t="array" ref="C104">_xlfn.TEXTJOIN(", ",,_xlfn._xlws.FILTER(Tabela1[[#All],[NUMER SERYJNY]],((Tabela1[[#All],[NAZWA]]=$A104)*(Tabela1[[#All],[KOMENTARZ]]=$A91)),"----------"))</f>
        <v>----------</v>
      </c>
    </row>
    <row r="105" spans="1:3">
      <c r="A105" s="15"/>
      <c r="B105" s="15">
        <f t="shared" si="11"/>
        <v>1</v>
      </c>
      <c r="C105" s="7" t="str" cm="1">
        <f t="array" ref="C105">_xlfn.TEXTJOIN(", ",,_xlfn._xlws.FILTER(Tabela1[[#All],[NUMER SERYJNY]],((Tabela1[[#All],[NAZWA]]=$A105)*(Tabela1[[#All],[KOMENTARZ]]=$A91)),"----------"))</f>
        <v>----------</v>
      </c>
    </row>
    <row r="106" spans="1:3">
      <c r="A106" s="15"/>
      <c r="B106" s="15"/>
      <c r="C106" s="7"/>
    </row>
    <row r="107" spans="1:3">
      <c r="A107" s="15"/>
      <c r="B107" s="15"/>
      <c r="C107" s="7"/>
    </row>
    <row r="108" spans="1:3">
      <c r="A108" s="11" t="s">
        <v>3253</v>
      </c>
    </row>
    <row r="109" spans="1:3">
      <c r="A109" s="12" t="s">
        <v>3157</v>
      </c>
      <c r="B109" s="13"/>
      <c r="C109" s="8"/>
    </row>
    <row r="110" spans="1:3">
      <c r="A110" s="15" t="s">
        <v>3124</v>
      </c>
      <c r="B110" s="14">
        <f t="shared" ref="B110:B114" si="12">LEN(C110)-LEN(SUBSTITUTE(C110,",",""))+1</f>
        <v>1</v>
      </c>
      <c r="C110" s="9" t="str" cm="1">
        <f t="array" ref="C110">_xlfn.TEXTJOIN(", ",,_xlfn._xlws.FILTER(Tabela1[[#All],[NUMER SERYJNY]],((Tabela1[[#All],[NAZWA]]=$A110)*(Tabela1[[#All],[KOMENTARZ]]=$A109)),"----------"))</f>
        <v>F3S0R8000747</v>
      </c>
    </row>
    <row r="111" spans="1:3">
      <c r="A111" s="15" t="s">
        <v>2117</v>
      </c>
      <c r="B111" s="15">
        <f t="shared" si="12"/>
        <v>1</v>
      </c>
      <c r="C111" s="7" t="str" cm="1">
        <f t="array" ref="C111">_xlfn.TEXTJOIN(", ",,_xlfn._xlws.FILTER(Tabela1[[#All],[NUMER SERYJNY]],((Tabela1[[#All],[NAZWA]]=$A111)*(Tabela1[[#All],[KOMENTARZ]]=$A109)),"----------"))</f>
        <v>M80-E5001000107</v>
      </c>
    </row>
    <row r="112" spans="1:3">
      <c r="A112" s="15" t="s">
        <v>3189</v>
      </c>
      <c r="B112" s="15">
        <f t="shared" si="12"/>
        <v>1</v>
      </c>
      <c r="C112" s="7" t="str" cm="1">
        <f t="array" ref="C112">_xlfn.TEXTJOIN(", ",,_xlfn._xlws.FILTER(Tabela1[[#All],[NUMER SERYJNY]],((Tabela1[[#All],[NAZWA]]=$A112)*(Tabela1[[#All],[KOMENTARZ]]=$A109)),"----------"))</f>
        <v>9LB5891N20054</v>
      </c>
    </row>
    <row r="113" spans="1:3" ht="24">
      <c r="A113" s="15" t="s">
        <v>2104</v>
      </c>
      <c r="B113" s="15">
        <f t="shared" si="12"/>
        <v>4</v>
      </c>
      <c r="C113" s="7" t="str" cm="1">
        <f t="array" ref="C113">_xlfn.TEXTJOIN(", ",,_xlfn._xlws.FILTER(Tabela1[[#All],[NUMER SERYJNY]],((Tabela1[[#All],[NAZWA]]=$A113)*(Tabela1[[#All],[KOMENTARZ]]=$A109)),"----------"))</f>
        <v>2216 0000009465823-T000130, 2216 0000009465823-T000247, 2216 0000009465823-T000245, 2216 0000009465823-T000230</v>
      </c>
    </row>
    <row r="114" spans="1:3">
      <c r="A114" s="15" t="s">
        <v>3163</v>
      </c>
      <c r="B114" s="15">
        <f t="shared" si="12"/>
        <v>1</v>
      </c>
      <c r="C114" s="7" t="str" cm="1">
        <f t="array" ref="C114">_xlfn.TEXTJOIN(", ",,_xlfn._xlws.FILTER(Tabela1[[#All],[NUMER SERYJNY]],((Tabela1[[#All],[NAZWA]]=$A114)*(Tabela1[[#All],[KOMENTARZ]]=$A109)),"----------"))</f>
        <v>S662NE0T309121</v>
      </c>
    </row>
    <row r="115" spans="1:3">
      <c r="A115" s="15" t="s">
        <v>2096</v>
      </c>
      <c r="B115" s="15">
        <f>LEN(C115)-LEN(SUBSTITUTE(C115,",",""))+1</f>
        <v>1</v>
      </c>
      <c r="C115" s="7" t="str" cm="1">
        <f t="array" ref="C115">_xlfn.TEXTJOIN(", ",,_xlfn._xlws.FILTER(Tabela1[[#All],[NUMER SERYJNY]],((Tabela1[[#All],[NAZWA]]=$A115)*(Tabela1[[#All],[KOMENTARZ]]=$A109)),"----------"))</f>
        <v>S665NE0T306653</v>
      </c>
    </row>
    <row r="116" spans="1:3">
      <c r="A116" s="15"/>
      <c r="B116" s="15">
        <f>LEN(C116)-LEN(SUBSTITUTE(C116,",",""))+1</f>
        <v>1</v>
      </c>
      <c r="C116" s="7" t="str" cm="1">
        <f t="array" ref="C116">_xlfn.TEXTJOIN(", ",,_xlfn._xlws.FILTER(Tabela1[[#All],[NUMER SERYJNY]],((Tabela1[[#All],[NAZWA]]=$A116)*(Tabela1[[#All],[KOMENTARZ]]=$A109)),"----------"))</f>
        <v>----------</v>
      </c>
    </row>
    <row r="117" spans="1:3">
      <c r="A117" s="15"/>
      <c r="B117" s="15">
        <f t="shared" ref="B117:B123" si="13">LEN(C117)-LEN(SUBSTITUTE(C117,",",""))+1</f>
        <v>1</v>
      </c>
      <c r="C117" s="7" t="str" cm="1">
        <f t="array" ref="C117">_xlfn.TEXTJOIN(", ",,_xlfn._xlws.FILTER(Tabela1[[#All],[NUMER SERYJNY]],((Tabela1[[#All],[NAZWA]]=$A117)*(Tabela1[[#All],[KOMENTARZ]]=$A109)),"----------"))</f>
        <v>----------</v>
      </c>
    </row>
    <row r="118" spans="1:3">
      <c r="A118" s="15"/>
      <c r="B118" s="15">
        <f t="shared" si="13"/>
        <v>1</v>
      </c>
      <c r="C118" s="7" t="str" cm="1">
        <f t="array" ref="C118">_xlfn.TEXTJOIN(", ",,_xlfn._xlws.FILTER(Tabela1[[#All],[NUMER SERYJNY]],((Tabela1[[#All],[NAZWA]]=$A118)*(Tabela1[[#All],[KOMENTARZ]]=$A109)),"----------"))</f>
        <v>----------</v>
      </c>
    </row>
    <row r="119" spans="1:3">
      <c r="A119" s="15"/>
      <c r="B119" s="15">
        <f t="shared" si="13"/>
        <v>1</v>
      </c>
      <c r="C119" s="7" t="str" cm="1">
        <f t="array" ref="C119">_xlfn.TEXTJOIN(", ",,_xlfn._xlws.FILTER(Tabela1[[#All],[NUMER SERYJNY]],((Tabela1[[#All],[NAZWA]]=$A119)*(Tabela1[[#All],[KOMENTARZ]]=$A109)),"----------"))</f>
        <v>----------</v>
      </c>
    </row>
    <row r="120" spans="1:3">
      <c r="A120" s="15"/>
      <c r="B120" s="15">
        <f t="shared" si="13"/>
        <v>1</v>
      </c>
      <c r="C120" s="7" t="str" cm="1">
        <f t="array" ref="C120">_xlfn.TEXTJOIN(", ",,_xlfn._xlws.FILTER(Tabela1[[#All],[NUMER SERYJNY]],((Tabela1[[#All],[NAZWA]]=$A120)*(Tabela1[[#All],[KOMENTARZ]]=$A109)),"----------"))</f>
        <v>----------</v>
      </c>
    </row>
    <row r="121" spans="1:3">
      <c r="A121" s="15"/>
      <c r="B121" s="15">
        <f t="shared" si="13"/>
        <v>1</v>
      </c>
      <c r="C121" s="7" t="str" cm="1">
        <f t="array" ref="C121">_xlfn.TEXTJOIN(", ",,_xlfn._xlws.FILTER(Tabela1[[#All],[NUMER SERYJNY]],((Tabela1[[#All],[NAZWA]]=$A121)*(Tabela1[[#All],[KOMENTARZ]]=$A109)),"----------"))</f>
        <v>----------</v>
      </c>
    </row>
    <row r="122" spans="1:3">
      <c r="A122" s="15"/>
      <c r="B122" s="15">
        <f t="shared" si="13"/>
        <v>1</v>
      </c>
      <c r="C122" s="7" t="str" cm="1">
        <f t="array" ref="C122">_xlfn.TEXTJOIN(", ",,_xlfn._xlws.FILTER(Tabela1[[#All],[NUMER SERYJNY]],((Tabela1[[#All],[NAZWA]]=$A122)*(Tabela1[[#All],[KOMENTARZ]]=$A109)),"----------"))</f>
        <v>----------</v>
      </c>
    </row>
    <row r="123" spans="1:3">
      <c r="A123" s="15"/>
      <c r="B123" s="15">
        <f t="shared" si="13"/>
        <v>1</v>
      </c>
      <c r="C123" s="7" t="str" cm="1">
        <f t="array" ref="C123">_xlfn.TEXTJOIN(", ",,_xlfn._xlws.FILTER(Tabela1[[#All],[NUMER SERYJNY]],((Tabela1[[#All],[NAZWA]]=$A123)*(Tabela1[[#All],[KOMENTARZ]]=$A109)),"----------"))</f>
        <v>----------</v>
      </c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1" t="s">
        <v>3253</v>
      </c>
    </row>
    <row r="127" spans="1:3">
      <c r="A127" s="12" t="s">
        <v>3127</v>
      </c>
      <c r="B127" s="13"/>
      <c r="C127" s="8"/>
    </row>
    <row r="128" spans="1:3">
      <c r="A128" s="15" t="s">
        <v>3124</v>
      </c>
      <c r="B128" s="14">
        <f t="shared" ref="B128:B132" si="14">LEN(C128)-LEN(SUBSTITUTE(C128,",",""))+1</f>
        <v>1</v>
      </c>
      <c r="C128" s="9" t="str" cm="1">
        <f t="array" ref="C128">_xlfn.TEXTJOIN(", ",,_xlfn._xlws.FILTER(Tabela1[[#All],[NUMER SERYJNY]],((Tabela1[[#All],[NAZWA]]=$A128)*(Tabela1[[#All],[KOMENTARZ]]=$A127)),"----------"))</f>
        <v>F3S0R8000770</v>
      </c>
    </row>
    <row r="129" spans="1:3">
      <c r="A129" s="15" t="s">
        <v>2117</v>
      </c>
      <c r="B129" s="15">
        <f t="shared" si="14"/>
        <v>1</v>
      </c>
      <c r="C129" s="7" t="str" cm="1">
        <f t="array" ref="C129">_xlfn.TEXTJOIN(", ",,_xlfn._xlws.FILTER(Tabela1[[#All],[NUMER SERYJNY]],((Tabela1[[#All],[NAZWA]]=$A129)*(Tabela1[[#All],[KOMENTARZ]]=$A127)),"----------"))</f>
        <v>M80-E5001000342</v>
      </c>
    </row>
    <row r="130" spans="1:3">
      <c r="A130" s="15" t="s">
        <v>3189</v>
      </c>
      <c r="B130" s="15">
        <f t="shared" si="14"/>
        <v>1</v>
      </c>
      <c r="C130" s="7" t="str" cm="1">
        <f t="array" ref="C130">_xlfn.TEXTJOIN(", ",,_xlfn._xlws.FILTER(Tabela1[[#All],[NUMER SERYJNY]],((Tabela1[[#All],[NAZWA]]=$A130)*(Tabela1[[#All],[KOMENTARZ]]=$A127)),"----------"))</f>
        <v>9LB0126N20607</v>
      </c>
    </row>
    <row r="131" spans="1:3" ht="24">
      <c r="A131" s="15" t="s">
        <v>2104</v>
      </c>
      <c r="B131" s="15">
        <f t="shared" si="14"/>
        <v>4</v>
      </c>
      <c r="C131" s="7" t="str" cm="1">
        <f t="array" ref="C131">_xlfn.TEXTJOIN(", ",,_xlfn._xlws.FILTER(Tabela1[[#All],[NUMER SERYJNY]],((Tabela1[[#All],[NAZWA]]=$A131)*(Tabela1[[#All],[KOMENTARZ]]=$A127)),"----------"))</f>
        <v>2216 0000009465823-T000284, 2216 0000009465823-T000187, 2216 0000009465823-T000080, 2216 0000009465823-T000182</v>
      </c>
    </row>
    <row r="132" spans="1:3">
      <c r="A132" s="15" t="s">
        <v>3163</v>
      </c>
      <c r="B132" s="15">
        <f t="shared" si="14"/>
        <v>1</v>
      </c>
      <c r="C132" s="7" t="str" cm="1">
        <f t="array" ref="C132">_xlfn.TEXTJOIN(", ",,_xlfn._xlws.FILTER(Tabela1[[#All],[NUMER SERYJNY]],((Tabela1[[#All],[NAZWA]]=$A132)*(Tabela1[[#All],[KOMENTARZ]]=$A127)),"----------"))</f>
        <v>S662NE0T309129</v>
      </c>
    </row>
    <row r="133" spans="1:3">
      <c r="A133" s="15" t="s">
        <v>2096</v>
      </c>
      <c r="B133" s="15">
        <f>LEN(C133)-LEN(SUBSTITUTE(C133,",",""))+1</f>
        <v>1</v>
      </c>
      <c r="C133" s="7" t="str" cm="1">
        <f t="array" ref="C133">_xlfn.TEXTJOIN(", ",,_xlfn._xlws.FILTER(Tabela1[[#All],[NUMER SERYJNY]],((Tabela1[[#All],[NAZWA]]=$A133)*(Tabela1[[#All],[KOMENTARZ]]=$A127)),"----------"))</f>
        <v>S665NE0T306651</v>
      </c>
    </row>
    <row r="134" spans="1:3">
      <c r="A134" s="15"/>
      <c r="B134" s="15">
        <f>LEN(C134)-LEN(SUBSTITUTE(C134,",",""))+1</f>
        <v>1</v>
      </c>
      <c r="C134" s="7" t="str" cm="1">
        <f t="array" ref="C134">_xlfn.TEXTJOIN(", ",,_xlfn._xlws.FILTER(Tabela1[[#All],[NUMER SERYJNY]],((Tabela1[[#All],[NAZWA]]=$A134)*(Tabela1[[#All],[KOMENTARZ]]=$A127)),"----------"))</f>
        <v>----------</v>
      </c>
    </row>
    <row r="135" spans="1:3">
      <c r="A135" s="15"/>
      <c r="B135" s="15">
        <f t="shared" ref="B135:B141" si="15">LEN(C135)-LEN(SUBSTITUTE(C135,",",""))+1</f>
        <v>1</v>
      </c>
      <c r="C135" s="7" t="str" cm="1">
        <f t="array" ref="C135">_xlfn.TEXTJOIN(", ",,_xlfn._xlws.FILTER(Tabela1[[#All],[NUMER SERYJNY]],((Tabela1[[#All],[NAZWA]]=$A135)*(Tabela1[[#All],[KOMENTARZ]]=$A127)),"----------"))</f>
        <v>----------</v>
      </c>
    </row>
    <row r="136" spans="1:3">
      <c r="A136" s="15"/>
      <c r="B136" s="15">
        <f t="shared" si="15"/>
        <v>1</v>
      </c>
      <c r="C136" s="7" t="str" cm="1">
        <f t="array" ref="C136">_xlfn.TEXTJOIN(", ",,_xlfn._xlws.FILTER(Tabela1[[#All],[NUMER SERYJNY]],((Tabela1[[#All],[NAZWA]]=$A136)*(Tabela1[[#All],[KOMENTARZ]]=$A127)),"----------"))</f>
        <v>----------</v>
      </c>
    </row>
    <row r="137" spans="1:3">
      <c r="A137" s="15"/>
      <c r="B137" s="15">
        <f t="shared" si="15"/>
        <v>1</v>
      </c>
      <c r="C137" s="7" t="str" cm="1">
        <f t="array" ref="C137">_xlfn.TEXTJOIN(", ",,_xlfn._xlws.FILTER(Tabela1[[#All],[NUMER SERYJNY]],((Tabela1[[#All],[NAZWA]]=$A137)*(Tabela1[[#All],[KOMENTARZ]]=$A127)),"----------"))</f>
        <v>----------</v>
      </c>
    </row>
    <row r="138" spans="1:3">
      <c r="A138" s="15"/>
      <c r="B138" s="15">
        <f t="shared" si="15"/>
        <v>1</v>
      </c>
      <c r="C138" s="7" t="str" cm="1">
        <f t="array" ref="C138">_xlfn.TEXTJOIN(", ",,_xlfn._xlws.FILTER(Tabela1[[#All],[NUMER SERYJNY]],((Tabela1[[#All],[NAZWA]]=$A138)*(Tabela1[[#All],[KOMENTARZ]]=$A127)),"----------"))</f>
        <v>----------</v>
      </c>
    </row>
    <row r="139" spans="1:3">
      <c r="A139" s="15"/>
      <c r="B139" s="15">
        <f t="shared" si="15"/>
        <v>1</v>
      </c>
      <c r="C139" s="7" t="str" cm="1">
        <f t="array" ref="C139">_xlfn.TEXTJOIN(", ",,_xlfn._xlws.FILTER(Tabela1[[#All],[NUMER SERYJNY]],((Tabela1[[#All],[NAZWA]]=$A139)*(Tabela1[[#All],[KOMENTARZ]]=$A127)),"----------"))</f>
        <v>----------</v>
      </c>
    </row>
    <row r="140" spans="1:3">
      <c r="A140" s="15"/>
      <c r="B140" s="15">
        <f t="shared" si="15"/>
        <v>1</v>
      </c>
      <c r="C140" s="7" t="str" cm="1">
        <f t="array" ref="C140">_xlfn.TEXTJOIN(", ",,_xlfn._xlws.FILTER(Tabela1[[#All],[NUMER SERYJNY]],((Tabela1[[#All],[NAZWA]]=$A140)*(Tabela1[[#All],[KOMENTARZ]]=$A127)),"----------"))</f>
        <v>----------</v>
      </c>
    </row>
    <row r="141" spans="1:3">
      <c r="A141" s="15"/>
      <c r="B141" s="15">
        <f t="shared" si="15"/>
        <v>1</v>
      </c>
      <c r="C141" s="7" t="str" cm="1">
        <f t="array" ref="C141">_xlfn.TEXTJOIN(", ",,_xlfn._xlws.FILTER(Tabela1[[#All],[NUMER SERYJNY]],((Tabela1[[#All],[NAZWA]]=$A141)*(Tabela1[[#All],[KOMENTARZ]]=$A127)),"----------"))</f>
        <v>----------</v>
      </c>
    </row>
    <row r="142" spans="1:3">
      <c r="A142" s="15"/>
      <c r="B142" s="15"/>
      <c r="C142" s="7"/>
    </row>
    <row r="143" spans="1:3">
      <c r="A143" s="15"/>
      <c r="B143" s="15"/>
      <c r="C143" s="7"/>
    </row>
    <row r="144" spans="1:3">
      <c r="A144" s="11" t="s">
        <v>3253</v>
      </c>
    </row>
    <row r="145" spans="1:3">
      <c r="A145" s="12" t="s">
        <v>3130</v>
      </c>
      <c r="B145" s="13"/>
      <c r="C145" s="8"/>
    </row>
    <row r="146" spans="1:3">
      <c r="A146" s="15" t="s">
        <v>3124</v>
      </c>
      <c r="B146" s="14">
        <f t="shared" ref="B146:B150" si="16">LEN(C146)-LEN(SUBSTITUTE(C146,",",""))+1</f>
        <v>1</v>
      </c>
      <c r="C146" s="9" t="str" cm="1">
        <f t="array" ref="C146">_xlfn.TEXTJOIN(", ",,_xlfn._xlws.FILTER(Tabela1[[#All],[NUMER SERYJNY]],((Tabela1[[#All],[NAZWA]]=$A146)*(Tabela1[[#All],[KOMENTARZ]]=$A145)),"----------"))</f>
        <v>F3S0R8000763</v>
      </c>
    </row>
    <row r="147" spans="1:3">
      <c r="A147" s="15" t="s">
        <v>2117</v>
      </c>
      <c r="B147" s="15">
        <f t="shared" si="16"/>
        <v>1</v>
      </c>
      <c r="C147" s="7" t="str" cm="1">
        <f t="array" ref="C147">_xlfn.TEXTJOIN(", ",,_xlfn._xlws.FILTER(Tabela1[[#All],[NUMER SERYJNY]],((Tabela1[[#All],[NAZWA]]=$A147)*(Tabela1[[#All],[KOMENTARZ]]=$A145)),"----------"))</f>
        <v>M80-E5001000319</v>
      </c>
    </row>
    <row r="148" spans="1:3">
      <c r="A148" s="15" t="s">
        <v>3189</v>
      </c>
      <c r="B148" s="15">
        <f t="shared" si="16"/>
        <v>1</v>
      </c>
      <c r="C148" s="7" t="str" cm="1">
        <f t="array" ref="C148">_xlfn.TEXTJOIN(", ",,_xlfn._xlws.FILTER(Tabela1[[#All],[NUMER SERYJNY]],((Tabela1[[#All],[NAZWA]]=$A148)*(Tabela1[[#All],[KOMENTARZ]]=$A145)),"----------"))</f>
        <v>9LB7149N20040</v>
      </c>
    </row>
    <row r="149" spans="1:3" ht="24">
      <c r="A149" s="15" t="s">
        <v>2104</v>
      </c>
      <c r="B149" s="15">
        <f t="shared" si="16"/>
        <v>4</v>
      </c>
      <c r="C149" s="7" t="str" cm="1">
        <f t="array" ref="C149">_xlfn.TEXTJOIN(", ",,_xlfn._xlws.FILTER(Tabela1[[#All],[NUMER SERYJNY]],((Tabela1[[#All],[NAZWA]]=$A149)*(Tabela1[[#All],[KOMENTARZ]]=$A145)),"----------"))</f>
        <v>2216 0000009465823-T000020, 2216 0000009465823-T000266, 2216 0000009465823-T000048, 2216 0000009465823-T000271</v>
      </c>
    </row>
    <row r="150" spans="1:3">
      <c r="A150" s="15" t="s">
        <v>3163</v>
      </c>
      <c r="B150" s="15">
        <f t="shared" si="16"/>
        <v>1</v>
      </c>
      <c r="C150" s="7" t="str" cm="1">
        <f t="array" ref="C150">_xlfn.TEXTJOIN(", ",,_xlfn._xlws.FILTER(Tabela1[[#All],[NUMER SERYJNY]],((Tabela1[[#All],[NAZWA]]=$A150)*(Tabela1[[#All],[KOMENTARZ]]=$A145)),"----------"))</f>
        <v>S662NE0T309119</v>
      </c>
    </row>
    <row r="151" spans="1:3">
      <c r="A151" s="15" t="s">
        <v>2096</v>
      </c>
      <c r="B151" s="15">
        <f>LEN(C151)-LEN(SUBSTITUTE(C151,",",""))+1</f>
        <v>1</v>
      </c>
      <c r="C151" s="7" t="str" cm="1">
        <f t="array" ref="C151">_xlfn.TEXTJOIN(", ",,_xlfn._xlws.FILTER(Tabela1[[#All],[NUMER SERYJNY]],((Tabela1[[#All],[NAZWA]]=$A151)*(Tabela1[[#All],[KOMENTARZ]]=$A145)),"----------"))</f>
        <v>S665NE0T306656</v>
      </c>
    </row>
    <row r="152" spans="1:3">
      <c r="A152" s="15"/>
      <c r="B152" s="15">
        <f>LEN(C152)-LEN(SUBSTITUTE(C152,",",""))+1</f>
        <v>1</v>
      </c>
      <c r="C152" s="7" t="str" cm="1">
        <f t="array" ref="C152">_xlfn.TEXTJOIN(", ",,_xlfn._xlws.FILTER(Tabela1[[#All],[NUMER SERYJNY]],((Tabela1[[#All],[NAZWA]]=$A152)*(Tabela1[[#All],[KOMENTARZ]]=$A145)),"----------"))</f>
        <v>----------</v>
      </c>
    </row>
    <row r="153" spans="1:3">
      <c r="A153" s="15"/>
      <c r="B153" s="15">
        <f t="shared" ref="B153:B159" si="17">LEN(C153)-LEN(SUBSTITUTE(C153,",",""))+1</f>
        <v>1</v>
      </c>
      <c r="C153" s="7" t="str" cm="1">
        <f t="array" ref="C153">_xlfn.TEXTJOIN(", ",,_xlfn._xlws.FILTER(Tabela1[[#All],[NUMER SERYJNY]],((Tabela1[[#All],[NAZWA]]=$A153)*(Tabela1[[#All],[KOMENTARZ]]=$A145)),"----------"))</f>
        <v>----------</v>
      </c>
    </row>
    <row r="154" spans="1:3">
      <c r="A154" s="15"/>
      <c r="B154" s="15">
        <f t="shared" si="17"/>
        <v>1</v>
      </c>
      <c r="C154" s="7" t="str" cm="1">
        <f t="array" ref="C154">_xlfn.TEXTJOIN(", ",,_xlfn._xlws.FILTER(Tabela1[[#All],[NUMER SERYJNY]],((Tabela1[[#All],[NAZWA]]=$A154)*(Tabela1[[#All],[KOMENTARZ]]=$A145)),"----------"))</f>
        <v>----------</v>
      </c>
    </row>
    <row r="155" spans="1:3">
      <c r="A155" s="15"/>
      <c r="B155" s="15">
        <f t="shared" si="17"/>
        <v>1</v>
      </c>
      <c r="C155" s="7" t="str" cm="1">
        <f t="array" ref="C155">_xlfn.TEXTJOIN(", ",,_xlfn._xlws.FILTER(Tabela1[[#All],[NUMER SERYJNY]],((Tabela1[[#All],[NAZWA]]=$A155)*(Tabela1[[#All],[KOMENTARZ]]=$A145)),"----------"))</f>
        <v>----------</v>
      </c>
    </row>
    <row r="156" spans="1:3">
      <c r="A156" s="15"/>
      <c r="B156" s="15">
        <f t="shared" si="17"/>
        <v>1</v>
      </c>
      <c r="C156" s="7" t="str" cm="1">
        <f t="array" ref="C156">_xlfn.TEXTJOIN(", ",,_xlfn._xlws.FILTER(Tabela1[[#All],[NUMER SERYJNY]],((Tabela1[[#All],[NAZWA]]=$A156)*(Tabela1[[#All],[KOMENTARZ]]=$A145)),"----------"))</f>
        <v>----------</v>
      </c>
    </row>
    <row r="157" spans="1:3">
      <c r="A157" s="15"/>
      <c r="B157" s="15">
        <f t="shared" si="17"/>
        <v>1</v>
      </c>
      <c r="C157" s="7" t="str" cm="1">
        <f t="array" ref="C157">_xlfn.TEXTJOIN(", ",,_xlfn._xlws.FILTER(Tabela1[[#All],[NUMER SERYJNY]],((Tabela1[[#All],[NAZWA]]=$A157)*(Tabela1[[#All],[KOMENTARZ]]=$A145)),"----------"))</f>
        <v>----------</v>
      </c>
    </row>
    <row r="158" spans="1:3">
      <c r="A158" s="15"/>
      <c r="B158" s="15">
        <f t="shared" si="17"/>
        <v>1</v>
      </c>
      <c r="C158" s="7" t="str" cm="1">
        <f t="array" ref="C158">_xlfn.TEXTJOIN(", ",,_xlfn._xlws.FILTER(Tabela1[[#All],[NUMER SERYJNY]],((Tabela1[[#All],[NAZWA]]=$A158)*(Tabela1[[#All],[KOMENTARZ]]=$A145)),"----------"))</f>
        <v>----------</v>
      </c>
    </row>
    <row r="159" spans="1:3">
      <c r="A159" s="15"/>
      <c r="B159" s="15">
        <f t="shared" si="17"/>
        <v>1</v>
      </c>
      <c r="C159" s="7" t="str" cm="1">
        <f t="array" ref="C159">_xlfn.TEXTJOIN(", ",,_xlfn._xlws.FILTER(Tabela1[[#All],[NUMER SERYJNY]],((Tabela1[[#All],[NAZWA]]=$A159)*(Tabela1[[#All],[KOMENTARZ]]=$A145)),"----------"))</f>
        <v>----------</v>
      </c>
    </row>
    <row r="160" spans="1:3">
      <c r="A160" s="15"/>
      <c r="B160" s="15"/>
      <c r="C160" s="7"/>
    </row>
    <row r="161" spans="1:3">
      <c r="A161" s="15"/>
      <c r="B161" s="15"/>
      <c r="C161" s="7"/>
    </row>
    <row r="162" spans="1:3">
      <c r="A162" s="11" t="s">
        <v>3253</v>
      </c>
    </row>
    <row r="163" spans="1:3">
      <c r="A163" s="12" t="s">
        <v>3136</v>
      </c>
      <c r="B163" s="13"/>
      <c r="C163" s="8"/>
    </row>
    <row r="164" spans="1:3">
      <c r="A164" s="15" t="s">
        <v>3124</v>
      </c>
      <c r="B164" s="14">
        <f t="shared" ref="B164:B168" si="18">LEN(C164)-LEN(SUBSTITUTE(C164,",",""))+1</f>
        <v>1</v>
      </c>
      <c r="C164" s="9" t="str" cm="1">
        <f t="array" ref="C164">_xlfn.TEXTJOIN(", ",,_xlfn._xlws.FILTER(Tabela1[[#All],[NUMER SERYJNY]],((Tabela1[[#All],[NAZWA]]=$A164)*(Tabela1[[#All],[KOMENTARZ]]=$A163)),"----------"))</f>
        <v>F3S0R8000746</v>
      </c>
    </row>
    <row r="165" spans="1:3">
      <c r="A165" s="15" t="s">
        <v>2117</v>
      </c>
      <c r="B165" s="15">
        <f t="shared" si="18"/>
        <v>1</v>
      </c>
      <c r="C165" s="7" t="str" cm="1">
        <f t="array" ref="C165">_xlfn.TEXTJOIN(", ",,_xlfn._xlws.FILTER(Tabela1[[#All],[NUMER SERYJNY]],((Tabela1[[#All],[NAZWA]]=$A165)*(Tabela1[[#All],[KOMENTARZ]]=$A163)),"----------"))</f>
        <v>M80-E5001000499</v>
      </c>
    </row>
    <row r="166" spans="1:3">
      <c r="A166" s="15" t="s">
        <v>3189</v>
      </c>
      <c r="B166" s="15">
        <f t="shared" si="18"/>
        <v>1</v>
      </c>
      <c r="C166" s="7" t="str" cm="1">
        <f t="array" ref="C166">_xlfn.TEXTJOIN(", ",,_xlfn._xlws.FILTER(Tabela1[[#All],[NUMER SERYJNY]],((Tabela1[[#All],[NAZWA]]=$A166)*(Tabela1[[#All],[KOMENTARZ]]=$A163)),"----------"))</f>
        <v>9LB7149N20152</v>
      </c>
    </row>
    <row r="167" spans="1:3" ht="24">
      <c r="A167" s="15" t="s">
        <v>2104</v>
      </c>
      <c r="B167" s="15">
        <f t="shared" si="18"/>
        <v>4</v>
      </c>
      <c r="C167" s="7" t="str" cm="1">
        <f t="array" ref="C167">_xlfn.TEXTJOIN(", ",,_xlfn._xlws.FILTER(Tabela1[[#All],[NUMER SERYJNY]],((Tabela1[[#All],[NAZWA]]=$A167)*(Tabela1[[#All],[KOMENTARZ]]=$A163)),"----------"))</f>
        <v>2216 0000009465823-T000236, 2216 0000009465823-T000177, 2216 0000009465823-T000142, 2216 0000009465823-T000073</v>
      </c>
    </row>
    <row r="168" spans="1:3">
      <c r="A168" s="15" t="s">
        <v>3163</v>
      </c>
      <c r="B168" s="15">
        <f t="shared" si="18"/>
        <v>1</v>
      </c>
      <c r="C168" s="7" t="str" cm="1">
        <f t="array" ref="C168">_xlfn.TEXTJOIN(", ",,_xlfn._xlws.FILTER(Tabela1[[#All],[NUMER SERYJNY]],((Tabela1[[#All],[NAZWA]]=$A168)*(Tabela1[[#All],[KOMENTARZ]]=$A163)),"----------"))</f>
        <v>S662NE0T309076</v>
      </c>
    </row>
    <row r="169" spans="1:3">
      <c r="A169" s="15" t="s">
        <v>2096</v>
      </c>
      <c r="B169" s="15">
        <f>LEN(C169)-LEN(SUBSTITUTE(C169,",",""))+1</f>
        <v>1</v>
      </c>
      <c r="C169" s="7" t="str" cm="1">
        <f t="array" ref="C169">_xlfn.TEXTJOIN(", ",,_xlfn._xlws.FILTER(Tabela1[[#All],[NUMER SERYJNY]],((Tabela1[[#All],[NAZWA]]=$A169)*(Tabela1[[#All],[KOMENTARZ]]=$A163)),"----------"))</f>
        <v>S665NE0T306654</v>
      </c>
    </row>
    <row r="170" spans="1:3">
      <c r="A170" s="15"/>
      <c r="B170" s="15">
        <f>LEN(C170)-LEN(SUBSTITUTE(C170,",",""))+1</f>
        <v>1</v>
      </c>
      <c r="C170" s="7" t="str" cm="1">
        <f t="array" ref="C170">_xlfn.TEXTJOIN(", ",,_xlfn._xlws.FILTER(Tabela1[[#All],[NUMER SERYJNY]],((Tabela1[[#All],[NAZWA]]=$A170)*(Tabela1[[#All],[KOMENTARZ]]=$A163)),"----------"))</f>
        <v>----------</v>
      </c>
    </row>
    <row r="171" spans="1:3">
      <c r="A171" s="15"/>
      <c r="B171" s="15">
        <f t="shared" ref="B171:B177" si="19">LEN(C171)-LEN(SUBSTITUTE(C171,",",""))+1</f>
        <v>1</v>
      </c>
      <c r="C171" s="7" t="str" cm="1">
        <f t="array" ref="C171">_xlfn.TEXTJOIN(", ",,_xlfn._xlws.FILTER(Tabela1[[#All],[NUMER SERYJNY]],((Tabela1[[#All],[NAZWA]]=$A171)*(Tabela1[[#All],[KOMENTARZ]]=$A163)),"----------"))</f>
        <v>----------</v>
      </c>
    </row>
    <row r="172" spans="1:3">
      <c r="A172" s="15"/>
      <c r="B172" s="15">
        <f t="shared" si="19"/>
        <v>1</v>
      </c>
      <c r="C172" s="7" t="str" cm="1">
        <f t="array" ref="C172">_xlfn.TEXTJOIN(", ",,_xlfn._xlws.FILTER(Tabela1[[#All],[NUMER SERYJNY]],((Tabela1[[#All],[NAZWA]]=$A172)*(Tabela1[[#All],[KOMENTARZ]]=$A163)),"----------"))</f>
        <v>----------</v>
      </c>
    </row>
    <row r="173" spans="1:3">
      <c r="A173" s="15"/>
      <c r="B173" s="15">
        <f t="shared" si="19"/>
        <v>1</v>
      </c>
      <c r="C173" s="7" t="str" cm="1">
        <f t="array" ref="C173">_xlfn.TEXTJOIN(", ",,_xlfn._xlws.FILTER(Tabela1[[#All],[NUMER SERYJNY]],((Tabela1[[#All],[NAZWA]]=$A173)*(Tabela1[[#All],[KOMENTARZ]]=$A163)),"----------"))</f>
        <v>----------</v>
      </c>
    </row>
    <row r="174" spans="1:3">
      <c r="A174" s="15"/>
      <c r="B174" s="15">
        <f t="shared" si="19"/>
        <v>1</v>
      </c>
      <c r="C174" s="7" t="str" cm="1">
        <f t="array" ref="C174">_xlfn.TEXTJOIN(", ",,_xlfn._xlws.FILTER(Tabela1[[#All],[NUMER SERYJNY]],((Tabela1[[#All],[NAZWA]]=$A174)*(Tabela1[[#All],[KOMENTARZ]]=$A163)),"----------"))</f>
        <v>----------</v>
      </c>
    </row>
    <row r="175" spans="1:3">
      <c r="A175" s="15"/>
      <c r="B175" s="15">
        <f t="shared" si="19"/>
        <v>1</v>
      </c>
      <c r="C175" s="7" t="str" cm="1">
        <f t="array" ref="C175">_xlfn.TEXTJOIN(", ",,_xlfn._xlws.FILTER(Tabela1[[#All],[NUMER SERYJNY]],((Tabela1[[#All],[NAZWA]]=$A175)*(Tabela1[[#All],[KOMENTARZ]]=$A163)),"----------"))</f>
        <v>----------</v>
      </c>
    </row>
    <row r="176" spans="1:3">
      <c r="A176" s="15"/>
      <c r="B176" s="15">
        <f t="shared" si="19"/>
        <v>1</v>
      </c>
      <c r="C176" s="7" t="str" cm="1">
        <f t="array" ref="C176">_xlfn.TEXTJOIN(", ",,_xlfn._xlws.FILTER(Tabela1[[#All],[NUMER SERYJNY]],((Tabela1[[#All],[NAZWA]]=$A176)*(Tabela1[[#All],[KOMENTARZ]]=$A163)),"----------"))</f>
        <v>----------</v>
      </c>
    </row>
    <row r="177" spans="1:3">
      <c r="A177" s="15"/>
      <c r="B177" s="15">
        <f t="shared" si="19"/>
        <v>1</v>
      </c>
      <c r="C177" s="7" t="str" cm="1">
        <f t="array" ref="C177">_xlfn.TEXTJOIN(", ",,_xlfn._xlws.FILTER(Tabela1[[#All],[NUMER SERYJNY]],((Tabela1[[#All],[NAZWA]]=$A177)*(Tabela1[[#All],[KOMENTARZ]]=$A163)),"----------"))</f>
        <v>----------</v>
      </c>
    </row>
    <row r="180" spans="1:3">
      <c r="A180" s="11" t="s">
        <v>3253</v>
      </c>
    </row>
    <row r="181" spans="1:3">
      <c r="A181" s="12" t="s">
        <v>3133</v>
      </c>
      <c r="B181" s="13"/>
      <c r="C181" s="8"/>
    </row>
    <row r="182" spans="1:3">
      <c r="A182" s="15" t="s">
        <v>3124</v>
      </c>
      <c r="B182" s="14">
        <f t="shared" ref="B182:B186" si="20">LEN(C182)-LEN(SUBSTITUTE(C182,",",""))+1</f>
        <v>1</v>
      </c>
      <c r="C182" s="9" t="str" cm="1">
        <f t="array" ref="C182">_xlfn.TEXTJOIN(", ",,_xlfn._xlws.FILTER(Tabela1[[#All],[NUMER SERYJNY]],((Tabela1[[#All],[NAZWA]]=$A182)*(Tabela1[[#All],[KOMENTARZ]]=$A181)),"----------"))</f>
        <v>F3S0R8000752</v>
      </c>
    </row>
    <row r="183" spans="1:3">
      <c r="A183" s="15" t="s">
        <v>2117</v>
      </c>
      <c r="B183" s="15">
        <f t="shared" si="20"/>
        <v>1</v>
      </c>
      <c r="C183" s="7" t="str" cm="1">
        <f t="array" ref="C183">_xlfn.TEXTJOIN(", ",,_xlfn._xlws.FILTER(Tabela1[[#All],[NUMER SERYJNY]],((Tabela1[[#All],[NAZWA]]=$A183)*(Tabela1[[#All],[KOMENTARZ]]=$A181)),"----------"))</f>
        <v>M80-E5001001770</v>
      </c>
    </row>
    <row r="184" spans="1:3">
      <c r="A184" s="15" t="s">
        <v>3189</v>
      </c>
      <c r="B184" s="15">
        <f t="shared" si="20"/>
        <v>1</v>
      </c>
      <c r="C184" s="7" t="str" cm="1">
        <f t="array" ref="C184">_xlfn.TEXTJOIN(", ",,_xlfn._xlws.FILTER(Tabela1[[#All],[NUMER SERYJNY]],((Tabela1[[#All],[NAZWA]]=$A184)*(Tabela1[[#All],[KOMENTARZ]]=$A181)),"----------"))</f>
        <v>9LB7149N20153</v>
      </c>
    </row>
    <row r="185" spans="1:3" ht="24">
      <c r="A185" s="15" t="s">
        <v>2104</v>
      </c>
      <c r="B185" s="15">
        <f t="shared" si="20"/>
        <v>4</v>
      </c>
      <c r="C185" s="7" t="str" cm="1">
        <f t="array" ref="C185">_xlfn.TEXTJOIN(", ",,_xlfn._xlws.FILTER(Tabela1[[#All],[NUMER SERYJNY]],((Tabela1[[#All],[NAZWA]]=$A185)*(Tabela1[[#All],[KOMENTARZ]]=$A181)),"----------"))</f>
        <v>2216 0000009465823-T000180, 2216 0000009465823-T000188, 2216 0000009465823-T000044, 2216 0000009465823-T000220</v>
      </c>
    </row>
    <row r="186" spans="1:3">
      <c r="A186" s="15" t="s">
        <v>3163</v>
      </c>
      <c r="B186" s="15">
        <f t="shared" si="20"/>
        <v>1</v>
      </c>
      <c r="C186" s="7" t="str" cm="1">
        <f t="array" ref="C186">_xlfn.TEXTJOIN(", ",,_xlfn._xlws.FILTER(Tabela1[[#All],[NUMER SERYJNY]],((Tabela1[[#All],[NAZWA]]=$A186)*(Tabela1[[#All],[KOMENTARZ]]=$A181)),"----------"))</f>
        <v>S662NE0T309095</v>
      </c>
    </row>
    <row r="187" spans="1:3">
      <c r="A187" s="15" t="s">
        <v>2096</v>
      </c>
      <c r="B187" s="15">
        <f>LEN(C187)-LEN(SUBSTITUTE(C187,",",""))+1</f>
        <v>1</v>
      </c>
      <c r="C187" s="7" t="str" cm="1">
        <f t="array" ref="C187">_xlfn.TEXTJOIN(", ",,_xlfn._xlws.FILTER(Tabela1[[#All],[NUMER SERYJNY]],((Tabela1[[#All],[NAZWA]]=$A187)*(Tabela1[[#All],[KOMENTARZ]]=$A181)),"----------"))</f>
        <v>S665NE0T306878</v>
      </c>
    </row>
    <row r="188" spans="1:3">
      <c r="A188" s="15"/>
      <c r="B188" s="15">
        <f>LEN(C188)-LEN(SUBSTITUTE(C188,",",""))+1</f>
        <v>1</v>
      </c>
      <c r="C188" s="7" t="str" cm="1">
        <f t="array" ref="C188">_xlfn.TEXTJOIN(", ",,_xlfn._xlws.FILTER(Tabela1[[#All],[NUMER SERYJNY]],((Tabela1[[#All],[NAZWA]]=$A188)*(Tabela1[[#All],[KOMENTARZ]]=$A181)),"----------"))</f>
        <v>----------</v>
      </c>
    </row>
    <row r="189" spans="1:3">
      <c r="A189" s="15"/>
      <c r="B189" s="15">
        <f t="shared" ref="B189:B195" si="21">LEN(C189)-LEN(SUBSTITUTE(C189,",",""))+1</f>
        <v>1</v>
      </c>
      <c r="C189" s="7" t="str" cm="1">
        <f t="array" ref="C189">_xlfn.TEXTJOIN(", ",,_xlfn._xlws.FILTER(Tabela1[[#All],[NUMER SERYJNY]],((Tabela1[[#All],[NAZWA]]=$A189)*(Tabela1[[#All],[KOMENTARZ]]=$A181)),"----------"))</f>
        <v>----------</v>
      </c>
    </row>
    <row r="190" spans="1:3">
      <c r="A190" s="15"/>
      <c r="B190" s="15">
        <f t="shared" si="21"/>
        <v>1</v>
      </c>
      <c r="C190" s="7" t="str" cm="1">
        <f t="array" ref="C190">_xlfn.TEXTJOIN(", ",,_xlfn._xlws.FILTER(Tabela1[[#All],[NUMER SERYJNY]],((Tabela1[[#All],[NAZWA]]=$A190)*(Tabela1[[#All],[KOMENTARZ]]=$A181)),"----------"))</f>
        <v>----------</v>
      </c>
    </row>
    <row r="191" spans="1:3">
      <c r="A191" s="15"/>
      <c r="B191" s="15">
        <f t="shared" si="21"/>
        <v>1</v>
      </c>
      <c r="C191" s="7" t="str" cm="1">
        <f t="array" ref="C191">_xlfn.TEXTJOIN(", ",,_xlfn._xlws.FILTER(Tabela1[[#All],[NUMER SERYJNY]],((Tabela1[[#All],[NAZWA]]=$A191)*(Tabela1[[#All],[KOMENTARZ]]=$A181)),"----------"))</f>
        <v>----------</v>
      </c>
    </row>
    <row r="192" spans="1:3">
      <c r="A192" s="15"/>
      <c r="B192" s="15">
        <f t="shared" si="21"/>
        <v>1</v>
      </c>
      <c r="C192" s="7" t="str" cm="1">
        <f t="array" ref="C192">_xlfn.TEXTJOIN(", ",,_xlfn._xlws.FILTER(Tabela1[[#All],[NUMER SERYJNY]],((Tabela1[[#All],[NAZWA]]=$A192)*(Tabela1[[#All],[KOMENTARZ]]=$A181)),"----------"))</f>
        <v>----------</v>
      </c>
    </row>
    <row r="193" spans="1:3">
      <c r="A193" s="15"/>
      <c r="B193" s="15">
        <f t="shared" si="21"/>
        <v>1</v>
      </c>
      <c r="C193" s="7" t="str" cm="1">
        <f t="array" ref="C193">_xlfn.TEXTJOIN(", ",,_xlfn._xlws.FILTER(Tabela1[[#All],[NUMER SERYJNY]],((Tabela1[[#All],[NAZWA]]=$A193)*(Tabela1[[#All],[KOMENTARZ]]=$A181)),"----------"))</f>
        <v>----------</v>
      </c>
    </row>
    <row r="194" spans="1:3">
      <c r="A194" s="15"/>
      <c r="B194" s="15">
        <f t="shared" si="21"/>
        <v>1</v>
      </c>
      <c r="C194" s="7" t="str" cm="1">
        <f t="array" ref="C194">_xlfn.TEXTJOIN(", ",,_xlfn._xlws.FILTER(Tabela1[[#All],[NUMER SERYJNY]],((Tabela1[[#All],[NAZWA]]=$A194)*(Tabela1[[#All],[KOMENTARZ]]=$A181)),"----------"))</f>
        <v>----------</v>
      </c>
    </row>
    <row r="195" spans="1:3">
      <c r="A195" s="15"/>
      <c r="B195" s="15">
        <f t="shared" si="21"/>
        <v>1</v>
      </c>
      <c r="C195" s="7" t="str" cm="1">
        <f t="array" ref="C195">_xlfn.TEXTJOIN(", ",,_xlfn._xlws.FILTER(Tabela1[[#All],[NUMER SERYJNY]],((Tabela1[[#All],[NAZWA]]=$A195)*(Tabela1[[#All],[KOMENTARZ]]=$A181)),"----------"))</f>
        <v>----------</v>
      </c>
    </row>
    <row r="196" spans="1:3">
      <c r="A196" s="12"/>
      <c r="B196" s="13"/>
      <c r="C196" s="8"/>
    </row>
    <row r="197" spans="1:3">
      <c r="A197" s="14"/>
      <c r="B197" s="14"/>
      <c r="C197" s="9"/>
    </row>
    <row r="198" spans="1:3">
      <c r="A198" s="11" t="s">
        <v>3253</v>
      </c>
    </row>
    <row r="199" spans="1:3">
      <c r="A199" s="12" t="s">
        <v>3139</v>
      </c>
      <c r="B199" s="13"/>
      <c r="C199" s="8"/>
    </row>
    <row r="200" spans="1:3">
      <c r="A200" s="15" t="s">
        <v>3124</v>
      </c>
      <c r="B200" s="14">
        <f t="shared" ref="B200:B204" si="22">LEN(C200)-LEN(SUBSTITUTE(C200,",",""))+1</f>
        <v>1</v>
      </c>
      <c r="C200" s="9" t="str" cm="1">
        <f t="array" ref="C200">_xlfn.TEXTJOIN(", ",,_xlfn._xlws.FILTER(Tabela1[[#All],[NUMER SERYJNY]],((Tabela1[[#All],[NAZWA]]=$A200)*(Tabela1[[#All],[KOMENTARZ]]=$A199)),"----------"))</f>
        <v>F3S0R8000762</v>
      </c>
    </row>
    <row r="201" spans="1:3">
      <c r="A201" s="15" t="s">
        <v>2117</v>
      </c>
      <c r="B201" s="15">
        <f t="shared" si="22"/>
        <v>1</v>
      </c>
      <c r="C201" s="7" t="str" cm="1">
        <f t="array" ref="C201">_xlfn.TEXTJOIN(", ",,_xlfn._xlws.FILTER(Tabela1[[#All],[NUMER SERYJNY]],((Tabela1[[#All],[NAZWA]]=$A201)*(Tabela1[[#All],[KOMENTARZ]]=$A199)),"----------"))</f>
        <v>M80-E5001001050</v>
      </c>
    </row>
    <row r="202" spans="1:3">
      <c r="A202" s="15" t="s">
        <v>3189</v>
      </c>
      <c r="B202" s="15">
        <f t="shared" si="22"/>
        <v>1</v>
      </c>
      <c r="C202" s="7" t="str" cm="1">
        <f t="array" ref="C202">_xlfn.TEXTJOIN(", ",,_xlfn._xlws.FILTER(Tabela1[[#All],[NUMER SERYJNY]],((Tabela1[[#All],[NAZWA]]=$A202)*(Tabela1[[#All],[KOMENTARZ]]=$A199)),"----------"))</f>
        <v>9LB7149N20115</v>
      </c>
    </row>
    <row r="203" spans="1:3" ht="24">
      <c r="A203" s="15" t="s">
        <v>2104</v>
      </c>
      <c r="B203" s="15">
        <f t="shared" si="22"/>
        <v>4</v>
      </c>
      <c r="C203" s="7" t="str" cm="1">
        <f t="array" ref="C203">_xlfn.TEXTJOIN(", ",,_xlfn._xlws.FILTER(Tabela1[[#All],[NUMER SERYJNY]],((Tabela1[[#All],[NAZWA]]=$A203)*(Tabela1[[#All],[KOMENTARZ]]=$A199)),"----------"))</f>
        <v>2216 0000009465823-T000184, 2216 0000009465823-T000046, 2216 0000009465823-T000196, 2216 0000009465823-T000197</v>
      </c>
    </row>
    <row r="204" spans="1:3">
      <c r="A204" s="15" t="s">
        <v>3163</v>
      </c>
      <c r="B204" s="15">
        <f t="shared" si="22"/>
        <v>1</v>
      </c>
      <c r="C204" s="7" t="str" cm="1">
        <f t="array" ref="C204">_xlfn.TEXTJOIN(", ",,_xlfn._xlws.FILTER(Tabela1[[#All],[NUMER SERYJNY]],((Tabela1[[#All],[NAZWA]]=$A204)*(Tabela1[[#All],[KOMENTARZ]]=$A199)),"----------"))</f>
        <v>S662NE0T309093</v>
      </c>
    </row>
    <row r="205" spans="1:3">
      <c r="A205" s="15" t="s">
        <v>2096</v>
      </c>
      <c r="B205" s="15">
        <f>LEN(C205)-LEN(SUBSTITUTE(C205,",",""))+1</f>
        <v>1</v>
      </c>
      <c r="C205" s="7" t="str" cm="1">
        <f t="array" ref="C205">_xlfn.TEXTJOIN(", ",,_xlfn._xlws.FILTER(Tabela1[[#All],[NUMER SERYJNY]],((Tabela1[[#All],[NAZWA]]=$A205)*(Tabela1[[#All],[KOMENTARZ]]=$A199)),"----------"))</f>
        <v>S665NE0T306876</v>
      </c>
    </row>
    <row r="206" spans="1:3">
      <c r="A206" s="15"/>
      <c r="B206" s="15">
        <f>LEN(C206)-LEN(SUBSTITUTE(C206,",",""))+1</f>
        <v>1</v>
      </c>
      <c r="C206" s="7" t="str" cm="1">
        <f t="array" ref="C206">_xlfn.TEXTJOIN(", ",,_xlfn._xlws.FILTER(Tabela1[[#All],[NUMER SERYJNY]],((Tabela1[[#All],[NAZWA]]=$A206)*(Tabela1[[#All],[KOMENTARZ]]=$A199)),"----------"))</f>
        <v>----------</v>
      </c>
    </row>
    <row r="207" spans="1:3">
      <c r="A207" s="15"/>
      <c r="B207" s="15">
        <f t="shared" ref="B207:B213" si="23">LEN(C207)-LEN(SUBSTITUTE(C207,",",""))+1</f>
        <v>1</v>
      </c>
      <c r="C207" s="7" t="str" cm="1">
        <f t="array" ref="C207">_xlfn.TEXTJOIN(", ",,_xlfn._xlws.FILTER(Tabela1[[#All],[NUMER SERYJNY]],((Tabela1[[#All],[NAZWA]]=$A207)*(Tabela1[[#All],[KOMENTARZ]]=$A199)),"----------"))</f>
        <v>----------</v>
      </c>
    </row>
    <row r="208" spans="1:3">
      <c r="A208" s="15"/>
      <c r="B208" s="15">
        <f t="shared" si="23"/>
        <v>1</v>
      </c>
      <c r="C208" s="7" t="str" cm="1">
        <f t="array" ref="C208">_xlfn.TEXTJOIN(", ",,_xlfn._xlws.FILTER(Tabela1[[#All],[NUMER SERYJNY]],((Tabela1[[#All],[NAZWA]]=$A208)*(Tabela1[[#All],[KOMENTARZ]]=$A199)),"----------"))</f>
        <v>----------</v>
      </c>
    </row>
    <row r="209" spans="1:3">
      <c r="A209" s="15"/>
      <c r="B209" s="15">
        <f t="shared" si="23"/>
        <v>1</v>
      </c>
      <c r="C209" s="7" t="str" cm="1">
        <f t="array" ref="C209">_xlfn.TEXTJOIN(", ",,_xlfn._xlws.FILTER(Tabela1[[#All],[NUMER SERYJNY]],((Tabela1[[#All],[NAZWA]]=$A209)*(Tabela1[[#All],[KOMENTARZ]]=$A199)),"----------"))</f>
        <v>----------</v>
      </c>
    </row>
    <row r="210" spans="1:3">
      <c r="A210" s="15"/>
      <c r="B210" s="15">
        <f t="shared" si="23"/>
        <v>1</v>
      </c>
      <c r="C210" s="7" t="str" cm="1">
        <f t="array" ref="C210">_xlfn.TEXTJOIN(", ",,_xlfn._xlws.FILTER(Tabela1[[#All],[NUMER SERYJNY]],((Tabela1[[#All],[NAZWA]]=$A210)*(Tabela1[[#All],[KOMENTARZ]]=$A199)),"----------"))</f>
        <v>----------</v>
      </c>
    </row>
    <row r="211" spans="1:3">
      <c r="A211" s="15"/>
      <c r="B211" s="15">
        <f t="shared" si="23"/>
        <v>1</v>
      </c>
      <c r="C211" s="7" t="str" cm="1">
        <f t="array" ref="C211">_xlfn.TEXTJOIN(", ",,_xlfn._xlws.FILTER(Tabela1[[#All],[NUMER SERYJNY]],((Tabela1[[#All],[NAZWA]]=$A211)*(Tabela1[[#All],[KOMENTARZ]]=$A199)),"----------"))</f>
        <v>----------</v>
      </c>
    </row>
    <row r="212" spans="1:3">
      <c r="A212" s="15"/>
      <c r="B212" s="15">
        <f t="shared" si="23"/>
        <v>1</v>
      </c>
      <c r="C212" s="7" t="str" cm="1">
        <f t="array" ref="C212">_xlfn.TEXTJOIN(", ",,_xlfn._xlws.FILTER(Tabela1[[#All],[NUMER SERYJNY]],((Tabela1[[#All],[NAZWA]]=$A212)*(Tabela1[[#All],[KOMENTARZ]]=$A199)),"----------"))</f>
        <v>----------</v>
      </c>
    </row>
    <row r="213" spans="1:3">
      <c r="A213" s="15"/>
      <c r="B213" s="15">
        <f t="shared" si="23"/>
        <v>1</v>
      </c>
      <c r="C213" s="7" t="str" cm="1">
        <f t="array" ref="C213">_xlfn.TEXTJOIN(", ",,_xlfn._xlws.FILTER(Tabela1[[#All],[NUMER SERYJNY]],((Tabela1[[#All],[NAZWA]]=$A213)*(Tabela1[[#All],[KOMENTARZ]]=$A199)),"----------"))</f>
        <v>----------</v>
      </c>
    </row>
  </sheetData>
  <conditionalFormatting sqref="F3">
    <cfRule type="duplicateValues" dxfId="321" priority="45"/>
  </conditionalFormatting>
  <conditionalFormatting sqref="C1:C17 C178:C179 C214:C1048576">
    <cfRule type="duplicateValues" dxfId="320" priority="44"/>
  </conditionalFormatting>
  <conditionalFormatting sqref="C34">
    <cfRule type="duplicateValues" dxfId="319" priority="37"/>
  </conditionalFormatting>
  <conditionalFormatting sqref="C160:C161">
    <cfRule type="duplicateValues" dxfId="318" priority="30"/>
  </conditionalFormatting>
  <conditionalFormatting sqref="C196">
    <cfRule type="duplicateValues" dxfId="317" priority="27"/>
  </conditionalFormatting>
  <conditionalFormatting sqref="C35">
    <cfRule type="duplicateValues" dxfId="316" priority="25"/>
  </conditionalFormatting>
  <conditionalFormatting sqref="C52:C53">
    <cfRule type="duplicateValues" dxfId="315" priority="24"/>
  </conditionalFormatting>
  <conditionalFormatting sqref="C70:C71">
    <cfRule type="duplicateValues" dxfId="314" priority="23"/>
  </conditionalFormatting>
  <conditionalFormatting sqref="C88:C89">
    <cfRule type="duplicateValues" dxfId="313" priority="22"/>
  </conditionalFormatting>
  <conditionalFormatting sqref="C106:C107">
    <cfRule type="duplicateValues" dxfId="312" priority="21"/>
  </conditionalFormatting>
  <conditionalFormatting sqref="C124:C125">
    <cfRule type="duplicateValues" dxfId="311" priority="20"/>
  </conditionalFormatting>
  <conditionalFormatting sqref="C197">
    <cfRule type="duplicateValues" dxfId="310" priority="15"/>
  </conditionalFormatting>
  <conditionalFormatting sqref="C142:C143">
    <cfRule type="duplicateValues" dxfId="309" priority="14"/>
  </conditionalFormatting>
  <conditionalFormatting sqref="C18:C33">
    <cfRule type="duplicateValues" dxfId="308" priority="11"/>
  </conditionalFormatting>
  <conditionalFormatting sqref="C36:C51">
    <cfRule type="duplicateValues" dxfId="307" priority="10"/>
  </conditionalFormatting>
  <conditionalFormatting sqref="C54:C69">
    <cfRule type="duplicateValues" dxfId="306" priority="9"/>
  </conditionalFormatting>
  <conditionalFormatting sqref="C72:C87">
    <cfRule type="duplicateValues" dxfId="305" priority="8"/>
  </conditionalFormatting>
  <conditionalFormatting sqref="C90:C105">
    <cfRule type="duplicateValues" dxfId="304" priority="7"/>
  </conditionalFormatting>
  <conditionalFormatting sqref="C108:C123">
    <cfRule type="duplicateValues" dxfId="303" priority="6"/>
  </conditionalFormatting>
  <conditionalFormatting sqref="C126:C141">
    <cfRule type="duplicateValues" dxfId="302" priority="5"/>
  </conditionalFormatting>
  <conditionalFormatting sqref="C144:C159">
    <cfRule type="duplicateValues" dxfId="301" priority="4"/>
  </conditionalFormatting>
  <conditionalFormatting sqref="C162:C177">
    <cfRule type="duplicateValues" dxfId="300" priority="3"/>
  </conditionalFormatting>
  <conditionalFormatting sqref="C180:C195">
    <cfRule type="duplicateValues" dxfId="299" priority="2"/>
  </conditionalFormatting>
  <conditionalFormatting sqref="C198:C213">
    <cfRule type="duplicateValues" dxfId="298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1F04A-A46B-4A8D-A489-4D16AA1FEF35}">
  <sheetPr codeName="Arkusz41"/>
  <dimension ref="A1:C210"/>
  <sheetViews>
    <sheetView workbookViewId="0">
      <selection activeCell="A35" sqref="A35"/>
    </sheetView>
  </sheetViews>
  <sheetFormatPr defaultRowHeight="15"/>
  <cols>
    <col min="1" max="1" width="27.42578125" style="11" bestFit="1" customWidth="1"/>
    <col min="2" max="2" width="4.28515625" style="11" customWidth="1"/>
    <col min="3" max="3" width="47.42578125" customWidth="1"/>
  </cols>
  <sheetData>
    <row r="1" spans="1:3">
      <c r="A1" s="11" t="s">
        <v>3123</v>
      </c>
    </row>
    <row r="2" spans="1:3">
      <c r="A2" s="12" t="s">
        <v>3110</v>
      </c>
      <c r="B2" s="13"/>
      <c r="C2" s="8"/>
    </row>
    <row r="3" spans="1:3">
      <c r="A3" s="14" t="s">
        <v>2153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C7450FK45P30209</v>
      </c>
    </row>
    <row r="4" spans="1:3">
      <c r="A4" s="15" t="s">
        <v>918</v>
      </c>
      <c r="B4" s="15">
        <f t="shared" si="0"/>
        <v>2</v>
      </c>
      <c r="C4" s="7" t="str" cm="1">
        <f t="array" ref="C4">_xlfn.TEXTJOIN(", ",,_xlfn._xlws.FILTER(Tabela1[[#All],[NUMER SERYJNY]],((Tabela1[[#All],[NAZWA]]=$A4)*(Tabela1[[#All],[KOMENTARZ]]=$A2)),"----------"))</f>
        <v>P9212CL31SN1020, P9212CL31SN1087</v>
      </c>
    </row>
    <row r="5" spans="1:3">
      <c r="A5" s="15" t="s">
        <v>2608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EB216S007309</v>
      </c>
    </row>
    <row r="6" spans="1:3">
      <c r="A6" s="15" t="s">
        <v>2148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WM224S001000</v>
      </c>
    </row>
    <row r="7" spans="1:3">
      <c r="A7" s="15" t="s">
        <v>2141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14FC24F25FBC1C9FRKXN    7188YH0701409</v>
      </c>
    </row>
    <row r="8" spans="1:3">
      <c r="A8" s="15" t="s">
        <v>3116</v>
      </c>
      <c r="B8" s="15">
        <f>LEN(C8)-LEN(SUBSTITUTE(C8,",",""))+1</f>
        <v>2</v>
      </c>
      <c r="C8" s="7" t="str" cm="1">
        <f t="array" ref="C8">_xlfn.TEXTJOIN(", ",,_xlfn._xlws.FILTER(Tabela1[[#All],[NUMER SERYJNY]],((Tabela1[[#All],[NAZWA]]=$A8)*(Tabela1[[#All],[KOMENTARZ]]=$A2)),"----------"))</f>
        <v>80AD0121517547AA47, 80AD0121517547AA3E</v>
      </c>
    </row>
    <row r="9" spans="1:3">
      <c r="A9" s="15" t="s">
        <v>3119</v>
      </c>
      <c r="B9" s="15">
        <f>LEN(C9)-LEN(SUBSTITUTE(C9,",",""))+1</f>
        <v>2</v>
      </c>
      <c r="C9" s="7" t="str" cm="1">
        <f t="array" ref="C9">_xlfn.TEXTJOIN(", ",,_xlfn._xlws.FILTER(Tabela1[[#All],[NUMER SERYJNY]],((Tabela1[[#All],[NAZWA]]=$A9)*(Tabela1[[#All],[KOMENTARZ]]=$A2)),"----------"))</f>
        <v>PHYG211505X5480BGN, PHYG2115060Q480BGN</v>
      </c>
    </row>
    <row r="10" spans="1:3">
      <c r="A10" s="15" t="s">
        <v>3107</v>
      </c>
      <c r="B10" s="15">
        <f t="shared" ref="B10:B16" si="1">LEN(C10)-LEN(SUBSTITUTE(C10,",",""))+1</f>
        <v>1</v>
      </c>
      <c r="C10" s="7" t="str" cm="1">
        <f t="array" ref="C10">_xlfn.TEXTJOIN(", ",,_xlfn._xlws.FILTER(Tabela1[[#All],[NUMER SERYJNY]],((Tabela1[[#All],[NAZWA]]=$A10)*(Tabela1[[#All],[KOMENTARZ]]=$A2)),"----------"))</f>
        <v>3743524807 2D8143502272</v>
      </c>
    </row>
    <row r="11" spans="1:3">
      <c r="A11" s="15"/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----------</v>
      </c>
    </row>
    <row r="12" spans="1:3">
      <c r="A12" s="15"/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----------</v>
      </c>
    </row>
    <row r="13" spans="1:3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SERYJNY]],((Tabela1[[#All],[NAZWA]]=$A13)*(Tabela1[[#All],[KOMENTARZ]]=$A2)),"----------"))</f>
        <v>----------</v>
      </c>
    </row>
    <row r="14" spans="1:3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SERYJNY]],((Tabela1[[#All],[NAZWA]]=$A14)*(Tabela1[[#All],[KOMENTARZ]]=$A2)),"----------"))</f>
        <v>----------</v>
      </c>
    </row>
    <row r="15" spans="1:3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SERYJNY]],((Tabela1[[#All],[NAZWA]]=$A15)*(Tabela1[[#All],[KOMENTARZ]]=$A2)),"----------"))</f>
        <v>----------</v>
      </c>
    </row>
    <row r="16" spans="1:3">
      <c r="A16" s="15"/>
      <c r="B16" s="15">
        <f t="shared" si="1"/>
        <v>1</v>
      </c>
      <c r="C16" s="7" t="str" cm="1">
        <f t="array" ref="C16">_xlfn.TEXTJOIN(", ",,_xlfn._xlws.FILTER(Tabela1[[#All],[NUMER SERYJNY]],((Tabela1[[#All],[NAZWA]]=$A16)*(Tabela1[[#All],[KOMENTARZ]]=$A2)),"----------"))</f>
        <v>----------</v>
      </c>
    </row>
    <row r="17" spans="1:3" ht="18.75">
      <c r="A17" s="16"/>
      <c r="B17" s="16"/>
      <c r="C17" s="10"/>
    </row>
    <row r="18" spans="1:3">
      <c r="A18" s="12"/>
      <c r="B18" s="13"/>
      <c r="C18" s="8"/>
    </row>
    <row r="19" spans="1:3">
      <c r="A19" s="14"/>
      <c r="B19" s="14"/>
      <c r="C19" s="9"/>
    </row>
    <row r="20" spans="1:3">
      <c r="A20" s="15"/>
      <c r="B20" s="15"/>
      <c r="C20" s="7"/>
    </row>
    <row r="21" spans="1:3">
      <c r="A21" s="15"/>
      <c r="B21" s="15"/>
      <c r="C21" s="7"/>
    </row>
    <row r="22" spans="1:3">
      <c r="A22" s="15"/>
      <c r="B22" s="15"/>
      <c r="C22" s="7"/>
    </row>
    <row r="23" spans="1:3">
      <c r="A23" s="15"/>
      <c r="B23" s="15"/>
      <c r="C23" s="7"/>
    </row>
    <row r="24" spans="1:3">
      <c r="A24" s="15"/>
      <c r="B24" s="15"/>
      <c r="C24" s="7"/>
    </row>
    <row r="25" spans="1:3">
      <c r="A25" s="15"/>
      <c r="B25" s="15"/>
      <c r="C25" s="7"/>
    </row>
    <row r="26" spans="1:3">
      <c r="A26" s="15"/>
      <c r="B26" s="15"/>
      <c r="C26" s="7"/>
    </row>
    <row r="27" spans="1:3">
      <c r="A27" s="15"/>
      <c r="B27" s="15"/>
      <c r="C27" s="7"/>
    </row>
    <row r="28" spans="1:3">
      <c r="A28" s="15"/>
      <c r="B28" s="15"/>
      <c r="C28" s="7"/>
    </row>
    <row r="29" spans="1:3">
      <c r="A29" s="15"/>
      <c r="B29" s="15"/>
      <c r="C29" s="7"/>
    </row>
    <row r="30" spans="1:3">
      <c r="A30" s="15"/>
      <c r="B30" s="15"/>
      <c r="C30" s="7"/>
    </row>
    <row r="31" spans="1:3">
      <c r="A31" s="15"/>
      <c r="B31" s="15"/>
      <c r="C31" s="7"/>
    </row>
    <row r="32" spans="1:3">
      <c r="A32" s="15"/>
      <c r="B32" s="15"/>
      <c r="C32" s="7"/>
    </row>
    <row r="33" spans="1:3">
      <c r="A33" s="14"/>
      <c r="B33" s="14"/>
      <c r="C33" s="9"/>
    </row>
    <row r="34" spans="1:3">
      <c r="A34" s="12"/>
      <c r="B34" s="13"/>
      <c r="C34" s="8"/>
    </row>
    <row r="35" spans="1:3">
      <c r="A35" s="14"/>
      <c r="B35" s="14"/>
      <c r="C35" s="9"/>
    </row>
    <row r="36" spans="1:3">
      <c r="A36" s="15"/>
      <c r="B36" s="15"/>
      <c r="C36" s="7"/>
    </row>
    <row r="37" spans="1:3">
      <c r="A37" s="15"/>
      <c r="B37" s="15"/>
      <c r="C37" s="7"/>
    </row>
    <row r="38" spans="1:3">
      <c r="A38" s="15"/>
      <c r="B38" s="15"/>
      <c r="C38" s="7"/>
    </row>
    <row r="39" spans="1:3">
      <c r="A39" s="15"/>
      <c r="B39" s="15"/>
      <c r="C39" s="7"/>
    </row>
    <row r="40" spans="1:3">
      <c r="A40" s="15"/>
      <c r="B40" s="15"/>
      <c r="C40" s="7"/>
    </row>
    <row r="41" spans="1:3">
      <c r="A41" s="15"/>
      <c r="B41" s="15"/>
      <c r="C41" s="7"/>
    </row>
    <row r="42" spans="1:3">
      <c r="A42" s="15"/>
      <c r="B42" s="15"/>
      <c r="C42" s="7"/>
    </row>
    <row r="43" spans="1:3">
      <c r="A43" s="15"/>
      <c r="B43" s="15"/>
      <c r="C43" s="7"/>
    </row>
    <row r="44" spans="1:3">
      <c r="A44" s="15"/>
      <c r="B44" s="15"/>
      <c r="C44" s="7"/>
    </row>
    <row r="45" spans="1:3">
      <c r="A45" s="15"/>
      <c r="B45" s="15"/>
      <c r="C45" s="7"/>
    </row>
    <row r="46" spans="1:3">
      <c r="A46" s="15"/>
      <c r="B46" s="15"/>
      <c r="C46" s="7"/>
    </row>
    <row r="47" spans="1:3">
      <c r="A47" s="15"/>
      <c r="B47" s="15"/>
      <c r="C47" s="7"/>
    </row>
    <row r="48" spans="1:3">
      <c r="A48" s="15"/>
      <c r="B48" s="15"/>
      <c r="C48" s="7"/>
    </row>
    <row r="49" spans="1:3">
      <c r="A49" s="15"/>
      <c r="B49" s="15"/>
      <c r="C49" s="7"/>
    </row>
    <row r="50" spans="1:3">
      <c r="A50" s="12"/>
      <c r="B50" s="13"/>
      <c r="C50" s="8"/>
    </row>
    <row r="51" spans="1:3">
      <c r="A51" s="14"/>
      <c r="B51" s="14"/>
      <c r="C51" s="9"/>
    </row>
    <row r="52" spans="1:3">
      <c r="A52" s="15"/>
      <c r="B52" s="15"/>
      <c r="C52" s="7"/>
    </row>
    <row r="53" spans="1:3">
      <c r="A53" s="15"/>
      <c r="B53" s="15"/>
      <c r="C53" s="7"/>
    </row>
    <row r="54" spans="1:3">
      <c r="A54" s="15"/>
      <c r="B54" s="15"/>
      <c r="C54" s="7"/>
    </row>
    <row r="55" spans="1:3">
      <c r="A55" s="15"/>
      <c r="B55" s="15"/>
      <c r="C55" s="7"/>
    </row>
    <row r="56" spans="1:3">
      <c r="A56" s="15"/>
      <c r="B56" s="15"/>
      <c r="C56" s="7"/>
    </row>
    <row r="57" spans="1:3">
      <c r="A57" s="15"/>
      <c r="B57" s="15"/>
      <c r="C57" s="7"/>
    </row>
    <row r="58" spans="1:3">
      <c r="A58" s="15"/>
      <c r="B58" s="15"/>
      <c r="C58" s="7"/>
    </row>
    <row r="59" spans="1:3">
      <c r="A59" s="15"/>
      <c r="B59" s="15"/>
      <c r="C59" s="7"/>
    </row>
    <row r="60" spans="1:3">
      <c r="A60" s="15"/>
      <c r="B60" s="15"/>
      <c r="C60" s="7"/>
    </row>
    <row r="61" spans="1:3">
      <c r="A61" s="15"/>
      <c r="B61" s="15"/>
      <c r="C61" s="7"/>
    </row>
    <row r="62" spans="1:3">
      <c r="A62" s="15"/>
      <c r="B62" s="15"/>
      <c r="C62" s="7"/>
    </row>
    <row r="63" spans="1:3">
      <c r="A63" s="15"/>
      <c r="B63" s="15"/>
      <c r="C63" s="7"/>
    </row>
    <row r="64" spans="1:3">
      <c r="A64" s="15"/>
      <c r="B64" s="15"/>
      <c r="C64" s="7"/>
    </row>
    <row r="65" spans="1:3">
      <c r="A65" s="15"/>
      <c r="B65" s="15"/>
      <c r="C65" s="7"/>
    </row>
    <row r="66" spans="1:3">
      <c r="A66" s="12"/>
      <c r="B66" s="13"/>
      <c r="C66" s="8"/>
    </row>
    <row r="67" spans="1:3">
      <c r="A67" s="14"/>
      <c r="B67" s="14"/>
      <c r="C67" s="9"/>
    </row>
    <row r="68" spans="1:3">
      <c r="A68" s="15"/>
      <c r="B68" s="15"/>
      <c r="C68" s="7"/>
    </row>
    <row r="69" spans="1:3">
      <c r="A69" s="15"/>
      <c r="B69" s="15"/>
      <c r="C69" s="7"/>
    </row>
    <row r="70" spans="1:3">
      <c r="A70" s="15"/>
      <c r="B70" s="15"/>
      <c r="C70" s="7"/>
    </row>
    <row r="71" spans="1:3">
      <c r="A71" s="15"/>
      <c r="B71" s="15"/>
      <c r="C71" s="7"/>
    </row>
    <row r="72" spans="1:3">
      <c r="A72" s="15"/>
      <c r="B72" s="15"/>
      <c r="C72" s="7"/>
    </row>
    <row r="73" spans="1:3">
      <c r="A73" s="15"/>
      <c r="B73" s="15"/>
      <c r="C73" s="7"/>
    </row>
    <row r="74" spans="1:3">
      <c r="A74" s="15"/>
      <c r="B74" s="15"/>
      <c r="C74" s="7"/>
    </row>
    <row r="75" spans="1:3">
      <c r="A75" s="15"/>
      <c r="B75" s="15"/>
      <c r="C75" s="7"/>
    </row>
    <row r="76" spans="1:3">
      <c r="A76" s="15"/>
      <c r="B76" s="15"/>
      <c r="C76" s="7"/>
    </row>
    <row r="77" spans="1:3">
      <c r="A77" s="15"/>
      <c r="B77" s="15"/>
      <c r="C77" s="7"/>
    </row>
    <row r="78" spans="1:3">
      <c r="A78" s="15"/>
      <c r="B78" s="15"/>
      <c r="C78" s="7"/>
    </row>
    <row r="79" spans="1:3">
      <c r="A79" s="15"/>
      <c r="B79" s="15"/>
      <c r="C79" s="7"/>
    </row>
    <row r="80" spans="1:3">
      <c r="A80" s="15"/>
      <c r="B80" s="15"/>
      <c r="C80" s="7"/>
    </row>
    <row r="81" spans="1:3">
      <c r="A81" s="15"/>
      <c r="B81" s="15"/>
      <c r="C81" s="7"/>
    </row>
    <row r="82" spans="1:3">
      <c r="A82" s="12"/>
      <c r="B82" s="13"/>
      <c r="C82" s="8"/>
    </row>
    <row r="83" spans="1:3">
      <c r="A83" s="14"/>
      <c r="B83" s="14"/>
      <c r="C83" s="9"/>
    </row>
    <row r="84" spans="1:3">
      <c r="A84" s="15"/>
      <c r="B84" s="15"/>
      <c r="C84" s="7"/>
    </row>
    <row r="85" spans="1:3">
      <c r="A85" s="15"/>
      <c r="B85" s="15"/>
      <c r="C85" s="7"/>
    </row>
    <row r="86" spans="1:3">
      <c r="A86" s="15"/>
      <c r="B86" s="15"/>
      <c r="C86" s="7"/>
    </row>
    <row r="87" spans="1:3">
      <c r="A87" s="15"/>
      <c r="B87" s="15"/>
      <c r="C87" s="7"/>
    </row>
    <row r="88" spans="1:3">
      <c r="A88" s="15"/>
      <c r="B88" s="15"/>
      <c r="C88" s="7"/>
    </row>
    <row r="89" spans="1:3">
      <c r="A89" s="15"/>
      <c r="B89" s="15"/>
      <c r="C89" s="7"/>
    </row>
    <row r="90" spans="1:3">
      <c r="A90" s="15"/>
      <c r="B90" s="15"/>
      <c r="C90" s="7"/>
    </row>
    <row r="91" spans="1:3">
      <c r="A91" s="15"/>
      <c r="B91" s="15"/>
      <c r="C91" s="7"/>
    </row>
    <row r="92" spans="1:3">
      <c r="A92" s="15"/>
      <c r="B92" s="15"/>
      <c r="C92" s="7"/>
    </row>
    <row r="93" spans="1:3">
      <c r="A93" s="15"/>
      <c r="B93" s="15"/>
      <c r="C93" s="7"/>
    </row>
    <row r="94" spans="1:3">
      <c r="A94" s="15"/>
      <c r="B94" s="15"/>
      <c r="C94" s="7"/>
    </row>
    <row r="95" spans="1:3">
      <c r="A95" s="15"/>
      <c r="B95" s="15"/>
      <c r="C95" s="7"/>
    </row>
    <row r="96" spans="1:3">
      <c r="A96" s="15"/>
      <c r="B96" s="15"/>
      <c r="C96" s="7"/>
    </row>
    <row r="97" spans="1:3">
      <c r="A97" s="15"/>
      <c r="B97" s="15"/>
      <c r="C97" s="7"/>
    </row>
    <row r="98" spans="1:3">
      <c r="A98" s="15"/>
      <c r="B98" s="15"/>
      <c r="C98" s="7"/>
    </row>
    <row r="99" spans="1:3">
      <c r="A99" s="12"/>
      <c r="B99" s="13"/>
      <c r="C99" s="8"/>
    </row>
    <row r="100" spans="1:3">
      <c r="A100" s="14"/>
      <c r="B100" s="14"/>
      <c r="C100" s="9"/>
    </row>
    <row r="101" spans="1:3">
      <c r="A101" s="15"/>
      <c r="B101" s="15"/>
      <c r="C101" s="7"/>
    </row>
    <row r="102" spans="1:3">
      <c r="A102" s="15"/>
      <c r="B102" s="15"/>
      <c r="C102" s="7"/>
    </row>
    <row r="103" spans="1:3">
      <c r="A103" s="15"/>
      <c r="B103" s="15"/>
      <c r="C103" s="7"/>
    </row>
    <row r="104" spans="1:3">
      <c r="A104" s="15"/>
      <c r="B104" s="15"/>
      <c r="C104" s="7"/>
    </row>
    <row r="105" spans="1:3">
      <c r="A105" s="15"/>
      <c r="B105" s="15"/>
      <c r="C105" s="7"/>
    </row>
    <row r="106" spans="1:3">
      <c r="A106" s="15"/>
      <c r="B106" s="15"/>
      <c r="C106" s="7"/>
    </row>
    <row r="107" spans="1:3">
      <c r="A107" s="15"/>
      <c r="B107" s="15"/>
      <c r="C107" s="7"/>
    </row>
    <row r="108" spans="1:3">
      <c r="A108" s="15"/>
      <c r="B108" s="15"/>
      <c r="C108" s="7"/>
    </row>
    <row r="109" spans="1:3">
      <c r="A109" s="15"/>
      <c r="B109" s="15"/>
      <c r="C109" s="7"/>
    </row>
    <row r="110" spans="1:3">
      <c r="A110" s="15"/>
      <c r="B110" s="15"/>
      <c r="C110" s="7"/>
    </row>
    <row r="111" spans="1:3">
      <c r="A111" s="15"/>
      <c r="B111" s="15"/>
      <c r="C111" s="7"/>
    </row>
    <row r="112" spans="1:3">
      <c r="A112" s="15"/>
      <c r="B112" s="15"/>
      <c r="C112" s="7"/>
    </row>
    <row r="113" spans="1:3">
      <c r="A113" s="15"/>
      <c r="B113" s="15"/>
      <c r="C113" s="7"/>
    </row>
    <row r="115" spans="1:3">
      <c r="A115" s="12"/>
      <c r="B115" s="13"/>
      <c r="C115" s="8"/>
    </row>
    <row r="116" spans="1:3">
      <c r="A116" s="14"/>
      <c r="B116" s="14"/>
      <c r="C116" s="9"/>
    </row>
    <row r="117" spans="1:3">
      <c r="A117" s="15"/>
      <c r="B117" s="15"/>
      <c r="C117" s="7"/>
    </row>
    <row r="118" spans="1:3">
      <c r="A118" s="15"/>
      <c r="B118" s="15"/>
      <c r="C118" s="7"/>
    </row>
    <row r="119" spans="1:3">
      <c r="A119" s="15"/>
      <c r="B119" s="15"/>
      <c r="C119" s="7"/>
    </row>
    <row r="120" spans="1:3">
      <c r="A120" s="15"/>
      <c r="B120" s="15"/>
      <c r="C120" s="7"/>
    </row>
    <row r="121" spans="1:3">
      <c r="A121" s="15"/>
      <c r="B121" s="15"/>
      <c r="C121" s="7"/>
    </row>
    <row r="122" spans="1:3">
      <c r="A122" s="15"/>
      <c r="B122" s="15"/>
      <c r="C122" s="7"/>
    </row>
    <row r="123" spans="1:3">
      <c r="A123" s="15"/>
      <c r="B123" s="15"/>
      <c r="C123" s="7"/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5"/>
      <c r="B126" s="15"/>
      <c r="C126" s="7"/>
    </row>
    <row r="127" spans="1:3">
      <c r="A127" s="15"/>
      <c r="B127" s="15"/>
      <c r="C127" s="7"/>
    </row>
    <row r="128" spans="1:3">
      <c r="A128" s="15"/>
      <c r="B128" s="15"/>
      <c r="C128" s="7"/>
    </row>
    <row r="129" spans="1:3">
      <c r="A129" s="15"/>
      <c r="B129" s="15"/>
      <c r="C129" s="7"/>
    </row>
    <row r="131" spans="1:3">
      <c r="A131" s="12"/>
      <c r="B131" s="13"/>
      <c r="C131" s="8"/>
    </row>
    <row r="132" spans="1:3">
      <c r="A132" s="14"/>
      <c r="B132" s="14"/>
      <c r="C132" s="9"/>
    </row>
    <row r="133" spans="1:3">
      <c r="A133" s="15"/>
      <c r="B133" s="15"/>
      <c r="C133" s="7"/>
    </row>
    <row r="134" spans="1:3">
      <c r="A134" s="15"/>
      <c r="B134" s="15"/>
      <c r="C134" s="7"/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>
      <c r="A137" s="15"/>
      <c r="B137" s="15"/>
      <c r="C137" s="7"/>
    </row>
    <row r="138" spans="1:3">
      <c r="A138" s="15"/>
      <c r="B138" s="15"/>
      <c r="C138" s="7"/>
    </row>
    <row r="139" spans="1:3">
      <c r="A139" s="15"/>
      <c r="B139" s="15"/>
      <c r="C139" s="7"/>
    </row>
    <row r="140" spans="1:3">
      <c r="A140" s="15"/>
      <c r="B140" s="15"/>
      <c r="C140" s="7"/>
    </row>
    <row r="141" spans="1:3">
      <c r="A141" s="15"/>
      <c r="B141" s="15"/>
      <c r="C141" s="7"/>
    </row>
    <row r="142" spans="1:3">
      <c r="A142" s="15"/>
      <c r="B142" s="15"/>
      <c r="C142" s="7"/>
    </row>
    <row r="143" spans="1:3">
      <c r="A143" s="15"/>
      <c r="B143" s="15"/>
      <c r="C143" s="7"/>
    </row>
    <row r="144" spans="1:3">
      <c r="A144" s="15"/>
      <c r="B144" s="15"/>
      <c r="C144" s="7"/>
    </row>
    <row r="145" spans="1:3">
      <c r="A145" s="15"/>
      <c r="B145" s="15"/>
      <c r="C145" s="7"/>
    </row>
    <row r="147" spans="1:3">
      <c r="A147" s="12"/>
      <c r="B147" s="13"/>
      <c r="C147" s="8"/>
    </row>
    <row r="148" spans="1:3">
      <c r="A148" s="14"/>
      <c r="B148" s="14"/>
      <c r="C148" s="9"/>
    </row>
    <row r="149" spans="1:3">
      <c r="A149" s="15"/>
      <c r="B149" s="15"/>
      <c r="C149" s="7"/>
    </row>
    <row r="150" spans="1:3">
      <c r="A150" s="15"/>
      <c r="B150" s="15"/>
      <c r="C150" s="7"/>
    </row>
    <row r="151" spans="1:3">
      <c r="A151" s="15"/>
      <c r="B151" s="15"/>
      <c r="C151" s="7"/>
    </row>
    <row r="152" spans="1:3">
      <c r="A152" s="15"/>
      <c r="B152" s="15"/>
      <c r="C152" s="7"/>
    </row>
    <row r="153" spans="1:3">
      <c r="A153" s="15"/>
      <c r="B153" s="15"/>
      <c r="C153" s="7"/>
    </row>
    <row r="154" spans="1:3">
      <c r="A154" s="15"/>
      <c r="B154" s="15"/>
      <c r="C154" s="7"/>
    </row>
    <row r="155" spans="1:3">
      <c r="A155" s="15"/>
      <c r="B155" s="15"/>
      <c r="C155" s="7"/>
    </row>
    <row r="156" spans="1:3">
      <c r="A156" s="15"/>
      <c r="B156" s="15"/>
      <c r="C156" s="7"/>
    </row>
    <row r="157" spans="1:3">
      <c r="A157" s="15"/>
      <c r="B157" s="15"/>
      <c r="C157" s="7"/>
    </row>
    <row r="158" spans="1:3">
      <c r="A158" s="15"/>
      <c r="B158" s="15"/>
      <c r="C158" s="7"/>
    </row>
    <row r="159" spans="1:3">
      <c r="A159" s="15"/>
      <c r="B159" s="15"/>
      <c r="C159" s="7"/>
    </row>
    <row r="160" spans="1:3">
      <c r="A160" s="15"/>
      <c r="B160" s="15"/>
      <c r="C160" s="7"/>
    </row>
    <row r="161" spans="1:3">
      <c r="A161" s="15"/>
      <c r="B161" s="15"/>
      <c r="C161" s="7"/>
    </row>
    <row r="163" spans="1:3">
      <c r="A163" s="12"/>
      <c r="B163" s="13"/>
      <c r="C163" s="8"/>
    </row>
    <row r="164" spans="1:3">
      <c r="A164" s="14"/>
      <c r="B164" s="14"/>
      <c r="C164" s="9"/>
    </row>
    <row r="165" spans="1:3">
      <c r="A165" s="15"/>
      <c r="B165" s="15"/>
      <c r="C165" s="7"/>
    </row>
    <row r="166" spans="1:3">
      <c r="A166" s="15"/>
      <c r="B166" s="15"/>
      <c r="C166" s="7"/>
    </row>
    <row r="167" spans="1:3">
      <c r="A167" s="15"/>
      <c r="B167" s="15"/>
      <c r="C167" s="7"/>
    </row>
    <row r="168" spans="1:3">
      <c r="A168" s="15"/>
      <c r="B168" s="15"/>
      <c r="C168" s="7"/>
    </row>
    <row r="169" spans="1:3">
      <c r="A169" s="15"/>
      <c r="B169" s="15"/>
      <c r="C169" s="7"/>
    </row>
    <row r="170" spans="1:3">
      <c r="A170" s="15"/>
      <c r="B170" s="15"/>
      <c r="C170" s="7"/>
    </row>
    <row r="171" spans="1:3">
      <c r="A171" s="15"/>
      <c r="B171" s="15"/>
      <c r="C171" s="7"/>
    </row>
    <row r="172" spans="1:3">
      <c r="A172" s="15"/>
      <c r="B172" s="15"/>
      <c r="C172" s="7"/>
    </row>
    <row r="173" spans="1:3">
      <c r="A173" s="15"/>
      <c r="B173" s="15"/>
      <c r="C173" s="7"/>
    </row>
    <row r="174" spans="1:3">
      <c r="A174" s="15"/>
      <c r="B174" s="15"/>
      <c r="C174" s="7"/>
    </row>
    <row r="175" spans="1:3">
      <c r="A175" s="15"/>
      <c r="B175" s="15"/>
      <c r="C175" s="7"/>
    </row>
    <row r="176" spans="1:3">
      <c r="A176" s="15"/>
      <c r="B176" s="15"/>
      <c r="C176" s="7"/>
    </row>
    <row r="177" spans="1:3">
      <c r="A177" s="15"/>
      <c r="B177" s="15"/>
      <c r="C177" s="7"/>
    </row>
    <row r="180" spans="1:3">
      <c r="A180" s="12"/>
      <c r="B180" s="13"/>
      <c r="C180" s="8"/>
    </row>
    <row r="181" spans="1:3">
      <c r="A181" s="14"/>
      <c r="B181" s="14"/>
      <c r="C181" s="9"/>
    </row>
    <row r="182" spans="1:3">
      <c r="A182" s="15"/>
      <c r="B182" s="15"/>
      <c r="C182" s="7"/>
    </row>
    <row r="183" spans="1:3">
      <c r="A183" s="15"/>
      <c r="B183" s="15"/>
      <c r="C183" s="7"/>
    </row>
    <row r="184" spans="1:3">
      <c r="A184" s="15"/>
      <c r="B184" s="15"/>
      <c r="C184" s="7"/>
    </row>
    <row r="185" spans="1:3">
      <c r="A185" s="15"/>
      <c r="B185" s="15"/>
      <c r="C185" s="7"/>
    </row>
    <row r="186" spans="1:3">
      <c r="A186" s="15"/>
      <c r="B186" s="15"/>
      <c r="C186" s="7"/>
    </row>
    <row r="187" spans="1:3">
      <c r="A187" s="15"/>
      <c r="B187" s="15"/>
      <c r="C187" s="7"/>
    </row>
    <row r="188" spans="1:3">
      <c r="A188" s="15"/>
      <c r="B188" s="15"/>
      <c r="C188" s="7"/>
    </row>
    <row r="189" spans="1:3">
      <c r="A189" s="15"/>
      <c r="B189" s="15"/>
      <c r="C189" s="7"/>
    </row>
    <row r="190" spans="1:3">
      <c r="A190" s="15"/>
      <c r="B190" s="15"/>
      <c r="C190" s="7"/>
    </row>
    <row r="191" spans="1:3">
      <c r="A191" s="15"/>
      <c r="B191" s="15"/>
      <c r="C191" s="7"/>
    </row>
    <row r="192" spans="1:3">
      <c r="A192" s="15"/>
      <c r="B192" s="15"/>
      <c r="C192" s="7"/>
    </row>
    <row r="193" spans="1:3">
      <c r="A193" s="15"/>
      <c r="B193" s="15"/>
      <c r="C193" s="7"/>
    </row>
    <row r="194" spans="1:3">
      <c r="A194" s="15"/>
      <c r="B194" s="15"/>
      <c r="C194" s="7"/>
    </row>
    <row r="196" spans="1:3">
      <c r="A196" s="12"/>
      <c r="B196" s="13"/>
      <c r="C196" s="8"/>
    </row>
    <row r="197" spans="1:3">
      <c r="A197" s="14"/>
      <c r="B197" s="14"/>
      <c r="C197" s="9"/>
    </row>
    <row r="198" spans="1:3">
      <c r="A198" s="15"/>
      <c r="B198" s="15"/>
      <c r="C198" s="7"/>
    </row>
    <row r="199" spans="1:3">
      <c r="A199" s="15"/>
      <c r="B199" s="15"/>
      <c r="C199" s="7"/>
    </row>
    <row r="200" spans="1:3">
      <c r="A200" s="15"/>
      <c r="B200" s="15"/>
      <c r="C200" s="7"/>
    </row>
    <row r="201" spans="1:3">
      <c r="A201" s="15"/>
      <c r="B201" s="15"/>
      <c r="C201" s="7"/>
    </row>
    <row r="202" spans="1:3">
      <c r="A202" s="15"/>
      <c r="B202" s="15"/>
      <c r="C202" s="7"/>
    </row>
    <row r="203" spans="1:3">
      <c r="A203" s="15"/>
      <c r="B203" s="15"/>
      <c r="C203" s="7"/>
    </row>
    <row r="204" spans="1:3">
      <c r="A204" s="15"/>
      <c r="B204" s="15"/>
      <c r="C204" s="7"/>
    </row>
    <row r="205" spans="1:3">
      <c r="A205" s="15"/>
      <c r="B205" s="15"/>
      <c r="C205" s="7"/>
    </row>
    <row r="206" spans="1:3">
      <c r="A206" s="15"/>
      <c r="B206" s="15"/>
      <c r="C206" s="7"/>
    </row>
    <row r="207" spans="1:3">
      <c r="A207" s="15"/>
      <c r="B207" s="15"/>
      <c r="C207" s="7"/>
    </row>
    <row r="208" spans="1:3">
      <c r="A208" s="15"/>
      <c r="B208" s="15"/>
      <c r="C208" s="7"/>
    </row>
    <row r="209" spans="1:3">
      <c r="A209" s="15"/>
      <c r="B209" s="15"/>
      <c r="C209" s="7"/>
    </row>
    <row r="210" spans="1:3">
      <c r="A210" s="15"/>
      <c r="B210" s="15"/>
      <c r="C210" s="7"/>
    </row>
  </sheetData>
  <conditionalFormatting sqref="F3">
    <cfRule type="duplicateValues" dxfId="297" priority="34"/>
  </conditionalFormatting>
  <conditionalFormatting sqref="C1:C17 C114 C130 C146 C162 C178:C179 C195 C211:C1048576">
    <cfRule type="duplicateValues" dxfId="296" priority="33"/>
  </conditionalFormatting>
  <conditionalFormatting sqref="C33">
    <cfRule type="duplicateValues" dxfId="295" priority="32"/>
  </conditionalFormatting>
  <conditionalFormatting sqref="C49">
    <cfRule type="duplicateValues" dxfId="294" priority="31"/>
  </conditionalFormatting>
  <conditionalFormatting sqref="C65">
    <cfRule type="duplicateValues" dxfId="293" priority="30"/>
  </conditionalFormatting>
  <conditionalFormatting sqref="C81">
    <cfRule type="duplicateValues" dxfId="292" priority="29"/>
  </conditionalFormatting>
  <conditionalFormatting sqref="C97:C98">
    <cfRule type="duplicateValues" dxfId="291" priority="28"/>
  </conditionalFormatting>
  <conditionalFormatting sqref="C18 C30:C32">
    <cfRule type="duplicateValues" dxfId="290" priority="27"/>
  </conditionalFormatting>
  <conditionalFormatting sqref="C34 C46:C48">
    <cfRule type="duplicateValues" dxfId="289" priority="26"/>
  </conditionalFormatting>
  <conditionalFormatting sqref="C50 C62:C64">
    <cfRule type="duplicateValues" dxfId="288" priority="25"/>
  </conditionalFormatting>
  <conditionalFormatting sqref="C66 C78:C80">
    <cfRule type="duplicateValues" dxfId="287" priority="24"/>
  </conditionalFormatting>
  <conditionalFormatting sqref="C82 C94:C96">
    <cfRule type="duplicateValues" dxfId="286" priority="23"/>
  </conditionalFormatting>
  <conditionalFormatting sqref="C99">
    <cfRule type="duplicateValues" dxfId="285" priority="22"/>
  </conditionalFormatting>
  <conditionalFormatting sqref="C115">
    <cfRule type="duplicateValues" dxfId="284" priority="21"/>
  </conditionalFormatting>
  <conditionalFormatting sqref="C131">
    <cfRule type="duplicateValues" dxfId="283" priority="20"/>
  </conditionalFormatting>
  <conditionalFormatting sqref="C147 C158:C161">
    <cfRule type="duplicateValues" dxfId="282" priority="19"/>
  </conditionalFormatting>
  <conditionalFormatting sqref="C163 C174:C177">
    <cfRule type="duplicateValues" dxfId="281" priority="18"/>
  </conditionalFormatting>
  <conditionalFormatting sqref="C180 C191:C194">
    <cfRule type="duplicateValues" dxfId="280" priority="17"/>
  </conditionalFormatting>
  <conditionalFormatting sqref="C196 C207:C210">
    <cfRule type="duplicateValues" dxfId="279" priority="16"/>
  </conditionalFormatting>
  <conditionalFormatting sqref="C19:C29">
    <cfRule type="duplicateValues" dxfId="278" priority="15"/>
  </conditionalFormatting>
  <conditionalFormatting sqref="C35:C45">
    <cfRule type="duplicateValues" dxfId="277" priority="14"/>
  </conditionalFormatting>
  <conditionalFormatting sqref="C51:C61">
    <cfRule type="duplicateValues" dxfId="276" priority="13"/>
  </conditionalFormatting>
  <conditionalFormatting sqref="C67:C77">
    <cfRule type="duplicateValues" dxfId="275" priority="12"/>
  </conditionalFormatting>
  <conditionalFormatting sqref="C83:C93">
    <cfRule type="duplicateValues" dxfId="274" priority="11"/>
  </conditionalFormatting>
  <conditionalFormatting sqref="C100:C109">
    <cfRule type="duplicateValues" dxfId="273" priority="10"/>
  </conditionalFormatting>
  <conditionalFormatting sqref="C116:C125">
    <cfRule type="duplicateValues" dxfId="272" priority="9"/>
  </conditionalFormatting>
  <conditionalFormatting sqref="C132:C141">
    <cfRule type="duplicateValues" dxfId="271" priority="8"/>
  </conditionalFormatting>
  <conditionalFormatting sqref="C148:C157">
    <cfRule type="duplicateValues" dxfId="270" priority="7"/>
  </conditionalFormatting>
  <conditionalFormatting sqref="C164:C173">
    <cfRule type="duplicateValues" dxfId="269" priority="6"/>
  </conditionalFormatting>
  <conditionalFormatting sqref="C181:C190">
    <cfRule type="duplicateValues" dxfId="268" priority="5"/>
  </conditionalFormatting>
  <conditionalFormatting sqref="C197:C206">
    <cfRule type="duplicateValues" dxfId="267" priority="4"/>
  </conditionalFormatting>
  <conditionalFormatting sqref="C142:C145">
    <cfRule type="duplicateValues" dxfId="266" priority="3"/>
  </conditionalFormatting>
  <conditionalFormatting sqref="C126:C129">
    <cfRule type="duplicateValues" dxfId="265" priority="2"/>
  </conditionalFormatting>
  <conditionalFormatting sqref="C110:C113">
    <cfRule type="duplicateValues" dxfId="264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ED9F9-291A-4FC0-AC8A-7001578041AD}">
  <sheetPr codeName="Arkusz42"/>
  <dimension ref="A1:D126"/>
  <sheetViews>
    <sheetView workbookViewId="0">
      <selection activeCell="A34" sqref="A34"/>
    </sheetView>
  </sheetViews>
  <sheetFormatPr defaultRowHeight="15"/>
  <cols>
    <col min="1" max="1" width="33.85546875" style="11" bestFit="1" customWidth="1"/>
    <col min="2" max="2" width="4.28515625" style="11" customWidth="1"/>
    <col min="3" max="3" width="47.42578125" customWidth="1"/>
    <col min="4" max="4" width="10.140625" bestFit="1" customWidth="1"/>
  </cols>
  <sheetData>
    <row r="1" spans="1:4">
      <c r="A1" s="11" t="s">
        <v>3105</v>
      </c>
    </row>
    <row r="2" spans="1:4">
      <c r="A2" s="12" t="s">
        <v>3068</v>
      </c>
      <c r="B2" s="13"/>
      <c r="C2" s="8"/>
    </row>
    <row r="3" spans="1:4">
      <c r="A3" s="14" t="s">
        <v>965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A345069X2409132</v>
      </c>
      <c r="D3" s="6"/>
    </row>
    <row r="4" spans="1:4">
      <c r="A4" s="15" t="s">
        <v>967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C5100LL02RA0292</v>
      </c>
    </row>
    <row r="5" spans="1:4">
      <c r="A5" s="15" t="s">
        <v>969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P20310L29G29141</v>
      </c>
    </row>
    <row r="6" spans="1:4">
      <c r="A6" s="15" t="s">
        <v>17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VR21CS005031</v>
      </c>
    </row>
    <row r="7" spans="1:4">
      <c r="A7" s="15" t="s">
        <v>975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EB20BS009583</v>
      </c>
    </row>
    <row r="8" spans="1:4">
      <c r="A8" s="15" t="s">
        <v>971</v>
      </c>
      <c r="B8" s="15">
        <f>LEN(C8)-LEN(SUBSTITUTE(C8,",",""))+1</f>
        <v>1</v>
      </c>
      <c r="C8" s="7" t="str" cm="1">
        <f t="array" ref="C8">_xlfn.TEXTJOIN(", ",,_xlfn._xlws.FILTER(Tabela1[[#All],[NUMER SERYJNY]],((Tabela1[[#All],[NAZWA]]=$A8)*(Tabela1[[#All],[KOMENTARZ]]=$A2)),"----------"))</f>
        <v>VM221S012841</v>
      </c>
    </row>
    <row r="9" spans="1:4">
      <c r="A9" s="15" t="s">
        <v>3048</v>
      </c>
      <c r="B9" s="15">
        <f>LEN(C9)-LEN(SUBSTITUTE(C9,",",""))+1</f>
        <v>1</v>
      </c>
      <c r="C9" s="7" t="str" cm="1">
        <f t="array" ref="C9">_xlfn.TEXTJOIN(", ",,_xlfn._xlws.FILTER(Tabela1[[#All],[NUMER SERYJNY]],((Tabela1[[#All],[NAZWA]]=$A9)*(Tabela1[[#All],[KOMENTARZ]]=$A2)),"----------"))</f>
        <v>1TX120F195</v>
      </c>
    </row>
    <row r="10" spans="1:4">
      <c r="A10" s="15" t="s">
        <v>956</v>
      </c>
      <c r="B10" s="15">
        <f t="shared" ref="B10:B15" si="1">LEN(C10)-LEN(SUBSTITUTE(C10,",",""))+1</f>
        <v>2</v>
      </c>
      <c r="C10" s="7" t="str" cm="1">
        <f t="array" ref="C10">_xlfn.TEXTJOIN(", ",,_xlfn._xlws.FILTER(Tabela1[[#All],[NUMER SERYJNY]],((Tabela1[[#All],[NAZWA]]=$A10)*(Tabela1[[#All],[KOMENTARZ]]=$A2)),"----------"))</f>
        <v>SNL391, SNL392</v>
      </c>
    </row>
    <row r="11" spans="1:4">
      <c r="A11" s="15" t="s">
        <v>701</v>
      </c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S45PNC0RB81984</v>
      </c>
    </row>
    <row r="12" spans="1:4">
      <c r="A12" s="15" t="s">
        <v>976</v>
      </c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02219140461894</v>
      </c>
    </row>
    <row r="13" spans="1:4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SERYJNY]],((Tabela1[[#All],[NAZWA]]=$A13)*(Tabela1[[#All],[KOMENTARZ]]=$A$2)),"----------"))</f>
        <v>----------</v>
      </c>
    </row>
    <row r="14" spans="1:4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SERYJNY]],((Tabela1[[#All],[NAZWA]]=$A14)*(Tabela1[[#All],[KOMENTARZ]]=$A$2)),"----------"))</f>
        <v>----------</v>
      </c>
    </row>
    <row r="15" spans="1:4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SERYJNY]],((Tabela1[[#All],[NAZWA]]=$A15)*(Tabela1[[#All],[KOMENTARZ]]=$A$2)),"----------"))</f>
        <v>----------</v>
      </c>
    </row>
    <row r="16" spans="1:4" ht="18.75">
      <c r="A16" s="16"/>
      <c r="B16" s="16"/>
      <c r="C16" s="10"/>
    </row>
    <row r="17" spans="1:3">
      <c r="A17" s="12"/>
      <c r="B17" s="13"/>
      <c r="C17" s="8"/>
    </row>
    <row r="18" spans="1:3">
      <c r="A18" s="11" t="s">
        <v>3105</v>
      </c>
    </row>
    <row r="19" spans="1:3">
      <c r="A19" s="12" t="s">
        <v>3078</v>
      </c>
      <c r="B19" s="13"/>
      <c r="C19" s="8"/>
    </row>
    <row r="20" spans="1:3">
      <c r="A20" s="14" t="s">
        <v>965</v>
      </c>
      <c r="B20" s="14">
        <f t="shared" ref="B20:B24" si="2">LEN(C20)-LEN(SUBSTITUTE(C20,",",""))+1</f>
        <v>1</v>
      </c>
      <c r="C20" s="9" t="str" cm="1">
        <f t="array" ref="C20">_xlfn.TEXTJOIN(", ",,_xlfn._xlws.FILTER(Tabela1[[#All],[NUMER SERYJNY]],((Tabela1[[#All],[NAZWA]]=$A20)*(Tabela1[[#All],[KOMENTARZ]]=$A19)),"----------"))</f>
        <v>A345069X2409126</v>
      </c>
    </row>
    <row r="21" spans="1:3">
      <c r="A21" s="15" t="s">
        <v>967</v>
      </c>
      <c r="B21" s="15">
        <f t="shared" si="2"/>
        <v>1</v>
      </c>
      <c r="C21" s="7" t="str" cm="1">
        <f t="array" ref="C21">_xlfn.TEXTJOIN(", ",,_xlfn._xlws.FILTER(Tabela1[[#All],[NUMER SERYJNY]],((Tabela1[[#All],[NAZWA]]=$A21)*(Tabela1[[#All],[KOMENTARZ]]=$A19)),"----------"))</f>
        <v>C5100LL02RA0275</v>
      </c>
    </row>
    <row r="22" spans="1:3">
      <c r="A22" s="15" t="s">
        <v>969</v>
      </c>
      <c r="B22" s="15">
        <f t="shared" si="2"/>
        <v>1</v>
      </c>
      <c r="C22" s="7" t="str" cm="1">
        <f t="array" ref="C22">_xlfn.TEXTJOIN(", ",,_xlfn._xlws.FILTER(Tabela1[[#All],[NUMER SERYJNY]],((Tabela1[[#All],[NAZWA]]=$A22)*(Tabela1[[#All],[KOMENTARZ]]=$A19)),"----------"))</f>
        <v>P20310L29G29135</v>
      </c>
    </row>
    <row r="23" spans="1:3">
      <c r="A23" s="15" t="s">
        <v>17</v>
      </c>
      <c r="B23" s="15">
        <f t="shared" si="2"/>
        <v>1</v>
      </c>
      <c r="C23" s="7" t="str" cm="1">
        <f t="array" ref="C23">_xlfn.TEXTJOIN(", ",,_xlfn._xlws.FILTER(Tabela1[[#All],[NUMER SERYJNY]],((Tabela1[[#All],[NAZWA]]=$A23)*(Tabela1[[#All],[KOMENTARZ]]=$A19)),"----------"))</f>
        <v>VR21CS005014</v>
      </c>
    </row>
    <row r="24" spans="1:3">
      <c r="A24" s="15" t="s">
        <v>975</v>
      </c>
      <c r="B24" s="15">
        <f t="shared" si="2"/>
        <v>1</v>
      </c>
      <c r="C24" s="7" t="str" cm="1">
        <f t="array" ref="C24">_xlfn.TEXTJOIN(", ",,_xlfn._xlws.FILTER(Tabela1[[#All],[NUMER SERYJNY]],((Tabela1[[#All],[NAZWA]]=$A24)*(Tabela1[[#All],[KOMENTARZ]]=$A19)),"----------"))</f>
        <v>EB20BS009590</v>
      </c>
    </row>
    <row r="25" spans="1:3">
      <c r="A25" s="15" t="s">
        <v>971</v>
      </c>
      <c r="B25" s="15">
        <f>LEN(C25)-LEN(SUBSTITUTE(C25,",",""))+1</f>
        <v>1</v>
      </c>
      <c r="C25" s="7" t="str" cm="1">
        <f t="array" ref="C25">_xlfn.TEXTJOIN(", ",,_xlfn._xlws.FILTER(Tabela1[[#All],[NUMER SERYJNY]],((Tabela1[[#All],[NAZWA]]=$A25)*(Tabela1[[#All],[KOMENTARZ]]=$A19)),"----------"))</f>
        <v>VM221S012839</v>
      </c>
    </row>
    <row r="26" spans="1:3">
      <c r="A26" s="15" t="s">
        <v>3048</v>
      </c>
      <c r="B26" s="15">
        <f>LEN(C26)-LEN(SUBSTITUTE(C26,",",""))+1</f>
        <v>1</v>
      </c>
      <c r="C26" s="7" t="str" cm="1">
        <f t="array" ref="C26">_xlfn.TEXTJOIN(", ",,_xlfn._xlws.FILTER(Tabela1[[#All],[NUMER SERYJNY]],((Tabela1[[#All],[NAZWA]]=$A26)*(Tabela1[[#All],[KOMENTARZ]]=$A19)),"----------"))</f>
        <v>U2TC541202640</v>
      </c>
    </row>
    <row r="27" spans="1:3">
      <c r="A27" s="15" t="s">
        <v>956</v>
      </c>
      <c r="B27" s="15">
        <f t="shared" ref="B27:B32" si="3">LEN(C27)-LEN(SUBSTITUTE(C27,",",""))+1</f>
        <v>2</v>
      </c>
      <c r="C27" s="7" t="str" cm="1">
        <f t="array" ref="C27">_xlfn.TEXTJOIN(", ",,_xlfn._xlws.FILTER(Tabela1[[#All],[NUMER SERYJNY]],((Tabela1[[#All],[NAZWA]]=$A27)*(Tabela1[[#All],[KOMENTARZ]]=$A19)),"----------"))</f>
        <v>SNL389, SNL390</v>
      </c>
    </row>
    <row r="28" spans="1:3">
      <c r="A28" s="15" t="s">
        <v>701</v>
      </c>
      <c r="B28" s="15">
        <f t="shared" si="3"/>
        <v>1</v>
      </c>
      <c r="C28" s="7" t="str" cm="1">
        <f t="array" ref="C28">_xlfn.TEXTJOIN(", ",,_xlfn._xlws.FILTER(Tabela1[[#All],[NUMER SERYJNY]],((Tabela1[[#All],[NAZWA]]=$A28)*(Tabela1[[#All],[KOMENTARZ]]=$A19)),"----------"))</f>
        <v>S45PNC0RB81983</v>
      </c>
    </row>
    <row r="29" spans="1:3">
      <c r="A29" s="15" t="s">
        <v>976</v>
      </c>
      <c r="B29" s="15">
        <f t="shared" si="3"/>
        <v>1</v>
      </c>
      <c r="C29" s="7" t="str" cm="1">
        <f t="array" ref="C29">_xlfn.TEXTJOIN(", ",,_xlfn._xlws.FILTER(Tabela1[[#All],[NUMER SERYJNY]],((Tabela1[[#All],[NAZWA]]=$A29)*(Tabela1[[#All],[KOMENTARZ]]=$A19)),"----------"))</f>
        <v>02219140461895</v>
      </c>
    </row>
    <row r="30" spans="1:3">
      <c r="A30" s="15"/>
      <c r="B30" s="15">
        <f t="shared" si="3"/>
        <v>1</v>
      </c>
      <c r="C30" s="7" t="str" cm="1">
        <f t="array" ref="C30">_xlfn.TEXTJOIN(", ",,_xlfn._xlws.FILTER(Tabela1[[#All],[NUMER SERYJNY]],((Tabela1[[#All],[NAZWA]]=$A30)*(Tabela1[[#All],[KOMENTARZ]]=$A$2)),"----------"))</f>
        <v>----------</v>
      </c>
    </row>
    <row r="31" spans="1:3">
      <c r="A31" s="15"/>
      <c r="B31" s="15">
        <f t="shared" si="3"/>
        <v>1</v>
      </c>
      <c r="C31" s="7" t="str" cm="1">
        <f t="array" ref="C31">_xlfn.TEXTJOIN(", ",,_xlfn._xlws.FILTER(Tabela1[[#All],[NUMER SERYJNY]],((Tabela1[[#All],[NAZWA]]=$A31)*(Tabela1[[#All],[KOMENTARZ]]=$A$2)),"----------"))</f>
        <v>----------</v>
      </c>
    </row>
    <row r="32" spans="1:3">
      <c r="A32" s="15"/>
      <c r="B32" s="15">
        <f t="shared" si="3"/>
        <v>1</v>
      </c>
      <c r="C32" s="7" t="str" cm="1">
        <f t="array" ref="C32">_xlfn.TEXTJOIN(", ",,_xlfn._xlws.FILTER(Tabela1[[#All],[NUMER SERYJNY]],((Tabela1[[#All],[NAZWA]]=$A32)*(Tabela1[[#All],[KOMENTARZ]]=$A$2)),"----------"))</f>
        <v>----------</v>
      </c>
    </row>
    <row r="33" spans="1:3">
      <c r="A33" s="12"/>
      <c r="B33" s="13"/>
      <c r="C33" s="8"/>
    </row>
    <row r="34" spans="1:3">
      <c r="A34" s="14"/>
      <c r="B34" s="14"/>
      <c r="C34" s="9"/>
    </row>
    <row r="35" spans="1:3">
      <c r="A35" s="11" t="s">
        <v>3106</v>
      </c>
    </row>
    <row r="36" spans="1:3">
      <c r="A36" s="12" t="s">
        <v>3051</v>
      </c>
      <c r="B36" s="13"/>
      <c r="C36" s="8"/>
    </row>
    <row r="37" spans="1:3">
      <c r="A37" s="14" t="s">
        <v>965</v>
      </c>
      <c r="B37" s="14">
        <f t="shared" ref="B37:B41" si="4">LEN(C37)-LEN(SUBSTITUTE(C37,",",""))+1</f>
        <v>1</v>
      </c>
      <c r="C37" s="9" t="str" cm="1">
        <f t="array" ref="C37">_xlfn.TEXTJOIN(", ",,_xlfn._xlws.FILTER(Tabela1[[#All],[NUMER SERYJNY]],((Tabela1[[#All],[NAZWA]]=$A37)*(Tabela1[[#All],[KOMENTARZ]]=$A36)),"----------"))</f>
        <v>A345069X2409109</v>
      </c>
    </row>
    <row r="38" spans="1:3">
      <c r="A38" s="15" t="s">
        <v>967</v>
      </c>
      <c r="B38" s="15">
        <f t="shared" si="4"/>
        <v>1</v>
      </c>
      <c r="C38" s="7" t="str" cm="1">
        <f t="array" ref="C38">_xlfn.TEXTJOIN(", ",,_xlfn._xlws.FILTER(Tabela1[[#All],[NUMER SERYJNY]],((Tabela1[[#All],[NAZWA]]=$A38)*(Tabela1[[#All],[KOMENTARZ]]=$A36)),"----------"))</f>
        <v>C5100LL02RA0284</v>
      </c>
    </row>
    <row r="39" spans="1:3">
      <c r="A39" s="15" t="s">
        <v>969</v>
      </c>
      <c r="B39" s="15">
        <f t="shared" si="4"/>
        <v>1</v>
      </c>
      <c r="C39" s="7" t="str" cm="1">
        <f t="array" ref="C39">_xlfn.TEXTJOIN(", ",,_xlfn._xlws.FILTER(Tabela1[[#All],[NUMER SERYJNY]],((Tabela1[[#All],[NAZWA]]=$A39)*(Tabela1[[#All],[KOMENTARZ]]=$A36)),"----------"))</f>
        <v>P20310L29G29137</v>
      </c>
    </row>
    <row r="40" spans="1:3">
      <c r="A40" s="15" t="s">
        <v>17</v>
      </c>
      <c r="B40" s="15">
        <f t="shared" si="4"/>
        <v>1</v>
      </c>
      <c r="C40" s="7" t="str" cm="1">
        <f t="array" ref="C40">_xlfn.TEXTJOIN(", ",,_xlfn._xlws.FILTER(Tabela1[[#All],[NUMER SERYJNY]],((Tabela1[[#All],[NAZWA]]=$A40)*(Tabela1[[#All],[KOMENTARZ]]=$A36)),"----------"))</f>
        <v>VR21CS005012</v>
      </c>
    </row>
    <row r="41" spans="1:3">
      <c r="A41" s="15" t="s">
        <v>975</v>
      </c>
      <c r="B41" s="15">
        <f t="shared" si="4"/>
        <v>1</v>
      </c>
      <c r="C41" s="7" t="str" cm="1">
        <f t="array" ref="C41">_xlfn.TEXTJOIN(", ",,_xlfn._xlws.FILTER(Tabela1[[#All],[NUMER SERYJNY]],((Tabela1[[#All],[NAZWA]]=$A41)*(Tabela1[[#All],[KOMENTARZ]]=$A36)),"----------"))</f>
        <v>EB20BS009577</v>
      </c>
    </row>
    <row r="42" spans="1:3">
      <c r="A42" s="15" t="s">
        <v>971</v>
      </c>
      <c r="B42" s="15">
        <f>LEN(C42)-LEN(SUBSTITUTE(C42,",",""))+1</f>
        <v>1</v>
      </c>
      <c r="C42" s="7" t="str" cm="1">
        <f t="array" ref="C42">_xlfn.TEXTJOIN(", ",,_xlfn._xlws.FILTER(Tabela1[[#All],[NUMER SERYJNY]],((Tabela1[[#All],[NAZWA]]=$A42)*(Tabela1[[#All],[KOMENTARZ]]=$A36)),"----------"))</f>
        <v>VM221S012592</v>
      </c>
    </row>
    <row r="43" spans="1:3">
      <c r="A43" s="15" t="s">
        <v>3048</v>
      </c>
      <c r="B43" s="15">
        <f>LEN(C43)-LEN(SUBSTITUTE(C43,",",""))+1</f>
        <v>1</v>
      </c>
      <c r="C43" s="7" t="str" cm="1">
        <f t="array" ref="C43">_xlfn.TEXTJOIN(", ",,_xlfn._xlws.FILTER(Tabela1[[#All],[NUMER SERYJNY]],((Tabela1[[#All],[NAZWA]]=$A43)*(Tabela1[[#All],[KOMENTARZ]]=$A36)),"----------"))</f>
        <v>X146M143  02737</v>
      </c>
    </row>
    <row r="44" spans="1:3">
      <c r="A44" s="15" t="s">
        <v>3052</v>
      </c>
      <c r="B44" s="15">
        <f t="shared" ref="B44:B49" si="5">LEN(C44)-LEN(SUBSTITUTE(C44,",",""))+1</f>
        <v>2</v>
      </c>
      <c r="C44" s="7" t="str" cm="1">
        <f t="array" ref="C44">_xlfn.TEXTJOIN(", ",,_xlfn._xlws.FILTER(Tabela1[[#All],[NUMER SERYJNY]],((Tabela1[[#All],[NAZWA]]=$A44)*(Tabela1[[#All],[KOMENTARZ]]=$A36)),"----------"))</f>
        <v>80AD012139750E5DF6, 80AD012139750E5DFE</v>
      </c>
    </row>
    <row r="45" spans="1:3">
      <c r="A45" s="15" t="s">
        <v>701</v>
      </c>
      <c r="B45" s="15">
        <f t="shared" si="5"/>
        <v>1</v>
      </c>
      <c r="C45" s="7" t="str" cm="1">
        <f t="array" ref="C45">_xlfn.TEXTJOIN(", ",,_xlfn._xlws.FILTER(Tabela1[[#All],[NUMER SERYJNY]],((Tabela1[[#All],[NAZWA]]=$A45)*(Tabela1[[#All],[KOMENTARZ]]=$A36)),"----------"))</f>
        <v>S45PNC0T360081</v>
      </c>
    </row>
    <row r="46" spans="1:3">
      <c r="A46" s="15" t="s">
        <v>976</v>
      </c>
      <c r="B46" s="15">
        <f t="shared" si="5"/>
        <v>1</v>
      </c>
      <c r="C46" s="7" t="str" cm="1">
        <f t="array" ref="C46">_xlfn.TEXTJOIN(", ",,_xlfn._xlws.FILTER(Tabela1[[#All],[NUMER SERYJNY]],((Tabela1[[#All],[NAZWA]]=$A46)*(Tabela1[[#All],[KOMENTARZ]]=$A36)),"----------"))</f>
        <v>02219140461892</v>
      </c>
    </row>
    <row r="47" spans="1:3">
      <c r="A47" s="15"/>
      <c r="B47" s="15">
        <f t="shared" si="5"/>
        <v>1</v>
      </c>
      <c r="C47" s="7" t="str" cm="1">
        <f t="array" ref="C47">_xlfn.TEXTJOIN(", ",,_xlfn._xlws.FILTER(Tabela1[[#All],[NUMER SERYJNY]],((Tabela1[[#All],[NAZWA]]=$A47)*(Tabela1[[#All],[KOMENTARZ]]=$A$2)),"----------"))</f>
        <v>----------</v>
      </c>
    </row>
    <row r="48" spans="1:3">
      <c r="A48" s="15"/>
      <c r="B48" s="15">
        <f t="shared" si="5"/>
        <v>1</v>
      </c>
      <c r="C48" s="7" t="str" cm="1">
        <f t="array" ref="C48">_xlfn.TEXTJOIN(", ",,_xlfn._xlws.FILTER(Tabela1[[#All],[NUMER SERYJNY]],((Tabela1[[#All],[NAZWA]]=$A48)*(Tabela1[[#All],[KOMENTARZ]]=$A$2)),"----------"))</f>
        <v>----------</v>
      </c>
    </row>
    <row r="49" spans="1:3">
      <c r="A49" s="15"/>
      <c r="B49" s="15">
        <f t="shared" si="5"/>
        <v>1</v>
      </c>
      <c r="C49" s="7" t="str" cm="1">
        <f t="array" ref="C49">_xlfn.TEXTJOIN(", ",,_xlfn._xlws.FILTER(Tabela1[[#All],[NUMER SERYJNY]],((Tabela1[[#All],[NAZWA]]=$A49)*(Tabela1[[#All],[KOMENTARZ]]=$A$2)),"----------"))</f>
        <v>----------</v>
      </c>
    </row>
    <row r="50" spans="1:3">
      <c r="A50" s="14"/>
      <c r="B50" s="14"/>
      <c r="C50" s="9"/>
    </row>
    <row r="51" spans="1:3">
      <c r="A51" s="15"/>
      <c r="B51" s="15"/>
      <c r="C51" s="7"/>
    </row>
    <row r="52" spans="1:3">
      <c r="A52" s="11" t="s">
        <v>3106</v>
      </c>
    </row>
    <row r="53" spans="1:3">
      <c r="A53" s="12" t="s">
        <v>3060</v>
      </c>
      <c r="B53" s="13"/>
      <c r="C53" s="8"/>
    </row>
    <row r="54" spans="1:3">
      <c r="A54" s="14" t="s">
        <v>965</v>
      </c>
      <c r="B54" s="14">
        <f t="shared" ref="B54:B58" si="6">LEN(C54)-LEN(SUBSTITUTE(C54,",",""))+1</f>
        <v>1</v>
      </c>
      <c r="C54" s="9" t="str" cm="1">
        <f t="array" ref="C54">_xlfn.TEXTJOIN(", ",,_xlfn._xlws.FILTER(Tabela1[[#All],[NUMER SERYJNY]],((Tabela1[[#All],[NAZWA]]=$A54)*(Tabela1[[#All],[KOMENTARZ]]=$A53)),"----------"))</f>
        <v>A345069X2409120</v>
      </c>
    </row>
    <row r="55" spans="1:3">
      <c r="A55" s="15" t="s">
        <v>967</v>
      </c>
      <c r="B55" s="15">
        <f t="shared" si="6"/>
        <v>1</v>
      </c>
      <c r="C55" s="7" t="str" cm="1">
        <f t="array" ref="C55">_xlfn.TEXTJOIN(", ",,_xlfn._xlws.FILTER(Tabela1[[#All],[NUMER SERYJNY]],((Tabela1[[#All],[NAZWA]]=$A55)*(Tabela1[[#All],[KOMENTARZ]]=$A53)),"----------"))</f>
        <v>C5100LL02RA0278</v>
      </c>
    </row>
    <row r="56" spans="1:3">
      <c r="A56" s="15" t="s">
        <v>969</v>
      </c>
      <c r="B56" s="15">
        <f t="shared" si="6"/>
        <v>1</v>
      </c>
      <c r="C56" s="7" t="str" cm="1">
        <f t="array" ref="C56">_xlfn.TEXTJOIN(", ",,_xlfn._xlws.FILTER(Tabela1[[#All],[NUMER SERYJNY]],((Tabela1[[#All],[NAZWA]]=$A56)*(Tabela1[[#All],[KOMENTARZ]]=$A53)),"----------"))</f>
        <v>P20310L29G29146</v>
      </c>
    </row>
    <row r="57" spans="1:3">
      <c r="A57" s="15" t="s">
        <v>17</v>
      </c>
      <c r="B57" s="15">
        <f t="shared" si="6"/>
        <v>1</v>
      </c>
      <c r="C57" s="7" t="str" cm="1">
        <f t="array" ref="C57">_xlfn.TEXTJOIN(", ",,_xlfn._xlws.FILTER(Tabela1[[#All],[NUMER SERYJNY]],((Tabela1[[#All],[NAZWA]]=$A57)*(Tabela1[[#All],[KOMENTARZ]]=$A53)),"----------"))</f>
        <v>VR21CS005013</v>
      </c>
    </row>
    <row r="58" spans="1:3">
      <c r="A58" s="15" t="s">
        <v>975</v>
      </c>
      <c r="B58" s="15">
        <f t="shared" si="6"/>
        <v>1</v>
      </c>
      <c r="C58" s="7" t="str" cm="1">
        <f t="array" ref="C58">_xlfn.TEXTJOIN(", ",,_xlfn._xlws.FILTER(Tabela1[[#All],[NUMER SERYJNY]],((Tabela1[[#All],[NAZWA]]=$A58)*(Tabela1[[#All],[KOMENTARZ]]=$A53)),"----------"))</f>
        <v>EB20BS009586</v>
      </c>
    </row>
    <row r="59" spans="1:3">
      <c r="A59" s="15" t="s">
        <v>971</v>
      </c>
      <c r="B59" s="15">
        <f>LEN(C59)-LEN(SUBSTITUTE(C59,",",""))+1</f>
        <v>1</v>
      </c>
      <c r="C59" s="7" t="str" cm="1">
        <f t="array" ref="C59">_xlfn.TEXTJOIN(", ",,_xlfn._xlws.FILTER(Tabela1[[#All],[NUMER SERYJNY]],((Tabela1[[#All],[NAZWA]]=$A59)*(Tabela1[[#All],[KOMENTARZ]]=$A53)),"----------"))</f>
        <v>VM221S012591</v>
      </c>
    </row>
    <row r="60" spans="1:3">
      <c r="A60" s="15" t="s">
        <v>3048</v>
      </c>
      <c r="B60" s="15">
        <f>LEN(C60)-LEN(SUBSTITUTE(C60,",",""))+1</f>
        <v>1</v>
      </c>
      <c r="C60" s="7" t="str" cm="1">
        <f t="array" ref="C60">_xlfn.TEXTJOIN(", ",,_xlfn._xlws.FILTER(Tabela1[[#All],[NUMER SERYJNY]],((Tabela1[[#All],[NAZWA]]=$A60)*(Tabela1[[#All],[KOMENTARZ]]=$A53)),"----------"))</f>
        <v>X146M143  02042</v>
      </c>
    </row>
    <row r="61" spans="1:3">
      <c r="A61" s="15" t="s">
        <v>3052</v>
      </c>
      <c r="B61" s="15">
        <f t="shared" ref="B61:B66" si="7">LEN(C61)-LEN(SUBSTITUTE(C61,",",""))+1</f>
        <v>2</v>
      </c>
      <c r="C61" s="7" t="str" cm="1">
        <f t="array" ref="C61">_xlfn.TEXTJOIN(", ",,_xlfn._xlws.FILTER(Tabela1[[#All],[NUMER SERYJNY]],((Tabela1[[#All],[NAZWA]]=$A61)*(Tabela1[[#All],[KOMENTARZ]]=$A53)),"----------"))</f>
        <v>80AD012139750E5DFD, 80AD012139750E5E09</v>
      </c>
    </row>
    <row r="62" spans="1:3">
      <c r="A62" s="15" t="s">
        <v>701</v>
      </c>
      <c r="B62" s="15">
        <f t="shared" si="7"/>
        <v>1</v>
      </c>
      <c r="C62" s="7" t="str" cm="1">
        <f t="array" ref="C62">_xlfn.TEXTJOIN(", ",,_xlfn._xlws.FILTER(Tabela1[[#All],[NUMER SERYJNY]],((Tabela1[[#All],[NAZWA]]=$A62)*(Tabela1[[#All],[KOMENTARZ]]=$A53)),"----------"))</f>
        <v>S45PNC0RB81748</v>
      </c>
    </row>
    <row r="63" spans="1:3">
      <c r="A63" s="15" t="s">
        <v>976</v>
      </c>
      <c r="B63" s="15">
        <f t="shared" si="7"/>
        <v>1</v>
      </c>
      <c r="C63" s="7" t="str" cm="1">
        <f t="array" ref="C63">_xlfn.TEXTJOIN(", ",,_xlfn._xlws.FILTER(Tabela1[[#All],[NUMER SERYJNY]],((Tabela1[[#All],[NAZWA]]=$A63)*(Tabela1[[#All],[KOMENTARZ]]=$A53)),"----------"))</f>
        <v>02219140461893</v>
      </c>
    </row>
    <row r="64" spans="1:3">
      <c r="A64" s="15"/>
      <c r="B64" s="15">
        <f t="shared" si="7"/>
        <v>1</v>
      </c>
      <c r="C64" s="7" t="str" cm="1">
        <f t="array" ref="C64">_xlfn.TEXTJOIN(", ",,_xlfn._xlws.FILTER(Tabela1[[#All],[NUMER SERYJNY]],((Tabela1[[#All],[NAZWA]]=$A64)*(Tabela1[[#All],[KOMENTARZ]]=$A$2)),"----------"))</f>
        <v>----------</v>
      </c>
    </row>
    <row r="65" spans="1:3">
      <c r="A65" s="15"/>
      <c r="B65" s="15">
        <f t="shared" si="7"/>
        <v>1</v>
      </c>
      <c r="C65" s="7" t="str" cm="1">
        <f t="array" ref="C65">_xlfn.TEXTJOIN(", ",,_xlfn._xlws.FILTER(Tabela1[[#All],[NUMER SERYJNY]],((Tabela1[[#All],[NAZWA]]=$A65)*(Tabela1[[#All],[KOMENTARZ]]=$A$2)),"----------"))</f>
        <v>----------</v>
      </c>
    </row>
    <row r="66" spans="1:3">
      <c r="A66" s="15"/>
      <c r="B66" s="15">
        <f t="shared" si="7"/>
        <v>1</v>
      </c>
      <c r="C66" s="7" t="str" cm="1">
        <f t="array" ref="C66">_xlfn.TEXTJOIN(", ",,_xlfn._xlws.FILTER(Tabela1[[#All],[NUMER SERYJNY]],((Tabela1[[#All],[NAZWA]]=$A66)*(Tabela1[[#All],[KOMENTARZ]]=$A$2)),"----------"))</f>
        <v>----------</v>
      </c>
    </row>
    <row r="67" spans="1:3">
      <c r="A67" s="15"/>
      <c r="B67" s="15"/>
      <c r="C67" s="7"/>
    </row>
    <row r="68" spans="1:3">
      <c r="A68" s="15"/>
      <c r="B68" s="15"/>
      <c r="C68" s="7"/>
    </row>
    <row r="69" spans="1:3">
      <c r="A69" s="15"/>
      <c r="B69" s="15"/>
      <c r="C69" s="7"/>
    </row>
    <row r="71" spans="1:3">
      <c r="A71" s="12"/>
      <c r="B71" s="13"/>
      <c r="C71" s="8"/>
    </row>
    <row r="72" spans="1:3">
      <c r="A72" s="14"/>
      <c r="B72" s="14"/>
      <c r="C72" s="9"/>
    </row>
    <row r="73" spans="1:3">
      <c r="A73" s="15"/>
      <c r="B73" s="15"/>
      <c r="C73" s="7"/>
    </row>
    <row r="74" spans="1:3">
      <c r="A74" s="15"/>
      <c r="B74" s="15"/>
      <c r="C74" s="7"/>
    </row>
    <row r="75" spans="1:3">
      <c r="A75" s="15"/>
      <c r="B75" s="15"/>
      <c r="C75" s="7"/>
    </row>
    <row r="76" spans="1:3">
      <c r="A76" s="15"/>
      <c r="B76" s="15"/>
      <c r="C76" s="7"/>
    </row>
    <row r="77" spans="1:3">
      <c r="A77" s="15"/>
      <c r="B77" s="15"/>
      <c r="C77" s="7"/>
    </row>
    <row r="78" spans="1:3">
      <c r="A78" s="15"/>
      <c r="B78" s="15"/>
      <c r="C78" s="7"/>
    </row>
    <row r="79" spans="1:3">
      <c r="A79" s="15"/>
      <c r="B79" s="15"/>
      <c r="C79" s="7"/>
    </row>
    <row r="80" spans="1:3">
      <c r="A80" s="15"/>
      <c r="B80" s="15"/>
      <c r="C80" s="7"/>
    </row>
    <row r="81" spans="1:3">
      <c r="A81" s="15"/>
      <c r="B81" s="15"/>
      <c r="C81" s="7"/>
    </row>
    <row r="82" spans="1:3">
      <c r="A82" s="15"/>
      <c r="B82" s="15"/>
      <c r="C82" s="7"/>
    </row>
    <row r="83" spans="1:3">
      <c r="A83" s="15"/>
      <c r="B83" s="15"/>
      <c r="C83" s="7"/>
    </row>
    <row r="84" spans="1:3">
      <c r="A84" s="15"/>
      <c r="B84" s="15"/>
      <c r="C84" s="7"/>
    </row>
    <row r="87" spans="1:3">
      <c r="A87" s="12"/>
      <c r="B87" s="13"/>
      <c r="C87" s="8"/>
    </row>
    <row r="88" spans="1:3">
      <c r="A88" s="14"/>
      <c r="B88" s="14"/>
      <c r="C88" s="9"/>
    </row>
    <row r="90" spans="1:3">
      <c r="A90" s="12"/>
      <c r="B90" s="13"/>
      <c r="C90" s="8"/>
    </row>
    <row r="91" spans="1:3">
      <c r="A91" s="14"/>
      <c r="B91" s="14"/>
      <c r="C91" s="9"/>
    </row>
    <row r="92" spans="1:3">
      <c r="A92" s="15"/>
      <c r="B92" s="15"/>
      <c r="C92" s="7"/>
    </row>
    <row r="93" spans="1:3">
      <c r="A93" s="15"/>
      <c r="B93" s="15"/>
      <c r="C93" s="7"/>
    </row>
    <row r="94" spans="1:3">
      <c r="A94" s="15"/>
      <c r="B94" s="15"/>
      <c r="C94" s="7"/>
    </row>
    <row r="95" spans="1:3">
      <c r="A95" s="15"/>
      <c r="B95" s="15"/>
      <c r="C95" s="7"/>
    </row>
    <row r="96" spans="1:3">
      <c r="A96" s="15"/>
      <c r="B96" s="15"/>
      <c r="C96" s="7"/>
    </row>
    <row r="97" spans="1:3">
      <c r="A97" s="15"/>
      <c r="B97" s="15"/>
      <c r="C97" s="7"/>
    </row>
    <row r="98" spans="1:3">
      <c r="A98" s="15"/>
      <c r="B98" s="15"/>
      <c r="C98" s="7"/>
    </row>
    <row r="99" spans="1:3">
      <c r="A99" s="15"/>
      <c r="B99" s="15"/>
      <c r="C99" s="7"/>
    </row>
    <row r="100" spans="1:3">
      <c r="A100" s="15"/>
      <c r="B100" s="15"/>
      <c r="C100" s="7"/>
    </row>
    <row r="101" spans="1:3">
      <c r="A101" s="15"/>
      <c r="B101" s="15"/>
      <c r="C101" s="7"/>
    </row>
    <row r="102" spans="1:3">
      <c r="A102" s="15"/>
      <c r="B102" s="15"/>
      <c r="C102" s="7"/>
    </row>
    <row r="103" spans="1:3">
      <c r="A103" s="15"/>
      <c r="B103" s="15"/>
      <c r="C103" s="7"/>
    </row>
    <row r="104" spans="1:3">
      <c r="A104" s="15"/>
      <c r="B104" s="15"/>
      <c r="C104" s="7"/>
    </row>
    <row r="105" spans="1:3">
      <c r="A105" s="15"/>
      <c r="B105" s="15"/>
      <c r="C105" s="7"/>
    </row>
    <row r="106" spans="1:3">
      <c r="A106" s="15"/>
      <c r="B106" s="15"/>
      <c r="C106" s="7"/>
    </row>
    <row r="107" spans="1:3">
      <c r="A107" s="15"/>
      <c r="B107" s="15"/>
      <c r="C107" s="7"/>
    </row>
    <row r="108" spans="1:3">
      <c r="A108" s="15"/>
      <c r="B108" s="15"/>
      <c r="C108" s="7"/>
    </row>
    <row r="109" spans="1:3">
      <c r="A109" s="15"/>
      <c r="B109" s="15"/>
      <c r="C109" s="7"/>
    </row>
    <row r="110" spans="1:3">
      <c r="A110" s="15"/>
      <c r="B110" s="15"/>
      <c r="C110" s="7"/>
    </row>
    <row r="111" spans="1:3">
      <c r="A111" s="15"/>
      <c r="B111" s="15"/>
      <c r="C111" s="7"/>
    </row>
    <row r="112" spans="1:3">
      <c r="A112" s="15"/>
      <c r="B112" s="15"/>
      <c r="C112" s="7"/>
    </row>
    <row r="115" spans="1:3">
      <c r="A115" s="12"/>
      <c r="B115" s="13"/>
      <c r="C115" s="8"/>
    </row>
    <row r="116" spans="1:3">
      <c r="A116" s="14"/>
      <c r="B116" s="14"/>
      <c r="C116" s="9"/>
    </row>
    <row r="117" spans="1:3">
      <c r="A117" s="15"/>
      <c r="B117" s="15"/>
      <c r="C117" s="7"/>
    </row>
    <row r="118" spans="1:3">
      <c r="A118" s="15"/>
      <c r="B118" s="15"/>
      <c r="C118" s="7"/>
    </row>
    <row r="119" spans="1:3">
      <c r="A119" s="15"/>
      <c r="B119" s="15"/>
      <c r="C119" s="7"/>
    </row>
    <row r="120" spans="1:3">
      <c r="A120" s="15"/>
      <c r="B120" s="15"/>
      <c r="C120" s="7"/>
    </row>
    <row r="121" spans="1:3">
      <c r="A121" s="15"/>
      <c r="B121" s="15"/>
      <c r="C121" s="7"/>
    </row>
    <row r="122" spans="1:3">
      <c r="A122" s="15"/>
      <c r="B122" s="15"/>
      <c r="C122" s="7"/>
    </row>
    <row r="123" spans="1:3">
      <c r="A123" s="15"/>
      <c r="B123" s="15"/>
      <c r="C123" s="7"/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5"/>
      <c r="B126" s="15"/>
      <c r="C126" s="7"/>
    </row>
  </sheetData>
  <conditionalFormatting sqref="F3">
    <cfRule type="duplicateValues" dxfId="263" priority="17"/>
  </conditionalFormatting>
  <conditionalFormatting sqref="C1:C16 C113:C114 C127:C1048576 C70:C86 C89:C103">
    <cfRule type="duplicateValues" dxfId="262" priority="16"/>
  </conditionalFormatting>
  <conditionalFormatting sqref="C67:C69">
    <cfRule type="duplicateValues" dxfId="261" priority="15"/>
  </conditionalFormatting>
  <conditionalFormatting sqref="C87:C88">
    <cfRule type="duplicateValues" dxfId="260" priority="14"/>
  </conditionalFormatting>
  <conditionalFormatting sqref="C104:C112">
    <cfRule type="duplicateValues" dxfId="259" priority="13"/>
  </conditionalFormatting>
  <conditionalFormatting sqref="C115:C126">
    <cfRule type="duplicateValues" dxfId="258" priority="12"/>
  </conditionalFormatting>
  <conditionalFormatting sqref="C17">
    <cfRule type="duplicateValues" dxfId="257" priority="11"/>
  </conditionalFormatting>
  <conditionalFormatting sqref="C33">
    <cfRule type="duplicateValues" dxfId="256" priority="10"/>
  </conditionalFormatting>
  <conditionalFormatting sqref="C34">
    <cfRule type="duplicateValues" dxfId="255" priority="9"/>
  </conditionalFormatting>
  <conditionalFormatting sqref="C50:C51">
    <cfRule type="duplicateValues" dxfId="254" priority="8"/>
  </conditionalFormatting>
  <conditionalFormatting sqref="C30:C32">
    <cfRule type="duplicateValues" dxfId="253" priority="7"/>
  </conditionalFormatting>
  <conditionalFormatting sqref="C47:C49">
    <cfRule type="duplicateValues" dxfId="252" priority="6"/>
  </conditionalFormatting>
  <conditionalFormatting sqref="C64:C66">
    <cfRule type="duplicateValues" dxfId="251" priority="5"/>
  </conditionalFormatting>
  <conditionalFormatting sqref="C18:C29">
    <cfRule type="duplicateValues" dxfId="250" priority="4"/>
  </conditionalFormatting>
  <conditionalFormatting sqref="C35:C46">
    <cfRule type="duplicateValues" dxfId="249" priority="3"/>
  </conditionalFormatting>
  <conditionalFormatting sqref="C52:C63">
    <cfRule type="duplicateValues" dxfId="248" priority="2"/>
  </conditionalFormatting>
  <conditionalFormatting sqref="C1:C1048576">
    <cfRule type="duplicateValues" dxfId="247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406BC-FCBE-4587-B1FE-E7BE8563084A}">
  <sheetPr codeName="Arkusz43"/>
  <dimension ref="A1:C210"/>
  <sheetViews>
    <sheetView workbookViewId="0">
      <selection activeCell="A2" sqref="A2"/>
    </sheetView>
  </sheetViews>
  <sheetFormatPr defaultRowHeight="15"/>
  <cols>
    <col min="1" max="1" width="27.42578125" style="11" bestFit="1" customWidth="1"/>
    <col min="2" max="2" width="4.28515625" style="11" customWidth="1"/>
    <col min="3" max="3" width="47.42578125" customWidth="1"/>
  </cols>
  <sheetData>
    <row r="1" spans="1:3">
      <c r="A1" s="11" t="s">
        <v>3030</v>
      </c>
    </row>
    <row r="2" spans="1:3">
      <c r="A2" s="12" t="s">
        <v>3009</v>
      </c>
      <c r="B2" s="13"/>
      <c r="C2" s="8"/>
    </row>
    <row r="3" spans="1:3">
      <c r="A3" s="14" t="s">
        <v>2153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C7450FK45P30263</v>
      </c>
    </row>
    <row r="4" spans="1:3">
      <c r="A4" s="15" t="s">
        <v>918</v>
      </c>
      <c r="B4" s="15">
        <f t="shared" si="0"/>
        <v>2</v>
      </c>
      <c r="C4" s="7" t="str" cm="1">
        <f t="array" ref="C4">_xlfn.TEXTJOIN(", ",,_xlfn._xlws.FILTER(Tabela1[[#All],[NUMER SERYJNY]],((Tabela1[[#All],[NAZWA]]=$A4)*(Tabela1[[#All],[KOMENTARZ]]=$A2)),"----------"))</f>
        <v>P9212CL31SN2743, P9212CL31SN2744</v>
      </c>
    </row>
    <row r="5" spans="1:3">
      <c r="A5" s="15" t="s">
        <v>2608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EB216S007484</v>
      </c>
    </row>
    <row r="6" spans="1:3">
      <c r="A6" s="15" t="s">
        <v>1718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VM20AS000856</v>
      </c>
    </row>
    <row r="7" spans="1:3">
      <c r="A7" s="15" t="s">
        <v>1715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M2YE785301932</v>
      </c>
    </row>
    <row r="8" spans="1:3">
      <c r="A8" s="15" t="s">
        <v>3015</v>
      </c>
      <c r="B8" s="15">
        <f>LEN(C8)-LEN(SUBSTITUTE(C8,",",""))+1</f>
        <v>4</v>
      </c>
      <c r="C8" s="7" t="str" cm="1">
        <f t="array" ref="C8">_xlfn.TEXTJOIN(", ",,_xlfn._xlws.FILTER(Tabela1[[#All],[NUMER SERYJNY]],((Tabela1[[#All],[NAZWA]]=$A8)*(Tabela1[[#All],[KOMENTARZ]]=$A2)),"----------"))</f>
        <v>SNL381, SNL382, SNL383, SNL384</v>
      </c>
    </row>
    <row r="9" spans="1:3">
      <c r="A9" s="15" t="s">
        <v>2623</v>
      </c>
      <c r="B9" s="15">
        <f>LEN(C9)-LEN(SUBSTITUTE(C9,",",""))+1</f>
        <v>1</v>
      </c>
      <c r="C9" s="7" t="str" cm="1">
        <f t="array" ref="C9">_xlfn.TEXTJOIN(", ",,_xlfn._xlws.FILTER(Tabela1[[#All],[NUMER SERYJNY]],((Tabela1[[#All],[NAZWA]]=$A9)*(Tabela1[[#All],[KOMENTARZ]]=$A2)),"----------"))</f>
        <v>S4J4NM0RB07135</v>
      </c>
    </row>
    <row r="10" spans="1:3">
      <c r="A10" s="15" t="s">
        <v>3021</v>
      </c>
      <c r="B10" s="15">
        <f t="shared" ref="B10:B16" si="1">LEN(C10)-LEN(SUBSTITUTE(C10,",",""))+1</f>
        <v>1</v>
      </c>
      <c r="C10" s="7" t="str" cm="1">
        <f t="array" ref="C10">_xlfn.TEXTJOIN(", ",,_xlfn._xlws.FILTER(Tabela1[[#All],[NUMER SERYJNY]],((Tabela1[[#All],[NAZWA]]=$A10)*(Tabela1[[#All],[KOMENTARZ]]=$A2)),"----------"))</f>
        <v>S6PYNF0T305922</v>
      </c>
    </row>
    <row r="11" spans="1:3">
      <c r="A11" s="15" t="s">
        <v>2609</v>
      </c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V3GA469L</v>
      </c>
    </row>
    <row r="12" spans="1:3">
      <c r="A12" s="15" t="s">
        <v>3028</v>
      </c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A41602135000MQFV</v>
      </c>
    </row>
    <row r="13" spans="1:3">
      <c r="A13" s="15" t="s">
        <v>2633</v>
      </c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SERYJNY]],((Tabela1[[#All],[NAZWA]]=$A13)*(Tabela1[[#All],[KOMENTARZ]]=$A2)),"----------"))</f>
        <v>03307146776216</v>
      </c>
    </row>
    <row r="14" spans="1:3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SERYJNY]],((Tabela1[[#All],[NAZWA]]=$A14)*(Tabela1[[#All],[KOMENTARZ]]=$A2)),"----------"))</f>
        <v>----------</v>
      </c>
    </row>
    <row r="15" spans="1:3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SERYJNY]],((Tabela1[[#All],[NAZWA]]=$A15)*(Tabela1[[#All],[KOMENTARZ]]=$A2)),"----------"))</f>
        <v>----------</v>
      </c>
    </row>
    <row r="16" spans="1:3">
      <c r="A16" s="15"/>
      <c r="B16" s="15">
        <f t="shared" si="1"/>
        <v>1</v>
      </c>
      <c r="C16" s="7" t="str" cm="1">
        <f t="array" ref="C16">_xlfn.TEXTJOIN(", ",,_xlfn._xlws.FILTER(Tabela1[[#All],[NUMER SERYJNY]],((Tabela1[[#All],[NAZWA]]=$A16)*(Tabela1[[#All],[KOMENTARZ]]=$A2)),"----------"))</f>
        <v>----------</v>
      </c>
    </row>
    <row r="17" spans="1:3" ht="18.75">
      <c r="A17" s="16"/>
      <c r="B17" s="16"/>
      <c r="C17" s="10"/>
    </row>
    <row r="18" spans="1:3">
      <c r="A18" s="12"/>
      <c r="B18" s="13"/>
      <c r="C18" s="8"/>
    </row>
    <row r="19" spans="1:3">
      <c r="A19" s="14"/>
      <c r="B19" s="14"/>
      <c r="C19" s="9"/>
    </row>
    <row r="20" spans="1:3">
      <c r="A20" s="11" t="s">
        <v>3030</v>
      </c>
    </row>
    <row r="21" spans="1:3">
      <c r="A21" s="12" t="s">
        <v>3031</v>
      </c>
      <c r="B21" s="13"/>
      <c r="C21" s="8"/>
    </row>
    <row r="22" spans="1:3">
      <c r="A22" s="14" t="s">
        <v>2153</v>
      </c>
      <c r="B22" s="14">
        <f t="shared" ref="B22:B26" si="2">LEN(C22)-LEN(SUBSTITUTE(C22,",",""))+1</f>
        <v>1</v>
      </c>
      <c r="C22" s="9" t="str" cm="1">
        <f t="array" ref="C22">_xlfn.TEXTJOIN(", ",,_xlfn._xlws.FILTER(Tabela1[[#All],[NUMER SERYJNY]],((Tabela1[[#All],[NAZWA]]=$A22)*(Tabela1[[#All],[KOMENTARZ]]=$A21)),"----------"))</f>
        <v>C7450FK45P30405</v>
      </c>
    </row>
    <row r="23" spans="1:3">
      <c r="A23" s="15" t="s">
        <v>918</v>
      </c>
      <c r="B23" s="15">
        <f t="shared" si="2"/>
        <v>2</v>
      </c>
      <c r="C23" s="7" t="str" cm="1">
        <f t="array" ref="C23">_xlfn.TEXTJOIN(", ",,_xlfn._xlws.FILTER(Tabela1[[#All],[NUMER SERYJNY]],((Tabela1[[#All],[NAZWA]]=$A23)*(Tabela1[[#All],[KOMENTARZ]]=$A21)),"----------"))</f>
        <v>P9212CL38SN2534, P9212CL38SN2535</v>
      </c>
    </row>
    <row r="24" spans="1:3">
      <c r="A24" s="15" t="s">
        <v>2608</v>
      </c>
      <c r="B24" s="15">
        <f t="shared" si="2"/>
        <v>1</v>
      </c>
      <c r="C24" s="7" t="str" cm="1">
        <f t="array" ref="C24">_xlfn.TEXTJOIN(", ",,_xlfn._xlws.FILTER(Tabela1[[#All],[NUMER SERYJNY]],((Tabela1[[#All],[NAZWA]]=$A24)*(Tabela1[[#All],[KOMENTARZ]]=$A21)),"----------"))</f>
        <v>EB216S007471</v>
      </c>
    </row>
    <row r="25" spans="1:3">
      <c r="A25" s="15" t="s">
        <v>1718</v>
      </c>
      <c r="B25" s="15">
        <f t="shared" si="2"/>
        <v>1</v>
      </c>
      <c r="C25" s="7" t="str" cm="1">
        <f t="array" ref="C25">_xlfn.TEXTJOIN(", ",,_xlfn._xlws.FILTER(Tabela1[[#All],[NUMER SERYJNY]],((Tabela1[[#All],[NAZWA]]=$A25)*(Tabela1[[#All],[KOMENTARZ]]=$A21)),"----------"))</f>
        <v>VM20AS000855</v>
      </c>
    </row>
    <row r="26" spans="1:3">
      <c r="A26" s="15" t="s">
        <v>1715</v>
      </c>
      <c r="B26" s="15">
        <f t="shared" si="2"/>
        <v>1</v>
      </c>
      <c r="C26" s="7" t="str" cm="1">
        <f t="array" ref="C26">_xlfn.TEXTJOIN(", ",,_xlfn._xlws.FILTER(Tabela1[[#All],[NUMER SERYJNY]],((Tabela1[[#All],[NAZWA]]=$A26)*(Tabela1[[#All],[KOMENTARZ]]=$A21)),"----------"))</f>
        <v>M2YE785302245</v>
      </c>
    </row>
    <row r="27" spans="1:3">
      <c r="A27" s="15" t="s">
        <v>3015</v>
      </c>
      <c r="B27" s="15">
        <f>LEN(C27)-LEN(SUBSTITUTE(C27,",",""))+1</f>
        <v>4</v>
      </c>
      <c r="C27" s="7" t="str" cm="1">
        <f t="array" ref="C27">_xlfn.TEXTJOIN(", ",,_xlfn._xlws.FILTER(Tabela1[[#All],[NUMER SERYJNY]],((Tabela1[[#All],[NAZWA]]=$A27)*(Tabela1[[#All],[KOMENTARZ]]=$A21)),"----------"))</f>
        <v>SNL385, SNL386, SNL387, SNL388</v>
      </c>
    </row>
    <row r="28" spans="1:3">
      <c r="A28" s="15" t="s">
        <v>2623</v>
      </c>
      <c r="B28" s="15">
        <f>LEN(C28)-LEN(SUBSTITUTE(C28,",",""))+1</f>
        <v>1</v>
      </c>
      <c r="C28" s="7" t="str" cm="1">
        <f t="array" ref="C28">_xlfn.TEXTJOIN(", ",,_xlfn._xlws.FILTER(Tabela1[[#All],[NUMER SERYJNY]],((Tabela1[[#All],[NAZWA]]=$A28)*(Tabela1[[#All],[KOMENTARZ]]=$A21)),"----------"))</f>
        <v>S4J4NM0RB06911</v>
      </c>
    </row>
    <row r="29" spans="1:3">
      <c r="A29" s="15" t="s">
        <v>3021</v>
      </c>
      <c r="B29" s="15">
        <f t="shared" ref="B29:B35" si="3">LEN(C29)-LEN(SUBSTITUTE(C29,",",""))+1</f>
        <v>1</v>
      </c>
      <c r="C29" s="7" t="str" cm="1">
        <f t="array" ref="C29">_xlfn.TEXTJOIN(", ",,_xlfn._xlws.FILTER(Tabela1[[#All],[NUMER SERYJNY]],((Tabela1[[#All],[NAZWA]]=$A29)*(Tabela1[[#All],[KOMENTARZ]]=$A21)),"----------"))</f>
        <v>S62BNF0R916586</v>
      </c>
    </row>
    <row r="30" spans="1:3">
      <c r="A30" s="15" t="s">
        <v>2609</v>
      </c>
      <c r="B30" s="15">
        <f t="shared" si="3"/>
        <v>1</v>
      </c>
      <c r="C30" s="7" t="str" cm="1">
        <f t="array" ref="C30">_xlfn.TEXTJOIN(", ",,_xlfn._xlws.FILTER(Tabela1[[#All],[NUMER SERYJNY]],((Tabela1[[#All],[NAZWA]]=$A30)*(Tabela1[[#All],[KOMENTARZ]]=$A21)),"----------"))</f>
        <v>V3GA2XEL</v>
      </c>
    </row>
    <row r="31" spans="1:3">
      <c r="A31" s="15" t="s">
        <v>3028</v>
      </c>
      <c r="B31" s="15">
        <f t="shared" si="3"/>
        <v>1</v>
      </c>
      <c r="C31" s="7" t="str" cm="1">
        <f t="array" ref="C31">_xlfn.TEXTJOIN(", ",,_xlfn._xlws.FILTER(Tabela1[[#All],[NUMER SERYJNY]],((Tabela1[[#All],[NAZWA]]=$A31)*(Tabela1[[#All],[KOMENTARZ]]=$A21)),"----------"))</f>
        <v>A41602135000MWFV</v>
      </c>
    </row>
    <row r="32" spans="1:3">
      <c r="A32" s="15" t="s">
        <v>2633</v>
      </c>
      <c r="B32" s="15">
        <f t="shared" si="3"/>
        <v>1</v>
      </c>
      <c r="C32" s="7" t="str" cm="1">
        <f t="array" ref="C32">_xlfn.TEXTJOIN(", ",,_xlfn._xlws.FILTER(Tabela1[[#All],[NUMER SERYJNY]],((Tabela1[[#All],[NAZWA]]=$A32)*(Tabela1[[#All],[KOMENTARZ]]=$A21)),"----------"))</f>
        <v>03307146776215</v>
      </c>
    </row>
    <row r="33" spans="1:3">
      <c r="A33" s="15"/>
      <c r="B33" s="15">
        <f t="shared" si="3"/>
        <v>1</v>
      </c>
      <c r="C33" s="7" t="str" cm="1">
        <f t="array" ref="C33">_xlfn.TEXTJOIN(", ",,_xlfn._xlws.FILTER(Tabela1[[#All],[NUMER SERYJNY]],((Tabela1[[#All],[NAZWA]]=$A33)*(Tabela1[[#All],[KOMENTARZ]]=$A21)),"----------"))</f>
        <v>----------</v>
      </c>
    </row>
    <row r="34" spans="1:3">
      <c r="A34" s="15"/>
      <c r="B34" s="15">
        <f t="shared" si="3"/>
        <v>1</v>
      </c>
      <c r="C34" s="7" t="str" cm="1">
        <f t="array" ref="C34">_xlfn.TEXTJOIN(", ",,_xlfn._xlws.FILTER(Tabela1[[#All],[NUMER SERYJNY]],((Tabela1[[#All],[NAZWA]]=$A34)*(Tabela1[[#All],[KOMENTARZ]]=$A21)),"----------"))</f>
        <v>----------</v>
      </c>
    </row>
    <row r="35" spans="1:3">
      <c r="A35" s="15"/>
      <c r="B35" s="15">
        <f t="shared" si="3"/>
        <v>1</v>
      </c>
      <c r="C35" s="7" t="str" cm="1">
        <f t="array" ref="C35">_xlfn.TEXTJOIN(", ",,_xlfn._xlws.FILTER(Tabela1[[#All],[NUMER SERYJNY]],((Tabela1[[#All],[NAZWA]]=$A35)*(Tabela1[[#All],[KOMENTARZ]]=$A21)),"----------"))</f>
        <v>----------</v>
      </c>
    </row>
    <row r="36" spans="1:3">
      <c r="A36" s="15"/>
      <c r="B36" s="15"/>
      <c r="C36" s="7"/>
    </row>
    <row r="37" spans="1:3">
      <c r="A37" s="15"/>
      <c r="B37" s="15"/>
      <c r="C37" s="7"/>
    </row>
    <row r="38" spans="1:3">
      <c r="A38" s="15"/>
      <c r="B38" s="15"/>
      <c r="C38" s="7"/>
    </row>
    <row r="39" spans="1:3">
      <c r="A39" s="15"/>
      <c r="B39" s="15"/>
      <c r="C39" s="7"/>
    </row>
    <row r="40" spans="1:3">
      <c r="A40" s="15"/>
      <c r="B40" s="15"/>
      <c r="C40" s="7"/>
    </row>
    <row r="41" spans="1:3">
      <c r="A41" s="15"/>
      <c r="B41" s="15"/>
      <c r="C41" s="7"/>
    </row>
    <row r="42" spans="1:3">
      <c r="A42" s="15"/>
      <c r="B42" s="15"/>
      <c r="C42" s="7"/>
    </row>
    <row r="43" spans="1:3">
      <c r="A43" s="15"/>
      <c r="B43" s="15"/>
      <c r="C43" s="7"/>
    </row>
    <row r="44" spans="1:3">
      <c r="A44" s="15"/>
      <c r="B44" s="15"/>
      <c r="C44" s="7"/>
    </row>
    <row r="45" spans="1:3">
      <c r="A45" s="15"/>
      <c r="B45" s="15"/>
      <c r="C45" s="7"/>
    </row>
    <row r="46" spans="1:3">
      <c r="A46" s="15"/>
      <c r="B46" s="15"/>
      <c r="C46" s="7"/>
    </row>
    <row r="47" spans="1:3">
      <c r="A47" s="15"/>
      <c r="B47" s="15"/>
      <c r="C47" s="7"/>
    </row>
    <row r="48" spans="1:3">
      <c r="A48" s="15"/>
      <c r="B48" s="15"/>
      <c r="C48" s="7"/>
    </row>
    <row r="49" spans="1:3">
      <c r="A49" s="15"/>
      <c r="B49" s="15"/>
      <c r="C49" s="7"/>
    </row>
    <row r="50" spans="1:3">
      <c r="A50" s="12"/>
      <c r="B50" s="13"/>
      <c r="C50" s="8"/>
    </row>
    <row r="51" spans="1:3">
      <c r="A51" s="14"/>
      <c r="B51" s="14"/>
      <c r="C51" s="9"/>
    </row>
    <row r="52" spans="1:3">
      <c r="A52" s="15"/>
      <c r="B52" s="15"/>
      <c r="C52" s="7"/>
    </row>
    <row r="53" spans="1:3">
      <c r="A53" s="15"/>
      <c r="B53" s="15"/>
      <c r="C53" s="7"/>
    </row>
    <row r="54" spans="1:3">
      <c r="A54" s="15"/>
      <c r="B54" s="15"/>
      <c r="C54" s="7"/>
    </row>
    <row r="55" spans="1:3">
      <c r="A55" s="15"/>
      <c r="B55" s="15"/>
      <c r="C55" s="7"/>
    </row>
    <row r="56" spans="1:3">
      <c r="A56" s="15"/>
      <c r="B56" s="15"/>
      <c r="C56" s="7"/>
    </row>
    <row r="57" spans="1:3">
      <c r="A57" s="15"/>
      <c r="B57" s="15"/>
      <c r="C57" s="7"/>
    </row>
    <row r="58" spans="1:3">
      <c r="A58" s="15"/>
      <c r="B58" s="15"/>
      <c r="C58" s="7"/>
    </row>
    <row r="59" spans="1:3">
      <c r="A59" s="15"/>
      <c r="B59" s="15"/>
      <c r="C59" s="7"/>
    </row>
    <row r="60" spans="1:3">
      <c r="A60" s="15"/>
      <c r="B60" s="15"/>
      <c r="C60" s="7"/>
    </row>
    <row r="61" spans="1:3">
      <c r="A61" s="15"/>
      <c r="B61" s="15"/>
      <c r="C61" s="7"/>
    </row>
    <row r="62" spans="1:3">
      <c r="A62" s="15"/>
      <c r="B62" s="15"/>
      <c r="C62" s="7"/>
    </row>
    <row r="63" spans="1:3">
      <c r="A63" s="15"/>
      <c r="B63" s="15"/>
      <c r="C63" s="7"/>
    </row>
    <row r="64" spans="1:3">
      <c r="A64" s="15"/>
      <c r="B64" s="15"/>
      <c r="C64" s="7"/>
    </row>
    <row r="65" spans="1:3">
      <c r="A65" s="15"/>
      <c r="B65" s="15"/>
      <c r="C65" s="7"/>
    </row>
    <row r="66" spans="1:3">
      <c r="A66" s="12"/>
      <c r="B66" s="13"/>
      <c r="C66" s="8"/>
    </row>
    <row r="67" spans="1:3">
      <c r="A67" s="14"/>
      <c r="B67" s="14"/>
      <c r="C67" s="9"/>
    </row>
    <row r="68" spans="1:3">
      <c r="A68" s="15"/>
      <c r="B68" s="15"/>
      <c r="C68" s="7"/>
    </row>
    <row r="69" spans="1:3">
      <c r="A69" s="15"/>
      <c r="B69" s="15"/>
      <c r="C69" s="7"/>
    </row>
    <row r="70" spans="1:3">
      <c r="A70" s="15"/>
      <c r="B70" s="15"/>
      <c r="C70" s="7"/>
    </row>
    <row r="71" spans="1:3">
      <c r="A71" s="15"/>
      <c r="B71" s="15"/>
      <c r="C71" s="7"/>
    </row>
    <row r="72" spans="1:3">
      <c r="A72" s="15"/>
      <c r="B72" s="15"/>
      <c r="C72" s="7"/>
    </row>
    <row r="73" spans="1:3">
      <c r="A73" s="15"/>
      <c r="B73" s="15"/>
      <c r="C73" s="7"/>
    </row>
    <row r="74" spans="1:3">
      <c r="A74" s="15"/>
      <c r="B74" s="15"/>
      <c r="C74" s="7"/>
    </row>
    <row r="75" spans="1:3">
      <c r="A75" s="15"/>
      <c r="B75" s="15"/>
      <c r="C75" s="7"/>
    </row>
    <row r="76" spans="1:3">
      <c r="A76" s="15"/>
      <c r="B76" s="15"/>
      <c r="C76" s="7"/>
    </row>
    <row r="77" spans="1:3">
      <c r="A77" s="15"/>
      <c r="B77" s="15"/>
      <c r="C77" s="7"/>
    </row>
    <row r="78" spans="1:3">
      <c r="A78" s="15"/>
      <c r="B78" s="15"/>
      <c r="C78" s="7"/>
    </row>
    <row r="79" spans="1:3">
      <c r="A79" s="15"/>
      <c r="B79" s="15"/>
      <c r="C79" s="7"/>
    </row>
    <row r="80" spans="1:3">
      <c r="A80" s="15"/>
      <c r="B80" s="15"/>
      <c r="C80" s="7"/>
    </row>
    <row r="81" spans="1:3">
      <c r="A81" s="15"/>
      <c r="B81" s="15"/>
      <c r="C81" s="7"/>
    </row>
    <row r="82" spans="1:3">
      <c r="A82" s="12"/>
      <c r="B82" s="13"/>
      <c r="C82" s="8"/>
    </row>
    <row r="83" spans="1:3">
      <c r="A83" s="14"/>
      <c r="B83" s="14"/>
      <c r="C83" s="9"/>
    </row>
    <row r="84" spans="1:3">
      <c r="A84" s="15"/>
      <c r="B84" s="15"/>
      <c r="C84" s="7"/>
    </row>
    <row r="85" spans="1:3">
      <c r="A85" s="15"/>
      <c r="B85" s="15"/>
      <c r="C85" s="7"/>
    </row>
    <row r="86" spans="1:3">
      <c r="A86" s="15"/>
      <c r="B86" s="15"/>
      <c r="C86" s="7"/>
    </row>
    <row r="87" spans="1:3">
      <c r="A87" s="15"/>
      <c r="B87" s="15"/>
      <c r="C87" s="7"/>
    </row>
    <row r="88" spans="1:3">
      <c r="A88" s="15"/>
      <c r="B88" s="15"/>
      <c r="C88" s="7"/>
    </row>
    <row r="89" spans="1:3">
      <c r="A89" s="15"/>
      <c r="B89" s="15"/>
      <c r="C89" s="7"/>
    </row>
    <row r="90" spans="1:3">
      <c r="A90" s="15"/>
      <c r="B90" s="15"/>
      <c r="C90" s="7"/>
    </row>
    <row r="91" spans="1:3">
      <c r="A91" s="15"/>
      <c r="B91" s="15"/>
      <c r="C91" s="7"/>
    </row>
    <row r="92" spans="1:3">
      <c r="A92" s="15"/>
      <c r="B92" s="15"/>
      <c r="C92" s="7"/>
    </row>
    <row r="93" spans="1:3">
      <c r="A93" s="15"/>
      <c r="B93" s="15"/>
      <c r="C93" s="7"/>
    </row>
    <row r="94" spans="1:3">
      <c r="A94" s="15"/>
      <c r="B94" s="15"/>
      <c r="C94" s="7"/>
    </row>
    <row r="95" spans="1:3">
      <c r="A95" s="15"/>
      <c r="B95" s="15"/>
      <c r="C95" s="7"/>
    </row>
    <row r="96" spans="1:3">
      <c r="A96" s="15"/>
      <c r="B96" s="15"/>
      <c r="C96" s="7"/>
    </row>
    <row r="97" spans="1:3">
      <c r="A97" s="15"/>
      <c r="B97" s="15"/>
      <c r="C97" s="7"/>
    </row>
    <row r="98" spans="1:3">
      <c r="A98" s="15"/>
      <c r="B98" s="15"/>
      <c r="C98" s="7"/>
    </row>
    <row r="99" spans="1:3">
      <c r="A99" s="12"/>
      <c r="B99" s="13"/>
      <c r="C99" s="8"/>
    </row>
    <row r="100" spans="1:3">
      <c r="A100" s="14"/>
      <c r="B100" s="14"/>
      <c r="C100" s="9"/>
    </row>
    <row r="101" spans="1:3">
      <c r="A101" s="15"/>
      <c r="B101" s="15"/>
      <c r="C101" s="7"/>
    </row>
    <row r="102" spans="1:3">
      <c r="A102" s="15"/>
      <c r="B102" s="15"/>
      <c r="C102" s="7"/>
    </row>
    <row r="103" spans="1:3">
      <c r="A103" s="15"/>
      <c r="B103" s="15"/>
      <c r="C103" s="7"/>
    </row>
    <row r="104" spans="1:3">
      <c r="A104" s="15"/>
      <c r="B104" s="15"/>
      <c r="C104" s="7"/>
    </row>
    <row r="105" spans="1:3">
      <c r="A105" s="15"/>
      <c r="B105" s="15"/>
      <c r="C105" s="7"/>
    </row>
    <row r="106" spans="1:3">
      <c r="A106" s="15"/>
      <c r="B106" s="15"/>
      <c r="C106" s="7"/>
    </row>
    <row r="107" spans="1:3">
      <c r="A107" s="15"/>
      <c r="B107" s="15"/>
      <c r="C107" s="7"/>
    </row>
    <row r="108" spans="1:3">
      <c r="A108" s="15"/>
      <c r="B108" s="15"/>
      <c r="C108" s="7"/>
    </row>
    <row r="109" spans="1:3">
      <c r="A109" s="15"/>
      <c r="B109" s="15"/>
      <c r="C109" s="7"/>
    </row>
    <row r="110" spans="1:3">
      <c r="A110" s="15"/>
      <c r="B110" s="15"/>
      <c r="C110" s="7"/>
    </row>
    <row r="111" spans="1:3">
      <c r="A111" s="15"/>
      <c r="B111" s="15"/>
      <c r="C111" s="7"/>
    </row>
    <row r="112" spans="1:3">
      <c r="A112" s="15"/>
      <c r="B112" s="15"/>
      <c r="C112" s="7"/>
    </row>
    <row r="113" spans="1:3">
      <c r="A113" s="15"/>
      <c r="B113" s="15"/>
      <c r="C113" s="7"/>
    </row>
    <row r="115" spans="1:3">
      <c r="A115" s="12"/>
      <c r="B115" s="13"/>
      <c r="C115" s="8"/>
    </row>
    <row r="116" spans="1:3">
      <c r="A116" s="14"/>
      <c r="B116" s="14"/>
      <c r="C116" s="9"/>
    </row>
    <row r="117" spans="1:3">
      <c r="A117" s="15"/>
      <c r="B117" s="15"/>
      <c r="C117" s="7"/>
    </row>
    <row r="118" spans="1:3">
      <c r="A118" s="15"/>
      <c r="B118" s="15"/>
      <c r="C118" s="7"/>
    </row>
    <row r="119" spans="1:3">
      <c r="A119" s="15"/>
      <c r="B119" s="15"/>
      <c r="C119" s="7"/>
    </row>
    <row r="120" spans="1:3">
      <c r="A120" s="15"/>
      <c r="B120" s="15"/>
      <c r="C120" s="7"/>
    </row>
    <row r="121" spans="1:3">
      <c r="A121" s="15"/>
      <c r="B121" s="15"/>
      <c r="C121" s="7"/>
    </row>
    <row r="122" spans="1:3">
      <c r="A122" s="15"/>
      <c r="B122" s="15"/>
      <c r="C122" s="7"/>
    </row>
    <row r="123" spans="1:3">
      <c r="A123" s="15"/>
      <c r="B123" s="15"/>
      <c r="C123" s="7"/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5"/>
      <c r="B126" s="15"/>
      <c r="C126" s="7"/>
    </row>
    <row r="127" spans="1:3">
      <c r="A127" s="15"/>
      <c r="B127" s="15"/>
      <c r="C127" s="7"/>
    </row>
    <row r="128" spans="1:3">
      <c r="A128" s="15"/>
      <c r="B128" s="15"/>
      <c r="C128" s="7"/>
    </row>
    <row r="129" spans="1:3">
      <c r="A129" s="15"/>
      <c r="B129" s="15"/>
      <c r="C129" s="7"/>
    </row>
    <row r="131" spans="1:3">
      <c r="A131" s="12"/>
      <c r="B131" s="13"/>
      <c r="C131" s="8"/>
    </row>
    <row r="132" spans="1:3">
      <c r="A132" s="14"/>
      <c r="B132" s="14"/>
      <c r="C132" s="9"/>
    </row>
    <row r="133" spans="1:3">
      <c r="A133" s="15"/>
      <c r="B133" s="15"/>
      <c r="C133" s="7"/>
    </row>
    <row r="134" spans="1:3">
      <c r="A134" s="15"/>
      <c r="B134" s="15"/>
      <c r="C134" s="7"/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>
      <c r="A137" s="15"/>
      <c r="B137" s="15"/>
      <c r="C137" s="7"/>
    </row>
    <row r="138" spans="1:3">
      <c r="A138" s="15"/>
      <c r="B138" s="15"/>
      <c r="C138" s="7"/>
    </row>
    <row r="139" spans="1:3">
      <c r="A139" s="15"/>
      <c r="B139" s="15"/>
      <c r="C139" s="7"/>
    </row>
    <row r="140" spans="1:3">
      <c r="A140" s="15"/>
      <c r="B140" s="15"/>
      <c r="C140" s="7"/>
    </row>
    <row r="141" spans="1:3">
      <c r="A141" s="15"/>
      <c r="B141" s="15"/>
      <c r="C141" s="7"/>
    </row>
    <row r="142" spans="1:3">
      <c r="A142" s="15"/>
      <c r="B142" s="15"/>
      <c r="C142" s="7"/>
    </row>
    <row r="143" spans="1:3">
      <c r="A143" s="15"/>
      <c r="B143" s="15"/>
      <c r="C143" s="7"/>
    </row>
    <row r="144" spans="1:3">
      <c r="A144" s="15"/>
      <c r="B144" s="15"/>
      <c r="C144" s="7"/>
    </row>
    <row r="145" spans="1:3">
      <c r="A145" s="15"/>
      <c r="B145" s="15"/>
      <c r="C145" s="7"/>
    </row>
    <row r="147" spans="1:3">
      <c r="A147" s="12"/>
      <c r="B147" s="13"/>
      <c r="C147" s="8"/>
    </row>
    <row r="148" spans="1:3">
      <c r="A148" s="14"/>
      <c r="B148" s="14"/>
      <c r="C148" s="9"/>
    </row>
    <row r="149" spans="1:3">
      <c r="A149" s="15"/>
      <c r="B149" s="15"/>
      <c r="C149" s="7"/>
    </row>
    <row r="150" spans="1:3">
      <c r="A150" s="15"/>
      <c r="B150" s="15"/>
      <c r="C150" s="7"/>
    </row>
    <row r="151" spans="1:3">
      <c r="A151" s="15"/>
      <c r="B151" s="15"/>
      <c r="C151" s="7"/>
    </row>
    <row r="152" spans="1:3">
      <c r="A152" s="15"/>
      <c r="B152" s="15"/>
      <c r="C152" s="7"/>
    </row>
    <row r="153" spans="1:3">
      <c r="A153" s="15"/>
      <c r="B153" s="15"/>
      <c r="C153" s="7"/>
    </row>
    <row r="154" spans="1:3">
      <c r="A154" s="15"/>
      <c r="B154" s="15"/>
      <c r="C154" s="7"/>
    </row>
    <row r="155" spans="1:3">
      <c r="A155" s="15"/>
      <c r="B155" s="15"/>
      <c r="C155" s="7"/>
    </row>
    <row r="156" spans="1:3">
      <c r="A156" s="15"/>
      <c r="B156" s="15"/>
      <c r="C156" s="7"/>
    </row>
    <row r="157" spans="1:3">
      <c r="A157" s="15"/>
      <c r="B157" s="15"/>
      <c r="C157" s="7"/>
    </row>
    <row r="158" spans="1:3">
      <c r="A158" s="15"/>
      <c r="B158" s="15"/>
      <c r="C158" s="7"/>
    </row>
    <row r="159" spans="1:3">
      <c r="A159" s="15"/>
      <c r="B159" s="15"/>
      <c r="C159" s="7"/>
    </row>
    <row r="160" spans="1:3">
      <c r="A160" s="15"/>
      <c r="B160" s="15"/>
      <c r="C160" s="7"/>
    </row>
    <row r="161" spans="1:3">
      <c r="A161" s="15"/>
      <c r="B161" s="15"/>
      <c r="C161" s="7"/>
    </row>
    <row r="163" spans="1:3">
      <c r="A163" s="12"/>
      <c r="B163" s="13"/>
      <c r="C163" s="8"/>
    </row>
    <row r="164" spans="1:3">
      <c r="A164" s="14"/>
      <c r="B164" s="14"/>
      <c r="C164" s="9"/>
    </row>
    <row r="165" spans="1:3">
      <c r="A165" s="15"/>
      <c r="B165" s="15"/>
      <c r="C165" s="7"/>
    </row>
    <row r="166" spans="1:3">
      <c r="A166" s="15"/>
      <c r="B166" s="15"/>
      <c r="C166" s="7"/>
    </row>
    <row r="167" spans="1:3">
      <c r="A167" s="15"/>
      <c r="B167" s="15"/>
      <c r="C167" s="7"/>
    </row>
    <row r="168" spans="1:3">
      <c r="A168" s="15"/>
      <c r="B168" s="15"/>
      <c r="C168" s="7"/>
    </row>
    <row r="169" spans="1:3">
      <c r="A169" s="15"/>
      <c r="B169" s="15"/>
      <c r="C169" s="7"/>
    </row>
    <row r="170" spans="1:3">
      <c r="A170" s="15"/>
      <c r="B170" s="15"/>
      <c r="C170" s="7"/>
    </row>
    <row r="171" spans="1:3">
      <c r="A171" s="15"/>
      <c r="B171" s="15"/>
      <c r="C171" s="7"/>
    </row>
    <row r="172" spans="1:3">
      <c r="A172" s="15"/>
      <c r="B172" s="15"/>
      <c r="C172" s="7"/>
    </row>
    <row r="173" spans="1:3">
      <c r="A173" s="15"/>
      <c r="B173" s="15"/>
      <c r="C173" s="7"/>
    </row>
    <row r="174" spans="1:3">
      <c r="A174" s="15"/>
      <c r="B174" s="15"/>
      <c r="C174" s="7"/>
    </row>
    <row r="175" spans="1:3">
      <c r="A175" s="15"/>
      <c r="B175" s="15"/>
      <c r="C175" s="7"/>
    </row>
    <row r="176" spans="1:3">
      <c r="A176" s="15"/>
      <c r="B176" s="15"/>
      <c r="C176" s="7"/>
    </row>
    <row r="177" spans="1:3">
      <c r="A177" s="15"/>
      <c r="B177" s="15"/>
      <c r="C177" s="7"/>
    </row>
    <row r="180" spans="1:3">
      <c r="A180" s="12"/>
      <c r="B180" s="13"/>
      <c r="C180" s="8"/>
    </row>
    <row r="181" spans="1:3">
      <c r="A181" s="14"/>
      <c r="B181" s="14"/>
      <c r="C181" s="9"/>
    </row>
    <row r="182" spans="1:3">
      <c r="A182" s="15"/>
      <c r="B182" s="15"/>
      <c r="C182" s="7"/>
    </row>
    <row r="183" spans="1:3">
      <c r="A183" s="15"/>
      <c r="B183" s="15"/>
      <c r="C183" s="7"/>
    </row>
    <row r="184" spans="1:3">
      <c r="A184" s="15"/>
      <c r="B184" s="15"/>
      <c r="C184" s="7"/>
    </row>
    <row r="185" spans="1:3">
      <c r="A185" s="15"/>
      <c r="B185" s="15"/>
      <c r="C185" s="7"/>
    </row>
    <row r="186" spans="1:3">
      <c r="A186" s="15"/>
      <c r="B186" s="15"/>
      <c r="C186" s="7"/>
    </row>
    <row r="187" spans="1:3">
      <c r="A187" s="15"/>
      <c r="B187" s="15"/>
      <c r="C187" s="7"/>
    </row>
    <row r="188" spans="1:3">
      <c r="A188" s="15"/>
      <c r="B188" s="15"/>
      <c r="C188" s="7"/>
    </row>
    <row r="189" spans="1:3">
      <c r="A189" s="15"/>
      <c r="B189" s="15"/>
      <c r="C189" s="7"/>
    </row>
    <row r="190" spans="1:3">
      <c r="A190" s="15"/>
      <c r="B190" s="15"/>
      <c r="C190" s="7"/>
    </row>
    <row r="191" spans="1:3">
      <c r="A191" s="15"/>
      <c r="B191" s="15"/>
      <c r="C191" s="7"/>
    </row>
    <row r="192" spans="1:3">
      <c r="A192" s="15"/>
      <c r="B192" s="15"/>
      <c r="C192" s="7"/>
    </row>
    <row r="193" spans="1:3">
      <c r="A193" s="15"/>
      <c r="B193" s="15"/>
      <c r="C193" s="7"/>
    </row>
    <row r="194" spans="1:3">
      <c r="A194" s="15"/>
      <c r="B194" s="15"/>
      <c r="C194" s="7"/>
    </row>
    <row r="196" spans="1:3">
      <c r="A196" s="12"/>
      <c r="B196" s="13"/>
      <c r="C196" s="8"/>
    </row>
    <row r="197" spans="1:3">
      <c r="A197" s="14"/>
      <c r="B197" s="14"/>
      <c r="C197" s="9"/>
    </row>
    <row r="198" spans="1:3">
      <c r="A198" s="15"/>
      <c r="B198" s="15"/>
      <c r="C198" s="7"/>
    </row>
    <row r="199" spans="1:3">
      <c r="A199" s="15"/>
      <c r="B199" s="15"/>
      <c r="C199" s="7"/>
    </row>
    <row r="200" spans="1:3">
      <c r="A200" s="15"/>
      <c r="B200" s="15"/>
      <c r="C200" s="7"/>
    </row>
    <row r="201" spans="1:3">
      <c r="A201" s="15"/>
      <c r="B201" s="15"/>
      <c r="C201" s="7"/>
    </row>
    <row r="202" spans="1:3">
      <c r="A202" s="15"/>
      <c r="B202" s="15"/>
      <c r="C202" s="7"/>
    </row>
    <row r="203" spans="1:3">
      <c r="A203" s="15"/>
      <c r="B203" s="15"/>
      <c r="C203" s="7"/>
    </row>
    <row r="204" spans="1:3">
      <c r="A204" s="15"/>
      <c r="B204" s="15"/>
      <c r="C204" s="7"/>
    </row>
    <row r="205" spans="1:3">
      <c r="A205" s="15"/>
      <c r="B205" s="15"/>
      <c r="C205" s="7"/>
    </row>
    <row r="206" spans="1:3">
      <c r="A206" s="15"/>
      <c r="B206" s="15"/>
      <c r="C206" s="7"/>
    </row>
    <row r="207" spans="1:3">
      <c r="A207" s="15"/>
      <c r="B207" s="15"/>
      <c r="C207" s="7"/>
    </row>
    <row r="208" spans="1:3">
      <c r="A208" s="15"/>
      <c r="B208" s="15"/>
      <c r="C208" s="7"/>
    </row>
    <row r="209" spans="1:3">
      <c r="A209" s="15"/>
      <c r="B209" s="15"/>
      <c r="C209" s="7"/>
    </row>
    <row r="210" spans="1:3">
      <c r="A210" s="15"/>
      <c r="B210" s="15"/>
      <c r="C210" s="7"/>
    </row>
  </sheetData>
  <conditionalFormatting sqref="F3">
    <cfRule type="duplicateValues" dxfId="246" priority="35"/>
  </conditionalFormatting>
  <conditionalFormatting sqref="C1:C17 C114 C130 C146 C162 C178:C179 C195 C211:C1048576">
    <cfRule type="duplicateValues" dxfId="245" priority="34"/>
  </conditionalFormatting>
  <conditionalFormatting sqref="C49">
    <cfRule type="duplicateValues" dxfId="244" priority="32"/>
  </conditionalFormatting>
  <conditionalFormatting sqref="C65">
    <cfRule type="duplicateValues" dxfId="243" priority="31"/>
  </conditionalFormatting>
  <conditionalFormatting sqref="C81">
    <cfRule type="duplicateValues" dxfId="242" priority="30"/>
  </conditionalFormatting>
  <conditionalFormatting sqref="C97:C98">
    <cfRule type="duplicateValues" dxfId="241" priority="29"/>
  </conditionalFormatting>
  <conditionalFormatting sqref="C18">
    <cfRule type="duplicateValues" dxfId="240" priority="28"/>
  </conditionalFormatting>
  <conditionalFormatting sqref="C46:C48">
    <cfRule type="duplicateValues" dxfId="239" priority="27"/>
  </conditionalFormatting>
  <conditionalFormatting sqref="C50 C62:C64">
    <cfRule type="duplicateValues" dxfId="238" priority="26"/>
  </conditionalFormatting>
  <conditionalFormatting sqref="C66 C78:C80">
    <cfRule type="duplicateValues" dxfId="237" priority="25"/>
  </conditionalFormatting>
  <conditionalFormatting sqref="C82 C94:C96">
    <cfRule type="duplicateValues" dxfId="236" priority="24"/>
  </conditionalFormatting>
  <conditionalFormatting sqref="C99">
    <cfRule type="duplicateValues" dxfId="235" priority="23"/>
  </conditionalFormatting>
  <conditionalFormatting sqref="C115">
    <cfRule type="duplicateValues" dxfId="234" priority="22"/>
  </conditionalFormatting>
  <conditionalFormatting sqref="C131">
    <cfRule type="duplicateValues" dxfId="233" priority="21"/>
  </conditionalFormatting>
  <conditionalFormatting sqref="C147 C158:C161">
    <cfRule type="duplicateValues" dxfId="232" priority="20"/>
  </conditionalFormatting>
  <conditionalFormatting sqref="C163 C174:C177">
    <cfRule type="duplicateValues" dxfId="231" priority="19"/>
  </conditionalFormatting>
  <conditionalFormatting sqref="C180 C191:C194">
    <cfRule type="duplicateValues" dxfId="230" priority="18"/>
  </conditionalFormatting>
  <conditionalFormatting sqref="C196 C207:C210">
    <cfRule type="duplicateValues" dxfId="229" priority="17"/>
  </conditionalFormatting>
  <conditionalFormatting sqref="C19">
    <cfRule type="duplicateValues" dxfId="228" priority="16"/>
  </conditionalFormatting>
  <conditionalFormatting sqref="C36:C45">
    <cfRule type="duplicateValues" dxfId="227" priority="15"/>
  </conditionalFormatting>
  <conditionalFormatting sqref="C51:C61">
    <cfRule type="duplicateValues" dxfId="226" priority="14"/>
  </conditionalFormatting>
  <conditionalFormatting sqref="C67:C77">
    <cfRule type="duplicateValues" dxfId="225" priority="13"/>
  </conditionalFormatting>
  <conditionalFormatting sqref="C83:C93">
    <cfRule type="duplicateValues" dxfId="224" priority="12"/>
  </conditionalFormatting>
  <conditionalFormatting sqref="C100:C109">
    <cfRule type="duplicateValues" dxfId="223" priority="11"/>
  </conditionalFormatting>
  <conditionalFormatting sqref="C116:C125">
    <cfRule type="duplicateValues" dxfId="222" priority="10"/>
  </conditionalFormatting>
  <conditionalFormatting sqref="C132:C141">
    <cfRule type="duplicateValues" dxfId="221" priority="9"/>
  </conditionalFormatting>
  <conditionalFormatting sqref="C148:C157">
    <cfRule type="duplicateValues" dxfId="220" priority="8"/>
  </conditionalFormatting>
  <conditionalFormatting sqref="C164:C173">
    <cfRule type="duplicateValues" dxfId="219" priority="7"/>
  </conditionalFormatting>
  <conditionalFormatting sqref="C181:C190">
    <cfRule type="duplicateValues" dxfId="218" priority="6"/>
  </conditionalFormatting>
  <conditionalFormatting sqref="C197:C206">
    <cfRule type="duplicateValues" dxfId="217" priority="5"/>
  </conditionalFormatting>
  <conditionalFormatting sqref="C142:C145">
    <cfRule type="duplicateValues" dxfId="216" priority="4"/>
  </conditionalFormatting>
  <conditionalFormatting sqref="C126:C129">
    <cfRule type="duplicateValues" dxfId="215" priority="3"/>
  </conditionalFormatting>
  <conditionalFormatting sqref="C110:C113">
    <cfRule type="duplicateValues" dxfId="214" priority="2"/>
  </conditionalFormatting>
  <conditionalFormatting sqref="C20:C35">
    <cfRule type="duplicateValues" dxfId="213" priority="1"/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7ED13-ED62-4A75-8A2A-104360A36343}">
  <sheetPr codeName="Arkusz44"/>
  <dimension ref="A1:C210"/>
  <sheetViews>
    <sheetView workbookViewId="0">
      <selection activeCell="A2" sqref="A2"/>
    </sheetView>
  </sheetViews>
  <sheetFormatPr defaultRowHeight="15"/>
  <cols>
    <col min="1" max="1" width="27.42578125" style="11" bestFit="1" customWidth="1"/>
    <col min="2" max="2" width="4.28515625" style="11" customWidth="1"/>
    <col min="3" max="3" width="47.42578125" customWidth="1"/>
  </cols>
  <sheetData>
    <row r="1" spans="1:3">
      <c r="A1" s="11" t="s">
        <v>3005</v>
      </c>
    </row>
    <row r="2" spans="1:3">
      <c r="A2" s="12" t="s">
        <v>2987</v>
      </c>
      <c r="B2" s="13"/>
      <c r="C2" s="8"/>
    </row>
    <row r="3" spans="1:3">
      <c r="A3" s="14" t="s">
        <v>2999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C8250FK42P50405</v>
      </c>
    </row>
    <row r="4" spans="1:3">
      <c r="A4" s="15" t="s">
        <v>946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P605A0L39G29776</v>
      </c>
    </row>
    <row r="5" spans="1:3">
      <c r="A5" s="15" t="s">
        <v>782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EB214S004764</v>
      </c>
    </row>
    <row r="6" spans="1:3">
      <c r="A6" s="15" t="s">
        <v>2148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ZM223S005252</v>
      </c>
    </row>
    <row r="7" spans="1:3">
      <c r="A7" s="15" t="s">
        <v>2141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181714F2BAAC8409RKXN       718J7A4301295</v>
      </c>
    </row>
    <row r="8" spans="1:3">
      <c r="A8" s="15" t="s">
        <v>2990</v>
      </c>
      <c r="B8" s="15">
        <f>LEN(C8)-LEN(SUBSTITUTE(C8,",",""))+1</f>
        <v>4</v>
      </c>
      <c r="C8" s="7" t="str" cm="1">
        <f t="array" ref="C8">_xlfn.TEXTJOIN(", ",,_xlfn._xlws.FILTER(Tabela1[[#All],[NUMER SERYJNY]],((Tabela1[[#All],[NAZWA]]=$A8)*(Tabela1[[#All],[KOMENTARZ]]=$A2)),"----------"))</f>
        <v>SNL327, SNL328, SNL329, SNL330</v>
      </c>
    </row>
    <row r="9" spans="1:3">
      <c r="A9" s="15" t="s">
        <v>2032</v>
      </c>
      <c r="B9" s="15">
        <f>LEN(C9)-LEN(SUBSTITUTE(C9,",",""))+1</f>
        <v>2</v>
      </c>
      <c r="C9" s="7" t="str" cm="1">
        <f t="array" ref="C9">_xlfn.TEXTJOIN(", ",,_xlfn._xlws.FILTER(Tabela1[[#All],[NUMER SERYJNY]],((Tabela1[[#All],[NAZWA]]=$A9)*(Tabela1[[#All],[KOMENTARZ]]=$A2)),"----------"))</f>
        <v>S45RNC0T237775, S45RNC0T242604</v>
      </c>
    </row>
    <row r="10" spans="1:3">
      <c r="A10" s="15" t="s">
        <v>2984</v>
      </c>
      <c r="B10" s="15">
        <f t="shared" ref="B10:B16" si="1">LEN(C10)-LEN(SUBSTITUTE(C10,",",""))+1</f>
        <v>3</v>
      </c>
      <c r="C10" s="7" t="str" cm="1">
        <f t="array" ref="C10">_xlfn.TEXTJOIN(", ",,_xlfn._xlws.FILTER(Tabela1[[#All],[NUMER SERYJNY]],((Tabela1[[#All],[NAZWA]]=$A10)*(Tabela1[[#All],[KOMENTARZ]]=$A2)),"----------"))</f>
        <v>V9KLK5PL, V9KLDSRL, V9KLN8ZL</v>
      </c>
    </row>
    <row r="11" spans="1:3">
      <c r="A11" s="15"/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----------</v>
      </c>
    </row>
    <row r="12" spans="1:3">
      <c r="A12" s="15"/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----------</v>
      </c>
    </row>
    <row r="13" spans="1:3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SERYJNY]],((Tabela1[[#All],[NAZWA]]=$A13)*(Tabela1[[#All],[KOMENTARZ]]=$A2)),"----------"))</f>
        <v>----------</v>
      </c>
    </row>
    <row r="14" spans="1:3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SERYJNY]],((Tabela1[[#All],[NAZWA]]=$A14)*(Tabela1[[#All],[KOMENTARZ]]=$A2)),"----------"))</f>
        <v>----------</v>
      </c>
    </row>
    <row r="15" spans="1:3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SERYJNY]],((Tabela1[[#All],[NAZWA]]=$A15)*(Tabela1[[#All],[KOMENTARZ]]=$A2)),"----------"))</f>
        <v>----------</v>
      </c>
    </row>
    <row r="16" spans="1:3">
      <c r="A16" s="15"/>
      <c r="B16" s="15">
        <f t="shared" si="1"/>
        <v>1</v>
      </c>
      <c r="C16" s="7" t="str" cm="1">
        <f t="array" ref="C16">_xlfn.TEXTJOIN(", ",,_xlfn._xlws.FILTER(Tabela1[[#All],[NUMER SERYJNY]],((Tabela1[[#All],[NAZWA]]=$A16)*(Tabela1[[#All],[KOMENTARZ]]=$A2)),"----------"))</f>
        <v>----------</v>
      </c>
    </row>
    <row r="17" spans="1:3" ht="18.75">
      <c r="A17" s="16"/>
      <c r="B17" s="16"/>
      <c r="C17" s="10"/>
    </row>
    <row r="18" spans="1:3">
      <c r="A18" s="12"/>
      <c r="B18" s="13"/>
      <c r="C18" s="8"/>
    </row>
    <row r="19" spans="1:3">
      <c r="A19" s="14"/>
      <c r="B19" s="14"/>
      <c r="C19" s="9"/>
    </row>
    <row r="20" spans="1:3">
      <c r="A20" s="15"/>
      <c r="B20" s="15"/>
      <c r="C20" s="7"/>
    </row>
    <row r="21" spans="1:3">
      <c r="A21" s="15"/>
      <c r="B21" s="15"/>
      <c r="C21" s="7"/>
    </row>
    <row r="22" spans="1:3">
      <c r="A22" s="15"/>
      <c r="B22" s="15"/>
      <c r="C22" s="7"/>
    </row>
    <row r="23" spans="1:3">
      <c r="A23" s="15"/>
      <c r="B23" s="15"/>
      <c r="C23" s="7"/>
    </row>
    <row r="24" spans="1:3">
      <c r="A24" s="15"/>
      <c r="B24" s="15"/>
      <c r="C24" s="7"/>
    </row>
    <row r="25" spans="1:3">
      <c r="A25" s="15"/>
      <c r="B25" s="15"/>
      <c r="C25" s="7"/>
    </row>
    <row r="26" spans="1:3">
      <c r="A26" s="15"/>
      <c r="B26" s="15"/>
      <c r="C26" s="7"/>
    </row>
    <row r="27" spans="1:3">
      <c r="A27" s="15"/>
      <c r="B27" s="15"/>
      <c r="C27" s="7"/>
    </row>
    <row r="28" spans="1:3">
      <c r="A28" s="15"/>
      <c r="B28" s="15"/>
      <c r="C28" s="7"/>
    </row>
    <row r="29" spans="1:3">
      <c r="A29" s="15"/>
      <c r="B29" s="15"/>
      <c r="C29" s="7"/>
    </row>
    <row r="30" spans="1:3">
      <c r="A30" s="15"/>
      <c r="B30" s="15"/>
      <c r="C30" s="7"/>
    </row>
    <row r="31" spans="1:3">
      <c r="A31" s="15"/>
      <c r="B31" s="15"/>
      <c r="C31" s="7"/>
    </row>
    <row r="32" spans="1:3">
      <c r="A32" s="15"/>
      <c r="B32" s="15"/>
      <c r="C32" s="7"/>
    </row>
    <row r="33" spans="1:3">
      <c r="A33" s="14"/>
      <c r="B33" s="14"/>
      <c r="C33" s="9"/>
    </row>
    <row r="34" spans="1:3">
      <c r="A34" s="12"/>
      <c r="B34" s="13"/>
      <c r="C34" s="8"/>
    </row>
    <row r="35" spans="1:3">
      <c r="A35" s="14"/>
      <c r="B35" s="14"/>
      <c r="C35" s="9"/>
    </row>
    <row r="36" spans="1:3">
      <c r="A36" s="15"/>
      <c r="B36" s="15"/>
      <c r="C36" s="7"/>
    </row>
    <row r="37" spans="1:3">
      <c r="A37" s="15"/>
      <c r="B37" s="15"/>
      <c r="C37" s="7"/>
    </row>
    <row r="38" spans="1:3">
      <c r="A38" s="15"/>
      <c r="B38" s="15"/>
      <c r="C38" s="7"/>
    </row>
    <row r="39" spans="1:3">
      <c r="A39" s="15"/>
      <c r="B39" s="15"/>
      <c r="C39" s="7"/>
    </row>
    <row r="40" spans="1:3">
      <c r="A40" s="15"/>
      <c r="B40" s="15"/>
      <c r="C40" s="7"/>
    </row>
    <row r="41" spans="1:3">
      <c r="A41" s="15"/>
      <c r="B41" s="15"/>
      <c r="C41" s="7"/>
    </row>
    <row r="42" spans="1:3">
      <c r="A42" s="15"/>
      <c r="B42" s="15"/>
      <c r="C42" s="7"/>
    </row>
    <row r="43" spans="1:3">
      <c r="A43" s="15"/>
      <c r="B43" s="15"/>
      <c r="C43" s="7"/>
    </row>
    <row r="44" spans="1:3">
      <c r="A44" s="15"/>
      <c r="B44" s="15"/>
      <c r="C44" s="7"/>
    </row>
    <row r="45" spans="1:3">
      <c r="A45" s="15"/>
      <c r="B45" s="15"/>
      <c r="C45" s="7"/>
    </row>
    <row r="46" spans="1:3">
      <c r="A46" s="15"/>
      <c r="B46" s="15"/>
      <c r="C46" s="7"/>
    </row>
    <row r="47" spans="1:3">
      <c r="A47" s="15"/>
      <c r="B47" s="15"/>
      <c r="C47" s="7"/>
    </row>
    <row r="48" spans="1:3">
      <c r="A48" s="15"/>
      <c r="B48" s="15"/>
      <c r="C48" s="7"/>
    </row>
    <row r="49" spans="1:3">
      <c r="A49" s="15"/>
      <c r="B49" s="15"/>
      <c r="C49" s="7"/>
    </row>
    <row r="50" spans="1:3">
      <c r="A50" s="12"/>
      <c r="B50" s="13"/>
      <c r="C50" s="8"/>
    </row>
    <row r="51" spans="1:3">
      <c r="A51" s="14"/>
      <c r="B51" s="14"/>
      <c r="C51" s="9"/>
    </row>
    <row r="52" spans="1:3">
      <c r="A52" s="15"/>
      <c r="B52" s="15"/>
      <c r="C52" s="7"/>
    </row>
    <row r="53" spans="1:3">
      <c r="A53" s="15"/>
      <c r="B53" s="15"/>
      <c r="C53" s="7"/>
    </row>
    <row r="54" spans="1:3">
      <c r="A54" s="15"/>
      <c r="B54" s="15"/>
      <c r="C54" s="7"/>
    </row>
    <row r="55" spans="1:3">
      <c r="A55" s="15"/>
      <c r="B55" s="15"/>
      <c r="C55" s="7"/>
    </row>
    <row r="56" spans="1:3">
      <c r="A56" s="15"/>
      <c r="B56" s="15"/>
      <c r="C56" s="7"/>
    </row>
    <row r="57" spans="1:3">
      <c r="A57" s="15"/>
      <c r="B57" s="15"/>
      <c r="C57" s="7"/>
    </row>
    <row r="58" spans="1:3">
      <c r="A58" s="15"/>
      <c r="B58" s="15"/>
      <c r="C58" s="7"/>
    </row>
    <row r="59" spans="1:3">
      <c r="A59" s="15"/>
      <c r="B59" s="15"/>
      <c r="C59" s="7"/>
    </row>
    <row r="60" spans="1:3">
      <c r="A60" s="15"/>
      <c r="B60" s="15"/>
      <c r="C60" s="7"/>
    </row>
    <row r="61" spans="1:3">
      <c r="A61" s="15"/>
      <c r="B61" s="15"/>
      <c r="C61" s="7"/>
    </row>
    <row r="62" spans="1:3">
      <c r="A62" s="15"/>
      <c r="B62" s="15"/>
      <c r="C62" s="7"/>
    </row>
    <row r="63" spans="1:3">
      <c r="A63" s="15"/>
      <c r="B63" s="15"/>
      <c r="C63" s="7"/>
    </row>
    <row r="64" spans="1:3">
      <c r="A64" s="15"/>
      <c r="B64" s="15"/>
      <c r="C64" s="7"/>
    </row>
    <row r="65" spans="1:3">
      <c r="A65" s="15"/>
      <c r="B65" s="15"/>
      <c r="C65" s="7"/>
    </row>
    <row r="66" spans="1:3">
      <c r="A66" s="12"/>
      <c r="B66" s="13"/>
      <c r="C66" s="8"/>
    </row>
    <row r="67" spans="1:3">
      <c r="A67" s="14"/>
      <c r="B67" s="14"/>
      <c r="C67" s="9"/>
    </row>
    <row r="68" spans="1:3">
      <c r="A68" s="15"/>
      <c r="B68" s="15"/>
      <c r="C68" s="7"/>
    </row>
    <row r="69" spans="1:3">
      <c r="A69" s="15"/>
      <c r="B69" s="15"/>
      <c r="C69" s="7"/>
    </row>
    <row r="70" spans="1:3">
      <c r="A70" s="15"/>
      <c r="B70" s="15"/>
      <c r="C70" s="7"/>
    </row>
    <row r="71" spans="1:3">
      <c r="A71" s="15"/>
      <c r="B71" s="15"/>
      <c r="C71" s="7"/>
    </row>
    <row r="72" spans="1:3">
      <c r="A72" s="15"/>
      <c r="B72" s="15"/>
      <c r="C72" s="7"/>
    </row>
    <row r="73" spans="1:3">
      <c r="A73" s="15"/>
      <c r="B73" s="15"/>
      <c r="C73" s="7"/>
    </row>
    <row r="74" spans="1:3">
      <c r="A74" s="15"/>
      <c r="B74" s="15"/>
      <c r="C74" s="7"/>
    </row>
    <row r="75" spans="1:3">
      <c r="A75" s="15"/>
      <c r="B75" s="15"/>
      <c r="C75" s="7"/>
    </row>
    <row r="76" spans="1:3">
      <c r="A76" s="15"/>
      <c r="B76" s="15"/>
      <c r="C76" s="7"/>
    </row>
    <row r="77" spans="1:3">
      <c r="A77" s="15"/>
      <c r="B77" s="15"/>
      <c r="C77" s="7"/>
    </row>
    <row r="78" spans="1:3">
      <c r="A78" s="15"/>
      <c r="B78" s="15"/>
      <c r="C78" s="7"/>
    </row>
    <row r="79" spans="1:3">
      <c r="A79" s="15"/>
      <c r="B79" s="15"/>
      <c r="C79" s="7"/>
    </row>
    <row r="80" spans="1:3">
      <c r="A80" s="15"/>
      <c r="B80" s="15"/>
      <c r="C80" s="7"/>
    </row>
    <row r="81" spans="1:3">
      <c r="A81" s="15"/>
      <c r="B81" s="15"/>
      <c r="C81" s="7"/>
    </row>
    <row r="82" spans="1:3">
      <c r="A82" s="12"/>
      <c r="B82" s="13"/>
      <c r="C82" s="8"/>
    </row>
    <row r="83" spans="1:3">
      <c r="A83" s="14"/>
      <c r="B83" s="14"/>
      <c r="C83" s="9"/>
    </row>
    <row r="84" spans="1:3">
      <c r="A84" s="15"/>
      <c r="B84" s="15"/>
      <c r="C84" s="7"/>
    </row>
    <row r="85" spans="1:3">
      <c r="A85" s="15"/>
      <c r="B85" s="15"/>
      <c r="C85" s="7"/>
    </row>
    <row r="86" spans="1:3">
      <c r="A86" s="15"/>
      <c r="B86" s="15"/>
      <c r="C86" s="7"/>
    </row>
    <row r="87" spans="1:3">
      <c r="A87" s="15"/>
      <c r="B87" s="15"/>
      <c r="C87" s="7"/>
    </row>
    <row r="88" spans="1:3">
      <c r="A88" s="15"/>
      <c r="B88" s="15"/>
      <c r="C88" s="7"/>
    </row>
    <row r="89" spans="1:3">
      <c r="A89" s="15"/>
      <c r="B89" s="15"/>
      <c r="C89" s="7"/>
    </row>
    <row r="90" spans="1:3">
      <c r="A90" s="15"/>
      <c r="B90" s="15"/>
      <c r="C90" s="7"/>
    </row>
    <row r="91" spans="1:3">
      <c r="A91" s="15"/>
      <c r="B91" s="15"/>
      <c r="C91" s="7"/>
    </row>
    <row r="92" spans="1:3">
      <c r="A92" s="15"/>
      <c r="B92" s="15"/>
      <c r="C92" s="7"/>
    </row>
    <row r="93" spans="1:3">
      <c r="A93" s="15"/>
      <c r="B93" s="15"/>
      <c r="C93" s="7"/>
    </row>
    <row r="94" spans="1:3">
      <c r="A94" s="15"/>
      <c r="B94" s="15"/>
      <c r="C94" s="7"/>
    </row>
    <row r="95" spans="1:3">
      <c r="A95" s="15"/>
      <c r="B95" s="15"/>
      <c r="C95" s="7"/>
    </row>
    <row r="96" spans="1:3">
      <c r="A96" s="15"/>
      <c r="B96" s="15"/>
      <c r="C96" s="7"/>
    </row>
    <row r="97" spans="1:3">
      <c r="A97" s="15"/>
      <c r="B97" s="15"/>
      <c r="C97" s="7"/>
    </row>
    <row r="98" spans="1:3">
      <c r="A98" s="15"/>
      <c r="B98" s="15"/>
      <c r="C98" s="7"/>
    </row>
    <row r="99" spans="1:3">
      <c r="A99" s="12"/>
      <c r="B99" s="13"/>
      <c r="C99" s="8"/>
    </row>
    <row r="100" spans="1:3">
      <c r="A100" s="14"/>
      <c r="B100" s="14"/>
      <c r="C100" s="9"/>
    </row>
    <row r="101" spans="1:3">
      <c r="A101" s="15"/>
      <c r="B101" s="15"/>
      <c r="C101" s="7"/>
    </row>
    <row r="102" spans="1:3">
      <c r="A102" s="15"/>
      <c r="B102" s="15"/>
      <c r="C102" s="7"/>
    </row>
    <row r="103" spans="1:3">
      <c r="A103" s="15"/>
      <c r="B103" s="15"/>
      <c r="C103" s="7"/>
    </row>
    <row r="104" spans="1:3">
      <c r="A104" s="15"/>
      <c r="B104" s="15"/>
      <c r="C104" s="7"/>
    </row>
    <row r="105" spans="1:3">
      <c r="A105" s="15"/>
      <c r="B105" s="15"/>
      <c r="C105" s="7"/>
    </row>
    <row r="106" spans="1:3">
      <c r="A106" s="15"/>
      <c r="B106" s="15"/>
      <c r="C106" s="7"/>
    </row>
    <row r="107" spans="1:3">
      <c r="A107" s="15"/>
      <c r="B107" s="15"/>
      <c r="C107" s="7"/>
    </row>
    <row r="108" spans="1:3">
      <c r="A108" s="15"/>
      <c r="B108" s="15"/>
      <c r="C108" s="7"/>
    </row>
    <row r="109" spans="1:3">
      <c r="A109" s="15"/>
      <c r="B109" s="15"/>
      <c r="C109" s="7"/>
    </row>
    <row r="110" spans="1:3">
      <c r="A110" s="15"/>
      <c r="B110" s="15"/>
      <c r="C110" s="7"/>
    </row>
    <row r="111" spans="1:3">
      <c r="A111" s="15"/>
      <c r="B111" s="15"/>
      <c r="C111" s="7"/>
    </row>
    <row r="112" spans="1:3">
      <c r="A112" s="15"/>
      <c r="B112" s="15"/>
      <c r="C112" s="7"/>
    </row>
    <row r="113" spans="1:3">
      <c r="A113" s="15"/>
      <c r="B113" s="15"/>
      <c r="C113" s="7"/>
    </row>
    <row r="115" spans="1:3">
      <c r="A115" s="12"/>
      <c r="B115" s="13"/>
      <c r="C115" s="8"/>
    </row>
    <row r="116" spans="1:3">
      <c r="A116" s="14"/>
      <c r="B116" s="14"/>
      <c r="C116" s="9"/>
    </row>
    <row r="117" spans="1:3">
      <c r="A117" s="15"/>
      <c r="B117" s="15"/>
      <c r="C117" s="7"/>
    </row>
    <row r="118" spans="1:3">
      <c r="A118" s="15"/>
      <c r="B118" s="15"/>
      <c r="C118" s="7"/>
    </row>
    <row r="119" spans="1:3">
      <c r="A119" s="15"/>
      <c r="B119" s="15"/>
      <c r="C119" s="7"/>
    </row>
    <row r="120" spans="1:3">
      <c r="A120" s="15"/>
      <c r="B120" s="15"/>
      <c r="C120" s="7"/>
    </row>
    <row r="121" spans="1:3">
      <c r="A121" s="15"/>
      <c r="B121" s="15"/>
      <c r="C121" s="7"/>
    </row>
    <row r="122" spans="1:3">
      <c r="A122" s="15"/>
      <c r="B122" s="15"/>
      <c r="C122" s="7"/>
    </row>
    <row r="123" spans="1:3">
      <c r="A123" s="15"/>
      <c r="B123" s="15"/>
      <c r="C123" s="7"/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5"/>
      <c r="B126" s="15"/>
      <c r="C126" s="7"/>
    </row>
    <row r="127" spans="1:3">
      <c r="A127" s="15"/>
      <c r="B127" s="15"/>
      <c r="C127" s="7"/>
    </row>
    <row r="128" spans="1:3">
      <c r="A128" s="15"/>
      <c r="B128" s="15"/>
      <c r="C128" s="7"/>
    </row>
    <row r="129" spans="1:3">
      <c r="A129" s="15"/>
      <c r="B129" s="15"/>
      <c r="C129" s="7"/>
    </row>
    <row r="131" spans="1:3">
      <c r="A131" s="12"/>
      <c r="B131" s="13"/>
      <c r="C131" s="8"/>
    </row>
    <row r="132" spans="1:3">
      <c r="A132" s="14"/>
      <c r="B132" s="14"/>
      <c r="C132" s="9"/>
    </row>
    <row r="133" spans="1:3">
      <c r="A133" s="15"/>
      <c r="B133" s="15"/>
      <c r="C133" s="7"/>
    </row>
    <row r="134" spans="1:3">
      <c r="A134" s="15"/>
      <c r="B134" s="15"/>
      <c r="C134" s="7"/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>
      <c r="A137" s="15"/>
      <c r="B137" s="15"/>
      <c r="C137" s="7"/>
    </row>
    <row r="138" spans="1:3">
      <c r="A138" s="15"/>
      <c r="B138" s="15"/>
      <c r="C138" s="7"/>
    </row>
    <row r="139" spans="1:3">
      <c r="A139" s="15"/>
      <c r="B139" s="15"/>
      <c r="C139" s="7"/>
    </row>
    <row r="140" spans="1:3">
      <c r="A140" s="15"/>
      <c r="B140" s="15"/>
      <c r="C140" s="7"/>
    </row>
    <row r="141" spans="1:3">
      <c r="A141" s="15"/>
      <c r="B141" s="15"/>
      <c r="C141" s="7"/>
    </row>
    <row r="142" spans="1:3">
      <c r="A142" s="15"/>
      <c r="B142" s="15"/>
      <c r="C142" s="7"/>
    </row>
    <row r="143" spans="1:3">
      <c r="A143" s="15"/>
      <c r="B143" s="15"/>
      <c r="C143" s="7"/>
    </row>
    <row r="144" spans="1:3">
      <c r="A144" s="15"/>
      <c r="B144" s="15"/>
      <c r="C144" s="7"/>
    </row>
    <row r="145" spans="1:3">
      <c r="A145" s="15"/>
      <c r="B145" s="15"/>
      <c r="C145" s="7"/>
    </row>
    <row r="147" spans="1:3">
      <c r="A147" s="12"/>
      <c r="B147" s="13"/>
      <c r="C147" s="8"/>
    </row>
    <row r="148" spans="1:3">
      <c r="A148" s="14"/>
      <c r="B148" s="14"/>
      <c r="C148" s="9"/>
    </row>
    <row r="149" spans="1:3">
      <c r="A149" s="15"/>
      <c r="B149" s="15"/>
      <c r="C149" s="7"/>
    </row>
    <row r="150" spans="1:3">
      <c r="A150" s="15"/>
      <c r="B150" s="15"/>
      <c r="C150" s="7"/>
    </row>
    <row r="151" spans="1:3">
      <c r="A151" s="15"/>
      <c r="B151" s="15"/>
      <c r="C151" s="7"/>
    </row>
    <row r="152" spans="1:3">
      <c r="A152" s="15"/>
      <c r="B152" s="15"/>
      <c r="C152" s="7"/>
    </row>
    <row r="153" spans="1:3">
      <c r="A153" s="15"/>
      <c r="B153" s="15"/>
      <c r="C153" s="7"/>
    </row>
    <row r="154" spans="1:3">
      <c r="A154" s="15"/>
      <c r="B154" s="15"/>
      <c r="C154" s="7"/>
    </row>
    <row r="155" spans="1:3">
      <c r="A155" s="15"/>
      <c r="B155" s="15"/>
      <c r="C155" s="7"/>
    </row>
    <row r="156" spans="1:3">
      <c r="A156" s="15"/>
      <c r="B156" s="15"/>
      <c r="C156" s="7"/>
    </row>
    <row r="157" spans="1:3">
      <c r="A157" s="15"/>
      <c r="B157" s="15"/>
      <c r="C157" s="7"/>
    </row>
    <row r="158" spans="1:3">
      <c r="A158" s="15"/>
      <c r="B158" s="15"/>
      <c r="C158" s="7"/>
    </row>
    <row r="159" spans="1:3">
      <c r="A159" s="15"/>
      <c r="B159" s="15"/>
      <c r="C159" s="7"/>
    </row>
    <row r="160" spans="1:3">
      <c r="A160" s="15"/>
      <c r="B160" s="15"/>
      <c r="C160" s="7"/>
    </row>
    <row r="161" spans="1:3">
      <c r="A161" s="15"/>
      <c r="B161" s="15"/>
      <c r="C161" s="7"/>
    </row>
    <row r="163" spans="1:3">
      <c r="A163" s="12"/>
      <c r="B163" s="13"/>
      <c r="C163" s="8"/>
    </row>
    <row r="164" spans="1:3">
      <c r="A164" s="14"/>
      <c r="B164" s="14"/>
      <c r="C164" s="9"/>
    </row>
    <row r="165" spans="1:3">
      <c r="A165" s="15"/>
      <c r="B165" s="15"/>
      <c r="C165" s="7"/>
    </row>
    <row r="166" spans="1:3">
      <c r="A166" s="15"/>
      <c r="B166" s="15"/>
      <c r="C166" s="7"/>
    </row>
    <row r="167" spans="1:3">
      <c r="A167" s="15"/>
      <c r="B167" s="15"/>
      <c r="C167" s="7"/>
    </row>
    <row r="168" spans="1:3">
      <c r="A168" s="15"/>
      <c r="B168" s="15"/>
      <c r="C168" s="7"/>
    </row>
    <row r="169" spans="1:3">
      <c r="A169" s="15"/>
      <c r="B169" s="15"/>
      <c r="C169" s="7"/>
    </row>
    <row r="170" spans="1:3">
      <c r="A170" s="15"/>
      <c r="B170" s="15"/>
      <c r="C170" s="7"/>
    </row>
    <row r="171" spans="1:3">
      <c r="A171" s="15"/>
      <c r="B171" s="15"/>
      <c r="C171" s="7"/>
    </row>
    <row r="172" spans="1:3">
      <c r="A172" s="15"/>
      <c r="B172" s="15"/>
      <c r="C172" s="7"/>
    </row>
    <row r="173" spans="1:3">
      <c r="A173" s="15"/>
      <c r="B173" s="15"/>
      <c r="C173" s="7"/>
    </row>
    <row r="174" spans="1:3">
      <c r="A174" s="15"/>
      <c r="B174" s="15"/>
      <c r="C174" s="7"/>
    </row>
    <row r="175" spans="1:3">
      <c r="A175" s="15"/>
      <c r="B175" s="15"/>
      <c r="C175" s="7"/>
    </row>
    <row r="176" spans="1:3">
      <c r="A176" s="15"/>
      <c r="B176" s="15"/>
      <c r="C176" s="7"/>
    </row>
    <row r="177" spans="1:3">
      <c r="A177" s="15"/>
      <c r="B177" s="15"/>
      <c r="C177" s="7"/>
    </row>
    <row r="180" spans="1:3">
      <c r="A180" s="12"/>
      <c r="B180" s="13"/>
      <c r="C180" s="8"/>
    </row>
    <row r="181" spans="1:3">
      <c r="A181" s="14"/>
      <c r="B181" s="14"/>
      <c r="C181" s="9"/>
    </row>
    <row r="182" spans="1:3">
      <c r="A182" s="15"/>
      <c r="B182" s="15"/>
      <c r="C182" s="7"/>
    </row>
    <row r="183" spans="1:3">
      <c r="A183" s="15"/>
      <c r="B183" s="15"/>
      <c r="C183" s="7"/>
    </row>
    <row r="184" spans="1:3">
      <c r="A184" s="15"/>
      <c r="B184" s="15"/>
      <c r="C184" s="7"/>
    </row>
    <row r="185" spans="1:3">
      <c r="A185" s="15"/>
      <c r="B185" s="15"/>
      <c r="C185" s="7"/>
    </row>
    <row r="186" spans="1:3">
      <c r="A186" s="15"/>
      <c r="B186" s="15"/>
      <c r="C186" s="7"/>
    </row>
    <row r="187" spans="1:3">
      <c r="A187" s="15"/>
      <c r="B187" s="15"/>
      <c r="C187" s="7"/>
    </row>
    <row r="188" spans="1:3">
      <c r="A188" s="15"/>
      <c r="B188" s="15"/>
      <c r="C188" s="7"/>
    </row>
    <row r="189" spans="1:3">
      <c r="A189" s="15"/>
      <c r="B189" s="15"/>
      <c r="C189" s="7"/>
    </row>
    <row r="190" spans="1:3">
      <c r="A190" s="15"/>
      <c r="B190" s="15"/>
      <c r="C190" s="7"/>
    </row>
    <row r="191" spans="1:3">
      <c r="A191" s="15"/>
      <c r="B191" s="15"/>
      <c r="C191" s="7"/>
    </row>
    <row r="192" spans="1:3">
      <c r="A192" s="15"/>
      <c r="B192" s="15"/>
      <c r="C192" s="7"/>
    </row>
    <row r="193" spans="1:3">
      <c r="A193" s="15"/>
      <c r="B193" s="15"/>
      <c r="C193" s="7"/>
    </row>
    <row r="194" spans="1:3">
      <c r="A194" s="15"/>
      <c r="B194" s="15"/>
      <c r="C194" s="7"/>
    </row>
    <row r="196" spans="1:3">
      <c r="A196" s="12"/>
      <c r="B196" s="13"/>
      <c r="C196" s="8"/>
    </row>
    <row r="197" spans="1:3">
      <c r="A197" s="14"/>
      <c r="B197" s="14"/>
      <c r="C197" s="9"/>
    </row>
    <row r="198" spans="1:3">
      <c r="A198" s="15"/>
      <c r="B198" s="15"/>
      <c r="C198" s="7"/>
    </row>
    <row r="199" spans="1:3">
      <c r="A199" s="15"/>
      <c r="B199" s="15"/>
      <c r="C199" s="7"/>
    </row>
    <row r="200" spans="1:3">
      <c r="A200" s="15"/>
      <c r="B200" s="15"/>
      <c r="C200" s="7"/>
    </row>
    <row r="201" spans="1:3">
      <c r="A201" s="15"/>
      <c r="B201" s="15"/>
      <c r="C201" s="7"/>
    </row>
    <row r="202" spans="1:3">
      <c r="A202" s="15"/>
      <c r="B202" s="15"/>
      <c r="C202" s="7"/>
    </row>
    <row r="203" spans="1:3">
      <c r="A203" s="15"/>
      <c r="B203" s="15"/>
      <c r="C203" s="7"/>
    </row>
    <row r="204" spans="1:3">
      <c r="A204" s="15"/>
      <c r="B204" s="15"/>
      <c r="C204" s="7"/>
    </row>
    <row r="205" spans="1:3">
      <c r="A205" s="15"/>
      <c r="B205" s="15"/>
      <c r="C205" s="7"/>
    </row>
    <row r="206" spans="1:3">
      <c r="A206" s="15"/>
      <c r="B206" s="15"/>
      <c r="C206" s="7"/>
    </row>
    <row r="207" spans="1:3">
      <c r="A207" s="15"/>
      <c r="B207" s="15"/>
      <c r="C207" s="7"/>
    </row>
    <row r="208" spans="1:3">
      <c r="A208" s="15"/>
      <c r="B208" s="15"/>
      <c r="C208" s="7"/>
    </row>
    <row r="209" spans="1:3">
      <c r="A209" s="15"/>
      <c r="B209" s="15"/>
      <c r="C209" s="7"/>
    </row>
    <row r="210" spans="1:3">
      <c r="A210" s="15"/>
      <c r="B210" s="15"/>
      <c r="C210" s="7"/>
    </row>
  </sheetData>
  <conditionalFormatting sqref="F3">
    <cfRule type="duplicateValues" dxfId="212" priority="34"/>
  </conditionalFormatting>
  <conditionalFormatting sqref="C1:C17 C114 C130 C146 C162 C178:C179 C195 C211:C1048576">
    <cfRule type="duplicateValues" dxfId="211" priority="33"/>
  </conditionalFormatting>
  <conditionalFormatting sqref="C33">
    <cfRule type="duplicateValues" dxfId="210" priority="32"/>
  </conditionalFormatting>
  <conditionalFormatting sqref="C49">
    <cfRule type="duplicateValues" dxfId="209" priority="31"/>
  </conditionalFormatting>
  <conditionalFormatting sqref="C65">
    <cfRule type="duplicateValues" dxfId="208" priority="30"/>
  </conditionalFormatting>
  <conditionalFormatting sqref="C81">
    <cfRule type="duplicateValues" dxfId="207" priority="29"/>
  </conditionalFormatting>
  <conditionalFormatting sqref="C97:C98">
    <cfRule type="duplicateValues" dxfId="206" priority="28"/>
  </conditionalFormatting>
  <conditionalFormatting sqref="C18 C30:C32">
    <cfRule type="duplicateValues" dxfId="205" priority="27"/>
  </conditionalFormatting>
  <conditionalFormatting sqref="C34 C46:C48">
    <cfRule type="duplicateValues" dxfId="204" priority="26"/>
  </conditionalFormatting>
  <conditionalFormatting sqref="C50 C62:C64">
    <cfRule type="duplicateValues" dxfId="203" priority="25"/>
  </conditionalFormatting>
  <conditionalFormatting sqref="C66 C78:C80">
    <cfRule type="duplicateValues" dxfId="202" priority="24"/>
  </conditionalFormatting>
  <conditionalFormatting sqref="C82 C94:C96">
    <cfRule type="duplicateValues" dxfId="201" priority="23"/>
  </conditionalFormatting>
  <conditionalFormatting sqref="C99">
    <cfRule type="duplicateValues" dxfId="200" priority="22"/>
  </conditionalFormatting>
  <conditionalFormatting sqref="C115">
    <cfRule type="duplicateValues" dxfId="199" priority="21"/>
  </conditionalFormatting>
  <conditionalFormatting sqref="C131">
    <cfRule type="duplicateValues" dxfId="198" priority="20"/>
  </conditionalFormatting>
  <conditionalFormatting sqref="C147 C158:C161">
    <cfRule type="duplicateValues" dxfId="197" priority="19"/>
  </conditionalFormatting>
  <conditionalFormatting sqref="C163 C174:C177">
    <cfRule type="duplicateValues" dxfId="196" priority="18"/>
  </conditionalFormatting>
  <conditionalFormatting sqref="C180 C191:C194">
    <cfRule type="duplicateValues" dxfId="195" priority="17"/>
  </conditionalFormatting>
  <conditionalFormatting sqref="C196 C207:C210">
    <cfRule type="duplicateValues" dxfId="194" priority="16"/>
  </conditionalFormatting>
  <conditionalFormatting sqref="C19:C29">
    <cfRule type="duplicateValues" dxfId="193" priority="15"/>
  </conditionalFormatting>
  <conditionalFormatting sqref="C35:C45">
    <cfRule type="duplicateValues" dxfId="192" priority="14"/>
  </conditionalFormatting>
  <conditionalFormatting sqref="C51:C61">
    <cfRule type="duplicateValues" dxfId="191" priority="13"/>
  </conditionalFormatting>
  <conditionalFormatting sqref="C67:C77">
    <cfRule type="duplicateValues" dxfId="190" priority="12"/>
  </conditionalFormatting>
  <conditionalFormatting sqref="C83:C93">
    <cfRule type="duplicateValues" dxfId="189" priority="11"/>
  </conditionalFormatting>
  <conditionalFormatting sqref="C100:C109">
    <cfRule type="duplicateValues" dxfId="188" priority="10"/>
  </conditionalFormatting>
  <conditionalFormatting sqref="C116:C125">
    <cfRule type="duplicateValues" dxfId="187" priority="9"/>
  </conditionalFormatting>
  <conditionalFormatting sqref="C132:C141">
    <cfRule type="duplicateValues" dxfId="186" priority="8"/>
  </conditionalFormatting>
  <conditionalFormatting sqref="C148:C157">
    <cfRule type="duplicateValues" dxfId="185" priority="7"/>
  </conditionalFormatting>
  <conditionalFormatting sqref="C164:C173">
    <cfRule type="duplicateValues" dxfId="184" priority="6"/>
  </conditionalFormatting>
  <conditionalFormatting sqref="C181:C190">
    <cfRule type="duplicateValues" dxfId="183" priority="5"/>
  </conditionalFormatting>
  <conditionalFormatting sqref="C197:C206">
    <cfRule type="duplicateValues" dxfId="182" priority="4"/>
  </conditionalFormatting>
  <conditionalFormatting sqref="C142:C145">
    <cfRule type="duplicateValues" dxfId="181" priority="3"/>
  </conditionalFormatting>
  <conditionalFormatting sqref="C126:C129">
    <cfRule type="duplicateValues" dxfId="180" priority="2"/>
  </conditionalFormatting>
  <conditionalFormatting sqref="C110:C113">
    <cfRule type="duplicateValues" dxfId="179" priority="1"/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3AAE81-9288-45D5-80D3-B6014EF9C5D3}">
  <sheetPr codeName="Arkusz45"/>
  <dimension ref="A1:C210"/>
  <sheetViews>
    <sheetView workbookViewId="0">
      <selection activeCell="A35" sqref="A35"/>
    </sheetView>
  </sheetViews>
  <sheetFormatPr defaultRowHeight="15"/>
  <cols>
    <col min="1" max="1" width="27.42578125" style="11" bestFit="1" customWidth="1"/>
    <col min="2" max="2" width="4.28515625" style="11" customWidth="1"/>
    <col min="3" max="3" width="47.42578125" customWidth="1"/>
  </cols>
  <sheetData>
    <row r="1" spans="1:3">
      <c r="A1" s="11" t="s">
        <v>2982</v>
      </c>
    </row>
    <row r="2" spans="1:3">
      <c r="A2" s="12" t="s">
        <v>2961</v>
      </c>
      <c r="B2" s="13"/>
      <c r="C2" s="8"/>
    </row>
    <row r="3" spans="1:3">
      <c r="A3" s="14" t="s">
        <v>777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C8250FL02P20238</v>
      </c>
    </row>
    <row r="4" spans="1:3">
      <c r="A4" s="15" t="s">
        <v>779</v>
      </c>
      <c r="B4" s="15">
        <f t="shared" si="0"/>
        <v>2</v>
      </c>
      <c r="C4" s="7" t="str" cm="1">
        <f t="array" ref="C4">_xlfn.TEXTJOIN(", ",,_xlfn._xlws.FILTER(Tabela1[[#All],[NUMER SERYJNY]],((Tabela1[[#All],[NAZWA]]=$A4)*(Tabela1[[#All],[KOMENTARZ]]=$A2)),"----------"))</f>
        <v>P802ACL52CU2728, P802ACL52CU2730</v>
      </c>
    </row>
    <row r="5" spans="1:3">
      <c r="A5" s="15" t="s">
        <v>782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EB219S023708</v>
      </c>
    </row>
    <row r="6" spans="1:3">
      <c r="A6" s="15" t="s">
        <v>2971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NM219S005122</v>
      </c>
    </row>
    <row r="7" spans="1:3">
      <c r="A7" s="15" t="s">
        <v>2976</v>
      </c>
      <c r="B7" s="15">
        <f t="shared" si="0"/>
        <v>2</v>
      </c>
      <c r="C7" s="7" t="str" cm="1">
        <f t="array" ref="C7">_xlfn.TEXTJOIN(", ",,_xlfn._xlws.FILTER(Tabela1[[#All],[NUMER SERYJNY]],((Tabela1[[#All],[NAZWA]]=$A7)*(Tabela1[[#All],[KOMENTARZ]]=$A2)),"----------"))</f>
        <v>72BY070200573, 72BY070200576</v>
      </c>
    </row>
    <row r="8" spans="1:3">
      <c r="A8" s="15" t="s">
        <v>1501</v>
      </c>
      <c r="B8" s="15">
        <f>LEN(C8)-LEN(SUBSTITUTE(C8,",",""))+1</f>
        <v>4</v>
      </c>
      <c r="C8" s="7" t="str" cm="1">
        <f t="array" ref="C8">_xlfn.TEXTJOIN(", ",,_xlfn._xlws.FILTER(Tabela1[[#All],[NUMER SERYJNY]],((Tabela1[[#All],[NAZWA]]=$A8)*(Tabela1[[#All],[KOMENTARZ]]=$A2)),"----------"))</f>
        <v>SNL289, SNL290, W8696314, SNI702</v>
      </c>
    </row>
    <row r="9" spans="1:3">
      <c r="A9" s="15" t="s">
        <v>2032</v>
      </c>
      <c r="B9" s="15">
        <f>LEN(C9)-LEN(SUBSTITUTE(C9,",",""))+1</f>
        <v>2</v>
      </c>
      <c r="C9" s="7" t="str" cm="1">
        <f t="array" ref="C9">_xlfn.TEXTJOIN(", ",,_xlfn._xlws.FILTER(Tabela1[[#All],[NUMER SERYJNY]],((Tabela1[[#All],[NAZWA]]=$A9)*(Tabela1[[#All],[KOMENTARZ]]=$A2)),"----------"))</f>
        <v>S45RNC0RC36305, S45RNC0RC36298</v>
      </c>
    </row>
    <row r="10" spans="1:3">
      <c r="A10" s="15"/>
      <c r="B10" s="15">
        <f t="shared" ref="B10:B16" si="1">LEN(C10)-LEN(SUBSTITUTE(C10,",",""))+1</f>
        <v>1</v>
      </c>
      <c r="C10" s="7" t="str" cm="1">
        <f t="array" ref="C10">_xlfn.TEXTJOIN(", ",,_xlfn._xlws.FILTER(Tabela1[[#All],[NUMER SERYJNY]],((Tabela1[[#All],[NAZWA]]=$A10)*(Tabela1[[#All],[KOMENTARZ]]=$A2)),"----------"))</f>
        <v>----------</v>
      </c>
    </row>
    <row r="11" spans="1:3">
      <c r="A11" s="15"/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----------</v>
      </c>
    </row>
    <row r="12" spans="1:3">
      <c r="A12" s="15"/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----------</v>
      </c>
    </row>
    <row r="13" spans="1:3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SERYJNY]],((Tabela1[[#All],[NAZWA]]=$A13)*(Tabela1[[#All],[KOMENTARZ]]=$A2)),"----------"))</f>
        <v>----------</v>
      </c>
    </row>
    <row r="14" spans="1:3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SERYJNY]],((Tabela1[[#All],[NAZWA]]=$A14)*(Tabela1[[#All],[KOMENTARZ]]=$A2)),"----------"))</f>
        <v>----------</v>
      </c>
    </row>
    <row r="15" spans="1:3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SERYJNY]],((Tabela1[[#All],[NAZWA]]=$A15)*(Tabela1[[#All],[KOMENTARZ]]=$A2)),"----------"))</f>
        <v>----------</v>
      </c>
    </row>
    <row r="16" spans="1:3">
      <c r="A16" s="15"/>
      <c r="B16" s="15">
        <f t="shared" si="1"/>
        <v>1</v>
      </c>
      <c r="C16" s="7" t="str" cm="1">
        <f t="array" ref="C16">_xlfn.TEXTJOIN(", ",,_xlfn._xlws.FILTER(Tabela1[[#All],[NUMER SERYJNY]],((Tabela1[[#All],[NAZWA]]=$A16)*(Tabela1[[#All],[KOMENTARZ]]=$A2)),"----------"))</f>
        <v>----------</v>
      </c>
    </row>
    <row r="17" spans="1:3" ht="18.75">
      <c r="A17" s="16"/>
      <c r="B17" s="16"/>
      <c r="C17" s="10"/>
    </row>
    <row r="18" spans="1:3">
      <c r="A18" s="12"/>
      <c r="B18" s="13"/>
      <c r="C18" s="8"/>
    </row>
    <row r="19" spans="1:3">
      <c r="A19" s="14"/>
      <c r="B19" s="14"/>
      <c r="C19" s="9"/>
    </row>
    <row r="20" spans="1:3">
      <c r="A20" s="15"/>
      <c r="B20" s="15"/>
      <c r="C20" s="7"/>
    </row>
    <row r="21" spans="1:3">
      <c r="A21" s="15"/>
      <c r="B21" s="15"/>
      <c r="C21" s="7"/>
    </row>
    <row r="22" spans="1:3">
      <c r="A22" s="15"/>
      <c r="B22" s="15"/>
      <c r="C22" s="7"/>
    </row>
    <row r="23" spans="1:3">
      <c r="A23" s="15"/>
      <c r="B23" s="15"/>
      <c r="C23" s="7"/>
    </row>
    <row r="24" spans="1:3">
      <c r="A24" s="15"/>
      <c r="B24" s="15"/>
      <c r="C24" s="7"/>
    </row>
    <row r="25" spans="1:3">
      <c r="A25" s="15"/>
      <c r="B25" s="15"/>
      <c r="C25" s="7"/>
    </row>
    <row r="26" spans="1:3">
      <c r="A26" s="15"/>
      <c r="B26" s="15"/>
      <c r="C26" s="7"/>
    </row>
    <row r="27" spans="1:3">
      <c r="A27" s="15"/>
      <c r="B27" s="15"/>
      <c r="C27" s="7"/>
    </row>
    <row r="28" spans="1:3">
      <c r="A28" s="15"/>
      <c r="B28" s="15"/>
      <c r="C28" s="7"/>
    </row>
    <row r="29" spans="1:3">
      <c r="A29" s="15"/>
      <c r="B29" s="15"/>
      <c r="C29" s="7"/>
    </row>
    <row r="30" spans="1:3">
      <c r="A30" s="15"/>
      <c r="B30" s="15"/>
      <c r="C30" s="7"/>
    </row>
    <row r="31" spans="1:3">
      <c r="A31" s="15"/>
      <c r="B31" s="15"/>
      <c r="C31" s="7"/>
    </row>
    <row r="32" spans="1:3">
      <c r="A32" s="15"/>
      <c r="B32" s="15"/>
      <c r="C32" s="7"/>
    </row>
    <row r="33" spans="1:3">
      <c r="A33" s="14"/>
      <c r="B33" s="14"/>
      <c r="C33" s="9"/>
    </row>
    <row r="34" spans="1:3">
      <c r="A34" s="12"/>
      <c r="B34" s="13"/>
      <c r="C34" s="8"/>
    </row>
    <row r="35" spans="1:3">
      <c r="A35" s="14"/>
      <c r="B35" s="14"/>
      <c r="C35" s="9"/>
    </row>
    <row r="36" spans="1:3">
      <c r="A36" s="15"/>
      <c r="B36" s="15"/>
      <c r="C36" s="7"/>
    </row>
    <row r="37" spans="1:3">
      <c r="A37" s="15"/>
      <c r="B37" s="15"/>
      <c r="C37" s="7"/>
    </row>
    <row r="38" spans="1:3">
      <c r="A38" s="15"/>
      <c r="B38" s="15"/>
      <c r="C38" s="7"/>
    </row>
    <row r="39" spans="1:3">
      <c r="A39" s="15"/>
      <c r="B39" s="15"/>
      <c r="C39" s="7"/>
    </row>
    <row r="40" spans="1:3">
      <c r="A40" s="15"/>
      <c r="B40" s="15"/>
      <c r="C40" s="7"/>
    </row>
    <row r="41" spans="1:3">
      <c r="A41" s="15"/>
      <c r="B41" s="15"/>
      <c r="C41" s="7"/>
    </row>
    <row r="42" spans="1:3">
      <c r="A42" s="15"/>
      <c r="B42" s="15"/>
      <c r="C42" s="7"/>
    </row>
    <row r="43" spans="1:3">
      <c r="A43" s="15"/>
      <c r="B43" s="15"/>
      <c r="C43" s="7"/>
    </row>
    <row r="44" spans="1:3">
      <c r="A44" s="15"/>
      <c r="B44" s="15"/>
      <c r="C44" s="7"/>
    </row>
    <row r="45" spans="1:3">
      <c r="A45" s="15"/>
      <c r="B45" s="15"/>
      <c r="C45" s="7"/>
    </row>
    <row r="46" spans="1:3">
      <c r="A46" s="15"/>
      <c r="B46" s="15"/>
      <c r="C46" s="7"/>
    </row>
    <row r="47" spans="1:3">
      <c r="A47" s="15"/>
      <c r="B47" s="15"/>
      <c r="C47" s="7"/>
    </row>
    <row r="48" spans="1:3">
      <c r="A48" s="15"/>
      <c r="B48" s="15"/>
      <c r="C48" s="7"/>
    </row>
    <row r="49" spans="1:3">
      <c r="A49" s="15"/>
      <c r="B49" s="15"/>
      <c r="C49" s="7"/>
    </row>
    <row r="50" spans="1:3">
      <c r="A50" s="12"/>
      <c r="B50" s="13"/>
      <c r="C50" s="8"/>
    </row>
    <row r="51" spans="1:3">
      <c r="A51" s="14"/>
      <c r="B51" s="14"/>
      <c r="C51" s="9"/>
    </row>
    <row r="52" spans="1:3">
      <c r="A52" s="15"/>
      <c r="B52" s="15"/>
      <c r="C52" s="7"/>
    </row>
    <row r="53" spans="1:3">
      <c r="A53" s="15"/>
      <c r="B53" s="15"/>
      <c r="C53" s="7"/>
    </row>
    <row r="54" spans="1:3">
      <c r="A54" s="15"/>
      <c r="B54" s="15"/>
      <c r="C54" s="7"/>
    </row>
    <row r="55" spans="1:3">
      <c r="A55" s="15"/>
      <c r="B55" s="15"/>
      <c r="C55" s="7"/>
    </row>
    <row r="56" spans="1:3">
      <c r="A56" s="15"/>
      <c r="B56" s="15"/>
      <c r="C56" s="7"/>
    </row>
    <row r="57" spans="1:3">
      <c r="A57" s="15"/>
      <c r="B57" s="15"/>
      <c r="C57" s="7"/>
    </row>
    <row r="58" spans="1:3">
      <c r="A58" s="15"/>
      <c r="B58" s="15"/>
      <c r="C58" s="7"/>
    </row>
    <row r="59" spans="1:3">
      <c r="A59" s="15"/>
      <c r="B59" s="15"/>
      <c r="C59" s="7"/>
    </row>
    <row r="60" spans="1:3">
      <c r="A60" s="15"/>
      <c r="B60" s="15"/>
      <c r="C60" s="7"/>
    </row>
    <row r="61" spans="1:3">
      <c r="A61" s="15"/>
      <c r="B61" s="15"/>
      <c r="C61" s="7"/>
    </row>
    <row r="62" spans="1:3">
      <c r="A62" s="15"/>
      <c r="B62" s="15"/>
      <c r="C62" s="7"/>
    </row>
    <row r="63" spans="1:3">
      <c r="A63" s="15"/>
      <c r="B63" s="15"/>
      <c r="C63" s="7"/>
    </row>
    <row r="64" spans="1:3">
      <c r="A64" s="15"/>
      <c r="B64" s="15"/>
      <c r="C64" s="7"/>
    </row>
    <row r="65" spans="1:3">
      <c r="A65" s="15"/>
      <c r="B65" s="15"/>
      <c r="C65" s="7"/>
    </row>
    <row r="66" spans="1:3">
      <c r="A66" s="12"/>
      <c r="B66" s="13"/>
      <c r="C66" s="8"/>
    </row>
    <row r="67" spans="1:3">
      <c r="A67" s="14"/>
      <c r="B67" s="14"/>
      <c r="C67" s="9"/>
    </row>
    <row r="68" spans="1:3">
      <c r="A68" s="15"/>
      <c r="B68" s="15"/>
      <c r="C68" s="7"/>
    </row>
    <row r="69" spans="1:3">
      <c r="A69" s="15"/>
      <c r="B69" s="15"/>
      <c r="C69" s="7"/>
    </row>
    <row r="70" spans="1:3">
      <c r="A70" s="15"/>
      <c r="B70" s="15"/>
      <c r="C70" s="7"/>
    </row>
    <row r="71" spans="1:3">
      <c r="A71" s="15"/>
      <c r="B71" s="15"/>
      <c r="C71" s="7"/>
    </row>
    <row r="72" spans="1:3">
      <c r="A72" s="15"/>
      <c r="B72" s="15"/>
      <c r="C72" s="7"/>
    </row>
    <row r="73" spans="1:3">
      <c r="A73" s="15"/>
      <c r="B73" s="15"/>
      <c r="C73" s="7"/>
    </row>
    <row r="74" spans="1:3">
      <c r="A74" s="15"/>
      <c r="B74" s="15"/>
      <c r="C74" s="7"/>
    </row>
    <row r="75" spans="1:3">
      <c r="A75" s="15"/>
      <c r="B75" s="15"/>
      <c r="C75" s="7"/>
    </row>
    <row r="76" spans="1:3">
      <c r="A76" s="15"/>
      <c r="B76" s="15"/>
      <c r="C76" s="7"/>
    </row>
    <row r="77" spans="1:3">
      <c r="A77" s="15"/>
      <c r="B77" s="15"/>
      <c r="C77" s="7"/>
    </row>
    <row r="78" spans="1:3">
      <c r="A78" s="15"/>
      <c r="B78" s="15"/>
      <c r="C78" s="7"/>
    </row>
    <row r="79" spans="1:3">
      <c r="A79" s="15"/>
      <c r="B79" s="15"/>
      <c r="C79" s="7"/>
    </row>
    <row r="80" spans="1:3">
      <c r="A80" s="15"/>
      <c r="B80" s="15"/>
      <c r="C80" s="7"/>
    </row>
    <row r="81" spans="1:3">
      <c r="A81" s="15"/>
      <c r="B81" s="15"/>
      <c r="C81" s="7"/>
    </row>
    <row r="82" spans="1:3">
      <c r="A82" s="12"/>
      <c r="B82" s="13"/>
      <c r="C82" s="8"/>
    </row>
    <row r="83" spans="1:3">
      <c r="A83" s="14"/>
      <c r="B83" s="14"/>
      <c r="C83" s="9"/>
    </row>
    <row r="84" spans="1:3">
      <c r="A84" s="15"/>
      <c r="B84" s="15"/>
      <c r="C84" s="7"/>
    </row>
    <row r="85" spans="1:3">
      <c r="A85" s="15"/>
      <c r="B85" s="15"/>
      <c r="C85" s="7"/>
    </row>
    <row r="86" spans="1:3">
      <c r="A86" s="15"/>
      <c r="B86" s="15"/>
      <c r="C86" s="7"/>
    </row>
    <row r="87" spans="1:3">
      <c r="A87" s="15"/>
      <c r="B87" s="15"/>
      <c r="C87" s="7"/>
    </row>
    <row r="88" spans="1:3">
      <c r="A88" s="15"/>
      <c r="B88" s="15"/>
      <c r="C88" s="7"/>
    </row>
    <row r="89" spans="1:3">
      <c r="A89" s="15"/>
      <c r="B89" s="15"/>
      <c r="C89" s="7"/>
    </row>
    <row r="90" spans="1:3">
      <c r="A90" s="15"/>
      <c r="B90" s="15"/>
      <c r="C90" s="7"/>
    </row>
    <row r="91" spans="1:3">
      <c r="A91" s="15"/>
      <c r="B91" s="15"/>
      <c r="C91" s="7"/>
    </row>
    <row r="92" spans="1:3">
      <c r="A92" s="15"/>
      <c r="B92" s="15"/>
      <c r="C92" s="7"/>
    </row>
    <row r="93" spans="1:3">
      <c r="A93" s="15"/>
      <c r="B93" s="15"/>
      <c r="C93" s="7"/>
    </row>
    <row r="94" spans="1:3">
      <c r="A94" s="15"/>
      <c r="B94" s="15"/>
      <c r="C94" s="7"/>
    </row>
    <row r="95" spans="1:3">
      <c r="A95" s="15"/>
      <c r="B95" s="15"/>
      <c r="C95" s="7"/>
    </row>
    <row r="96" spans="1:3">
      <c r="A96" s="15"/>
      <c r="B96" s="15"/>
      <c r="C96" s="7"/>
    </row>
    <row r="97" spans="1:3">
      <c r="A97" s="15"/>
      <c r="B97" s="15"/>
      <c r="C97" s="7"/>
    </row>
    <row r="98" spans="1:3">
      <c r="A98" s="15"/>
      <c r="B98" s="15"/>
      <c r="C98" s="7"/>
    </row>
    <row r="99" spans="1:3">
      <c r="A99" s="12"/>
      <c r="B99" s="13"/>
      <c r="C99" s="8"/>
    </row>
    <row r="100" spans="1:3">
      <c r="A100" s="14"/>
      <c r="B100" s="14"/>
      <c r="C100" s="9"/>
    </row>
    <row r="101" spans="1:3">
      <c r="A101" s="15"/>
      <c r="B101" s="15"/>
      <c r="C101" s="7"/>
    </row>
    <row r="102" spans="1:3">
      <c r="A102" s="15"/>
      <c r="B102" s="15"/>
      <c r="C102" s="7"/>
    </row>
    <row r="103" spans="1:3">
      <c r="A103" s="15"/>
      <c r="B103" s="15"/>
      <c r="C103" s="7"/>
    </row>
    <row r="104" spans="1:3">
      <c r="A104" s="15"/>
      <c r="B104" s="15"/>
      <c r="C104" s="7"/>
    </row>
    <row r="105" spans="1:3">
      <c r="A105" s="15"/>
      <c r="B105" s="15"/>
      <c r="C105" s="7"/>
    </row>
    <row r="106" spans="1:3">
      <c r="A106" s="15"/>
      <c r="B106" s="15"/>
      <c r="C106" s="7"/>
    </row>
    <row r="107" spans="1:3">
      <c r="A107" s="15"/>
      <c r="B107" s="15"/>
      <c r="C107" s="7"/>
    </row>
    <row r="108" spans="1:3">
      <c r="A108" s="15"/>
      <c r="B108" s="15"/>
      <c r="C108" s="7"/>
    </row>
    <row r="109" spans="1:3">
      <c r="A109" s="15"/>
      <c r="B109" s="15"/>
      <c r="C109" s="7"/>
    </row>
    <row r="110" spans="1:3">
      <c r="A110" s="15"/>
      <c r="B110" s="15"/>
      <c r="C110" s="7"/>
    </row>
    <row r="111" spans="1:3">
      <c r="A111" s="15"/>
      <c r="B111" s="15"/>
      <c r="C111" s="7"/>
    </row>
    <row r="112" spans="1:3">
      <c r="A112" s="15"/>
      <c r="B112" s="15"/>
      <c r="C112" s="7"/>
    </row>
    <row r="113" spans="1:3">
      <c r="A113" s="15"/>
      <c r="B113" s="15"/>
      <c r="C113" s="7"/>
    </row>
    <row r="115" spans="1:3">
      <c r="A115" s="12"/>
      <c r="B115" s="13"/>
      <c r="C115" s="8"/>
    </row>
    <row r="116" spans="1:3">
      <c r="A116" s="14"/>
      <c r="B116" s="14"/>
      <c r="C116" s="9"/>
    </row>
    <row r="117" spans="1:3">
      <c r="A117" s="15"/>
      <c r="B117" s="15"/>
      <c r="C117" s="7"/>
    </row>
    <row r="118" spans="1:3">
      <c r="A118" s="15"/>
      <c r="B118" s="15"/>
      <c r="C118" s="7"/>
    </row>
    <row r="119" spans="1:3">
      <c r="A119" s="15"/>
      <c r="B119" s="15"/>
      <c r="C119" s="7"/>
    </row>
    <row r="120" spans="1:3">
      <c r="A120" s="15"/>
      <c r="B120" s="15"/>
      <c r="C120" s="7"/>
    </row>
    <row r="121" spans="1:3">
      <c r="A121" s="15"/>
      <c r="B121" s="15"/>
      <c r="C121" s="7"/>
    </row>
    <row r="122" spans="1:3">
      <c r="A122" s="15"/>
      <c r="B122" s="15"/>
      <c r="C122" s="7"/>
    </row>
    <row r="123" spans="1:3">
      <c r="A123" s="15"/>
      <c r="B123" s="15"/>
      <c r="C123" s="7"/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5"/>
      <c r="B126" s="15"/>
      <c r="C126" s="7"/>
    </row>
    <row r="127" spans="1:3">
      <c r="A127" s="15"/>
      <c r="B127" s="15"/>
      <c r="C127" s="7"/>
    </row>
    <row r="128" spans="1:3">
      <c r="A128" s="15"/>
      <c r="B128" s="15"/>
      <c r="C128" s="7"/>
    </row>
    <row r="129" spans="1:3">
      <c r="A129" s="15"/>
      <c r="B129" s="15"/>
      <c r="C129" s="7"/>
    </row>
    <row r="131" spans="1:3">
      <c r="A131" s="12"/>
      <c r="B131" s="13"/>
      <c r="C131" s="8"/>
    </row>
    <row r="132" spans="1:3">
      <c r="A132" s="14"/>
      <c r="B132" s="14"/>
      <c r="C132" s="9"/>
    </row>
    <row r="133" spans="1:3">
      <c r="A133" s="15"/>
      <c r="B133" s="15"/>
      <c r="C133" s="7"/>
    </row>
    <row r="134" spans="1:3">
      <c r="A134" s="15"/>
      <c r="B134" s="15"/>
      <c r="C134" s="7"/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>
      <c r="A137" s="15"/>
      <c r="B137" s="15"/>
      <c r="C137" s="7"/>
    </row>
    <row r="138" spans="1:3">
      <c r="A138" s="15"/>
      <c r="B138" s="15"/>
      <c r="C138" s="7"/>
    </row>
    <row r="139" spans="1:3">
      <c r="A139" s="15"/>
      <c r="B139" s="15"/>
      <c r="C139" s="7"/>
    </row>
    <row r="140" spans="1:3">
      <c r="A140" s="15"/>
      <c r="B140" s="15"/>
      <c r="C140" s="7"/>
    </row>
    <row r="141" spans="1:3">
      <c r="A141" s="15"/>
      <c r="B141" s="15"/>
      <c r="C141" s="7"/>
    </row>
    <row r="142" spans="1:3">
      <c r="A142" s="15"/>
      <c r="B142" s="15"/>
      <c r="C142" s="7"/>
    </row>
    <row r="143" spans="1:3">
      <c r="A143" s="15"/>
      <c r="B143" s="15"/>
      <c r="C143" s="7"/>
    </row>
    <row r="144" spans="1:3">
      <c r="A144" s="15"/>
      <c r="B144" s="15"/>
      <c r="C144" s="7"/>
    </row>
    <row r="145" spans="1:3">
      <c r="A145" s="15"/>
      <c r="B145" s="15"/>
      <c r="C145" s="7"/>
    </row>
    <row r="147" spans="1:3">
      <c r="A147" s="12"/>
      <c r="B147" s="13"/>
      <c r="C147" s="8"/>
    </row>
    <row r="148" spans="1:3">
      <c r="A148" s="14"/>
      <c r="B148" s="14"/>
      <c r="C148" s="9"/>
    </row>
    <row r="149" spans="1:3">
      <c r="A149" s="15"/>
      <c r="B149" s="15"/>
      <c r="C149" s="7"/>
    </row>
    <row r="150" spans="1:3">
      <c r="A150" s="15"/>
      <c r="B150" s="15"/>
      <c r="C150" s="7"/>
    </row>
    <row r="151" spans="1:3">
      <c r="A151" s="15"/>
      <c r="B151" s="15"/>
      <c r="C151" s="7"/>
    </row>
    <row r="152" spans="1:3">
      <c r="A152" s="15"/>
      <c r="B152" s="15"/>
      <c r="C152" s="7"/>
    </row>
    <row r="153" spans="1:3">
      <c r="A153" s="15"/>
      <c r="B153" s="15"/>
      <c r="C153" s="7"/>
    </row>
    <row r="154" spans="1:3">
      <c r="A154" s="15"/>
      <c r="B154" s="15"/>
      <c r="C154" s="7"/>
    </row>
    <row r="155" spans="1:3">
      <c r="A155" s="15"/>
      <c r="B155" s="15"/>
      <c r="C155" s="7"/>
    </row>
    <row r="156" spans="1:3">
      <c r="A156" s="15"/>
      <c r="B156" s="15"/>
      <c r="C156" s="7"/>
    </row>
    <row r="157" spans="1:3">
      <c r="A157" s="15"/>
      <c r="B157" s="15"/>
      <c r="C157" s="7"/>
    </row>
    <row r="158" spans="1:3">
      <c r="A158" s="15"/>
      <c r="B158" s="15"/>
      <c r="C158" s="7"/>
    </row>
    <row r="159" spans="1:3">
      <c r="A159" s="15"/>
      <c r="B159" s="15"/>
      <c r="C159" s="7"/>
    </row>
    <row r="160" spans="1:3">
      <c r="A160" s="15"/>
      <c r="B160" s="15"/>
      <c r="C160" s="7"/>
    </row>
    <row r="161" spans="1:3">
      <c r="A161" s="15"/>
      <c r="B161" s="15"/>
      <c r="C161" s="7"/>
    </row>
    <row r="163" spans="1:3">
      <c r="A163" s="12"/>
      <c r="B163" s="13"/>
      <c r="C163" s="8"/>
    </row>
    <row r="164" spans="1:3">
      <c r="A164" s="14"/>
      <c r="B164" s="14"/>
      <c r="C164" s="9"/>
    </row>
    <row r="165" spans="1:3">
      <c r="A165" s="15"/>
      <c r="B165" s="15"/>
      <c r="C165" s="7"/>
    </row>
    <row r="166" spans="1:3">
      <c r="A166" s="15"/>
      <c r="B166" s="15"/>
      <c r="C166" s="7"/>
    </row>
    <row r="167" spans="1:3">
      <c r="A167" s="15"/>
      <c r="B167" s="15"/>
      <c r="C167" s="7"/>
    </row>
    <row r="168" spans="1:3">
      <c r="A168" s="15"/>
      <c r="B168" s="15"/>
      <c r="C168" s="7"/>
    </row>
    <row r="169" spans="1:3">
      <c r="A169" s="15"/>
      <c r="B169" s="15"/>
      <c r="C169" s="7"/>
    </row>
    <row r="170" spans="1:3">
      <c r="A170" s="15"/>
      <c r="B170" s="15"/>
      <c r="C170" s="7"/>
    </row>
    <row r="171" spans="1:3">
      <c r="A171" s="15"/>
      <c r="B171" s="15"/>
      <c r="C171" s="7"/>
    </row>
    <row r="172" spans="1:3">
      <c r="A172" s="15"/>
      <c r="B172" s="15"/>
      <c r="C172" s="7"/>
    </row>
    <row r="173" spans="1:3">
      <c r="A173" s="15"/>
      <c r="B173" s="15"/>
      <c r="C173" s="7"/>
    </row>
    <row r="174" spans="1:3">
      <c r="A174" s="15"/>
      <c r="B174" s="15"/>
      <c r="C174" s="7"/>
    </row>
    <row r="175" spans="1:3">
      <c r="A175" s="15"/>
      <c r="B175" s="15"/>
      <c r="C175" s="7"/>
    </row>
    <row r="176" spans="1:3">
      <c r="A176" s="15"/>
      <c r="B176" s="15"/>
      <c r="C176" s="7"/>
    </row>
    <row r="177" spans="1:3">
      <c r="A177" s="15"/>
      <c r="B177" s="15"/>
      <c r="C177" s="7"/>
    </row>
    <row r="180" spans="1:3">
      <c r="A180" s="12"/>
      <c r="B180" s="13"/>
      <c r="C180" s="8"/>
    </row>
    <row r="181" spans="1:3">
      <c r="A181" s="14"/>
      <c r="B181" s="14"/>
      <c r="C181" s="9"/>
    </row>
    <row r="182" spans="1:3">
      <c r="A182" s="15"/>
      <c r="B182" s="15"/>
      <c r="C182" s="7"/>
    </row>
    <row r="183" spans="1:3">
      <c r="A183" s="15"/>
      <c r="B183" s="15"/>
      <c r="C183" s="7"/>
    </row>
    <row r="184" spans="1:3">
      <c r="A184" s="15"/>
      <c r="B184" s="15"/>
      <c r="C184" s="7"/>
    </row>
    <row r="185" spans="1:3">
      <c r="A185" s="15"/>
      <c r="B185" s="15"/>
      <c r="C185" s="7"/>
    </row>
    <row r="186" spans="1:3">
      <c r="A186" s="15"/>
      <c r="B186" s="15"/>
      <c r="C186" s="7"/>
    </row>
    <row r="187" spans="1:3">
      <c r="A187" s="15"/>
      <c r="B187" s="15"/>
      <c r="C187" s="7"/>
    </row>
    <row r="188" spans="1:3">
      <c r="A188" s="15"/>
      <c r="B188" s="15"/>
      <c r="C188" s="7"/>
    </row>
    <row r="189" spans="1:3">
      <c r="A189" s="15"/>
      <c r="B189" s="15"/>
      <c r="C189" s="7"/>
    </row>
    <row r="190" spans="1:3">
      <c r="A190" s="15"/>
      <c r="B190" s="15"/>
      <c r="C190" s="7"/>
    </row>
    <row r="191" spans="1:3">
      <c r="A191" s="15"/>
      <c r="B191" s="15"/>
      <c r="C191" s="7"/>
    </row>
    <row r="192" spans="1:3">
      <c r="A192" s="15"/>
      <c r="B192" s="15"/>
      <c r="C192" s="7"/>
    </row>
    <row r="193" spans="1:3">
      <c r="A193" s="15"/>
      <c r="B193" s="15"/>
      <c r="C193" s="7"/>
    </row>
    <row r="194" spans="1:3">
      <c r="A194" s="15"/>
      <c r="B194" s="15"/>
      <c r="C194" s="7"/>
    </row>
    <row r="196" spans="1:3">
      <c r="A196" s="12"/>
      <c r="B196" s="13"/>
      <c r="C196" s="8"/>
    </row>
    <row r="197" spans="1:3">
      <c r="A197" s="14"/>
      <c r="B197" s="14"/>
      <c r="C197" s="9"/>
    </row>
    <row r="198" spans="1:3">
      <c r="A198" s="15"/>
      <c r="B198" s="15"/>
      <c r="C198" s="7"/>
    </row>
    <row r="199" spans="1:3">
      <c r="A199" s="15"/>
      <c r="B199" s="15"/>
      <c r="C199" s="7"/>
    </row>
    <row r="200" spans="1:3">
      <c r="A200" s="15"/>
      <c r="B200" s="15"/>
      <c r="C200" s="7"/>
    </row>
    <row r="201" spans="1:3">
      <c r="A201" s="15"/>
      <c r="B201" s="15"/>
      <c r="C201" s="7"/>
    </row>
    <row r="202" spans="1:3">
      <c r="A202" s="15"/>
      <c r="B202" s="15"/>
      <c r="C202" s="7"/>
    </row>
    <row r="203" spans="1:3">
      <c r="A203" s="15"/>
      <c r="B203" s="15"/>
      <c r="C203" s="7"/>
    </row>
    <row r="204" spans="1:3">
      <c r="A204" s="15"/>
      <c r="B204" s="15"/>
      <c r="C204" s="7"/>
    </row>
    <row r="205" spans="1:3">
      <c r="A205" s="15"/>
      <c r="B205" s="15"/>
      <c r="C205" s="7"/>
    </row>
    <row r="206" spans="1:3">
      <c r="A206" s="15"/>
      <c r="B206" s="15"/>
      <c r="C206" s="7"/>
    </row>
    <row r="207" spans="1:3">
      <c r="A207" s="15"/>
      <c r="B207" s="15"/>
      <c r="C207" s="7"/>
    </row>
    <row r="208" spans="1:3">
      <c r="A208" s="15"/>
      <c r="B208" s="15"/>
      <c r="C208" s="7"/>
    </row>
    <row r="209" spans="1:3">
      <c r="A209" s="15"/>
      <c r="B209" s="15"/>
      <c r="C209" s="7"/>
    </row>
    <row r="210" spans="1:3">
      <c r="A210" s="15"/>
      <c r="B210" s="15"/>
      <c r="C210" s="7"/>
    </row>
  </sheetData>
  <conditionalFormatting sqref="F3">
    <cfRule type="duplicateValues" dxfId="178" priority="34"/>
  </conditionalFormatting>
  <conditionalFormatting sqref="C1:C17 C114 C130 C146 C162 C178:C179 C195 C211:C1048576">
    <cfRule type="duplicateValues" dxfId="177" priority="33"/>
  </conditionalFormatting>
  <conditionalFormatting sqref="C33">
    <cfRule type="duplicateValues" dxfId="176" priority="32"/>
  </conditionalFormatting>
  <conditionalFormatting sqref="C49">
    <cfRule type="duplicateValues" dxfId="175" priority="31"/>
  </conditionalFormatting>
  <conditionalFormatting sqref="C65">
    <cfRule type="duplicateValues" dxfId="174" priority="30"/>
  </conditionalFormatting>
  <conditionalFormatting sqref="C81">
    <cfRule type="duplicateValues" dxfId="173" priority="29"/>
  </conditionalFormatting>
  <conditionalFormatting sqref="C97:C98">
    <cfRule type="duplicateValues" dxfId="172" priority="28"/>
  </conditionalFormatting>
  <conditionalFormatting sqref="C18 C30:C32">
    <cfRule type="duplicateValues" dxfId="171" priority="27"/>
  </conditionalFormatting>
  <conditionalFormatting sqref="C34 C46:C48">
    <cfRule type="duplicateValues" dxfId="170" priority="26"/>
  </conditionalFormatting>
  <conditionalFormatting sqref="C50 C62:C64">
    <cfRule type="duplicateValues" dxfId="169" priority="25"/>
  </conditionalFormatting>
  <conditionalFormatting sqref="C66 C78:C80">
    <cfRule type="duplicateValues" dxfId="168" priority="24"/>
  </conditionalFormatting>
  <conditionalFormatting sqref="C82 C94:C96">
    <cfRule type="duplicateValues" dxfId="167" priority="23"/>
  </conditionalFormatting>
  <conditionalFormatting sqref="C99">
    <cfRule type="duplicateValues" dxfId="166" priority="22"/>
  </conditionalFormatting>
  <conditionalFormatting sqref="C115">
    <cfRule type="duplicateValues" dxfId="165" priority="21"/>
  </conditionalFormatting>
  <conditionalFormatting sqref="C131">
    <cfRule type="duplicateValues" dxfId="164" priority="20"/>
  </conditionalFormatting>
  <conditionalFormatting sqref="C147 C158:C161">
    <cfRule type="duplicateValues" dxfId="163" priority="19"/>
  </conditionalFormatting>
  <conditionalFormatting sqref="C163 C174:C177">
    <cfRule type="duplicateValues" dxfId="162" priority="18"/>
  </conditionalFormatting>
  <conditionalFormatting sqref="C180 C191:C194">
    <cfRule type="duplicateValues" dxfId="161" priority="17"/>
  </conditionalFormatting>
  <conditionalFormatting sqref="C196 C207:C210">
    <cfRule type="duplicateValues" dxfId="160" priority="16"/>
  </conditionalFormatting>
  <conditionalFormatting sqref="C19:C29">
    <cfRule type="duplicateValues" dxfId="159" priority="15"/>
  </conditionalFormatting>
  <conditionalFormatting sqref="C35:C45">
    <cfRule type="duplicateValues" dxfId="158" priority="14"/>
  </conditionalFormatting>
  <conditionalFormatting sqref="C51:C61">
    <cfRule type="duplicateValues" dxfId="157" priority="13"/>
  </conditionalFormatting>
  <conditionalFormatting sqref="C67:C77">
    <cfRule type="duplicateValues" dxfId="156" priority="12"/>
  </conditionalFormatting>
  <conditionalFormatting sqref="C83:C93">
    <cfRule type="duplicateValues" dxfId="155" priority="11"/>
  </conditionalFormatting>
  <conditionalFormatting sqref="C100:C109">
    <cfRule type="duplicateValues" dxfId="154" priority="10"/>
  </conditionalFormatting>
  <conditionalFormatting sqref="C116:C125">
    <cfRule type="duplicateValues" dxfId="153" priority="9"/>
  </conditionalFormatting>
  <conditionalFormatting sqref="C132:C141">
    <cfRule type="duplicateValues" dxfId="152" priority="8"/>
  </conditionalFormatting>
  <conditionalFormatting sqref="C148:C157">
    <cfRule type="duplicateValues" dxfId="151" priority="7"/>
  </conditionalFormatting>
  <conditionalFormatting sqref="C164:C173">
    <cfRule type="duplicateValues" dxfId="150" priority="6"/>
  </conditionalFormatting>
  <conditionalFormatting sqref="C181:C190">
    <cfRule type="duplicateValues" dxfId="149" priority="5"/>
  </conditionalFormatting>
  <conditionalFormatting sqref="C197:C206">
    <cfRule type="duplicateValues" dxfId="148" priority="4"/>
  </conditionalFormatting>
  <conditionalFormatting sqref="C142:C145">
    <cfRule type="duplicateValues" dxfId="147" priority="3"/>
  </conditionalFormatting>
  <conditionalFormatting sqref="C126:C129">
    <cfRule type="duplicateValues" dxfId="146" priority="2"/>
  </conditionalFormatting>
  <conditionalFormatting sqref="C110:C113">
    <cfRule type="duplicateValues" dxfId="145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0FB82-D7E1-40A5-84BD-0CEC5C52B426}">
  <sheetPr codeName="Arkusz46"/>
  <dimension ref="A1:D126"/>
  <sheetViews>
    <sheetView topLeftCell="A43" workbookViewId="0">
      <selection activeCell="A76" sqref="A76"/>
    </sheetView>
  </sheetViews>
  <sheetFormatPr defaultRowHeight="15"/>
  <cols>
    <col min="1" max="1" width="33.85546875" style="11" bestFit="1" customWidth="1"/>
    <col min="2" max="2" width="4.28515625" style="11" customWidth="1"/>
    <col min="3" max="3" width="47.42578125" customWidth="1"/>
    <col min="4" max="4" width="10.140625" bestFit="1" customWidth="1"/>
  </cols>
  <sheetData>
    <row r="1" spans="1:4">
      <c r="A1" s="11" t="s">
        <v>2926</v>
      </c>
    </row>
    <row r="2" spans="1:4">
      <c r="A2" s="12" t="s">
        <v>2854</v>
      </c>
      <c r="B2" s="13"/>
      <c r="C2" s="8"/>
    </row>
    <row r="3" spans="1:4">
      <c r="A3" s="14" t="s">
        <v>965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A345069X2205151</v>
      </c>
      <c r="D3" s="6"/>
    </row>
    <row r="4" spans="1:4">
      <c r="A4" s="15" t="s">
        <v>967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C5100LL02RA0368</v>
      </c>
    </row>
    <row r="5" spans="1:4">
      <c r="A5" s="15" t="s">
        <v>969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P20310L28G26577</v>
      </c>
    </row>
    <row r="6" spans="1:4">
      <c r="A6" s="15" t="s">
        <v>17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VR21CS006638</v>
      </c>
    </row>
    <row r="7" spans="1:4">
      <c r="A7" s="15" t="s">
        <v>975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EB20BS008943</v>
      </c>
    </row>
    <row r="8" spans="1:4">
      <c r="A8" s="15" t="s">
        <v>971</v>
      </c>
      <c r="B8" s="15">
        <f>LEN(C8)-LEN(SUBSTITUTE(C8,",",""))+1</f>
        <v>1</v>
      </c>
      <c r="C8" s="7" t="str" cm="1">
        <f t="array" ref="C8">_xlfn.TEXTJOIN(", ",,_xlfn._xlws.FILTER(Tabela1[[#All],[NUMER SERYJNY]],((Tabela1[[#All],[NAZWA]]=$A8)*(Tabela1[[#All],[KOMENTARZ]]=$A2)),"----------"))</f>
        <v>VM21BS009218</v>
      </c>
    </row>
    <row r="9" spans="1:4">
      <c r="A9" s="15" t="s">
        <v>1271</v>
      </c>
      <c r="B9" s="15">
        <f>LEN(C9)-LEN(SUBSTITUTE(C9,",",""))+1</f>
        <v>1</v>
      </c>
      <c r="C9" s="7" t="str" cm="1">
        <f t="array" ref="C9">_xlfn.TEXTJOIN(", ",,_xlfn._xlws.FILTER(Tabela1[[#All],[NUMER SERYJNY]],((Tabela1[[#All],[NAZWA]]=$A9)*(Tabela1[[#All],[KOMENTARZ]]=$A2)),"----------"))</f>
        <v>X148K833 01721  U11G1D2301721</v>
      </c>
    </row>
    <row r="10" spans="1:4">
      <c r="A10" s="15" t="s">
        <v>2852</v>
      </c>
      <c r="B10" s="15">
        <f t="shared" ref="B10:B15" si="1">LEN(C10)-LEN(SUBSTITUTE(C10,",",""))+1</f>
        <v>2</v>
      </c>
      <c r="C10" s="7" t="str" cm="1">
        <f t="array" ref="C10">_xlfn.TEXTJOIN(", ",,_xlfn._xlws.FILTER(Tabela1[[#All],[NUMER SERYJNY]],((Tabela1[[#All],[NAZWA]]=$A10)*(Tabela1[[#All],[KOMENTARZ]]=$A2)),"----------"))</f>
        <v>SNK387, SNK388</v>
      </c>
    </row>
    <row r="11" spans="1:4">
      <c r="A11" s="15" t="s">
        <v>701</v>
      </c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S45PNC0RA56159</v>
      </c>
    </row>
    <row r="12" spans="1:4">
      <c r="A12" s="15" t="s">
        <v>976</v>
      </c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02219140311366</v>
      </c>
    </row>
    <row r="13" spans="1:4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SERYJNY]],((Tabela1[[#All],[NAZWA]]=$A13)*(Tabela1[[#All],[KOMENTARZ]]=$A$2)),"----------"))</f>
        <v>----------</v>
      </c>
    </row>
    <row r="14" spans="1:4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SERYJNY]],((Tabela1[[#All],[NAZWA]]=$A14)*(Tabela1[[#All],[KOMENTARZ]]=$A$2)),"----------"))</f>
        <v>----------</v>
      </c>
    </row>
    <row r="15" spans="1:4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SERYJNY]],((Tabela1[[#All],[NAZWA]]=$A15)*(Tabela1[[#All],[KOMENTARZ]]=$A$2)),"----------"))</f>
        <v>----------</v>
      </c>
    </row>
    <row r="16" spans="1:4" ht="18.75">
      <c r="A16" s="16"/>
      <c r="B16" s="16"/>
      <c r="C16" s="10"/>
    </row>
    <row r="17" spans="1:3">
      <c r="A17" s="12"/>
      <c r="B17" s="13"/>
      <c r="C17" s="8"/>
    </row>
    <row r="18" spans="1:3">
      <c r="A18" s="11" t="s">
        <v>2926</v>
      </c>
    </row>
    <row r="19" spans="1:3">
      <c r="A19" s="12" t="s">
        <v>2857</v>
      </c>
      <c r="B19" s="13"/>
      <c r="C19" s="8"/>
    </row>
    <row r="20" spans="1:3">
      <c r="A20" s="14" t="s">
        <v>965</v>
      </c>
      <c r="B20" s="14">
        <f t="shared" ref="B20:B24" si="2">LEN(C20)-LEN(SUBSTITUTE(C20,",",""))+1</f>
        <v>1</v>
      </c>
      <c r="C20" s="9" t="str" cm="1">
        <f t="array" ref="C20">_xlfn.TEXTJOIN(", ",,_xlfn._xlws.FILTER(Tabela1[[#All],[NUMER SERYJNY]],((Tabela1[[#All],[NAZWA]]=$A20)*(Tabela1[[#All],[KOMENTARZ]]=$A19)),"----------"))</f>
        <v>A345069X2205154</v>
      </c>
    </row>
    <row r="21" spans="1:3">
      <c r="A21" s="15" t="s">
        <v>967</v>
      </c>
      <c r="B21" s="15">
        <f t="shared" si="2"/>
        <v>1</v>
      </c>
      <c r="C21" s="7" t="str" cm="1">
        <f t="array" ref="C21">_xlfn.TEXTJOIN(", ",,_xlfn._xlws.FILTER(Tabela1[[#All],[NUMER SERYJNY]],((Tabela1[[#All],[NAZWA]]=$A21)*(Tabela1[[#All],[KOMENTARZ]]=$A19)),"----------"))</f>
        <v>C5100LL02RA0328</v>
      </c>
    </row>
    <row r="22" spans="1:3">
      <c r="A22" s="15" t="s">
        <v>969</v>
      </c>
      <c r="B22" s="15">
        <f t="shared" si="2"/>
        <v>1</v>
      </c>
      <c r="C22" s="7" t="str" cm="1">
        <f t="array" ref="C22">_xlfn.TEXTJOIN(", ",,_xlfn._xlws.FILTER(Tabela1[[#All],[NUMER SERYJNY]],((Tabela1[[#All],[NAZWA]]=$A22)*(Tabela1[[#All],[KOMENTARZ]]=$A19)),"----------"))</f>
        <v>P20310L28G26605</v>
      </c>
    </row>
    <row r="23" spans="1:3">
      <c r="A23" s="15" t="s">
        <v>17</v>
      </c>
      <c r="B23" s="15">
        <f t="shared" si="2"/>
        <v>1</v>
      </c>
      <c r="C23" s="7" t="str" cm="1">
        <f t="array" ref="C23">_xlfn.TEXTJOIN(", ",,_xlfn._xlws.FILTER(Tabela1[[#All],[NUMER SERYJNY]],((Tabela1[[#All],[NAZWA]]=$A23)*(Tabela1[[#All],[KOMENTARZ]]=$A19)),"----------"))</f>
        <v>VR21CS006643</v>
      </c>
    </row>
    <row r="24" spans="1:3">
      <c r="A24" s="15" t="s">
        <v>975</v>
      </c>
      <c r="B24" s="15">
        <f t="shared" si="2"/>
        <v>1</v>
      </c>
      <c r="C24" s="7" t="str" cm="1">
        <f t="array" ref="C24">_xlfn.TEXTJOIN(", ",,_xlfn._xlws.FILTER(Tabela1[[#All],[NUMER SERYJNY]],((Tabela1[[#All],[NAZWA]]=$A24)*(Tabela1[[#All],[KOMENTARZ]]=$A19)),"----------"))</f>
        <v>EB20BS008959</v>
      </c>
    </row>
    <row r="25" spans="1:3">
      <c r="A25" s="15" t="s">
        <v>971</v>
      </c>
      <c r="B25" s="15">
        <f>LEN(C25)-LEN(SUBSTITUTE(C25,",",""))+1</f>
        <v>1</v>
      </c>
      <c r="C25" s="7" t="str" cm="1">
        <f t="array" ref="C25">_xlfn.TEXTJOIN(", ",,_xlfn._xlws.FILTER(Tabela1[[#All],[NUMER SERYJNY]],((Tabela1[[#All],[NAZWA]]=$A25)*(Tabela1[[#All],[KOMENTARZ]]=$A19)),"----------"))</f>
        <v>VM21BS008737</v>
      </c>
    </row>
    <row r="26" spans="1:3">
      <c r="A26" s="15" t="s">
        <v>1271</v>
      </c>
      <c r="B26" s="15">
        <f>LEN(C26)-LEN(SUBSTITUTE(C26,",",""))+1</f>
        <v>1</v>
      </c>
      <c r="C26" s="7" t="str" cm="1">
        <f t="array" ref="C26">_xlfn.TEXTJOIN(", ",,_xlfn._xlws.FILTER(Tabela1[[#All],[NUMER SERYJNY]],((Tabela1[[#All],[NAZWA]]=$A26)*(Tabela1[[#All],[KOMENTARZ]]=$A19)),"----------"))</f>
        <v>X148K833 01899  U11G1D2301899</v>
      </c>
    </row>
    <row r="27" spans="1:3">
      <c r="A27" s="15" t="s">
        <v>2852</v>
      </c>
      <c r="B27" s="15">
        <f t="shared" ref="B27:B29" si="3">LEN(C27)-LEN(SUBSTITUTE(C27,",",""))+1</f>
        <v>2</v>
      </c>
      <c r="C27" s="7" t="str" cm="1">
        <f t="array" ref="C27">_xlfn.TEXTJOIN(", ",,_xlfn._xlws.FILTER(Tabela1[[#All],[NUMER SERYJNY]],((Tabela1[[#All],[NAZWA]]=$A27)*(Tabela1[[#All],[KOMENTARZ]]=$A19)),"----------"))</f>
        <v>SNK389, SNK390</v>
      </c>
    </row>
    <row r="28" spans="1:3">
      <c r="A28" s="15" t="s">
        <v>701</v>
      </c>
      <c r="B28" s="15">
        <f t="shared" si="3"/>
        <v>1</v>
      </c>
      <c r="C28" s="7" t="str" cm="1">
        <f t="array" ref="C28">_xlfn.TEXTJOIN(", ",,_xlfn._xlws.FILTER(Tabela1[[#All],[NUMER SERYJNY]],((Tabela1[[#All],[NAZWA]]=$A28)*(Tabela1[[#All],[KOMENTARZ]]=$A19)),"----------"))</f>
        <v>S45PNC0RA56157</v>
      </c>
    </row>
    <row r="29" spans="1:3">
      <c r="A29" s="15" t="s">
        <v>976</v>
      </c>
      <c r="B29" s="15">
        <f t="shared" si="3"/>
        <v>1</v>
      </c>
      <c r="C29" s="7" t="str" cm="1">
        <f t="array" ref="C29">_xlfn.TEXTJOIN(", ",,_xlfn._xlws.FILTER(Tabela1[[#All],[NUMER SERYJNY]],((Tabela1[[#All],[NAZWA]]=$A29)*(Tabela1[[#All],[KOMENTARZ]]=$A19)),"----------"))</f>
        <v>02219140311367</v>
      </c>
    </row>
    <row r="30" spans="1:3">
      <c r="A30" s="15"/>
      <c r="B30" s="15">
        <f t="shared" ref="B30:B32" si="4">LEN(C30)-LEN(SUBSTITUTE(C30,",",""))+1</f>
        <v>1</v>
      </c>
      <c r="C30" s="7" t="str" cm="1">
        <f t="array" ref="C30">_xlfn.TEXTJOIN(", ",,_xlfn._xlws.FILTER(Tabela1[[#All],[NUMER SERYJNY]],((Tabela1[[#All],[NAZWA]]=$A30)*(Tabela1[[#All],[KOMENTARZ]]=$A$2)),"----------"))</f>
        <v>----------</v>
      </c>
    </row>
    <row r="31" spans="1:3">
      <c r="A31" s="15"/>
      <c r="B31" s="15">
        <f t="shared" si="4"/>
        <v>1</v>
      </c>
      <c r="C31" s="7" t="str" cm="1">
        <f t="array" ref="C31">_xlfn.TEXTJOIN(", ",,_xlfn._xlws.FILTER(Tabela1[[#All],[NUMER SERYJNY]],((Tabela1[[#All],[NAZWA]]=$A31)*(Tabela1[[#All],[KOMENTARZ]]=$A$2)),"----------"))</f>
        <v>----------</v>
      </c>
    </row>
    <row r="32" spans="1:3">
      <c r="A32" s="15"/>
      <c r="B32" s="15">
        <f t="shared" si="4"/>
        <v>1</v>
      </c>
      <c r="C32" s="7" t="str" cm="1">
        <f t="array" ref="C32">_xlfn.TEXTJOIN(", ",,_xlfn._xlws.FILTER(Tabela1[[#All],[NUMER SERYJNY]],((Tabela1[[#All],[NAZWA]]=$A32)*(Tabela1[[#All],[KOMENTARZ]]=$A$2)),"----------"))</f>
        <v>----------</v>
      </c>
    </row>
    <row r="33" spans="1:3">
      <c r="A33" s="12"/>
      <c r="B33" s="13"/>
      <c r="C33" s="8"/>
    </row>
    <row r="34" spans="1:3">
      <c r="A34" s="14"/>
      <c r="B34" s="14"/>
      <c r="C34" s="9"/>
    </row>
    <row r="35" spans="1:3">
      <c r="A35" s="11" t="s">
        <v>2927</v>
      </c>
    </row>
    <row r="36" spans="1:3">
      <c r="A36" s="12" t="s">
        <v>2880</v>
      </c>
      <c r="B36" s="13"/>
      <c r="C36" s="8"/>
    </row>
    <row r="37" spans="1:3">
      <c r="A37" s="14" t="s">
        <v>965</v>
      </c>
      <c r="B37" s="14">
        <f t="shared" ref="B37:B41" si="5">LEN(C37)-LEN(SUBSTITUTE(C37,",",""))+1</f>
        <v>1</v>
      </c>
      <c r="C37" s="9" t="str" cm="1">
        <f t="array" ref="C37">_xlfn.TEXTJOIN(", ",,_xlfn._xlws.FILTER(Tabela1[[#All],[NUMER SERYJNY]],((Tabela1[[#All],[NAZWA]]=$A37)*(Tabela1[[#All],[KOMENTARZ]]=$A36)),"----------"))</f>
        <v>A345069X2205167</v>
      </c>
    </row>
    <row r="38" spans="1:3">
      <c r="A38" s="15" t="s">
        <v>967</v>
      </c>
      <c r="B38" s="15">
        <f t="shared" si="5"/>
        <v>1</v>
      </c>
      <c r="C38" s="7" t="str" cm="1">
        <f t="array" ref="C38">_xlfn.TEXTJOIN(", ",,_xlfn._xlws.FILTER(Tabela1[[#All],[NUMER SERYJNY]],((Tabela1[[#All],[NAZWA]]=$A38)*(Tabela1[[#All],[KOMENTARZ]]=$A36)),"----------"))</f>
        <v>C5100LL02RA0366</v>
      </c>
    </row>
    <row r="39" spans="1:3">
      <c r="A39" s="15" t="s">
        <v>969</v>
      </c>
      <c r="B39" s="15">
        <f t="shared" si="5"/>
        <v>1</v>
      </c>
      <c r="C39" s="7" t="str" cm="1">
        <f t="array" ref="C39">_xlfn.TEXTJOIN(", ",,_xlfn._xlws.FILTER(Tabela1[[#All],[NUMER SERYJNY]],((Tabela1[[#All],[NAZWA]]=$A39)*(Tabela1[[#All],[KOMENTARZ]]=$A36)),"----------"))</f>
        <v>P20310L29G29182</v>
      </c>
    </row>
    <row r="40" spans="1:3">
      <c r="A40" s="15" t="s">
        <v>17</v>
      </c>
      <c r="B40" s="15">
        <f t="shared" si="5"/>
        <v>1</v>
      </c>
      <c r="C40" s="7" t="str" cm="1">
        <f t="array" ref="C40">_xlfn.TEXTJOIN(", ",,_xlfn._xlws.FILTER(Tabela1[[#All],[NUMER SERYJNY]],((Tabela1[[#All],[NAZWA]]=$A40)*(Tabela1[[#All],[KOMENTARZ]]=$A36)),"----------"))</f>
        <v>VR21CS006641</v>
      </c>
    </row>
    <row r="41" spans="1:3">
      <c r="A41" s="15" t="s">
        <v>975</v>
      </c>
      <c r="B41" s="15">
        <f t="shared" si="5"/>
        <v>1</v>
      </c>
      <c r="C41" s="7" t="str" cm="1">
        <f t="array" ref="C41">_xlfn.TEXTJOIN(", ",,_xlfn._xlws.FILTER(Tabela1[[#All],[NUMER SERYJNY]],((Tabela1[[#All],[NAZWA]]=$A41)*(Tabela1[[#All],[KOMENTARZ]]=$A36)),"----------"))</f>
        <v>EB20BS008947</v>
      </c>
    </row>
    <row r="42" spans="1:3">
      <c r="A42" s="15" t="s">
        <v>971</v>
      </c>
      <c r="B42" s="15">
        <f>LEN(C42)-LEN(SUBSTITUTE(C42,",",""))+1</f>
        <v>1</v>
      </c>
      <c r="C42" s="7" t="str" cm="1">
        <f t="array" ref="C42">_xlfn.TEXTJOIN(", ",,_xlfn._xlws.FILTER(Tabela1[[#All],[NUMER SERYJNY]],((Tabela1[[#All],[NAZWA]]=$A42)*(Tabela1[[#All],[KOMENTARZ]]=$A36)),"----------"))</f>
        <v>VM21BS009203</v>
      </c>
    </row>
    <row r="43" spans="1:3">
      <c r="A43" s="15" t="s">
        <v>1271</v>
      </c>
      <c r="B43" s="15">
        <f>LEN(C43)-LEN(SUBSTITUTE(C43,",",""))+1</f>
        <v>1</v>
      </c>
      <c r="C43" s="7" t="str" cm="1">
        <f t="array" ref="C43">_xlfn.TEXTJOIN(", ",,_xlfn._xlws.FILTER(Tabela1[[#All],[NUMER SERYJNY]],((Tabela1[[#All],[NAZWA]]=$A43)*(Tabela1[[#All],[KOMENTARZ]]=$A36)),"----------"))</f>
        <v>X148K833 03062  U11G1D2303062</v>
      </c>
    </row>
    <row r="44" spans="1:3">
      <c r="A44" s="15" t="s">
        <v>956</v>
      </c>
      <c r="B44" s="15">
        <f t="shared" ref="B44:B46" si="6">LEN(C44)-LEN(SUBSTITUTE(C44,",",""))+1</f>
        <v>2</v>
      </c>
      <c r="C44" s="7" t="str" cm="1">
        <f t="array" ref="C44">_xlfn.TEXTJOIN(", ",,_xlfn._xlws.FILTER(Tabela1[[#All],[NUMER SERYJNY]],((Tabela1[[#All],[NAZWA]]=$A44)*(Tabela1[[#All],[KOMENTARZ]]=$A36)),"----------"))</f>
        <v>SNK659, SNK660</v>
      </c>
    </row>
    <row r="45" spans="1:3">
      <c r="A45" s="15" t="s">
        <v>701</v>
      </c>
      <c r="B45" s="15">
        <f t="shared" si="6"/>
        <v>1</v>
      </c>
      <c r="C45" s="7" t="str" cm="1">
        <f t="array" ref="C45">_xlfn.TEXTJOIN(", ",,_xlfn._xlws.FILTER(Tabela1[[#All],[NUMER SERYJNY]],((Tabela1[[#All],[NAZWA]]=$A45)*(Tabela1[[#All],[KOMENTARZ]]=$A36)),"----------"))</f>
        <v>S45PNC0RA54990</v>
      </c>
    </row>
    <row r="46" spans="1:3">
      <c r="A46" s="15" t="s">
        <v>976</v>
      </c>
      <c r="B46" s="15">
        <f t="shared" si="6"/>
        <v>1</v>
      </c>
      <c r="C46" s="7" t="str" cm="1">
        <f t="array" ref="C46">_xlfn.TEXTJOIN(", ",,_xlfn._xlws.FILTER(Tabela1[[#All],[NUMER SERYJNY]],((Tabela1[[#All],[NAZWA]]=$A46)*(Tabela1[[#All],[KOMENTARZ]]=$A36)),"----------"))</f>
        <v>02219140311364</v>
      </c>
    </row>
    <row r="47" spans="1:3">
      <c r="A47" s="15"/>
      <c r="B47" s="15">
        <f t="shared" ref="B47:B49" si="7">LEN(C47)-LEN(SUBSTITUTE(C47,",",""))+1</f>
        <v>1</v>
      </c>
      <c r="C47" s="7" t="str" cm="1">
        <f t="array" ref="C47">_xlfn.TEXTJOIN(", ",,_xlfn._xlws.FILTER(Tabela1[[#All],[NUMER SERYJNY]],((Tabela1[[#All],[NAZWA]]=$A47)*(Tabela1[[#All],[KOMENTARZ]]=$A$2)),"----------"))</f>
        <v>----------</v>
      </c>
    </row>
    <row r="48" spans="1:3">
      <c r="A48" s="15"/>
      <c r="B48" s="15">
        <f t="shared" si="7"/>
        <v>1</v>
      </c>
      <c r="C48" s="7" t="str" cm="1">
        <f t="array" ref="C48">_xlfn.TEXTJOIN(", ",,_xlfn._xlws.FILTER(Tabela1[[#All],[NUMER SERYJNY]],((Tabela1[[#All],[NAZWA]]=$A48)*(Tabela1[[#All],[KOMENTARZ]]=$A$2)),"----------"))</f>
        <v>----------</v>
      </c>
    </row>
    <row r="49" spans="1:3">
      <c r="A49" s="15"/>
      <c r="B49" s="15">
        <f t="shared" si="7"/>
        <v>1</v>
      </c>
      <c r="C49" s="7" t="str" cm="1">
        <f t="array" ref="C49">_xlfn.TEXTJOIN(", ",,_xlfn._xlws.FILTER(Tabela1[[#All],[NUMER SERYJNY]],((Tabela1[[#All],[NAZWA]]=$A49)*(Tabela1[[#All],[KOMENTARZ]]=$A$2)),"----------"))</f>
        <v>----------</v>
      </c>
    </row>
    <row r="50" spans="1:3">
      <c r="A50" s="14"/>
      <c r="B50" s="14"/>
      <c r="C50" s="9"/>
    </row>
    <row r="51" spans="1:3">
      <c r="A51" s="15"/>
      <c r="B51" s="15"/>
      <c r="C51" s="7"/>
    </row>
    <row r="52" spans="1:3">
      <c r="A52" s="11" t="s">
        <v>2927</v>
      </c>
    </row>
    <row r="53" spans="1:3">
      <c r="A53" s="12" t="s">
        <v>2882</v>
      </c>
      <c r="B53" s="13"/>
      <c r="C53" s="8"/>
    </row>
    <row r="54" spans="1:3">
      <c r="A54" s="14" t="s">
        <v>965</v>
      </c>
      <c r="B54" s="14">
        <f t="shared" ref="B54:B58" si="8">LEN(C54)-LEN(SUBSTITUTE(C54,",",""))+1</f>
        <v>1</v>
      </c>
      <c r="C54" s="9" t="str" cm="1">
        <f t="array" ref="C54">_xlfn.TEXTJOIN(", ",,_xlfn._xlws.FILTER(Tabela1[[#All],[NUMER SERYJNY]],((Tabela1[[#All],[NAZWA]]=$A54)*(Tabela1[[#All],[KOMENTARZ]]=$A53)),"----------"))</f>
        <v>A345069X2205165</v>
      </c>
    </row>
    <row r="55" spans="1:3">
      <c r="A55" s="15" t="s">
        <v>967</v>
      </c>
      <c r="B55" s="15">
        <f t="shared" si="8"/>
        <v>1</v>
      </c>
      <c r="C55" s="7" t="str" cm="1">
        <f t="array" ref="C55">_xlfn.TEXTJOIN(", ",,_xlfn._xlws.FILTER(Tabela1[[#All],[NUMER SERYJNY]],((Tabela1[[#All],[NAZWA]]=$A55)*(Tabela1[[#All],[KOMENTARZ]]=$A53)),"----------"))</f>
        <v>C5100LL02RA0356</v>
      </c>
    </row>
    <row r="56" spans="1:3">
      <c r="A56" s="15" t="s">
        <v>969</v>
      </c>
      <c r="B56" s="15">
        <f t="shared" si="8"/>
        <v>1</v>
      </c>
      <c r="C56" s="7" t="str" cm="1">
        <f t="array" ref="C56">_xlfn.TEXTJOIN(", ",,_xlfn._xlws.FILTER(Tabela1[[#All],[NUMER SERYJNY]],((Tabela1[[#All],[NAZWA]]=$A56)*(Tabela1[[#All],[KOMENTARZ]]=$A53)),"----------"))</f>
        <v>P20310L28G26580</v>
      </c>
    </row>
    <row r="57" spans="1:3">
      <c r="A57" s="15" t="s">
        <v>17</v>
      </c>
      <c r="B57" s="15">
        <f t="shared" si="8"/>
        <v>1</v>
      </c>
      <c r="C57" s="7" t="str" cm="1">
        <f t="array" ref="C57">_xlfn.TEXTJOIN(", ",,_xlfn._xlws.FILTER(Tabela1[[#All],[NUMER SERYJNY]],((Tabela1[[#All],[NAZWA]]=$A57)*(Tabela1[[#All],[KOMENTARZ]]=$A53)),"----------"))</f>
        <v>VR21CS006650</v>
      </c>
    </row>
    <row r="58" spans="1:3">
      <c r="A58" s="15" t="s">
        <v>975</v>
      </c>
      <c r="B58" s="15">
        <f t="shared" si="8"/>
        <v>1</v>
      </c>
      <c r="C58" s="7" t="str" cm="1">
        <f t="array" ref="C58">_xlfn.TEXTJOIN(", ",,_xlfn._xlws.FILTER(Tabela1[[#All],[NUMER SERYJNY]],((Tabela1[[#All],[NAZWA]]=$A58)*(Tabela1[[#All],[KOMENTARZ]]=$A53)),"----------"))</f>
        <v>EB20BS008950</v>
      </c>
    </row>
    <row r="59" spans="1:3">
      <c r="A59" s="15" t="s">
        <v>971</v>
      </c>
      <c r="B59" s="15">
        <f>LEN(C59)-LEN(SUBSTITUTE(C59,",",""))+1</f>
        <v>1</v>
      </c>
      <c r="C59" s="7" t="str" cm="1">
        <f t="array" ref="C59">_xlfn.TEXTJOIN(", ",,_xlfn._xlws.FILTER(Tabela1[[#All],[NUMER SERYJNY]],((Tabela1[[#All],[NAZWA]]=$A59)*(Tabela1[[#All],[KOMENTARZ]]=$A53)),"----------"))</f>
        <v>VM21AS005497</v>
      </c>
    </row>
    <row r="60" spans="1:3">
      <c r="A60" s="15" t="s">
        <v>1271</v>
      </c>
      <c r="B60" s="15">
        <f>LEN(C60)-LEN(SUBSTITUTE(C60,",",""))+1</f>
        <v>1</v>
      </c>
      <c r="C60" s="7" t="str" cm="1">
        <f t="array" ref="C60">_xlfn.TEXTJOIN(", ",,_xlfn._xlws.FILTER(Tabela1[[#All],[NUMER SERYJNY]],((Tabela1[[#All],[NAZWA]]=$A60)*(Tabela1[[#All],[KOMENTARZ]]=$A53)),"----------"))</f>
        <v>X150N450 03248  U1YD396503248</v>
      </c>
    </row>
    <row r="61" spans="1:3">
      <c r="A61" s="15" t="s">
        <v>956</v>
      </c>
      <c r="B61" s="15">
        <f t="shared" ref="B61:B63" si="9">LEN(C61)-LEN(SUBSTITUTE(C61,",",""))+1</f>
        <v>2</v>
      </c>
      <c r="C61" s="7" t="str" cm="1">
        <f t="array" ref="C61">_xlfn.TEXTJOIN(", ",,_xlfn._xlws.FILTER(Tabela1[[#All],[NUMER SERYJNY]],((Tabela1[[#All],[NAZWA]]=$A61)*(Tabela1[[#All],[KOMENTARZ]]=$A53)),"----------"))</f>
        <v>SNK661, SNK662</v>
      </c>
    </row>
    <row r="62" spans="1:3">
      <c r="A62" s="15" t="s">
        <v>701</v>
      </c>
      <c r="B62" s="15">
        <f t="shared" si="9"/>
        <v>1</v>
      </c>
      <c r="C62" s="7" t="str" cm="1">
        <f t="array" ref="C62">_xlfn.TEXTJOIN(", ",,_xlfn._xlws.FILTER(Tabela1[[#All],[NUMER SERYJNY]],((Tabela1[[#All],[NAZWA]]=$A62)*(Tabela1[[#All],[KOMENTARZ]]=$A53)),"----------"))</f>
        <v>S45PNC0RA54991</v>
      </c>
    </row>
    <row r="63" spans="1:3">
      <c r="A63" s="15" t="s">
        <v>976</v>
      </c>
      <c r="B63" s="15">
        <f t="shared" si="9"/>
        <v>1</v>
      </c>
      <c r="C63" s="7" t="str" cm="1">
        <f t="array" ref="C63">_xlfn.TEXTJOIN(", ",,_xlfn._xlws.FILTER(Tabela1[[#All],[NUMER SERYJNY]],((Tabela1[[#All],[NAZWA]]=$A63)*(Tabela1[[#All],[KOMENTARZ]]=$A53)),"----------"))</f>
        <v>02219140311365</v>
      </c>
    </row>
    <row r="64" spans="1:3">
      <c r="A64" s="15"/>
      <c r="B64" s="15">
        <f t="shared" ref="B64:B66" si="10">LEN(C64)-LEN(SUBSTITUTE(C64,",",""))+1</f>
        <v>1</v>
      </c>
      <c r="C64" s="7" t="str" cm="1">
        <f t="array" ref="C64">_xlfn.TEXTJOIN(", ",,_xlfn._xlws.FILTER(Tabela1[[#All],[NUMER SERYJNY]],((Tabela1[[#All],[NAZWA]]=$A64)*(Tabela1[[#All],[KOMENTARZ]]=$A$2)),"----------"))</f>
        <v>----------</v>
      </c>
    </row>
    <row r="65" spans="1:3">
      <c r="A65" s="15"/>
      <c r="B65" s="15">
        <f t="shared" si="10"/>
        <v>1</v>
      </c>
      <c r="C65" s="7" t="str" cm="1">
        <f t="array" ref="C65">_xlfn.TEXTJOIN(", ",,_xlfn._xlws.FILTER(Tabela1[[#All],[NUMER SERYJNY]],((Tabela1[[#All],[NAZWA]]=$A65)*(Tabela1[[#All],[KOMENTARZ]]=$A$2)),"----------"))</f>
        <v>----------</v>
      </c>
    </row>
    <row r="66" spans="1:3">
      <c r="A66" s="15"/>
      <c r="B66" s="15">
        <f t="shared" si="10"/>
        <v>1</v>
      </c>
      <c r="C66" s="7" t="str" cm="1">
        <f t="array" ref="C66">_xlfn.TEXTJOIN(", ",,_xlfn._xlws.FILTER(Tabela1[[#All],[NUMER SERYJNY]],((Tabela1[[#All],[NAZWA]]=$A66)*(Tabela1[[#All],[KOMENTARZ]]=$A$2)),"----------"))</f>
        <v>----------</v>
      </c>
    </row>
    <row r="67" spans="1:3">
      <c r="A67" s="15"/>
      <c r="B67" s="15"/>
      <c r="C67" s="7"/>
    </row>
    <row r="68" spans="1:3">
      <c r="A68" s="15"/>
      <c r="B68" s="15"/>
      <c r="C68" s="7"/>
    </row>
    <row r="69" spans="1:3">
      <c r="A69" s="15"/>
      <c r="B69" s="15"/>
      <c r="C69" s="7"/>
    </row>
    <row r="70" spans="1:3">
      <c r="A70" s="11" t="s">
        <v>2927</v>
      </c>
    </row>
    <row r="71" spans="1:3">
      <c r="A71" s="12" t="s">
        <v>2903</v>
      </c>
      <c r="B71" s="13"/>
      <c r="C71" s="8"/>
    </row>
    <row r="72" spans="1:3">
      <c r="A72" s="14" t="s">
        <v>965</v>
      </c>
      <c r="B72" s="14">
        <f t="shared" ref="B72:B76" si="11">LEN(C72)-LEN(SUBSTITUTE(C72,",",""))+1</f>
        <v>1</v>
      </c>
      <c r="C72" s="9" t="str" cm="1">
        <f t="array" ref="C72">_xlfn.TEXTJOIN(", ",,_xlfn._xlws.FILTER(Tabela1[[#All],[NUMER SERYJNY]],((Tabela1[[#All],[NAZWA]]=$A72)*(Tabela1[[#All],[KOMENTARZ]]=$A71)),"----------"))</f>
        <v>A345069X2205146</v>
      </c>
    </row>
    <row r="73" spans="1:3">
      <c r="A73" s="15" t="s">
        <v>967</v>
      </c>
      <c r="B73" s="15">
        <f t="shared" si="11"/>
        <v>1</v>
      </c>
      <c r="C73" s="7" t="str" cm="1">
        <f t="array" ref="C73">_xlfn.TEXTJOIN(", ",,_xlfn._xlws.FILTER(Tabela1[[#All],[NUMER SERYJNY]],((Tabela1[[#All],[NAZWA]]=$A73)*(Tabela1[[#All],[KOMENTARZ]]=$A71)),"----------"))</f>
        <v>C5100LL02RA0329</v>
      </c>
    </row>
    <row r="74" spans="1:3">
      <c r="A74" s="15" t="s">
        <v>969</v>
      </c>
      <c r="B74" s="15">
        <f t="shared" si="11"/>
        <v>1</v>
      </c>
      <c r="C74" s="7" t="str" cm="1">
        <f t="array" ref="C74">_xlfn.TEXTJOIN(", ",,_xlfn._xlws.FILTER(Tabela1[[#All],[NUMER SERYJNY]],((Tabela1[[#All],[NAZWA]]=$A74)*(Tabela1[[#All],[KOMENTARZ]]=$A71)),"----------"))</f>
        <v>P20310L28G26576</v>
      </c>
    </row>
    <row r="75" spans="1:3">
      <c r="A75" s="15" t="s">
        <v>17</v>
      </c>
      <c r="B75" s="15">
        <f t="shared" si="11"/>
        <v>1</v>
      </c>
      <c r="C75" s="7" t="str" cm="1">
        <f t="array" ref="C75">_xlfn.TEXTJOIN(", ",,_xlfn._xlws.FILTER(Tabela1[[#All],[NUMER SERYJNY]],((Tabela1[[#All],[NAZWA]]=$A75)*(Tabela1[[#All],[KOMENTARZ]]=$A71)),"----------"))</f>
        <v>VR21CS006632</v>
      </c>
    </row>
    <row r="76" spans="1:3">
      <c r="A76" s="15" t="s">
        <v>975</v>
      </c>
      <c r="B76" s="15">
        <f t="shared" si="11"/>
        <v>1</v>
      </c>
      <c r="C76" s="7" t="str" cm="1">
        <f t="array" ref="C76">_xlfn.TEXTJOIN(", ",,_xlfn._xlws.FILTER(Tabela1[[#All],[NUMER SERYJNY]],((Tabela1[[#All],[NAZWA]]=$A76)*(Tabela1[[#All],[KOMENTARZ]]=$A71)),"----------"))</f>
        <v>EB20BS008942</v>
      </c>
    </row>
    <row r="77" spans="1:3">
      <c r="A77" s="15" t="s">
        <v>971</v>
      </c>
      <c r="B77" s="15">
        <f>LEN(C77)-LEN(SUBSTITUTE(C77,",",""))+1</f>
        <v>1</v>
      </c>
      <c r="C77" s="7" t="str" cm="1">
        <f t="array" ref="C77">_xlfn.TEXTJOIN(", ",,_xlfn._xlws.FILTER(Tabela1[[#All],[NUMER SERYJNY]],((Tabela1[[#All],[NAZWA]]=$A77)*(Tabela1[[#All],[KOMENTARZ]]=$A71)),"----------"))</f>
        <v>VM21AS005489</v>
      </c>
    </row>
    <row r="78" spans="1:3">
      <c r="A78" s="15" t="s">
        <v>1271</v>
      </c>
      <c r="B78" s="15">
        <f>LEN(C78)-LEN(SUBSTITUTE(C78,",",""))+1</f>
        <v>1</v>
      </c>
      <c r="C78" s="7" t="str" cm="1">
        <f t="array" ref="C78">_xlfn.TEXTJOIN(", ",,_xlfn._xlws.FILTER(Tabela1[[#All],[NUMER SERYJNY]],((Tabela1[[#All],[NAZWA]]=$A78)*(Tabela1[[#All],[KOMENTARZ]]=$A71)),"----------"))</f>
        <v>X152J979 00258  U1020PX200258</v>
      </c>
    </row>
    <row r="79" spans="1:3">
      <c r="A79" s="15" t="s">
        <v>956</v>
      </c>
      <c r="B79" s="15">
        <f t="shared" ref="B79:B81" si="12">LEN(C79)-LEN(SUBSTITUTE(C79,",",""))+1</f>
        <v>2</v>
      </c>
      <c r="C79" s="7" t="str" cm="1">
        <f t="array" ref="C79">_xlfn.TEXTJOIN(", ",,_xlfn._xlws.FILTER(Tabela1[[#All],[NUMER SERYJNY]],((Tabela1[[#All],[NAZWA]]=$A79)*(Tabela1[[#All],[KOMENTARZ]]=$A71)),"----------"))</f>
        <v>SNK682, SNK683</v>
      </c>
    </row>
    <row r="80" spans="1:3">
      <c r="A80" s="15" t="s">
        <v>701</v>
      </c>
      <c r="B80" s="15">
        <f t="shared" si="12"/>
        <v>1</v>
      </c>
      <c r="C80" s="7" t="str" cm="1">
        <f t="array" ref="C80">_xlfn.TEXTJOIN(", ",,_xlfn._xlws.FILTER(Tabela1[[#All],[NUMER SERYJNY]],((Tabela1[[#All],[NAZWA]]=$A80)*(Tabela1[[#All],[KOMENTARZ]]=$A71)),"----------"))</f>
        <v>S45PNC0R879896</v>
      </c>
    </row>
    <row r="81" spans="1:3">
      <c r="A81" s="15" t="s">
        <v>976</v>
      </c>
      <c r="B81" s="15">
        <f t="shared" si="12"/>
        <v>1</v>
      </c>
      <c r="C81" s="7" t="str" cm="1">
        <f t="array" ref="C81">_xlfn.TEXTJOIN(", ",,_xlfn._xlws.FILTER(Tabela1[[#All],[NUMER SERYJNY]],((Tabela1[[#All],[NAZWA]]=$A81)*(Tabela1[[#All],[KOMENTARZ]]=$A71)),"----------"))</f>
        <v>02219140311368</v>
      </c>
    </row>
    <row r="82" spans="1:3">
      <c r="A82" s="15"/>
      <c r="B82" s="15">
        <f t="shared" ref="B82:B84" si="13">LEN(C82)-LEN(SUBSTITUTE(C82,",",""))+1</f>
        <v>1</v>
      </c>
      <c r="C82" s="7" t="str" cm="1">
        <f t="array" ref="C82">_xlfn.TEXTJOIN(", ",,_xlfn._xlws.FILTER(Tabela1[[#All],[NUMER SERYJNY]],((Tabela1[[#All],[NAZWA]]=$A82)*(Tabela1[[#All],[KOMENTARZ]]=$A$2)),"----------"))</f>
        <v>----------</v>
      </c>
    </row>
    <row r="83" spans="1:3">
      <c r="A83" s="15"/>
      <c r="B83" s="15">
        <f t="shared" si="13"/>
        <v>1</v>
      </c>
      <c r="C83" s="7" t="str" cm="1">
        <f t="array" ref="C83">_xlfn.TEXTJOIN(", ",,_xlfn._xlws.FILTER(Tabela1[[#All],[NUMER SERYJNY]],((Tabela1[[#All],[NAZWA]]=$A83)*(Tabela1[[#All],[KOMENTARZ]]=$A$2)),"----------"))</f>
        <v>----------</v>
      </c>
    </row>
    <row r="84" spans="1:3">
      <c r="A84" s="15"/>
      <c r="B84" s="15">
        <f t="shared" si="13"/>
        <v>1</v>
      </c>
      <c r="C84" s="7" t="str" cm="1">
        <f t="array" ref="C84">_xlfn.TEXTJOIN(", ",,_xlfn._xlws.FILTER(Tabela1[[#All],[NUMER SERYJNY]],((Tabela1[[#All],[NAZWA]]=$A84)*(Tabela1[[#All],[KOMENTARZ]]=$A$2)),"----------"))</f>
        <v>----------</v>
      </c>
    </row>
    <row r="87" spans="1:3">
      <c r="A87" s="12"/>
      <c r="B87" s="13"/>
      <c r="C87" s="8"/>
    </row>
    <row r="88" spans="1:3">
      <c r="A88" s="14"/>
      <c r="B88" s="14"/>
      <c r="C88" s="9"/>
    </row>
    <row r="89" spans="1:3">
      <c r="A89" s="11" t="s">
        <v>2927</v>
      </c>
    </row>
    <row r="90" spans="1:3">
      <c r="A90" s="12" t="s">
        <v>2906</v>
      </c>
      <c r="B90" s="13"/>
      <c r="C90" s="8"/>
    </row>
    <row r="91" spans="1:3">
      <c r="A91" s="14" t="s">
        <v>965</v>
      </c>
      <c r="B91" s="14">
        <f t="shared" ref="B91:B95" si="14">LEN(C91)-LEN(SUBSTITUTE(C91,",",""))+1</f>
        <v>1</v>
      </c>
      <c r="C91" s="9" t="str" cm="1">
        <f t="array" ref="C91">_xlfn.TEXTJOIN(", ",,_xlfn._xlws.FILTER(Tabela1[[#All],[NUMER SERYJNY]],((Tabela1[[#All],[NAZWA]]=$A91)*(Tabela1[[#All],[KOMENTARZ]]=$A90)),"----------"))</f>
        <v>A345069X2205149</v>
      </c>
    </row>
    <row r="92" spans="1:3">
      <c r="A92" s="15" t="s">
        <v>967</v>
      </c>
      <c r="B92" s="15">
        <f t="shared" si="14"/>
        <v>1</v>
      </c>
      <c r="C92" s="7" t="str" cm="1">
        <f t="array" ref="C92">_xlfn.TEXTJOIN(", ",,_xlfn._xlws.FILTER(Tabela1[[#All],[NUMER SERYJNY]],((Tabela1[[#All],[NAZWA]]=$A92)*(Tabela1[[#All],[KOMENTARZ]]=$A90)),"----------"))</f>
        <v>C5100LL02RA0357</v>
      </c>
    </row>
    <row r="93" spans="1:3">
      <c r="A93" s="15" t="s">
        <v>969</v>
      </c>
      <c r="B93" s="15">
        <f t="shared" si="14"/>
        <v>1</v>
      </c>
      <c r="C93" s="7" t="str" cm="1">
        <f t="array" ref="C93">_xlfn.TEXTJOIN(", ",,_xlfn._xlws.FILTER(Tabela1[[#All],[NUMER SERYJNY]],((Tabela1[[#All],[NAZWA]]=$A93)*(Tabela1[[#All],[KOMENTARZ]]=$A90)),"----------"))</f>
        <v>P20310L28G26572</v>
      </c>
    </row>
    <row r="94" spans="1:3">
      <c r="A94" s="15" t="s">
        <v>17</v>
      </c>
      <c r="B94" s="15">
        <f t="shared" si="14"/>
        <v>1</v>
      </c>
      <c r="C94" s="7" t="str" cm="1">
        <f t="array" ref="C94">_xlfn.TEXTJOIN(", ",,_xlfn._xlws.FILTER(Tabela1[[#All],[NUMER SERYJNY]],((Tabela1[[#All],[NAZWA]]=$A94)*(Tabela1[[#All],[KOMENTARZ]]=$A90)),"----------"))</f>
        <v>VR21CS006629</v>
      </c>
    </row>
    <row r="95" spans="1:3">
      <c r="A95" s="15" t="s">
        <v>975</v>
      </c>
      <c r="B95" s="15">
        <f t="shared" si="14"/>
        <v>1</v>
      </c>
      <c r="C95" s="7" t="str" cm="1">
        <f t="array" ref="C95">_xlfn.TEXTJOIN(", ",,_xlfn._xlws.FILTER(Tabela1[[#All],[NUMER SERYJNY]],((Tabela1[[#All],[NAZWA]]=$A95)*(Tabela1[[#All],[KOMENTARZ]]=$A90)),"----------"))</f>
        <v>EB213S002958</v>
      </c>
    </row>
    <row r="96" spans="1:3">
      <c r="A96" s="15" t="s">
        <v>971</v>
      </c>
      <c r="B96" s="15">
        <f>LEN(C96)-LEN(SUBSTITUTE(C96,",",""))+1</f>
        <v>1</v>
      </c>
      <c r="C96" s="7" t="str" cm="1">
        <f t="array" ref="C96">_xlfn.TEXTJOIN(", ",,_xlfn._xlws.FILTER(Tabela1[[#All],[NUMER SERYJNY]],((Tabela1[[#All],[NAZWA]]=$A96)*(Tabela1[[#All],[KOMENTARZ]]=$A90)),"----------"))</f>
        <v>VM21AS005490</v>
      </c>
    </row>
    <row r="97" spans="1:3">
      <c r="A97" s="15" t="s">
        <v>1271</v>
      </c>
      <c r="B97" s="15">
        <f>LEN(C97)-LEN(SUBSTITUTE(C97,",",""))+1</f>
        <v>1</v>
      </c>
      <c r="C97" s="7" t="str" cm="1">
        <f t="array" ref="C97">_xlfn.TEXTJOIN(", ",,_xlfn._xlws.FILTER(Tabela1[[#All],[NUMER SERYJNY]],((Tabela1[[#All],[NAZWA]]=$A97)*(Tabela1[[#All],[KOMENTARZ]]=$A90)),"----------"))</f>
        <v>U17TX50401824</v>
      </c>
    </row>
    <row r="98" spans="1:3">
      <c r="A98" s="15" t="s">
        <v>956</v>
      </c>
      <c r="B98" s="15">
        <f t="shared" ref="B98:B100" si="15">LEN(C98)-LEN(SUBSTITUTE(C98,",",""))+1</f>
        <v>2</v>
      </c>
      <c r="C98" s="7" t="str" cm="1">
        <f t="array" ref="C98">_xlfn.TEXTJOIN(", ",,_xlfn._xlws.FILTER(Tabela1[[#All],[NUMER SERYJNY]],((Tabela1[[#All],[NAZWA]]=$A98)*(Tabela1[[#All],[KOMENTARZ]]=$A90)),"----------"))</f>
        <v>SNK685, SNK684</v>
      </c>
    </row>
    <row r="99" spans="1:3">
      <c r="A99" s="15" t="s">
        <v>701</v>
      </c>
      <c r="B99" s="15">
        <f t="shared" si="15"/>
        <v>1</v>
      </c>
      <c r="C99" s="7" t="str" cm="1">
        <f t="array" ref="C99">_xlfn.TEXTJOIN(", ",,_xlfn._xlws.FILTER(Tabela1[[#All],[NUMER SERYJNY]],((Tabela1[[#All],[NAZWA]]=$A99)*(Tabela1[[#All],[KOMENTARZ]]=$A90)),"----------"))</f>
        <v>S45PNC0R879903</v>
      </c>
    </row>
    <row r="100" spans="1:3">
      <c r="A100" s="15" t="s">
        <v>976</v>
      </c>
      <c r="B100" s="15">
        <f t="shared" si="15"/>
        <v>1</v>
      </c>
      <c r="C100" s="7" t="str" cm="1">
        <f t="array" ref="C100">_xlfn.TEXTJOIN(", ",,_xlfn._xlws.FILTER(Tabela1[[#All],[NUMER SERYJNY]],((Tabela1[[#All],[NAZWA]]=$A100)*(Tabela1[[#All],[KOMENTARZ]]=$A90)),"----------"))</f>
        <v>02219140311363</v>
      </c>
    </row>
    <row r="101" spans="1:3">
      <c r="A101" s="15"/>
      <c r="B101" s="15">
        <f t="shared" ref="B101:B103" si="16">LEN(C101)-LEN(SUBSTITUTE(C101,",",""))+1</f>
        <v>1</v>
      </c>
      <c r="C101" s="7" t="str" cm="1">
        <f t="array" ref="C101">_xlfn.TEXTJOIN(", ",,_xlfn._xlws.FILTER(Tabela1[[#All],[NUMER SERYJNY]],((Tabela1[[#All],[NAZWA]]=$A101)*(Tabela1[[#All],[KOMENTARZ]]=$A$2)),"----------"))</f>
        <v>----------</v>
      </c>
    </row>
    <row r="102" spans="1:3">
      <c r="A102" s="15"/>
      <c r="B102" s="15">
        <f t="shared" si="16"/>
        <v>1</v>
      </c>
      <c r="C102" s="7" t="str" cm="1">
        <f t="array" ref="C102">_xlfn.TEXTJOIN(", ",,_xlfn._xlws.FILTER(Tabela1[[#All],[NUMER SERYJNY]],((Tabela1[[#All],[NAZWA]]=$A102)*(Tabela1[[#All],[KOMENTARZ]]=$A$2)),"----------"))</f>
        <v>----------</v>
      </c>
    </row>
    <row r="103" spans="1:3">
      <c r="A103" s="15"/>
      <c r="B103" s="15">
        <f t="shared" si="16"/>
        <v>1</v>
      </c>
      <c r="C103" s="7" t="str" cm="1">
        <f t="array" ref="C103">_xlfn.TEXTJOIN(", ",,_xlfn._xlws.FILTER(Tabela1[[#All],[NUMER SERYJNY]],((Tabela1[[#All],[NAZWA]]=$A103)*(Tabela1[[#All],[KOMENTARZ]]=$A$2)),"----------"))</f>
        <v>----------</v>
      </c>
    </row>
    <row r="104" spans="1:3">
      <c r="A104" s="15"/>
      <c r="B104" s="15"/>
      <c r="C104" s="7"/>
    </row>
    <row r="105" spans="1:3">
      <c r="A105" s="15"/>
      <c r="B105" s="15"/>
      <c r="C105" s="7"/>
    </row>
    <row r="106" spans="1:3">
      <c r="A106" s="15"/>
      <c r="B106" s="15"/>
      <c r="C106" s="7"/>
    </row>
    <row r="107" spans="1:3">
      <c r="A107" s="15"/>
      <c r="B107" s="15"/>
      <c r="C107" s="7"/>
    </row>
    <row r="108" spans="1:3">
      <c r="A108" s="15"/>
      <c r="B108" s="15"/>
      <c r="C108" s="7"/>
    </row>
    <row r="109" spans="1:3">
      <c r="A109" s="15"/>
      <c r="B109" s="15"/>
      <c r="C109" s="7"/>
    </row>
    <row r="110" spans="1:3">
      <c r="A110" s="15"/>
      <c r="B110" s="15"/>
      <c r="C110" s="7"/>
    </row>
    <row r="111" spans="1:3">
      <c r="A111" s="15"/>
      <c r="B111" s="15"/>
      <c r="C111" s="7"/>
    </row>
    <row r="112" spans="1:3">
      <c r="A112" s="15"/>
      <c r="B112" s="15"/>
      <c r="C112" s="7"/>
    </row>
    <row r="115" spans="1:3">
      <c r="A115" s="12"/>
      <c r="B115" s="13"/>
      <c r="C115" s="8"/>
    </row>
    <row r="116" spans="1:3">
      <c r="A116" s="14"/>
      <c r="B116" s="14"/>
      <c r="C116" s="9"/>
    </row>
    <row r="117" spans="1:3">
      <c r="A117" s="15"/>
      <c r="B117" s="15"/>
      <c r="C117" s="7"/>
    </row>
    <row r="118" spans="1:3">
      <c r="A118" s="15"/>
      <c r="B118" s="15"/>
      <c r="C118" s="7"/>
    </row>
    <row r="119" spans="1:3">
      <c r="A119" s="15"/>
      <c r="B119" s="15"/>
      <c r="C119" s="7"/>
    </row>
    <row r="120" spans="1:3">
      <c r="A120" s="15"/>
      <c r="B120" s="15"/>
      <c r="C120" s="7"/>
    </row>
    <row r="121" spans="1:3">
      <c r="A121" s="15"/>
      <c r="B121" s="15"/>
      <c r="C121" s="7"/>
    </row>
    <row r="122" spans="1:3">
      <c r="A122" s="15"/>
      <c r="B122" s="15"/>
      <c r="C122" s="7"/>
    </row>
    <row r="123" spans="1:3">
      <c r="A123" s="15"/>
      <c r="B123" s="15"/>
      <c r="C123" s="7"/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5"/>
      <c r="B126" s="15"/>
      <c r="C126" s="7"/>
    </row>
  </sheetData>
  <conditionalFormatting sqref="F3">
    <cfRule type="duplicateValues" dxfId="144" priority="21"/>
  </conditionalFormatting>
  <conditionalFormatting sqref="C1:C16 C113:C114 C127:C1048576 C70:C86 C89:C103">
    <cfRule type="duplicateValues" dxfId="143" priority="20"/>
  </conditionalFormatting>
  <conditionalFormatting sqref="C67:C69">
    <cfRule type="duplicateValues" dxfId="142" priority="17"/>
  </conditionalFormatting>
  <conditionalFormatting sqref="C87:C88">
    <cfRule type="duplicateValues" dxfId="141" priority="15"/>
  </conditionalFormatting>
  <conditionalFormatting sqref="C104:C112">
    <cfRule type="duplicateValues" dxfId="140" priority="14"/>
  </conditionalFormatting>
  <conditionalFormatting sqref="C115:C126">
    <cfRule type="duplicateValues" dxfId="139" priority="13"/>
  </conditionalFormatting>
  <conditionalFormatting sqref="C17">
    <cfRule type="duplicateValues" dxfId="138" priority="12"/>
  </conditionalFormatting>
  <conditionalFormatting sqref="C33">
    <cfRule type="duplicateValues" dxfId="137" priority="11"/>
  </conditionalFormatting>
  <conditionalFormatting sqref="C34">
    <cfRule type="duplicateValues" dxfId="136" priority="9"/>
  </conditionalFormatting>
  <conditionalFormatting sqref="C50:C51">
    <cfRule type="duplicateValues" dxfId="135" priority="8"/>
  </conditionalFormatting>
  <conditionalFormatting sqref="C30:C32">
    <cfRule type="duplicateValues" dxfId="134" priority="7"/>
  </conditionalFormatting>
  <conditionalFormatting sqref="C47:C49">
    <cfRule type="duplicateValues" dxfId="133" priority="6"/>
  </conditionalFormatting>
  <conditionalFormatting sqref="C64:C66">
    <cfRule type="duplicateValues" dxfId="132" priority="5"/>
  </conditionalFormatting>
  <conditionalFormatting sqref="C18:C29">
    <cfRule type="duplicateValues" dxfId="131" priority="4"/>
  </conditionalFormatting>
  <conditionalFormatting sqref="C35:C46">
    <cfRule type="duplicateValues" dxfId="130" priority="3"/>
  </conditionalFormatting>
  <conditionalFormatting sqref="C52:C63">
    <cfRule type="duplicateValues" dxfId="129" priority="2"/>
  </conditionalFormatting>
  <conditionalFormatting sqref="C1:C1048576">
    <cfRule type="duplicateValues" dxfId="128" priority="1"/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4A53-FAC3-4F37-BB0C-4C882040D649}">
  <sheetPr codeName="Arkusz47"/>
  <dimension ref="A1:C210"/>
  <sheetViews>
    <sheetView workbookViewId="0">
      <selection activeCell="A35" sqref="A35"/>
    </sheetView>
  </sheetViews>
  <sheetFormatPr defaultRowHeight="15"/>
  <cols>
    <col min="1" max="1" width="27.42578125" style="11" bestFit="1" customWidth="1"/>
    <col min="2" max="2" width="4.28515625" style="11" customWidth="1"/>
    <col min="3" max="3" width="47.42578125" customWidth="1"/>
  </cols>
  <sheetData>
    <row r="1" spans="1:3">
      <c r="A1" s="11" t="s">
        <v>2851</v>
      </c>
    </row>
    <row r="2" spans="1:3">
      <c r="A2" s="12" t="s">
        <v>2836</v>
      </c>
      <c r="B2" s="13"/>
      <c r="C2" s="8"/>
    </row>
    <row r="3" spans="1:3">
      <c r="A3" s="14" t="s">
        <v>2842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C7430FK43P10080</v>
      </c>
    </row>
    <row r="4" spans="1:3">
      <c r="A4" s="15" t="s">
        <v>2850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P668PAL38A02591</v>
      </c>
    </row>
    <row r="5" spans="1:3">
      <c r="A5" s="15" t="s">
        <v>1725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PB218S012058</v>
      </c>
    </row>
    <row r="6" spans="1:3">
      <c r="A6" s="15" t="s">
        <v>2846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OM21BS062546</v>
      </c>
    </row>
    <row r="7" spans="1:3">
      <c r="A7" s="15" t="s">
        <v>2848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26746DBF2D2BECABRGZC  711E7K6600081</v>
      </c>
    </row>
    <row r="8" spans="1:3">
      <c r="A8" s="15" t="s">
        <v>2833</v>
      </c>
      <c r="B8" s="15">
        <f>LEN(C8)-LEN(SUBSTITUTE(C8,",",""))+1</f>
        <v>6</v>
      </c>
      <c r="C8" s="7" t="str" cm="1">
        <f t="array" ref="C8">_xlfn.TEXTJOIN(", ",,_xlfn._xlws.FILTER(Tabela1[[#All],[NUMER SERYJNY]],((Tabela1[[#All],[NAZWA]]=$A8)*(Tabela1[[#All],[KOMENTARZ]]=$A2)),"----------"))</f>
        <v>SNK758, SNK759, SNK760, SNK761, SNK762, SNK763</v>
      </c>
    </row>
    <row r="9" spans="1:3">
      <c r="A9" s="15"/>
      <c r="B9" s="15">
        <f>LEN(C9)-LEN(SUBSTITUTE(C9,",",""))+1</f>
        <v>1</v>
      </c>
      <c r="C9" s="7" t="str" cm="1">
        <f t="array" ref="C9">_xlfn.TEXTJOIN(", ",,_xlfn._xlws.FILTER(Tabela1[[#All],[NUMER SERYJNY]],((Tabela1[[#All],[NAZWA]]=$A9)*(Tabela1[[#All],[KOMENTARZ]]=$A2)),"----------"))</f>
        <v>----------</v>
      </c>
    </row>
    <row r="10" spans="1:3">
      <c r="A10" s="15"/>
      <c r="B10" s="15">
        <f t="shared" ref="B10:B16" si="1">LEN(C10)-LEN(SUBSTITUTE(C10,",",""))+1</f>
        <v>1</v>
      </c>
      <c r="C10" s="7" t="str" cm="1">
        <f t="array" ref="C10">_xlfn.TEXTJOIN(", ",,_xlfn._xlws.FILTER(Tabela1[[#All],[NUMER SERYJNY]],((Tabela1[[#All],[NAZWA]]=$A10)*(Tabela1[[#All],[KOMENTARZ]]=$A2)),"----------"))</f>
        <v>----------</v>
      </c>
    </row>
    <row r="11" spans="1:3">
      <c r="A11" s="15"/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----------</v>
      </c>
    </row>
    <row r="12" spans="1:3">
      <c r="A12" s="15"/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----------</v>
      </c>
    </row>
    <row r="13" spans="1:3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SERYJNY]],((Tabela1[[#All],[NAZWA]]=$A13)*(Tabela1[[#All],[KOMENTARZ]]=$A2)),"----------"))</f>
        <v>----------</v>
      </c>
    </row>
    <row r="14" spans="1:3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SERYJNY]],((Tabela1[[#All],[NAZWA]]=$A14)*(Tabela1[[#All],[KOMENTARZ]]=$A2)),"----------"))</f>
        <v>----------</v>
      </c>
    </row>
    <row r="15" spans="1:3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SERYJNY]],((Tabela1[[#All],[NAZWA]]=$A15)*(Tabela1[[#All],[KOMENTARZ]]=$A2)),"----------"))</f>
        <v>----------</v>
      </c>
    </row>
    <row r="16" spans="1:3">
      <c r="A16" s="15"/>
      <c r="B16" s="15">
        <f t="shared" si="1"/>
        <v>1</v>
      </c>
      <c r="C16" s="7" t="str" cm="1">
        <f t="array" ref="C16">_xlfn.TEXTJOIN(", ",,_xlfn._xlws.FILTER(Tabela1[[#All],[NUMER SERYJNY]],((Tabela1[[#All],[NAZWA]]=$A16)*(Tabela1[[#All],[KOMENTARZ]]=$A2)),"----------"))</f>
        <v>----------</v>
      </c>
    </row>
    <row r="17" spans="1:3" ht="18.75">
      <c r="A17" s="16"/>
      <c r="B17" s="16"/>
      <c r="C17" s="10"/>
    </row>
    <row r="18" spans="1:3">
      <c r="A18" s="12"/>
      <c r="B18" s="13"/>
      <c r="C18" s="8"/>
    </row>
    <row r="19" spans="1:3">
      <c r="A19" s="14"/>
      <c r="B19" s="14"/>
      <c r="C19" s="9"/>
    </row>
    <row r="20" spans="1:3">
      <c r="A20" s="15"/>
      <c r="B20" s="15"/>
      <c r="C20" s="7"/>
    </row>
    <row r="21" spans="1:3">
      <c r="A21" s="15"/>
      <c r="B21" s="15"/>
      <c r="C21" s="7"/>
    </row>
    <row r="22" spans="1:3">
      <c r="A22" s="15"/>
      <c r="B22" s="15"/>
      <c r="C22" s="7"/>
    </row>
    <row r="23" spans="1:3">
      <c r="A23" s="15"/>
      <c r="B23" s="15"/>
      <c r="C23" s="7"/>
    </row>
    <row r="24" spans="1:3">
      <c r="A24" s="15"/>
      <c r="B24" s="15"/>
      <c r="C24" s="7"/>
    </row>
    <row r="25" spans="1:3">
      <c r="A25" s="15"/>
      <c r="B25" s="15"/>
      <c r="C25" s="7"/>
    </row>
    <row r="26" spans="1:3">
      <c r="A26" s="15"/>
      <c r="B26" s="15"/>
      <c r="C26" s="7"/>
    </row>
    <row r="27" spans="1:3">
      <c r="A27" s="15"/>
      <c r="B27" s="15"/>
      <c r="C27" s="7"/>
    </row>
    <row r="28" spans="1:3">
      <c r="A28" s="15"/>
      <c r="B28" s="15"/>
      <c r="C28" s="7"/>
    </row>
    <row r="29" spans="1:3">
      <c r="A29" s="15"/>
      <c r="B29" s="15"/>
      <c r="C29" s="7"/>
    </row>
    <row r="30" spans="1:3">
      <c r="A30" s="15"/>
      <c r="B30" s="15"/>
      <c r="C30" s="7"/>
    </row>
    <row r="31" spans="1:3">
      <c r="A31" s="15"/>
      <c r="B31" s="15"/>
      <c r="C31" s="7"/>
    </row>
    <row r="32" spans="1:3">
      <c r="A32" s="15"/>
      <c r="B32" s="15"/>
      <c r="C32" s="7"/>
    </row>
    <row r="33" spans="1:3">
      <c r="A33" s="14"/>
      <c r="B33" s="14"/>
      <c r="C33" s="9"/>
    </row>
    <row r="34" spans="1:3">
      <c r="A34" s="12"/>
      <c r="B34" s="13"/>
      <c r="C34" s="8"/>
    </row>
    <row r="35" spans="1:3">
      <c r="A35" s="14"/>
      <c r="B35" s="14"/>
      <c r="C35" s="9"/>
    </row>
    <row r="36" spans="1:3">
      <c r="A36" s="15"/>
      <c r="B36" s="15"/>
      <c r="C36" s="7"/>
    </row>
    <row r="37" spans="1:3">
      <c r="A37" s="15"/>
      <c r="B37" s="15"/>
      <c r="C37" s="7"/>
    </row>
    <row r="38" spans="1:3">
      <c r="A38" s="15"/>
      <c r="B38" s="15"/>
      <c r="C38" s="7"/>
    </row>
    <row r="39" spans="1:3">
      <c r="A39" s="15"/>
      <c r="B39" s="15"/>
      <c r="C39" s="7"/>
    </row>
    <row r="40" spans="1:3">
      <c r="A40" s="15"/>
      <c r="B40" s="15"/>
      <c r="C40" s="7"/>
    </row>
    <row r="41" spans="1:3">
      <c r="A41" s="15"/>
      <c r="B41" s="15"/>
      <c r="C41" s="7"/>
    </row>
    <row r="42" spans="1:3">
      <c r="A42" s="15"/>
      <c r="B42" s="15"/>
      <c r="C42" s="7"/>
    </row>
    <row r="43" spans="1:3">
      <c r="A43" s="15"/>
      <c r="B43" s="15"/>
      <c r="C43" s="7"/>
    </row>
    <row r="44" spans="1:3">
      <c r="A44" s="15"/>
      <c r="B44" s="15"/>
      <c r="C44" s="7"/>
    </row>
    <row r="45" spans="1:3">
      <c r="A45" s="15"/>
      <c r="B45" s="15"/>
      <c r="C45" s="7"/>
    </row>
    <row r="46" spans="1:3">
      <c r="A46" s="15"/>
      <c r="B46" s="15"/>
      <c r="C46" s="7"/>
    </row>
    <row r="47" spans="1:3">
      <c r="A47" s="15"/>
      <c r="B47" s="15"/>
      <c r="C47" s="7"/>
    </row>
    <row r="48" spans="1:3">
      <c r="A48" s="15"/>
      <c r="B48" s="15"/>
      <c r="C48" s="7"/>
    </row>
    <row r="49" spans="1:3">
      <c r="A49" s="15"/>
      <c r="B49" s="15"/>
      <c r="C49" s="7"/>
    </row>
    <row r="50" spans="1:3">
      <c r="A50" s="12"/>
      <c r="B50" s="13"/>
      <c r="C50" s="8"/>
    </row>
    <row r="51" spans="1:3">
      <c r="A51" s="14"/>
      <c r="B51" s="14"/>
      <c r="C51" s="9"/>
    </row>
    <row r="52" spans="1:3">
      <c r="A52" s="15"/>
      <c r="B52" s="15"/>
      <c r="C52" s="7"/>
    </row>
    <row r="53" spans="1:3">
      <c r="A53" s="15"/>
      <c r="B53" s="15"/>
      <c r="C53" s="7"/>
    </row>
    <row r="54" spans="1:3">
      <c r="A54" s="15"/>
      <c r="B54" s="15"/>
      <c r="C54" s="7"/>
    </row>
    <row r="55" spans="1:3">
      <c r="A55" s="15"/>
      <c r="B55" s="15"/>
      <c r="C55" s="7"/>
    </row>
    <row r="56" spans="1:3">
      <c r="A56" s="15"/>
      <c r="B56" s="15"/>
      <c r="C56" s="7"/>
    </row>
    <row r="57" spans="1:3">
      <c r="A57" s="15"/>
      <c r="B57" s="15"/>
      <c r="C57" s="7"/>
    </row>
    <row r="58" spans="1:3">
      <c r="A58" s="15"/>
      <c r="B58" s="15"/>
      <c r="C58" s="7"/>
    </row>
    <row r="59" spans="1:3">
      <c r="A59" s="15"/>
      <c r="B59" s="15"/>
      <c r="C59" s="7"/>
    </row>
    <row r="60" spans="1:3">
      <c r="A60" s="15"/>
      <c r="B60" s="15"/>
      <c r="C60" s="7"/>
    </row>
    <row r="61" spans="1:3">
      <c r="A61" s="15"/>
      <c r="B61" s="15"/>
      <c r="C61" s="7"/>
    </row>
    <row r="62" spans="1:3">
      <c r="A62" s="15"/>
      <c r="B62" s="15"/>
      <c r="C62" s="7"/>
    </row>
    <row r="63" spans="1:3">
      <c r="A63" s="15"/>
      <c r="B63" s="15"/>
      <c r="C63" s="7"/>
    </row>
    <row r="64" spans="1:3">
      <c r="A64" s="15"/>
      <c r="B64" s="15"/>
      <c r="C64" s="7"/>
    </row>
    <row r="65" spans="1:3">
      <c r="A65" s="15"/>
      <c r="B65" s="15"/>
      <c r="C65" s="7"/>
    </row>
    <row r="66" spans="1:3">
      <c r="A66" s="12"/>
      <c r="B66" s="13"/>
      <c r="C66" s="8"/>
    </row>
    <row r="67" spans="1:3">
      <c r="A67" s="14"/>
      <c r="B67" s="14"/>
      <c r="C67" s="9"/>
    </row>
    <row r="68" spans="1:3">
      <c r="A68" s="15"/>
      <c r="B68" s="15"/>
      <c r="C68" s="7"/>
    </row>
    <row r="69" spans="1:3">
      <c r="A69" s="15"/>
      <c r="B69" s="15"/>
      <c r="C69" s="7"/>
    </row>
    <row r="70" spans="1:3">
      <c r="A70" s="15"/>
      <c r="B70" s="15"/>
      <c r="C70" s="7"/>
    </row>
    <row r="71" spans="1:3">
      <c r="A71" s="15"/>
      <c r="B71" s="15"/>
      <c r="C71" s="7"/>
    </row>
    <row r="72" spans="1:3">
      <c r="A72" s="15"/>
      <c r="B72" s="15"/>
      <c r="C72" s="7"/>
    </row>
    <row r="73" spans="1:3">
      <c r="A73" s="15"/>
      <c r="B73" s="15"/>
      <c r="C73" s="7"/>
    </row>
    <row r="74" spans="1:3">
      <c r="A74" s="15"/>
      <c r="B74" s="15"/>
      <c r="C74" s="7"/>
    </row>
    <row r="75" spans="1:3">
      <c r="A75" s="15"/>
      <c r="B75" s="15"/>
      <c r="C75" s="7"/>
    </row>
    <row r="76" spans="1:3">
      <c r="A76" s="15"/>
      <c r="B76" s="15"/>
      <c r="C76" s="7"/>
    </row>
    <row r="77" spans="1:3">
      <c r="A77" s="15"/>
      <c r="B77" s="15"/>
      <c r="C77" s="7"/>
    </row>
    <row r="78" spans="1:3">
      <c r="A78" s="15"/>
      <c r="B78" s="15"/>
      <c r="C78" s="7"/>
    </row>
    <row r="79" spans="1:3">
      <c r="A79" s="15"/>
      <c r="B79" s="15"/>
      <c r="C79" s="7"/>
    </row>
    <row r="80" spans="1:3">
      <c r="A80" s="15"/>
      <c r="B80" s="15"/>
      <c r="C80" s="7"/>
    </row>
    <row r="81" spans="1:3">
      <c r="A81" s="15"/>
      <c r="B81" s="15"/>
      <c r="C81" s="7"/>
    </row>
    <row r="82" spans="1:3">
      <c r="A82" s="12"/>
      <c r="B82" s="13"/>
      <c r="C82" s="8"/>
    </row>
    <row r="83" spans="1:3">
      <c r="A83" s="14"/>
      <c r="B83" s="14"/>
      <c r="C83" s="9"/>
    </row>
    <row r="84" spans="1:3">
      <c r="A84" s="15"/>
      <c r="B84" s="15"/>
      <c r="C84" s="7"/>
    </row>
    <row r="85" spans="1:3">
      <c r="A85" s="15"/>
      <c r="B85" s="15"/>
      <c r="C85" s="7"/>
    </row>
    <row r="86" spans="1:3">
      <c r="A86" s="15"/>
      <c r="B86" s="15"/>
      <c r="C86" s="7"/>
    </row>
    <row r="87" spans="1:3">
      <c r="A87" s="15"/>
      <c r="B87" s="15"/>
      <c r="C87" s="7"/>
    </row>
    <row r="88" spans="1:3">
      <c r="A88" s="15"/>
      <c r="B88" s="15"/>
      <c r="C88" s="7"/>
    </row>
    <row r="89" spans="1:3">
      <c r="A89" s="15"/>
      <c r="B89" s="15"/>
      <c r="C89" s="7"/>
    </row>
    <row r="90" spans="1:3">
      <c r="A90" s="15"/>
      <c r="B90" s="15"/>
      <c r="C90" s="7"/>
    </row>
    <row r="91" spans="1:3">
      <c r="A91" s="15"/>
      <c r="B91" s="15"/>
      <c r="C91" s="7"/>
    </row>
    <row r="92" spans="1:3">
      <c r="A92" s="15"/>
      <c r="B92" s="15"/>
      <c r="C92" s="7"/>
    </row>
    <row r="93" spans="1:3">
      <c r="A93" s="15"/>
      <c r="B93" s="15"/>
      <c r="C93" s="7"/>
    </row>
    <row r="94" spans="1:3">
      <c r="A94" s="15"/>
      <c r="B94" s="15"/>
      <c r="C94" s="7"/>
    </row>
    <row r="95" spans="1:3">
      <c r="A95" s="15"/>
      <c r="B95" s="15"/>
      <c r="C95" s="7"/>
    </row>
    <row r="96" spans="1:3">
      <c r="A96" s="15"/>
      <c r="B96" s="15"/>
      <c r="C96" s="7"/>
    </row>
    <row r="97" spans="1:3">
      <c r="A97" s="15"/>
      <c r="B97" s="15"/>
      <c r="C97" s="7"/>
    </row>
    <row r="98" spans="1:3">
      <c r="A98" s="15"/>
      <c r="B98" s="15"/>
      <c r="C98" s="7"/>
    </row>
    <row r="99" spans="1:3">
      <c r="A99" s="12"/>
      <c r="B99" s="13"/>
      <c r="C99" s="8"/>
    </row>
    <row r="100" spans="1:3">
      <c r="A100" s="14"/>
      <c r="B100" s="14"/>
      <c r="C100" s="9"/>
    </row>
    <row r="101" spans="1:3">
      <c r="A101" s="15"/>
      <c r="B101" s="15"/>
      <c r="C101" s="7"/>
    </row>
    <row r="102" spans="1:3">
      <c r="A102" s="15"/>
      <c r="B102" s="15"/>
      <c r="C102" s="7"/>
    </row>
    <row r="103" spans="1:3">
      <c r="A103" s="15"/>
      <c r="B103" s="15"/>
      <c r="C103" s="7"/>
    </row>
    <row r="104" spans="1:3">
      <c r="A104" s="15"/>
      <c r="B104" s="15"/>
      <c r="C104" s="7"/>
    </row>
    <row r="105" spans="1:3">
      <c r="A105" s="15"/>
      <c r="B105" s="15"/>
      <c r="C105" s="7"/>
    </row>
    <row r="106" spans="1:3">
      <c r="A106" s="15"/>
      <c r="B106" s="15"/>
      <c r="C106" s="7"/>
    </row>
    <row r="107" spans="1:3">
      <c r="A107" s="15"/>
      <c r="B107" s="15"/>
      <c r="C107" s="7"/>
    </row>
    <row r="108" spans="1:3">
      <c r="A108" s="15"/>
      <c r="B108" s="15"/>
      <c r="C108" s="7"/>
    </row>
    <row r="109" spans="1:3">
      <c r="A109" s="15"/>
      <c r="B109" s="15"/>
      <c r="C109" s="7"/>
    </row>
    <row r="110" spans="1:3">
      <c r="A110" s="15"/>
      <c r="B110" s="15"/>
      <c r="C110" s="7"/>
    </row>
    <row r="111" spans="1:3">
      <c r="A111" s="15"/>
      <c r="B111" s="15"/>
      <c r="C111" s="7"/>
    </row>
    <row r="112" spans="1:3">
      <c r="A112" s="15"/>
      <c r="B112" s="15"/>
      <c r="C112" s="7"/>
    </row>
    <row r="113" spans="1:3">
      <c r="A113" s="15"/>
      <c r="B113" s="15"/>
      <c r="C113" s="7"/>
    </row>
    <row r="115" spans="1:3">
      <c r="A115" s="12"/>
      <c r="B115" s="13"/>
      <c r="C115" s="8"/>
    </row>
    <row r="116" spans="1:3">
      <c r="A116" s="14"/>
      <c r="B116" s="14"/>
      <c r="C116" s="9"/>
    </row>
    <row r="117" spans="1:3">
      <c r="A117" s="15"/>
      <c r="B117" s="15"/>
      <c r="C117" s="7"/>
    </row>
    <row r="118" spans="1:3">
      <c r="A118" s="15"/>
      <c r="B118" s="15"/>
      <c r="C118" s="7"/>
    </row>
    <row r="119" spans="1:3">
      <c r="A119" s="15"/>
      <c r="B119" s="15"/>
      <c r="C119" s="7"/>
    </row>
    <row r="120" spans="1:3">
      <c r="A120" s="15"/>
      <c r="B120" s="15"/>
      <c r="C120" s="7"/>
    </row>
    <row r="121" spans="1:3">
      <c r="A121" s="15"/>
      <c r="B121" s="15"/>
      <c r="C121" s="7"/>
    </row>
    <row r="122" spans="1:3">
      <c r="A122" s="15"/>
      <c r="B122" s="15"/>
      <c r="C122" s="7"/>
    </row>
    <row r="123" spans="1:3">
      <c r="A123" s="15"/>
      <c r="B123" s="15"/>
      <c r="C123" s="7"/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5"/>
      <c r="B126" s="15"/>
      <c r="C126" s="7"/>
    </row>
    <row r="127" spans="1:3">
      <c r="A127" s="15"/>
      <c r="B127" s="15"/>
      <c r="C127" s="7"/>
    </row>
    <row r="128" spans="1:3">
      <c r="A128" s="15"/>
      <c r="B128" s="15"/>
      <c r="C128" s="7"/>
    </row>
    <row r="129" spans="1:3">
      <c r="A129" s="15"/>
      <c r="B129" s="15"/>
      <c r="C129" s="7"/>
    </row>
    <row r="131" spans="1:3">
      <c r="A131" s="12"/>
      <c r="B131" s="13"/>
      <c r="C131" s="8"/>
    </row>
    <row r="132" spans="1:3">
      <c r="A132" s="14"/>
      <c r="B132" s="14"/>
      <c r="C132" s="9"/>
    </row>
    <row r="133" spans="1:3">
      <c r="A133" s="15"/>
      <c r="B133" s="15"/>
      <c r="C133" s="7"/>
    </row>
    <row r="134" spans="1:3">
      <c r="A134" s="15"/>
      <c r="B134" s="15"/>
      <c r="C134" s="7"/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>
      <c r="A137" s="15"/>
      <c r="B137" s="15"/>
      <c r="C137" s="7"/>
    </row>
    <row r="138" spans="1:3">
      <c r="A138" s="15"/>
      <c r="B138" s="15"/>
      <c r="C138" s="7"/>
    </row>
    <row r="139" spans="1:3">
      <c r="A139" s="15"/>
      <c r="B139" s="15"/>
      <c r="C139" s="7"/>
    </row>
    <row r="140" spans="1:3">
      <c r="A140" s="15"/>
      <c r="B140" s="15"/>
      <c r="C140" s="7"/>
    </row>
    <row r="141" spans="1:3">
      <c r="A141" s="15"/>
      <c r="B141" s="15"/>
      <c r="C141" s="7"/>
    </row>
    <row r="142" spans="1:3">
      <c r="A142" s="15"/>
      <c r="B142" s="15"/>
      <c r="C142" s="7"/>
    </row>
    <row r="143" spans="1:3">
      <c r="A143" s="15"/>
      <c r="B143" s="15"/>
      <c r="C143" s="7"/>
    </row>
    <row r="144" spans="1:3">
      <c r="A144" s="15"/>
      <c r="B144" s="15"/>
      <c r="C144" s="7"/>
    </row>
    <row r="145" spans="1:3">
      <c r="A145" s="15"/>
      <c r="B145" s="15"/>
      <c r="C145" s="7"/>
    </row>
    <row r="147" spans="1:3">
      <c r="A147" s="12"/>
      <c r="B147" s="13"/>
      <c r="C147" s="8"/>
    </row>
    <row r="148" spans="1:3">
      <c r="A148" s="14"/>
      <c r="B148" s="14"/>
      <c r="C148" s="9"/>
    </row>
    <row r="149" spans="1:3">
      <c r="A149" s="15"/>
      <c r="B149" s="15"/>
      <c r="C149" s="7"/>
    </row>
    <row r="150" spans="1:3">
      <c r="A150" s="15"/>
      <c r="B150" s="15"/>
      <c r="C150" s="7"/>
    </row>
    <row r="151" spans="1:3">
      <c r="A151" s="15"/>
      <c r="B151" s="15"/>
      <c r="C151" s="7"/>
    </row>
    <row r="152" spans="1:3">
      <c r="A152" s="15"/>
      <c r="B152" s="15"/>
      <c r="C152" s="7"/>
    </row>
    <row r="153" spans="1:3">
      <c r="A153" s="15"/>
      <c r="B153" s="15"/>
      <c r="C153" s="7"/>
    </row>
    <row r="154" spans="1:3">
      <c r="A154" s="15"/>
      <c r="B154" s="15"/>
      <c r="C154" s="7"/>
    </row>
    <row r="155" spans="1:3">
      <c r="A155" s="15"/>
      <c r="B155" s="15"/>
      <c r="C155" s="7"/>
    </row>
    <row r="156" spans="1:3">
      <c r="A156" s="15"/>
      <c r="B156" s="15"/>
      <c r="C156" s="7"/>
    </row>
    <row r="157" spans="1:3">
      <c r="A157" s="15"/>
      <c r="B157" s="15"/>
      <c r="C157" s="7"/>
    </row>
    <row r="158" spans="1:3">
      <c r="A158" s="15"/>
      <c r="B158" s="15"/>
      <c r="C158" s="7"/>
    </row>
    <row r="159" spans="1:3">
      <c r="A159" s="15"/>
      <c r="B159" s="15"/>
      <c r="C159" s="7"/>
    </row>
    <row r="160" spans="1:3">
      <c r="A160" s="15"/>
      <c r="B160" s="15"/>
      <c r="C160" s="7"/>
    </row>
    <row r="161" spans="1:3">
      <c r="A161" s="15"/>
      <c r="B161" s="15"/>
      <c r="C161" s="7"/>
    </row>
    <row r="163" spans="1:3">
      <c r="A163" s="12"/>
      <c r="B163" s="13"/>
      <c r="C163" s="8"/>
    </row>
    <row r="164" spans="1:3">
      <c r="A164" s="14"/>
      <c r="B164" s="14"/>
      <c r="C164" s="9"/>
    </row>
    <row r="165" spans="1:3">
      <c r="A165" s="15"/>
      <c r="B165" s="15"/>
      <c r="C165" s="7"/>
    </row>
    <row r="166" spans="1:3">
      <c r="A166" s="15"/>
      <c r="B166" s="15"/>
      <c r="C166" s="7"/>
    </row>
    <row r="167" spans="1:3">
      <c r="A167" s="15"/>
      <c r="B167" s="15"/>
      <c r="C167" s="7"/>
    </row>
    <row r="168" spans="1:3">
      <c r="A168" s="15"/>
      <c r="B168" s="15"/>
      <c r="C168" s="7"/>
    </row>
    <row r="169" spans="1:3">
      <c r="A169" s="15"/>
      <c r="B169" s="15"/>
      <c r="C169" s="7"/>
    </row>
    <row r="170" spans="1:3">
      <c r="A170" s="15"/>
      <c r="B170" s="15"/>
      <c r="C170" s="7"/>
    </row>
    <row r="171" spans="1:3">
      <c r="A171" s="15"/>
      <c r="B171" s="15"/>
      <c r="C171" s="7"/>
    </row>
    <row r="172" spans="1:3">
      <c r="A172" s="15"/>
      <c r="B172" s="15"/>
      <c r="C172" s="7"/>
    </row>
    <row r="173" spans="1:3">
      <c r="A173" s="15"/>
      <c r="B173" s="15"/>
      <c r="C173" s="7"/>
    </row>
    <row r="174" spans="1:3">
      <c r="A174" s="15"/>
      <c r="B174" s="15"/>
      <c r="C174" s="7"/>
    </row>
    <row r="175" spans="1:3">
      <c r="A175" s="15"/>
      <c r="B175" s="15"/>
      <c r="C175" s="7"/>
    </row>
    <row r="176" spans="1:3">
      <c r="A176" s="15"/>
      <c r="B176" s="15"/>
      <c r="C176" s="7"/>
    </row>
    <row r="177" spans="1:3">
      <c r="A177" s="15"/>
      <c r="B177" s="15"/>
      <c r="C177" s="7"/>
    </row>
    <row r="180" spans="1:3">
      <c r="A180" s="12"/>
      <c r="B180" s="13"/>
      <c r="C180" s="8"/>
    </row>
    <row r="181" spans="1:3">
      <c r="A181" s="14"/>
      <c r="B181" s="14"/>
      <c r="C181" s="9"/>
    </row>
    <row r="182" spans="1:3">
      <c r="A182" s="15"/>
      <c r="B182" s="15"/>
      <c r="C182" s="7"/>
    </row>
    <row r="183" spans="1:3">
      <c r="A183" s="15"/>
      <c r="B183" s="15"/>
      <c r="C183" s="7"/>
    </row>
    <row r="184" spans="1:3">
      <c r="A184" s="15"/>
      <c r="B184" s="15"/>
      <c r="C184" s="7"/>
    </row>
    <row r="185" spans="1:3">
      <c r="A185" s="15"/>
      <c r="B185" s="15"/>
      <c r="C185" s="7"/>
    </row>
    <row r="186" spans="1:3">
      <c r="A186" s="15"/>
      <c r="B186" s="15"/>
      <c r="C186" s="7"/>
    </row>
    <row r="187" spans="1:3">
      <c r="A187" s="15"/>
      <c r="B187" s="15"/>
      <c r="C187" s="7"/>
    </row>
    <row r="188" spans="1:3">
      <c r="A188" s="15"/>
      <c r="B188" s="15"/>
      <c r="C188" s="7"/>
    </row>
    <row r="189" spans="1:3">
      <c r="A189" s="15"/>
      <c r="B189" s="15"/>
      <c r="C189" s="7"/>
    </row>
    <row r="190" spans="1:3">
      <c r="A190" s="15"/>
      <c r="B190" s="15"/>
      <c r="C190" s="7"/>
    </row>
    <row r="191" spans="1:3">
      <c r="A191" s="15"/>
      <c r="B191" s="15"/>
      <c r="C191" s="7"/>
    </row>
    <row r="192" spans="1:3">
      <c r="A192" s="15"/>
      <c r="B192" s="15"/>
      <c r="C192" s="7"/>
    </row>
    <row r="193" spans="1:3">
      <c r="A193" s="15"/>
      <c r="B193" s="15"/>
      <c r="C193" s="7"/>
    </row>
    <row r="194" spans="1:3">
      <c r="A194" s="15"/>
      <c r="B194" s="15"/>
      <c r="C194" s="7"/>
    </row>
    <row r="196" spans="1:3">
      <c r="A196" s="12"/>
      <c r="B196" s="13"/>
      <c r="C196" s="8"/>
    </row>
    <row r="197" spans="1:3">
      <c r="A197" s="14"/>
      <c r="B197" s="14"/>
      <c r="C197" s="9"/>
    </row>
    <row r="198" spans="1:3">
      <c r="A198" s="15"/>
      <c r="B198" s="15"/>
      <c r="C198" s="7"/>
    </row>
    <row r="199" spans="1:3">
      <c r="A199" s="15"/>
      <c r="B199" s="15"/>
      <c r="C199" s="7"/>
    </row>
    <row r="200" spans="1:3">
      <c r="A200" s="15"/>
      <c r="B200" s="15"/>
      <c r="C200" s="7"/>
    </row>
    <row r="201" spans="1:3">
      <c r="A201" s="15"/>
      <c r="B201" s="15"/>
      <c r="C201" s="7"/>
    </row>
    <row r="202" spans="1:3">
      <c r="A202" s="15"/>
      <c r="B202" s="15"/>
      <c r="C202" s="7"/>
    </row>
    <row r="203" spans="1:3">
      <c r="A203" s="15"/>
      <c r="B203" s="15"/>
      <c r="C203" s="7"/>
    </row>
    <row r="204" spans="1:3">
      <c r="A204" s="15"/>
      <c r="B204" s="15"/>
      <c r="C204" s="7"/>
    </row>
    <row r="205" spans="1:3">
      <c r="A205" s="15"/>
      <c r="B205" s="15"/>
      <c r="C205" s="7"/>
    </row>
    <row r="206" spans="1:3">
      <c r="A206" s="15"/>
      <c r="B206" s="15"/>
      <c r="C206" s="7"/>
    </row>
    <row r="207" spans="1:3">
      <c r="A207" s="15"/>
      <c r="B207" s="15"/>
      <c r="C207" s="7"/>
    </row>
    <row r="208" spans="1:3">
      <c r="A208" s="15"/>
      <c r="B208" s="15"/>
      <c r="C208" s="7"/>
    </row>
    <row r="209" spans="1:3">
      <c r="A209" s="15"/>
      <c r="B209" s="15"/>
      <c r="C209" s="7"/>
    </row>
    <row r="210" spans="1:3">
      <c r="A210" s="15"/>
      <c r="B210" s="15"/>
      <c r="C210" s="7"/>
    </row>
  </sheetData>
  <conditionalFormatting sqref="F3">
    <cfRule type="duplicateValues" dxfId="127" priority="34"/>
  </conditionalFormatting>
  <conditionalFormatting sqref="C1:C17 C114 C130 C146 C162 C178:C179 C195 C211:C1048576">
    <cfRule type="duplicateValues" dxfId="126" priority="33"/>
  </conditionalFormatting>
  <conditionalFormatting sqref="C33">
    <cfRule type="duplicateValues" dxfId="125" priority="32"/>
  </conditionalFormatting>
  <conditionalFormatting sqref="C49">
    <cfRule type="duplicateValues" dxfId="124" priority="31"/>
  </conditionalFormatting>
  <conditionalFormatting sqref="C65">
    <cfRule type="duplicateValues" dxfId="123" priority="30"/>
  </conditionalFormatting>
  <conditionalFormatting sqref="C81">
    <cfRule type="duplicateValues" dxfId="122" priority="29"/>
  </conditionalFormatting>
  <conditionalFormatting sqref="C97:C98">
    <cfRule type="duplicateValues" dxfId="121" priority="28"/>
  </conditionalFormatting>
  <conditionalFormatting sqref="C18 C30:C32">
    <cfRule type="duplicateValues" dxfId="120" priority="27"/>
  </conditionalFormatting>
  <conditionalFormatting sqref="C34 C46:C48">
    <cfRule type="duplicateValues" dxfId="119" priority="26"/>
  </conditionalFormatting>
  <conditionalFormatting sqref="C50 C62:C64">
    <cfRule type="duplicateValues" dxfId="118" priority="25"/>
  </conditionalFormatting>
  <conditionalFormatting sqref="C66 C78:C80">
    <cfRule type="duplicateValues" dxfId="117" priority="24"/>
  </conditionalFormatting>
  <conditionalFormatting sqref="C82 C94:C96">
    <cfRule type="duplicateValues" dxfId="116" priority="23"/>
  </conditionalFormatting>
  <conditionalFormatting sqref="C99">
    <cfRule type="duplicateValues" dxfId="115" priority="22"/>
  </conditionalFormatting>
  <conditionalFormatting sqref="C115">
    <cfRule type="duplicateValues" dxfId="114" priority="21"/>
  </conditionalFormatting>
  <conditionalFormatting sqref="C131">
    <cfRule type="duplicateValues" dxfId="113" priority="20"/>
  </conditionalFormatting>
  <conditionalFormatting sqref="C147 C158:C161">
    <cfRule type="duplicateValues" dxfId="112" priority="19"/>
  </conditionalFormatting>
  <conditionalFormatting sqref="C163 C174:C177">
    <cfRule type="duplicateValues" dxfId="111" priority="18"/>
  </conditionalFormatting>
  <conditionalFormatting sqref="C180 C191:C194">
    <cfRule type="duplicateValues" dxfId="110" priority="17"/>
  </conditionalFormatting>
  <conditionalFormatting sqref="C196 C207:C210">
    <cfRule type="duplicateValues" dxfId="109" priority="16"/>
  </conditionalFormatting>
  <conditionalFormatting sqref="C19:C29">
    <cfRule type="duplicateValues" dxfId="108" priority="15"/>
  </conditionalFormatting>
  <conditionalFormatting sqref="C35:C45">
    <cfRule type="duplicateValues" dxfId="107" priority="14"/>
  </conditionalFormatting>
  <conditionalFormatting sqref="C51:C61">
    <cfRule type="duplicateValues" dxfId="106" priority="13"/>
  </conditionalFormatting>
  <conditionalFormatting sqref="C67:C77">
    <cfRule type="duplicateValues" dxfId="105" priority="12"/>
  </conditionalFormatting>
  <conditionalFormatting sqref="C83:C93">
    <cfRule type="duplicateValues" dxfId="104" priority="11"/>
  </conditionalFormatting>
  <conditionalFormatting sqref="C100:C109">
    <cfRule type="duplicateValues" dxfId="103" priority="10"/>
  </conditionalFormatting>
  <conditionalFormatting sqref="C116:C125">
    <cfRule type="duplicateValues" dxfId="102" priority="9"/>
  </conditionalFormatting>
  <conditionalFormatting sqref="C132:C141">
    <cfRule type="duplicateValues" dxfId="101" priority="8"/>
  </conditionalFormatting>
  <conditionalFormatting sqref="C148:C157">
    <cfRule type="duplicateValues" dxfId="100" priority="7"/>
  </conditionalFormatting>
  <conditionalFormatting sqref="C164:C173">
    <cfRule type="duplicateValues" dxfId="99" priority="6"/>
  </conditionalFormatting>
  <conditionalFormatting sqref="C181:C190">
    <cfRule type="duplicateValues" dxfId="98" priority="5"/>
  </conditionalFormatting>
  <conditionalFormatting sqref="C197:C206">
    <cfRule type="duplicateValues" dxfId="97" priority="4"/>
  </conditionalFormatting>
  <conditionalFormatting sqref="C142:C145">
    <cfRule type="duplicateValues" dxfId="96" priority="3"/>
  </conditionalFormatting>
  <conditionalFormatting sqref="C126:C129">
    <cfRule type="duplicateValues" dxfId="95" priority="2"/>
  </conditionalFormatting>
  <conditionalFormatting sqref="C110:C113">
    <cfRule type="duplicateValues" dxfId="94" priority="1"/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49F1D-530F-4327-8B58-E784B9BBFD13}">
  <sheetPr codeName="Arkusz48"/>
  <dimension ref="A1:C307"/>
  <sheetViews>
    <sheetView topLeftCell="A154" workbookViewId="0">
      <selection activeCell="C184" sqref="C184"/>
    </sheetView>
  </sheetViews>
  <sheetFormatPr defaultRowHeight="15"/>
  <cols>
    <col min="1" max="1" width="27.42578125" style="11" bestFit="1" customWidth="1"/>
    <col min="2" max="2" width="4.28515625" style="11" customWidth="1"/>
    <col min="3" max="3" width="47.42578125" customWidth="1"/>
  </cols>
  <sheetData>
    <row r="1" spans="1:3">
      <c r="A1" s="11" t="s">
        <v>2822</v>
      </c>
    </row>
    <row r="2" spans="1:3">
      <c r="A2" s="12" t="s">
        <v>2726</v>
      </c>
      <c r="B2" s="13"/>
      <c r="C2" s="8"/>
    </row>
    <row r="3" spans="1:3">
      <c r="A3" s="14" t="s">
        <v>2790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ECS0R8000336</v>
      </c>
    </row>
    <row r="4" spans="1:3">
      <c r="A4" s="15" t="s">
        <v>2776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9KH0034W10108</v>
      </c>
    </row>
    <row r="5" spans="1:3">
      <c r="A5" s="15" t="s">
        <v>2117</v>
      </c>
      <c r="B5" s="15">
        <f t="shared" si="0"/>
        <v>1</v>
      </c>
      <c r="C5" s="7" t="str" cm="1">
        <f t="array" ref="C5">_xlfn.TEXTJOIN(", ",,_xlfn._xlws.FILTER(Tabela1[[#All],[NUMER SERYJNY]],((Tabela1[[#All],[NAZWA]]=$A5)*(Tabela1[[#All],[KOMENTARZ]]=$A2)),"----------"))</f>
        <v>M80-E5001001786</v>
      </c>
    </row>
    <row r="6" spans="1:3" ht="24">
      <c r="A6" s="15" t="s">
        <v>2104</v>
      </c>
      <c r="B6" s="15">
        <f t="shared" si="0"/>
        <v>4</v>
      </c>
      <c r="C6" s="7" t="str" cm="1">
        <f t="array" ref="C6">_xlfn.TEXTJOIN(", ",,_xlfn._xlws.FILTER(Tabela1[[#All],[NUMER SERYJNY]],((Tabela1[[#All],[NAZWA]]=$A6)*(Tabela1[[#All],[KOMENTARZ]]=$A2)),"----------"))</f>
        <v>2146 0000009340270-S000018, 2146 0000009340270-S000120, 2146 0000009340270-S000119, 2146 0000009340270-S000092</v>
      </c>
    </row>
    <row r="7" spans="1:3">
      <c r="A7" s="15" t="s">
        <v>2093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S45NNC0RB00300</v>
      </c>
    </row>
    <row r="8" spans="1:3">
      <c r="A8" s="15" t="s">
        <v>2096</v>
      </c>
      <c r="B8" s="15">
        <f>LEN(C8)-LEN(SUBSTITUTE(C8,",",""))+1</f>
        <v>1</v>
      </c>
      <c r="C8" s="7" t="str" cm="1">
        <f t="array" ref="C8">_xlfn.TEXTJOIN(", ",,_xlfn._xlws.FILTER(Tabela1[[#All],[NUMER SERYJNY]],((Tabela1[[#All],[NAZWA]]=$A8)*(Tabela1[[#All],[KOMENTARZ]]=$A2)),"----------"))</f>
        <v>S665NE0RB00830</v>
      </c>
    </row>
    <row r="9" spans="1:3">
      <c r="A9" s="15"/>
      <c r="B9" s="15">
        <f>LEN(C9)-LEN(SUBSTITUTE(C9,",",""))+1</f>
        <v>1</v>
      </c>
      <c r="C9" s="7" t="str" cm="1">
        <f t="array" ref="C9">_xlfn.TEXTJOIN(", ",,_xlfn._xlws.FILTER(Tabela1[[#All],[NUMER SERYJNY]],((Tabela1[[#All],[NAZWA]]=$A9)*(Tabela1[[#All],[KOMENTARZ]]=$A2)),"----------"))</f>
        <v>----------</v>
      </c>
    </row>
    <row r="10" spans="1:3">
      <c r="A10" s="15"/>
      <c r="B10" s="15">
        <f t="shared" ref="B10:B16" si="1">LEN(C10)-LEN(SUBSTITUTE(C10,",",""))+1</f>
        <v>1</v>
      </c>
      <c r="C10" s="7" t="str" cm="1">
        <f t="array" ref="C10">_xlfn.TEXTJOIN(", ",,_xlfn._xlws.FILTER(Tabela1[[#All],[NUMER SERYJNY]],((Tabela1[[#All],[NAZWA]]=$A10)*(Tabela1[[#All],[KOMENTARZ]]=$A2)),"----------"))</f>
        <v>----------</v>
      </c>
    </row>
    <row r="11" spans="1:3">
      <c r="A11" s="15"/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----------</v>
      </c>
    </row>
    <row r="12" spans="1:3">
      <c r="A12" s="15"/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----------</v>
      </c>
    </row>
    <row r="13" spans="1:3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SERYJNY]],((Tabela1[[#All],[NAZWA]]=$A13)*(Tabela1[[#All],[KOMENTARZ]]=$A2)),"----------"))</f>
        <v>----------</v>
      </c>
    </row>
    <row r="14" spans="1:3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SERYJNY]],((Tabela1[[#All],[NAZWA]]=$A14)*(Tabela1[[#All],[KOMENTARZ]]=$A2)),"----------"))</f>
        <v>----------</v>
      </c>
    </row>
    <row r="15" spans="1:3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SERYJNY]],((Tabela1[[#All],[NAZWA]]=$A15)*(Tabela1[[#All],[KOMENTARZ]]=$A2)),"----------"))</f>
        <v>----------</v>
      </c>
    </row>
    <row r="16" spans="1:3">
      <c r="A16" s="15"/>
      <c r="B16" s="15">
        <f t="shared" si="1"/>
        <v>1</v>
      </c>
      <c r="C16" s="7" t="str" cm="1">
        <f t="array" ref="C16">_xlfn.TEXTJOIN(", ",,_xlfn._xlws.FILTER(Tabela1[[#All],[NUMER SERYJNY]],((Tabela1[[#All],[NAZWA]]=$A16)*(Tabela1[[#All],[KOMENTARZ]]=$A2)),"----------"))</f>
        <v>----------</v>
      </c>
    </row>
    <row r="17" spans="1:3" ht="18.75">
      <c r="A17" s="16"/>
      <c r="B17" s="16"/>
      <c r="C17" s="10"/>
    </row>
    <row r="18" spans="1:3">
      <c r="A18" s="12"/>
      <c r="B18" s="13"/>
      <c r="C18" s="8"/>
    </row>
    <row r="19" spans="1:3">
      <c r="A19" s="14"/>
      <c r="B19" s="14"/>
      <c r="C19" s="9"/>
    </row>
    <row r="20" spans="1:3">
      <c r="A20" s="12" t="s">
        <v>2731</v>
      </c>
      <c r="B20" s="13"/>
      <c r="C20" s="8"/>
    </row>
    <row r="21" spans="1:3">
      <c r="A21" s="14" t="s">
        <v>2790</v>
      </c>
      <c r="B21" s="14">
        <f t="shared" ref="B21:B25" si="2">LEN(C21)-LEN(SUBSTITUTE(C21,",",""))+1</f>
        <v>1</v>
      </c>
      <c r="C21" s="9" t="str" cm="1">
        <f t="array" ref="C21">_xlfn.TEXTJOIN(", ",,_xlfn._xlws.FILTER(Tabela1[[#All],[NUMER SERYJNY]],((Tabela1[[#All],[NAZWA]]=$A21)*(Tabela1[[#All],[KOMENTARZ]]=$A20)),"----------"))</f>
        <v>ECS0R8000335</v>
      </c>
    </row>
    <row r="22" spans="1:3">
      <c r="A22" s="15" t="s">
        <v>2776</v>
      </c>
      <c r="B22" s="15">
        <f t="shared" si="2"/>
        <v>1</v>
      </c>
      <c r="C22" s="7" t="str" cm="1">
        <f t="array" ref="C22">_xlfn.TEXTJOIN(", ",,_xlfn._xlws.FILTER(Tabela1[[#All],[NUMER SERYJNY]],((Tabela1[[#All],[NAZWA]]=$A22)*(Tabela1[[#All],[KOMENTARZ]]=$A20)),"----------"))</f>
        <v>9KG9861W10181</v>
      </c>
    </row>
    <row r="23" spans="1:3">
      <c r="A23" s="15" t="s">
        <v>2117</v>
      </c>
      <c r="B23" s="15">
        <f t="shared" si="2"/>
        <v>1</v>
      </c>
      <c r="C23" s="7" t="str" cm="1">
        <f t="array" ref="C23">_xlfn.TEXTJOIN(", ",,_xlfn._xlws.FILTER(Tabela1[[#All],[NUMER SERYJNY]],((Tabela1[[#All],[NAZWA]]=$A23)*(Tabela1[[#All],[KOMENTARZ]]=$A20)),"----------"))</f>
        <v>M80-E5001001210</v>
      </c>
    </row>
    <row r="24" spans="1:3" ht="24">
      <c r="A24" s="15" t="s">
        <v>2104</v>
      </c>
      <c r="B24" s="15">
        <f t="shared" si="2"/>
        <v>4</v>
      </c>
      <c r="C24" s="7" t="str" cm="1">
        <f t="array" ref="C24">_xlfn.TEXTJOIN(", ",,_xlfn._xlws.FILTER(Tabela1[[#All],[NUMER SERYJNY]],((Tabela1[[#All],[NAZWA]]=$A24)*(Tabela1[[#All],[KOMENTARZ]]=$A20)),"----------"))</f>
        <v>2146 0000009340270-S000010, 2146 0000009340270-S000145, 2146 0000009340270-S000081, 2146 0000009340270-S000076</v>
      </c>
    </row>
    <row r="25" spans="1:3">
      <c r="A25" s="15" t="s">
        <v>2093</v>
      </c>
      <c r="B25" s="15">
        <f t="shared" si="2"/>
        <v>1</v>
      </c>
      <c r="C25" s="7" t="str" cm="1">
        <f t="array" ref="C25">_xlfn.TEXTJOIN(", ",,_xlfn._xlws.FILTER(Tabela1[[#All],[NUMER SERYJNY]],((Tabela1[[#All],[NAZWA]]=$A25)*(Tabela1[[#All],[KOMENTARZ]]=$A20)),"----------"))</f>
        <v>S45NNC0RB00276</v>
      </c>
    </row>
    <row r="26" spans="1:3">
      <c r="A26" s="15" t="s">
        <v>2096</v>
      </c>
      <c r="B26" s="15">
        <f>LEN(C26)-LEN(SUBSTITUTE(C26,",",""))+1</f>
        <v>1</v>
      </c>
      <c r="C26" s="7" t="str" cm="1">
        <f t="array" ref="C26">_xlfn.TEXTJOIN(", ",,_xlfn._xlws.FILTER(Tabela1[[#All],[NUMER SERYJNY]],((Tabela1[[#All],[NAZWA]]=$A26)*(Tabela1[[#All],[KOMENTARZ]]=$A20)),"----------"))</f>
        <v>S665NE0RB00822</v>
      </c>
    </row>
    <row r="27" spans="1:3">
      <c r="A27" s="15"/>
      <c r="B27" s="15">
        <f>LEN(C27)-LEN(SUBSTITUTE(C27,",",""))+1</f>
        <v>1</v>
      </c>
      <c r="C27" s="7" t="str" cm="1">
        <f t="array" ref="C27">_xlfn.TEXTJOIN(", ",,_xlfn._xlws.FILTER(Tabela1[[#All],[NUMER SERYJNY]],((Tabela1[[#All],[NAZWA]]=$A27)*(Tabela1[[#All],[KOMENTARZ]]=$A20)),"----------"))</f>
        <v>----------</v>
      </c>
    </row>
    <row r="28" spans="1:3">
      <c r="A28" s="15"/>
      <c r="B28" s="15">
        <f t="shared" ref="B28:B34" si="3">LEN(C28)-LEN(SUBSTITUTE(C28,",",""))+1</f>
        <v>1</v>
      </c>
      <c r="C28" s="7" t="str" cm="1">
        <f t="array" ref="C28">_xlfn.TEXTJOIN(", ",,_xlfn._xlws.FILTER(Tabela1[[#All],[NUMER SERYJNY]],((Tabela1[[#All],[NAZWA]]=$A28)*(Tabela1[[#All],[KOMENTARZ]]=$A20)),"----------"))</f>
        <v>----------</v>
      </c>
    </row>
    <row r="29" spans="1:3">
      <c r="A29" s="15"/>
      <c r="B29" s="15">
        <f t="shared" si="3"/>
        <v>1</v>
      </c>
      <c r="C29" s="7" t="str" cm="1">
        <f t="array" ref="C29">_xlfn.TEXTJOIN(", ",,_xlfn._xlws.FILTER(Tabela1[[#All],[NUMER SERYJNY]],((Tabela1[[#All],[NAZWA]]=$A29)*(Tabela1[[#All],[KOMENTARZ]]=$A20)),"----------"))</f>
        <v>----------</v>
      </c>
    </row>
    <row r="30" spans="1:3">
      <c r="A30" s="15"/>
      <c r="B30" s="15">
        <f t="shared" si="3"/>
        <v>1</v>
      </c>
      <c r="C30" s="7" t="str" cm="1">
        <f t="array" ref="C30">_xlfn.TEXTJOIN(", ",,_xlfn._xlws.FILTER(Tabela1[[#All],[NUMER SERYJNY]],((Tabela1[[#All],[NAZWA]]=$A30)*(Tabela1[[#All],[KOMENTARZ]]=$A20)),"----------"))</f>
        <v>----------</v>
      </c>
    </row>
    <row r="31" spans="1:3">
      <c r="A31" s="15"/>
      <c r="B31" s="15">
        <f t="shared" si="3"/>
        <v>1</v>
      </c>
      <c r="C31" s="7" t="str" cm="1">
        <f t="array" ref="C31">_xlfn.TEXTJOIN(", ",,_xlfn._xlws.FILTER(Tabela1[[#All],[NUMER SERYJNY]],((Tabela1[[#All],[NAZWA]]=$A31)*(Tabela1[[#All],[KOMENTARZ]]=$A20)),"----------"))</f>
        <v>----------</v>
      </c>
    </row>
    <row r="32" spans="1:3">
      <c r="A32" s="15"/>
      <c r="B32" s="15">
        <f t="shared" si="3"/>
        <v>1</v>
      </c>
      <c r="C32" s="7" t="str" cm="1">
        <f t="array" ref="C32">_xlfn.TEXTJOIN(", ",,_xlfn._xlws.FILTER(Tabela1[[#All],[NUMER SERYJNY]],((Tabela1[[#All],[NAZWA]]=$A32)*(Tabela1[[#All],[KOMENTARZ]]=$A20)),"----------"))</f>
        <v>----------</v>
      </c>
    </row>
    <row r="33" spans="1:3">
      <c r="A33" s="15"/>
      <c r="B33" s="15">
        <f t="shared" si="3"/>
        <v>1</v>
      </c>
      <c r="C33" s="7" t="str" cm="1">
        <f t="array" ref="C33">_xlfn.TEXTJOIN(", ",,_xlfn._xlws.FILTER(Tabela1[[#All],[NUMER SERYJNY]],((Tabela1[[#All],[NAZWA]]=$A33)*(Tabela1[[#All],[KOMENTARZ]]=$A20)),"----------"))</f>
        <v>----------</v>
      </c>
    </row>
    <row r="34" spans="1:3">
      <c r="A34" s="15"/>
      <c r="B34" s="15">
        <f t="shared" si="3"/>
        <v>1</v>
      </c>
      <c r="C34" s="7" t="str" cm="1">
        <f t="array" ref="C34">_xlfn.TEXTJOIN(", ",,_xlfn._xlws.FILTER(Tabela1[[#All],[NUMER SERYJNY]],((Tabela1[[#All],[NAZWA]]=$A34)*(Tabela1[[#All],[KOMENTARZ]]=$A20)),"----------"))</f>
        <v>----------</v>
      </c>
    </row>
    <row r="35" spans="1:3">
      <c r="A35" s="14"/>
      <c r="B35" s="14"/>
      <c r="C35" s="9"/>
    </row>
    <row r="36" spans="1:3">
      <c r="A36" s="15"/>
      <c r="B36" s="15"/>
      <c r="C36" s="7"/>
    </row>
    <row r="37" spans="1:3">
      <c r="A37" s="12" t="s">
        <v>2736</v>
      </c>
      <c r="B37" s="13"/>
      <c r="C37" s="8"/>
    </row>
    <row r="38" spans="1:3">
      <c r="A38" s="14" t="s">
        <v>2790</v>
      </c>
      <c r="B38" s="14">
        <f t="shared" ref="B38:B42" si="4">LEN(C38)-LEN(SUBSTITUTE(C38,",",""))+1</f>
        <v>1</v>
      </c>
      <c r="C38" s="9" t="str" cm="1">
        <f t="array" ref="C38">_xlfn.TEXTJOIN(", ",,_xlfn._xlws.FILTER(Tabela1[[#All],[NUMER SERYJNY]],((Tabela1[[#All],[NAZWA]]=$A38)*(Tabela1[[#All],[KOMENTARZ]]=$A37)),"----------"))</f>
        <v>ECS0R8000334</v>
      </c>
    </row>
    <row r="39" spans="1:3">
      <c r="A39" s="15" t="s">
        <v>2776</v>
      </c>
      <c r="B39" s="15">
        <f t="shared" si="4"/>
        <v>1</v>
      </c>
      <c r="C39" s="7" t="str" cm="1">
        <f t="array" ref="C39">_xlfn.TEXTJOIN(", ",,_xlfn._xlws.FILTER(Tabela1[[#All],[NUMER SERYJNY]],((Tabela1[[#All],[NAZWA]]=$A39)*(Tabela1[[#All],[KOMENTARZ]]=$A37)),"----------"))</f>
        <v>9KG9713W10010</v>
      </c>
    </row>
    <row r="40" spans="1:3">
      <c r="A40" s="15" t="s">
        <v>2117</v>
      </c>
      <c r="B40" s="15">
        <f t="shared" si="4"/>
        <v>1</v>
      </c>
      <c r="C40" s="7" t="str" cm="1">
        <f t="array" ref="C40">_xlfn.TEXTJOIN(", ",,_xlfn._xlws.FILTER(Tabela1[[#All],[NUMER SERYJNY]],((Tabela1[[#All],[NAZWA]]=$A40)*(Tabela1[[#All],[KOMENTARZ]]=$A37)),"----------"))</f>
        <v>M80-E5001000543</v>
      </c>
    </row>
    <row r="41" spans="1:3" ht="24">
      <c r="A41" s="15" t="s">
        <v>2104</v>
      </c>
      <c r="B41" s="15">
        <f t="shared" si="4"/>
        <v>4</v>
      </c>
      <c r="C41" s="7" t="str" cm="1">
        <f t="array" ref="C41">_xlfn.TEXTJOIN(", ",,_xlfn._xlws.FILTER(Tabela1[[#All],[NUMER SERYJNY]],((Tabela1[[#All],[NAZWA]]=$A41)*(Tabela1[[#All],[KOMENTARZ]]=$A37)),"----------"))</f>
        <v>2146 0000009340270-S000239, 2146 0000009340270-S000240, 2146 0000009340270-S000011, 2146 0000009340270-S000184</v>
      </c>
    </row>
    <row r="42" spans="1:3">
      <c r="A42" s="15" t="s">
        <v>2093</v>
      </c>
      <c r="B42" s="15">
        <f t="shared" si="4"/>
        <v>1</v>
      </c>
      <c r="C42" s="7" t="str" cm="1">
        <f t="array" ref="C42">_xlfn.TEXTJOIN(", ",,_xlfn._xlws.FILTER(Tabela1[[#All],[NUMER SERYJNY]],((Tabela1[[#All],[NAZWA]]=$A42)*(Tabela1[[#All],[KOMENTARZ]]=$A37)),"----------"))</f>
        <v>S45NNC0RB00303</v>
      </c>
    </row>
    <row r="43" spans="1:3">
      <c r="A43" s="15" t="s">
        <v>2096</v>
      </c>
      <c r="B43" s="15">
        <f>LEN(C43)-LEN(SUBSTITUTE(C43,",",""))+1</f>
        <v>1</v>
      </c>
      <c r="C43" s="7" t="str" cm="1">
        <f t="array" ref="C43">_xlfn.TEXTJOIN(", ",,_xlfn._xlws.FILTER(Tabela1[[#All],[NUMER SERYJNY]],((Tabela1[[#All],[NAZWA]]=$A43)*(Tabela1[[#All],[KOMENTARZ]]=$A37)),"----------"))</f>
        <v>S665NE0RB00468</v>
      </c>
    </row>
    <row r="44" spans="1:3">
      <c r="A44" s="15"/>
      <c r="B44" s="15">
        <f>LEN(C44)-LEN(SUBSTITUTE(C44,",",""))+1</f>
        <v>1</v>
      </c>
      <c r="C44" s="7" t="str" cm="1">
        <f t="array" ref="C44">_xlfn.TEXTJOIN(", ",,_xlfn._xlws.FILTER(Tabela1[[#All],[NUMER SERYJNY]],((Tabela1[[#All],[NAZWA]]=$A44)*(Tabela1[[#All],[KOMENTARZ]]=$A37)),"----------"))</f>
        <v>----------</v>
      </c>
    </row>
    <row r="45" spans="1:3">
      <c r="A45" s="15"/>
      <c r="B45" s="15">
        <f t="shared" ref="B45:B51" si="5">LEN(C45)-LEN(SUBSTITUTE(C45,",",""))+1</f>
        <v>1</v>
      </c>
      <c r="C45" s="7" t="str" cm="1">
        <f t="array" ref="C45">_xlfn.TEXTJOIN(", ",,_xlfn._xlws.FILTER(Tabela1[[#All],[NUMER SERYJNY]],((Tabela1[[#All],[NAZWA]]=$A45)*(Tabela1[[#All],[KOMENTARZ]]=$A37)),"----------"))</f>
        <v>----------</v>
      </c>
    </row>
    <row r="46" spans="1:3">
      <c r="A46" s="15"/>
      <c r="B46" s="15">
        <f t="shared" si="5"/>
        <v>1</v>
      </c>
      <c r="C46" s="7" t="str" cm="1">
        <f t="array" ref="C46">_xlfn.TEXTJOIN(", ",,_xlfn._xlws.FILTER(Tabela1[[#All],[NUMER SERYJNY]],((Tabela1[[#All],[NAZWA]]=$A46)*(Tabela1[[#All],[KOMENTARZ]]=$A37)),"----------"))</f>
        <v>----------</v>
      </c>
    </row>
    <row r="47" spans="1:3">
      <c r="A47" s="15"/>
      <c r="B47" s="15">
        <f t="shared" si="5"/>
        <v>1</v>
      </c>
      <c r="C47" s="7" t="str" cm="1">
        <f t="array" ref="C47">_xlfn.TEXTJOIN(", ",,_xlfn._xlws.FILTER(Tabela1[[#All],[NUMER SERYJNY]],((Tabela1[[#All],[NAZWA]]=$A47)*(Tabela1[[#All],[KOMENTARZ]]=$A37)),"----------"))</f>
        <v>----------</v>
      </c>
    </row>
    <row r="48" spans="1:3">
      <c r="A48" s="15"/>
      <c r="B48" s="15">
        <f t="shared" si="5"/>
        <v>1</v>
      </c>
      <c r="C48" s="7" t="str" cm="1">
        <f t="array" ref="C48">_xlfn.TEXTJOIN(", ",,_xlfn._xlws.FILTER(Tabela1[[#All],[NUMER SERYJNY]],((Tabela1[[#All],[NAZWA]]=$A48)*(Tabela1[[#All],[KOMENTARZ]]=$A37)),"----------"))</f>
        <v>----------</v>
      </c>
    </row>
    <row r="49" spans="1:3">
      <c r="A49" s="15"/>
      <c r="B49" s="15">
        <f t="shared" si="5"/>
        <v>1</v>
      </c>
      <c r="C49" s="7" t="str" cm="1">
        <f t="array" ref="C49">_xlfn.TEXTJOIN(", ",,_xlfn._xlws.FILTER(Tabela1[[#All],[NUMER SERYJNY]],((Tabela1[[#All],[NAZWA]]=$A49)*(Tabela1[[#All],[KOMENTARZ]]=$A37)),"----------"))</f>
        <v>----------</v>
      </c>
    </row>
    <row r="50" spans="1:3">
      <c r="A50" s="15"/>
      <c r="B50" s="15">
        <f t="shared" si="5"/>
        <v>1</v>
      </c>
      <c r="C50" s="7" t="str" cm="1">
        <f t="array" ref="C50">_xlfn.TEXTJOIN(", ",,_xlfn._xlws.FILTER(Tabela1[[#All],[NUMER SERYJNY]],((Tabela1[[#All],[NAZWA]]=$A50)*(Tabela1[[#All],[KOMENTARZ]]=$A37)),"----------"))</f>
        <v>----------</v>
      </c>
    </row>
    <row r="51" spans="1:3">
      <c r="A51" s="15"/>
      <c r="B51" s="15">
        <f t="shared" si="5"/>
        <v>1</v>
      </c>
      <c r="C51" s="7" t="str" cm="1">
        <f t="array" ref="C51">_xlfn.TEXTJOIN(", ",,_xlfn._xlws.FILTER(Tabela1[[#All],[NUMER SERYJNY]],((Tabela1[[#All],[NAZWA]]=$A51)*(Tabela1[[#All],[KOMENTARZ]]=$A37)),"----------"))</f>
        <v>----------</v>
      </c>
    </row>
    <row r="52" spans="1:3">
      <c r="A52" s="15"/>
      <c r="B52" s="15"/>
      <c r="C52" s="7"/>
    </row>
    <row r="53" spans="1:3">
      <c r="A53" s="12" t="s">
        <v>2741</v>
      </c>
      <c r="B53" s="13"/>
      <c r="C53" s="8"/>
    </row>
    <row r="54" spans="1:3">
      <c r="A54" s="14" t="s">
        <v>2790</v>
      </c>
      <c r="B54" s="14">
        <f t="shared" ref="B54:B58" si="6">LEN(C54)-LEN(SUBSTITUTE(C54,",",""))+1</f>
        <v>1</v>
      </c>
      <c r="C54" s="9" t="str" cm="1">
        <f t="array" ref="C54">_xlfn.TEXTJOIN(", ",,_xlfn._xlws.FILTER(Tabela1[[#All],[NUMER SERYJNY]],((Tabela1[[#All],[NAZWA]]=$A54)*(Tabela1[[#All],[KOMENTARZ]]=$A53)),"----------"))</f>
        <v>ECS0R8000332</v>
      </c>
    </row>
    <row r="55" spans="1:3">
      <c r="A55" s="15" t="s">
        <v>2776</v>
      </c>
      <c r="B55" s="15">
        <f t="shared" si="6"/>
        <v>1</v>
      </c>
      <c r="C55" s="7" t="str" cm="1">
        <f t="array" ref="C55">_xlfn.TEXTJOIN(", ",,_xlfn._xlws.FILTER(Tabela1[[#All],[NUMER SERYJNY]],((Tabela1[[#All],[NAZWA]]=$A55)*(Tabela1[[#All],[KOMENTARZ]]=$A53)),"----------"))</f>
        <v>9KG9713W10018</v>
      </c>
    </row>
    <row r="56" spans="1:3">
      <c r="A56" s="15" t="s">
        <v>2117</v>
      </c>
      <c r="B56" s="15">
        <f t="shared" si="6"/>
        <v>1</v>
      </c>
      <c r="C56" s="7" t="str" cm="1">
        <f t="array" ref="C56">_xlfn.TEXTJOIN(", ",,_xlfn._xlws.FILTER(Tabela1[[#All],[NUMER SERYJNY]],((Tabela1[[#All],[NAZWA]]=$A56)*(Tabela1[[#All],[KOMENTARZ]]=$A53)),"----------"))</f>
        <v>M80-E5001000992</v>
      </c>
    </row>
    <row r="57" spans="1:3" ht="24">
      <c r="A57" s="15" t="s">
        <v>2104</v>
      </c>
      <c r="B57" s="15">
        <f t="shared" si="6"/>
        <v>4</v>
      </c>
      <c r="C57" s="7" t="str" cm="1">
        <f t="array" ref="C57">_xlfn.TEXTJOIN(", ",,_xlfn._xlws.FILTER(Tabela1[[#All],[NUMER SERYJNY]],((Tabela1[[#All],[NAZWA]]=$A57)*(Tabela1[[#All],[KOMENTARZ]]=$A53)),"----------"))</f>
        <v>2146 0000009340270-S000008, 2146 0000009340270-S000187, 2146 0000009340270-S000054, 2146 0000009340270-S000017</v>
      </c>
    </row>
    <row r="58" spans="1:3">
      <c r="A58" s="15" t="s">
        <v>2093</v>
      </c>
      <c r="B58" s="15">
        <f t="shared" si="6"/>
        <v>1</v>
      </c>
      <c r="C58" s="7" t="str" cm="1">
        <f t="array" ref="C58">_xlfn.TEXTJOIN(", ",,_xlfn._xlws.FILTER(Tabela1[[#All],[NUMER SERYJNY]],((Tabela1[[#All],[NAZWA]]=$A58)*(Tabela1[[#All],[KOMENTARZ]]=$A53)),"----------"))</f>
        <v>S45NNC0RB00277</v>
      </c>
    </row>
    <row r="59" spans="1:3">
      <c r="A59" s="15" t="s">
        <v>2096</v>
      </c>
      <c r="B59" s="15">
        <f>LEN(C59)-LEN(SUBSTITUTE(C59,",",""))+1</f>
        <v>1</v>
      </c>
      <c r="C59" s="7" t="str" cm="1">
        <f t="array" ref="C59">_xlfn.TEXTJOIN(", ",,_xlfn._xlws.FILTER(Tabela1[[#All],[NUMER SERYJNY]],((Tabela1[[#All],[NAZWA]]=$A59)*(Tabela1[[#All],[KOMENTARZ]]=$A53)),"----------"))</f>
        <v>S665NE0RB00431</v>
      </c>
    </row>
    <row r="60" spans="1:3">
      <c r="A60" s="15"/>
      <c r="B60" s="15">
        <f>LEN(C60)-LEN(SUBSTITUTE(C60,",",""))+1</f>
        <v>1</v>
      </c>
      <c r="C60" s="7" t="str" cm="1">
        <f t="array" ref="C60">_xlfn.TEXTJOIN(", ",,_xlfn._xlws.FILTER(Tabela1[[#All],[NUMER SERYJNY]],((Tabela1[[#All],[NAZWA]]=$A60)*(Tabela1[[#All],[KOMENTARZ]]=$A53)),"----------"))</f>
        <v>----------</v>
      </c>
    </row>
    <row r="61" spans="1:3">
      <c r="A61" s="15"/>
      <c r="B61" s="15">
        <f t="shared" ref="B61:B67" si="7">LEN(C61)-LEN(SUBSTITUTE(C61,",",""))+1</f>
        <v>1</v>
      </c>
      <c r="C61" s="7" t="str" cm="1">
        <f t="array" ref="C61">_xlfn.TEXTJOIN(", ",,_xlfn._xlws.FILTER(Tabela1[[#All],[NUMER SERYJNY]],((Tabela1[[#All],[NAZWA]]=$A61)*(Tabela1[[#All],[KOMENTARZ]]=$A53)),"----------"))</f>
        <v>----------</v>
      </c>
    </row>
    <row r="62" spans="1:3">
      <c r="A62" s="15"/>
      <c r="B62" s="15">
        <f t="shared" si="7"/>
        <v>1</v>
      </c>
      <c r="C62" s="7" t="str" cm="1">
        <f t="array" ref="C62">_xlfn.TEXTJOIN(", ",,_xlfn._xlws.FILTER(Tabela1[[#All],[NUMER SERYJNY]],((Tabela1[[#All],[NAZWA]]=$A62)*(Tabela1[[#All],[KOMENTARZ]]=$A53)),"----------"))</f>
        <v>----------</v>
      </c>
    </row>
    <row r="63" spans="1:3">
      <c r="A63" s="15"/>
      <c r="B63" s="15">
        <f t="shared" si="7"/>
        <v>1</v>
      </c>
      <c r="C63" s="7" t="str" cm="1">
        <f t="array" ref="C63">_xlfn.TEXTJOIN(", ",,_xlfn._xlws.FILTER(Tabela1[[#All],[NUMER SERYJNY]],((Tabela1[[#All],[NAZWA]]=$A63)*(Tabela1[[#All],[KOMENTARZ]]=$A53)),"----------"))</f>
        <v>----------</v>
      </c>
    </row>
    <row r="64" spans="1:3">
      <c r="A64" s="15"/>
      <c r="B64" s="15">
        <f t="shared" si="7"/>
        <v>1</v>
      </c>
      <c r="C64" s="7" t="str" cm="1">
        <f t="array" ref="C64">_xlfn.TEXTJOIN(", ",,_xlfn._xlws.FILTER(Tabela1[[#All],[NUMER SERYJNY]],((Tabela1[[#All],[NAZWA]]=$A64)*(Tabela1[[#All],[KOMENTARZ]]=$A53)),"----------"))</f>
        <v>----------</v>
      </c>
    </row>
    <row r="65" spans="1:3">
      <c r="A65" s="15"/>
      <c r="B65" s="15">
        <f t="shared" si="7"/>
        <v>1</v>
      </c>
      <c r="C65" s="7" t="str" cm="1">
        <f t="array" ref="C65">_xlfn.TEXTJOIN(", ",,_xlfn._xlws.FILTER(Tabela1[[#All],[NUMER SERYJNY]],((Tabela1[[#All],[NAZWA]]=$A65)*(Tabela1[[#All],[KOMENTARZ]]=$A53)),"----------"))</f>
        <v>----------</v>
      </c>
    </row>
    <row r="66" spans="1:3">
      <c r="A66" s="15"/>
      <c r="B66" s="15">
        <f t="shared" si="7"/>
        <v>1</v>
      </c>
      <c r="C66" s="7" t="str" cm="1">
        <f t="array" ref="C66">_xlfn.TEXTJOIN(", ",,_xlfn._xlws.FILTER(Tabela1[[#All],[NUMER SERYJNY]],((Tabela1[[#All],[NAZWA]]=$A66)*(Tabela1[[#All],[KOMENTARZ]]=$A53)),"----------"))</f>
        <v>----------</v>
      </c>
    </row>
    <row r="67" spans="1:3">
      <c r="A67" s="15"/>
      <c r="B67" s="15">
        <f t="shared" si="7"/>
        <v>1</v>
      </c>
      <c r="C67" s="7" t="str" cm="1">
        <f t="array" ref="C67">_xlfn.TEXTJOIN(", ",,_xlfn._xlws.FILTER(Tabela1[[#All],[NUMER SERYJNY]],((Tabela1[[#All],[NAZWA]]=$A67)*(Tabela1[[#All],[KOMENTARZ]]=$A53)),"----------"))</f>
        <v>----------</v>
      </c>
    </row>
    <row r="68" spans="1:3">
      <c r="A68" s="15"/>
      <c r="B68" s="15"/>
      <c r="C68" s="7"/>
    </row>
    <row r="69" spans="1:3">
      <c r="A69" s="12" t="s">
        <v>2746</v>
      </c>
      <c r="B69" s="13"/>
      <c r="C69" s="8"/>
    </row>
    <row r="70" spans="1:3">
      <c r="A70" s="14" t="s">
        <v>2790</v>
      </c>
      <c r="B70" s="14">
        <f t="shared" ref="B70:B74" si="8">LEN(C70)-LEN(SUBSTITUTE(C70,",",""))+1</f>
        <v>1</v>
      </c>
      <c r="C70" s="9" t="str" cm="1">
        <f t="array" ref="C70">_xlfn.TEXTJOIN(", ",,_xlfn._xlws.FILTER(Tabela1[[#All],[NUMER SERYJNY]],((Tabela1[[#All],[NAZWA]]=$A70)*(Tabela1[[#All],[KOMENTARZ]]=$A69)),"----------"))</f>
        <v>ECS0R8000327</v>
      </c>
    </row>
    <row r="71" spans="1:3">
      <c r="A71" s="15" t="s">
        <v>2776</v>
      </c>
      <c r="B71" s="15">
        <f t="shared" si="8"/>
        <v>1</v>
      </c>
      <c r="C71" s="7" t="str" cm="1">
        <f t="array" ref="C71">_xlfn.TEXTJOIN(", ",,_xlfn._xlws.FILTER(Tabela1[[#All],[NUMER SERYJNY]],((Tabela1[[#All],[NAZWA]]=$A71)*(Tabela1[[#All],[KOMENTARZ]]=$A69)),"----------"))</f>
        <v>9KG9201W10114</v>
      </c>
    </row>
    <row r="72" spans="1:3">
      <c r="A72" s="15" t="s">
        <v>2117</v>
      </c>
      <c r="B72" s="15">
        <f t="shared" si="8"/>
        <v>1</v>
      </c>
      <c r="C72" s="7" t="str" cm="1">
        <f t="array" ref="C72">_xlfn.TEXTJOIN(", ",,_xlfn._xlws.FILTER(Tabela1[[#All],[NUMER SERYJNY]],((Tabela1[[#All],[NAZWA]]=$A72)*(Tabela1[[#All],[KOMENTARZ]]=$A69)),"----------"))</f>
        <v>M80-E5001001637</v>
      </c>
    </row>
    <row r="73" spans="1:3" ht="24">
      <c r="A73" s="15" t="s">
        <v>2104</v>
      </c>
      <c r="B73" s="15">
        <f t="shared" si="8"/>
        <v>4</v>
      </c>
      <c r="C73" s="7" t="str" cm="1">
        <f t="array" ref="C73">_xlfn.TEXTJOIN(", ",,_xlfn._xlws.FILTER(Tabela1[[#All],[NUMER SERYJNY]],((Tabela1[[#All],[NAZWA]]=$A73)*(Tabela1[[#All],[KOMENTARZ]]=$A69)),"----------"))</f>
        <v>2146 0000009340270-S000106, 2146 0000009340270-S000134, 2146 0000009340270-S000047, 2146 0000009340270-S000133</v>
      </c>
    </row>
    <row r="74" spans="1:3">
      <c r="A74" s="15" t="s">
        <v>2093</v>
      </c>
      <c r="B74" s="15">
        <f t="shared" si="8"/>
        <v>1</v>
      </c>
      <c r="C74" s="7" t="str" cm="1">
        <f t="array" ref="C74">_xlfn.TEXTJOIN(", ",,_xlfn._xlws.FILTER(Tabela1[[#All],[NUMER SERYJNY]],((Tabela1[[#All],[NAZWA]]=$A74)*(Tabela1[[#All],[KOMENTARZ]]=$A69)),"----------"))</f>
        <v>S45NNC0RB00103</v>
      </c>
    </row>
    <row r="75" spans="1:3">
      <c r="A75" s="15" t="s">
        <v>2096</v>
      </c>
      <c r="B75" s="15">
        <f>LEN(C75)-LEN(SUBSTITUTE(C75,",",""))+1</f>
        <v>1</v>
      </c>
      <c r="C75" s="7" t="str" cm="1">
        <f t="array" ref="C75">_xlfn.TEXTJOIN(", ",,_xlfn._xlws.FILTER(Tabela1[[#All],[NUMER SERYJNY]],((Tabela1[[#All],[NAZWA]]=$A75)*(Tabela1[[#All],[KOMENTARZ]]=$A69)),"----------"))</f>
        <v>S665NE0RB00423</v>
      </c>
    </row>
    <row r="76" spans="1:3">
      <c r="A76" s="15"/>
      <c r="B76" s="15">
        <f>LEN(C76)-LEN(SUBSTITUTE(C76,",",""))+1</f>
        <v>1</v>
      </c>
      <c r="C76" s="7" t="str" cm="1">
        <f t="array" ref="C76">_xlfn.TEXTJOIN(", ",,_xlfn._xlws.FILTER(Tabela1[[#All],[NUMER SERYJNY]],((Tabela1[[#All],[NAZWA]]=$A76)*(Tabela1[[#All],[KOMENTARZ]]=$A69)),"----------"))</f>
        <v>----------</v>
      </c>
    </row>
    <row r="77" spans="1:3">
      <c r="A77" s="15"/>
      <c r="B77" s="15">
        <f t="shared" ref="B77:B83" si="9">LEN(C77)-LEN(SUBSTITUTE(C77,",",""))+1</f>
        <v>1</v>
      </c>
      <c r="C77" s="7" t="str" cm="1">
        <f t="array" ref="C77">_xlfn.TEXTJOIN(", ",,_xlfn._xlws.FILTER(Tabela1[[#All],[NUMER SERYJNY]],((Tabela1[[#All],[NAZWA]]=$A77)*(Tabela1[[#All],[KOMENTARZ]]=$A69)),"----------"))</f>
        <v>----------</v>
      </c>
    </row>
    <row r="78" spans="1:3">
      <c r="A78" s="15"/>
      <c r="B78" s="15">
        <f t="shared" si="9"/>
        <v>1</v>
      </c>
      <c r="C78" s="7" t="str" cm="1">
        <f t="array" ref="C78">_xlfn.TEXTJOIN(", ",,_xlfn._xlws.FILTER(Tabela1[[#All],[NUMER SERYJNY]],((Tabela1[[#All],[NAZWA]]=$A78)*(Tabela1[[#All],[KOMENTARZ]]=$A69)),"----------"))</f>
        <v>----------</v>
      </c>
    </row>
    <row r="79" spans="1:3">
      <c r="A79" s="15"/>
      <c r="B79" s="15">
        <f t="shared" si="9"/>
        <v>1</v>
      </c>
      <c r="C79" s="7" t="str" cm="1">
        <f t="array" ref="C79">_xlfn.TEXTJOIN(", ",,_xlfn._xlws.FILTER(Tabela1[[#All],[NUMER SERYJNY]],((Tabela1[[#All],[NAZWA]]=$A79)*(Tabela1[[#All],[KOMENTARZ]]=$A69)),"----------"))</f>
        <v>----------</v>
      </c>
    </row>
    <row r="80" spans="1:3">
      <c r="A80" s="15"/>
      <c r="B80" s="15">
        <f t="shared" si="9"/>
        <v>1</v>
      </c>
      <c r="C80" s="7" t="str" cm="1">
        <f t="array" ref="C80">_xlfn.TEXTJOIN(", ",,_xlfn._xlws.FILTER(Tabela1[[#All],[NUMER SERYJNY]],((Tabela1[[#All],[NAZWA]]=$A80)*(Tabela1[[#All],[KOMENTARZ]]=$A69)),"----------"))</f>
        <v>----------</v>
      </c>
    </row>
    <row r="81" spans="1:3">
      <c r="A81" s="15"/>
      <c r="B81" s="15">
        <f t="shared" si="9"/>
        <v>1</v>
      </c>
      <c r="C81" s="7" t="str" cm="1">
        <f t="array" ref="C81">_xlfn.TEXTJOIN(", ",,_xlfn._xlws.FILTER(Tabela1[[#All],[NUMER SERYJNY]],((Tabela1[[#All],[NAZWA]]=$A81)*(Tabela1[[#All],[KOMENTARZ]]=$A69)),"----------"))</f>
        <v>----------</v>
      </c>
    </row>
    <row r="82" spans="1:3">
      <c r="A82" s="15"/>
      <c r="B82" s="15">
        <f t="shared" si="9"/>
        <v>1</v>
      </c>
      <c r="C82" s="7" t="str" cm="1">
        <f t="array" ref="C82">_xlfn.TEXTJOIN(", ",,_xlfn._xlws.FILTER(Tabela1[[#All],[NUMER SERYJNY]],((Tabela1[[#All],[NAZWA]]=$A82)*(Tabela1[[#All],[KOMENTARZ]]=$A69)),"----------"))</f>
        <v>----------</v>
      </c>
    </row>
    <row r="83" spans="1:3">
      <c r="A83" s="15"/>
      <c r="B83" s="15">
        <f t="shared" si="9"/>
        <v>1</v>
      </c>
      <c r="C83" s="7" t="str" cm="1">
        <f t="array" ref="C83">_xlfn.TEXTJOIN(", ",,_xlfn._xlws.FILTER(Tabela1[[#All],[NUMER SERYJNY]],((Tabela1[[#All],[NAZWA]]=$A83)*(Tabela1[[#All],[KOMENTARZ]]=$A69)),"----------"))</f>
        <v>----------</v>
      </c>
    </row>
    <row r="84" spans="1:3">
      <c r="A84" s="15"/>
      <c r="B84" s="15"/>
      <c r="C84" s="7"/>
    </row>
    <row r="85" spans="1:3">
      <c r="A85" s="12" t="s">
        <v>2751</v>
      </c>
      <c r="B85" s="13"/>
      <c r="C85" s="8"/>
    </row>
    <row r="86" spans="1:3">
      <c r="A86" s="14" t="s">
        <v>2790</v>
      </c>
      <c r="B86" s="14">
        <f t="shared" ref="B86:B90" si="10">LEN(C86)-LEN(SUBSTITUTE(C86,",",""))+1</f>
        <v>1</v>
      </c>
      <c r="C86" s="9" t="str" cm="1">
        <f t="array" ref="C86">_xlfn.TEXTJOIN(", ",,_xlfn._xlws.FILTER(Tabela1[[#All],[NUMER SERYJNY]],((Tabela1[[#All],[NAZWA]]=$A86)*(Tabela1[[#All],[KOMENTARZ]]=$A85)),"----------"))</f>
        <v>ECS0R8000338</v>
      </c>
    </row>
    <row r="87" spans="1:3">
      <c r="A87" s="15" t="s">
        <v>2776</v>
      </c>
      <c r="B87" s="15">
        <f t="shared" si="10"/>
        <v>1</v>
      </c>
      <c r="C87" s="7" t="str" cm="1">
        <f t="array" ref="C87">_xlfn.TEXTJOIN(", ",,_xlfn._xlws.FILTER(Tabela1[[#All],[NUMER SERYJNY]],((Tabela1[[#All],[NAZWA]]=$A87)*(Tabela1[[#All],[KOMENTARZ]]=$A85)),"----------"))</f>
        <v>9KG9713W10007</v>
      </c>
    </row>
    <row r="88" spans="1:3">
      <c r="A88" s="15" t="s">
        <v>2117</v>
      </c>
      <c r="B88" s="15">
        <f t="shared" si="10"/>
        <v>1</v>
      </c>
      <c r="C88" s="7" t="str" cm="1">
        <f t="array" ref="C88">_xlfn.TEXTJOIN(", ",,_xlfn._xlws.FILTER(Tabela1[[#All],[NUMER SERYJNY]],((Tabela1[[#All],[NAZWA]]=$A88)*(Tabela1[[#All],[KOMENTARZ]]=$A85)),"----------"))</f>
        <v>M80-E5001001118</v>
      </c>
    </row>
    <row r="89" spans="1:3" ht="24">
      <c r="A89" s="15" t="s">
        <v>2104</v>
      </c>
      <c r="B89" s="15">
        <f t="shared" si="10"/>
        <v>4</v>
      </c>
      <c r="C89" s="7" t="str" cm="1">
        <f t="array" ref="C89">_xlfn.TEXTJOIN(", ",,_xlfn._xlws.FILTER(Tabela1[[#All],[NUMER SERYJNY]],((Tabela1[[#All],[NAZWA]]=$A89)*(Tabela1[[#All],[KOMENTARZ]]=$A85)),"----------"))</f>
        <v>2146 0000009340270-S000052, 2146 0000009340270-S000165, 2146 0000009340270-S000007, 2146 0000009340270-S000209</v>
      </c>
    </row>
    <row r="90" spans="1:3">
      <c r="A90" s="15" t="s">
        <v>2093</v>
      </c>
      <c r="B90" s="15">
        <f t="shared" si="10"/>
        <v>1</v>
      </c>
      <c r="C90" s="7" t="str" cm="1">
        <f t="array" ref="C90">_xlfn.TEXTJOIN(", ",,_xlfn._xlws.FILTER(Tabela1[[#All],[NUMER SERYJNY]],((Tabela1[[#All],[NAZWA]]=$A90)*(Tabela1[[#All],[KOMENTARZ]]=$A85)),"----------"))</f>
        <v>S45NNC0RB00473</v>
      </c>
    </row>
    <row r="91" spans="1:3">
      <c r="A91" s="15" t="s">
        <v>2096</v>
      </c>
      <c r="B91" s="15">
        <f>LEN(C91)-LEN(SUBSTITUTE(C91,",",""))+1</f>
        <v>1</v>
      </c>
      <c r="C91" s="7" t="str" cm="1">
        <f t="array" ref="C91">_xlfn.TEXTJOIN(", ",,_xlfn._xlws.FILTER(Tabela1[[#All],[NUMER SERYJNY]],((Tabela1[[#All],[NAZWA]]=$A91)*(Tabela1[[#All],[KOMENTARZ]]=$A85)),"----------"))</f>
        <v>S665NE0RB00425</v>
      </c>
    </row>
    <row r="92" spans="1:3">
      <c r="A92" s="15"/>
      <c r="B92" s="15">
        <f>LEN(C92)-LEN(SUBSTITUTE(C92,",",""))+1</f>
        <v>1</v>
      </c>
      <c r="C92" s="7" t="str" cm="1">
        <f t="array" ref="C92">_xlfn.TEXTJOIN(", ",,_xlfn._xlws.FILTER(Tabela1[[#All],[NUMER SERYJNY]],((Tabela1[[#All],[NAZWA]]=$A92)*(Tabela1[[#All],[KOMENTARZ]]=$A85)),"----------"))</f>
        <v>----------</v>
      </c>
    </row>
    <row r="93" spans="1:3">
      <c r="A93" s="15"/>
      <c r="B93" s="15">
        <f t="shared" ref="B93:B99" si="11">LEN(C93)-LEN(SUBSTITUTE(C93,",",""))+1</f>
        <v>1</v>
      </c>
      <c r="C93" s="7" t="str" cm="1">
        <f t="array" ref="C93">_xlfn.TEXTJOIN(", ",,_xlfn._xlws.FILTER(Tabela1[[#All],[NUMER SERYJNY]],((Tabela1[[#All],[NAZWA]]=$A93)*(Tabela1[[#All],[KOMENTARZ]]=$A85)),"----------"))</f>
        <v>----------</v>
      </c>
    </row>
    <row r="94" spans="1:3">
      <c r="A94" s="15"/>
      <c r="B94" s="15">
        <f t="shared" si="11"/>
        <v>1</v>
      </c>
      <c r="C94" s="7" t="str" cm="1">
        <f t="array" ref="C94">_xlfn.TEXTJOIN(", ",,_xlfn._xlws.FILTER(Tabela1[[#All],[NUMER SERYJNY]],((Tabela1[[#All],[NAZWA]]=$A94)*(Tabela1[[#All],[KOMENTARZ]]=$A85)),"----------"))</f>
        <v>----------</v>
      </c>
    </row>
    <row r="95" spans="1:3">
      <c r="A95" s="15"/>
      <c r="B95" s="15">
        <f t="shared" si="11"/>
        <v>1</v>
      </c>
      <c r="C95" s="7" t="str" cm="1">
        <f t="array" ref="C95">_xlfn.TEXTJOIN(", ",,_xlfn._xlws.FILTER(Tabela1[[#All],[NUMER SERYJNY]],((Tabela1[[#All],[NAZWA]]=$A95)*(Tabela1[[#All],[KOMENTARZ]]=$A85)),"----------"))</f>
        <v>----------</v>
      </c>
    </row>
    <row r="96" spans="1:3">
      <c r="A96" s="15"/>
      <c r="B96" s="15">
        <f t="shared" si="11"/>
        <v>1</v>
      </c>
      <c r="C96" s="7" t="str" cm="1">
        <f t="array" ref="C96">_xlfn.TEXTJOIN(", ",,_xlfn._xlws.FILTER(Tabela1[[#All],[NUMER SERYJNY]],((Tabela1[[#All],[NAZWA]]=$A96)*(Tabela1[[#All],[KOMENTARZ]]=$A85)),"----------"))</f>
        <v>----------</v>
      </c>
    </row>
    <row r="97" spans="1:3">
      <c r="A97" s="15"/>
      <c r="B97" s="15">
        <f t="shared" si="11"/>
        <v>1</v>
      </c>
      <c r="C97" s="7" t="str" cm="1">
        <f t="array" ref="C97">_xlfn.TEXTJOIN(", ",,_xlfn._xlws.FILTER(Tabela1[[#All],[NUMER SERYJNY]],((Tabela1[[#All],[NAZWA]]=$A97)*(Tabela1[[#All],[KOMENTARZ]]=$A85)),"----------"))</f>
        <v>----------</v>
      </c>
    </row>
    <row r="98" spans="1:3">
      <c r="A98" s="15"/>
      <c r="B98" s="15">
        <f t="shared" si="11"/>
        <v>1</v>
      </c>
      <c r="C98" s="7" t="str" cm="1">
        <f t="array" ref="C98">_xlfn.TEXTJOIN(", ",,_xlfn._xlws.FILTER(Tabela1[[#All],[NUMER SERYJNY]],((Tabela1[[#All],[NAZWA]]=$A98)*(Tabela1[[#All],[KOMENTARZ]]=$A85)),"----------"))</f>
        <v>----------</v>
      </c>
    </row>
    <row r="99" spans="1:3">
      <c r="A99" s="15"/>
      <c r="B99" s="15">
        <f t="shared" si="11"/>
        <v>1</v>
      </c>
      <c r="C99" s="7" t="str" cm="1">
        <f t="array" ref="C99">_xlfn.TEXTJOIN(", ",,_xlfn._xlws.FILTER(Tabela1[[#All],[NUMER SERYJNY]],((Tabela1[[#All],[NAZWA]]=$A99)*(Tabela1[[#All],[KOMENTARZ]]=$A85)),"----------"))</f>
        <v>----------</v>
      </c>
    </row>
    <row r="100" spans="1:3">
      <c r="A100" s="15"/>
      <c r="B100" s="15"/>
      <c r="C100" s="7"/>
    </row>
    <row r="101" spans="1:3">
      <c r="A101" s="12" t="s">
        <v>2754</v>
      </c>
      <c r="B101" s="13"/>
      <c r="C101" s="8"/>
    </row>
    <row r="102" spans="1:3">
      <c r="A102" s="14" t="s">
        <v>2790</v>
      </c>
      <c r="B102" s="14">
        <f t="shared" ref="B102:B106" si="12">LEN(C102)-LEN(SUBSTITUTE(C102,",",""))+1</f>
        <v>1</v>
      </c>
      <c r="C102" s="9" t="str" cm="1">
        <f t="array" ref="C102">_xlfn.TEXTJOIN(", ",,_xlfn._xlws.FILTER(Tabela1[[#All],[NUMER SERYJNY]],((Tabela1[[#All],[NAZWA]]=$A102)*(Tabela1[[#All],[KOMENTARZ]]=$A101)),"----------"))</f>
        <v>ECS0R8000331</v>
      </c>
    </row>
    <row r="103" spans="1:3">
      <c r="A103" s="15" t="s">
        <v>2776</v>
      </c>
      <c r="B103" s="15">
        <f t="shared" si="12"/>
        <v>1</v>
      </c>
      <c r="C103" s="7" t="str" cm="1">
        <f t="array" ref="C103">_xlfn.TEXTJOIN(", ",,_xlfn._xlws.FILTER(Tabela1[[#All],[NUMER SERYJNY]],((Tabela1[[#All],[NAZWA]]=$A103)*(Tabela1[[#All],[KOMENTARZ]]=$A101)),"----------"))</f>
        <v>9KG9201W10111</v>
      </c>
    </row>
    <row r="104" spans="1:3">
      <c r="A104" s="15" t="s">
        <v>2117</v>
      </c>
      <c r="B104" s="15">
        <f t="shared" si="12"/>
        <v>1</v>
      </c>
      <c r="C104" s="7" t="str" cm="1">
        <f t="array" ref="C104">_xlfn.TEXTJOIN(", ",,_xlfn._xlws.FILTER(Tabela1[[#All],[NUMER SERYJNY]],((Tabela1[[#All],[NAZWA]]=$A104)*(Tabela1[[#All],[KOMENTARZ]]=$A101)),"----------"))</f>
        <v>M80-E5001001428</v>
      </c>
    </row>
    <row r="105" spans="1:3" ht="24">
      <c r="A105" s="15" t="s">
        <v>2104</v>
      </c>
      <c r="B105" s="15">
        <f t="shared" si="12"/>
        <v>4</v>
      </c>
      <c r="C105" s="7" t="str" cm="1">
        <f t="array" ref="C105">_xlfn.TEXTJOIN(", ",,_xlfn._xlws.FILTER(Tabela1[[#All],[NUMER SERYJNY]],((Tabela1[[#All],[NAZWA]]=$A105)*(Tabela1[[#All],[KOMENTARZ]]=$A101)),"----------"))</f>
        <v>2146 0000009340270-S000177, 2147 0000009344209-S000127, 2147 0000009344209-S000057, 2147 0000009344209-S000115</v>
      </c>
    </row>
    <row r="106" spans="1:3">
      <c r="A106" s="15" t="s">
        <v>2093</v>
      </c>
      <c r="B106" s="15">
        <f t="shared" si="12"/>
        <v>1</v>
      </c>
      <c r="C106" s="7" t="str" cm="1">
        <f t="array" ref="C106">_xlfn.TEXTJOIN(", ",,_xlfn._xlws.FILTER(Tabela1[[#All],[NUMER SERYJNY]],((Tabela1[[#All],[NAZWA]]=$A106)*(Tabela1[[#All],[KOMENTARZ]]=$A101)),"----------"))</f>
        <v>S45NNC0RB00068</v>
      </c>
    </row>
    <row r="107" spans="1:3">
      <c r="A107" s="15" t="s">
        <v>2096</v>
      </c>
      <c r="B107" s="15">
        <f>LEN(C107)-LEN(SUBSTITUTE(C107,",",""))+1</f>
        <v>1</v>
      </c>
      <c r="C107" s="7" t="str" cm="1">
        <f t="array" ref="C107">_xlfn.TEXTJOIN(", ",,_xlfn._xlws.FILTER(Tabela1[[#All],[NUMER SERYJNY]],((Tabela1[[#All],[NAZWA]]=$A107)*(Tabela1[[#All],[KOMENTARZ]]=$A101)),"----------"))</f>
        <v>S665NE0RB00749</v>
      </c>
    </row>
    <row r="108" spans="1:3">
      <c r="A108" s="15"/>
      <c r="B108" s="15">
        <f>LEN(C108)-LEN(SUBSTITUTE(C108,",",""))+1</f>
        <v>1</v>
      </c>
      <c r="C108" s="7" t="str" cm="1">
        <f t="array" ref="C108">_xlfn.TEXTJOIN(", ",,_xlfn._xlws.FILTER(Tabela1[[#All],[NUMER SERYJNY]],((Tabela1[[#All],[NAZWA]]=$A108)*(Tabela1[[#All],[KOMENTARZ]]=$A101)),"----------"))</f>
        <v>----------</v>
      </c>
    </row>
    <row r="109" spans="1:3">
      <c r="A109" s="15"/>
      <c r="B109" s="15">
        <f t="shared" ref="B109:B115" si="13">LEN(C109)-LEN(SUBSTITUTE(C109,",",""))+1</f>
        <v>1</v>
      </c>
      <c r="C109" s="7" t="str" cm="1">
        <f t="array" ref="C109">_xlfn.TEXTJOIN(", ",,_xlfn._xlws.FILTER(Tabela1[[#All],[NUMER SERYJNY]],((Tabela1[[#All],[NAZWA]]=$A109)*(Tabela1[[#All],[KOMENTARZ]]=$A101)),"----------"))</f>
        <v>----------</v>
      </c>
    </row>
    <row r="110" spans="1:3">
      <c r="A110" s="15"/>
      <c r="B110" s="15">
        <f t="shared" si="13"/>
        <v>1</v>
      </c>
      <c r="C110" s="7" t="str" cm="1">
        <f t="array" ref="C110">_xlfn.TEXTJOIN(", ",,_xlfn._xlws.FILTER(Tabela1[[#All],[NUMER SERYJNY]],((Tabela1[[#All],[NAZWA]]=$A110)*(Tabela1[[#All],[KOMENTARZ]]=$A101)),"----------"))</f>
        <v>----------</v>
      </c>
    </row>
    <row r="111" spans="1:3">
      <c r="A111" s="15"/>
      <c r="B111" s="15">
        <f t="shared" si="13"/>
        <v>1</v>
      </c>
      <c r="C111" s="7" t="str" cm="1">
        <f t="array" ref="C111">_xlfn.TEXTJOIN(", ",,_xlfn._xlws.FILTER(Tabela1[[#All],[NUMER SERYJNY]],((Tabela1[[#All],[NAZWA]]=$A111)*(Tabela1[[#All],[KOMENTARZ]]=$A101)),"----------"))</f>
        <v>----------</v>
      </c>
    </row>
    <row r="112" spans="1:3">
      <c r="A112" s="15"/>
      <c r="B112" s="15">
        <f t="shared" si="13"/>
        <v>1</v>
      </c>
      <c r="C112" s="7" t="str" cm="1">
        <f t="array" ref="C112">_xlfn.TEXTJOIN(", ",,_xlfn._xlws.FILTER(Tabela1[[#All],[NUMER SERYJNY]],((Tabela1[[#All],[NAZWA]]=$A112)*(Tabela1[[#All],[KOMENTARZ]]=$A101)),"----------"))</f>
        <v>----------</v>
      </c>
    </row>
    <row r="113" spans="1:3">
      <c r="A113" s="15"/>
      <c r="B113" s="15">
        <f t="shared" si="13"/>
        <v>1</v>
      </c>
      <c r="C113" s="7" t="str" cm="1">
        <f t="array" ref="C113">_xlfn.TEXTJOIN(", ",,_xlfn._xlws.FILTER(Tabela1[[#All],[NUMER SERYJNY]],((Tabela1[[#All],[NAZWA]]=$A113)*(Tabela1[[#All],[KOMENTARZ]]=$A101)),"----------"))</f>
        <v>----------</v>
      </c>
    </row>
    <row r="114" spans="1:3">
      <c r="A114" s="15"/>
      <c r="B114" s="15">
        <f t="shared" si="13"/>
        <v>1</v>
      </c>
      <c r="C114" s="7" t="str" cm="1">
        <f t="array" ref="C114">_xlfn.TEXTJOIN(", ",,_xlfn._xlws.FILTER(Tabela1[[#All],[NUMER SERYJNY]],((Tabela1[[#All],[NAZWA]]=$A114)*(Tabela1[[#All],[KOMENTARZ]]=$A101)),"----------"))</f>
        <v>----------</v>
      </c>
    </row>
    <row r="115" spans="1:3">
      <c r="A115" s="15"/>
      <c r="B115" s="15">
        <f t="shared" si="13"/>
        <v>1</v>
      </c>
      <c r="C115" s="7" t="str" cm="1">
        <f t="array" ref="C115">_xlfn.TEXTJOIN(", ",,_xlfn._xlws.FILTER(Tabela1[[#All],[NUMER SERYJNY]],((Tabela1[[#All],[NAZWA]]=$A115)*(Tabela1[[#All],[KOMENTARZ]]=$A101)),"----------"))</f>
        <v>----------</v>
      </c>
    </row>
    <row r="116" spans="1:3">
      <c r="A116" s="15"/>
      <c r="B116" s="15"/>
      <c r="C116" s="7"/>
    </row>
    <row r="117" spans="1:3">
      <c r="A117" s="12" t="s">
        <v>2758</v>
      </c>
      <c r="B117" s="13"/>
      <c r="C117" s="8"/>
    </row>
    <row r="118" spans="1:3">
      <c r="A118" s="14" t="s">
        <v>2790</v>
      </c>
      <c r="B118" s="14">
        <f t="shared" ref="B118:B122" si="14">LEN(C118)-LEN(SUBSTITUTE(C118,",",""))+1</f>
        <v>1</v>
      </c>
      <c r="C118" s="9" t="str" cm="1">
        <f t="array" ref="C118">_xlfn.TEXTJOIN(", ",,_xlfn._xlws.FILTER(Tabela1[[#All],[NUMER SERYJNY]],((Tabela1[[#All],[NAZWA]]=$A118)*(Tabela1[[#All],[KOMENTARZ]]=$A117)),"----------"))</f>
        <v>ECS0R8000339</v>
      </c>
    </row>
    <row r="119" spans="1:3">
      <c r="A119" s="15" t="s">
        <v>2776</v>
      </c>
      <c r="B119" s="15">
        <f t="shared" si="14"/>
        <v>1</v>
      </c>
      <c r="C119" s="7" t="str" cm="1">
        <f t="array" ref="C119">_xlfn.TEXTJOIN(", ",,_xlfn._xlws.FILTER(Tabela1[[#All],[NUMER SERYJNY]],((Tabela1[[#All],[NAZWA]]=$A119)*(Tabela1[[#All],[KOMENTARZ]]=$A117)),"----------"))</f>
        <v>9KG9713W10003</v>
      </c>
    </row>
    <row r="120" spans="1:3">
      <c r="A120" s="15" t="s">
        <v>2117</v>
      </c>
      <c r="B120" s="15">
        <f t="shared" si="14"/>
        <v>1</v>
      </c>
      <c r="C120" s="7" t="str" cm="1">
        <f t="array" ref="C120">_xlfn.TEXTJOIN(", ",,_xlfn._xlws.FILTER(Tabela1[[#All],[NUMER SERYJNY]],((Tabela1[[#All],[NAZWA]]=$A120)*(Tabela1[[#All],[KOMENTARZ]]=$A117)),"----------"))</f>
        <v>M80-E5001001359</v>
      </c>
    </row>
    <row r="121" spans="1:3" ht="24">
      <c r="A121" s="15" t="s">
        <v>2104</v>
      </c>
      <c r="B121" s="15">
        <f t="shared" si="14"/>
        <v>4</v>
      </c>
      <c r="C121" s="7" t="str" cm="1">
        <f t="array" ref="C121">_xlfn.TEXTJOIN(", ",,_xlfn._xlws.FILTER(Tabela1[[#All],[NUMER SERYJNY]],((Tabela1[[#All],[NAZWA]]=$A121)*(Tabela1[[#All],[KOMENTARZ]]=$A117)),"----------"))</f>
        <v>2147 0000009344209-S000089, 2147 0000009344209-S000131, 2147 0000009344209-S000099, 2147 0000009344209-S000056</v>
      </c>
    </row>
    <row r="122" spans="1:3">
      <c r="A122" s="15" t="s">
        <v>2093</v>
      </c>
      <c r="B122" s="15">
        <f t="shared" si="14"/>
        <v>1</v>
      </c>
      <c r="C122" s="7" t="str" cm="1">
        <f t="array" ref="C122">_xlfn.TEXTJOIN(", ",,_xlfn._xlws.FILTER(Tabela1[[#All],[NUMER SERYJNY]],((Tabela1[[#All],[NAZWA]]=$A122)*(Tabela1[[#All],[KOMENTARZ]]=$A117)),"----------"))</f>
        <v>S45NNC0RB00097</v>
      </c>
    </row>
    <row r="123" spans="1:3">
      <c r="A123" s="15" t="s">
        <v>2096</v>
      </c>
      <c r="B123" s="15">
        <f>LEN(C123)-LEN(SUBSTITUTE(C123,",",""))+1</f>
        <v>1</v>
      </c>
      <c r="C123" s="7" t="str" cm="1">
        <f t="array" ref="C123">_xlfn.TEXTJOIN(", ",,_xlfn._xlws.FILTER(Tabela1[[#All],[NUMER SERYJNY]],((Tabela1[[#All],[NAZWA]]=$A123)*(Tabela1[[#All],[KOMENTARZ]]=$A117)),"----------"))</f>
        <v>S665NE0RB00461</v>
      </c>
    </row>
    <row r="124" spans="1:3">
      <c r="A124" s="15"/>
      <c r="B124" s="15">
        <f>LEN(C124)-LEN(SUBSTITUTE(C124,",",""))+1</f>
        <v>1</v>
      </c>
      <c r="C124" s="7" t="str" cm="1">
        <f t="array" ref="C124">_xlfn.TEXTJOIN(", ",,_xlfn._xlws.FILTER(Tabela1[[#All],[NUMER SERYJNY]],((Tabela1[[#All],[NAZWA]]=$A124)*(Tabela1[[#All],[KOMENTARZ]]=$A117)),"----------"))</f>
        <v>----------</v>
      </c>
    </row>
    <row r="125" spans="1:3">
      <c r="A125" s="15"/>
      <c r="B125" s="15">
        <f t="shared" ref="B125:B131" si="15">LEN(C125)-LEN(SUBSTITUTE(C125,",",""))+1</f>
        <v>1</v>
      </c>
      <c r="C125" s="7" t="str" cm="1">
        <f t="array" ref="C125">_xlfn.TEXTJOIN(", ",,_xlfn._xlws.FILTER(Tabela1[[#All],[NUMER SERYJNY]],((Tabela1[[#All],[NAZWA]]=$A125)*(Tabela1[[#All],[KOMENTARZ]]=$A117)),"----------"))</f>
        <v>----------</v>
      </c>
    </row>
    <row r="126" spans="1:3">
      <c r="A126" s="15"/>
      <c r="B126" s="15">
        <f t="shared" si="15"/>
        <v>1</v>
      </c>
      <c r="C126" s="7" t="str" cm="1">
        <f t="array" ref="C126">_xlfn.TEXTJOIN(", ",,_xlfn._xlws.FILTER(Tabela1[[#All],[NUMER SERYJNY]],((Tabela1[[#All],[NAZWA]]=$A126)*(Tabela1[[#All],[KOMENTARZ]]=$A117)),"----------"))</f>
        <v>----------</v>
      </c>
    </row>
    <row r="127" spans="1:3">
      <c r="A127" s="15"/>
      <c r="B127" s="15">
        <f t="shared" si="15"/>
        <v>1</v>
      </c>
      <c r="C127" s="7" t="str" cm="1">
        <f t="array" ref="C127">_xlfn.TEXTJOIN(", ",,_xlfn._xlws.FILTER(Tabela1[[#All],[NUMER SERYJNY]],((Tabela1[[#All],[NAZWA]]=$A127)*(Tabela1[[#All],[KOMENTARZ]]=$A117)),"----------"))</f>
        <v>----------</v>
      </c>
    </row>
    <row r="128" spans="1:3">
      <c r="A128" s="15"/>
      <c r="B128" s="15">
        <f t="shared" si="15"/>
        <v>1</v>
      </c>
      <c r="C128" s="7" t="str" cm="1">
        <f t="array" ref="C128">_xlfn.TEXTJOIN(", ",,_xlfn._xlws.FILTER(Tabela1[[#All],[NUMER SERYJNY]],((Tabela1[[#All],[NAZWA]]=$A128)*(Tabela1[[#All],[KOMENTARZ]]=$A117)),"----------"))</f>
        <v>----------</v>
      </c>
    </row>
    <row r="129" spans="1:3">
      <c r="A129" s="15"/>
      <c r="B129" s="15">
        <f t="shared" si="15"/>
        <v>1</v>
      </c>
      <c r="C129" s="7" t="str" cm="1">
        <f t="array" ref="C129">_xlfn.TEXTJOIN(", ",,_xlfn._xlws.FILTER(Tabela1[[#All],[NUMER SERYJNY]],((Tabela1[[#All],[NAZWA]]=$A129)*(Tabela1[[#All],[KOMENTARZ]]=$A117)),"----------"))</f>
        <v>----------</v>
      </c>
    </row>
    <row r="130" spans="1:3">
      <c r="A130" s="15"/>
      <c r="B130" s="15">
        <f t="shared" si="15"/>
        <v>1</v>
      </c>
      <c r="C130" s="7" t="str" cm="1">
        <f t="array" ref="C130">_xlfn.TEXTJOIN(", ",,_xlfn._xlws.FILTER(Tabela1[[#All],[NUMER SERYJNY]],((Tabela1[[#All],[NAZWA]]=$A130)*(Tabela1[[#All],[KOMENTARZ]]=$A117)),"----------"))</f>
        <v>----------</v>
      </c>
    </row>
    <row r="131" spans="1:3">
      <c r="A131" s="15"/>
      <c r="B131" s="15">
        <f t="shared" si="15"/>
        <v>1</v>
      </c>
      <c r="C131" s="7" t="str" cm="1">
        <f t="array" ref="C131">_xlfn.TEXTJOIN(", ",,_xlfn._xlws.FILTER(Tabela1[[#All],[NUMER SERYJNY]],((Tabela1[[#All],[NAZWA]]=$A131)*(Tabela1[[#All],[KOMENTARZ]]=$A117)),"----------"))</f>
        <v>----------</v>
      </c>
    </row>
    <row r="132" spans="1:3">
      <c r="A132" s="15"/>
      <c r="B132" s="15"/>
      <c r="C132" s="7"/>
    </row>
    <row r="133" spans="1:3">
      <c r="A133" s="12" t="s">
        <v>2764</v>
      </c>
      <c r="B133" s="13"/>
      <c r="C133" s="8"/>
    </row>
    <row r="134" spans="1:3">
      <c r="A134" s="14" t="s">
        <v>2790</v>
      </c>
      <c r="B134" s="14">
        <f t="shared" ref="B134:B138" si="16">LEN(C134)-LEN(SUBSTITUTE(C134,",",""))+1</f>
        <v>1</v>
      </c>
      <c r="C134" s="9" t="str" cm="1">
        <f t="array" ref="C134">_xlfn.TEXTJOIN(", ",,_xlfn._xlws.FILTER(Tabela1[[#All],[NUMER SERYJNY]],((Tabela1[[#All],[NAZWA]]=$A134)*(Tabela1[[#All],[KOMENTARZ]]=$A133)),"----------"))</f>
        <v>ECS0R8000341</v>
      </c>
    </row>
    <row r="135" spans="1:3">
      <c r="A135" s="15" t="s">
        <v>2776</v>
      </c>
      <c r="B135" s="15">
        <f t="shared" si="16"/>
        <v>1</v>
      </c>
      <c r="C135" s="7" t="str" cm="1">
        <f t="array" ref="C135">_xlfn.TEXTJOIN(", ",,_xlfn._xlws.FILTER(Tabela1[[#All],[NUMER SERYJNY]],((Tabela1[[#All],[NAZWA]]=$A135)*(Tabela1[[#All],[KOMENTARZ]]=$A133)),"----------"))</f>
        <v>9KG9201W10121</v>
      </c>
    </row>
    <row r="136" spans="1:3">
      <c r="A136" s="15" t="s">
        <v>2117</v>
      </c>
      <c r="B136" s="15">
        <f t="shared" si="16"/>
        <v>1</v>
      </c>
      <c r="C136" s="7" t="str" cm="1">
        <f t="array" ref="C136">_xlfn.TEXTJOIN(", ",,_xlfn._xlws.FILTER(Tabela1[[#All],[NUMER SERYJNY]],((Tabela1[[#All],[NAZWA]]=$A136)*(Tabela1[[#All],[KOMENTARZ]]=$A133)),"----------"))</f>
        <v>M80-E5001001784</v>
      </c>
    </row>
    <row r="137" spans="1:3" ht="24">
      <c r="A137" s="15" t="s">
        <v>2104</v>
      </c>
      <c r="B137" s="15">
        <f t="shared" si="16"/>
        <v>4</v>
      </c>
      <c r="C137" s="7" t="str" cm="1">
        <f t="array" ref="C137">_xlfn.TEXTJOIN(", ",,_xlfn._xlws.FILTER(Tabela1[[#All],[NUMER SERYJNY]],((Tabela1[[#All],[NAZWA]]=$A137)*(Tabela1[[#All],[KOMENTARZ]]=$A133)),"----------"))</f>
        <v>2147 0000009344209-S000054, 2147 0000009344209-S000189, 2147 0000009344209-S000132, 2147 0000009344209-S000111</v>
      </c>
    </row>
    <row r="138" spans="1:3">
      <c r="A138" s="15" t="s">
        <v>2093</v>
      </c>
      <c r="B138" s="15">
        <f t="shared" si="16"/>
        <v>1</v>
      </c>
      <c r="C138" s="7" t="str" cm="1">
        <f t="array" ref="C138">_xlfn.TEXTJOIN(", ",,_xlfn._xlws.FILTER(Tabela1[[#All],[NUMER SERYJNY]],((Tabela1[[#All],[NAZWA]]=$A138)*(Tabela1[[#All],[KOMENTARZ]]=$A133)),"----------"))</f>
        <v>S45NNC0RB00075</v>
      </c>
    </row>
    <row r="139" spans="1:3">
      <c r="A139" s="15" t="s">
        <v>2096</v>
      </c>
      <c r="B139" s="15">
        <f>LEN(C139)-LEN(SUBSTITUTE(C139,",",""))+1</f>
        <v>1</v>
      </c>
      <c r="C139" s="7" t="str" cm="1">
        <f t="array" ref="C139">_xlfn.TEXTJOIN(", ",,_xlfn._xlws.FILTER(Tabela1[[#All],[NUMER SERYJNY]],((Tabela1[[#All],[NAZWA]]=$A139)*(Tabela1[[#All],[KOMENTARZ]]=$A133)),"----------"))</f>
        <v>S665NE0RB00699</v>
      </c>
    </row>
    <row r="140" spans="1:3">
      <c r="A140" s="15"/>
      <c r="B140" s="15">
        <f>LEN(C140)-LEN(SUBSTITUTE(C140,",",""))+1</f>
        <v>1</v>
      </c>
      <c r="C140" s="7" t="str" cm="1">
        <f t="array" ref="C140">_xlfn.TEXTJOIN(", ",,_xlfn._xlws.FILTER(Tabela1[[#All],[NUMER SERYJNY]],((Tabela1[[#All],[NAZWA]]=$A140)*(Tabela1[[#All],[KOMENTARZ]]=$A133)),"----------"))</f>
        <v>----------</v>
      </c>
    </row>
    <row r="141" spans="1:3">
      <c r="A141" s="15"/>
      <c r="B141" s="15">
        <f t="shared" ref="B141:B147" si="17">LEN(C141)-LEN(SUBSTITUTE(C141,",",""))+1</f>
        <v>1</v>
      </c>
      <c r="C141" s="7" t="str" cm="1">
        <f t="array" ref="C141">_xlfn.TEXTJOIN(", ",,_xlfn._xlws.FILTER(Tabela1[[#All],[NUMER SERYJNY]],((Tabela1[[#All],[NAZWA]]=$A141)*(Tabela1[[#All],[KOMENTARZ]]=$A133)),"----------"))</f>
        <v>----------</v>
      </c>
    </row>
    <row r="142" spans="1:3">
      <c r="A142" s="15"/>
      <c r="B142" s="15">
        <f t="shared" si="17"/>
        <v>1</v>
      </c>
      <c r="C142" s="7" t="str" cm="1">
        <f t="array" ref="C142">_xlfn.TEXTJOIN(", ",,_xlfn._xlws.FILTER(Tabela1[[#All],[NUMER SERYJNY]],((Tabela1[[#All],[NAZWA]]=$A142)*(Tabela1[[#All],[KOMENTARZ]]=$A133)),"----------"))</f>
        <v>----------</v>
      </c>
    </row>
    <row r="143" spans="1:3">
      <c r="A143" s="15"/>
      <c r="B143" s="15">
        <f t="shared" si="17"/>
        <v>1</v>
      </c>
      <c r="C143" s="7" t="str" cm="1">
        <f t="array" ref="C143">_xlfn.TEXTJOIN(", ",,_xlfn._xlws.FILTER(Tabela1[[#All],[NUMER SERYJNY]],((Tabela1[[#All],[NAZWA]]=$A143)*(Tabela1[[#All],[KOMENTARZ]]=$A133)),"----------"))</f>
        <v>----------</v>
      </c>
    </row>
    <row r="144" spans="1:3">
      <c r="A144" s="15"/>
      <c r="B144" s="15">
        <f t="shared" si="17"/>
        <v>1</v>
      </c>
      <c r="C144" s="7" t="str" cm="1">
        <f t="array" ref="C144">_xlfn.TEXTJOIN(", ",,_xlfn._xlws.FILTER(Tabela1[[#All],[NUMER SERYJNY]],((Tabela1[[#All],[NAZWA]]=$A144)*(Tabela1[[#All],[KOMENTARZ]]=$A133)),"----------"))</f>
        <v>----------</v>
      </c>
    </row>
    <row r="145" spans="1:3">
      <c r="A145" s="15"/>
      <c r="B145" s="15">
        <f t="shared" si="17"/>
        <v>1</v>
      </c>
      <c r="C145" s="7" t="str" cm="1">
        <f t="array" ref="C145">_xlfn.TEXTJOIN(", ",,_xlfn._xlws.FILTER(Tabela1[[#All],[NUMER SERYJNY]],((Tabela1[[#All],[NAZWA]]=$A145)*(Tabela1[[#All],[KOMENTARZ]]=$A133)),"----------"))</f>
        <v>----------</v>
      </c>
    </row>
    <row r="146" spans="1:3">
      <c r="A146" s="15"/>
      <c r="B146" s="15">
        <f t="shared" si="17"/>
        <v>1</v>
      </c>
      <c r="C146" s="7" t="str" cm="1">
        <f t="array" ref="C146">_xlfn.TEXTJOIN(", ",,_xlfn._xlws.FILTER(Tabela1[[#All],[NUMER SERYJNY]],((Tabela1[[#All],[NAZWA]]=$A146)*(Tabela1[[#All],[KOMENTARZ]]=$A133)),"----------"))</f>
        <v>----------</v>
      </c>
    </row>
    <row r="147" spans="1:3">
      <c r="A147" s="15"/>
      <c r="B147" s="15">
        <f t="shared" si="17"/>
        <v>1</v>
      </c>
      <c r="C147" s="7" t="str" cm="1">
        <f t="array" ref="C147">_xlfn.TEXTJOIN(", ",,_xlfn._xlws.FILTER(Tabela1[[#All],[NUMER SERYJNY]],((Tabela1[[#All],[NAZWA]]=$A147)*(Tabela1[[#All],[KOMENTARZ]]=$A133)),"----------"))</f>
        <v>----------</v>
      </c>
    </row>
    <row r="148" spans="1:3">
      <c r="A148" s="15"/>
      <c r="B148" s="15"/>
      <c r="C148" s="7"/>
    </row>
    <row r="149" spans="1:3">
      <c r="A149" s="12" t="s">
        <v>2771</v>
      </c>
      <c r="B149" s="13"/>
      <c r="C149" s="8"/>
    </row>
    <row r="150" spans="1:3">
      <c r="A150" s="14" t="s">
        <v>2790</v>
      </c>
      <c r="B150" s="14">
        <f t="shared" ref="B150:B154" si="18">LEN(C150)-LEN(SUBSTITUTE(C150,",",""))+1</f>
        <v>1</v>
      </c>
      <c r="C150" s="9" t="str" cm="1">
        <f t="array" ref="C150">_xlfn.TEXTJOIN(", ",,_xlfn._xlws.FILTER(Tabela1[[#All],[NUMER SERYJNY]],((Tabela1[[#All],[NAZWA]]=$A150)*(Tabela1[[#All],[KOMENTARZ]]=$A149)),"----------"))</f>
        <v>ECS0R8000340</v>
      </c>
    </row>
    <row r="151" spans="1:3">
      <c r="A151" s="15" t="s">
        <v>2776</v>
      </c>
      <c r="B151" s="15">
        <f t="shared" si="18"/>
        <v>1</v>
      </c>
      <c r="C151" s="7" t="str" cm="1">
        <f t="array" ref="C151">_xlfn.TEXTJOIN(", ",,_xlfn._xlws.FILTER(Tabela1[[#All],[NUMER SERYJNY]],((Tabela1[[#All],[NAZWA]]=$A151)*(Tabela1[[#All],[KOMENTARZ]]=$A149)),"----------"))</f>
        <v>9KG9713W10014</v>
      </c>
    </row>
    <row r="152" spans="1:3">
      <c r="A152" s="15" t="s">
        <v>2117</v>
      </c>
      <c r="B152" s="15">
        <f t="shared" si="18"/>
        <v>1</v>
      </c>
      <c r="C152" s="7" t="str" cm="1">
        <f t="array" ref="C152">_xlfn.TEXTJOIN(", ",,_xlfn._xlws.FILTER(Tabela1[[#All],[NUMER SERYJNY]],((Tabela1[[#All],[NAZWA]]=$A152)*(Tabela1[[#All],[KOMENTARZ]]=$A149)),"----------"))</f>
        <v>M80-E5001000616</v>
      </c>
    </row>
    <row r="153" spans="1:3" ht="24">
      <c r="A153" s="15" t="s">
        <v>2104</v>
      </c>
      <c r="B153" s="15">
        <f t="shared" si="18"/>
        <v>4</v>
      </c>
      <c r="C153" s="7" t="str" cm="1">
        <f t="array" ref="C153">_xlfn.TEXTJOIN(", ",,_xlfn._xlws.FILTER(Tabela1[[#All],[NUMER SERYJNY]],((Tabela1[[#All],[NAZWA]]=$A153)*(Tabela1[[#All],[KOMENTARZ]]=$A149)),"----------"))</f>
        <v>2147 0000009344209-S000126, 2147 0000009344209-S000100, 2147 0000009344209-S000055, 2147 0000009344209-S000053</v>
      </c>
    </row>
    <row r="154" spans="1:3">
      <c r="A154" s="15" t="s">
        <v>2093</v>
      </c>
      <c r="B154" s="15">
        <f t="shared" si="18"/>
        <v>1</v>
      </c>
      <c r="C154" s="7" t="str" cm="1">
        <f t="array" ref="C154">_xlfn.TEXTJOIN(", ",,_xlfn._xlws.FILTER(Tabela1[[#All],[NUMER SERYJNY]],((Tabela1[[#All],[NAZWA]]=$A154)*(Tabela1[[#All],[KOMENTARZ]]=$A149)),"----------"))</f>
        <v>S45NNC0RB00074</v>
      </c>
    </row>
    <row r="155" spans="1:3">
      <c r="A155" s="15" t="s">
        <v>2096</v>
      </c>
      <c r="B155" s="15">
        <f>LEN(C155)-LEN(SUBSTITUTE(C155,",",""))+1</f>
        <v>1</v>
      </c>
      <c r="C155" s="7" t="str" cm="1">
        <f t="array" ref="C155">_xlfn.TEXTJOIN(", ",,_xlfn._xlws.FILTER(Tabela1[[#All],[NUMER SERYJNY]],((Tabela1[[#All],[NAZWA]]=$A155)*(Tabela1[[#All],[KOMENTARZ]]=$A149)),"----------"))</f>
        <v>S665NE0RB00462</v>
      </c>
    </row>
    <row r="156" spans="1:3">
      <c r="A156" s="15"/>
      <c r="B156" s="15">
        <f>LEN(C156)-LEN(SUBSTITUTE(C156,",",""))+1</f>
        <v>1</v>
      </c>
      <c r="C156" s="7" t="str" cm="1">
        <f t="array" ref="C156">_xlfn.TEXTJOIN(", ",,_xlfn._xlws.FILTER(Tabela1[[#All],[NUMER SERYJNY]],((Tabela1[[#All],[NAZWA]]=$A156)*(Tabela1[[#All],[KOMENTARZ]]=$A149)),"----------"))</f>
        <v>----------</v>
      </c>
    </row>
    <row r="157" spans="1:3">
      <c r="A157" s="15"/>
      <c r="B157" s="15">
        <f t="shared" ref="B157:B163" si="19">LEN(C157)-LEN(SUBSTITUTE(C157,",",""))+1</f>
        <v>1</v>
      </c>
      <c r="C157" s="7" t="str" cm="1">
        <f t="array" ref="C157">_xlfn.TEXTJOIN(", ",,_xlfn._xlws.FILTER(Tabela1[[#All],[NUMER SERYJNY]],((Tabela1[[#All],[NAZWA]]=$A157)*(Tabela1[[#All],[KOMENTARZ]]=$A149)),"----------"))</f>
        <v>----------</v>
      </c>
    </row>
    <row r="158" spans="1:3">
      <c r="A158" s="15"/>
      <c r="B158" s="15">
        <f t="shared" si="19"/>
        <v>1</v>
      </c>
      <c r="C158" s="7" t="str" cm="1">
        <f t="array" ref="C158">_xlfn.TEXTJOIN(", ",,_xlfn._xlws.FILTER(Tabela1[[#All],[NUMER SERYJNY]],((Tabela1[[#All],[NAZWA]]=$A158)*(Tabela1[[#All],[KOMENTARZ]]=$A149)),"----------"))</f>
        <v>----------</v>
      </c>
    </row>
    <row r="159" spans="1:3">
      <c r="A159" s="15"/>
      <c r="B159" s="15">
        <f t="shared" si="19"/>
        <v>1</v>
      </c>
      <c r="C159" s="7" t="str" cm="1">
        <f t="array" ref="C159">_xlfn.TEXTJOIN(", ",,_xlfn._xlws.FILTER(Tabela1[[#All],[NUMER SERYJNY]],((Tabela1[[#All],[NAZWA]]=$A159)*(Tabela1[[#All],[KOMENTARZ]]=$A149)),"----------"))</f>
        <v>----------</v>
      </c>
    </row>
    <row r="160" spans="1:3">
      <c r="A160" s="15"/>
      <c r="B160" s="15">
        <f t="shared" si="19"/>
        <v>1</v>
      </c>
      <c r="C160" s="7" t="str" cm="1">
        <f t="array" ref="C160">_xlfn.TEXTJOIN(", ",,_xlfn._xlws.FILTER(Tabela1[[#All],[NUMER SERYJNY]],((Tabela1[[#All],[NAZWA]]=$A160)*(Tabela1[[#All],[KOMENTARZ]]=$A149)),"----------"))</f>
        <v>----------</v>
      </c>
    </row>
    <row r="161" spans="1:3">
      <c r="A161" s="15"/>
      <c r="B161" s="15">
        <f t="shared" si="19"/>
        <v>1</v>
      </c>
      <c r="C161" s="7" t="str" cm="1">
        <f t="array" ref="C161">_xlfn.TEXTJOIN(", ",,_xlfn._xlws.FILTER(Tabela1[[#All],[NUMER SERYJNY]],((Tabela1[[#All],[NAZWA]]=$A161)*(Tabela1[[#All],[KOMENTARZ]]=$A149)),"----------"))</f>
        <v>----------</v>
      </c>
    </row>
    <row r="162" spans="1:3">
      <c r="A162" s="15"/>
      <c r="B162" s="15">
        <f t="shared" si="19"/>
        <v>1</v>
      </c>
      <c r="C162" s="7" t="str" cm="1">
        <f t="array" ref="C162">_xlfn.TEXTJOIN(", ",,_xlfn._xlws.FILTER(Tabela1[[#All],[NUMER SERYJNY]],((Tabela1[[#All],[NAZWA]]=$A162)*(Tabela1[[#All],[KOMENTARZ]]=$A149)),"----------"))</f>
        <v>----------</v>
      </c>
    </row>
    <row r="163" spans="1:3">
      <c r="A163" s="15"/>
      <c r="B163" s="15">
        <f t="shared" si="19"/>
        <v>1</v>
      </c>
      <c r="C163" s="7" t="str" cm="1">
        <f t="array" ref="C163">_xlfn.TEXTJOIN(", ",,_xlfn._xlws.FILTER(Tabela1[[#All],[NUMER SERYJNY]],((Tabela1[[#All],[NAZWA]]=$A163)*(Tabela1[[#All],[KOMENTARZ]]=$A149)),"----------"))</f>
        <v>----------</v>
      </c>
    </row>
    <row r="164" spans="1:3">
      <c r="A164" s="15"/>
      <c r="B164" s="15"/>
      <c r="C164" s="7"/>
    </row>
    <row r="165" spans="1:3">
      <c r="A165" s="12" t="s">
        <v>2935</v>
      </c>
      <c r="B165" s="13"/>
      <c r="C165" s="8"/>
    </row>
    <row r="166" spans="1:3">
      <c r="A166" s="14" t="s">
        <v>2940</v>
      </c>
      <c r="B166" s="14">
        <f t="shared" ref="B166:B170" si="20">LEN(C166)-LEN(SUBSTITUTE(C166,",",""))+1</f>
        <v>1</v>
      </c>
      <c r="C166" s="9" t="str" cm="1">
        <f t="array" ref="C166">_xlfn.TEXTJOIN(", ",,_xlfn._xlws.FILTER(Tabela1[[#All],[NUMER SERYJNY]],((Tabela1[[#All],[NAZWA]]=$A166)*(Tabela1[[#All],[KOMENTARZ]]=$A165)),"----------"))</f>
        <v>ECS0R8000333</v>
      </c>
    </row>
    <row r="167" spans="1:3">
      <c r="A167" s="15" t="s">
        <v>2776</v>
      </c>
      <c r="B167" s="15">
        <f t="shared" si="20"/>
        <v>1</v>
      </c>
      <c r="C167" s="7" t="str" cm="1">
        <f t="array" ref="C167">_xlfn.TEXTJOIN(", ",,_xlfn._xlws.FILTER(Tabela1[[#All],[NUMER SERYJNY]],((Tabela1[[#All],[NAZWA]]=$A167)*(Tabela1[[#All],[KOMENTARZ]]=$A165)),"----------"))</f>
        <v>9LA0897M20199</v>
      </c>
    </row>
    <row r="168" spans="1:3">
      <c r="A168" s="15" t="s">
        <v>2117</v>
      </c>
      <c r="B168" s="15">
        <f t="shared" si="20"/>
        <v>1</v>
      </c>
      <c r="C168" s="7" t="str" cm="1">
        <f t="array" ref="C168">_xlfn.TEXTJOIN(", ",,_xlfn._xlws.FILTER(Tabela1[[#All],[NUMER SERYJNY]],((Tabela1[[#All],[NAZWA]]=$A168)*(Tabela1[[#All],[KOMENTARZ]]=$A165)),"----------"))</f>
        <v>M80-E5001000127</v>
      </c>
    </row>
    <row r="169" spans="1:3" ht="24">
      <c r="A169" s="15" t="s">
        <v>2104</v>
      </c>
      <c r="B169" s="15">
        <f t="shared" si="20"/>
        <v>4</v>
      </c>
      <c r="C169" s="7" t="str" cm="1">
        <f t="array" ref="C169">_xlfn.TEXTJOIN(", ",,_xlfn._xlws.FILTER(Tabela1[[#All],[NUMER SERYJNY]],((Tabela1[[#All],[NAZWA]]=$A169)*(Tabela1[[#All],[KOMENTARZ]]=$A165)),"----------"))</f>
        <v>2147 0000009344209-S000125, 2147 0000009344209-S000116, 2147 0000009344209-S000093, 2147 0000009344209-S000128</v>
      </c>
    </row>
    <row r="170" spans="1:3">
      <c r="A170" s="15" t="s">
        <v>2093</v>
      </c>
      <c r="B170" s="15">
        <f t="shared" si="20"/>
        <v>1</v>
      </c>
      <c r="C170" s="7" t="str" cm="1">
        <f t="array" ref="C170">_xlfn.TEXTJOIN(", ",,_xlfn._xlws.FILTER(Tabela1[[#All],[NUMER SERYJNY]],((Tabela1[[#All],[NAZWA]]=$A170)*(Tabela1[[#All],[KOMENTARZ]]=$A165)),"----------"))</f>
        <v>S45NNC0RB00073</v>
      </c>
    </row>
    <row r="171" spans="1:3">
      <c r="A171" s="15" t="s">
        <v>2096</v>
      </c>
      <c r="B171" s="15">
        <f>LEN(C171)-LEN(SUBSTITUTE(C171,",",""))+1</f>
        <v>1</v>
      </c>
      <c r="C171" s="7" t="str" cm="1">
        <f t="array" ref="C171">_xlfn.TEXTJOIN(", ",,_xlfn._xlws.FILTER(Tabela1[[#All],[NUMER SERYJNY]],((Tabela1[[#All],[NAZWA]]=$A171)*(Tabela1[[#All],[KOMENTARZ]]=$A165)),"----------"))</f>
        <v>S665NE0RB00466</v>
      </c>
    </row>
    <row r="172" spans="1:3">
      <c r="A172" s="15"/>
      <c r="B172" s="15">
        <f>LEN(C172)-LEN(SUBSTITUTE(C172,",",""))+1</f>
        <v>1</v>
      </c>
      <c r="C172" s="7" t="str" cm="1">
        <f t="array" ref="C172">_xlfn.TEXTJOIN(", ",,_xlfn._xlws.FILTER(Tabela1[[#All],[NUMER SERYJNY]],((Tabela1[[#All],[NAZWA]]=$A172)*(Tabela1[[#All],[KOMENTARZ]]=$A165)),"----------"))</f>
        <v>----------</v>
      </c>
    </row>
    <row r="173" spans="1:3">
      <c r="A173" s="15"/>
      <c r="B173" s="15">
        <f t="shared" ref="B173:B179" si="21">LEN(C173)-LEN(SUBSTITUTE(C173,",",""))+1</f>
        <v>1</v>
      </c>
      <c r="C173" s="7" t="str" cm="1">
        <f t="array" ref="C173">_xlfn.TEXTJOIN(", ",,_xlfn._xlws.FILTER(Tabela1[[#All],[NUMER SERYJNY]],((Tabela1[[#All],[NAZWA]]=$A173)*(Tabela1[[#All],[KOMENTARZ]]=$A165)),"----------"))</f>
        <v>----------</v>
      </c>
    </row>
    <row r="174" spans="1:3">
      <c r="A174" s="15"/>
      <c r="B174" s="15">
        <f t="shared" si="21"/>
        <v>1</v>
      </c>
      <c r="C174" s="7" t="str" cm="1">
        <f t="array" ref="C174">_xlfn.TEXTJOIN(", ",,_xlfn._xlws.FILTER(Tabela1[[#All],[NUMER SERYJNY]],((Tabela1[[#All],[NAZWA]]=$A174)*(Tabela1[[#All],[KOMENTARZ]]=$A165)),"----------"))</f>
        <v>----------</v>
      </c>
    </row>
    <row r="175" spans="1:3">
      <c r="A175" s="15"/>
      <c r="B175" s="15">
        <f t="shared" si="21"/>
        <v>1</v>
      </c>
      <c r="C175" s="7" t="str" cm="1">
        <f t="array" ref="C175">_xlfn.TEXTJOIN(", ",,_xlfn._xlws.FILTER(Tabela1[[#All],[NUMER SERYJNY]],((Tabela1[[#All],[NAZWA]]=$A175)*(Tabela1[[#All],[KOMENTARZ]]=$A165)),"----------"))</f>
        <v>----------</v>
      </c>
    </row>
    <row r="176" spans="1:3">
      <c r="A176" s="15"/>
      <c r="B176" s="15">
        <f t="shared" si="21"/>
        <v>1</v>
      </c>
      <c r="C176" s="7" t="str" cm="1">
        <f t="array" ref="C176">_xlfn.TEXTJOIN(", ",,_xlfn._xlws.FILTER(Tabela1[[#All],[NUMER SERYJNY]],((Tabela1[[#All],[NAZWA]]=$A176)*(Tabela1[[#All],[KOMENTARZ]]=$A165)),"----------"))</f>
        <v>----------</v>
      </c>
    </row>
    <row r="177" spans="1:3">
      <c r="A177" s="15"/>
      <c r="B177" s="15">
        <f t="shared" si="21"/>
        <v>1</v>
      </c>
      <c r="C177" s="7" t="str" cm="1">
        <f t="array" ref="C177">_xlfn.TEXTJOIN(", ",,_xlfn._xlws.FILTER(Tabela1[[#All],[NUMER SERYJNY]],((Tabela1[[#All],[NAZWA]]=$A177)*(Tabela1[[#All],[KOMENTARZ]]=$A165)),"----------"))</f>
        <v>----------</v>
      </c>
    </row>
    <row r="178" spans="1:3">
      <c r="A178" s="15"/>
      <c r="B178" s="15">
        <f t="shared" si="21"/>
        <v>1</v>
      </c>
      <c r="C178" s="7" t="str" cm="1">
        <f t="array" ref="C178">_xlfn.TEXTJOIN(", ",,_xlfn._xlws.FILTER(Tabela1[[#All],[NUMER SERYJNY]],((Tabela1[[#All],[NAZWA]]=$A178)*(Tabela1[[#All],[KOMENTARZ]]=$A165)),"----------"))</f>
        <v>----------</v>
      </c>
    </row>
    <row r="179" spans="1:3">
      <c r="A179" s="15"/>
      <c r="B179" s="15">
        <f t="shared" si="21"/>
        <v>1</v>
      </c>
      <c r="C179" s="7" t="str" cm="1">
        <f t="array" ref="C179">_xlfn.TEXTJOIN(", ",,_xlfn._xlws.FILTER(Tabela1[[#All],[NUMER SERYJNY]],((Tabela1[[#All],[NAZWA]]=$A179)*(Tabela1[[#All],[KOMENTARZ]]=$A165)),"----------"))</f>
        <v>----------</v>
      </c>
    </row>
    <row r="180" spans="1:3">
      <c r="A180" s="15"/>
      <c r="B180" s="15"/>
      <c r="C180" s="7"/>
    </row>
    <row r="181" spans="1:3">
      <c r="A181" s="12" t="s">
        <v>2946</v>
      </c>
      <c r="B181" s="13"/>
      <c r="C181" s="8"/>
    </row>
    <row r="182" spans="1:3">
      <c r="A182" s="14" t="s">
        <v>2940</v>
      </c>
      <c r="B182" s="14">
        <f t="shared" ref="B182:B186" si="22">LEN(C182)-LEN(SUBSTITUTE(C182,",",""))+1</f>
        <v>1</v>
      </c>
      <c r="C182" s="9" t="str" cm="1">
        <f t="array" ref="C182">_xlfn.TEXTJOIN(", ",,_xlfn._xlws.FILTER(Tabela1[[#All],[NUMER SERYJNY]],((Tabela1[[#All],[NAZWA]]=$A182)*(Tabela1[[#All],[KOMENTARZ]]=$A181)),"----------"))</f>
        <v>ECS0R8000337</v>
      </c>
    </row>
    <row r="183" spans="1:3">
      <c r="A183" s="15" t="s">
        <v>2776</v>
      </c>
      <c r="B183" s="15">
        <f t="shared" si="22"/>
        <v>1</v>
      </c>
      <c r="C183" s="7" t="str" cm="1">
        <f t="array" ref="C183">_xlfn.TEXTJOIN(", ",,_xlfn._xlws.FILTER(Tabela1[[#All],[NUMER SERYJNY]],((Tabela1[[#All],[NAZWA]]=$A183)*(Tabela1[[#All],[KOMENTARZ]]=$A181)),"----------"))</f>
        <v>9LA0897M20096</v>
      </c>
    </row>
    <row r="184" spans="1:3">
      <c r="A184" s="15" t="s">
        <v>2117</v>
      </c>
      <c r="B184" s="15">
        <f t="shared" si="22"/>
        <v>1</v>
      </c>
      <c r="C184" s="7" t="str" cm="1">
        <f t="array" ref="C184">_xlfn.TEXTJOIN(", ",,_xlfn._xlws.FILTER(Tabela1[[#All],[NUMER SERYJNY]],((Tabela1[[#All],[NAZWA]]=$A184)*(Tabela1[[#All],[KOMENTARZ]]=$A181)),"----------"))</f>
        <v>M80-E5001001514</v>
      </c>
    </row>
    <row r="185" spans="1:3" ht="24">
      <c r="A185" s="15" t="s">
        <v>2104</v>
      </c>
      <c r="B185" s="15">
        <f t="shared" si="22"/>
        <v>4</v>
      </c>
      <c r="C185" s="7" t="str" cm="1">
        <f t="array" ref="C185">_xlfn.TEXTJOIN(", ",,_xlfn._xlws.FILTER(Tabela1[[#All],[NUMER SERYJNY]],((Tabela1[[#All],[NAZWA]]=$A185)*(Tabela1[[#All],[KOMENTARZ]]=$A181)),"----------"))</f>
        <v>2147 0000009344209-S000087, 2147 0000009344209-S000026, 2147 0000009344209-S000112, 2147 0000009344209-S000091</v>
      </c>
    </row>
    <row r="186" spans="1:3">
      <c r="A186" s="15" t="s">
        <v>2093</v>
      </c>
      <c r="B186" s="15">
        <f t="shared" si="22"/>
        <v>1</v>
      </c>
      <c r="C186" s="7" t="str" cm="1">
        <f t="array" ref="C186">_xlfn.TEXTJOIN(", ",,_xlfn._xlws.FILTER(Tabela1[[#All],[NUMER SERYJNY]],((Tabela1[[#All],[NAZWA]]=$A186)*(Tabela1[[#All],[KOMENTARZ]]=$A181)),"----------"))</f>
        <v>S45NNC0RB00071</v>
      </c>
    </row>
    <row r="187" spans="1:3">
      <c r="A187" s="15" t="s">
        <v>2096</v>
      </c>
      <c r="B187" s="15">
        <f>LEN(C187)-LEN(SUBSTITUTE(C187,",",""))+1</f>
        <v>1</v>
      </c>
      <c r="C187" s="7" t="str" cm="1">
        <f t="array" ref="C187">_xlfn.TEXTJOIN(", ",,_xlfn._xlws.FILTER(Tabela1[[#All],[NUMER SERYJNY]],((Tabela1[[#All],[NAZWA]]=$A187)*(Tabela1[[#All],[KOMENTARZ]]=$A181)),"----------"))</f>
        <v>S665NE0RB00467</v>
      </c>
    </row>
    <row r="188" spans="1:3">
      <c r="A188" s="15"/>
      <c r="B188" s="15">
        <f>LEN(C188)-LEN(SUBSTITUTE(C188,",",""))+1</f>
        <v>1</v>
      </c>
      <c r="C188" s="7" t="str" cm="1">
        <f t="array" ref="C188">_xlfn.TEXTJOIN(", ",,_xlfn._xlws.FILTER(Tabela1[[#All],[NUMER SERYJNY]],((Tabela1[[#All],[NAZWA]]=$A188)*(Tabela1[[#All],[KOMENTARZ]]=$A181)),"----------"))</f>
        <v>----------</v>
      </c>
    </row>
    <row r="189" spans="1:3">
      <c r="A189" s="15"/>
      <c r="B189" s="15">
        <f t="shared" ref="B189:B195" si="23">LEN(C189)-LEN(SUBSTITUTE(C189,",",""))+1</f>
        <v>1</v>
      </c>
      <c r="C189" s="7" t="str" cm="1">
        <f t="array" ref="C189">_xlfn.TEXTJOIN(", ",,_xlfn._xlws.FILTER(Tabela1[[#All],[NUMER SERYJNY]],((Tabela1[[#All],[NAZWA]]=$A189)*(Tabela1[[#All],[KOMENTARZ]]=$A181)),"----------"))</f>
        <v>----------</v>
      </c>
    </row>
    <row r="190" spans="1:3">
      <c r="A190" s="15"/>
      <c r="B190" s="15">
        <f t="shared" si="23"/>
        <v>1</v>
      </c>
      <c r="C190" s="7" t="str" cm="1">
        <f t="array" ref="C190">_xlfn.TEXTJOIN(", ",,_xlfn._xlws.FILTER(Tabela1[[#All],[NUMER SERYJNY]],((Tabela1[[#All],[NAZWA]]=$A190)*(Tabela1[[#All],[KOMENTARZ]]=$A181)),"----------"))</f>
        <v>----------</v>
      </c>
    </row>
    <row r="191" spans="1:3">
      <c r="A191" s="15"/>
      <c r="B191" s="15">
        <f t="shared" si="23"/>
        <v>1</v>
      </c>
      <c r="C191" s="7" t="str" cm="1">
        <f t="array" ref="C191">_xlfn.TEXTJOIN(", ",,_xlfn._xlws.FILTER(Tabela1[[#All],[NUMER SERYJNY]],((Tabela1[[#All],[NAZWA]]=$A191)*(Tabela1[[#All],[KOMENTARZ]]=$A181)),"----------"))</f>
        <v>----------</v>
      </c>
    </row>
    <row r="192" spans="1:3">
      <c r="A192" s="15"/>
      <c r="B192" s="15">
        <f t="shared" si="23"/>
        <v>1</v>
      </c>
      <c r="C192" s="7" t="str" cm="1">
        <f t="array" ref="C192">_xlfn.TEXTJOIN(", ",,_xlfn._xlws.FILTER(Tabela1[[#All],[NUMER SERYJNY]],((Tabela1[[#All],[NAZWA]]=$A192)*(Tabela1[[#All],[KOMENTARZ]]=$A181)),"----------"))</f>
        <v>----------</v>
      </c>
    </row>
    <row r="193" spans="1:3">
      <c r="A193" s="15"/>
      <c r="B193" s="15">
        <f t="shared" si="23"/>
        <v>1</v>
      </c>
      <c r="C193" s="7" t="str" cm="1">
        <f t="array" ref="C193">_xlfn.TEXTJOIN(", ",,_xlfn._xlws.FILTER(Tabela1[[#All],[NUMER SERYJNY]],((Tabela1[[#All],[NAZWA]]=$A193)*(Tabela1[[#All],[KOMENTARZ]]=$A181)),"----------"))</f>
        <v>----------</v>
      </c>
    </row>
    <row r="194" spans="1:3">
      <c r="A194" s="15"/>
      <c r="B194" s="15">
        <f t="shared" si="23"/>
        <v>1</v>
      </c>
      <c r="C194" s="7" t="str" cm="1">
        <f t="array" ref="C194">_xlfn.TEXTJOIN(", ",,_xlfn._xlws.FILTER(Tabela1[[#All],[NUMER SERYJNY]],((Tabela1[[#All],[NAZWA]]=$A194)*(Tabela1[[#All],[KOMENTARZ]]=$A181)),"----------"))</f>
        <v>----------</v>
      </c>
    </row>
    <row r="195" spans="1:3">
      <c r="A195" s="15"/>
      <c r="B195" s="15">
        <f t="shared" si="23"/>
        <v>1</v>
      </c>
      <c r="C195" s="7" t="str" cm="1">
        <f t="array" ref="C195">_xlfn.TEXTJOIN(", ",,_xlfn._xlws.FILTER(Tabela1[[#All],[NUMER SERYJNY]],((Tabela1[[#All],[NAZWA]]=$A195)*(Tabela1[[#All],[KOMENTARZ]]=$A181)),"----------"))</f>
        <v>----------</v>
      </c>
    </row>
    <row r="196" spans="1:3">
      <c r="A196" s="15"/>
      <c r="B196" s="15"/>
      <c r="C196" s="7"/>
    </row>
    <row r="197" spans="1:3">
      <c r="A197" s="15"/>
      <c r="B197" s="15"/>
      <c r="C197" s="7"/>
    </row>
    <row r="198" spans="1:3">
      <c r="A198" s="15"/>
      <c r="B198" s="15"/>
      <c r="C198" s="7"/>
    </row>
    <row r="199" spans="1:3">
      <c r="A199" s="15"/>
      <c r="B199" s="15"/>
      <c r="C199" s="7"/>
    </row>
    <row r="200" spans="1:3">
      <c r="A200" s="15"/>
      <c r="B200" s="15"/>
      <c r="C200" s="7"/>
    </row>
    <row r="201" spans="1:3">
      <c r="A201" s="15"/>
      <c r="B201" s="15"/>
      <c r="C201" s="7"/>
    </row>
    <row r="202" spans="1:3">
      <c r="A202" s="15"/>
      <c r="B202" s="15"/>
      <c r="C202" s="7"/>
    </row>
    <row r="203" spans="1:3">
      <c r="A203" s="15"/>
      <c r="B203" s="15"/>
      <c r="C203" s="7"/>
    </row>
    <row r="204" spans="1:3">
      <c r="A204" s="15"/>
      <c r="B204" s="15"/>
      <c r="C204" s="7"/>
    </row>
    <row r="205" spans="1:3">
      <c r="A205" s="15"/>
      <c r="B205" s="15"/>
      <c r="C205" s="7"/>
    </row>
    <row r="206" spans="1:3">
      <c r="A206" s="15"/>
      <c r="B206" s="15"/>
      <c r="C206" s="7"/>
    </row>
    <row r="207" spans="1:3">
      <c r="A207" s="15"/>
      <c r="B207" s="15"/>
      <c r="C207" s="7"/>
    </row>
    <row r="208" spans="1:3">
      <c r="A208" s="12"/>
      <c r="B208" s="13"/>
      <c r="C208" s="8"/>
    </row>
    <row r="209" spans="1:3">
      <c r="A209" s="14"/>
      <c r="B209" s="14"/>
      <c r="C209" s="9"/>
    </row>
    <row r="210" spans="1:3">
      <c r="A210" s="15"/>
      <c r="B210" s="15"/>
      <c r="C210" s="7"/>
    </row>
    <row r="211" spans="1:3">
      <c r="A211" s="15"/>
      <c r="B211" s="15"/>
      <c r="C211" s="7"/>
    </row>
    <row r="212" spans="1:3">
      <c r="A212" s="15"/>
      <c r="B212" s="15"/>
      <c r="C212" s="7"/>
    </row>
    <row r="213" spans="1:3">
      <c r="A213" s="15"/>
      <c r="B213" s="15"/>
      <c r="C213" s="7"/>
    </row>
    <row r="214" spans="1:3">
      <c r="A214" s="15"/>
      <c r="B214" s="15"/>
      <c r="C214" s="7"/>
    </row>
    <row r="215" spans="1:3">
      <c r="A215" s="15"/>
      <c r="B215" s="15"/>
      <c r="C215" s="7"/>
    </row>
    <row r="216" spans="1:3">
      <c r="A216" s="15"/>
      <c r="B216" s="15"/>
      <c r="C216" s="7"/>
    </row>
    <row r="217" spans="1:3">
      <c r="A217" s="15"/>
      <c r="B217" s="15"/>
      <c r="C217" s="7"/>
    </row>
    <row r="218" spans="1:3">
      <c r="A218" s="15"/>
      <c r="B218" s="15"/>
      <c r="C218" s="7"/>
    </row>
    <row r="219" spans="1:3">
      <c r="A219" s="15"/>
      <c r="B219" s="15"/>
      <c r="C219" s="7"/>
    </row>
    <row r="220" spans="1:3">
      <c r="A220" s="15"/>
      <c r="B220" s="15"/>
      <c r="C220" s="7"/>
    </row>
    <row r="221" spans="1:3">
      <c r="A221" s="15"/>
      <c r="B221" s="15"/>
      <c r="C221" s="7"/>
    </row>
    <row r="222" spans="1:3">
      <c r="A222" s="15"/>
      <c r="B222" s="15"/>
      <c r="C222" s="7"/>
    </row>
    <row r="223" spans="1:3">
      <c r="A223" s="15"/>
      <c r="B223" s="15"/>
      <c r="C223" s="7"/>
    </row>
    <row r="224" spans="1:3">
      <c r="A224" s="15"/>
      <c r="B224" s="15"/>
      <c r="C224" s="7"/>
    </row>
    <row r="225" spans="1:3">
      <c r="A225" s="12"/>
      <c r="B225" s="13"/>
      <c r="C225" s="8"/>
    </row>
    <row r="226" spans="1:3">
      <c r="A226" s="14"/>
      <c r="B226" s="14"/>
      <c r="C226" s="9"/>
    </row>
    <row r="227" spans="1:3">
      <c r="A227" s="15"/>
      <c r="B227" s="15"/>
      <c r="C227" s="7"/>
    </row>
    <row r="228" spans="1:3">
      <c r="A228" s="15"/>
      <c r="B228" s="15"/>
      <c r="C228" s="7"/>
    </row>
    <row r="229" spans="1:3">
      <c r="A229" s="15"/>
      <c r="B229" s="15"/>
      <c r="C229" s="7"/>
    </row>
    <row r="230" spans="1:3">
      <c r="A230" s="15"/>
      <c r="B230" s="15"/>
      <c r="C230" s="7"/>
    </row>
    <row r="231" spans="1:3">
      <c r="A231" s="15"/>
      <c r="B231" s="15"/>
      <c r="C231" s="7"/>
    </row>
    <row r="232" spans="1:3">
      <c r="A232" s="15"/>
      <c r="B232" s="15"/>
      <c r="C232" s="7"/>
    </row>
    <row r="233" spans="1:3">
      <c r="A233" s="15"/>
      <c r="B233" s="15"/>
      <c r="C233" s="7"/>
    </row>
    <row r="234" spans="1:3">
      <c r="A234" s="15"/>
      <c r="B234" s="15"/>
      <c r="C234" s="7"/>
    </row>
    <row r="235" spans="1:3">
      <c r="A235" s="15"/>
      <c r="B235" s="15"/>
      <c r="C235" s="7"/>
    </row>
    <row r="236" spans="1:3">
      <c r="A236" s="15"/>
      <c r="B236" s="15"/>
      <c r="C236" s="7"/>
    </row>
    <row r="237" spans="1:3">
      <c r="A237" s="15"/>
      <c r="B237" s="15"/>
      <c r="C237" s="7"/>
    </row>
    <row r="238" spans="1:3">
      <c r="A238" s="15"/>
      <c r="B238" s="15"/>
      <c r="C238" s="7"/>
    </row>
    <row r="239" spans="1:3">
      <c r="A239" s="15"/>
      <c r="B239" s="15"/>
      <c r="C239" s="7"/>
    </row>
    <row r="240" spans="1:3">
      <c r="A240" s="15"/>
      <c r="B240" s="15"/>
      <c r="C240" s="7"/>
    </row>
    <row r="241" spans="1:3">
      <c r="A241" s="15"/>
      <c r="B241" s="15"/>
      <c r="C241" s="7"/>
    </row>
    <row r="242" spans="1:3">
      <c r="A242" s="12"/>
      <c r="B242" s="13"/>
      <c r="C242" s="8"/>
    </row>
    <row r="243" spans="1:3">
      <c r="A243" s="14"/>
      <c r="B243" s="14"/>
      <c r="C243" s="9"/>
    </row>
    <row r="244" spans="1:3">
      <c r="A244" s="15"/>
      <c r="B244" s="15"/>
      <c r="C244" s="7"/>
    </row>
    <row r="245" spans="1:3">
      <c r="A245" s="15"/>
      <c r="B245" s="15"/>
      <c r="C245" s="7"/>
    </row>
    <row r="246" spans="1:3">
      <c r="A246" s="15"/>
      <c r="B246" s="15"/>
      <c r="C246" s="7"/>
    </row>
    <row r="247" spans="1:3">
      <c r="A247" s="15"/>
      <c r="B247" s="15"/>
      <c r="C247" s="7"/>
    </row>
    <row r="248" spans="1:3">
      <c r="A248" s="15"/>
      <c r="B248" s="15"/>
      <c r="C248" s="7"/>
    </row>
    <row r="249" spans="1:3">
      <c r="A249" s="15"/>
      <c r="B249" s="15"/>
      <c r="C249" s="7"/>
    </row>
    <row r="250" spans="1:3">
      <c r="A250" s="15"/>
      <c r="B250" s="15"/>
      <c r="C250" s="7"/>
    </row>
    <row r="251" spans="1:3">
      <c r="A251" s="15"/>
      <c r="B251" s="15"/>
      <c r="C251" s="7"/>
    </row>
    <row r="252" spans="1:3">
      <c r="A252" s="15"/>
      <c r="B252" s="15"/>
      <c r="C252" s="7"/>
    </row>
    <row r="253" spans="1:3">
      <c r="A253" s="15"/>
      <c r="B253" s="15"/>
      <c r="C253" s="7"/>
    </row>
    <row r="254" spans="1:3">
      <c r="A254" s="15"/>
      <c r="B254" s="15"/>
      <c r="C254" s="7"/>
    </row>
    <row r="255" spans="1:3">
      <c r="A255" s="15"/>
      <c r="B255" s="15"/>
      <c r="C255" s="7"/>
    </row>
    <row r="256" spans="1:3">
      <c r="A256" s="15"/>
      <c r="B256" s="15"/>
      <c r="C256" s="7"/>
    </row>
    <row r="257" spans="1:3">
      <c r="A257" s="15"/>
      <c r="B257" s="15"/>
      <c r="C257" s="7"/>
    </row>
    <row r="258" spans="1:3">
      <c r="A258" s="15"/>
      <c r="B258" s="15"/>
      <c r="C258" s="7"/>
    </row>
    <row r="259" spans="1:3">
      <c r="A259" s="12"/>
      <c r="B259" s="13"/>
      <c r="C259" s="8"/>
    </row>
    <row r="260" spans="1:3">
      <c r="A260" s="14"/>
      <c r="B260" s="14"/>
      <c r="C260" s="9"/>
    </row>
    <row r="261" spans="1:3">
      <c r="A261" s="15"/>
      <c r="B261" s="15"/>
      <c r="C261" s="7"/>
    </row>
    <row r="262" spans="1:3">
      <c r="A262" s="15"/>
      <c r="B262" s="15"/>
      <c r="C262" s="7"/>
    </row>
    <row r="263" spans="1:3">
      <c r="A263" s="15"/>
      <c r="B263" s="15"/>
      <c r="C263" s="7"/>
    </row>
    <row r="264" spans="1:3">
      <c r="A264" s="15"/>
      <c r="B264" s="15"/>
      <c r="C264" s="7"/>
    </row>
    <row r="265" spans="1:3">
      <c r="A265" s="15"/>
      <c r="B265" s="15"/>
      <c r="C265" s="7"/>
    </row>
    <row r="266" spans="1:3">
      <c r="A266" s="15"/>
      <c r="B266" s="15"/>
      <c r="C266" s="7"/>
    </row>
    <row r="267" spans="1:3">
      <c r="A267" s="15"/>
      <c r="B267" s="15"/>
      <c r="C267" s="7"/>
    </row>
    <row r="268" spans="1:3">
      <c r="A268" s="15"/>
      <c r="B268" s="15"/>
      <c r="C268" s="7"/>
    </row>
    <row r="269" spans="1:3">
      <c r="A269" s="15"/>
      <c r="B269" s="15"/>
      <c r="C269" s="7"/>
    </row>
    <row r="270" spans="1:3">
      <c r="A270" s="15"/>
      <c r="B270" s="15"/>
      <c r="C270" s="7"/>
    </row>
    <row r="271" spans="1:3">
      <c r="A271" s="15"/>
      <c r="B271" s="15"/>
      <c r="C271" s="7"/>
    </row>
    <row r="272" spans="1:3">
      <c r="A272" s="15"/>
      <c r="B272" s="15"/>
      <c r="C272" s="7"/>
    </row>
    <row r="273" spans="1:3">
      <c r="A273" s="15"/>
      <c r="B273" s="15"/>
      <c r="C273" s="7"/>
    </row>
    <row r="274" spans="1:3">
      <c r="A274" s="15"/>
      <c r="B274" s="15"/>
      <c r="C274" s="7"/>
    </row>
    <row r="275" spans="1:3">
      <c r="A275" s="15"/>
      <c r="B275" s="15"/>
      <c r="C275" s="7"/>
    </row>
    <row r="276" spans="1:3">
      <c r="A276" s="12"/>
      <c r="B276" s="13"/>
      <c r="C276" s="8"/>
    </row>
    <row r="277" spans="1:3">
      <c r="A277" s="14"/>
      <c r="B277" s="14"/>
      <c r="C277" s="9"/>
    </row>
    <row r="278" spans="1:3">
      <c r="A278" s="15"/>
      <c r="B278" s="15"/>
      <c r="C278" s="7"/>
    </row>
    <row r="279" spans="1:3">
      <c r="A279" s="15"/>
      <c r="B279" s="15"/>
      <c r="C279" s="7"/>
    </row>
    <row r="280" spans="1:3">
      <c r="A280" s="15"/>
      <c r="B280" s="15"/>
      <c r="C280" s="7"/>
    </row>
    <row r="281" spans="1:3">
      <c r="A281" s="15"/>
      <c r="B281" s="15"/>
      <c r="C281" s="7"/>
    </row>
    <row r="282" spans="1:3">
      <c r="A282" s="15"/>
      <c r="B282" s="15"/>
      <c r="C282" s="7"/>
    </row>
    <row r="283" spans="1:3">
      <c r="A283" s="15"/>
      <c r="B283" s="15"/>
      <c r="C283" s="7"/>
    </row>
    <row r="284" spans="1:3">
      <c r="A284" s="15"/>
      <c r="B284" s="15"/>
      <c r="C284" s="7"/>
    </row>
    <row r="285" spans="1:3">
      <c r="A285" s="15"/>
      <c r="B285" s="15"/>
      <c r="C285" s="7"/>
    </row>
    <row r="286" spans="1:3">
      <c r="A286" s="15"/>
      <c r="B286" s="15"/>
      <c r="C286" s="7"/>
    </row>
    <row r="287" spans="1:3">
      <c r="A287" s="15"/>
      <c r="B287" s="15"/>
      <c r="C287" s="7"/>
    </row>
    <row r="288" spans="1:3">
      <c r="A288" s="15"/>
      <c r="B288" s="15"/>
      <c r="C288" s="7"/>
    </row>
    <row r="289" spans="1:3">
      <c r="A289" s="15"/>
      <c r="B289" s="15"/>
      <c r="C289" s="7"/>
    </row>
    <row r="290" spans="1:3">
      <c r="A290" s="15"/>
      <c r="B290" s="15"/>
      <c r="C290" s="7"/>
    </row>
    <row r="291" spans="1:3">
      <c r="A291" s="15"/>
      <c r="B291" s="15"/>
      <c r="C291" s="7"/>
    </row>
    <row r="292" spans="1:3">
      <c r="A292" s="15"/>
      <c r="B292" s="15"/>
      <c r="C292" s="7"/>
    </row>
    <row r="293" spans="1:3">
      <c r="A293" s="12"/>
      <c r="B293" s="13"/>
      <c r="C293" s="8"/>
    </row>
    <row r="294" spans="1:3">
      <c r="A294" s="14"/>
      <c r="B294" s="14"/>
      <c r="C294" s="9"/>
    </row>
    <row r="295" spans="1:3">
      <c r="A295" s="15"/>
      <c r="B295" s="15"/>
      <c r="C295" s="7"/>
    </row>
    <row r="296" spans="1:3">
      <c r="A296" s="15"/>
      <c r="B296" s="15"/>
      <c r="C296" s="7"/>
    </row>
    <row r="297" spans="1:3">
      <c r="A297" s="15"/>
      <c r="B297" s="15"/>
      <c r="C297" s="7"/>
    </row>
    <row r="298" spans="1:3">
      <c r="A298" s="15"/>
      <c r="B298" s="15"/>
      <c r="C298" s="7"/>
    </row>
    <row r="299" spans="1:3">
      <c r="A299" s="15"/>
      <c r="B299" s="15"/>
      <c r="C299" s="7"/>
    </row>
    <row r="300" spans="1:3">
      <c r="A300" s="15"/>
      <c r="B300" s="15"/>
      <c r="C300" s="7"/>
    </row>
    <row r="301" spans="1:3">
      <c r="A301" s="15"/>
      <c r="B301" s="15"/>
      <c r="C301" s="7"/>
    </row>
    <row r="302" spans="1:3">
      <c r="A302" s="15"/>
      <c r="B302" s="15"/>
      <c r="C302" s="7"/>
    </row>
    <row r="303" spans="1:3">
      <c r="A303" s="15"/>
      <c r="B303" s="15"/>
      <c r="C303" s="7"/>
    </row>
    <row r="304" spans="1:3">
      <c r="A304" s="15"/>
      <c r="B304" s="15"/>
      <c r="C304" s="7"/>
    </row>
    <row r="305" spans="1:3">
      <c r="A305" s="15"/>
      <c r="B305" s="15"/>
      <c r="C305" s="7"/>
    </row>
    <row r="306" spans="1:3">
      <c r="A306" s="15"/>
      <c r="B306" s="15"/>
      <c r="C306" s="7"/>
    </row>
    <row r="307" spans="1:3">
      <c r="A307" s="15"/>
      <c r="B307" s="15"/>
      <c r="C307" s="7"/>
    </row>
  </sheetData>
  <conditionalFormatting sqref="F3">
    <cfRule type="duplicateValues" dxfId="93" priority="60"/>
  </conditionalFormatting>
  <conditionalFormatting sqref="C1:C17 C308:C1048576">
    <cfRule type="duplicateValues" dxfId="92" priority="59"/>
  </conditionalFormatting>
  <conditionalFormatting sqref="C18">
    <cfRule type="duplicateValues" dxfId="91" priority="58"/>
  </conditionalFormatting>
  <conditionalFormatting sqref="C19">
    <cfRule type="duplicateValues" dxfId="90" priority="57"/>
  </conditionalFormatting>
  <conditionalFormatting sqref="C35:C36">
    <cfRule type="duplicateValues" dxfId="89" priority="56"/>
  </conditionalFormatting>
  <conditionalFormatting sqref="C52">
    <cfRule type="duplicateValues" dxfId="88" priority="55"/>
  </conditionalFormatting>
  <conditionalFormatting sqref="C20:C34">
    <cfRule type="duplicateValues" dxfId="87" priority="50"/>
  </conditionalFormatting>
  <conditionalFormatting sqref="C37:C51">
    <cfRule type="duplicateValues" dxfId="86" priority="49"/>
  </conditionalFormatting>
  <conditionalFormatting sqref="C68">
    <cfRule type="duplicateValues" dxfId="85" priority="48"/>
  </conditionalFormatting>
  <conditionalFormatting sqref="C84">
    <cfRule type="duplicateValues" dxfId="84" priority="47"/>
  </conditionalFormatting>
  <conditionalFormatting sqref="C100">
    <cfRule type="duplicateValues" dxfId="83" priority="46"/>
  </conditionalFormatting>
  <conditionalFormatting sqref="C116">
    <cfRule type="duplicateValues" dxfId="82" priority="45"/>
  </conditionalFormatting>
  <conditionalFormatting sqref="C308:C1048576 C1:C131">
    <cfRule type="duplicateValues" dxfId="81" priority="44"/>
  </conditionalFormatting>
  <conditionalFormatting sqref="C132">
    <cfRule type="duplicateValues" dxfId="80" priority="43"/>
  </conditionalFormatting>
  <conditionalFormatting sqref="C206:C207">
    <cfRule type="duplicateValues" dxfId="79" priority="37"/>
  </conditionalFormatting>
  <conditionalFormatting sqref="C223:C224">
    <cfRule type="duplicateValues" dxfId="78" priority="36"/>
  </conditionalFormatting>
  <conditionalFormatting sqref="C148">
    <cfRule type="duplicateValues" dxfId="77" priority="35"/>
  </conditionalFormatting>
  <conditionalFormatting sqref="C196:C205">
    <cfRule type="duplicateValues" dxfId="76" priority="32"/>
  </conditionalFormatting>
  <conditionalFormatting sqref="C208:C222">
    <cfRule type="duplicateValues" dxfId="75" priority="31"/>
  </conditionalFormatting>
  <conditionalFormatting sqref="C225:C239">
    <cfRule type="duplicateValues" dxfId="74" priority="30"/>
  </conditionalFormatting>
  <conditionalFormatting sqref="C132 C148 C196:C239 C164 C180">
    <cfRule type="duplicateValues" dxfId="73" priority="29"/>
  </conditionalFormatting>
  <conditionalFormatting sqref="C240:C241">
    <cfRule type="duplicateValues" dxfId="72" priority="28"/>
  </conditionalFormatting>
  <conditionalFormatting sqref="C242:C256">
    <cfRule type="duplicateValues" dxfId="71" priority="27"/>
  </conditionalFormatting>
  <conditionalFormatting sqref="C240:C256">
    <cfRule type="duplicateValues" dxfId="70" priority="26"/>
  </conditionalFormatting>
  <conditionalFormatting sqref="C257:C258">
    <cfRule type="duplicateValues" dxfId="69" priority="25"/>
  </conditionalFormatting>
  <conditionalFormatting sqref="C259:C273">
    <cfRule type="duplicateValues" dxfId="68" priority="24"/>
  </conditionalFormatting>
  <conditionalFormatting sqref="C257:C273">
    <cfRule type="duplicateValues" dxfId="67" priority="23"/>
  </conditionalFormatting>
  <conditionalFormatting sqref="C274:C275">
    <cfRule type="duplicateValues" dxfId="66" priority="22"/>
  </conditionalFormatting>
  <conditionalFormatting sqref="C276:C290">
    <cfRule type="duplicateValues" dxfId="65" priority="21"/>
  </conditionalFormatting>
  <conditionalFormatting sqref="C274:C290">
    <cfRule type="duplicateValues" dxfId="64" priority="20"/>
  </conditionalFormatting>
  <conditionalFormatting sqref="C291:C292">
    <cfRule type="duplicateValues" dxfId="63" priority="19"/>
  </conditionalFormatting>
  <conditionalFormatting sqref="C293:C307">
    <cfRule type="duplicateValues" dxfId="62" priority="18"/>
  </conditionalFormatting>
  <conditionalFormatting sqref="C291:C307">
    <cfRule type="duplicateValues" dxfId="61" priority="17"/>
  </conditionalFormatting>
  <conditionalFormatting sqref="C1:C1048576">
    <cfRule type="duplicateValues" dxfId="60" priority="16"/>
  </conditionalFormatting>
  <conditionalFormatting sqref="C53:C67">
    <cfRule type="duplicateValues" dxfId="59" priority="15"/>
  </conditionalFormatting>
  <conditionalFormatting sqref="C69:C83">
    <cfRule type="duplicateValues" dxfId="58" priority="14"/>
  </conditionalFormatting>
  <conditionalFormatting sqref="C85:C99">
    <cfRule type="duplicateValues" dxfId="57" priority="13"/>
  </conditionalFormatting>
  <conditionalFormatting sqref="C101:C115">
    <cfRule type="duplicateValues" dxfId="56" priority="12"/>
  </conditionalFormatting>
  <conditionalFormatting sqref="C117:C131">
    <cfRule type="duplicateValues" dxfId="55" priority="11"/>
  </conditionalFormatting>
  <conditionalFormatting sqref="C133:C147">
    <cfRule type="duplicateValues" dxfId="54" priority="10"/>
  </conditionalFormatting>
  <conditionalFormatting sqref="C133:C147">
    <cfRule type="duplicateValues" dxfId="53" priority="9"/>
  </conditionalFormatting>
  <conditionalFormatting sqref="C149:C163">
    <cfRule type="duplicateValues" dxfId="52" priority="8"/>
  </conditionalFormatting>
  <conditionalFormatting sqref="C149:C163">
    <cfRule type="duplicateValues" dxfId="51" priority="7"/>
  </conditionalFormatting>
  <conditionalFormatting sqref="C164">
    <cfRule type="duplicateValues" dxfId="50" priority="6"/>
  </conditionalFormatting>
  <conditionalFormatting sqref="C165:C179">
    <cfRule type="duplicateValues" dxfId="49" priority="5"/>
  </conditionalFormatting>
  <conditionalFormatting sqref="C165:C179">
    <cfRule type="duplicateValues" dxfId="48" priority="4"/>
  </conditionalFormatting>
  <conditionalFormatting sqref="C180">
    <cfRule type="duplicateValues" dxfId="47" priority="3"/>
  </conditionalFormatting>
  <conditionalFormatting sqref="C181:C195">
    <cfRule type="duplicateValues" dxfId="46" priority="2"/>
  </conditionalFormatting>
  <conditionalFormatting sqref="C181:C195">
    <cfRule type="duplicateValues" dxfId="45" priority="1"/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4BEB9-2B2E-4985-AA11-765D1A5B20F5}">
  <sheetPr codeName="Arkusz49"/>
  <dimension ref="A1:C307"/>
  <sheetViews>
    <sheetView workbookViewId="0">
      <selection activeCell="E20" sqref="E20"/>
    </sheetView>
  </sheetViews>
  <sheetFormatPr defaultRowHeight="15"/>
  <cols>
    <col min="1" max="1" width="27.42578125" style="11" bestFit="1" customWidth="1"/>
    <col min="2" max="2" width="4.28515625" style="11" customWidth="1"/>
    <col min="3" max="3" width="47.42578125" customWidth="1"/>
  </cols>
  <sheetData>
    <row r="1" spans="1:3">
      <c r="A1" s="11" t="s">
        <v>2721</v>
      </c>
    </row>
    <row r="2" spans="1:3">
      <c r="A2" s="12" t="s">
        <v>2684</v>
      </c>
      <c r="B2" s="13"/>
      <c r="C2" s="8"/>
    </row>
    <row r="3" spans="1:3">
      <c r="A3" s="14" t="s">
        <v>2696</v>
      </c>
      <c r="B3" s="14">
        <f t="shared" ref="B3:B7" si="0">LEN(C3)-LEN(SUBSTITUTE(C3,",",""))+1</f>
        <v>1</v>
      </c>
      <c r="C3" s="9" t="str" cm="1">
        <f t="array" ref="C3">_xlfn.TEXTJOIN(", ",,_xlfn._xlws.FILTER(Tabela1[[#All],[NUMER SERYJNY]],((Tabela1[[#All],[NAZWA]]=$A3)*(Tabela1[[#All],[KOMENTARZ]]=$A2)),"----------"))</f>
        <v>E15751822100958</v>
      </c>
    </row>
    <row r="4" spans="1:3">
      <c r="A4" s="15" t="s">
        <v>2698</v>
      </c>
      <c r="B4" s="15">
        <f t="shared" si="0"/>
        <v>1</v>
      </c>
      <c r="C4" s="7" t="str" cm="1">
        <f t="array" ref="C4">_xlfn.TEXTJOIN(", ",,_xlfn._xlws.FILTER(Tabela1[[#All],[NUMER SERYJNY]],((Tabela1[[#All],[NAZWA]]=$A4)*(Tabela1[[#All],[KOMENTARZ]]=$A2)),"----------"))</f>
        <v>C8150LJ50P00464</v>
      </c>
    </row>
    <row r="5" spans="1:3">
      <c r="A5" s="15" t="s">
        <v>2700</v>
      </c>
      <c r="B5" s="15">
        <f t="shared" si="0"/>
        <v>2</v>
      </c>
      <c r="C5" s="7" t="str" cm="1">
        <f t="array" ref="C5">_xlfn.TEXTJOIN(", ",,_xlfn._xlws.FILTER(Tabela1[[#All],[NUMER SERYJNY]],((Tabela1[[#All],[NAZWA]]=$A5)*(Tabela1[[#All],[KOMENTARZ]]=$A2)),"----------"))</f>
        <v>P7061VK47MB1736, P7061VK47MB1737</v>
      </c>
    </row>
    <row r="6" spans="1:3">
      <c r="A6" s="15" t="s">
        <v>2703</v>
      </c>
      <c r="B6" s="15">
        <f t="shared" si="0"/>
        <v>1</v>
      </c>
      <c r="C6" s="7" t="str" cm="1">
        <f t="array" ref="C6">_xlfn.TEXTJOIN(", ",,_xlfn._xlws.FILTER(Tabela1[[#All],[NUMER SERYJNY]],((Tabela1[[#All],[NAZWA]]=$A6)*(Tabela1[[#All],[KOMENTARZ]]=$A2)),"----------"))</f>
        <v>EB203S011728</v>
      </c>
    </row>
    <row r="7" spans="1:3">
      <c r="A7" s="15" t="s">
        <v>2705</v>
      </c>
      <c r="B7" s="15">
        <f t="shared" si="0"/>
        <v>1</v>
      </c>
      <c r="C7" s="7" t="str" cm="1">
        <f t="array" ref="C7">_xlfn.TEXTJOIN(", ",,_xlfn._xlws.FILTER(Tabela1[[#All],[NUMER SERYJNY]],((Tabela1[[#All],[NAZWA]]=$A7)*(Tabela1[[#All],[KOMENTARZ]]=$A2)),"----------"))</f>
        <v>OM21BS048183</v>
      </c>
    </row>
    <row r="8" spans="1:3">
      <c r="A8" s="15" t="s">
        <v>773</v>
      </c>
      <c r="B8" s="15">
        <f>LEN(C8)-LEN(SUBSTITUTE(C8,",",""))+1</f>
        <v>1</v>
      </c>
      <c r="C8" s="7" t="str" cm="1">
        <f t="array" ref="C8">_xlfn.TEXTJOIN(", ",,_xlfn._xlws.FILTER(Tabela1[[#All],[NUMER SERYJNY]],((Tabela1[[#All],[NAZWA]]=$A8)*(Tabela1[[#All],[KOMENTARZ]]=$A2)),"----------"))</f>
        <v>VR215S040138</v>
      </c>
    </row>
    <row r="9" spans="1:3">
      <c r="A9" s="15" t="s">
        <v>2688</v>
      </c>
      <c r="B9" s="15">
        <f>LEN(C9)-LEN(SUBSTITUTE(C9,",",""))+1</f>
        <v>2</v>
      </c>
      <c r="C9" s="7" t="str" cm="1">
        <f t="array" ref="C9">_xlfn.TEXTJOIN(", ",,_xlfn._xlws.FILTER(Tabela1[[#All],[NUMER SERYJNY]],((Tabela1[[#All],[NAZWA]]=$A9)*(Tabela1[[#All],[KOMENTARZ]]=$A2)),"----------"))</f>
        <v>77UL035003277, 76FN655100272</v>
      </c>
    </row>
    <row r="10" spans="1:3">
      <c r="A10" s="15" t="s">
        <v>2144</v>
      </c>
      <c r="B10" s="15">
        <f t="shared" ref="B10:B16" si="1">LEN(C10)-LEN(SUBSTITUTE(C10,",",""))+1</f>
        <v>4</v>
      </c>
      <c r="C10" s="7" t="str" cm="1">
        <f t="array" ref="C10">_xlfn.TEXTJOIN(", ",,_xlfn._xlws.FILTER(Tabela1[[#All],[NUMER SERYJNY]],((Tabela1[[#All],[NAZWA]]=$A10)*(Tabela1[[#All],[KOMENTARZ]]=$A2)),"----------"))</f>
        <v>SNK673, SNK674, SNK675, SNK676</v>
      </c>
    </row>
    <row r="11" spans="1:3">
      <c r="A11" s="15"/>
      <c r="B11" s="15">
        <f t="shared" si="1"/>
        <v>1</v>
      </c>
      <c r="C11" s="7" t="str" cm="1">
        <f t="array" ref="C11">_xlfn.TEXTJOIN(", ",,_xlfn._xlws.FILTER(Tabela1[[#All],[NUMER SERYJNY]],((Tabela1[[#All],[NAZWA]]=$A11)*(Tabela1[[#All],[KOMENTARZ]]=$A2)),"----------"))</f>
        <v>----------</v>
      </c>
    </row>
    <row r="12" spans="1:3">
      <c r="A12" s="15"/>
      <c r="B12" s="15">
        <f t="shared" si="1"/>
        <v>1</v>
      </c>
      <c r="C12" s="7" t="str" cm="1">
        <f t="array" ref="C12">_xlfn.TEXTJOIN(", ",,_xlfn._xlws.FILTER(Tabela1[[#All],[NUMER SERYJNY]],((Tabela1[[#All],[NAZWA]]=$A12)*(Tabela1[[#All],[KOMENTARZ]]=$A2)),"----------"))</f>
        <v>----------</v>
      </c>
    </row>
    <row r="13" spans="1:3">
      <c r="A13" s="15"/>
      <c r="B13" s="15">
        <f t="shared" si="1"/>
        <v>1</v>
      </c>
      <c r="C13" s="7" t="str" cm="1">
        <f t="array" ref="C13">_xlfn.TEXTJOIN(", ",,_xlfn._xlws.FILTER(Tabela1[[#All],[NUMER SERYJNY]],((Tabela1[[#All],[NAZWA]]=$A13)*(Tabela1[[#All],[KOMENTARZ]]=$A2)),"----------"))</f>
        <v>----------</v>
      </c>
    </row>
    <row r="14" spans="1:3">
      <c r="A14" s="15"/>
      <c r="B14" s="15">
        <f t="shared" si="1"/>
        <v>1</v>
      </c>
      <c r="C14" s="7" t="str" cm="1">
        <f t="array" ref="C14">_xlfn.TEXTJOIN(", ",,_xlfn._xlws.FILTER(Tabela1[[#All],[NUMER SERYJNY]],((Tabela1[[#All],[NAZWA]]=$A14)*(Tabela1[[#All],[KOMENTARZ]]=$A2)),"----------"))</f>
        <v>----------</v>
      </c>
    </row>
    <row r="15" spans="1:3">
      <c r="A15" s="15"/>
      <c r="B15" s="15">
        <f t="shared" si="1"/>
        <v>1</v>
      </c>
      <c r="C15" s="7" t="str" cm="1">
        <f t="array" ref="C15">_xlfn.TEXTJOIN(", ",,_xlfn._xlws.FILTER(Tabela1[[#All],[NUMER SERYJNY]],((Tabela1[[#All],[NAZWA]]=$A15)*(Tabela1[[#All],[KOMENTARZ]]=$A2)),"----------"))</f>
        <v>----------</v>
      </c>
    </row>
    <row r="16" spans="1:3">
      <c r="A16" s="15"/>
      <c r="B16" s="15">
        <f t="shared" si="1"/>
        <v>1</v>
      </c>
      <c r="C16" s="7" t="str" cm="1">
        <f t="array" ref="C16">_xlfn.TEXTJOIN(", ",,_xlfn._xlws.FILTER(Tabela1[[#All],[NUMER SERYJNY]],((Tabela1[[#All],[NAZWA]]=$A16)*(Tabela1[[#All],[KOMENTARZ]]=$A2)),"----------"))</f>
        <v>----------</v>
      </c>
    </row>
    <row r="17" spans="1:3" ht="18.75">
      <c r="A17" s="16"/>
      <c r="B17" s="16"/>
      <c r="C17" s="10"/>
    </row>
    <row r="18" spans="1:3">
      <c r="A18" s="12"/>
      <c r="B18" s="13"/>
      <c r="C18" s="8"/>
    </row>
    <row r="19" spans="1:3">
      <c r="A19" s="14"/>
      <c r="B19" s="14"/>
      <c r="C19" s="9"/>
    </row>
    <row r="20" spans="1:3">
      <c r="A20" s="12" t="s">
        <v>2679</v>
      </c>
      <c r="B20" s="13"/>
      <c r="C20" s="8"/>
    </row>
    <row r="21" spans="1:3">
      <c r="A21" s="14" t="s">
        <v>2696</v>
      </c>
      <c r="B21" s="14">
        <f t="shared" ref="B21:B25" si="2">LEN(C21)-LEN(SUBSTITUTE(C21,",",""))+1</f>
        <v>1</v>
      </c>
      <c r="C21" s="9" t="str" cm="1">
        <f t="array" ref="C21">_xlfn.TEXTJOIN(", ",,_xlfn._xlws.FILTER(Tabela1[[#All],[NUMER SERYJNY]],((Tabela1[[#All],[NAZWA]]=$A21)*(Tabela1[[#All],[KOMENTARZ]]=$A20)),"----------"))</f>
        <v>E15751822100957</v>
      </c>
    </row>
    <row r="22" spans="1:3">
      <c r="A22" s="15" t="s">
        <v>2698</v>
      </c>
      <c r="B22" s="15">
        <f t="shared" si="2"/>
        <v>1</v>
      </c>
      <c r="C22" s="7" t="str" cm="1">
        <f t="array" ref="C22">_xlfn.TEXTJOIN(", ",,_xlfn._xlws.FILTER(Tabela1[[#All],[NUMER SERYJNY]],((Tabela1[[#All],[NAZWA]]=$A22)*(Tabela1[[#All],[KOMENTARZ]]=$A20)),"----------"))</f>
        <v>C8150LJ50P00466</v>
      </c>
    </row>
    <row r="23" spans="1:3">
      <c r="A23" s="15" t="s">
        <v>2700</v>
      </c>
      <c r="B23" s="15">
        <f t="shared" si="2"/>
        <v>2</v>
      </c>
      <c r="C23" s="7" t="str" cm="1">
        <f t="array" ref="C23">_xlfn.TEXTJOIN(", ",,_xlfn._xlws.FILTER(Tabela1[[#All],[NUMER SERYJNY]],((Tabela1[[#All],[NAZWA]]=$A23)*(Tabela1[[#All],[KOMENTARZ]]=$A20)),"----------"))</f>
        <v>P7061VK47MB1721, P7061VK47MB1722</v>
      </c>
    </row>
    <row r="24" spans="1:3">
      <c r="A24" s="15" t="s">
        <v>2703</v>
      </c>
      <c r="B24" s="15">
        <f t="shared" si="2"/>
        <v>1</v>
      </c>
      <c r="C24" s="7" t="str" cm="1">
        <f t="array" ref="C24">_xlfn.TEXTJOIN(", ",,_xlfn._xlws.FILTER(Tabela1[[#All],[NUMER SERYJNY]],((Tabela1[[#All],[NAZWA]]=$A24)*(Tabela1[[#All],[KOMENTARZ]]=$A20)),"----------"))</f>
        <v>EB203S011729</v>
      </c>
    </row>
    <row r="25" spans="1:3">
      <c r="A25" s="15" t="s">
        <v>2705</v>
      </c>
      <c r="B25" s="15">
        <f t="shared" si="2"/>
        <v>1</v>
      </c>
      <c r="C25" s="7" t="str" cm="1">
        <f t="array" ref="C25">_xlfn.TEXTJOIN(", ",,_xlfn._xlws.FILTER(Tabela1[[#All],[NUMER SERYJNY]],((Tabela1[[#All],[NAZWA]]=$A25)*(Tabela1[[#All],[KOMENTARZ]]=$A20)),"----------"))</f>
        <v>OM21BS048165</v>
      </c>
    </row>
    <row r="26" spans="1:3">
      <c r="A26" s="15" t="s">
        <v>773</v>
      </c>
      <c r="B26" s="15">
        <f>LEN(C26)-LEN(SUBSTITUTE(C26,",",""))+1</f>
        <v>1</v>
      </c>
      <c r="C26" s="7" t="str" cm="1">
        <f t="array" ref="C26">_xlfn.TEXTJOIN(", ",,_xlfn._xlws.FILTER(Tabela1[[#All],[NUMER SERYJNY]],((Tabela1[[#All],[NAZWA]]=$A26)*(Tabela1[[#All],[KOMENTARZ]]=$A20)),"----------"))</f>
        <v>VR215S040140</v>
      </c>
    </row>
    <row r="27" spans="1:3">
      <c r="A27" s="15" t="s">
        <v>2688</v>
      </c>
      <c r="B27" s="15">
        <f>LEN(C27)-LEN(SUBSTITUTE(C27,",",""))+1</f>
        <v>2</v>
      </c>
      <c r="C27" s="7" t="str" cm="1">
        <f t="array" ref="C27">_xlfn.TEXTJOIN(", ",,_xlfn._xlws.FILTER(Tabela1[[#All],[NUMER SERYJNY]],((Tabela1[[#All],[NAZWA]]=$A27)*(Tabela1[[#All],[KOMENTARZ]]=$A20)),"----------"))</f>
        <v>771W60G800170, 76YU684500482</v>
      </c>
    </row>
    <row r="28" spans="1:3">
      <c r="A28" s="15" t="s">
        <v>2144</v>
      </c>
      <c r="B28" s="15">
        <f t="shared" ref="B28:B34" si="3">LEN(C28)-LEN(SUBSTITUTE(C28,",",""))+1</f>
        <v>4</v>
      </c>
      <c r="C28" s="7" t="str" cm="1">
        <f t="array" ref="C28">_xlfn.TEXTJOIN(", ",,_xlfn._xlws.FILTER(Tabela1[[#All],[NUMER SERYJNY]],((Tabela1[[#All],[NAZWA]]=$A28)*(Tabela1[[#All],[KOMENTARZ]]=$A20)),"----------"))</f>
        <v>SNK669, SNK670, SNK671, SNK672</v>
      </c>
    </row>
    <row r="29" spans="1:3">
      <c r="A29" s="15"/>
      <c r="B29" s="15">
        <f t="shared" si="3"/>
        <v>1</v>
      </c>
      <c r="C29" s="7" t="str" cm="1">
        <f t="array" ref="C29">_xlfn.TEXTJOIN(", ",,_xlfn._xlws.FILTER(Tabela1[[#All],[NUMER SERYJNY]],((Tabela1[[#All],[NAZWA]]=$A29)*(Tabela1[[#All],[KOMENTARZ]]=$A20)),"----------"))</f>
        <v>----------</v>
      </c>
    </row>
    <row r="30" spans="1:3">
      <c r="A30" s="15"/>
      <c r="B30" s="15">
        <f t="shared" si="3"/>
        <v>1</v>
      </c>
      <c r="C30" s="7" t="str" cm="1">
        <f t="array" ref="C30">_xlfn.TEXTJOIN(", ",,_xlfn._xlws.FILTER(Tabela1[[#All],[NUMER SERYJNY]],((Tabela1[[#All],[NAZWA]]=$A30)*(Tabela1[[#All],[KOMENTARZ]]=$A20)),"----------"))</f>
        <v>----------</v>
      </c>
    </row>
    <row r="31" spans="1:3">
      <c r="A31" s="15"/>
      <c r="B31" s="15">
        <f t="shared" si="3"/>
        <v>1</v>
      </c>
      <c r="C31" s="7" t="str" cm="1">
        <f t="array" ref="C31">_xlfn.TEXTJOIN(", ",,_xlfn._xlws.FILTER(Tabela1[[#All],[NUMER SERYJNY]],((Tabela1[[#All],[NAZWA]]=$A31)*(Tabela1[[#All],[KOMENTARZ]]=$A20)),"----------"))</f>
        <v>----------</v>
      </c>
    </row>
    <row r="32" spans="1:3">
      <c r="A32" s="15"/>
      <c r="B32" s="15">
        <f t="shared" si="3"/>
        <v>1</v>
      </c>
      <c r="C32" s="7" t="str" cm="1">
        <f t="array" ref="C32">_xlfn.TEXTJOIN(", ",,_xlfn._xlws.FILTER(Tabela1[[#All],[NUMER SERYJNY]],((Tabela1[[#All],[NAZWA]]=$A32)*(Tabela1[[#All],[KOMENTARZ]]=$A20)),"----------"))</f>
        <v>----------</v>
      </c>
    </row>
    <row r="33" spans="1:3">
      <c r="A33" s="15"/>
      <c r="B33" s="15">
        <f t="shared" si="3"/>
        <v>1</v>
      </c>
      <c r="C33" s="7" t="str" cm="1">
        <f t="array" ref="C33">_xlfn.TEXTJOIN(", ",,_xlfn._xlws.FILTER(Tabela1[[#All],[NUMER SERYJNY]],((Tabela1[[#All],[NAZWA]]=$A33)*(Tabela1[[#All],[KOMENTARZ]]=$A20)),"----------"))</f>
        <v>----------</v>
      </c>
    </row>
    <row r="34" spans="1:3">
      <c r="A34" s="15"/>
      <c r="B34" s="15">
        <f t="shared" si="3"/>
        <v>1</v>
      </c>
      <c r="C34" s="7" t="str" cm="1">
        <f t="array" ref="C34">_xlfn.TEXTJOIN(", ",,_xlfn._xlws.FILTER(Tabela1[[#All],[NUMER SERYJNY]],((Tabela1[[#All],[NAZWA]]=$A34)*(Tabela1[[#All],[KOMENTARZ]]=$A20)),"----------"))</f>
        <v>----------</v>
      </c>
    </row>
    <row r="35" spans="1:3">
      <c r="A35" s="14"/>
      <c r="B35" s="14"/>
      <c r="C35" s="9"/>
    </row>
    <row r="36" spans="1:3">
      <c r="A36" s="15"/>
      <c r="B36" s="15"/>
      <c r="C36" s="7"/>
    </row>
    <row r="37" spans="1:3">
      <c r="A37" s="12" t="s">
        <v>2674</v>
      </c>
      <c r="B37" s="13"/>
      <c r="C37" s="8"/>
    </row>
    <row r="38" spans="1:3">
      <c r="A38" s="14" t="s">
        <v>2696</v>
      </c>
      <c r="B38" s="14">
        <f t="shared" ref="B38:B42" si="4">LEN(C38)-LEN(SUBSTITUTE(C38,",",""))+1</f>
        <v>1</v>
      </c>
      <c r="C38" s="9" t="str" cm="1">
        <f t="array" ref="C38">_xlfn.TEXTJOIN(", ",,_xlfn._xlws.FILTER(Tabela1[[#All],[NUMER SERYJNY]],((Tabela1[[#All],[NAZWA]]=$A38)*(Tabela1[[#All],[KOMENTARZ]]=$A37)),"----------"))</f>
        <v>E15751822100956</v>
      </c>
    </row>
    <row r="39" spans="1:3">
      <c r="A39" s="15" t="s">
        <v>2698</v>
      </c>
      <c r="B39" s="15">
        <f t="shared" si="4"/>
        <v>1</v>
      </c>
      <c r="C39" s="7" t="str" cm="1">
        <f t="array" ref="C39">_xlfn.TEXTJOIN(", ",,_xlfn._xlws.FILTER(Tabela1[[#All],[NUMER SERYJNY]],((Tabela1[[#All],[NAZWA]]=$A39)*(Tabela1[[#All],[KOMENTARZ]]=$A37)),"----------"))</f>
        <v>C8150LJ50P00458</v>
      </c>
    </row>
    <row r="40" spans="1:3">
      <c r="A40" s="15" t="s">
        <v>2700</v>
      </c>
      <c r="B40" s="15">
        <f t="shared" si="4"/>
        <v>2</v>
      </c>
      <c r="C40" s="7" t="str" cm="1">
        <f t="array" ref="C40">_xlfn.TEXTJOIN(", ",,_xlfn._xlws.FILTER(Tabela1[[#All],[NUMER SERYJNY]],((Tabela1[[#All],[NAZWA]]=$A40)*(Tabela1[[#All],[KOMENTARZ]]=$A37)),"----------"))</f>
        <v>P7061VK47MB0801, P7061VK47MB0802</v>
      </c>
    </row>
    <row r="41" spans="1:3">
      <c r="A41" s="15" t="s">
        <v>2703</v>
      </c>
      <c r="B41" s="15">
        <f t="shared" si="4"/>
        <v>1</v>
      </c>
      <c r="C41" s="7" t="str" cm="1">
        <f t="array" ref="C41">_xlfn.TEXTJOIN(", ",,_xlfn._xlws.FILTER(Tabela1[[#All],[NUMER SERYJNY]],((Tabela1[[#All],[NAZWA]]=$A41)*(Tabela1[[#All],[KOMENTARZ]]=$A37)),"----------"))</f>
        <v>EB203S011730</v>
      </c>
    </row>
    <row r="42" spans="1:3">
      <c r="A42" s="15" t="s">
        <v>2705</v>
      </c>
      <c r="B42" s="15">
        <f t="shared" si="4"/>
        <v>1</v>
      </c>
      <c r="C42" s="7" t="str" cm="1">
        <f t="array" ref="C42">_xlfn.TEXTJOIN(", ",,_xlfn._xlws.FILTER(Tabela1[[#All],[NUMER SERYJNY]],((Tabela1[[#All],[NAZWA]]=$A42)*(Tabela1[[#All],[KOMENTARZ]]=$A37)),"----------"))</f>
        <v>OM21BS048164</v>
      </c>
    </row>
    <row r="43" spans="1:3">
      <c r="A43" s="15" t="s">
        <v>773</v>
      </c>
      <c r="B43" s="15">
        <f>LEN(C43)-LEN(SUBSTITUTE(C43,",",""))+1</f>
        <v>1</v>
      </c>
      <c r="C43" s="7" t="str" cm="1">
        <f t="array" ref="C43">_xlfn.TEXTJOIN(", ",,_xlfn._xlws.FILTER(Tabela1[[#All],[NUMER SERYJNY]],((Tabela1[[#All],[NAZWA]]=$A43)*(Tabela1[[#All],[KOMENTARZ]]=$A37)),"----------"))</f>
        <v>VR215S040139</v>
      </c>
    </row>
    <row r="44" spans="1:3">
      <c r="A44" s="15" t="s">
        <v>2688</v>
      </c>
      <c r="B44" s="15">
        <f>LEN(C44)-LEN(SUBSTITUTE(C44,",",""))+1</f>
        <v>2</v>
      </c>
      <c r="C44" s="7" t="str" cm="1">
        <f t="array" ref="C44">_xlfn.TEXTJOIN(", ",,_xlfn._xlws.FILTER(Tabela1[[#All],[NUMER SERYJNY]],((Tabela1[[#All],[NAZWA]]=$A44)*(Tabela1[[#All],[KOMENTARZ]]=$A37)),"----------"))</f>
        <v>76YE876001730, 76FN655100336</v>
      </c>
    </row>
    <row r="45" spans="1:3">
      <c r="A45" s="15" t="s">
        <v>2144</v>
      </c>
      <c r="B45" s="15">
        <f t="shared" ref="B45:B51" si="5">LEN(C45)-LEN(SUBSTITUTE(C45,",",""))+1</f>
        <v>4</v>
      </c>
      <c r="C45" s="7" t="str" cm="1">
        <f t="array" ref="C45">_xlfn.TEXTJOIN(", ",,_xlfn._xlws.FILTER(Tabela1[[#All],[NUMER SERYJNY]],((Tabela1[[#All],[NAZWA]]=$A45)*(Tabela1[[#All],[KOMENTARZ]]=$A37)),"----------"))</f>
        <v>SNK665, SNK666, SNK667, SNK668</v>
      </c>
    </row>
    <row r="46" spans="1:3">
      <c r="A46" s="15"/>
      <c r="B46" s="15">
        <f t="shared" si="5"/>
        <v>1</v>
      </c>
      <c r="C46" s="7" t="str" cm="1">
        <f t="array" ref="C46">_xlfn.TEXTJOIN(", ",,_xlfn._xlws.FILTER(Tabela1[[#All],[NUMER SERYJNY]],((Tabela1[[#All],[NAZWA]]=$A46)*(Tabela1[[#All],[KOMENTARZ]]=$A37)),"----------"))</f>
        <v>----------</v>
      </c>
    </row>
    <row r="47" spans="1:3">
      <c r="A47" s="15"/>
      <c r="B47" s="15">
        <f t="shared" si="5"/>
        <v>1</v>
      </c>
      <c r="C47" s="7" t="str" cm="1">
        <f t="array" ref="C47">_xlfn.TEXTJOIN(", ",,_xlfn._xlws.FILTER(Tabela1[[#All],[NUMER SERYJNY]],((Tabela1[[#All],[NAZWA]]=$A47)*(Tabela1[[#All],[KOMENTARZ]]=$A37)),"----------"))</f>
        <v>----------</v>
      </c>
    </row>
    <row r="48" spans="1:3">
      <c r="A48" s="15"/>
      <c r="B48" s="15">
        <f t="shared" si="5"/>
        <v>1</v>
      </c>
      <c r="C48" s="7" t="str" cm="1">
        <f t="array" ref="C48">_xlfn.TEXTJOIN(", ",,_xlfn._xlws.FILTER(Tabela1[[#All],[NUMER SERYJNY]],((Tabela1[[#All],[NAZWA]]=$A48)*(Tabela1[[#All],[KOMENTARZ]]=$A37)),"----------"))</f>
        <v>----------</v>
      </c>
    </row>
    <row r="49" spans="1:3">
      <c r="A49" s="15"/>
      <c r="B49" s="15">
        <f t="shared" si="5"/>
        <v>1</v>
      </c>
      <c r="C49" s="7" t="str" cm="1">
        <f t="array" ref="C49">_xlfn.TEXTJOIN(", ",,_xlfn._xlws.FILTER(Tabela1[[#All],[NUMER SERYJNY]],((Tabela1[[#All],[NAZWA]]=$A49)*(Tabela1[[#All],[KOMENTARZ]]=$A37)),"----------"))</f>
        <v>----------</v>
      </c>
    </row>
    <row r="50" spans="1:3">
      <c r="A50" s="15"/>
      <c r="B50" s="15">
        <f t="shared" si="5"/>
        <v>1</v>
      </c>
      <c r="C50" s="7" t="str" cm="1">
        <f t="array" ref="C50">_xlfn.TEXTJOIN(", ",,_xlfn._xlws.FILTER(Tabela1[[#All],[NUMER SERYJNY]],((Tabela1[[#All],[NAZWA]]=$A50)*(Tabela1[[#All],[KOMENTARZ]]=$A37)),"----------"))</f>
        <v>----------</v>
      </c>
    </row>
    <row r="51" spans="1:3">
      <c r="A51" s="15"/>
      <c r="B51" s="15">
        <f t="shared" si="5"/>
        <v>1</v>
      </c>
      <c r="C51" s="7" t="str" cm="1">
        <f t="array" ref="C51">_xlfn.TEXTJOIN(", ",,_xlfn._xlws.FILTER(Tabela1[[#All],[NUMER SERYJNY]],((Tabela1[[#All],[NAZWA]]=$A51)*(Tabela1[[#All],[KOMENTARZ]]=$A37)),"----------"))</f>
        <v>----------</v>
      </c>
    </row>
    <row r="52" spans="1:3">
      <c r="A52" s="15"/>
      <c r="B52" s="15"/>
      <c r="C52" s="7"/>
    </row>
    <row r="53" spans="1:3">
      <c r="A53" s="15"/>
      <c r="B53" s="15"/>
      <c r="C53" s="7"/>
    </row>
    <row r="54" spans="1:3">
      <c r="A54" s="12"/>
      <c r="B54" s="13"/>
      <c r="C54" s="8"/>
    </row>
    <row r="55" spans="1:3">
      <c r="A55" s="14"/>
      <c r="B55" s="14"/>
      <c r="C55" s="9"/>
    </row>
    <row r="56" spans="1:3">
      <c r="A56" s="15"/>
      <c r="B56" s="15"/>
      <c r="C56" s="7"/>
    </row>
    <row r="57" spans="1:3">
      <c r="A57" s="15"/>
      <c r="B57" s="15"/>
      <c r="C57" s="7"/>
    </row>
    <row r="58" spans="1:3">
      <c r="A58" s="15"/>
      <c r="B58" s="15"/>
      <c r="C58" s="7"/>
    </row>
    <row r="59" spans="1:3">
      <c r="A59" s="15"/>
      <c r="B59" s="15"/>
      <c r="C59" s="7"/>
    </row>
    <row r="60" spans="1:3">
      <c r="A60" s="15"/>
      <c r="B60" s="15"/>
      <c r="C60" s="7"/>
    </row>
    <row r="61" spans="1:3">
      <c r="A61" s="15"/>
      <c r="B61" s="15"/>
      <c r="C61" s="7"/>
    </row>
    <row r="62" spans="1:3">
      <c r="A62" s="15"/>
      <c r="B62" s="15"/>
      <c r="C62" s="7"/>
    </row>
    <row r="63" spans="1:3">
      <c r="A63" s="15"/>
      <c r="B63" s="15"/>
      <c r="C63" s="7"/>
    </row>
    <row r="64" spans="1:3">
      <c r="A64" s="15"/>
      <c r="B64" s="15"/>
      <c r="C64" s="7"/>
    </row>
    <row r="65" spans="1:3">
      <c r="A65" s="15"/>
      <c r="B65" s="15"/>
      <c r="C65" s="7"/>
    </row>
    <row r="66" spans="1:3">
      <c r="A66" s="15"/>
      <c r="B66" s="15"/>
      <c r="C66" s="7"/>
    </row>
    <row r="67" spans="1:3">
      <c r="A67" s="15"/>
      <c r="B67" s="15"/>
      <c r="C67" s="7"/>
    </row>
    <row r="68" spans="1:3">
      <c r="A68" s="15"/>
      <c r="B68" s="15"/>
      <c r="C68" s="7"/>
    </row>
    <row r="69" spans="1:3">
      <c r="A69" s="15"/>
      <c r="B69" s="15"/>
      <c r="C69" s="7"/>
    </row>
    <row r="70" spans="1:3">
      <c r="A70" s="15"/>
      <c r="B70" s="15"/>
      <c r="C70" s="7"/>
    </row>
    <row r="71" spans="1:3">
      <c r="A71" s="12"/>
      <c r="B71" s="13"/>
      <c r="C71" s="8"/>
    </row>
    <row r="72" spans="1:3">
      <c r="A72" s="14"/>
      <c r="B72" s="14"/>
      <c r="C72" s="9"/>
    </row>
    <row r="73" spans="1:3">
      <c r="A73" s="15"/>
      <c r="B73" s="15"/>
      <c r="C73" s="7"/>
    </row>
    <row r="74" spans="1:3">
      <c r="A74" s="15"/>
      <c r="B74" s="15"/>
      <c r="C74" s="7"/>
    </row>
    <row r="75" spans="1:3">
      <c r="A75" s="15"/>
      <c r="B75" s="15"/>
      <c r="C75" s="7"/>
    </row>
    <row r="76" spans="1:3">
      <c r="A76" s="15"/>
      <c r="B76" s="15"/>
      <c r="C76" s="7"/>
    </row>
    <row r="77" spans="1:3">
      <c r="A77" s="15"/>
      <c r="B77" s="15"/>
      <c r="C77" s="7"/>
    </row>
    <row r="78" spans="1:3">
      <c r="A78" s="15"/>
      <c r="B78" s="15"/>
      <c r="C78" s="7"/>
    </row>
    <row r="79" spans="1:3">
      <c r="A79" s="15"/>
      <c r="B79" s="15"/>
      <c r="C79" s="7"/>
    </row>
    <row r="80" spans="1:3">
      <c r="A80" s="15"/>
      <c r="B80" s="15"/>
      <c r="C80" s="7"/>
    </row>
    <row r="81" spans="1:3">
      <c r="A81" s="15"/>
      <c r="B81" s="15"/>
      <c r="C81" s="7"/>
    </row>
    <row r="82" spans="1:3">
      <c r="A82" s="15"/>
      <c r="B82" s="15"/>
      <c r="C82" s="7"/>
    </row>
    <row r="83" spans="1:3">
      <c r="A83" s="15"/>
      <c r="B83" s="15"/>
      <c r="C83" s="7"/>
    </row>
    <row r="84" spans="1:3">
      <c r="A84" s="15"/>
      <c r="B84" s="15"/>
      <c r="C84" s="7"/>
    </row>
    <row r="85" spans="1:3">
      <c r="A85" s="15"/>
      <c r="B85" s="15"/>
      <c r="C85" s="7"/>
    </row>
    <row r="86" spans="1:3">
      <c r="A86" s="15"/>
      <c r="B86" s="15"/>
      <c r="C86" s="7"/>
    </row>
    <row r="87" spans="1:3">
      <c r="A87" s="15"/>
      <c r="B87" s="15"/>
      <c r="C87" s="7"/>
    </row>
    <row r="88" spans="1:3">
      <c r="A88" s="12"/>
      <c r="B88" s="13"/>
      <c r="C88" s="8"/>
    </row>
    <row r="89" spans="1:3">
      <c r="A89" s="14"/>
      <c r="B89" s="14"/>
      <c r="C89" s="9"/>
    </row>
    <row r="90" spans="1:3">
      <c r="A90" s="15"/>
      <c r="B90" s="15"/>
      <c r="C90" s="7"/>
    </row>
    <row r="91" spans="1:3">
      <c r="A91" s="15"/>
      <c r="B91" s="15"/>
      <c r="C91" s="7"/>
    </row>
    <row r="92" spans="1:3">
      <c r="A92" s="15"/>
      <c r="B92" s="15"/>
      <c r="C92" s="7"/>
    </row>
    <row r="93" spans="1:3">
      <c r="A93" s="15"/>
      <c r="B93" s="15"/>
      <c r="C93" s="7"/>
    </row>
    <row r="94" spans="1:3">
      <c r="A94" s="15"/>
      <c r="B94" s="15"/>
      <c r="C94" s="7"/>
    </row>
    <row r="95" spans="1:3">
      <c r="A95" s="15"/>
      <c r="B95" s="15"/>
      <c r="C95" s="7"/>
    </row>
    <row r="96" spans="1:3">
      <c r="A96" s="15"/>
      <c r="B96" s="15"/>
      <c r="C96" s="7"/>
    </row>
    <row r="97" spans="1:3">
      <c r="A97" s="15"/>
      <c r="B97" s="15"/>
      <c r="C97" s="7"/>
    </row>
    <row r="98" spans="1:3">
      <c r="A98" s="15"/>
      <c r="B98" s="15"/>
      <c r="C98" s="7"/>
    </row>
    <row r="99" spans="1:3">
      <c r="A99" s="15"/>
      <c r="B99" s="15"/>
      <c r="C99" s="7"/>
    </row>
    <row r="100" spans="1:3">
      <c r="A100" s="15"/>
      <c r="B100" s="15"/>
      <c r="C100" s="7"/>
    </row>
    <row r="101" spans="1:3">
      <c r="A101" s="15"/>
      <c r="B101" s="15"/>
      <c r="C101" s="7"/>
    </row>
    <row r="102" spans="1:3">
      <c r="A102" s="15"/>
      <c r="B102" s="15"/>
      <c r="C102" s="7"/>
    </row>
    <row r="103" spans="1:3">
      <c r="A103" s="15"/>
      <c r="B103" s="15"/>
      <c r="C103" s="7"/>
    </row>
    <row r="104" spans="1:3">
      <c r="A104" s="15"/>
      <c r="B104" s="15"/>
      <c r="C104" s="7"/>
    </row>
    <row r="105" spans="1:3">
      <c r="A105" s="12"/>
      <c r="B105" s="13"/>
      <c r="C105" s="8"/>
    </row>
    <row r="106" spans="1:3">
      <c r="A106" s="14"/>
      <c r="B106" s="14"/>
      <c r="C106" s="9"/>
    </row>
    <row r="107" spans="1:3">
      <c r="A107" s="15"/>
      <c r="B107" s="15"/>
      <c r="C107" s="7"/>
    </row>
    <row r="108" spans="1:3">
      <c r="A108" s="15"/>
      <c r="B108" s="15"/>
      <c r="C108" s="7"/>
    </row>
    <row r="109" spans="1:3">
      <c r="A109" s="15"/>
      <c r="B109" s="15"/>
      <c r="C109" s="7"/>
    </row>
    <row r="110" spans="1:3">
      <c r="A110" s="15"/>
      <c r="B110" s="15"/>
      <c r="C110" s="7"/>
    </row>
    <row r="111" spans="1:3">
      <c r="A111" s="15"/>
      <c r="B111" s="15"/>
      <c r="C111" s="7"/>
    </row>
    <row r="112" spans="1:3">
      <c r="A112" s="15"/>
      <c r="B112" s="15"/>
      <c r="C112" s="7"/>
    </row>
    <row r="113" spans="1:3">
      <c r="A113" s="15"/>
      <c r="B113" s="15"/>
      <c r="C113" s="7"/>
    </row>
    <row r="114" spans="1:3">
      <c r="A114" s="15"/>
      <c r="B114" s="15"/>
      <c r="C114" s="7"/>
    </row>
    <row r="115" spans="1:3">
      <c r="A115" s="15"/>
      <c r="B115" s="15"/>
      <c r="C115" s="7"/>
    </row>
    <row r="116" spans="1:3">
      <c r="A116" s="15"/>
      <c r="B116" s="15"/>
      <c r="C116" s="7"/>
    </row>
    <row r="117" spans="1:3">
      <c r="A117" s="15"/>
      <c r="B117" s="15"/>
      <c r="C117" s="7"/>
    </row>
    <row r="118" spans="1:3">
      <c r="A118" s="15"/>
      <c r="B118" s="15"/>
      <c r="C118" s="7"/>
    </row>
    <row r="119" spans="1:3">
      <c r="A119" s="15"/>
      <c r="B119" s="15"/>
      <c r="C119" s="7"/>
    </row>
    <row r="120" spans="1:3">
      <c r="A120" s="15"/>
      <c r="B120" s="15"/>
      <c r="C120" s="7"/>
    </row>
    <row r="121" spans="1:3">
      <c r="A121" s="15"/>
      <c r="B121" s="15"/>
      <c r="C121" s="7"/>
    </row>
    <row r="122" spans="1:3">
      <c r="A122" s="12"/>
      <c r="B122" s="13"/>
      <c r="C122" s="8"/>
    </row>
    <row r="123" spans="1:3">
      <c r="A123" s="14"/>
      <c r="B123" s="14"/>
      <c r="C123" s="9"/>
    </row>
    <row r="124" spans="1:3">
      <c r="A124" s="15"/>
      <c r="B124" s="15"/>
      <c r="C124" s="7"/>
    </row>
    <row r="125" spans="1:3">
      <c r="A125" s="15"/>
      <c r="B125" s="15"/>
      <c r="C125" s="7"/>
    </row>
    <row r="126" spans="1:3">
      <c r="A126" s="15"/>
      <c r="B126" s="15"/>
      <c r="C126" s="7"/>
    </row>
    <row r="127" spans="1:3">
      <c r="A127" s="15"/>
      <c r="B127" s="15"/>
      <c r="C127" s="7"/>
    </row>
    <row r="128" spans="1:3">
      <c r="A128" s="15"/>
      <c r="B128" s="15"/>
      <c r="C128" s="7"/>
    </row>
    <row r="129" spans="1:3">
      <c r="A129" s="15"/>
      <c r="B129" s="15"/>
      <c r="C129" s="7"/>
    </row>
    <row r="130" spans="1:3">
      <c r="A130" s="15"/>
      <c r="B130" s="15"/>
      <c r="C130" s="7"/>
    </row>
    <row r="131" spans="1:3">
      <c r="A131" s="15"/>
      <c r="B131" s="15"/>
      <c r="C131" s="7"/>
    </row>
    <row r="132" spans="1:3">
      <c r="A132" s="15"/>
      <c r="B132" s="15"/>
      <c r="C132" s="7"/>
    </row>
    <row r="133" spans="1:3">
      <c r="A133" s="15"/>
      <c r="B133" s="15"/>
      <c r="C133" s="7"/>
    </row>
    <row r="134" spans="1:3">
      <c r="A134" s="15"/>
      <c r="B134" s="15"/>
      <c r="C134" s="7"/>
    </row>
    <row r="135" spans="1:3">
      <c r="A135" s="15"/>
      <c r="B135" s="15"/>
      <c r="C135" s="7"/>
    </row>
    <row r="136" spans="1:3">
      <c r="A136" s="15"/>
      <c r="B136" s="15"/>
      <c r="C136" s="7"/>
    </row>
    <row r="137" spans="1:3" ht="18.75">
      <c r="A137" s="16"/>
      <c r="B137" s="16"/>
      <c r="C137" s="10"/>
    </row>
    <row r="138" spans="1:3">
      <c r="A138" s="12"/>
      <c r="B138" s="13"/>
      <c r="C138" s="8"/>
    </row>
    <row r="139" spans="1:3">
      <c r="A139" s="14"/>
      <c r="B139" s="14"/>
      <c r="C139" s="9"/>
    </row>
    <row r="140" spans="1:3">
      <c r="A140" s="12"/>
      <c r="B140" s="13"/>
      <c r="C140" s="8"/>
    </row>
    <row r="141" spans="1:3">
      <c r="A141" s="14"/>
      <c r="B141" s="14"/>
      <c r="C141" s="9"/>
    </row>
    <row r="142" spans="1:3">
      <c r="A142" s="15"/>
      <c r="B142" s="15"/>
      <c r="C142" s="7"/>
    </row>
    <row r="143" spans="1:3">
      <c r="A143" s="15"/>
      <c r="B143" s="15"/>
      <c r="C143" s="7"/>
    </row>
    <row r="144" spans="1:3">
      <c r="A144" s="15"/>
      <c r="B144" s="15"/>
      <c r="C144" s="7"/>
    </row>
    <row r="145" spans="1:3">
      <c r="A145" s="15"/>
      <c r="B145" s="15"/>
      <c r="C145" s="7"/>
    </row>
    <row r="146" spans="1:3">
      <c r="A146" s="15"/>
      <c r="B146" s="15"/>
      <c r="C146" s="7"/>
    </row>
    <row r="147" spans="1:3">
      <c r="A147" s="15"/>
      <c r="B147" s="15"/>
      <c r="C147" s="7"/>
    </row>
    <row r="148" spans="1:3">
      <c r="A148" s="15"/>
      <c r="B148" s="15"/>
      <c r="C148" s="7"/>
    </row>
    <row r="149" spans="1:3">
      <c r="A149" s="15"/>
      <c r="B149" s="15"/>
      <c r="C149" s="7"/>
    </row>
    <row r="150" spans="1:3">
      <c r="A150" s="15"/>
      <c r="B150" s="15"/>
      <c r="C150" s="7"/>
    </row>
    <row r="151" spans="1:3">
      <c r="A151" s="15"/>
      <c r="B151" s="15"/>
      <c r="C151" s="7"/>
    </row>
    <row r="152" spans="1:3">
      <c r="A152" s="15"/>
      <c r="B152" s="15"/>
      <c r="C152" s="7"/>
    </row>
    <row r="153" spans="1:3">
      <c r="A153" s="15"/>
      <c r="B153" s="15"/>
      <c r="C153" s="7"/>
    </row>
    <row r="154" spans="1:3">
      <c r="A154" s="15"/>
      <c r="B154" s="15"/>
      <c r="C154" s="7"/>
    </row>
    <row r="155" spans="1:3">
      <c r="A155" s="14"/>
      <c r="B155" s="14"/>
      <c r="C155" s="9"/>
    </row>
    <row r="156" spans="1:3">
      <c r="A156" s="15"/>
      <c r="B156" s="15"/>
      <c r="C156" s="7"/>
    </row>
    <row r="157" spans="1:3">
      <c r="A157" s="12"/>
      <c r="B157" s="13"/>
      <c r="C157" s="8"/>
    </row>
    <row r="158" spans="1:3">
      <c r="A158" s="14"/>
      <c r="B158" s="14"/>
      <c r="C158" s="9"/>
    </row>
    <row r="159" spans="1:3">
      <c r="A159" s="15"/>
      <c r="B159" s="15"/>
      <c r="C159" s="7"/>
    </row>
    <row r="160" spans="1:3">
      <c r="A160" s="15"/>
      <c r="B160" s="15"/>
      <c r="C160" s="7"/>
    </row>
    <row r="161" spans="1:3">
      <c r="A161" s="15"/>
      <c r="B161" s="15"/>
      <c r="C161" s="7"/>
    </row>
    <row r="162" spans="1:3">
      <c r="A162" s="15"/>
      <c r="B162" s="15"/>
      <c r="C162" s="7"/>
    </row>
    <row r="163" spans="1:3">
      <c r="A163" s="15"/>
      <c r="B163" s="15"/>
      <c r="C163" s="7"/>
    </row>
    <row r="164" spans="1:3">
      <c r="A164" s="15"/>
      <c r="B164" s="15"/>
      <c r="C164" s="7"/>
    </row>
    <row r="165" spans="1:3">
      <c r="A165" s="15"/>
      <c r="B165" s="15"/>
      <c r="C165" s="7"/>
    </row>
    <row r="166" spans="1:3">
      <c r="A166" s="15"/>
      <c r="B166" s="15"/>
      <c r="C166" s="7"/>
    </row>
    <row r="167" spans="1:3">
      <c r="A167" s="15"/>
      <c r="B167" s="15"/>
      <c r="C167" s="7"/>
    </row>
    <row r="168" spans="1:3">
      <c r="A168" s="15"/>
      <c r="B168" s="15"/>
      <c r="C168" s="7"/>
    </row>
    <row r="169" spans="1:3">
      <c r="A169" s="15"/>
      <c r="B169" s="15"/>
      <c r="C169" s="7"/>
    </row>
    <row r="170" spans="1:3">
      <c r="A170" s="15"/>
      <c r="B170" s="15"/>
      <c r="C170" s="7"/>
    </row>
    <row r="171" spans="1:3">
      <c r="A171" s="15"/>
      <c r="B171" s="15"/>
      <c r="C171" s="7"/>
    </row>
    <row r="172" spans="1:3">
      <c r="A172" s="15"/>
      <c r="B172" s="15"/>
      <c r="C172" s="7"/>
    </row>
    <row r="173" spans="1:3">
      <c r="A173" s="15"/>
      <c r="B173" s="15"/>
      <c r="C173" s="7"/>
    </row>
    <row r="174" spans="1:3">
      <c r="A174" s="12"/>
      <c r="B174" s="13"/>
      <c r="C174" s="8"/>
    </row>
    <row r="175" spans="1:3">
      <c r="A175" s="14"/>
      <c r="B175" s="14"/>
      <c r="C175" s="9"/>
    </row>
    <row r="176" spans="1:3">
      <c r="A176" s="15"/>
      <c r="B176" s="15"/>
      <c r="C176" s="7"/>
    </row>
    <row r="177" spans="1:3">
      <c r="A177" s="15"/>
      <c r="B177" s="15"/>
      <c r="C177" s="7"/>
    </row>
    <row r="178" spans="1:3">
      <c r="A178" s="15"/>
      <c r="B178" s="15"/>
      <c r="C178" s="7"/>
    </row>
    <row r="179" spans="1:3">
      <c r="A179" s="15"/>
      <c r="B179" s="15"/>
      <c r="C179" s="7"/>
    </row>
    <row r="180" spans="1:3">
      <c r="A180" s="15"/>
      <c r="B180" s="15"/>
      <c r="C180" s="7"/>
    </row>
    <row r="181" spans="1:3">
      <c r="A181" s="15"/>
      <c r="B181" s="15"/>
      <c r="C181" s="7"/>
    </row>
    <row r="182" spans="1:3">
      <c r="A182" s="15"/>
      <c r="B182" s="15"/>
      <c r="C182" s="7"/>
    </row>
    <row r="183" spans="1:3">
      <c r="A183" s="15"/>
      <c r="B183" s="15"/>
      <c r="C183" s="7"/>
    </row>
    <row r="184" spans="1:3">
      <c r="A184" s="15"/>
      <c r="B184" s="15"/>
      <c r="C184" s="7"/>
    </row>
    <row r="185" spans="1:3">
      <c r="A185" s="15"/>
      <c r="B185" s="15"/>
      <c r="C185" s="7"/>
    </row>
    <row r="186" spans="1:3">
      <c r="A186" s="15"/>
      <c r="B186" s="15"/>
      <c r="C186" s="7"/>
    </row>
    <row r="187" spans="1:3">
      <c r="A187" s="15"/>
      <c r="B187" s="15"/>
      <c r="C187" s="7"/>
    </row>
    <row r="188" spans="1:3">
      <c r="A188" s="15"/>
      <c r="B188" s="15"/>
      <c r="C188" s="7"/>
    </row>
    <row r="189" spans="1:3">
      <c r="A189" s="15"/>
      <c r="B189" s="15"/>
      <c r="C189" s="7"/>
    </row>
    <row r="190" spans="1:3">
      <c r="A190" s="15"/>
      <c r="B190" s="15"/>
      <c r="C190" s="7"/>
    </row>
    <row r="191" spans="1:3">
      <c r="A191" s="12"/>
      <c r="B191" s="13"/>
      <c r="C191" s="8"/>
    </row>
    <row r="192" spans="1:3">
      <c r="A192" s="14"/>
      <c r="B192" s="14"/>
      <c r="C192" s="9"/>
    </row>
    <row r="193" spans="1:3">
      <c r="A193" s="15"/>
      <c r="B193" s="15"/>
      <c r="C193" s="7"/>
    </row>
    <row r="194" spans="1:3">
      <c r="A194" s="15"/>
      <c r="B194" s="15"/>
      <c r="C194" s="7"/>
    </row>
    <row r="195" spans="1:3">
      <c r="A195" s="15"/>
      <c r="B195" s="15"/>
      <c r="C195" s="7"/>
    </row>
    <row r="196" spans="1:3">
      <c r="A196" s="15"/>
      <c r="B196" s="15"/>
      <c r="C196" s="7"/>
    </row>
    <row r="197" spans="1:3">
      <c r="A197" s="15"/>
      <c r="B197" s="15"/>
      <c r="C197" s="7"/>
    </row>
    <row r="198" spans="1:3">
      <c r="A198" s="15"/>
      <c r="B198" s="15"/>
      <c r="C198" s="7"/>
    </row>
    <row r="199" spans="1:3">
      <c r="A199" s="15"/>
      <c r="B199" s="15"/>
      <c r="C199" s="7"/>
    </row>
    <row r="200" spans="1:3">
      <c r="A200" s="15"/>
      <c r="B200" s="15"/>
      <c r="C200" s="7"/>
    </row>
    <row r="201" spans="1:3">
      <c r="A201" s="15"/>
      <c r="B201" s="15"/>
      <c r="C201" s="7"/>
    </row>
    <row r="202" spans="1:3">
      <c r="A202" s="15"/>
      <c r="B202" s="15"/>
      <c r="C202" s="7"/>
    </row>
    <row r="203" spans="1:3">
      <c r="A203" s="15"/>
      <c r="B203" s="15"/>
      <c r="C203" s="7"/>
    </row>
    <row r="204" spans="1:3">
      <c r="A204" s="15"/>
      <c r="B204" s="15"/>
      <c r="C204" s="7"/>
    </row>
    <row r="205" spans="1:3">
      <c r="A205" s="15"/>
      <c r="B205" s="15"/>
      <c r="C205" s="7"/>
    </row>
    <row r="206" spans="1:3">
      <c r="A206" s="15"/>
      <c r="B206" s="15"/>
      <c r="C206" s="7"/>
    </row>
    <row r="207" spans="1:3">
      <c r="A207" s="15"/>
      <c r="B207" s="15"/>
      <c r="C207" s="7"/>
    </row>
    <row r="208" spans="1:3">
      <c r="A208" s="12"/>
      <c r="B208" s="13"/>
      <c r="C208" s="8"/>
    </row>
    <row r="209" spans="1:3">
      <c r="A209" s="14"/>
      <c r="B209" s="14"/>
      <c r="C209" s="9"/>
    </row>
    <row r="210" spans="1:3">
      <c r="A210" s="15"/>
      <c r="B210" s="15"/>
      <c r="C210" s="7"/>
    </row>
    <row r="211" spans="1:3">
      <c r="A211" s="15"/>
      <c r="B211" s="15"/>
      <c r="C211" s="7"/>
    </row>
    <row r="212" spans="1:3">
      <c r="A212" s="15"/>
      <c r="B212" s="15"/>
      <c r="C212" s="7"/>
    </row>
    <row r="213" spans="1:3">
      <c r="A213" s="15"/>
      <c r="B213" s="15"/>
      <c r="C213" s="7"/>
    </row>
    <row r="214" spans="1:3">
      <c r="A214" s="15"/>
      <c r="B214" s="15"/>
      <c r="C214" s="7"/>
    </row>
    <row r="215" spans="1:3">
      <c r="A215" s="15"/>
      <c r="B215" s="15"/>
      <c r="C215" s="7"/>
    </row>
    <row r="216" spans="1:3">
      <c r="A216" s="15"/>
      <c r="B216" s="15"/>
      <c r="C216" s="7"/>
    </row>
    <row r="217" spans="1:3">
      <c r="A217" s="15"/>
      <c r="B217" s="15"/>
      <c r="C217" s="7"/>
    </row>
    <row r="218" spans="1:3">
      <c r="A218" s="15"/>
      <c r="B218" s="15"/>
      <c r="C218" s="7"/>
    </row>
    <row r="219" spans="1:3">
      <c r="A219" s="15"/>
      <c r="B219" s="15"/>
      <c r="C219" s="7"/>
    </row>
    <row r="220" spans="1:3">
      <c r="A220" s="15"/>
      <c r="B220" s="15"/>
      <c r="C220" s="7"/>
    </row>
    <row r="221" spans="1:3">
      <c r="A221" s="15"/>
      <c r="B221" s="15"/>
      <c r="C221" s="7"/>
    </row>
    <row r="222" spans="1:3">
      <c r="A222" s="15"/>
      <c r="B222" s="15"/>
      <c r="C222" s="7"/>
    </row>
    <row r="223" spans="1:3">
      <c r="A223" s="15"/>
      <c r="B223" s="15"/>
      <c r="C223" s="7"/>
    </row>
    <row r="224" spans="1:3">
      <c r="A224" s="15"/>
      <c r="B224" s="15"/>
      <c r="C224" s="7"/>
    </row>
    <row r="225" spans="1:3">
      <c r="A225" s="12"/>
      <c r="B225" s="13"/>
      <c r="C225" s="8"/>
    </row>
    <row r="226" spans="1:3">
      <c r="A226" s="14"/>
      <c r="B226" s="14"/>
      <c r="C226" s="9"/>
    </row>
    <row r="227" spans="1:3">
      <c r="A227" s="15"/>
      <c r="B227" s="15"/>
      <c r="C227" s="7"/>
    </row>
    <row r="228" spans="1:3">
      <c r="A228" s="15"/>
      <c r="B228" s="15"/>
      <c r="C228" s="7"/>
    </row>
    <row r="229" spans="1:3">
      <c r="A229" s="15"/>
      <c r="B229" s="15"/>
      <c r="C229" s="7"/>
    </row>
    <row r="230" spans="1:3">
      <c r="A230" s="15"/>
      <c r="B230" s="15"/>
      <c r="C230" s="7"/>
    </row>
    <row r="231" spans="1:3">
      <c r="A231" s="15"/>
      <c r="B231" s="15"/>
      <c r="C231" s="7"/>
    </row>
    <row r="232" spans="1:3">
      <c r="A232" s="15"/>
      <c r="B232" s="15"/>
      <c r="C232" s="7"/>
    </row>
    <row r="233" spans="1:3">
      <c r="A233" s="15"/>
      <c r="B233" s="15"/>
      <c r="C233" s="7"/>
    </row>
    <row r="234" spans="1:3">
      <c r="A234" s="15"/>
      <c r="B234" s="15"/>
      <c r="C234" s="7"/>
    </row>
    <row r="235" spans="1:3">
      <c r="A235" s="15"/>
      <c r="B235" s="15"/>
      <c r="C235" s="7"/>
    </row>
    <row r="236" spans="1:3">
      <c r="A236" s="15"/>
      <c r="B236" s="15"/>
      <c r="C236" s="7"/>
    </row>
    <row r="237" spans="1:3">
      <c r="A237" s="15"/>
      <c r="B237" s="15"/>
      <c r="C237" s="7"/>
    </row>
    <row r="238" spans="1:3">
      <c r="A238" s="15"/>
      <c r="B238" s="15"/>
      <c r="C238" s="7"/>
    </row>
    <row r="239" spans="1:3">
      <c r="A239" s="15"/>
      <c r="B239" s="15"/>
      <c r="C239" s="7"/>
    </row>
    <row r="240" spans="1:3">
      <c r="A240" s="15"/>
      <c r="B240" s="15"/>
      <c r="C240" s="7"/>
    </row>
    <row r="241" spans="1:3">
      <c r="A241" s="15"/>
      <c r="B241" s="15"/>
      <c r="C241" s="7"/>
    </row>
    <row r="242" spans="1:3">
      <c r="A242" s="12"/>
      <c r="B242" s="13"/>
      <c r="C242" s="8"/>
    </row>
    <row r="243" spans="1:3">
      <c r="A243" s="14"/>
      <c r="B243" s="14"/>
      <c r="C243" s="9"/>
    </row>
    <row r="244" spans="1:3">
      <c r="A244" s="15"/>
      <c r="B244" s="15"/>
      <c r="C244" s="7"/>
    </row>
    <row r="245" spans="1:3">
      <c r="A245" s="15"/>
      <c r="B245" s="15"/>
      <c r="C245" s="7"/>
    </row>
    <row r="246" spans="1:3">
      <c r="A246" s="15"/>
      <c r="B246" s="15"/>
      <c r="C246" s="7"/>
    </row>
    <row r="247" spans="1:3">
      <c r="A247" s="15"/>
      <c r="B247" s="15"/>
      <c r="C247" s="7"/>
    </row>
    <row r="248" spans="1:3">
      <c r="A248" s="15"/>
      <c r="B248" s="15"/>
      <c r="C248" s="7"/>
    </row>
    <row r="249" spans="1:3">
      <c r="A249" s="15"/>
      <c r="B249" s="15"/>
      <c r="C249" s="7"/>
    </row>
    <row r="250" spans="1:3">
      <c r="A250" s="15"/>
      <c r="B250" s="15"/>
      <c r="C250" s="7"/>
    </row>
    <row r="251" spans="1:3">
      <c r="A251" s="15"/>
      <c r="B251" s="15"/>
      <c r="C251" s="7"/>
    </row>
    <row r="252" spans="1:3">
      <c r="A252" s="15"/>
      <c r="B252" s="15"/>
      <c r="C252" s="7"/>
    </row>
    <row r="253" spans="1:3">
      <c r="A253" s="15"/>
      <c r="B253" s="15"/>
      <c r="C253" s="7"/>
    </row>
    <row r="254" spans="1:3">
      <c r="A254" s="15"/>
      <c r="B254" s="15"/>
      <c r="C254" s="7"/>
    </row>
    <row r="255" spans="1:3">
      <c r="A255" s="15"/>
      <c r="B255" s="15"/>
      <c r="C255" s="7"/>
    </row>
    <row r="256" spans="1:3">
      <c r="A256" s="15"/>
      <c r="B256" s="15"/>
      <c r="C256" s="7"/>
    </row>
    <row r="257" spans="1:3">
      <c r="A257" s="15"/>
      <c r="B257" s="15"/>
      <c r="C257" s="7"/>
    </row>
    <row r="258" spans="1:3">
      <c r="A258" s="15"/>
      <c r="B258" s="15"/>
      <c r="C258" s="7"/>
    </row>
    <row r="259" spans="1:3">
      <c r="A259" s="12"/>
      <c r="B259" s="13"/>
      <c r="C259" s="8"/>
    </row>
    <row r="260" spans="1:3">
      <c r="A260" s="14"/>
      <c r="B260" s="14"/>
      <c r="C260" s="9"/>
    </row>
    <row r="261" spans="1:3">
      <c r="A261" s="15"/>
      <c r="B261" s="15"/>
      <c r="C261" s="7"/>
    </row>
    <row r="262" spans="1:3">
      <c r="A262" s="15"/>
      <c r="B262" s="15"/>
      <c r="C262" s="7"/>
    </row>
    <row r="263" spans="1:3">
      <c r="A263" s="15"/>
      <c r="B263" s="15"/>
      <c r="C263" s="7"/>
    </row>
    <row r="264" spans="1:3">
      <c r="A264" s="15"/>
      <c r="B264" s="15"/>
      <c r="C264" s="7"/>
    </row>
    <row r="265" spans="1:3">
      <c r="A265" s="15"/>
      <c r="B265" s="15"/>
      <c r="C265" s="7"/>
    </row>
    <row r="266" spans="1:3">
      <c r="A266" s="15"/>
      <c r="B266" s="15"/>
      <c r="C266" s="7"/>
    </row>
    <row r="267" spans="1:3">
      <c r="A267" s="15"/>
      <c r="B267" s="15"/>
      <c r="C267" s="7"/>
    </row>
    <row r="268" spans="1:3">
      <c r="A268" s="15"/>
      <c r="B268" s="15"/>
      <c r="C268" s="7"/>
    </row>
    <row r="269" spans="1:3">
      <c r="A269" s="15"/>
      <c r="B269" s="15"/>
      <c r="C269" s="7"/>
    </row>
    <row r="270" spans="1:3">
      <c r="A270" s="15"/>
      <c r="B270" s="15"/>
      <c r="C270" s="7"/>
    </row>
    <row r="271" spans="1:3">
      <c r="A271" s="15"/>
      <c r="B271" s="15"/>
      <c r="C271" s="7"/>
    </row>
    <row r="272" spans="1:3">
      <c r="A272" s="15"/>
      <c r="B272" s="15"/>
      <c r="C272" s="7"/>
    </row>
    <row r="273" spans="1:3">
      <c r="A273" s="15"/>
      <c r="B273" s="15"/>
      <c r="C273" s="7"/>
    </row>
    <row r="274" spans="1:3">
      <c r="A274" s="15"/>
      <c r="B274" s="15"/>
      <c r="C274" s="7"/>
    </row>
    <row r="275" spans="1:3">
      <c r="A275" s="15"/>
      <c r="B275" s="15"/>
      <c r="C275" s="7"/>
    </row>
    <row r="276" spans="1:3">
      <c r="A276" s="12"/>
      <c r="B276" s="13"/>
      <c r="C276" s="8"/>
    </row>
    <row r="277" spans="1:3">
      <c r="A277" s="14"/>
      <c r="B277" s="14"/>
      <c r="C277" s="9"/>
    </row>
    <row r="278" spans="1:3">
      <c r="A278" s="15"/>
      <c r="B278" s="15"/>
      <c r="C278" s="7"/>
    </row>
    <row r="279" spans="1:3">
      <c r="A279" s="15"/>
      <c r="B279" s="15"/>
      <c r="C279" s="7"/>
    </row>
    <row r="280" spans="1:3">
      <c r="A280" s="15"/>
      <c r="B280" s="15"/>
      <c r="C280" s="7"/>
    </row>
    <row r="281" spans="1:3">
      <c r="A281" s="15"/>
      <c r="B281" s="15"/>
      <c r="C281" s="7"/>
    </row>
    <row r="282" spans="1:3">
      <c r="A282" s="15"/>
      <c r="B282" s="15"/>
      <c r="C282" s="7"/>
    </row>
    <row r="283" spans="1:3">
      <c r="A283" s="15"/>
      <c r="B283" s="15"/>
      <c r="C283" s="7"/>
    </row>
    <row r="284" spans="1:3">
      <c r="A284" s="15"/>
      <c r="B284" s="15"/>
      <c r="C284" s="7"/>
    </row>
    <row r="285" spans="1:3">
      <c r="A285" s="15"/>
      <c r="B285" s="15"/>
      <c r="C285" s="7"/>
    </row>
    <row r="286" spans="1:3">
      <c r="A286" s="15"/>
      <c r="B286" s="15"/>
      <c r="C286" s="7"/>
    </row>
    <row r="287" spans="1:3">
      <c r="A287" s="15"/>
      <c r="B287" s="15"/>
      <c r="C287" s="7"/>
    </row>
    <row r="288" spans="1:3">
      <c r="A288" s="15"/>
      <c r="B288" s="15"/>
      <c r="C288" s="7"/>
    </row>
    <row r="289" spans="1:3">
      <c r="A289" s="15"/>
      <c r="B289" s="15"/>
      <c r="C289" s="7"/>
    </row>
    <row r="290" spans="1:3">
      <c r="A290" s="15"/>
      <c r="B290" s="15"/>
      <c r="C290" s="7"/>
    </row>
    <row r="291" spans="1:3">
      <c r="A291" s="15"/>
      <c r="B291" s="15"/>
      <c r="C291" s="7"/>
    </row>
    <row r="292" spans="1:3">
      <c r="A292" s="15"/>
      <c r="B292" s="15"/>
      <c r="C292" s="7"/>
    </row>
    <row r="293" spans="1:3">
      <c r="A293" s="12"/>
      <c r="B293" s="13"/>
      <c r="C293" s="8"/>
    </row>
    <row r="294" spans="1:3">
      <c r="A294" s="14"/>
      <c r="B294" s="14"/>
      <c r="C294" s="9"/>
    </row>
    <row r="295" spans="1:3">
      <c r="A295" s="15"/>
      <c r="B295" s="15"/>
      <c r="C295" s="7"/>
    </row>
    <row r="296" spans="1:3">
      <c r="A296" s="15"/>
      <c r="B296" s="15"/>
      <c r="C296" s="7"/>
    </row>
    <row r="297" spans="1:3">
      <c r="A297" s="15"/>
      <c r="B297" s="15"/>
      <c r="C297" s="7"/>
    </row>
    <row r="298" spans="1:3">
      <c r="A298" s="15"/>
      <c r="B298" s="15"/>
      <c r="C298" s="7"/>
    </row>
    <row r="299" spans="1:3">
      <c r="A299" s="15"/>
      <c r="B299" s="15"/>
      <c r="C299" s="7"/>
    </row>
    <row r="300" spans="1:3">
      <c r="A300" s="15"/>
      <c r="B300" s="15"/>
      <c r="C300" s="7"/>
    </row>
    <row r="301" spans="1:3">
      <c r="A301" s="15"/>
      <c r="B301" s="15"/>
      <c r="C301" s="7"/>
    </row>
    <row r="302" spans="1:3">
      <c r="A302" s="15"/>
      <c r="B302" s="15"/>
      <c r="C302" s="7"/>
    </row>
    <row r="303" spans="1:3">
      <c r="A303" s="15"/>
      <c r="B303" s="15"/>
      <c r="C303" s="7"/>
    </row>
    <row r="304" spans="1:3">
      <c r="A304" s="15"/>
      <c r="B304" s="15"/>
      <c r="C304" s="7"/>
    </row>
    <row r="305" spans="1:3">
      <c r="A305" s="15"/>
      <c r="B305" s="15"/>
      <c r="C305" s="7"/>
    </row>
    <row r="306" spans="1:3">
      <c r="A306" s="15"/>
      <c r="B306" s="15"/>
      <c r="C306" s="7"/>
    </row>
    <row r="307" spans="1:3">
      <c r="A307" s="15"/>
      <c r="B307" s="15"/>
      <c r="C307" s="7"/>
    </row>
  </sheetData>
  <conditionalFormatting sqref="F3">
    <cfRule type="duplicateValues" dxfId="44" priority="45"/>
  </conditionalFormatting>
  <conditionalFormatting sqref="C1:C17 C308:C1048576">
    <cfRule type="duplicateValues" dxfId="43" priority="44"/>
  </conditionalFormatting>
  <conditionalFormatting sqref="C18">
    <cfRule type="duplicateValues" dxfId="42" priority="43"/>
  </conditionalFormatting>
  <conditionalFormatting sqref="C19">
    <cfRule type="duplicateValues" dxfId="41" priority="42"/>
  </conditionalFormatting>
  <conditionalFormatting sqref="C35:C36">
    <cfRule type="duplicateValues" dxfId="40" priority="41"/>
  </conditionalFormatting>
  <conditionalFormatting sqref="C52:C53">
    <cfRule type="duplicateValues" dxfId="39" priority="40"/>
  </conditionalFormatting>
  <conditionalFormatting sqref="C69:C70">
    <cfRule type="duplicateValues" dxfId="38" priority="39"/>
  </conditionalFormatting>
  <conditionalFormatting sqref="C86:C87">
    <cfRule type="duplicateValues" dxfId="37" priority="38"/>
  </conditionalFormatting>
  <conditionalFormatting sqref="C103:C104">
    <cfRule type="duplicateValues" dxfId="36" priority="37"/>
  </conditionalFormatting>
  <conditionalFormatting sqref="C120:C121">
    <cfRule type="duplicateValues" dxfId="35" priority="36"/>
  </conditionalFormatting>
  <conditionalFormatting sqref="C20:C34">
    <cfRule type="duplicateValues" dxfId="34" priority="35"/>
  </conditionalFormatting>
  <conditionalFormatting sqref="C37:C51">
    <cfRule type="duplicateValues" dxfId="33" priority="34"/>
  </conditionalFormatting>
  <conditionalFormatting sqref="C54:C68">
    <cfRule type="duplicateValues" dxfId="32" priority="33"/>
  </conditionalFormatting>
  <conditionalFormatting sqref="C71:C85">
    <cfRule type="duplicateValues" dxfId="31" priority="32"/>
  </conditionalFormatting>
  <conditionalFormatting sqref="C88:C102">
    <cfRule type="duplicateValues" dxfId="30" priority="31"/>
  </conditionalFormatting>
  <conditionalFormatting sqref="C105:C119">
    <cfRule type="duplicateValues" dxfId="29" priority="30"/>
  </conditionalFormatting>
  <conditionalFormatting sqref="C1:C121 C308:C1048576">
    <cfRule type="duplicateValues" dxfId="28" priority="29"/>
  </conditionalFormatting>
  <conditionalFormatting sqref="C122:C137">
    <cfRule type="duplicateValues" dxfId="27" priority="28"/>
  </conditionalFormatting>
  <conditionalFormatting sqref="C138">
    <cfRule type="duplicateValues" dxfId="26" priority="27"/>
  </conditionalFormatting>
  <conditionalFormatting sqref="C139">
    <cfRule type="duplicateValues" dxfId="25" priority="26"/>
  </conditionalFormatting>
  <conditionalFormatting sqref="C155:C156">
    <cfRule type="duplicateValues" dxfId="24" priority="25"/>
  </conditionalFormatting>
  <conditionalFormatting sqref="C172:C173">
    <cfRule type="duplicateValues" dxfId="23" priority="24"/>
  </conditionalFormatting>
  <conditionalFormatting sqref="C189:C190">
    <cfRule type="duplicateValues" dxfId="22" priority="23"/>
  </conditionalFormatting>
  <conditionalFormatting sqref="C206:C207">
    <cfRule type="duplicateValues" dxfId="21" priority="22"/>
  </conditionalFormatting>
  <conditionalFormatting sqref="C223:C224">
    <cfRule type="duplicateValues" dxfId="20" priority="21"/>
  </conditionalFormatting>
  <conditionalFormatting sqref="C140:C154">
    <cfRule type="duplicateValues" dxfId="19" priority="20"/>
  </conditionalFormatting>
  <conditionalFormatting sqref="C157:C171">
    <cfRule type="duplicateValues" dxfId="18" priority="19"/>
  </conditionalFormatting>
  <conditionalFormatting sqref="C174:C188">
    <cfRule type="duplicateValues" dxfId="17" priority="18"/>
  </conditionalFormatting>
  <conditionalFormatting sqref="C191:C205">
    <cfRule type="duplicateValues" dxfId="16" priority="17"/>
  </conditionalFormatting>
  <conditionalFormatting sqref="C208:C222">
    <cfRule type="duplicateValues" dxfId="15" priority="16"/>
  </conditionalFormatting>
  <conditionalFormatting sqref="C225:C239">
    <cfRule type="duplicateValues" dxfId="14" priority="15"/>
  </conditionalFormatting>
  <conditionalFormatting sqref="C122:C239">
    <cfRule type="duplicateValues" dxfId="13" priority="14"/>
  </conditionalFormatting>
  <conditionalFormatting sqref="C240:C241">
    <cfRule type="duplicateValues" dxfId="12" priority="13"/>
  </conditionalFormatting>
  <conditionalFormatting sqref="C242:C256">
    <cfRule type="duplicateValues" dxfId="11" priority="12"/>
  </conditionalFormatting>
  <conditionalFormatting sqref="C240:C256">
    <cfRule type="duplicateValues" dxfId="10" priority="11"/>
  </conditionalFormatting>
  <conditionalFormatting sqref="C257:C258">
    <cfRule type="duplicateValues" dxfId="9" priority="10"/>
  </conditionalFormatting>
  <conditionalFormatting sqref="C259:C273">
    <cfRule type="duplicateValues" dxfId="8" priority="9"/>
  </conditionalFormatting>
  <conditionalFormatting sqref="C257:C273">
    <cfRule type="duplicateValues" dxfId="7" priority="8"/>
  </conditionalFormatting>
  <conditionalFormatting sqref="C274:C275">
    <cfRule type="duplicateValues" dxfId="6" priority="7"/>
  </conditionalFormatting>
  <conditionalFormatting sqref="C276:C290">
    <cfRule type="duplicateValues" dxfId="5" priority="6"/>
  </conditionalFormatting>
  <conditionalFormatting sqref="C274:C290">
    <cfRule type="duplicateValues" dxfId="4" priority="5"/>
  </conditionalFormatting>
  <conditionalFormatting sqref="C291:C292">
    <cfRule type="duplicateValues" dxfId="3" priority="4"/>
  </conditionalFormatting>
  <conditionalFormatting sqref="C293:C307">
    <cfRule type="duplicateValues" dxfId="2" priority="3"/>
  </conditionalFormatting>
  <conditionalFormatting sqref="C291:C307">
    <cfRule type="duplicateValues" dxfId="1" priority="2"/>
  </conditionalFormatting>
  <conditionalFormatting sqref="C1:C1048576">
    <cfRule type="duplicateValues" dxfId="0" priority="1"/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3042391-AA0E-40B4-99B4-FF2F4FDD2DD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19</vt:i4>
      </vt:variant>
      <vt:variant>
        <vt:lpstr>Nazwane zakresy</vt:lpstr>
      </vt:variant>
      <vt:variant>
        <vt:i4>1</vt:i4>
      </vt:variant>
    </vt:vector>
  </HeadingPairs>
  <TitlesOfParts>
    <vt:vector size="20" baseType="lpstr">
      <vt:lpstr>Dodaj zlecenie --&gt;</vt:lpstr>
      <vt:lpstr>Produkcja</vt:lpstr>
      <vt:lpstr>TEST</vt:lpstr>
      <vt:lpstr>LABEL</vt:lpstr>
      <vt:lpstr>Arkusz4</vt:lpstr>
      <vt:lpstr>18szt iot</vt:lpstr>
      <vt:lpstr>10szt IOT</vt:lpstr>
      <vt:lpstr>Arkusz3</vt:lpstr>
      <vt:lpstr>12szt IOT</vt:lpstr>
      <vt:lpstr>12szt asrock</vt:lpstr>
      <vt:lpstr>006010</vt:lpstr>
      <vt:lpstr>4szt IOT</vt:lpstr>
      <vt:lpstr>005979</vt:lpstr>
      <vt:lpstr>005842</vt:lpstr>
      <vt:lpstr>Arkusz2</vt:lpstr>
      <vt:lpstr>iot 6szt</vt:lpstr>
      <vt:lpstr>Arkusz1</vt:lpstr>
      <vt:lpstr>005541</vt:lpstr>
      <vt:lpstr>005613</vt:lpstr>
      <vt:lpstr>LABEL!Obszar_wydruku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Dariusz</dc:creator>
  <cp:lastModifiedBy>Dariusz</cp:lastModifiedBy>
  <cp:lastPrinted>2022-08-26T14:10:51Z</cp:lastPrinted>
  <dcterms:created xsi:type="dcterms:W3CDTF">2021-01-12T11:59:55Z</dcterms:created>
  <dcterms:modified xsi:type="dcterms:W3CDTF">2022-08-29T07:18:41Z</dcterms:modified>
</cp:coreProperties>
</file>